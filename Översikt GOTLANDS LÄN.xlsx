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45931</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45931</v>
      </c>
      <c r="D6" t="inlineStr">
        <is>
          <t>GOTLANDS LÄN</t>
        </is>
      </c>
      <c r="E6" t="inlineStr">
        <is>
          <t>GOTLAND</t>
        </is>
      </c>
      <c r="G6" t="n">
        <v>6.1</v>
      </c>
      <c r="H6" t="n">
        <v>11</v>
      </c>
      <c r="I6" t="n">
        <v>13</v>
      </c>
      <c r="J6" t="n">
        <v>10</v>
      </c>
      <c r="K6" t="n">
        <v>6</v>
      </c>
      <c r="L6" t="n">
        <v>1</v>
      </c>
      <c r="M6" t="n">
        <v>0</v>
      </c>
      <c r="N6" t="n">
        <v>0</v>
      </c>
      <c r="O6" t="n">
        <v>17</v>
      </c>
      <c r="P6" t="n">
        <v>7</v>
      </c>
      <c r="Q6" t="n">
        <v>35</v>
      </c>
      <c r="R6" s="2" t="inlineStr">
        <is>
          <t>Ask
Bullspindling
Duvspindling
Gul lammticka
Gulsträngad fagerspindling
Knärot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45931</v>
      </c>
      <c r="D9" t="inlineStr">
        <is>
          <t>GOTLANDS LÄN</t>
        </is>
      </c>
      <c r="E9" t="inlineStr">
        <is>
          <t>GOTLAND</t>
        </is>
      </c>
      <c r="G9" t="n">
        <v>12.6</v>
      </c>
      <c r="H9" t="n">
        <v>2</v>
      </c>
      <c r="I9" t="n">
        <v>16</v>
      </c>
      <c r="J9" t="n">
        <v>7</v>
      </c>
      <c r="K9" t="n">
        <v>7</v>
      </c>
      <c r="L9" t="n">
        <v>0</v>
      </c>
      <c r="M9" t="n">
        <v>0</v>
      </c>
      <c r="N9" t="n">
        <v>0</v>
      </c>
      <c r="O9" t="n">
        <v>14</v>
      </c>
      <c r="P9" t="n">
        <v>7</v>
      </c>
      <c r="Q9" t="n">
        <v>31</v>
      </c>
      <c r="R9" s="2" t="inlineStr">
        <is>
          <t>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Grovticka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30236-2025</t>
        </is>
      </c>
      <c r="B10" s="1" t="n">
        <v>45827</v>
      </c>
      <c r="C10" s="1" t="n">
        <v>45931</v>
      </c>
      <c r="D10" t="inlineStr">
        <is>
          <t>GOTLANDS LÄN</t>
        </is>
      </c>
      <c r="E10" t="inlineStr">
        <is>
          <t>GOTLAND</t>
        </is>
      </c>
      <c r="G10" t="n">
        <v>13.6</v>
      </c>
      <c r="H10" t="n">
        <v>8</v>
      </c>
      <c r="I10" t="n">
        <v>13</v>
      </c>
      <c r="J10" t="n">
        <v>6</v>
      </c>
      <c r="K10" t="n">
        <v>9</v>
      </c>
      <c r="L10" t="n">
        <v>0</v>
      </c>
      <c r="M10" t="n">
        <v>0</v>
      </c>
      <c r="N10" t="n">
        <v>0</v>
      </c>
      <c r="O10" t="n">
        <v>15</v>
      </c>
      <c r="P10" t="n">
        <v>9</v>
      </c>
      <c r="Q10" t="n">
        <v>31</v>
      </c>
      <c r="R10" s="2" t="inlineStr">
        <is>
          <t>Bullspindling
Duvspindling
Granrotsspindling
Gulsträngad fagerspindling
Läderdoftande fingersvamp
Sotbandad spindling
Svartgrön spindling
Tallpraktspindling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0">
        <f>HYPERLINK("https://klasma.github.io/Logging_0980/artfynd/A 30236-2025 artfynd.xlsx", "A 30236-2025")</f>
        <v/>
      </c>
      <c r="T10">
        <f>HYPERLINK("https://klasma.github.io/Logging_0980/kartor/A 30236-2025 karta.png", "A 30236-2025")</f>
        <v/>
      </c>
      <c r="V10">
        <f>HYPERLINK("https://klasma.github.io/Logging_0980/klagomål/A 30236-2025 FSC-klagomål.docx", "A 30236-2025")</f>
        <v/>
      </c>
      <c r="W10">
        <f>HYPERLINK("https://klasma.github.io/Logging_0980/klagomålsmail/A 30236-2025 FSC-klagomål mail.docx", "A 30236-2025")</f>
        <v/>
      </c>
      <c r="X10">
        <f>HYPERLINK("https://klasma.github.io/Logging_0980/tillsyn/A 30236-2025 tillsynsbegäran.docx", "A 30236-2025")</f>
        <v/>
      </c>
      <c r="Y10">
        <f>HYPERLINK("https://klasma.github.io/Logging_0980/tillsynsmail/A 30236-2025 tillsynsbegäran mail.docx", "A 30236-2025")</f>
        <v/>
      </c>
      <c r="Z10">
        <f>HYPERLINK("https://klasma.github.io/Logging_0980/fåglar/A 30236-2025 prioriterade fågelarter.docx", "A 30236-2025")</f>
        <v/>
      </c>
    </row>
    <row r="11" ht="15" customHeight="1">
      <c r="A11" t="inlineStr">
        <is>
          <t>A 61664-2023</t>
        </is>
      </c>
      <c r="B11" s="1" t="n">
        <v>45265</v>
      </c>
      <c r="C11" s="1" t="n">
        <v>45931</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45931</v>
      </c>
      <c r="D13" t="inlineStr">
        <is>
          <t>GOTLANDS LÄN</t>
        </is>
      </c>
      <c r="E13" t="inlineStr">
        <is>
          <t>GOTLAND</t>
        </is>
      </c>
      <c r="G13" t="n">
        <v>15.8</v>
      </c>
      <c r="H13" t="n">
        <v>3</v>
      </c>
      <c r="I13" t="n">
        <v>10</v>
      </c>
      <c r="J13" t="n">
        <v>6</v>
      </c>
      <c r="K13" t="n">
        <v>12</v>
      </c>
      <c r="L13" t="n">
        <v>0</v>
      </c>
      <c r="M13" t="n">
        <v>0</v>
      </c>
      <c r="N13" t="n">
        <v>0</v>
      </c>
      <c r="O13" t="n">
        <v>18</v>
      </c>
      <c r="P13" t="n">
        <v>12</v>
      </c>
      <c r="Q13" t="n">
        <v>29</v>
      </c>
      <c r="R13"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45931</v>
      </c>
      <c r="D14" t="inlineStr">
        <is>
          <t>GOTLANDS LÄN</t>
        </is>
      </c>
      <c r="E14" t="inlineStr">
        <is>
          <t>GOTLAND</t>
        </is>
      </c>
      <c r="G14" t="n">
        <v>10.4</v>
      </c>
      <c r="H14" t="n">
        <v>3</v>
      </c>
      <c r="I14" t="n">
        <v>12</v>
      </c>
      <c r="J14" t="n">
        <v>3</v>
      </c>
      <c r="K14" t="n">
        <v>8</v>
      </c>
      <c r="L14" t="n">
        <v>1</v>
      </c>
      <c r="M14" t="n">
        <v>0</v>
      </c>
      <c r="N14" t="n">
        <v>0</v>
      </c>
      <c r="O14" t="n">
        <v>13</v>
      </c>
      <c r="P14" t="n">
        <v>9</v>
      </c>
      <c r="Q14" t="n">
        <v>26</v>
      </c>
      <c r="R14"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45931</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45894.74005787037</v>
      </c>
      <c r="C16" s="1" t="n">
        <v>45931</v>
      </c>
      <c r="D16" t="inlineStr">
        <is>
          <t>GOTLANDS LÄN</t>
        </is>
      </c>
      <c r="E16" t="inlineStr">
        <is>
          <t>GOTLAND</t>
        </is>
      </c>
      <c r="G16" t="n">
        <v>10.6</v>
      </c>
      <c r="H16" t="n">
        <v>1</v>
      </c>
      <c r="I16" t="n">
        <v>8</v>
      </c>
      <c r="J16" t="n">
        <v>5</v>
      </c>
      <c r="K16" t="n">
        <v>7</v>
      </c>
      <c r="L16" t="n">
        <v>0</v>
      </c>
      <c r="M16" t="n">
        <v>0</v>
      </c>
      <c r="N16" t="n">
        <v>0</v>
      </c>
      <c r="O16" t="n">
        <v>12</v>
      </c>
      <c r="P16" t="n">
        <v>7</v>
      </c>
      <c r="Q16" t="n">
        <v>21</v>
      </c>
      <c r="R16" s="2" t="inlineStr">
        <is>
          <t>Bullspindling
Duvspindling
Gulsträngad fagerspindling
Läderdoftande fingersvamp
Sotbandad spindling
Svartgrön spindling
Tallpraktspindling
Backtimjan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569-2023</t>
        </is>
      </c>
      <c r="B17" s="1" t="n">
        <v>44930</v>
      </c>
      <c r="C17" s="1" t="n">
        <v>45931</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45931</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45931</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45931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45931</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45931</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45931</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45931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61697-2023</t>
        </is>
      </c>
      <c r="B25" s="1" t="n">
        <v>45265</v>
      </c>
      <c r="C25" s="1" t="n">
        <v>45931</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15629-2024</t>
        </is>
      </c>
      <c r="B26" s="1" t="n">
        <v>45402.78372685185</v>
      </c>
      <c r="C26" s="1" t="n">
        <v>45931</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45931</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45931</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2222-2024</t>
        </is>
      </c>
      <c r="B29" s="1" t="n">
        <v>45309</v>
      </c>
      <c r="C29" s="1" t="n">
        <v>45931</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45931</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24309-2025</t>
        </is>
      </c>
      <c r="B31" s="1" t="n">
        <v>45797</v>
      </c>
      <c r="C31" s="1" t="n">
        <v>45931</v>
      </c>
      <c r="D31" t="inlineStr">
        <is>
          <t>GOTLANDS LÄN</t>
        </is>
      </c>
      <c r="E31" t="inlineStr">
        <is>
          <t>GOTLAND</t>
        </is>
      </c>
      <c r="F31" t="inlineStr">
        <is>
          <t>Kyrkan</t>
        </is>
      </c>
      <c r="G31" t="n">
        <v>7.8</v>
      </c>
      <c r="H31" t="n">
        <v>11</v>
      </c>
      <c r="I31" t="n">
        <v>6</v>
      </c>
      <c r="J31" t="n">
        <v>3</v>
      </c>
      <c r="K31" t="n">
        <v>1</v>
      </c>
      <c r="L31" t="n">
        <v>1</v>
      </c>
      <c r="M31" t="n">
        <v>0</v>
      </c>
      <c r="N31" t="n">
        <v>0</v>
      </c>
      <c r="O31" t="n">
        <v>5</v>
      </c>
      <c r="P31" t="n">
        <v>2</v>
      </c>
      <c r="Q31" t="n">
        <v>14</v>
      </c>
      <c r="R31" s="2" t="inlineStr">
        <is>
          <t>Grönfink
Garderönn
Dårgräsfjäril
Spillkråka
Svinrot
Grönpyrola
Purpurknipprot
Skogsknipprot
Strävlosta
Tvåblad
Vit skogslilja
Halsbandsflugsnappare
Nattviol
Blåsippa</t>
        </is>
      </c>
      <c r="S31">
        <f>HYPERLINK("https://klasma.github.io/Logging_0980/artfynd/A 24309-2025 artfynd.xlsx", "A 24309-2025")</f>
        <v/>
      </c>
      <c r="T31">
        <f>HYPERLINK("https://klasma.github.io/Logging_0980/kartor/A 24309-2025 karta.png", "A 24309-2025")</f>
        <v/>
      </c>
      <c r="V31">
        <f>HYPERLINK("https://klasma.github.io/Logging_0980/klagomål/A 24309-2025 FSC-klagomål.docx", "A 24309-2025")</f>
        <v/>
      </c>
      <c r="W31">
        <f>HYPERLINK("https://klasma.github.io/Logging_0980/klagomålsmail/A 24309-2025 FSC-klagomål mail.docx", "A 24309-2025")</f>
        <v/>
      </c>
      <c r="X31">
        <f>HYPERLINK("https://klasma.github.io/Logging_0980/tillsyn/A 24309-2025 tillsynsbegäran.docx", "A 24309-2025")</f>
        <v/>
      </c>
      <c r="Y31">
        <f>HYPERLINK("https://klasma.github.io/Logging_0980/tillsynsmail/A 24309-2025 tillsynsbegäran mail.docx", "A 24309-2025")</f>
        <v/>
      </c>
      <c r="Z31">
        <f>HYPERLINK("https://klasma.github.io/Logging_0980/fåglar/A 24309-2025 prioriterade fågelarter.docx", "A 24309-2025")</f>
        <v/>
      </c>
    </row>
    <row r="32" ht="15" customHeight="1">
      <c r="A32" t="inlineStr">
        <is>
          <t>A 33728-2025</t>
        </is>
      </c>
      <c r="B32" s="1" t="n">
        <v>45842.29344907407</v>
      </c>
      <c r="C32" s="1" t="n">
        <v>45931</v>
      </c>
      <c r="D32" t="inlineStr">
        <is>
          <t>GOTLANDS LÄN</t>
        </is>
      </c>
      <c r="E32" t="inlineStr">
        <is>
          <t>GOTLAND</t>
        </is>
      </c>
      <c r="G32" t="n">
        <v>9.5</v>
      </c>
      <c r="H32" t="n">
        <v>3</v>
      </c>
      <c r="I32" t="n">
        <v>3</v>
      </c>
      <c r="J32" t="n">
        <v>6</v>
      </c>
      <c r="K32" t="n">
        <v>3</v>
      </c>
      <c r="L32" t="n">
        <v>2</v>
      </c>
      <c r="M32" t="n">
        <v>0</v>
      </c>
      <c r="N32" t="n">
        <v>0</v>
      </c>
      <c r="O32" t="n">
        <v>11</v>
      </c>
      <c r="P32" t="n">
        <v>5</v>
      </c>
      <c r="Q32" t="n">
        <v>14</v>
      </c>
      <c r="R32" s="2" t="inlineStr">
        <is>
          <t>Ask
Sienamusseron
Gotlandsmåra
Läderdoftande fingersvamp
Mörkfjällig olivspindling
Axveronika
Backtimjan
Duvhök
Jordtistel
Svartfläckig blåvinge
Svinrot
Olivspindling
Skogsknipprot
Svavelriska</t>
        </is>
      </c>
      <c r="S32">
        <f>HYPERLINK("https://klasma.github.io/Logging_0980/artfynd/A 33728-2025 artfynd.xlsx", "A 33728-2025")</f>
        <v/>
      </c>
      <c r="T32">
        <f>HYPERLINK("https://klasma.github.io/Logging_0980/kartor/A 33728-2025 karta.png", "A 33728-2025")</f>
        <v/>
      </c>
      <c r="V32">
        <f>HYPERLINK("https://klasma.github.io/Logging_0980/klagomål/A 33728-2025 FSC-klagomål.docx", "A 33728-2025")</f>
        <v/>
      </c>
      <c r="W32">
        <f>HYPERLINK("https://klasma.github.io/Logging_0980/klagomålsmail/A 33728-2025 FSC-klagomål mail.docx", "A 33728-2025")</f>
        <v/>
      </c>
      <c r="X32">
        <f>HYPERLINK("https://klasma.github.io/Logging_0980/tillsyn/A 33728-2025 tillsynsbegäran.docx", "A 33728-2025")</f>
        <v/>
      </c>
      <c r="Y32">
        <f>HYPERLINK("https://klasma.github.io/Logging_0980/tillsynsmail/A 33728-2025 tillsynsbegäran mail.docx", "A 33728-2025")</f>
        <v/>
      </c>
      <c r="Z32">
        <f>HYPERLINK("https://klasma.github.io/Logging_0980/fåglar/A 33728-2025 prioriterade fågelarter.docx", "A 33728-2025")</f>
        <v/>
      </c>
    </row>
    <row r="33" ht="15" customHeight="1">
      <c r="A33" t="inlineStr">
        <is>
          <t>A 44204-2022</t>
        </is>
      </c>
      <c r="B33" s="1" t="n">
        <v>44839</v>
      </c>
      <c r="C33" s="1" t="n">
        <v>45931</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445-2023</t>
        </is>
      </c>
      <c r="B34" s="1" t="n">
        <v>44929</v>
      </c>
      <c r="C34" s="1" t="n">
        <v>45931</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2804-2023</t>
        </is>
      </c>
      <c r="B35" s="1" t="n">
        <v>44944</v>
      </c>
      <c r="C35" s="1" t="n">
        <v>45931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45931</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45931</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15850-2025</t>
        </is>
      </c>
      <c r="B38" s="1" t="n">
        <v>45748</v>
      </c>
      <c r="C38" s="1" t="n">
        <v>45931</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3324-2023</t>
        </is>
      </c>
      <c r="B39" s="1" t="n">
        <v>44949</v>
      </c>
      <c r="C39" s="1" t="n">
        <v>45931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30542-2025</t>
        </is>
      </c>
      <c r="B40" s="1" t="n">
        <v>45831</v>
      </c>
      <c r="C40" s="1" t="n">
        <v>45931</v>
      </c>
      <c r="D40" t="inlineStr">
        <is>
          <t>GOTLANDS LÄN</t>
        </is>
      </c>
      <c r="E40" t="inlineStr">
        <is>
          <t>GOTLAND</t>
        </is>
      </c>
      <c r="G40" t="n">
        <v>8.300000000000001</v>
      </c>
      <c r="H40" t="n">
        <v>5</v>
      </c>
      <c r="I40" t="n">
        <v>3</v>
      </c>
      <c r="J40" t="n">
        <v>6</v>
      </c>
      <c r="K40" t="n">
        <v>0</v>
      </c>
      <c r="L40" t="n">
        <v>1</v>
      </c>
      <c r="M40" t="n">
        <v>0</v>
      </c>
      <c r="N40" t="n">
        <v>0</v>
      </c>
      <c r="O40" t="n">
        <v>7</v>
      </c>
      <c r="P40" t="n">
        <v>1</v>
      </c>
      <c r="Q40" t="n">
        <v>12</v>
      </c>
      <c r="R40" s="2" t="inlineStr">
        <is>
          <t>Ask
Backtimjan
Dårgräsfjäril
Jordtistel
Solvända
Svinrot
Ängsstarr
Blåmossa
Skogsknipprot
Tvåblad
Brudsporre
Fläcknycklar</t>
        </is>
      </c>
      <c r="S40">
        <f>HYPERLINK("https://klasma.github.io/Logging_0980/artfynd/A 30542-2025 artfynd.xlsx", "A 30542-2025")</f>
        <v/>
      </c>
      <c r="T40">
        <f>HYPERLINK("https://klasma.github.io/Logging_0980/kartor/A 30542-2025 karta.png", "A 30542-2025")</f>
        <v/>
      </c>
      <c r="V40">
        <f>HYPERLINK("https://klasma.github.io/Logging_0980/klagomål/A 30542-2025 FSC-klagomål.docx", "A 30542-2025")</f>
        <v/>
      </c>
      <c r="W40">
        <f>HYPERLINK("https://klasma.github.io/Logging_0980/klagomålsmail/A 30542-2025 FSC-klagomål mail.docx", "A 30542-2025")</f>
        <v/>
      </c>
      <c r="X40">
        <f>HYPERLINK("https://klasma.github.io/Logging_0980/tillsyn/A 30542-2025 tillsynsbegäran.docx", "A 30542-2025")</f>
        <v/>
      </c>
      <c r="Y40">
        <f>HYPERLINK("https://klasma.github.io/Logging_0980/tillsynsmail/A 30542-2025 tillsynsbegäran mail.docx", "A 30542-2025")</f>
        <v/>
      </c>
    </row>
    <row r="41" ht="15" customHeight="1">
      <c r="A41" t="inlineStr">
        <is>
          <t>A 63872-2021</t>
        </is>
      </c>
      <c r="B41" s="1" t="n">
        <v>44509</v>
      </c>
      <c r="C41" s="1" t="n">
        <v>45931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45931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43201-2023</t>
        </is>
      </c>
      <c r="B43" s="1" t="n">
        <v>45183</v>
      </c>
      <c r="C43" s="1" t="n">
        <v>45931</v>
      </c>
      <c r="D43" t="inlineStr">
        <is>
          <t>GOTLANDS LÄN</t>
        </is>
      </c>
      <c r="E43" t="inlineStr">
        <is>
          <t>GOTLAND</t>
        </is>
      </c>
      <c r="G43" t="n">
        <v>5.6</v>
      </c>
      <c r="H43" t="n">
        <v>0</v>
      </c>
      <c r="I43" t="n">
        <v>4</v>
      </c>
      <c r="J43" t="n">
        <v>2</v>
      </c>
      <c r="K43" t="n">
        <v>3</v>
      </c>
      <c r="L43" t="n">
        <v>1</v>
      </c>
      <c r="M43" t="n">
        <v>1</v>
      </c>
      <c r="N43" t="n">
        <v>0</v>
      </c>
      <c r="O43" t="n">
        <v>7</v>
      </c>
      <c r="P43" t="n">
        <v>5</v>
      </c>
      <c r="Q43" t="n">
        <v>11</v>
      </c>
      <c r="R43" s="2" t="inlineStr">
        <is>
          <t>Mörk lundlav
Norsk belonia
Almlav
Blek kraterlav
Mörk kraterlav
Lunglav
Skuggorangelav
Lönnlav
Rostfläck
Slät lönnlav
Vitskivlav</t>
        </is>
      </c>
      <c r="S43">
        <f>HYPERLINK("https://klasma.github.io/Logging_0980/artfynd/A 43201-2023 artfynd.xlsx", "A 43201-2023")</f>
        <v/>
      </c>
      <c r="T43">
        <f>HYPERLINK("https://klasma.github.io/Logging_0980/kartor/A 43201-2023 karta.png", "A 43201-2023")</f>
        <v/>
      </c>
      <c r="V43">
        <f>HYPERLINK("https://klasma.github.io/Logging_0980/klagomål/A 43201-2023 FSC-klagomål.docx", "A 43201-2023")</f>
        <v/>
      </c>
      <c r="W43">
        <f>HYPERLINK("https://klasma.github.io/Logging_0980/klagomålsmail/A 43201-2023 FSC-klagomål mail.docx", "A 43201-2023")</f>
        <v/>
      </c>
      <c r="X43">
        <f>HYPERLINK("https://klasma.github.io/Logging_0980/tillsyn/A 43201-2023 tillsynsbegäran.docx", "A 43201-2023")</f>
        <v/>
      </c>
      <c r="Y43">
        <f>HYPERLINK("https://klasma.github.io/Logging_0980/tillsynsmail/A 43201-2023 tillsynsbegäran mail.docx", "A 43201-2023")</f>
        <v/>
      </c>
    </row>
    <row r="44" ht="15" customHeight="1">
      <c r="A44" t="inlineStr">
        <is>
          <t>A 11176-2024</t>
        </is>
      </c>
      <c r="B44" s="1" t="n">
        <v>45371</v>
      </c>
      <c r="C44" s="1" t="n">
        <v>45931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45931</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584-2023</t>
        </is>
      </c>
      <c r="B46" s="1" t="n">
        <v>44930</v>
      </c>
      <c r="C46" s="1" t="n">
        <v>45931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45931</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45931</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1719-2025</t>
        </is>
      </c>
      <c r="B49" s="1" t="n">
        <v>45671</v>
      </c>
      <c r="C49" s="1" t="n">
        <v>45931</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22404-2024</t>
        </is>
      </c>
      <c r="B50" s="1" t="n">
        <v>45446</v>
      </c>
      <c r="C50" s="1" t="n">
        <v>45931</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45931</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59132-2024</t>
        </is>
      </c>
      <c r="B52" s="1" t="n">
        <v>45637</v>
      </c>
      <c r="C52" s="1" t="n">
        <v>45931</v>
      </c>
      <c r="D52" t="inlineStr">
        <is>
          <t>GOTLANDS LÄN</t>
        </is>
      </c>
      <c r="E52" t="inlineStr">
        <is>
          <t>GOTLAND</t>
        </is>
      </c>
      <c r="G52" t="n">
        <v>3.5</v>
      </c>
      <c r="H52" t="n">
        <v>0</v>
      </c>
      <c r="I52" t="n">
        <v>1</v>
      </c>
      <c r="J52" t="n">
        <v>4</v>
      </c>
      <c r="K52" t="n">
        <v>3</v>
      </c>
      <c r="L52" t="n">
        <v>0</v>
      </c>
      <c r="M52" t="n">
        <v>0</v>
      </c>
      <c r="N52" t="n">
        <v>0</v>
      </c>
      <c r="O52" t="n">
        <v>8</v>
      </c>
      <c r="P52" t="n">
        <v>3</v>
      </c>
      <c r="Q52" t="n">
        <v>9</v>
      </c>
      <c r="R52" s="2" t="inlineStr">
        <is>
          <t>Almlav
Mörk kraterlav
Pälsticka
Korskovall
Slåtterfibbla
Solvända
Vippärt
Amphisphaeria umbrina
Underviol</t>
        </is>
      </c>
      <c r="S52">
        <f>HYPERLINK("https://klasma.github.io/Logging_0980/artfynd/A 59132-2024 artfynd.xlsx", "A 59132-2024")</f>
        <v/>
      </c>
      <c r="T52">
        <f>HYPERLINK("https://klasma.github.io/Logging_0980/kartor/A 59132-2024 karta.png", "A 59132-2024")</f>
        <v/>
      </c>
      <c r="V52">
        <f>HYPERLINK("https://klasma.github.io/Logging_0980/klagomål/A 59132-2024 FSC-klagomål.docx", "A 59132-2024")</f>
        <v/>
      </c>
      <c r="W52">
        <f>HYPERLINK("https://klasma.github.io/Logging_0980/klagomålsmail/A 59132-2024 FSC-klagomål mail.docx", "A 59132-2024")</f>
        <v/>
      </c>
      <c r="X52">
        <f>HYPERLINK("https://klasma.github.io/Logging_0980/tillsyn/A 59132-2024 tillsynsbegäran.docx", "A 59132-2024")</f>
        <v/>
      </c>
      <c r="Y52">
        <f>HYPERLINK("https://klasma.github.io/Logging_0980/tillsynsmail/A 59132-2024 tillsynsbegäran mail.docx", "A 59132-2024")</f>
        <v/>
      </c>
    </row>
    <row r="53" ht="15" customHeight="1">
      <c r="A53" t="inlineStr">
        <is>
          <t>A 39376-2023</t>
        </is>
      </c>
      <c r="B53" s="1" t="n">
        <v>45166</v>
      </c>
      <c r="C53" s="1" t="n">
        <v>45931</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1769-2022</t>
        </is>
      </c>
      <c r="B54" s="1" t="n">
        <v>44574</v>
      </c>
      <c r="C54" s="1" t="n">
        <v>45931</v>
      </c>
      <c r="D54" t="inlineStr">
        <is>
          <t>GOTLANDS LÄN</t>
        </is>
      </c>
      <c r="E54" t="inlineStr">
        <is>
          <t>GOTLAND</t>
        </is>
      </c>
      <c r="G54" t="n">
        <v>31.3</v>
      </c>
      <c r="H54" t="n">
        <v>5</v>
      </c>
      <c r="I54" t="n">
        <v>1</v>
      </c>
      <c r="J54" t="n">
        <v>3</v>
      </c>
      <c r="K54" t="n">
        <v>0</v>
      </c>
      <c r="L54" t="n">
        <v>0</v>
      </c>
      <c r="M54" t="n">
        <v>0</v>
      </c>
      <c r="N54" t="n">
        <v>0</v>
      </c>
      <c r="O54" t="n">
        <v>3</v>
      </c>
      <c r="P54" t="n">
        <v>0</v>
      </c>
      <c r="Q54" t="n">
        <v>8</v>
      </c>
      <c r="R54" s="2" t="inlineStr">
        <is>
          <t>Loppstarr
Majviva
Ängsstarr
Flugblomster
Brudsporre
Dactylorhiza incarnata subsp. incarnata
Grönvit nattviol
Kärrknipprot</t>
        </is>
      </c>
      <c r="S54">
        <f>HYPERLINK("https://klasma.github.io/Logging_0980/artfynd/A 1769-2022 artfynd.xlsx", "A 1769-2022")</f>
        <v/>
      </c>
      <c r="T54">
        <f>HYPERLINK("https://klasma.github.io/Logging_0980/kartor/A 1769-2022 karta.png", "A 1769-2022")</f>
        <v/>
      </c>
      <c r="V54">
        <f>HYPERLINK("https://klasma.github.io/Logging_0980/klagomål/A 1769-2022 FSC-klagomål.docx", "A 1769-2022")</f>
        <v/>
      </c>
      <c r="W54">
        <f>HYPERLINK("https://klasma.github.io/Logging_0980/klagomålsmail/A 1769-2022 FSC-klagomål mail.docx", "A 1769-2022")</f>
        <v/>
      </c>
      <c r="X54">
        <f>HYPERLINK("https://klasma.github.io/Logging_0980/tillsyn/A 1769-2022 tillsynsbegäran.docx", "A 1769-2022")</f>
        <v/>
      </c>
      <c r="Y54">
        <f>HYPERLINK("https://klasma.github.io/Logging_0980/tillsynsmail/A 1769-2022 tillsynsbegäran mail.docx", "A 1769-2022")</f>
        <v/>
      </c>
    </row>
    <row r="55" ht="15" customHeight="1">
      <c r="A55" t="inlineStr">
        <is>
          <t>A 2649-2023</t>
        </is>
      </c>
      <c r="B55" s="1" t="n">
        <v>44943</v>
      </c>
      <c r="C55" s="1" t="n">
        <v>45931</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45931</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21467-2024</t>
        </is>
      </c>
      <c r="B57" s="1" t="n">
        <v>45441</v>
      </c>
      <c r="C57" s="1" t="n">
        <v>45931</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27280-2023</t>
        </is>
      </c>
      <c r="B58" s="1" t="n">
        <v>45096</v>
      </c>
      <c r="C58" s="1" t="n">
        <v>45931</v>
      </c>
      <c r="D58" t="inlineStr">
        <is>
          <t>GOTLANDS LÄN</t>
        </is>
      </c>
      <c r="E58" t="inlineStr">
        <is>
          <t>GOTLAND</t>
        </is>
      </c>
      <c r="G58" t="n">
        <v>2.7</v>
      </c>
      <c r="H58" t="n">
        <v>7</v>
      </c>
      <c r="I58" t="n">
        <v>2</v>
      </c>
      <c r="J58" t="n">
        <v>1</v>
      </c>
      <c r="K58" t="n">
        <v>0</v>
      </c>
      <c r="L58" t="n">
        <v>0</v>
      </c>
      <c r="M58" t="n">
        <v>0</v>
      </c>
      <c r="N58" t="n">
        <v>0</v>
      </c>
      <c r="O58" t="n">
        <v>1</v>
      </c>
      <c r="P58" t="n">
        <v>0</v>
      </c>
      <c r="Q58" t="n">
        <v>7</v>
      </c>
      <c r="R58" s="2" t="inlineStr">
        <is>
          <t>Mindre hackspett
Skogsknipprot
Tvåblad
Brudsporre
Fläcknycklar
Grönvit nattviol
Nattviol</t>
        </is>
      </c>
      <c r="S58">
        <f>HYPERLINK("https://klasma.github.io/Logging_0980/artfynd/A 27280-2023 artfynd.xlsx", "A 27280-2023")</f>
        <v/>
      </c>
      <c r="T58">
        <f>HYPERLINK("https://klasma.github.io/Logging_0980/kartor/A 27280-2023 karta.png", "A 27280-2023")</f>
        <v/>
      </c>
      <c r="V58">
        <f>HYPERLINK("https://klasma.github.io/Logging_0980/klagomål/A 27280-2023 FSC-klagomål.docx", "A 27280-2023")</f>
        <v/>
      </c>
      <c r="W58">
        <f>HYPERLINK("https://klasma.github.io/Logging_0980/klagomålsmail/A 27280-2023 FSC-klagomål mail.docx", "A 27280-2023")</f>
        <v/>
      </c>
      <c r="X58">
        <f>HYPERLINK("https://klasma.github.io/Logging_0980/tillsyn/A 27280-2023 tillsynsbegäran.docx", "A 27280-2023")</f>
        <v/>
      </c>
      <c r="Y58">
        <f>HYPERLINK("https://klasma.github.io/Logging_0980/tillsynsmail/A 27280-2023 tillsynsbegäran mail.docx", "A 27280-2023")</f>
        <v/>
      </c>
      <c r="Z58">
        <f>HYPERLINK("https://klasma.github.io/Logging_0980/fåglar/A 27280-2023 prioriterade fågelarter.docx", "A 27280-2023")</f>
        <v/>
      </c>
    </row>
    <row r="59" ht="15" customHeight="1">
      <c r="A59" t="inlineStr">
        <is>
          <t>A 10419-2025</t>
        </is>
      </c>
      <c r="B59" s="1" t="n">
        <v>45720</v>
      </c>
      <c r="C59" s="1" t="n">
        <v>45931</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4984-2025</t>
        </is>
      </c>
      <c r="B60" s="1" t="n">
        <v>45691.29891203704</v>
      </c>
      <c r="C60" s="1" t="n">
        <v>45931</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45931</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45931</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6960-2025</t>
        </is>
      </c>
      <c r="B63" s="1" t="n">
        <v>45701.49409722222</v>
      </c>
      <c r="C63" s="1" t="n">
        <v>45931</v>
      </c>
      <c r="D63" t="inlineStr">
        <is>
          <t>GOTLANDS LÄN</t>
        </is>
      </c>
      <c r="E63" t="inlineStr">
        <is>
          <t>GOTLAND</t>
        </is>
      </c>
      <c r="G63" t="n">
        <v>4</v>
      </c>
      <c r="H63" t="n">
        <v>4</v>
      </c>
      <c r="I63" t="n">
        <v>1</v>
      </c>
      <c r="J63" t="n">
        <v>4</v>
      </c>
      <c r="K63" t="n">
        <v>0</v>
      </c>
      <c r="L63" t="n">
        <v>0</v>
      </c>
      <c r="M63" t="n">
        <v>0</v>
      </c>
      <c r="N63" t="n">
        <v>0</v>
      </c>
      <c r="O63" t="n">
        <v>4</v>
      </c>
      <c r="P63" t="n">
        <v>0</v>
      </c>
      <c r="Q63" t="n">
        <v>7</v>
      </c>
      <c r="R63" s="2" t="inlineStr">
        <is>
          <t>Majviva
Spillkråka
Svinrot
Ängsstarr
Skogsknipprot
Dactylorhiza incarnata subsp. incarnata
Nattviol</t>
        </is>
      </c>
      <c r="S63">
        <f>HYPERLINK("https://klasma.github.io/Logging_0980/artfynd/A 6960-2025 artfynd.xlsx", "A 6960-2025")</f>
        <v/>
      </c>
      <c r="T63">
        <f>HYPERLINK("https://klasma.github.io/Logging_0980/kartor/A 6960-2025 karta.png", "A 6960-2025")</f>
        <v/>
      </c>
      <c r="U63">
        <f>HYPERLINK("https://klasma.github.io/Logging_0980/knärot/A 6960-2025 karta knärot.png", "A 6960-2025")</f>
        <v/>
      </c>
      <c r="V63">
        <f>HYPERLINK("https://klasma.github.io/Logging_0980/klagomål/A 6960-2025 FSC-klagomål.docx", "A 6960-2025")</f>
        <v/>
      </c>
      <c r="W63">
        <f>HYPERLINK("https://klasma.github.io/Logging_0980/klagomålsmail/A 6960-2025 FSC-klagomål mail.docx", "A 6960-2025")</f>
        <v/>
      </c>
      <c r="X63">
        <f>HYPERLINK("https://klasma.github.io/Logging_0980/tillsyn/A 6960-2025 tillsynsbegäran.docx", "A 6960-2025")</f>
        <v/>
      </c>
      <c r="Y63">
        <f>HYPERLINK("https://klasma.github.io/Logging_0980/tillsynsmail/A 6960-2025 tillsynsbegäran mail.docx", "A 6960-2025")</f>
        <v/>
      </c>
      <c r="Z63">
        <f>HYPERLINK("https://klasma.github.io/Logging_0980/fåglar/A 6960-2025 prioriterade fågelarter.docx", "A 6960-2025")</f>
        <v/>
      </c>
    </row>
    <row r="64" ht="15" customHeight="1">
      <c r="A64" t="inlineStr">
        <is>
          <t>A 25205-2021</t>
        </is>
      </c>
      <c r="B64" s="1" t="n">
        <v>44342</v>
      </c>
      <c r="C64" s="1" t="n">
        <v>45931</v>
      </c>
      <c r="D64" t="inlineStr">
        <is>
          <t>GOTLANDS LÄN</t>
        </is>
      </c>
      <c r="E64" t="inlineStr">
        <is>
          <t>GOTLAND</t>
        </is>
      </c>
      <c r="G64" t="n">
        <v>2.8</v>
      </c>
      <c r="H64" t="n">
        <v>0</v>
      </c>
      <c r="I64" t="n">
        <v>4</v>
      </c>
      <c r="J64" t="n">
        <v>0</v>
      </c>
      <c r="K64" t="n">
        <v>1</v>
      </c>
      <c r="L64" t="n">
        <v>1</v>
      </c>
      <c r="M64" t="n">
        <v>0</v>
      </c>
      <c r="N64" t="n">
        <v>0</v>
      </c>
      <c r="O64" t="n">
        <v>2</v>
      </c>
      <c r="P64" t="n">
        <v>2</v>
      </c>
      <c r="Q64" t="n">
        <v>6</v>
      </c>
      <c r="R64" s="2" t="inlineStr">
        <is>
          <t>Ädellav
Mörk kraterlav
Hasselticka
Lönnlav
Rikfruktig blemlav
Slät lönnlav</t>
        </is>
      </c>
      <c r="S64">
        <f>HYPERLINK("https://klasma.github.io/Logging_0980/artfynd/A 25205-2021 artfynd.xlsx", "A 25205-2021")</f>
        <v/>
      </c>
      <c r="T64">
        <f>HYPERLINK("https://klasma.github.io/Logging_0980/kartor/A 25205-2021 karta.png", "A 25205-2021")</f>
        <v/>
      </c>
      <c r="V64">
        <f>HYPERLINK("https://klasma.github.io/Logging_0980/klagomål/A 25205-2021 FSC-klagomål.docx", "A 25205-2021")</f>
        <v/>
      </c>
      <c r="W64">
        <f>HYPERLINK("https://klasma.github.io/Logging_0980/klagomålsmail/A 25205-2021 FSC-klagomål mail.docx", "A 25205-2021")</f>
        <v/>
      </c>
      <c r="X64">
        <f>HYPERLINK("https://klasma.github.io/Logging_0980/tillsyn/A 25205-2021 tillsynsbegäran.docx", "A 25205-2021")</f>
        <v/>
      </c>
      <c r="Y64">
        <f>HYPERLINK("https://klasma.github.io/Logging_0980/tillsynsmail/A 25205-2021 tillsynsbegäran mail.docx", "A 25205-2021")</f>
        <v/>
      </c>
    </row>
    <row r="65" ht="15" customHeight="1">
      <c r="A65" t="inlineStr">
        <is>
          <t>A 54527-2023</t>
        </is>
      </c>
      <c r="B65" s="1" t="n">
        <v>45233</v>
      </c>
      <c r="C65" s="1" t="n">
        <v>45931</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54527-2023</t>
        </is>
      </c>
      <c r="B66" s="1" t="n">
        <v>45233</v>
      </c>
      <c r="C66" s="1" t="n">
        <v>45931</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2085-2023</t>
        </is>
      </c>
      <c r="B67" s="1" t="n">
        <v>44939</v>
      </c>
      <c r="C67" s="1" t="n">
        <v>45931</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65819-2020</t>
        </is>
      </c>
      <c r="B68" s="1" t="n">
        <v>44174</v>
      </c>
      <c r="C68" s="1" t="n">
        <v>45931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7038-2023</t>
        </is>
      </c>
      <c r="B69" s="1" t="n">
        <v>44968</v>
      </c>
      <c r="C69" s="1" t="n">
        <v>45931</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16823-2024</t>
        </is>
      </c>
      <c r="B70" s="1" t="n">
        <v>45411</v>
      </c>
      <c r="C70" s="1" t="n">
        <v>45931</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446-2023</t>
        </is>
      </c>
      <c r="B71" s="1" t="n">
        <v>44929</v>
      </c>
      <c r="C71" s="1" t="n">
        <v>45931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66091-2021</t>
        </is>
      </c>
      <c r="B72" s="1" t="n">
        <v>44517</v>
      </c>
      <c r="C72" s="1" t="n">
        <v>45931</v>
      </c>
      <c r="D72" t="inlineStr">
        <is>
          <t>GOTLANDS LÄN</t>
        </is>
      </c>
      <c r="E72" t="inlineStr">
        <is>
          <t>GOTLAND</t>
        </is>
      </c>
      <c r="G72" t="n">
        <v>11.7</v>
      </c>
      <c r="H72" t="n">
        <v>2</v>
      </c>
      <c r="I72" t="n">
        <v>0</v>
      </c>
      <c r="J72" t="n">
        <v>3</v>
      </c>
      <c r="K72" t="n">
        <v>0</v>
      </c>
      <c r="L72" t="n">
        <v>0</v>
      </c>
      <c r="M72" t="n">
        <v>0</v>
      </c>
      <c r="N72" t="n">
        <v>0</v>
      </c>
      <c r="O72" t="n">
        <v>3</v>
      </c>
      <c r="P72" t="n">
        <v>0</v>
      </c>
      <c r="Q72" t="n">
        <v>5</v>
      </c>
      <c r="R72" s="2" t="inlineStr">
        <is>
          <t>Axveronika
Solvända
Säfferot
Pärluggla
Salepsrot</t>
        </is>
      </c>
      <c r="S72">
        <f>HYPERLINK("https://klasma.github.io/Logging_0980/artfynd/A 66091-2021 artfynd.xlsx", "A 66091-2021")</f>
        <v/>
      </c>
      <c r="T72">
        <f>HYPERLINK("https://klasma.github.io/Logging_0980/kartor/A 66091-2021 karta.png", "A 66091-2021")</f>
        <v/>
      </c>
      <c r="V72">
        <f>HYPERLINK("https://klasma.github.io/Logging_0980/klagomål/A 66091-2021 FSC-klagomål.docx", "A 66091-2021")</f>
        <v/>
      </c>
      <c r="W72">
        <f>HYPERLINK("https://klasma.github.io/Logging_0980/klagomålsmail/A 66091-2021 FSC-klagomål mail.docx", "A 66091-2021")</f>
        <v/>
      </c>
      <c r="X72">
        <f>HYPERLINK("https://klasma.github.io/Logging_0980/tillsyn/A 66091-2021 tillsynsbegäran.docx", "A 66091-2021")</f>
        <v/>
      </c>
      <c r="Y72">
        <f>HYPERLINK("https://klasma.github.io/Logging_0980/tillsynsmail/A 66091-2021 tillsynsbegäran mail.docx", "A 66091-2021")</f>
        <v/>
      </c>
      <c r="Z72">
        <f>HYPERLINK("https://klasma.github.io/Logging_0980/fåglar/A 66091-2021 prioriterade fågelarter.docx", "A 66091-2021")</f>
        <v/>
      </c>
    </row>
    <row r="73" ht="15" customHeight="1">
      <c r="A73" t="inlineStr">
        <is>
          <t>A 2213-2023</t>
        </is>
      </c>
      <c r="B73" s="1" t="n">
        <v>44942</v>
      </c>
      <c r="C73" s="1" t="n">
        <v>45931</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32326-2024</t>
        </is>
      </c>
      <c r="B74" s="1" t="n">
        <v>45512</v>
      </c>
      <c r="C74" s="1" t="n">
        <v>45931</v>
      </c>
      <c r="D74" t="inlineStr">
        <is>
          <t>GOTLANDS LÄN</t>
        </is>
      </c>
      <c r="E74" t="inlineStr">
        <is>
          <t>GOTLAND</t>
        </is>
      </c>
      <c r="G74" t="n">
        <v>9.199999999999999</v>
      </c>
      <c r="H74" t="n">
        <v>3</v>
      </c>
      <c r="I74" t="n">
        <v>2</v>
      </c>
      <c r="J74" t="n">
        <v>2</v>
      </c>
      <c r="K74" t="n">
        <v>0</v>
      </c>
      <c r="L74" t="n">
        <v>0</v>
      </c>
      <c r="M74" t="n">
        <v>0</v>
      </c>
      <c r="N74" t="n">
        <v>0</v>
      </c>
      <c r="O74" t="n">
        <v>2</v>
      </c>
      <c r="P74" t="n">
        <v>0</v>
      </c>
      <c r="Q74" t="n">
        <v>5</v>
      </c>
      <c r="R74" s="2" t="inlineStr">
        <is>
          <t>Jordtistel
Svinrot
Purpurknipprot
Skogsknipprot
Brudsporre</t>
        </is>
      </c>
      <c r="S74">
        <f>HYPERLINK("https://klasma.github.io/Logging_0980/artfynd/A 32326-2024 artfynd.xlsx", "A 32326-2024")</f>
        <v/>
      </c>
      <c r="T74">
        <f>HYPERLINK("https://klasma.github.io/Logging_0980/kartor/A 32326-2024 karta.png", "A 32326-2024")</f>
        <v/>
      </c>
      <c r="V74">
        <f>HYPERLINK("https://klasma.github.io/Logging_0980/klagomål/A 32326-2024 FSC-klagomål.docx", "A 32326-2024")</f>
        <v/>
      </c>
      <c r="W74">
        <f>HYPERLINK("https://klasma.github.io/Logging_0980/klagomålsmail/A 32326-2024 FSC-klagomål mail.docx", "A 32326-2024")</f>
        <v/>
      </c>
      <c r="X74">
        <f>HYPERLINK("https://klasma.github.io/Logging_0980/tillsyn/A 32326-2024 tillsynsbegäran.docx", "A 32326-2024")</f>
        <v/>
      </c>
      <c r="Y74">
        <f>HYPERLINK("https://klasma.github.io/Logging_0980/tillsynsmail/A 32326-2024 tillsynsbegäran mail.docx", "A 32326-2024")</f>
        <v/>
      </c>
    </row>
    <row r="75" ht="15" customHeight="1">
      <c r="A75" t="inlineStr">
        <is>
          <t>A 39425-2023</t>
        </is>
      </c>
      <c r="B75" s="1" t="n">
        <v>45166</v>
      </c>
      <c r="C75" s="1" t="n">
        <v>45931</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54055-2022</t>
        </is>
      </c>
      <c r="B76" s="1" t="n">
        <v>44881</v>
      </c>
      <c r="C76" s="1" t="n">
        <v>45931</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42936-2024</t>
        </is>
      </c>
      <c r="B77" s="1" t="n">
        <v>45567</v>
      </c>
      <c r="C77" s="1" t="n">
        <v>45931</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16375-2025</t>
        </is>
      </c>
      <c r="B78" s="1" t="n">
        <v>45751.41064814815</v>
      </c>
      <c r="C78" s="1" t="n">
        <v>45931</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45931</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44944-2022</t>
        </is>
      </c>
      <c r="B80" s="1" t="n">
        <v>44841</v>
      </c>
      <c r="C80" s="1" t="n">
        <v>45931</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29331-2021</t>
        </is>
      </c>
      <c r="B81" s="1" t="n">
        <v>44361</v>
      </c>
      <c r="C81" s="1" t="n">
        <v>45931</v>
      </c>
      <c r="D81" t="inlineStr">
        <is>
          <t>GOTLANDS LÄN</t>
        </is>
      </c>
      <c r="E81" t="inlineStr">
        <is>
          <t>GOTLAND</t>
        </is>
      </c>
      <c r="G81" t="n">
        <v>3.7</v>
      </c>
      <c r="H81" t="n">
        <v>1</v>
      </c>
      <c r="I81" t="n">
        <v>4</v>
      </c>
      <c r="J81" t="n">
        <v>0</v>
      </c>
      <c r="K81" t="n">
        <v>0</v>
      </c>
      <c r="L81" t="n">
        <v>0</v>
      </c>
      <c r="M81" t="n">
        <v>0</v>
      </c>
      <c r="N81" t="n">
        <v>0</v>
      </c>
      <c r="O81" t="n">
        <v>0</v>
      </c>
      <c r="P81" t="n">
        <v>0</v>
      </c>
      <c r="Q81" t="n">
        <v>4</v>
      </c>
      <c r="R81" s="2" t="inlineStr">
        <is>
          <t>Blåmossa
Granbarkgnagare
Kattfotslav
Tvåblad</t>
        </is>
      </c>
      <c r="S81">
        <f>HYPERLINK("https://klasma.github.io/Logging_0980/artfynd/A 29331-2021 artfynd.xlsx", "A 29331-2021")</f>
        <v/>
      </c>
      <c r="T81">
        <f>HYPERLINK("https://klasma.github.io/Logging_0980/kartor/A 29331-2021 karta.png", "A 29331-2021")</f>
        <v/>
      </c>
      <c r="V81">
        <f>HYPERLINK("https://klasma.github.io/Logging_0980/klagomål/A 29331-2021 FSC-klagomål.docx", "A 29331-2021")</f>
        <v/>
      </c>
      <c r="W81">
        <f>HYPERLINK("https://klasma.github.io/Logging_0980/klagomålsmail/A 29331-2021 FSC-klagomål mail.docx", "A 29331-2021")</f>
        <v/>
      </c>
      <c r="X81">
        <f>HYPERLINK("https://klasma.github.io/Logging_0980/tillsyn/A 29331-2021 tillsynsbegäran.docx", "A 29331-2021")</f>
        <v/>
      </c>
      <c r="Y81">
        <f>HYPERLINK("https://klasma.github.io/Logging_0980/tillsynsmail/A 29331-2021 tillsynsbegäran mail.docx", "A 29331-2021")</f>
        <v/>
      </c>
    </row>
    <row r="82" ht="15" customHeight="1">
      <c r="A82" t="inlineStr">
        <is>
          <t>A 8265-2023</t>
        </is>
      </c>
      <c r="B82" s="1" t="n">
        <v>44974</v>
      </c>
      <c r="C82" s="1" t="n">
        <v>45931</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186-2023</t>
        </is>
      </c>
      <c r="B83" s="1" t="n">
        <v>44928</v>
      </c>
      <c r="C83" s="1" t="n">
        <v>45931</v>
      </c>
      <c r="D83" t="inlineStr">
        <is>
          <t>GOTLANDS LÄN</t>
        </is>
      </c>
      <c r="E83" t="inlineStr">
        <is>
          <t>GOTLAND</t>
        </is>
      </c>
      <c r="G83" t="n">
        <v>2.2</v>
      </c>
      <c r="H83" t="n">
        <v>2</v>
      </c>
      <c r="I83" t="n">
        <v>2</v>
      </c>
      <c r="J83" t="n">
        <v>0</v>
      </c>
      <c r="K83" t="n">
        <v>2</v>
      </c>
      <c r="L83" t="n">
        <v>0</v>
      </c>
      <c r="M83" t="n">
        <v>0</v>
      </c>
      <c r="N83" t="n">
        <v>0</v>
      </c>
      <c r="O83" t="n">
        <v>2</v>
      </c>
      <c r="P83" t="n">
        <v>2</v>
      </c>
      <c r="Q83" t="n">
        <v>4</v>
      </c>
      <c r="R83" s="2" t="inlineStr">
        <is>
          <t>Svartgrön spindling
Vit taggsvamp
Nästrot
Skogsknipprot</t>
        </is>
      </c>
      <c r="S83">
        <f>HYPERLINK("https://klasma.github.io/Logging_0980/artfynd/A 186-2023 artfynd.xlsx", "A 186-2023")</f>
        <v/>
      </c>
      <c r="T83">
        <f>HYPERLINK("https://klasma.github.io/Logging_0980/kartor/A 186-2023 karta.png", "A 186-2023")</f>
        <v/>
      </c>
      <c r="V83">
        <f>HYPERLINK("https://klasma.github.io/Logging_0980/klagomål/A 186-2023 FSC-klagomål.docx", "A 186-2023")</f>
        <v/>
      </c>
      <c r="W83">
        <f>HYPERLINK("https://klasma.github.io/Logging_0980/klagomålsmail/A 186-2023 FSC-klagomål mail.docx", "A 186-2023")</f>
        <v/>
      </c>
      <c r="X83">
        <f>HYPERLINK("https://klasma.github.io/Logging_0980/tillsyn/A 186-2023 tillsynsbegäran.docx", "A 186-2023")</f>
        <v/>
      </c>
      <c r="Y83">
        <f>HYPERLINK("https://klasma.github.io/Logging_0980/tillsynsmail/A 186-2023 tillsynsbegäran mail.docx", "A 186-2023")</f>
        <v/>
      </c>
    </row>
    <row r="84" ht="15" customHeight="1">
      <c r="A84" t="inlineStr">
        <is>
          <t>A 56717-2024</t>
        </is>
      </c>
      <c r="B84" s="1" t="n">
        <v>45628.3166550926</v>
      </c>
      <c r="C84" s="1" t="n">
        <v>45931</v>
      </c>
      <c r="D84" t="inlineStr">
        <is>
          <t>GOTLANDS LÄN</t>
        </is>
      </c>
      <c r="E84" t="inlineStr">
        <is>
          <t>GOTLAND</t>
        </is>
      </c>
      <c r="G84" t="n">
        <v>9.699999999999999</v>
      </c>
      <c r="H84" t="n">
        <v>0</v>
      </c>
      <c r="I84" t="n">
        <v>2</v>
      </c>
      <c r="J84" t="n">
        <v>2</v>
      </c>
      <c r="K84" t="n">
        <v>0</v>
      </c>
      <c r="L84" t="n">
        <v>0</v>
      </c>
      <c r="M84" t="n">
        <v>0</v>
      </c>
      <c r="N84" t="n">
        <v>0</v>
      </c>
      <c r="O84" t="n">
        <v>2</v>
      </c>
      <c r="P84" t="n">
        <v>0</v>
      </c>
      <c r="Q84" t="n">
        <v>4</v>
      </c>
      <c r="R84" s="2" t="inlineStr">
        <is>
          <t>Ekvaxskivling
Odörspindling
Fjällig taggsvamp s.str.
Kattfotslav</t>
        </is>
      </c>
      <c r="S84">
        <f>HYPERLINK("https://klasma.github.io/Logging_0980/artfynd/A 56717-2024 artfynd.xlsx", "A 56717-2024")</f>
        <v/>
      </c>
      <c r="T84">
        <f>HYPERLINK("https://klasma.github.io/Logging_0980/kartor/A 56717-2024 karta.png", "A 56717-2024")</f>
        <v/>
      </c>
      <c r="V84">
        <f>HYPERLINK("https://klasma.github.io/Logging_0980/klagomål/A 56717-2024 FSC-klagomål.docx", "A 56717-2024")</f>
        <v/>
      </c>
      <c r="W84">
        <f>HYPERLINK("https://klasma.github.io/Logging_0980/klagomålsmail/A 56717-2024 FSC-klagomål mail.docx", "A 56717-2024")</f>
        <v/>
      </c>
      <c r="X84">
        <f>HYPERLINK("https://klasma.github.io/Logging_0980/tillsyn/A 56717-2024 tillsynsbegäran.docx", "A 56717-2024")</f>
        <v/>
      </c>
      <c r="Y84">
        <f>HYPERLINK("https://klasma.github.io/Logging_0980/tillsynsmail/A 56717-2024 tillsynsbegäran mail.docx", "A 56717-2024")</f>
        <v/>
      </c>
    </row>
    <row r="85" ht="15" customHeight="1">
      <c r="A85" t="inlineStr">
        <is>
          <t>A 54523-2023</t>
        </is>
      </c>
      <c r="B85" s="1" t="n">
        <v>45233</v>
      </c>
      <c r="C85" s="1" t="n">
        <v>45931</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6159-2023</t>
        </is>
      </c>
      <c r="B86" s="1" t="n">
        <v>44964</v>
      </c>
      <c r="C86" s="1" t="n">
        <v>45931</v>
      </c>
      <c r="D86" t="inlineStr">
        <is>
          <t>GOTLANDS LÄN</t>
        </is>
      </c>
      <c r="E86" t="inlineStr">
        <is>
          <t>GOTLAND</t>
        </is>
      </c>
      <c r="G86" t="n">
        <v>2</v>
      </c>
      <c r="H86" t="n">
        <v>0</v>
      </c>
      <c r="I86" t="n">
        <v>2</v>
      </c>
      <c r="J86" t="n">
        <v>2</v>
      </c>
      <c r="K86" t="n">
        <v>0</v>
      </c>
      <c r="L86" t="n">
        <v>0</v>
      </c>
      <c r="M86" t="n">
        <v>0</v>
      </c>
      <c r="N86" t="n">
        <v>0</v>
      </c>
      <c r="O86" t="n">
        <v>2</v>
      </c>
      <c r="P86" t="n">
        <v>0</v>
      </c>
      <c r="Q86" t="n">
        <v>4</v>
      </c>
      <c r="R86" s="2" t="inlineStr">
        <is>
          <t>Dofttaggsvamp
Odörspindling
Anisspindling
Olivspindling</t>
        </is>
      </c>
      <c r="S86">
        <f>HYPERLINK("https://klasma.github.io/Logging_0980/artfynd/A 6159-2023 artfynd.xlsx", "A 6159-2023")</f>
        <v/>
      </c>
      <c r="T86">
        <f>HYPERLINK("https://klasma.github.io/Logging_0980/kartor/A 6159-2023 karta.png", "A 6159-2023")</f>
        <v/>
      </c>
      <c r="V86">
        <f>HYPERLINK("https://klasma.github.io/Logging_0980/klagomål/A 6159-2023 FSC-klagomål.docx", "A 6159-2023")</f>
        <v/>
      </c>
      <c r="W86">
        <f>HYPERLINK("https://klasma.github.io/Logging_0980/klagomålsmail/A 6159-2023 FSC-klagomål mail.docx", "A 6159-2023")</f>
        <v/>
      </c>
      <c r="X86">
        <f>HYPERLINK("https://klasma.github.io/Logging_0980/tillsyn/A 6159-2023 tillsynsbegäran.docx", "A 6159-2023")</f>
        <v/>
      </c>
      <c r="Y86">
        <f>HYPERLINK("https://klasma.github.io/Logging_0980/tillsynsmail/A 6159-2023 tillsynsbegäran mail.docx", "A 6159-2023")</f>
        <v/>
      </c>
    </row>
    <row r="87" ht="15" customHeight="1">
      <c r="A87" t="inlineStr">
        <is>
          <t>A 44933-2022</t>
        </is>
      </c>
      <c r="B87" s="1" t="n">
        <v>44841</v>
      </c>
      <c r="C87" s="1" t="n">
        <v>45931</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5904-2024</t>
        </is>
      </c>
      <c r="B88" s="1" t="n">
        <v>45335</v>
      </c>
      <c r="C88" s="1" t="n">
        <v>45931</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43197-2023</t>
        </is>
      </c>
      <c r="B89" s="1" t="n">
        <v>45183</v>
      </c>
      <c r="C89" s="1" t="n">
        <v>45931</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45931</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2485-2025</t>
        </is>
      </c>
      <c r="B91" s="1" t="n">
        <v>45673</v>
      </c>
      <c r="C91" s="1" t="n">
        <v>45931</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64378-2020</t>
        </is>
      </c>
      <c r="B92" s="1" t="n">
        <v>44168</v>
      </c>
      <c r="C92" s="1" t="n">
        <v>45931</v>
      </c>
      <c r="D92" t="inlineStr">
        <is>
          <t>GOTLANDS LÄN</t>
        </is>
      </c>
      <c r="E92" t="inlineStr">
        <is>
          <t>GOTLAND</t>
        </is>
      </c>
      <c r="G92" t="n">
        <v>2.1</v>
      </c>
      <c r="H92" t="n">
        <v>0</v>
      </c>
      <c r="I92" t="n">
        <v>1</v>
      </c>
      <c r="J92" t="n">
        <v>0</v>
      </c>
      <c r="K92" t="n">
        <v>2</v>
      </c>
      <c r="L92" t="n">
        <v>1</v>
      </c>
      <c r="M92" t="n">
        <v>0</v>
      </c>
      <c r="N92" t="n">
        <v>0</v>
      </c>
      <c r="O92" t="n">
        <v>3</v>
      </c>
      <c r="P92" t="n">
        <v>3</v>
      </c>
      <c r="Q92" t="n">
        <v>4</v>
      </c>
      <c r="R92" s="2" t="inlineStr">
        <is>
          <t>Sienamusseron
Bitter taggsvamp
Duvspindling
Fjällig taggsvamp s.str.</t>
        </is>
      </c>
      <c r="S92">
        <f>HYPERLINK("https://klasma.github.io/Logging_0980/artfynd/A 64378-2020 artfynd.xlsx", "A 64378-2020")</f>
        <v/>
      </c>
      <c r="T92">
        <f>HYPERLINK("https://klasma.github.io/Logging_0980/kartor/A 64378-2020 karta.png", "A 64378-2020")</f>
        <v/>
      </c>
      <c r="V92">
        <f>HYPERLINK("https://klasma.github.io/Logging_0980/klagomål/A 64378-2020 FSC-klagomål.docx", "A 64378-2020")</f>
        <v/>
      </c>
      <c r="W92">
        <f>HYPERLINK("https://klasma.github.io/Logging_0980/klagomålsmail/A 64378-2020 FSC-klagomål mail.docx", "A 64378-2020")</f>
        <v/>
      </c>
      <c r="X92">
        <f>HYPERLINK("https://klasma.github.io/Logging_0980/tillsyn/A 64378-2020 tillsynsbegäran.docx", "A 64378-2020")</f>
        <v/>
      </c>
      <c r="Y92">
        <f>HYPERLINK("https://klasma.github.io/Logging_0980/tillsynsmail/A 64378-2020 tillsynsbegäran mail.docx", "A 64378-2020")</f>
        <v/>
      </c>
    </row>
    <row r="93" ht="15" customHeight="1">
      <c r="A93" t="inlineStr">
        <is>
          <t>A 40099-2025</t>
        </is>
      </c>
      <c r="B93" s="1" t="n">
        <v>45894.48462962963</v>
      </c>
      <c r="C93" s="1" t="n">
        <v>45931</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45931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55029-2020</t>
        </is>
      </c>
      <c r="B95" s="1" t="n">
        <v>44130</v>
      </c>
      <c r="C95" s="1" t="n">
        <v>45931</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65537-2020</t>
        </is>
      </c>
      <c r="B96" s="1" t="n">
        <v>44173</v>
      </c>
      <c r="C96" s="1" t="n">
        <v>45931</v>
      </c>
      <c r="D96" t="inlineStr">
        <is>
          <t>GOTLANDS LÄN</t>
        </is>
      </c>
      <c r="E96" t="inlineStr">
        <is>
          <t>GOTLAND</t>
        </is>
      </c>
      <c r="G96" t="n">
        <v>1.6</v>
      </c>
      <c r="H96" t="n">
        <v>0</v>
      </c>
      <c r="I96" t="n">
        <v>0</v>
      </c>
      <c r="J96" t="n">
        <v>3</v>
      </c>
      <c r="K96" t="n">
        <v>0</v>
      </c>
      <c r="L96" t="n">
        <v>0</v>
      </c>
      <c r="M96" t="n">
        <v>0</v>
      </c>
      <c r="N96" t="n">
        <v>0</v>
      </c>
      <c r="O96" t="n">
        <v>3</v>
      </c>
      <c r="P96" t="n">
        <v>0</v>
      </c>
      <c r="Q96" t="n">
        <v>3</v>
      </c>
      <c r="R96" s="2" t="inlineStr">
        <is>
          <t>Axveronika
Backtimjan
Solvända</t>
        </is>
      </c>
      <c r="S96">
        <f>HYPERLINK("https://klasma.github.io/Logging_0980/artfynd/A 65537-2020 artfynd.xlsx", "A 65537-2020")</f>
        <v/>
      </c>
      <c r="T96">
        <f>HYPERLINK("https://klasma.github.io/Logging_0980/kartor/A 65537-2020 karta.png", "A 65537-2020")</f>
        <v/>
      </c>
      <c r="V96">
        <f>HYPERLINK("https://klasma.github.io/Logging_0980/klagomål/A 65537-2020 FSC-klagomål.docx", "A 65537-2020")</f>
        <v/>
      </c>
      <c r="W96">
        <f>HYPERLINK("https://klasma.github.io/Logging_0980/klagomålsmail/A 65537-2020 FSC-klagomål mail.docx", "A 65537-2020")</f>
        <v/>
      </c>
      <c r="X96">
        <f>HYPERLINK("https://klasma.github.io/Logging_0980/tillsyn/A 65537-2020 tillsynsbegäran.docx", "A 65537-2020")</f>
        <v/>
      </c>
      <c r="Y96">
        <f>HYPERLINK("https://klasma.github.io/Logging_0980/tillsynsmail/A 65537-2020 tillsynsbegäran mail.docx", "A 65537-2020")</f>
        <v/>
      </c>
    </row>
    <row r="97" ht="15" customHeight="1">
      <c r="A97" t="inlineStr">
        <is>
          <t>A 44323-2021</t>
        </is>
      </c>
      <c r="B97" s="1" t="n">
        <v>44434</v>
      </c>
      <c r="C97" s="1" t="n">
        <v>45931</v>
      </c>
      <c r="D97" t="inlineStr">
        <is>
          <t>GOTLANDS LÄN</t>
        </is>
      </c>
      <c r="E97" t="inlineStr">
        <is>
          <t>GOTLAND</t>
        </is>
      </c>
      <c r="G97" t="n">
        <v>7.5</v>
      </c>
      <c r="H97" t="n">
        <v>1</v>
      </c>
      <c r="I97" t="n">
        <v>3</v>
      </c>
      <c r="J97" t="n">
        <v>0</v>
      </c>
      <c r="K97" t="n">
        <v>0</v>
      </c>
      <c r="L97" t="n">
        <v>0</v>
      </c>
      <c r="M97" t="n">
        <v>0</v>
      </c>
      <c r="N97" t="n">
        <v>0</v>
      </c>
      <c r="O97" t="n">
        <v>0</v>
      </c>
      <c r="P97" t="n">
        <v>0</v>
      </c>
      <c r="Q97" t="n">
        <v>3</v>
      </c>
      <c r="R97" s="2" t="inlineStr">
        <is>
          <t>Anisspindling
Barrfagerspindling
Skogsknipprot</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32666-2021</t>
        </is>
      </c>
      <c r="B98" s="1" t="n">
        <v>44375</v>
      </c>
      <c r="C98" s="1" t="n">
        <v>45931</v>
      </c>
      <c r="D98" t="inlineStr">
        <is>
          <t>GOTLANDS LÄN</t>
        </is>
      </c>
      <c r="E98" t="inlineStr">
        <is>
          <t>GOTLAND</t>
        </is>
      </c>
      <c r="G98" t="n">
        <v>0.9</v>
      </c>
      <c r="H98" t="n">
        <v>1</v>
      </c>
      <c r="I98" t="n">
        <v>2</v>
      </c>
      <c r="J98" t="n">
        <v>0</v>
      </c>
      <c r="K98" t="n">
        <v>1</v>
      </c>
      <c r="L98" t="n">
        <v>0</v>
      </c>
      <c r="M98" t="n">
        <v>0</v>
      </c>
      <c r="N98" t="n">
        <v>0</v>
      </c>
      <c r="O98" t="n">
        <v>1</v>
      </c>
      <c r="P98" t="n">
        <v>1</v>
      </c>
      <c r="Q98" t="n">
        <v>3</v>
      </c>
      <c r="R98" s="2" t="inlineStr">
        <is>
          <t>Skogskorn
Myskmadra
Vit skogslilja</t>
        </is>
      </c>
      <c r="S98">
        <f>HYPERLINK("https://klasma.github.io/Logging_0980/artfynd/A 32666-2021 artfynd.xlsx", "A 32666-2021")</f>
        <v/>
      </c>
      <c r="T98">
        <f>HYPERLINK("https://klasma.github.io/Logging_0980/kartor/A 32666-2021 karta.png", "A 32666-2021")</f>
        <v/>
      </c>
      <c r="V98">
        <f>HYPERLINK("https://klasma.github.io/Logging_0980/klagomål/A 32666-2021 FSC-klagomål.docx", "A 32666-2021")</f>
        <v/>
      </c>
      <c r="W98">
        <f>HYPERLINK("https://klasma.github.io/Logging_0980/klagomålsmail/A 32666-2021 FSC-klagomål mail.docx", "A 32666-2021")</f>
        <v/>
      </c>
      <c r="X98">
        <f>HYPERLINK("https://klasma.github.io/Logging_0980/tillsyn/A 32666-2021 tillsynsbegäran.docx", "A 32666-2021")</f>
        <v/>
      </c>
      <c r="Y98">
        <f>HYPERLINK("https://klasma.github.io/Logging_0980/tillsynsmail/A 32666-2021 tillsynsbegäran mail.docx", "A 32666-2021")</f>
        <v/>
      </c>
    </row>
    <row r="99" ht="15" customHeight="1">
      <c r="A99" t="inlineStr">
        <is>
          <t>A 12519-2021</t>
        </is>
      </c>
      <c r="B99" s="1" t="n">
        <v>44269</v>
      </c>
      <c r="C99" s="1" t="n">
        <v>45931</v>
      </c>
      <c r="D99" t="inlineStr">
        <is>
          <t>GOTLANDS LÄN</t>
        </is>
      </c>
      <c r="E99" t="inlineStr">
        <is>
          <t>GOTLAND</t>
        </is>
      </c>
      <c r="F99" t="inlineStr">
        <is>
          <t>Kyrkan</t>
        </is>
      </c>
      <c r="G99" t="n">
        <v>3.4</v>
      </c>
      <c r="H99" t="n">
        <v>0</v>
      </c>
      <c r="I99" t="n">
        <v>2</v>
      </c>
      <c r="J99" t="n">
        <v>1</v>
      </c>
      <c r="K99" t="n">
        <v>0</v>
      </c>
      <c r="L99" t="n">
        <v>0</v>
      </c>
      <c r="M99" t="n">
        <v>0</v>
      </c>
      <c r="N99" t="n">
        <v>0</v>
      </c>
      <c r="O99" t="n">
        <v>1</v>
      </c>
      <c r="P99" t="n">
        <v>0</v>
      </c>
      <c r="Q99" t="n">
        <v>3</v>
      </c>
      <c r="R99" s="2" t="inlineStr">
        <is>
          <t>Loppstarr
Rödgul trumpetsvamp
Vågbandad barkbock</t>
        </is>
      </c>
      <c r="S99">
        <f>HYPERLINK("https://klasma.github.io/Logging_0980/artfynd/A 12519-2021 artfynd.xlsx", "A 12519-2021")</f>
        <v/>
      </c>
      <c r="T99">
        <f>HYPERLINK("https://klasma.github.io/Logging_0980/kartor/A 12519-2021 karta.png", "A 12519-2021")</f>
        <v/>
      </c>
      <c r="V99">
        <f>HYPERLINK("https://klasma.github.io/Logging_0980/klagomål/A 12519-2021 FSC-klagomål.docx", "A 12519-2021")</f>
        <v/>
      </c>
      <c r="W99">
        <f>HYPERLINK("https://klasma.github.io/Logging_0980/klagomålsmail/A 12519-2021 FSC-klagomål mail.docx", "A 12519-2021")</f>
        <v/>
      </c>
      <c r="X99">
        <f>HYPERLINK("https://klasma.github.io/Logging_0980/tillsyn/A 12519-2021 tillsynsbegäran.docx", "A 12519-2021")</f>
        <v/>
      </c>
      <c r="Y99">
        <f>HYPERLINK("https://klasma.github.io/Logging_0980/tillsynsmail/A 12519-2021 tillsynsbegäran mail.docx", "A 12519-2021")</f>
        <v/>
      </c>
    </row>
    <row r="100" ht="15" customHeight="1">
      <c r="A100" t="inlineStr">
        <is>
          <t>A 32718-2021</t>
        </is>
      </c>
      <c r="B100" s="1" t="n">
        <v>44375</v>
      </c>
      <c r="C100" s="1" t="n">
        <v>45931</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2332-2021</t>
        </is>
      </c>
      <c r="B101" s="1" t="n">
        <v>44214</v>
      </c>
      <c r="C101" s="1" t="n">
        <v>45931</v>
      </c>
      <c r="D101" t="inlineStr">
        <is>
          <t>GOTLANDS LÄN</t>
        </is>
      </c>
      <c r="E101" t="inlineStr">
        <is>
          <t>GOTLAND</t>
        </is>
      </c>
      <c r="G101" t="n">
        <v>2.3</v>
      </c>
      <c r="H101" t="n">
        <v>2</v>
      </c>
      <c r="I101" t="n">
        <v>0</v>
      </c>
      <c r="J101" t="n">
        <v>1</v>
      </c>
      <c r="K101" t="n">
        <v>0</v>
      </c>
      <c r="L101" t="n">
        <v>0</v>
      </c>
      <c r="M101" t="n">
        <v>0</v>
      </c>
      <c r="N101" t="n">
        <v>0</v>
      </c>
      <c r="O101" t="n">
        <v>1</v>
      </c>
      <c r="P101" t="n">
        <v>0</v>
      </c>
      <c r="Q101" t="n">
        <v>3</v>
      </c>
      <c r="R101" s="2" t="inlineStr">
        <is>
          <t>Korpnopping
Sankt pers nycklar
Blåsippa</t>
        </is>
      </c>
      <c r="S101">
        <f>HYPERLINK("https://klasma.github.io/Logging_0980/artfynd/A 2332-2021 artfynd.xlsx", "A 2332-2021")</f>
        <v/>
      </c>
      <c r="T101">
        <f>HYPERLINK("https://klasma.github.io/Logging_0980/kartor/A 2332-2021 karta.png", "A 2332-2021")</f>
        <v/>
      </c>
      <c r="V101">
        <f>HYPERLINK("https://klasma.github.io/Logging_0980/klagomål/A 2332-2021 FSC-klagomål.docx", "A 2332-2021")</f>
        <v/>
      </c>
      <c r="W101">
        <f>HYPERLINK("https://klasma.github.io/Logging_0980/klagomålsmail/A 2332-2021 FSC-klagomål mail.docx", "A 2332-2021")</f>
        <v/>
      </c>
      <c r="X101">
        <f>HYPERLINK("https://klasma.github.io/Logging_0980/tillsyn/A 2332-2021 tillsynsbegäran.docx", "A 2332-2021")</f>
        <v/>
      </c>
      <c r="Y101">
        <f>HYPERLINK("https://klasma.github.io/Logging_0980/tillsynsmail/A 2332-2021 tillsynsbegäran mail.docx", "A 2332-2021")</f>
        <v/>
      </c>
    </row>
    <row r="102" ht="15" customHeight="1">
      <c r="A102" t="inlineStr">
        <is>
          <t>A 53552-2021</t>
        </is>
      </c>
      <c r="B102" s="1" t="n">
        <v>44468</v>
      </c>
      <c r="C102" s="1" t="n">
        <v>45931</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48126-2022</t>
        </is>
      </c>
      <c r="B103" s="1" t="n">
        <v>44857</v>
      </c>
      <c r="C103" s="1" t="n">
        <v>45931</v>
      </c>
      <c r="D103" t="inlineStr">
        <is>
          <t>GOTLANDS LÄN</t>
        </is>
      </c>
      <c r="E103" t="inlineStr">
        <is>
          <t>GOTLAND</t>
        </is>
      </c>
      <c r="G103" t="n">
        <v>9.800000000000001</v>
      </c>
      <c r="H103" t="n">
        <v>1</v>
      </c>
      <c r="I103" t="n">
        <v>0</v>
      </c>
      <c r="J103" t="n">
        <v>3</v>
      </c>
      <c r="K103" t="n">
        <v>0</v>
      </c>
      <c r="L103" t="n">
        <v>0</v>
      </c>
      <c r="M103" t="n">
        <v>0</v>
      </c>
      <c r="N103" t="n">
        <v>0</v>
      </c>
      <c r="O103" t="n">
        <v>3</v>
      </c>
      <c r="P103" t="n">
        <v>0</v>
      </c>
      <c r="Q103" t="n">
        <v>3</v>
      </c>
      <c r="R103" s="2" t="inlineStr">
        <is>
          <t>Jordtistel
Spillkråka
Svinrot</t>
        </is>
      </c>
      <c r="S103">
        <f>HYPERLINK("https://klasma.github.io/Logging_0980/artfynd/A 48126-2022 artfynd.xlsx", "A 48126-2022")</f>
        <v/>
      </c>
      <c r="T103">
        <f>HYPERLINK("https://klasma.github.io/Logging_0980/kartor/A 48126-2022 karta.png", "A 48126-2022")</f>
        <v/>
      </c>
      <c r="V103">
        <f>HYPERLINK("https://klasma.github.io/Logging_0980/klagomål/A 48126-2022 FSC-klagomål.docx", "A 48126-2022")</f>
        <v/>
      </c>
      <c r="W103">
        <f>HYPERLINK("https://klasma.github.io/Logging_0980/klagomålsmail/A 48126-2022 FSC-klagomål mail.docx", "A 48126-2022")</f>
        <v/>
      </c>
      <c r="X103">
        <f>HYPERLINK("https://klasma.github.io/Logging_0980/tillsyn/A 48126-2022 tillsynsbegäran.docx", "A 48126-2022")</f>
        <v/>
      </c>
      <c r="Y103">
        <f>HYPERLINK("https://klasma.github.io/Logging_0980/tillsynsmail/A 48126-2022 tillsynsbegäran mail.docx", "A 48126-2022")</f>
        <v/>
      </c>
      <c r="Z103">
        <f>HYPERLINK("https://klasma.github.io/Logging_0980/fåglar/A 48126-2022 prioriterade fågelarter.docx", "A 48126-2022")</f>
        <v/>
      </c>
    </row>
    <row r="104" ht="15" customHeight="1">
      <c r="A104" t="inlineStr">
        <is>
          <t>A 73144-2021</t>
        </is>
      </c>
      <c r="B104" s="1" t="n">
        <v>44550</v>
      </c>
      <c r="C104" s="1" t="n">
        <v>45931</v>
      </c>
      <c r="D104" t="inlineStr">
        <is>
          <t>GOTLANDS LÄN</t>
        </is>
      </c>
      <c r="E104" t="inlineStr">
        <is>
          <t>GOTLAND</t>
        </is>
      </c>
      <c r="G104" t="n">
        <v>1.9</v>
      </c>
      <c r="H104" t="n">
        <v>0</v>
      </c>
      <c r="I104" t="n">
        <v>1</v>
      </c>
      <c r="J104" t="n">
        <v>1</v>
      </c>
      <c r="K104" t="n">
        <v>1</v>
      </c>
      <c r="L104" t="n">
        <v>0</v>
      </c>
      <c r="M104" t="n">
        <v>0</v>
      </c>
      <c r="N104" t="n">
        <v>0</v>
      </c>
      <c r="O104" t="n">
        <v>2</v>
      </c>
      <c r="P104" t="n">
        <v>1</v>
      </c>
      <c r="Q104" t="n">
        <v>3</v>
      </c>
      <c r="R104" s="2" t="inlineStr">
        <is>
          <t>Skogskorn
Igelkott
Kambräken</t>
        </is>
      </c>
      <c r="S104">
        <f>HYPERLINK("https://klasma.github.io/Logging_0980/artfynd/A 73144-2021 artfynd.xlsx", "A 73144-2021")</f>
        <v/>
      </c>
      <c r="T104">
        <f>HYPERLINK("https://klasma.github.io/Logging_0980/kartor/A 73144-2021 karta.png", "A 73144-2021")</f>
        <v/>
      </c>
      <c r="V104">
        <f>HYPERLINK("https://klasma.github.io/Logging_0980/klagomål/A 73144-2021 FSC-klagomål.docx", "A 73144-2021")</f>
        <v/>
      </c>
      <c r="W104">
        <f>HYPERLINK("https://klasma.github.io/Logging_0980/klagomålsmail/A 73144-2021 FSC-klagomål mail.docx", "A 73144-2021")</f>
        <v/>
      </c>
      <c r="X104">
        <f>HYPERLINK("https://klasma.github.io/Logging_0980/tillsyn/A 73144-2021 tillsynsbegäran.docx", "A 73144-2021")</f>
        <v/>
      </c>
      <c r="Y104">
        <f>HYPERLINK("https://klasma.github.io/Logging_0980/tillsynsmail/A 73144-2021 tillsynsbegäran mail.docx", "A 73144-2021")</f>
        <v/>
      </c>
    </row>
    <row r="105" ht="15" customHeight="1">
      <c r="A105" t="inlineStr">
        <is>
          <t>A 17982-2023</t>
        </is>
      </c>
      <c r="B105" s="1" t="n">
        <v>45040</v>
      </c>
      <c r="C105" s="1" t="n">
        <v>45931</v>
      </c>
      <c r="D105" t="inlineStr">
        <is>
          <t>GOTLANDS LÄN</t>
        </is>
      </c>
      <c r="E105" t="inlineStr">
        <is>
          <t>GOTLAND</t>
        </is>
      </c>
      <c r="G105" t="n">
        <v>2.2</v>
      </c>
      <c r="H105" t="n">
        <v>0</v>
      </c>
      <c r="I105" t="n">
        <v>0</v>
      </c>
      <c r="J105" t="n">
        <v>2</v>
      </c>
      <c r="K105" t="n">
        <v>0</v>
      </c>
      <c r="L105" t="n">
        <v>0</v>
      </c>
      <c r="M105" t="n">
        <v>1</v>
      </c>
      <c r="N105" t="n">
        <v>0</v>
      </c>
      <c r="O105" t="n">
        <v>3</v>
      </c>
      <c r="P105" t="n">
        <v>1</v>
      </c>
      <c r="Q105" t="n">
        <v>3</v>
      </c>
      <c r="R105" s="2" t="inlineStr">
        <is>
          <t>Lundalm
Krusfrö
Ängsskära</t>
        </is>
      </c>
      <c r="S105">
        <f>HYPERLINK("https://klasma.github.io/Logging_0980/artfynd/A 17982-2023 artfynd.xlsx", "A 17982-2023")</f>
        <v/>
      </c>
      <c r="T105">
        <f>HYPERLINK("https://klasma.github.io/Logging_0980/kartor/A 17982-2023 karta.png", "A 17982-2023")</f>
        <v/>
      </c>
      <c r="V105">
        <f>HYPERLINK("https://klasma.github.io/Logging_0980/klagomål/A 17982-2023 FSC-klagomål.docx", "A 17982-2023")</f>
        <v/>
      </c>
      <c r="W105">
        <f>HYPERLINK("https://klasma.github.io/Logging_0980/klagomålsmail/A 17982-2023 FSC-klagomål mail.docx", "A 17982-2023")</f>
        <v/>
      </c>
      <c r="X105">
        <f>HYPERLINK("https://klasma.github.io/Logging_0980/tillsyn/A 17982-2023 tillsynsbegäran.docx", "A 17982-2023")</f>
        <v/>
      </c>
      <c r="Y105">
        <f>HYPERLINK("https://klasma.github.io/Logging_0980/tillsynsmail/A 17982-2023 tillsynsbegäran mail.docx", "A 17982-2023")</f>
        <v/>
      </c>
    </row>
    <row r="106" ht="15" customHeight="1">
      <c r="A106" t="inlineStr">
        <is>
          <t>A 17975-2024</t>
        </is>
      </c>
      <c r="B106" s="1" t="n">
        <v>45419.85546296297</v>
      </c>
      <c r="C106" s="1" t="n">
        <v>45931</v>
      </c>
      <c r="D106" t="inlineStr">
        <is>
          <t>GOTLANDS LÄN</t>
        </is>
      </c>
      <c r="E106" t="inlineStr">
        <is>
          <t>GOTLAND</t>
        </is>
      </c>
      <c r="G106" t="n">
        <v>7.9</v>
      </c>
      <c r="H106" t="n">
        <v>0</v>
      </c>
      <c r="I106" t="n">
        <v>1</v>
      </c>
      <c r="J106" t="n">
        <v>1</v>
      </c>
      <c r="K106" t="n">
        <v>0</v>
      </c>
      <c r="L106" t="n">
        <v>1</v>
      </c>
      <c r="M106" t="n">
        <v>0</v>
      </c>
      <c r="N106" t="n">
        <v>0</v>
      </c>
      <c r="O106" t="n">
        <v>2</v>
      </c>
      <c r="P106" t="n">
        <v>1</v>
      </c>
      <c r="Q106" t="n">
        <v>3</v>
      </c>
      <c r="R106" s="2" t="inlineStr">
        <is>
          <t>Ask
Skugglosta
Strävlosta</t>
        </is>
      </c>
      <c r="S106">
        <f>HYPERLINK("https://klasma.github.io/Logging_0980/artfynd/A 17975-2024 artfynd.xlsx", "A 17975-2024")</f>
        <v/>
      </c>
      <c r="T106">
        <f>HYPERLINK("https://klasma.github.io/Logging_0980/kartor/A 17975-2024 karta.png", "A 17975-2024")</f>
        <v/>
      </c>
      <c r="V106">
        <f>HYPERLINK("https://klasma.github.io/Logging_0980/klagomål/A 17975-2024 FSC-klagomål.docx", "A 17975-2024")</f>
        <v/>
      </c>
      <c r="W106">
        <f>HYPERLINK("https://klasma.github.io/Logging_0980/klagomålsmail/A 17975-2024 FSC-klagomål mail.docx", "A 17975-2024")</f>
        <v/>
      </c>
      <c r="X106">
        <f>HYPERLINK("https://klasma.github.io/Logging_0980/tillsyn/A 17975-2024 tillsynsbegäran.docx", "A 17975-2024")</f>
        <v/>
      </c>
      <c r="Y106">
        <f>HYPERLINK("https://klasma.github.io/Logging_0980/tillsynsmail/A 17975-2024 tillsynsbegäran mail.docx", "A 17975-2024")</f>
        <v/>
      </c>
    </row>
    <row r="107" ht="15" customHeight="1">
      <c r="A107" t="inlineStr">
        <is>
          <t>A 13499-2022</t>
        </is>
      </c>
      <c r="B107" s="1" t="n">
        <v>44647.79203703703</v>
      </c>
      <c r="C107" s="1" t="n">
        <v>45931</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12315-2024</t>
        </is>
      </c>
      <c r="B108" s="1" t="n">
        <v>45378.6434837963</v>
      </c>
      <c r="C108" s="1" t="n">
        <v>45931</v>
      </c>
      <c r="D108" t="inlineStr">
        <is>
          <t>GOTLANDS LÄN</t>
        </is>
      </c>
      <c r="E108" t="inlineStr">
        <is>
          <t>GOTLAND</t>
        </is>
      </c>
      <c r="G108" t="n">
        <v>6</v>
      </c>
      <c r="H108" t="n">
        <v>3</v>
      </c>
      <c r="I108" t="n">
        <v>1</v>
      </c>
      <c r="J108" t="n">
        <v>1</v>
      </c>
      <c r="K108" t="n">
        <v>0</v>
      </c>
      <c r="L108" t="n">
        <v>0</v>
      </c>
      <c r="M108" t="n">
        <v>0</v>
      </c>
      <c r="N108" t="n">
        <v>0</v>
      </c>
      <c r="O108" t="n">
        <v>1</v>
      </c>
      <c r="P108" t="n">
        <v>0</v>
      </c>
      <c r="Q108" t="n">
        <v>3</v>
      </c>
      <c r="R108" s="2" t="inlineStr">
        <is>
          <t>Buskskvätta
Tvåblad
Fläcknycklar</t>
        </is>
      </c>
      <c r="S108">
        <f>HYPERLINK("https://klasma.github.io/Logging_0980/artfynd/A 12315-2024 artfynd.xlsx", "A 12315-2024")</f>
        <v/>
      </c>
      <c r="T108">
        <f>HYPERLINK("https://klasma.github.io/Logging_0980/kartor/A 12315-2024 karta.png", "A 12315-2024")</f>
        <v/>
      </c>
      <c r="V108">
        <f>HYPERLINK("https://klasma.github.io/Logging_0980/klagomål/A 12315-2024 FSC-klagomål.docx", "A 12315-2024")</f>
        <v/>
      </c>
      <c r="W108">
        <f>HYPERLINK("https://klasma.github.io/Logging_0980/klagomålsmail/A 12315-2024 FSC-klagomål mail.docx", "A 12315-2024")</f>
        <v/>
      </c>
      <c r="X108">
        <f>HYPERLINK("https://klasma.github.io/Logging_0980/tillsyn/A 12315-2024 tillsynsbegäran.docx", "A 12315-2024")</f>
        <v/>
      </c>
      <c r="Y108">
        <f>HYPERLINK("https://klasma.github.io/Logging_0980/tillsynsmail/A 12315-2024 tillsynsbegäran mail.docx", "A 12315-2024")</f>
        <v/>
      </c>
      <c r="Z108">
        <f>HYPERLINK("https://klasma.github.io/Logging_0980/fåglar/A 12315-2024 prioriterade fågelarter.docx", "A 12315-2024")</f>
        <v/>
      </c>
    </row>
    <row r="109" ht="15" customHeight="1">
      <c r="A109" t="inlineStr">
        <is>
          <t>A 30490-2025</t>
        </is>
      </c>
      <c r="B109" s="1" t="n">
        <v>45830</v>
      </c>
      <c r="C109" s="1" t="n">
        <v>45931</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62326-2020</t>
        </is>
      </c>
      <c r="B110" s="1" t="n">
        <v>44160</v>
      </c>
      <c r="C110" s="1" t="n">
        <v>45931</v>
      </c>
      <c r="D110" t="inlineStr">
        <is>
          <t>GOTLANDS LÄN</t>
        </is>
      </c>
      <c r="E110" t="inlineStr">
        <is>
          <t>GOTLAND</t>
        </is>
      </c>
      <c r="G110" t="n">
        <v>7.4</v>
      </c>
      <c r="H110" t="n">
        <v>1</v>
      </c>
      <c r="I110" t="n">
        <v>3</v>
      </c>
      <c r="J110" t="n">
        <v>0</v>
      </c>
      <c r="K110" t="n">
        <v>0</v>
      </c>
      <c r="L110" t="n">
        <v>0</v>
      </c>
      <c r="M110" t="n">
        <v>0</v>
      </c>
      <c r="N110" t="n">
        <v>0</v>
      </c>
      <c r="O110" t="n">
        <v>0</v>
      </c>
      <c r="P110" t="n">
        <v>0</v>
      </c>
      <c r="Q110" t="n">
        <v>3</v>
      </c>
      <c r="R110" s="2" t="inlineStr">
        <is>
          <t>Anisspindling
Blåmossa
Skogsknipprot</t>
        </is>
      </c>
      <c r="S110">
        <f>HYPERLINK("https://klasma.github.io/Logging_0980/artfynd/A 62326-2020 artfynd.xlsx", "A 62326-2020")</f>
        <v/>
      </c>
      <c r="T110">
        <f>HYPERLINK("https://klasma.github.io/Logging_0980/kartor/A 62326-2020 karta.png", "A 62326-2020")</f>
        <v/>
      </c>
      <c r="V110">
        <f>HYPERLINK("https://klasma.github.io/Logging_0980/klagomål/A 62326-2020 FSC-klagomål.docx", "A 62326-2020")</f>
        <v/>
      </c>
      <c r="W110">
        <f>HYPERLINK("https://klasma.github.io/Logging_0980/klagomålsmail/A 62326-2020 FSC-klagomål mail.docx", "A 62326-2020")</f>
        <v/>
      </c>
      <c r="X110">
        <f>HYPERLINK("https://klasma.github.io/Logging_0980/tillsyn/A 62326-2020 tillsynsbegäran.docx", "A 62326-2020")</f>
        <v/>
      </c>
      <c r="Y110">
        <f>HYPERLINK("https://klasma.github.io/Logging_0980/tillsynsmail/A 62326-2020 tillsynsbegäran mail.docx", "A 62326-2020")</f>
        <v/>
      </c>
    </row>
    <row r="111" ht="15" customHeight="1">
      <c r="A111" t="inlineStr">
        <is>
          <t>A 43013-2022</t>
        </is>
      </c>
      <c r="B111" s="1" t="n">
        <v>44833</v>
      </c>
      <c r="C111" s="1" t="n">
        <v>45931</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55334-2024</t>
        </is>
      </c>
      <c r="B112" s="1" t="n">
        <v>45621</v>
      </c>
      <c r="C112" s="1" t="n">
        <v>45931</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20831-2024</t>
        </is>
      </c>
      <c r="B113" s="1" t="n">
        <v>45439</v>
      </c>
      <c r="C113" s="1" t="n">
        <v>45931</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5235-2025</t>
        </is>
      </c>
      <c r="B114" s="1" t="n">
        <v>45692.26797453704</v>
      </c>
      <c r="C114" s="1" t="n">
        <v>45931</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29870-2021</t>
        </is>
      </c>
      <c r="B115" s="1" t="n">
        <v>44362</v>
      </c>
      <c r="C115" s="1" t="n">
        <v>45931</v>
      </c>
      <c r="D115" t="inlineStr">
        <is>
          <t>GOTLANDS LÄN</t>
        </is>
      </c>
      <c r="E115" t="inlineStr">
        <is>
          <t>GOTLAND</t>
        </is>
      </c>
      <c r="G115" t="n">
        <v>2.4</v>
      </c>
      <c r="H115" t="n">
        <v>0</v>
      </c>
      <c r="I115" t="n">
        <v>1</v>
      </c>
      <c r="J115" t="n">
        <v>0</v>
      </c>
      <c r="K115" t="n">
        <v>1</v>
      </c>
      <c r="L115" t="n">
        <v>0</v>
      </c>
      <c r="M115" t="n">
        <v>0</v>
      </c>
      <c r="N115" t="n">
        <v>0</v>
      </c>
      <c r="O115" t="n">
        <v>1</v>
      </c>
      <c r="P115" t="n">
        <v>1</v>
      </c>
      <c r="Q115" t="n">
        <v>2</v>
      </c>
      <c r="R115" s="2" t="inlineStr">
        <is>
          <t>Blåfotad fagerspindling
Olivspindling</t>
        </is>
      </c>
      <c r="S115">
        <f>HYPERLINK("https://klasma.github.io/Logging_0980/artfynd/A 29870-2021 artfynd.xlsx", "A 29870-2021")</f>
        <v/>
      </c>
      <c r="T115">
        <f>HYPERLINK("https://klasma.github.io/Logging_0980/kartor/A 29870-2021 karta.png", "A 29870-2021")</f>
        <v/>
      </c>
      <c r="V115">
        <f>HYPERLINK("https://klasma.github.io/Logging_0980/klagomål/A 29870-2021 FSC-klagomål.docx", "A 29870-2021")</f>
        <v/>
      </c>
      <c r="W115">
        <f>HYPERLINK("https://klasma.github.io/Logging_0980/klagomålsmail/A 29870-2021 FSC-klagomål mail.docx", "A 29870-2021")</f>
        <v/>
      </c>
      <c r="X115">
        <f>HYPERLINK("https://klasma.github.io/Logging_0980/tillsyn/A 29870-2021 tillsynsbegäran.docx", "A 29870-2021")</f>
        <v/>
      </c>
      <c r="Y115">
        <f>HYPERLINK("https://klasma.github.io/Logging_0980/tillsynsmail/A 29870-2021 tillsynsbegäran mail.docx", "A 29870-2021")</f>
        <v/>
      </c>
    </row>
    <row r="116" ht="15" customHeight="1">
      <c r="A116" t="inlineStr">
        <is>
          <t>A 26857-2021</t>
        </is>
      </c>
      <c r="B116" s="1" t="n">
        <v>44349.60091435185</v>
      </c>
      <c r="C116" s="1" t="n">
        <v>45931</v>
      </c>
      <c r="D116" t="inlineStr">
        <is>
          <t>GOTLANDS LÄN</t>
        </is>
      </c>
      <c r="E116" t="inlineStr">
        <is>
          <t>GOTLAND</t>
        </is>
      </c>
      <c r="G116" t="n">
        <v>1.9</v>
      </c>
      <c r="H116" t="n">
        <v>0</v>
      </c>
      <c r="I116" t="n">
        <v>0</v>
      </c>
      <c r="J116" t="n">
        <v>2</v>
      </c>
      <c r="K116" t="n">
        <v>0</v>
      </c>
      <c r="L116" t="n">
        <v>0</v>
      </c>
      <c r="M116" t="n">
        <v>0</v>
      </c>
      <c r="N116" t="n">
        <v>0</v>
      </c>
      <c r="O116" t="n">
        <v>2</v>
      </c>
      <c r="P116" t="n">
        <v>0</v>
      </c>
      <c r="Q116" t="n">
        <v>2</v>
      </c>
      <c r="R116" s="2" t="inlineStr">
        <is>
          <t>Jordtistel
Solvända</t>
        </is>
      </c>
      <c r="S116">
        <f>HYPERLINK("https://klasma.github.io/Logging_0980/artfynd/A 26857-2021 artfynd.xlsx", "A 26857-2021")</f>
        <v/>
      </c>
      <c r="T116">
        <f>HYPERLINK("https://klasma.github.io/Logging_0980/kartor/A 26857-2021 karta.png", "A 26857-2021")</f>
        <v/>
      </c>
      <c r="V116">
        <f>HYPERLINK("https://klasma.github.io/Logging_0980/klagomål/A 26857-2021 FSC-klagomål.docx", "A 26857-2021")</f>
        <v/>
      </c>
      <c r="W116">
        <f>HYPERLINK("https://klasma.github.io/Logging_0980/klagomålsmail/A 26857-2021 FSC-klagomål mail.docx", "A 26857-2021")</f>
        <v/>
      </c>
      <c r="X116">
        <f>HYPERLINK("https://klasma.github.io/Logging_0980/tillsyn/A 26857-2021 tillsynsbegäran.docx", "A 26857-2021")</f>
        <v/>
      </c>
      <c r="Y116">
        <f>HYPERLINK("https://klasma.github.io/Logging_0980/tillsynsmail/A 26857-2021 tillsynsbegäran mail.docx", "A 26857-2021")</f>
        <v/>
      </c>
    </row>
    <row r="117" ht="15" customHeight="1">
      <c r="A117" t="inlineStr">
        <is>
          <t>A 51737-2021</t>
        </is>
      </c>
      <c r="B117" s="1" t="n">
        <v>44462.57368055556</v>
      </c>
      <c r="C117" s="1" t="n">
        <v>45931</v>
      </c>
      <c r="D117" t="inlineStr">
        <is>
          <t>GOTLANDS LÄN</t>
        </is>
      </c>
      <c r="E117" t="inlineStr">
        <is>
          <t>GOTLAND</t>
        </is>
      </c>
      <c r="G117" t="n">
        <v>8.6</v>
      </c>
      <c r="H117" t="n">
        <v>0</v>
      </c>
      <c r="I117" t="n">
        <v>1</v>
      </c>
      <c r="J117" t="n">
        <v>1</v>
      </c>
      <c r="K117" t="n">
        <v>0</v>
      </c>
      <c r="L117" t="n">
        <v>0</v>
      </c>
      <c r="M117" t="n">
        <v>0</v>
      </c>
      <c r="N117" t="n">
        <v>0</v>
      </c>
      <c r="O117" t="n">
        <v>1</v>
      </c>
      <c r="P117" t="n">
        <v>0</v>
      </c>
      <c r="Q117" t="n">
        <v>2</v>
      </c>
      <c r="R117" s="2" t="inlineStr">
        <is>
          <t>Igelkott
Kambräken</t>
        </is>
      </c>
      <c r="S117">
        <f>HYPERLINK("https://klasma.github.io/Logging_0980/artfynd/A 51737-2021 artfynd.xlsx", "A 51737-2021")</f>
        <v/>
      </c>
      <c r="T117">
        <f>HYPERLINK("https://klasma.github.io/Logging_0980/kartor/A 51737-2021 karta.png", "A 51737-2021")</f>
        <v/>
      </c>
      <c r="V117">
        <f>HYPERLINK("https://klasma.github.io/Logging_0980/klagomål/A 51737-2021 FSC-klagomål.docx", "A 51737-2021")</f>
        <v/>
      </c>
      <c r="W117">
        <f>HYPERLINK("https://klasma.github.io/Logging_0980/klagomålsmail/A 51737-2021 FSC-klagomål mail.docx", "A 51737-2021")</f>
        <v/>
      </c>
      <c r="X117">
        <f>HYPERLINK("https://klasma.github.io/Logging_0980/tillsyn/A 51737-2021 tillsynsbegäran.docx", "A 51737-2021")</f>
        <v/>
      </c>
      <c r="Y117">
        <f>HYPERLINK("https://klasma.github.io/Logging_0980/tillsynsmail/A 51737-2021 tillsynsbegäran mail.docx", "A 51737-2021")</f>
        <v/>
      </c>
    </row>
    <row r="118" ht="15" customHeight="1">
      <c r="A118" t="inlineStr">
        <is>
          <t>A 16429-2021</t>
        </is>
      </c>
      <c r="B118" s="1" t="n">
        <v>44293</v>
      </c>
      <c r="C118" s="1" t="n">
        <v>45931</v>
      </c>
      <c r="D118" t="inlineStr">
        <is>
          <t>GOTLANDS LÄN</t>
        </is>
      </c>
      <c r="E118" t="inlineStr">
        <is>
          <t>GOTLAND</t>
        </is>
      </c>
      <c r="G118" t="n">
        <v>3.4</v>
      </c>
      <c r="H118" t="n">
        <v>0</v>
      </c>
      <c r="I118" t="n">
        <v>0</v>
      </c>
      <c r="J118" t="n">
        <v>1</v>
      </c>
      <c r="K118" t="n">
        <v>1</v>
      </c>
      <c r="L118" t="n">
        <v>0</v>
      </c>
      <c r="M118" t="n">
        <v>0</v>
      </c>
      <c r="N118" t="n">
        <v>0</v>
      </c>
      <c r="O118" t="n">
        <v>2</v>
      </c>
      <c r="P118" t="n">
        <v>1</v>
      </c>
      <c r="Q118" t="n">
        <v>2</v>
      </c>
      <c r="R118" s="2" t="inlineStr">
        <is>
          <t>Gotlandsmåra
Barrviolspindling</t>
        </is>
      </c>
      <c r="S118">
        <f>HYPERLINK("https://klasma.github.io/Logging_0980/artfynd/A 16429-2021 artfynd.xlsx", "A 16429-2021")</f>
        <v/>
      </c>
      <c r="T118">
        <f>HYPERLINK("https://klasma.github.io/Logging_0980/kartor/A 16429-2021 karta.png", "A 16429-2021")</f>
        <v/>
      </c>
      <c r="V118">
        <f>HYPERLINK("https://klasma.github.io/Logging_0980/klagomål/A 16429-2021 FSC-klagomål.docx", "A 16429-2021")</f>
        <v/>
      </c>
      <c r="W118">
        <f>HYPERLINK("https://klasma.github.io/Logging_0980/klagomålsmail/A 16429-2021 FSC-klagomål mail.docx", "A 16429-2021")</f>
        <v/>
      </c>
      <c r="X118">
        <f>HYPERLINK("https://klasma.github.io/Logging_0980/tillsyn/A 16429-2021 tillsynsbegäran.docx", "A 16429-2021")</f>
        <v/>
      </c>
      <c r="Y118">
        <f>HYPERLINK("https://klasma.github.io/Logging_0980/tillsynsmail/A 16429-2021 tillsynsbegäran mail.docx", "A 16429-2021")</f>
        <v/>
      </c>
    </row>
    <row r="119" ht="15" customHeight="1">
      <c r="A119" t="inlineStr">
        <is>
          <t>A 9930-2021</t>
        </is>
      </c>
      <c r="B119" s="1" t="n">
        <v>44252</v>
      </c>
      <c r="C119" s="1" t="n">
        <v>45931</v>
      </c>
      <c r="D119" t="inlineStr">
        <is>
          <t>GOTLANDS LÄN</t>
        </is>
      </c>
      <c r="E119" t="inlineStr">
        <is>
          <t>GOTLAND</t>
        </is>
      </c>
      <c r="G119" t="n">
        <v>1.9</v>
      </c>
      <c r="H119" t="n">
        <v>0</v>
      </c>
      <c r="I119" t="n">
        <v>0</v>
      </c>
      <c r="J119" t="n">
        <v>0</v>
      </c>
      <c r="K119" t="n">
        <v>0</v>
      </c>
      <c r="L119" t="n">
        <v>1</v>
      </c>
      <c r="M119" t="n">
        <v>1</v>
      </c>
      <c r="N119" t="n">
        <v>0</v>
      </c>
      <c r="O119" t="n">
        <v>2</v>
      </c>
      <c r="P119" t="n">
        <v>2</v>
      </c>
      <c r="Q119" t="n">
        <v>2</v>
      </c>
      <c r="R119" s="2" t="inlineStr">
        <is>
          <t>Lundalm
Ask</t>
        </is>
      </c>
      <c r="S119">
        <f>HYPERLINK("https://klasma.github.io/Logging_0980/artfynd/A 9930-2021 artfynd.xlsx", "A 9930-2021")</f>
        <v/>
      </c>
      <c r="T119">
        <f>HYPERLINK("https://klasma.github.io/Logging_0980/kartor/A 9930-2021 karta.png", "A 9930-2021")</f>
        <v/>
      </c>
      <c r="V119">
        <f>HYPERLINK("https://klasma.github.io/Logging_0980/klagomål/A 9930-2021 FSC-klagomål.docx", "A 9930-2021")</f>
        <v/>
      </c>
      <c r="W119">
        <f>HYPERLINK("https://klasma.github.io/Logging_0980/klagomålsmail/A 9930-2021 FSC-klagomål mail.docx", "A 9930-2021")</f>
        <v/>
      </c>
      <c r="X119">
        <f>HYPERLINK("https://klasma.github.io/Logging_0980/tillsyn/A 9930-2021 tillsynsbegäran.docx", "A 9930-2021")</f>
        <v/>
      </c>
      <c r="Y119">
        <f>HYPERLINK("https://klasma.github.io/Logging_0980/tillsynsmail/A 9930-2021 tillsynsbegäran mail.docx", "A 9930-2021")</f>
        <v/>
      </c>
    </row>
    <row r="120" ht="15" customHeight="1">
      <c r="A120" t="inlineStr">
        <is>
          <t>A 60665-2021</t>
        </is>
      </c>
      <c r="B120" s="1" t="n">
        <v>44496</v>
      </c>
      <c r="C120" s="1" t="n">
        <v>45931</v>
      </c>
      <c r="D120" t="inlineStr">
        <is>
          <t>GOTLANDS LÄN</t>
        </is>
      </c>
      <c r="E120" t="inlineStr">
        <is>
          <t>GOTLAND</t>
        </is>
      </c>
      <c r="G120" t="n">
        <v>1.6</v>
      </c>
      <c r="H120" t="n">
        <v>0</v>
      </c>
      <c r="I120" t="n">
        <v>0</v>
      </c>
      <c r="J120" t="n">
        <v>0</v>
      </c>
      <c r="K120" t="n">
        <v>1</v>
      </c>
      <c r="L120" t="n">
        <v>1</v>
      </c>
      <c r="M120" t="n">
        <v>0</v>
      </c>
      <c r="N120" t="n">
        <v>0</v>
      </c>
      <c r="O120" t="n">
        <v>2</v>
      </c>
      <c r="P120" t="n">
        <v>2</v>
      </c>
      <c r="Q120" t="n">
        <v>2</v>
      </c>
      <c r="R120" s="2" t="inlineStr">
        <is>
          <t>Ädellav
Skogskorn</t>
        </is>
      </c>
      <c r="S120">
        <f>HYPERLINK("https://klasma.github.io/Logging_0980/artfynd/A 60665-2021 artfynd.xlsx", "A 60665-2021")</f>
        <v/>
      </c>
      <c r="T120">
        <f>HYPERLINK("https://klasma.github.io/Logging_0980/kartor/A 60665-2021 karta.png", "A 60665-2021")</f>
        <v/>
      </c>
      <c r="V120">
        <f>HYPERLINK("https://klasma.github.io/Logging_0980/klagomål/A 60665-2021 FSC-klagomål.docx", "A 60665-2021")</f>
        <v/>
      </c>
      <c r="W120">
        <f>HYPERLINK("https://klasma.github.io/Logging_0980/klagomålsmail/A 60665-2021 FSC-klagomål mail.docx", "A 60665-2021")</f>
        <v/>
      </c>
      <c r="X120">
        <f>HYPERLINK("https://klasma.github.io/Logging_0980/tillsyn/A 60665-2021 tillsynsbegäran.docx", "A 60665-2021")</f>
        <v/>
      </c>
      <c r="Y120">
        <f>HYPERLINK("https://klasma.github.io/Logging_0980/tillsynsmail/A 60665-2021 tillsynsbegäran mail.docx", "A 60665-2021")</f>
        <v/>
      </c>
    </row>
    <row r="121" ht="15" customHeight="1">
      <c r="A121" t="inlineStr">
        <is>
          <t>A 20218-2022</t>
        </is>
      </c>
      <c r="B121" s="1" t="n">
        <v>44698</v>
      </c>
      <c r="C121" s="1" t="n">
        <v>45931</v>
      </c>
      <c r="D121" t="inlineStr">
        <is>
          <t>GOTLANDS LÄN</t>
        </is>
      </c>
      <c r="E121" t="inlineStr">
        <is>
          <t>GOTLAND</t>
        </is>
      </c>
      <c r="G121" t="n">
        <v>4.3</v>
      </c>
      <c r="H121" t="n">
        <v>0</v>
      </c>
      <c r="I121" t="n">
        <v>1</v>
      </c>
      <c r="J121" t="n">
        <v>1</v>
      </c>
      <c r="K121" t="n">
        <v>0</v>
      </c>
      <c r="L121" t="n">
        <v>0</v>
      </c>
      <c r="M121" t="n">
        <v>0</v>
      </c>
      <c r="N121" t="n">
        <v>0</v>
      </c>
      <c r="O121" t="n">
        <v>1</v>
      </c>
      <c r="P121" t="n">
        <v>0</v>
      </c>
      <c r="Q121" t="n">
        <v>2</v>
      </c>
      <c r="R121" s="2" t="inlineStr">
        <is>
          <t>Flattoppad klubbsvamp
Rödgul trumpetsvamp</t>
        </is>
      </c>
      <c r="S121">
        <f>HYPERLINK("https://klasma.github.io/Logging_0980/artfynd/A 20218-2022 artfynd.xlsx", "A 20218-2022")</f>
        <v/>
      </c>
      <c r="T121">
        <f>HYPERLINK("https://klasma.github.io/Logging_0980/kartor/A 20218-2022 karta.png", "A 20218-2022")</f>
        <v/>
      </c>
      <c r="V121">
        <f>HYPERLINK("https://klasma.github.io/Logging_0980/klagomål/A 20218-2022 FSC-klagomål.docx", "A 20218-2022")</f>
        <v/>
      </c>
      <c r="W121">
        <f>HYPERLINK("https://klasma.github.io/Logging_0980/klagomålsmail/A 20218-2022 FSC-klagomål mail.docx", "A 20218-2022")</f>
        <v/>
      </c>
      <c r="X121">
        <f>HYPERLINK("https://klasma.github.io/Logging_0980/tillsyn/A 20218-2022 tillsynsbegäran.docx", "A 20218-2022")</f>
        <v/>
      </c>
      <c r="Y121">
        <f>HYPERLINK("https://klasma.github.io/Logging_0980/tillsynsmail/A 20218-2022 tillsynsbegäran mail.docx", "A 20218-2022")</f>
        <v/>
      </c>
    </row>
    <row r="122" ht="15" customHeight="1">
      <c r="A122" t="inlineStr">
        <is>
          <t>A 20838-2024</t>
        </is>
      </c>
      <c r="B122" s="1" t="n">
        <v>45439</v>
      </c>
      <c r="C122" s="1" t="n">
        <v>45931</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45931</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28276-2024</t>
        </is>
      </c>
      <c r="B124" s="1" t="n">
        <v>45477</v>
      </c>
      <c r="C124" s="1" t="n">
        <v>45931</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13627-2023</t>
        </is>
      </c>
      <c r="B125" s="1" t="n">
        <v>45006</v>
      </c>
      <c r="C125" s="1" t="n">
        <v>45931</v>
      </c>
      <c r="D125" t="inlineStr">
        <is>
          <t>GOTLANDS LÄN</t>
        </is>
      </c>
      <c r="E125" t="inlineStr">
        <is>
          <t>GOTLAND</t>
        </is>
      </c>
      <c r="G125" t="n">
        <v>10.7</v>
      </c>
      <c r="H125" t="n">
        <v>0</v>
      </c>
      <c r="I125" t="n">
        <v>0</v>
      </c>
      <c r="J125" t="n">
        <v>1</v>
      </c>
      <c r="K125" t="n">
        <v>1</v>
      </c>
      <c r="L125" t="n">
        <v>0</v>
      </c>
      <c r="M125" t="n">
        <v>0</v>
      </c>
      <c r="N125" t="n">
        <v>0</v>
      </c>
      <c r="O125" t="n">
        <v>2</v>
      </c>
      <c r="P125" t="n">
        <v>1</v>
      </c>
      <c r="Q125" t="n">
        <v>2</v>
      </c>
      <c r="R125" s="2" t="inlineStr">
        <is>
          <t>Sammetsbockrot
Igelkott</t>
        </is>
      </c>
      <c r="S125">
        <f>HYPERLINK("https://klasma.github.io/Logging_0980/artfynd/A 13627-2023 artfynd.xlsx", "A 13627-2023")</f>
        <v/>
      </c>
      <c r="T125">
        <f>HYPERLINK("https://klasma.github.io/Logging_0980/kartor/A 13627-2023 karta.png", "A 13627-2023")</f>
        <v/>
      </c>
      <c r="V125">
        <f>HYPERLINK("https://klasma.github.io/Logging_0980/klagomål/A 13627-2023 FSC-klagomål.docx", "A 13627-2023")</f>
        <v/>
      </c>
      <c r="W125">
        <f>HYPERLINK("https://klasma.github.io/Logging_0980/klagomålsmail/A 13627-2023 FSC-klagomål mail.docx", "A 13627-2023")</f>
        <v/>
      </c>
      <c r="X125">
        <f>HYPERLINK("https://klasma.github.io/Logging_0980/tillsyn/A 13627-2023 tillsynsbegäran.docx", "A 13627-2023")</f>
        <v/>
      </c>
      <c r="Y125">
        <f>HYPERLINK("https://klasma.github.io/Logging_0980/tillsynsmail/A 13627-2023 tillsynsbegäran mail.docx", "A 13627-2023")</f>
        <v/>
      </c>
    </row>
    <row r="126" ht="15" customHeight="1">
      <c r="A126" t="inlineStr">
        <is>
          <t>A 26077-2024</t>
        </is>
      </c>
      <c r="B126" s="1" t="n">
        <v>45467</v>
      </c>
      <c r="C126" s="1" t="n">
        <v>45931</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54357-2024</t>
        </is>
      </c>
      <c r="B127" s="1" t="n">
        <v>45617.40662037037</v>
      </c>
      <c r="C127" s="1" t="n">
        <v>45931</v>
      </c>
      <c r="D127" t="inlineStr">
        <is>
          <t>GOTLANDS LÄN</t>
        </is>
      </c>
      <c r="E127" t="inlineStr">
        <is>
          <t>GOTLAND</t>
        </is>
      </c>
      <c r="G127" t="n">
        <v>1.5</v>
      </c>
      <c r="H127" t="n">
        <v>1</v>
      </c>
      <c r="I127" t="n">
        <v>0</v>
      </c>
      <c r="J127" t="n">
        <v>1</v>
      </c>
      <c r="K127" t="n">
        <v>0</v>
      </c>
      <c r="L127" t="n">
        <v>0</v>
      </c>
      <c r="M127" t="n">
        <v>0</v>
      </c>
      <c r="N127" t="n">
        <v>0</v>
      </c>
      <c r="O127" t="n">
        <v>1</v>
      </c>
      <c r="P127" t="n">
        <v>0</v>
      </c>
      <c r="Q127" t="n">
        <v>2</v>
      </c>
      <c r="R127" s="2" t="inlineStr">
        <is>
          <t>Loppstarr
Fläcknycklar</t>
        </is>
      </c>
      <c r="S127">
        <f>HYPERLINK("https://klasma.github.io/Logging_0980/artfynd/A 54357-2024 artfynd.xlsx", "A 54357-2024")</f>
        <v/>
      </c>
      <c r="T127">
        <f>HYPERLINK("https://klasma.github.io/Logging_0980/kartor/A 54357-2024 karta.png", "A 54357-2024")</f>
        <v/>
      </c>
      <c r="V127">
        <f>HYPERLINK("https://klasma.github.io/Logging_0980/klagomål/A 54357-2024 FSC-klagomål.docx", "A 54357-2024")</f>
        <v/>
      </c>
      <c r="W127">
        <f>HYPERLINK("https://klasma.github.io/Logging_0980/klagomålsmail/A 54357-2024 FSC-klagomål mail.docx", "A 54357-2024")</f>
        <v/>
      </c>
      <c r="X127">
        <f>HYPERLINK("https://klasma.github.io/Logging_0980/tillsyn/A 54357-2024 tillsynsbegäran.docx", "A 54357-2024")</f>
        <v/>
      </c>
      <c r="Y127">
        <f>HYPERLINK("https://klasma.github.io/Logging_0980/tillsynsmail/A 54357-2024 tillsynsbegäran mail.docx", "A 54357-2024")</f>
        <v/>
      </c>
    </row>
    <row r="128" ht="15" customHeight="1">
      <c r="A128" t="inlineStr">
        <is>
          <t>A 58701-2020</t>
        </is>
      </c>
      <c r="B128" s="1" t="n">
        <v>44146</v>
      </c>
      <c r="C128" s="1" t="n">
        <v>45931</v>
      </c>
      <c r="D128" t="inlineStr">
        <is>
          <t>GOTLANDS LÄN</t>
        </is>
      </c>
      <c r="E128" t="inlineStr">
        <is>
          <t>GOTLAND</t>
        </is>
      </c>
      <c r="G128" t="n">
        <v>5.5</v>
      </c>
      <c r="H128" t="n">
        <v>0</v>
      </c>
      <c r="I128" t="n">
        <v>0</v>
      </c>
      <c r="J128" t="n">
        <v>1</v>
      </c>
      <c r="K128" t="n">
        <v>1</v>
      </c>
      <c r="L128" t="n">
        <v>0</v>
      </c>
      <c r="M128" t="n">
        <v>0</v>
      </c>
      <c r="N128" t="n">
        <v>0</v>
      </c>
      <c r="O128" t="n">
        <v>2</v>
      </c>
      <c r="P128" t="n">
        <v>1</v>
      </c>
      <c r="Q128" t="n">
        <v>2</v>
      </c>
      <c r="R128" s="2" t="inlineStr">
        <is>
          <t>Vit taggsvamp
Odörspindling</t>
        </is>
      </c>
      <c r="S128">
        <f>HYPERLINK("https://klasma.github.io/Logging_0980/artfynd/A 58701-2020 artfynd.xlsx", "A 58701-2020")</f>
        <v/>
      </c>
      <c r="T128">
        <f>HYPERLINK("https://klasma.github.io/Logging_0980/kartor/A 58701-2020 karta.png", "A 58701-2020")</f>
        <v/>
      </c>
      <c r="V128">
        <f>HYPERLINK("https://klasma.github.io/Logging_0980/klagomål/A 58701-2020 FSC-klagomål.docx", "A 58701-2020")</f>
        <v/>
      </c>
      <c r="W128">
        <f>HYPERLINK("https://klasma.github.io/Logging_0980/klagomålsmail/A 58701-2020 FSC-klagomål mail.docx", "A 58701-2020")</f>
        <v/>
      </c>
      <c r="X128">
        <f>HYPERLINK("https://klasma.github.io/Logging_0980/tillsyn/A 58701-2020 tillsynsbegäran.docx", "A 58701-2020")</f>
        <v/>
      </c>
      <c r="Y128">
        <f>HYPERLINK("https://klasma.github.io/Logging_0980/tillsynsmail/A 58701-2020 tillsynsbegäran mail.docx", "A 58701-2020")</f>
        <v/>
      </c>
    </row>
    <row r="129" ht="15" customHeight="1">
      <c r="A129" t="inlineStr">
        <is>
          <t>A 21879-2025</t>
        </is>
      </c>
      <c r="B129" s="1" t="n">
        <v>45784.40533564815</v>
      </c>
      <c r="C129" s="1" t="n">
        <v>45931</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7070-2022</t>
        </is>
      </c>
      <c r="B130" s="1" t="n">
        <v>44603</v>
      </c>
      <c r="C130" s="1" t="n">
        <v>45931</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43219-2023</t>
        </is>
      </c>
      <c r="B131" s="1" t="n">
        <v>45183</v>
      </c>
      <c r="C131" s="1" t="n">
        <v>45931</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12914-2025</t>
        </is>
      </c>
      <c r="B132" s="1" t="n">
        <v>45733</v>
      </c>
      <c r="C132" s="1" t="n">
        <v>45931</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28261-2024</t>
        </is>
      </c>
      <c r="B133" s="1" t="n">
        <v>45477</v>
      </c>
      <c r="C133" s="1" t="n">
        <v>45931</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55649-2024</t>
        </is>
      </c>
      <c r="B134" s="1" t="n">
        <v>45622.63053240741</v>
      </c>
      <c r="C134" s="1" t="n">
        <v>45931</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41238-2025</t>
        </is>
      </c>
      <c r="B135" s="1" t="n">
        <v>45898</v>
      </c>
      <c r="C135" s="1" t="n">
        <v>45931</v>
      </c>
      <c r="D135" t="inlineStr">
        <is>
          <t>GOTLANDS LÄN</t>
        </is>
      </c>
      <c r="E135" t="inlineStr">
        <is>
          <t>GOTLAND</t>
        </is>
      </c>
      <c r="G135" t="n">
        <v>7.1</v>
      </c>
      <c r="H135" t="n">
        <v>1</v>
      </c>
      <c r="I135" t="n">
        <v>2</v>
      </c>
      <c r="J135" t="n">
        <v>0</v>
      </c>
      <c r="K135" t="n">
        <v>0</v>
      </c>
      <c r="L135" t="n">
        <v>0</v>
      </c>
      <c r="M135" t="n">
        <v>0</v>
      </c>
      <c r="N135" t="n">
        <v>0</v>
      </c>
      <c r="O135" t="n">
        <v>0</v>
      </c>
      <c r="P135" t="n">
        <v>0</v>
      </c>
      <c r="Q135" t="n">
        <v>2</v>
      </c>
      <c r="R135" s="2" t="inlineStr">
        <is>
          <t>Granbarkgnagare
Skogsknipprot</t>
        </is>
      </c>
      <c r="S135">
        <f>HYPERLINK("https://klasma.github.io/Logging_0980/artfynd/A 41238-2025 artfynd.xlsx", "A 41238-2025")</f>
        <v/>
      </c>
      <c r="T135">
        <f>HYPERLINK("https://klasma.github.io/Logging_0980/kartor/A 41238-2025 karta.png", "A 41238-2025")</f>
        <v/>
      </c>
      <c r="V135">
        <f>HYPERLINK("https://klasma.github.io/Logging_0980/klagomål/A 41238-2025 FSC-klagomål.docx", "A 41238-2025")</f>
        <v/>
      </c>
      <c r="W135">
        <f>HYPERLINK("https://klasma.github.io/Logging_0980/klagomålsmail/A 41238-2025 FSC-klagomål mail.docx", "A 41238-2025")</f>
        <v/>
      </c>
      <c r="X135">
        <f>HYPERLINK("https://klasma.github.io/Logging_0980/tillsyn/A 41238-2025 tillsynsbegäran.docx", "A 41238-2025")</f>
        <v/>
      </c>
      <c r="Y135">
        <f>HYPERLINK("https://klasma.github.io/Logging_0980/tillsynsmail/A 41238-2025 tillsynsbegäran mail.docx", "A 41238-2025")</f>
        <v/>
      </c>
    </row>
    <row r="136" ht="15" customHeight="1">
      <c r="A136" t="inlineStr">
        <is>
          <t>A 24-2021</t>
        </is>
      </c>
      <c r="B136" s="1" t="n">
        <v>44197</v>
      </c>
      <c r="C136" s="1" t="n">
        <v>45931</v>
      </c>
      <c r="D136" t="inlineStr">
        <is>
          <t>GOTLANDS LÄN</t>
        </is>
      </c>
      <c r="E136" t="inlineStr">
        <is>
          <t>GOTLAND</t>
        </is>
      </c>
      <c r="F136" t="inlineStr">
        <is>
          <t>Kyrkan</t>
        </is>
      </c>
      <c r="G136" t="n">
        <v>1.7</v>
      </c>
      <c r="H136" t="n">
        <v>0</v>
      </c>
      <c r="I136" t="n">
        <v>1</v>
      </c>
      <c r="J136" t="n">
        <v>0</v>
      </c>
      <c r="K136" t="n">
        <v>0</v>
      </c>
      <c r="L136" t="n">
        <v>0</v>
      </c>
      <c r="M136" t="n">
        <v>0</v>
      </c>
      <c r="N136" t="n">
        <v>0</v>
      </c>
      <c r="O136" t="n">
        <v>0</v>
      </c>
      <c r="P136" t="n">
        <v>0</v>
      </c>
      <c r="Q136" t="n">
        <v>1</v>
      </c>
      <c r="R136" s="2" t="inlineStr">
        <is>
          <t>Svavelriska</t>
        </is>
      </c>
      <c r="S136">
        <f>HYPERLINK("https://klasma.github.io/Logging_0980/artfynd/A 24-2021 artfynd.xlsx", "A 24-2021")</f>
        <v/>
      </c>
      <c r="T136">
        <f>HYPERLINK("https://klasma.github.io/Logging_0980/kartor/A 24-2021 karta.png", "A 24-2021")</f>
        <v/>
      </c>
      <c r="V136">
        <f>HYPERLINK("https://klasma.github.io/Logging_0980/klagomål/A 24-2021 FSC-klagomål.docx", "A 24-2021")</f>
        <v/>
      </c>
      <c r="W136">
        <f>HYPERLINK("https://klasma.github.io/Logging_0980/klagomålsmail/A 24-2021 FSC-klagomål mail.docx", "A 24-2021")</f>
        <v/>
      </c>
      <c r="X136">
        <f>HYPERLINK("https://klasma.github.io/Logging_0980/tillsyn/A 24-2021 tillsynsbegäran.docx", "A 24-2021")</f>
        <v/>
      </c>
      <c r="Y136">
        <f>HYPERLINK("https://klasma.github.io/Logging_0980/tillsynsmail/A 24-2021 tillsynsbegäran mail.docx", "A 24-2021")</f>
        <v/>
      </c>
    </row>
    <row r="137" ht="15" customHeight="1">
      <c r="A137" t="inlineStr">
        <is>
          <t>A 46362-2021</t>
        </is>
      </c>
      <c r="B137" s="1" t="n">
        <v>44442</v>
      </c>
      <c r="C137" s="1" t="n">
        <v>45931</v>
      </c>
      <c r="D137" t="inlineStr">
        <is>
          <t>GOTLANDS LÄN</t>
        </is>
      </c>
      <c r="E137" t="inlineStr">
        <is>
          <t>GOTLAND</t>
        </is>
      </c>
      <c r="G137" t="n">
        <v>2.1</v>
      </c>
      <c r="H137" t="n">
        <v>0</v>
      </c>
      <c r="I137" t="n">
        <v>0</v>
      </c>
      <c r="J137" t="n">
        <v>1</v>
      </c>
      <c r="K137" t="n">
        <v>0</v>
      </c>
      <c r="L137" t="n">
        <v>0</v>
      </c>
      <c r="M137" t="n">
        <v>0</v>
      </c>
      <c r="N137" t="n">
        <v>0</v>
      </c>
      <c r="O137" t="n">
        <v>1</v>
      </c>
      <c r="P137" t="n">
        <v>0</v>
      </c>
      <c r="Q137" t="n">
        <v>1</v>
      </c>
      <c r="R137" s="2" t="inlineStr">
        <is>
          <t>Igelkott</t>
        </is>
      </c>
      <c r="S137">
        <f>HYPERLINK("https://klasma.github.io/Logging_0980/artfynd/A 46362-2021 artfynd.xlsx", "A 46362-2021")</f>
        <v/>
      </c>
      <c r="T137">
        <f>HYPERLINK("https://klasma.github.io/Logging_0980/kartor/A 46362-2021 karta.png", "A 46362-2021")</f>
        <v/>
      </c>
      <c r="V137">
        <f>HYPERLINK("https://klasma.github.io/Logging_0980/klagomål/A 46362-2021 FSC-klagomål.docx", "A 46362-2021")</f>
        <v/>
      </c>
      <c r="W137">
        <f>HYPERLINK("https://klasma.github.io/Logging_0980/klagomålsmail/A 46362-2021 FSC-klagomål mail.docx", "A 46362-2021")</f>
        <v/>
      </c>
      <c r="X137">
        <f>HYPERLINK("https://klasma.github.io/Logging_0980/tillsyn/A 46362-2021 tillsynsbegäran.docx", "A 46362-2021")</f>
        <v/>
      </c>
      <c r="Y137">
        <f>HYPERLINK("https://klasma.github.io/Logging_0980/tillsynsmail/A 46362-2021 tillsynsbegäran mail.docx", "A 46362-2021")</f>
        <v/>
      </c>
    </row>
    <row r="138" ht="15" customHeight="1">
      <c r="A138" t="inlineStr">
        <is>
          <t>A 35467-2021</t>
        </is>
      </c>
      <c r="B138" s="1" t="n">
        <v>44385</v>
      </c>
      <c r="C138" s="1" t="n">
        <v>45931</v>
      </c>
      <c r="D138" t="inlineStr">
        <is>
          <t>GOTLANDS LÄN</t>
        </is>
      </c>
      <c r="E138" t="inlineStr">
        <is>
          <t>GOTLAND</t>
        </is>
      </c>
      <c r="G138" t="n">
        <v>12.7</v>
      </c>
      <c r="H138" t="n">
        <v>0</v>
      </c>
      <c r="I138" t="n">
        <v>0</v>
      </c>
      <c r="J138" t="n">
        <v>1</v>
      </c>
      <c r="K138" t="n">
        <v>0</v>
      </c>
      <c r="L138" t="n">
        <v>0</v>
      </c>
      <c r="M138" t="n">
        <v>0</v>
      </c>
      <c r="N138" t="n">
        <v>0</v>
      </c>
      <c r="O138" t="n">
        <v>1</v>
      </c>
      <c r="P138" t="n">
        <v>0</v>
      </c>
      <c r="Q138" t="n">
        <v>1</v>
      </c>
      <c r="R138" s="2" t="inlineStr">
        <is>
          <t>Loppstarr</t>
        </is>
      </c>
      <c r="S138">
        <f>HYPERLINK("https://klasma.github.io/Logging_0980/artfynd/A 35467-2021 artfynd.xlsx", "A 35467-2021")</f>
        <v/>
      </c>
      <c r="T138">
        <f>HYPERLINK("https://klasma.github.io/Logging_0980/kartor/A 35467-2021 karta.png", "A 35467-2021")</f>
        <v/>
      </c>
      <c r="V138">
        <f>HYPERLINK("https://klasma.github.io/Logging_0980/klagomål/A 35467-2021 FSC-klagomål.docx", "A 35467-2021")</f>
        <v/>
      </c>
      <c r="W138">
        <f>HYPERLINK("https://klasma.github.io/Logging_0980/klagomålsmail/A 35467-2021 FSC-klagomål mail.docx", "A 35467-2021")</f>
        <v/>
      </c>
      <c r="X138">
        <f>HYPERLINK("https://klasma.github.io/Logging_0980/tillsyn/A 35467-2021 tillsynsbegäran.docx", "A 35467-2021")</f>
        <v/>
      </c>
      <c r="Y138">
        <f>HYPERLINK("https://klasma.github.io/Logging_0980/tillsynsmail/A 35467-2021 tillsynsbegäran mail.docx", "A 35467-2021")</f>
        <v/>
      </c>
    </row>
    <row r="139" ht="15" customHeight="1">
      <c r="A139" t="inlineStr">
        <is>
          <t>A 7485-2021</t>
        </is>
      </c>
      <c r="B139" s="1" t="n">
        <v>44238</v>
      </c>
      <c r="C139" s="1" t="n">
        <v>45931</v>
      </c>
      <c r="D139" t="inlineStr">
        <is>
          <t>GOTLANDS LÄN</t>
        </is>
      </c>
      <c r="E139" t="inlineStr">
        <is>
          <t>GOTLAND</t>
        </is>
      </c>
      <c r="G139" t="n">
        <v>2.9</v>
      </c>
      <c r="H139" t="n">
        <v>1</v>
      </c>
      <c r="I139" t="n">
        <v>0</v>
      </c>
      <c r="J139" t="n">
        <v>1</v>
      </c>
      <c r="K139" t="n">
        <v>0</v>
      </c>
      <c r="L139" t="n">
        <v>0</v>
      </c>
      <c r="M139" t="n">
        <v>0</v>
      </c>
      <c r="N139" t="n">
        <v>0</v>
      </c>
      <c r="O139" t="n">
        <v>1</v>
      </c>
      <c r="P139" t="n">
        <v>0</v>
      </c>
      <c r="Q139" t="n">
        <v>1</v>
      </c>
      <c r="R139" s="2" t="inlineStr">
        <is>
          <t>Spillkråka</t>
        </is>
      </c>
      <c r="S139">
        <f>HYPERLINK("https://klasma.github.io/Logging_0980/artfynd/A 7485-2021 artfynd.xlsx", "A 7485-2021")</f>
        <v/>
      </c>
      <c r="T139">
        <f>HYPERLINK("https://klasma.github.io/Logging_0980/kartor/A 7485-2021 karta.png", "A 7485-2021")</f>
        <v/>
      </c>
      <c r="V139">
        <f>HYPERLINK("https://klasma.github.io/Logging_0980/klagomål/A 7485-2021 FSC-klagomål.docx", "A 7485-2021")</f>
        <v/>
      </c>
      <c r="W139">
        <f>HYPERLINK("https://klasma.github.io/Logging_0980/klagomålsmail/A 7485-2021 FSC-klagomål mail.docx", "A 7485-2021")</f>
        <v/>
      </c>
      <c r="X139">
        <f>HYPERLINK("https://klasma.github.io/Logging_0980/tillsyn/A 7485-2021 tillsynsbegäran.docx", "A 7485-2021")</f>
        <v/>
      </c>
      <c r="Y139">
        <f>HYPERLINK("https://klasma.github.io/Logging_0980/tillsynsmail/A 7485-2021 tillsynsbegäran mail.docx", "A 7485-2021")</f>
        <v/>
      </c>
      <c r="Z139">
        <f>HYPERLINK("https://klasma.github.io/Logging_0980/fåglar/A 7485-2021 prioriterade fågelarter.docx", "A 7485-2021")</f>
        <v/>
      </c>
    </row>
    <row r="140" ht="15" customHeight="1">
      <c r="A140" t="inlineStr">
        <is>
          <t>A 13939-2021</t>
        </is>
      </c>
      <c r="B140" s="1" t="n">
        <v>44277</v>
      </c>
      <c r="C140" s="1" t="n">
        <v>45931</v>
      </c>
      <c r="D140" t="inlineStr">
        <is>
          <t>GOTLANDS LÄN</t>
        </is>
      </c>
      <c r="E140" t="inlineStr">
        <is>
          <t>GOTLAND</t>
        </is>
      </c>
      <c r="G140" t="n">
        <v>1</v>
      </c>
      <c r="H140" t="n">
        <v>0</v>
      </c>
      <c r="I140" t="n">
        <v>0</v>
      </c>
      <c r="J140" t="n">
        <v>1</v>
      </c>
      <c r="K140" t="n">
        <v>0</v>
      </c>
      <c r="L140" t="n">
        <v>0</v>
      </c>
      <c r="M140" t="n">
        <v>0</v>
      </c>
      <c r="N140" t="n">
        <v>0</v>
      </c>
      <c r="O140" t="n">
        <v>1</v>
      </c>
      <c r="P140" t="n">
        <v>0</v>
      </c>
      <c r="Q140" t="n">
        <v>1</v>
      </c>
      <c r="R140" s="2" t="inlineStr">
        <is>
          <t>Axveronika</t>
        </is>
      </c>
      <c r="S140">
        <f>HYPERLINK("https://klasma.github.io/Logging_0980/artfynd/A 13939-2021 artfynd.xlsx", "A 13939-2021")</f>
        <v/>
      </c>
      <c r="T140">
        <f>HYPERLINK("https://klasma.github.io/Logging_0980/kartor/A 13939-2021 karta.png", "A 13939-2021")</f>
        <v/>
      </c>
      <c r="V140">
        <f>HYPERLINK("https://klasma.github.io/Logging_0980/klagomål/A 13939-2021 FSC-klagomål.docx", "A 13939-2021")</f>
        <v/>
      </c>
      <c r="W140">
        <f>HYPERLINK("https://klasma.github.io/Logging_0980/klagomålsmail/A 13939-2021 FSC-klagomål mail.docx", "A 13939-2021")</f>
        <v/>
      </c>
      <c r="X140">
        <f>HYPERLINK("https://klasma.github.io/Logging_0980/tillsyn/A 13939-2021 tillsynsbegäran.docx", "A 13939-2021")</f>
        <v/>
      </c>
      <c r="Y140">
        <f>HYPERLINK("https://klasma.github.io/Logging_0980/tillsynsmail/A 13939-2021 tillsynsbegäran mail.docx", "A 13939-2021")</f>
        <v/>
      </c>
    </row>
    <row r="141" ht="15" customHeight="1">
      <c r="A141" t="inlineStr">
        <is>
          <t>A 10218-2025</t>
        </is>
      </c>
      <c r="B141" s="1" t="n">
        <v>45720</v>
      </c>
      <c r="C141" s="1" t="n">
        <v>45931</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13939-2021</t>
        </is>
      </c>
      <c r="B142" s="1" t="n">
        <v>44277</v>
      </c>
      <c r="C142" s="1" t="n">
        <v>45931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44308-2021</t>
        </is>
      </c>
      <c r="B143" s="1" t="n">
        <v>44434</v>
      </c>
      <c r="C143" s="1" t="n">
        <v>45931</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24245-2022</t>
        </is>
      </c>
      <c r="B144" s="1" t="n">
        <v>44725</v>
      </c>
      <c r="C144" s="1" t="n">
        <v>45931</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12379-2024</t>
        </is>
      </c>
      <c r="B145" s="1" t="n">
        <v>45379.28155092592</v>
      </c>
      <c r="C145" s="1" t="n">
        <v>45931</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45931</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447-2023</t>
        </is>
      </c>
      <c r="B147" s="1" t="n">
        <v>44929</v>
      </c>
      <c r="C147" s="1" t="n">
        <v>45931</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947-2023</t>
        </is>
      </c>
      <c r="B148" s="1" t="n">
        <v>44934</v>
      </c>
      <c r="C148" s="1" t="n">
        <v>45931</v>
      </c>
      <c r="D148" t="inlineStr">
        <is>
          <t>GOTLANDS LÄN</t>
        </is>
      </c>
      <c r="E148" t="inlineStr">
        <is>
          <t>GOTLAND</t>
        </is>
      </c>
      <c r="G148" t="n">
        <v>0.7</v>
      </c>
      <c r="H148" t="n">
        <v>1</v>
      </c>
      <c r="I148" t="n">
        <v>0</v>
      </c>
      <c r="J148" t="n">
        <v>0</v>
      </c>
      <c r="K148" t="n">
        <v>1</v>
      </c>
      <c r="L148" t="n">
        <v>0</v>
      </c>
      <c r="M148" t="n">
        <v>0</v>
      </c>
      <c r="N148" t="n">
        <v>0</v>
      </c>
      <c r="O148" t="n">
        <v>1</v>
      </c>
      <c r="P148" t="n">
        <v>1</v>
      </c>
      <c r="Q148" t="n">
        <v>1</v>
      </c>
      <c r="R148" s="2" t="inlineStr">
        <is>
          <t>Garderönn</t>
        </is>
      </c>
      <c r="S148">
        <f>HYPERLINK("https://klasma.github.io/Logging_0980/artfynd/A 947-2023 artfynd.xlsx", "A 947-2023")</f>
        <v/>
      </c>
      <c r="T148">
        <f>HYPERLINK("https://klasma.github.io/Logging_0980/kartor/A 947-2023 karta.png", "A 947-2023")</f>
        <v/>
      </c>
      <c r="V148">
        <f>HYPERLINK("https://klasma.github.io/Logging_0980/klagomål/A 947-2023 FSC-klagomål.docx", "A 947-2023")</f>
        <v/>
      </c>
      <c r="W148">
        <f>HYPERLINK("https://klasma.github.io/Logging_0980/klagomålsmail/A 947-2023 FSC-klagomål mail.docx", "A 947-2023")</f>
        <v/>
      </c>
      <c r="X148">
        <f>HYPERLINK("https://klasma.github.io/Logging_0980/tillsyn/A 947-2023 tillsynsbegäran.docx", "A 947-2023")</f>
        <v/>
      </c>
      <c r="Y148">
        <f>HYPERLINK("https://klasma.github.io/Logging_0980/tillsynsmail/A 947-2023 tillsynsbegäran mail.docx", "A 947-2023")</f>
        <v/>
      </c>
    </row>
    <row r="149" ht="15" customHeight="1">
      <c r="A149" t="inlineStr">
        <is>
          <t>A 49847-2023</t>
        </is>
      </c>
      <c r="B149" s="1" t="n">
        <v>45212</v>
      </c>
      <c r="C149" s="1" t="n">
        <v>45931</v>
      </c>
      <c r="D149" t="inlineStr">
        <is>
          <t>GOTLANDS LÄN</t>
        </is>
      </c>
      <c r="E149" t="inlineStr">
        <is>
          <t>GOTLAND</t>
        </is>
      </c>
      <c r="G149" t="n">
        <v>35.2</v>
      </c>
      <c r="H149" t="n">
        <v>0</v>
      </c>
      <c r="I149" t="n">
        <v>0</v>
      </c>
      <c r="J149" t="n">
        <v>0</v>
      </c>
      <c r="K149" t="n">
        <v>1</v>
      </c>
      <c r="L149" t="n">
        <v>0</v>
      </c>
      <c r="M149" t="n">
        <v>0</v>
      </c>
      <c r="N149" t="n">
        <v>0</v>
      </c>
      <c r="O149" t="n">
        <v>1</v>
      </c>
      <c r="P149" t="n">
        <v>1</v>
      </c>
      <c r="Q149" t="n">
        <v>1</v>
      </c>
      <c r="R149" s="2" t="inlineStr">
        <is>
          <t>Strandviol</t>
        </is>
      </c>
      <c r="S149">
        <f>HYPERLINK("https://klasma.github.io/Logging_0980/artfynd/A 49847-2023 artfynd.xlsx", "A 49847-2023")</f>
        <v/>
      </c>
      <c r="T149">
        <f>HYPERLINK("https://klasma.github.io/Logging_0980/kartor/A 49847-2023 karta.png", "A 49847-2023")</f>
        <v/>
      </c>
      <c r="V149">
        <f>HYPERLINK("https://klasma.github.io/Logging_0980/klagomål/A 49847-2023 FSC-klagomål.docx", "A 49847-2023")</f>
        <v/>
      </c>
      <c r="W149">
        <f>HYPERLINK("https://klasma.github.io/Logging_0980/klagomålsmail/A 49847-2023 FSC-klagomål mail.docx", "A 49847-2023")</f>
        <v/>
      </c>
      <c r="X149">
        <f>HYPERLINK("https://klasma.github.io/Logging_0980/tillsyn/A 49847-2023 tillsynsbegäran.docx", "A 49847-2023")</f>
        <v/>
      </c>
      <c r="Y149">
        <f>HYPERLINK("https://klasma.github.io/Logging_0980/tillsynsmail/A 49847-2023 tillsynsbegäran mail.docx", "A 49847-2023")</f>
        <v/>
      </c>
    </row>
    <row r="150" ht="15" customHeight="1">
      <c r="A150" t="inlineStr">
        <is>
          <t>A 49304-2024</t>
        </is>
      </c>
      <c r="B150" s="1" t="n">
        <v>45595.54996527778</v>
      </c>
      <c r="C150" s="1" t="n">
        <v>45931</v>
      </c>
      <c r="D150" t="inlineStr">
        <is>
          <t>GOTLANDS LÄN</t>
        </is>
      </c>
      <c r="E150" t="inlineStr">
        <is>
          <t>GOTLAND</t>
        </is>
      </c>
      <c r="G150" t="n">
        <v>10.8</v>
      </c>
      <c r="H150" t="n">
        <v>0</v>
      </c>
      <c r="I150" t="n">
        <v>0</v>
      </c>
      <c r="J150" t="n">
        <v>1</v>
      </c>
      <c r="K150" t="n">
        <v>0</v>
      </c>
      <c r="L150" t="n">
        <v>0</v>
      </c>
      <c r="M150" t="n">
        <v>0</v>
      </c>
      <c r="N150" t="n">
        <v>0</v>
      </c>
      <c r="O150" t="n">
        <v>1</v>
      </c>
      <c r="P150" t="n">
        <v>0</v>
      </c>
      <c r="Q150" t="n">
        <v>1</v>
      </c>
      <c r="R150" s="2" t="inlineStr">
        <is>
          <t>Åkerranunkel</t>
        </is>
      </c>
      <c r="S150">
        <f>HYPERLINK("https://klasma.github.io/Logging_0980/artfynd/A 49304-2024 artfynd.xlsx", "A 49304-2024")</f>
        <v/>
      </c>
      <c r="T150">
        <f>HYPERLINK("https://klasma.github.io/Logging_0980/kartor/A 49304-2024 karta.png", "A 49304-2024")</f>
        <v/>
      </c>
      <c r="V150">
        <f>HYPERLINK("https://klasma.github.io/Logging_0980/klagomål/A 49304-2024 FSC-klagomål.docx", "A 49304-2024")</f>
        <v/>
      </c>
      <c r="W150">
        <f>HYPERLINK("https://klasma.github.io/Logging_0980/klagomålsmail/A 49304-2024 FSC-klagomål mail.docx", "A 49304-2024")</f>
        <v/>
      </c>
      <c r="X150">
        <f>HYPERLINK("https://klasma.github.io/Logging_0980/tillsyn/A 49304-2024 tillsynsbegäran.docx", "A 49304-2024")</f>
        <v/>
      </c>
      <c r="Y150">
        <f>HYPERLINK("https://klasma.github.io/Logging_0980/tillsynsmail/A 49304-2024 tillsynsbegäran mail.docx", "A 49304-2024")</f>
        <v/>
      </c>
    </row>
    <row r="151" ht="15" customHeight="1">
      <c r="A151" t="inlineStr">
        <is>
          <t>A 46527-2023</t>
        </is>
      </c>
      <c r="B151" s="1" t="n">
        <v>45197</v>
      </c>
      <c r="C151" s="1" t="n">
        <v>45931</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63576-2021</t>
        </is>
      </c>
      <c r="B152" s="1" t="n">
        <v>44508</v>
      </c>
      <c r="C152" s="1" t="n">
        <v>45931</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45931</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12324-2025</t>
        </is>
      </c>
      <c r="B154" s="1" t="n">
        <v>45730</v>
      </c>
      <c r="C154" s="1" t="n">
        <v>45931</v>
      </c>
      <c r="D154" t="inlineStr">
        <is>
          <t>GOTLANDS LÄN</t>
        </is>
      </c>
      <c r="E154" t="inlineStr">
        <is>
          <t>GOTLAND</t>
        </is>
      </c>
      <c r="G154" t="n">
        <v>5</v>
      </c>
      <c r="H154" t="n">
        <v>0</v>
      </c>
      <c r="I154" t="n">
        <v>0</v>
      </c>
      <c r="J154" t="n">
        <v>0</v>
      </c>
      <c r="K154" t="n">
        <v>1</v>
      </c>
      <c r="L154" t="n">
        <v>0</v>
      </c>
      <c r="M154" t="n">
        <v>0</v>
      </c>
      <c r="N154" t="n">
        <v>0</v>
      </c>
      <c r="O154" t="n">
        <v>1</v>
      </c>
      <c r="P154" t="n">
        <v>1</v>
      </c>
      <c r="Q154" t="n">
        <v>1</v>
      </c>
      <c r="R154" s="2" t="inlineStr">
        <is>
          <t>Sommarklynne</t>
        </is>
      </c>
      <c r="S154">
        <f>HYPERLINK("https://klasma.github.io/Logging_0980/artfynd/A 12324-2025 artfynd.xlsx", "A 12324-2025")</f>
        <v/>
      </c>
      <c r="T154">
        <f>HYPERLINK("https://klasma.github.io/Logging_0980/kartor/A 12324-2025 karta.png", "A 12324-2025")</f>
        <v/>
      </c>
      <c r="V154">
        <f>HYPERLINK("https://klasma.github.io/Logging_0980/klagomål/A 12324-2025 FSC-klagomål.docx", "A 12324-2025")</f>
        <v/>
      </c>
      <c r="W154">
        <f>HYPERLINK("https://klasma.github.io/Logging_0980/klagomålsmail/A 12324-2025 FSC-klagomål mail.docx", "A 12324-2025")</f>
        <v/>
      </c>
      <c r="X154">
        <f>HYPERLINK("https://klasma.github.io/Logging_0980/tillsyn/A 12324-2025 tillsynsbegäran.docx", "A 12324-2025")</f>
        <v/>
      </c>
      <c r="Y154">
        <f>HYPERLINK("https://klasma.github.io/Logging_0980/tillsynsmail/A 12324-2025 tillsynsbegäran mail.docx", "A 12324-2025")</f>
        <v/>
      </c>
    </row>
    <row r="155" ht="15" customHeight="1">
      <c r="A155" t="inlineStr">
        <is>
          <t>A 37591-2023</t>
        </is>
      </c>
      <c r="B155" s="1" t="n">
        <v>45159</v>
      </c>
      <c r="C155" s="1" t="n">
        <v>45931</v>
      </c>
      <c r="D155" t="inlineStr">
        <is>
          <t>GOTLANDS LÄN</t>
        </is>
      </c>
      <c r="E155" t="inlineStr">
        <is>
          <t>GOTLAND</t>
        </is>
      </c>
      <c r="G155" t="n">
        <v>8.300000000000001</v>
      </c>
      <c r="H155" t="n">
        <v>0</v>
      </c>
      <c r="I155" t="n">
        <v>0</v>
      </c>
      <c r="J155" t="n">
        <v>1</v>
      </c>
      <c r="K155" t="n">
        <v>0</v>
      </c>
      <c r="L155" t="n">
        <v>0</v>
      </c>
      <c r="M155" t="n">
        <v>0</v>
      </c>
      <c r="N155" t="n">
        <v>0</v>
      </c>
      <c r="O155" t="n">
        <v>1</v>
      </c>
      <c r="P155" t="n">
        <v>0</v>
      </c>
      <c r="Q155" t="n">
        <v>1</v>
      </c>
      <c r="R155" s="2" t="inlineStr">
        <is>
          <t>Ängsstarr</t>
        </is>
      </c>
      <c r="S155">
        <f>HYPERLINK("https://klasma.github.io/Logging_0980/artfynd/A 37591-2023 artfynd.xlsx", "A 37591-2023")</f>
        <v/>
      </c>
      <c r="T155">
        <f>HYPERLINK("https://klasma.github.io/Logging_0980/kartor/A 37591-2023 karta.png", "A 37591-2023")</f>
        <v/>
      </c>
      <c r="V155">
        <f>HYPERLINK("https://klasma.github.io/Logging_0980/klagomål/A 37591-2023 FSC-klagomål.docx", "A 37591-2023")</f>
        <v/>
      </c>
      <c r="W155">
        <f>HYPERLINK("https://klasma.github.io/Logging_0980/klagomålsmail/A 37591-2023 FSC-klagomål mail.docx", "A 37591-2023")</f>
        <v/>
      </c>
      <c r="X155">
        <f>HYPERLINK("https://klasma.github.io/Logging_0980/tillsyn/A 37591-2023 tillsynsbegäran.docx", "A 37591-2023")</f>
        <v/>
      </c>
      <c r="Y155">
        <f>HYPERLINK("https://klasma.github.io/Logging_0980/tillsynsmail/A 37591-2023 tillsynsbegäran mail.docx", "A 37591-2023")</f>
        <v/>
      </c>
    </row>
    <row r="156" ht="15" customHeight="1">
      <c r="A156" t="inlineStr">
        <is>
          <t>A 14915-2025</t>
        </is>
      </c>
      <c r="B156" s="1" t="n">
        <v>45743.53121527778</v>
      </c>
      <c r="C156" s="1" t="n">
        <v>45931</v>
      </c>
      <c r="D156" t="inlineStr">
        <is>
          <t>GOTLANDS LÄN</t>
        </is>
      </c>
      <c r="E156" t="inlineStr">
        <is>
          <t>GOTLAND</t>
        </is>
      </c>
      <c r="G156" t="n">
        <v>5.9</v>
      </c>
      <c r="H156" t="n">
        <v>0</v>
      </c>
      <c r="I156" t="n">
        <v>0</v>
      </c>
      <c r="J156" t="n">
        <v>1</v>
      </c>
      <c r="K156" t="n">
        <v>0</v>
      </c>
      <c r="L156" t="n">
        <v>0</v>
      </c>
      <c r="M156" t="n">
        <v>0</v>
      </c>
      <c r="N156" t="n">
        <v>0</v>
      </c>
      <c r="O156" t="n">
        <v>1</v>
      </c>
      <c r="P156" t="n">
        <v>0</v>
      </c>
      <c r="Q156" t="n">
        <v>1</v>
      </c>
      <c r="R156" s="2" t="inlineStr">
        <is>
          <t>Igelkott</t>
        </is>
      </c>
      <c r="S156">
        <f>HYPERLINK("https://klasma.github.io/Logging_0980/artfynd/A 14915-2025 artfynd.xlsx", "A 14915-2025")</f>
        <v/>
      </c>
      <c r="T156">
        <f>HYPERLINK("https://klasma.github.io/Logging_0980/kartor/A 14915-2025 karta.png", "A 14915-2025")</f>
        <v/>
      </c>
      <c r="V156">
        <f>HYPERLINK("https://klasma.github.io/Logging_0980/klagomål/A 14915-2025 FSC-klagomål.docx", "A 14915-2025")</f>
        <v/>
      </c>
      <c r="W156">
        <f>HYPERLINK("https://klasma.github.io/Logging_0980/klagomålsmail/A 14915-2025 FSC-klagomål mail.docx", "A 14915-2025")</f>
        <v/>
      </c>
      <c r="X156">
        <f>HYPERLINK("https://klasma.github.io/Logging_0980/tillsyn/A 14915-2025 tillsynsbegäran.docx", "A 14915-2025")</f>
        <v/>
      </c>
      <c r="Y156">
        <f>HYPERLINK("https://klasma.github.io/Logging_0980/tillsynsmail/A 14915-2025 tillsynsbegäran mail.docx", "A 14915-2025")</f>
        <v/>
      </c>
    </row>
    <row r="157" ht="15" customHeight="1">
      <c r="A157" t="inlineStr">
        <is>
          <t>A 27589-2023</t>
        </is>
      </c>
      <c r="B157" s="1" t="n">
        <v>45097</v>
      </c>
      <c r="C157" s="1" t="n">
        <v>45931</v>
      </c>
      <c r="D157" t="inlineStr">
        <is>
          <t>GOTLANDS LÄN</t>
        </is>
      </c>
      <c r="E157" t="inlineStr">
        <is>
          <t>GOTLAND</t>
        </is>
      </c>
      <c r="G157" t="n">
        <v>5.4</v>
      </c>
      <c r="H157" t="n">
        <v>0</v>
      </c>
      <c r="I157" t="n">
        <v>0</v>
      </c>
      <c r="J157" t="n">
        <v>0</v>
      </c>
      <c r="K157" t="n">
        <v>0</v>
      </c>
      <c r="L157" t="n">
        <v>0</v>
      </c>
      <c r="M157" t="n">
        <v>1</v>
      </c>
      <c r="N157" t="n">
        <v>0</v>
      </c>
      <c r="O157" t="n">
        <v>1</v>
      </c>
      <c r="P157" t="n">
        <v>1</v>
      </c>
      <c r="Q157" t="n">
        <v>1</v>
      </c>
      <c r="R157" s="2" t="inlineStr">
        <is>
          <t>Skogsalm</t>
        </is>
      </c>
      <c r="S157">
        <f>HYPERLINK("https://klasma.github.io/Logging_0980/artfynd/A 27589-2023 artfynd.xlsx", "A 27589-2023")</f>
        <v/>
      </c>
      <c r="T157">
        <f>HYPERLINK("https://klasma.github.io/Logging_0980/kartor/A 27589-2023 karta.png", "A 27589-2023")</f>
        <v/>
      </c>
      <c r="V157">
        <f>HYPERLINK("https://klasma.github.io/Logging_0980/klagomål/A 27589-2023 FSC-klagomål.docx", "A 27589-2023")</f>
        <v/>
      </c>
      <c r="W157">
        <f>HYPERLINK("https://klasma.github.io/Logging_0980/klagomålsmail/A 27589-2023 FSC-klagomål mail.docx", "A 27589-2023")</f>
        <v/>
      </c>
      <c r="X157">
        <f>HYPERLINK("https://klasma.github.io/Logging_0980/tillsyn/A 27589-2023 tillsynsbegäran.docx", "A 27589-2023")</f>
        <v/>
      </c>
      <c r="Y157">
        <f>HYPERLINK("https://klasma.github.io/Logging_0980/tillsynsmail/A 27589-2023 tillsynsbegäran mail.docx", "A 27589-2023")</f>
        <v/>
      </c>
    </row>
    <row r="158" ht="15" customHeight="1">
      <c r="A158" t="inlineStr">
        <is>
          <t>A 1477-2024</t>
        </is>
      </c>
      <c r="B158" s="1" t="n">
        <v>45305.37987268518</v>
      </c>
      <c r="C158" s="1" t="n">
        <v>45931</v>
      </c>
      <c r="D158" t="inlineStr">
        <is>
          <t>GOTLANDS LÄN</t>
        </is>
      </c>
      <c r="E158" t="inlineStr">
        <is>
          <t>GOTLAND</t>
        </is>
      </c>
      <c r="G158" t="n">
        <v>6.9</v>
      </c>
      <c r="H158" t="n">
        <v>0</v>
      </c>
      <c r="I158" t="n">
        <v>0</v>
      </c>
      <c r="J158" t="n">
        <v>1</v>
      </c>
      <c r="K158" t="n">
        <v>0</v>
      </c>
      <c r="L158" t="n">
        <v>0</v>
      </c>
      <c r="M158" t="n">
        <v>0</v>
      </c>
      <c r="N158" t="n">
        <v>0</v>
      </c>
      <c r="O158" t="n">
        <v>1</v>
      </c>
      <c r="P158" t="n">
        <v>0</v>
      </c>
      <c r="Q158" t="n">
        <v>1</v>
      </c>
      <c r="R158" s="2" t="inlineStr">
        <is>
          <t>Igelkott</t>
        </is>
      </c>
      <c r="S158">
        <f>HYPERLINK("https://klasma.github.io/Logging_0980/artfynd/A 1477-2024 artfynd.xlsx", "A 1477-2024")</f>
        <v/>
      </c>
      <c r="T158">
        <f>HYPERLINK("https://klasma.github.io/Logging_0980/kartor/A 1477-2024 karta.png", "A 1477-2024")</f>
        <v/>
      </c>
      <c r="V158">
        <f>HYPERLINK("https://klasma.github.io/Logging_0980/klagomål/A 1477-2024 FSC-klagomål.docx", "A 1477-2024")</f>
        <v/>
      </c>
      <c r="W158">
        <f>HYPERLINK("https://klasma.github.io/Logging_0980/klagomålsmail/A 1477-2024 FSC-klagomål mail.docx", "A 1477-2024")</f>
        <v/>
      </c>
      <c r="X158">
        <f>HYPERLINK("https://klasma.github.io/Logging_0980/tillsyn/A 1477-2024 tillsynsbegäran.docx", "A 1477-2024")</f>
        <v/>
      </c>
      <c r="Y158">
        <f>HYPERLINK("https://klasma.github.io/Logging_0980/tillsynsmail/A 1477-2024 tillsynsbegäran mail.docx", "A 1477-2024")</f>
        <v/>
      </c>
    </row>
    <row r="159" ht="15" customHeight="1">
      <c r="A159" t="inlineStr">
        <is>
          <t>A 35574-2024</t>
        </is>
      </c>
      <c r="B159" s="1" t="n">
        <v>45531</v>
      </c>
      <c r="C159" s="1" t="n">
        <v>45931</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7637-2025</t>
        </is>
      </c>
      <c r="B160" s="1" t="n">
        <v>45705.77181712963</v>
      </c>
      <c r="C160" s="1" t="n">
        <v>45931</v>
      </c>
      <c r="D160" t="inlineStr">
        <is>
          <t>GOTLANDS LÄN</t>
        </is>
      </c>
      <c r="E160" t="inlineStr">
        <is>
          <t>GOTLAND</t>
        </is>
      </c>
      <c r="G160" t="n">
        <v>3.7</v>
      </c>
      <c r="H160" t="n">
        <v>0</v>
      </c>
      <c r="I160" t="n">
        <v>0</v>
      </c>
      <c r="J160" t="n">
        <v>0</v>
      </c>
      <c r="K160" t="n">
        <v>0</v>
      </c>
      <c r="L160" t="n">
        <v>0</v>
      </c>
      <c r="M160" t="n">
        <v>1</v>
      </c>
      <c r="N160" t="n">
        <v>0</v>
      </c>
      <c r="O160" t="n">
        <v>1</v>
      </c>
      <c r="P160" t="n">
        <v>1</v>
      </c>
      <c r="Q160" t="n">
        <v>1</v>
      </c>
      <c r="R160" s="2" t="inlineStr">
        <is>
          <t>Skogsalm</t>
        </is>
      </c>
      <c r="S160">
        <f>HYPERLINK("https://klasma.github.io/Logging_0980/artfynd/A 7637-2025 artfynd.xlsx", "A 7637-2025")</f>
        <v/>
      </c>
      <c r="T160">
        <f>HYPERLINK("https://klasma.github.io/Logging_0980/kartor/A 7637-2025 karta.png", "A 7637-2025")</f>
        <v/>
      </c>
      <c r="V160">
        <f>HYPERLINK("https://klasma.github.io/Logging_0980/klagomål/A 7637-2025 FSC-klagomål.docx", "A 7637-2025")</f>
        <v/>
      </c>
      <c r="W160">
        <f>HYPERLINK("https://klasma.github.io/Logging_0980/klagomålsmail/A 7637-2025 FSC-klagomål mail.docx", "A 7637-2025")</f>
        <v/>
      </c>
      <c r="X160">
        <f>HYPERLINK("https://klasma.github.io/Logging_0980/tillsyn/A 7637-2025 tillsynsbegäran.docx", "A 7637-2025")</f>
        <v/>
      </c>
      <c r="Y160">
        <f>HYPERLINK("https://klasma.github.io/Logging_0980/tillsynsmail/A 7637-2025 tillsynsbegäran mail.docx", "A 7637-2025")</f>
        <v/>
      </c>
    </row>
    <row r="161" ht="15" customHeight="1">
      <c r="A161" t="inlineStr">
        <is>
          <t>A 25977-2024</t>
        </is>
      </c>
      <c r="B161" s="1" t="n">
        <v>45467.69356481481</v>
      </c>
      <c r="C161" s="1" t="n">
        <v>45931</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21466-2025</t>
        </is>
      </c>
      <c r="B162" s="1" t="n">
        <v>45782</v>
      </c>
      <c r="C162" s="1" t="n">
        <v>45931</v>
      </c>
      <c r="D162" t="inlineStr">
        <is>
          <t>GOTLANDS LÄN</t>
        </is>
      </c>
      <c r="E162" t="inlineStr">
        <is>
          <t>GOTLAND</t>
        </is>
      </c>
      <c r="F162" t="inlineStr">
        <is>
          <t>Övriga statliga verk och myndigheter</t>
        </is>
      </c>
      <c r="G162" t="n">
        <v>1.7</v>
      </c>
      <c r="H162" t="n">
        <v>1</v>
      </c>
      <c r="I162" t="n">
        <v>0</v>
      </c>
      <c r="J162" t="n">
        <v>0</v>
      </c>
      <c r="K162" t="n">
        <v>0</v>
      </c>
      <c r="L162" t="n">
        <v>0</v>
      </c>
      <c r="M162" t="n">
        <v>0</v>
      </c>
      <c r="N162" t="n">
        <v>0</v>
      </c>
      <c r="O162" t="n">
        <v>0</v>
      </c>
      <c r="P162" t="n">
        <v>0</v>
      </c>
      <c r="Q162" t="n">
        <v>1</v>
      </c>
      <c r="R162" s="2" t="inlineStr">
        <is>
          <t>Blåsippa</t>
        </is>
      </c>
      <c r="S162">
        <f>HYPERLINK("https://klasma.github.io/Logging_0980/artfynd/A 21466-2025 artfynd.xlsx", "A 21466-2025")</f>
        <v/>
      </c>
      <c r="T162">
        <f>HYPERLINK("https://klasma.github.io/Logging_0980/kartor/A 21466-2025 karta.png", "A 21466-2025")</f>
        <v/>
      </c>
      <c r="V162">
        <f>HYPERLINK("https://klasma.github.io/Logging_0980/klagomål/A 21466-2025 FSC-klagomål.docx", "A 21466-2025")</f>
        <v/>
      </c>
      <c r="W162">
        <f>HYPERLINK("https://klasma.github.io/Logging_0980/klagomålsmail/A 21466-2025 FSC-klagomål mail.docx", "A 21466-2025")</f>
        <v/>
      </c>
      <c r="X162">
        <f>HYPERLINK("https://klasma.github.io/Logging_0980/tillsyn/A 21466-2025 tillsynsbegäran.docx", "A 21466-2025")</f>
        <v/>
      </c>
      <c r="Y162">
        <f>HYPERLINK("https://klasma.github.io/Logging_0980/tillsynsmail/A 21466-2025 tillsynsbegäran mail.docx", "A 21466-2025")</f>
        <v/>
      </c>
    </row>
    <row r="163" ht="15" customHeight="1">
      <c r="A163" t="inlineStr">
        <is>
          <t>A 20429-2025</t>
        </is>
      </c>
      <c r="B163" s="1" t="n">
        <v>45775.47728009259</v>
      </c>
      <c r="C163" s="1" t="n">
        <v>45931</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34142-2024</t>
        </is>
      </c>
      <c r="B164" s="1" t="n">
        <v>45524.36521990741</v>
      </c>
      <c r="C164" s="1" t="n">
        <v>45931</v>
      </c>
      <c r="D164" t="inlineStr">
        <is>
          <t>GOTLANDS LÄN</t>
        </is>
      </c>
      <c r="E164" t="inlineStr">
        <is>
          <t>GOTLAND</t>
        </is>
      </c>
      <c r="G164" t="n">
        <v>6</v>
      </c>
      <c r="H164" t="n">
        <v>0</v>
      </c>
      <c r="I164" t="n">
        <v>0</v>
      </c>
      <c r="J164" t="n">
        <v>1</v>
      </c>
      <c r="K164" t="n">
        <v>0</v>
      </c>
      <c r="L164" t="n">
        <v>0</v>
      </c>
      <c r="M164" t="n">
        <v>0</v>
      </c>
      <c r="N164" t="n">
        <v>0</v>
      </c>
      <c r="O164" t="n">
        <v>1</v>
      </c>
      <c r="P164" t="n">
        <v>0</v>
      </c>
      <c r="Q164" t="n">
        <v>1</v>
      </c>
      <c r="R164" s="2" t="inlineStr">
        <is>
          <t>Igelkott</t>
        </is>
      </c>
      <c r="S164">
        <f>HYPERLINK("https://klasma.github.io/Logging_0980/artfynd/A 34142-2024 artfynd.xlsx", "A 34142-2024")</f>
        <v/>
      </c>
      <c r="T164">
        <f>HYPERLINK("https://klasma.github.io/Logging_0980/kartor/A 34142-2024 karta.png", "A 34142-2024")</f>
        <v/>
      </c>
      <c r="V164">
        <f>HYPERLINK("https://klasma.github.io/Logging_0980/klagomål/A 34142-2024 FSC-klagomål.docx", "A 34142-2024")</f>
        <v/>
      </c>
      <c r="W164">
        <f>HYPERLINK("https://klasma.github.io/Logging_0980/klagomålsmail/A 34142-2024 FSC-klagomål mail.docx", "A 34142-2024")</f>
        <v/>
      </c>
      <c r="X164">
        <f>HYPERLINK("https://klasma.github.io/Logging_0980/tillsyn/A 34142-2024 tillsynsbegäran.docx", "A 34142-2024")</f>
        <v/>
      </c>
      <c r="Y164">
        <f>HYPERLINK("https://klasma.github.io/Logging_0980/tillsynsmail/A 34142-2024 tillsynsbegäran mail.docx", "A 34142-2024")</f>
        <v/>
      </c>
    </row>
    <row r="165" ht="15" customHeight="1">
      <c r="A165" t="inlineStr">
        <is>
          <t>A 65927-2021</t>
        </is>
      </c>
      <c r="B165" s="1" t="n">
        <v>44516</v>
      </c>
      <c r="C165" s="1" t="n">
        <v>45931</v>
      </c>
      <c r="D165" t="inlineStr">
        <is>
          <t>GOTLANDS LÄN</t>
        </is>
      </c>
      <c r="E165" t="inlineStr">
        <is>
          <t>GOTLAND</t>
        </is>
      </c>
      <c r="G165" t="n">
        <v>3.1</v>
      </c>
      <c r="H165" t="n">
        <v>1</v>
      </c>
      <c r="I165" t="n">
        <v>0</v>
      </c>
      <c r="J165" t="n">
        <v>0</v>
      </c>
      <c r="K165" t="n">
        <v>1</v>
      </c>
      <c r="L165" t="n">
        <v>0</v>
      </c>
      <c r="M165" t="n">
        <v>0</v>
      </c>
      <c r="N165" t="n">
        <v>0</v>
      </c>
      <c r="O165" t="n">
        <v>1</v>
      </c>
      <c r="P165" t="n">
        <v>1</v>
      </c>
      <c r="Q165" t="n">
        <v>1</v>
      </c>
      <c r="R165" s="2" t="inlineStr">
        <is>
          <t>Grenigt kungsljus</t>
        </is>
      </c>
      <c r="S165">
        <f>HYPERLINK("https://klasma.github.io/Logging_0980/artfynd/A 65927-2021 artfynd.xlsx", "A 65927-2021")</f>
        <v/>
      </c>
      <c r="T165">
        <f>HYPERLINK("https://klasma.github.io/Logging_0980/kartor/A 65927-2021 karta.png", "A 65927-2021")</f>
        <v/>
      </c>
      <c r="V165">
        <f>HYPERLINK("https://klasma.github.io/Logging_0980/klagomål/A 65927-2021 FSC-klagomål.docx", "A 65927-2021")</f>
        <v/>
      </c>
      <c r="W165">
        <f>HYPERLINK("https://klasma.github.io/Logging_0980/klagomålsmail/A 65927-2021 FSC-klagomål mail.docx", "A 65927-2021")</f>
        <v/>
      </c>
      <c r="X165">
        <f>HYPERLINK("https://klasma.github.io/Logging_0980/tillsyn/A 65927-2021 tillsynsbegäran.docx", "A 65927-2021")</f>
        <v/>
      </c>
      <c r="Y165">
        <f>HYPERLINK("https://klasma.github.io/Logging_0980/tillsynsmail/A 65927-2021 tillsynsbegäran mail.docx", "A 65927-2021")</f>
        <v/>
      </c>
    </row>
    <row r="166" ht="15" customHeight="1">
      <c r="A166" t="inlineStr">
        <is>
          <t>A 10440-2024</t>
        </is>
      </c>
      <c r="B166" s="1" t="n">
        <v>45366.32818287037</v>
      </c>
      <c r="C166" s="1" t="n">
        <v>45931</v>
      </c>
      <c r="D166" t="inlineStr">
        <is>
          <t>GOTLANDS LÄN</t>
        </is>
      </c>
      <c r="E166" t="inlineStr">
        <is>
          <t>GOTLAND</t>
        </is>
      </c>
      <c r="G166" t="n">
        <v>2.5</v>
      </c>
      <c r="H166" t="n">
        <v>1</v>
      </c>
      <c r="I166" t="n">
        <v>0</v>
      </c>
      <c r="J166" t="n">
        <v>1</v>
      </c>
      <c r="K166" t="n">
        <v>0</v>
      </c>
      <c r="L166" t="n">
        <v>0</v>
      </c>
      <c r="M166" t="n">
        <v>0</v>
      </c>
      <c r="N166" t="n">
        <v>0</v>
      </c>
      <c r="O166" t="n">
        <v>1</v>
      </c>
      <c r="P166" t="n">
        <v>0</v>
      </c>
      <c r="Q166" t="n">
        <v>1</v>
      </c>
      <c r="R166" s="2" t="inlineStr">
        <is>
          <t>Mindre hackspett</t>
        </is>
      </c>
      <c r="S166">
        <f>HYPERLINK("https://klasma.github.io/Logging_0980/artfynd/A 10440-2024 artfynd.xlsx", "A 10440-2024")</f>
        <v/>
      </c>
      <c r="T166">
        <f>HYPERLINK("https://klasma.github.io/Logging_0980/kartor/A 10440-2024 karta.png", "A 10440-2024")</f>
        <v/>
      </c>
      <c r="V166">
        <f>HYPERLINK("https://klasma.github.io/Logging_0980/klagomål/A 10440-2024 FSC-klagomål.docx", "A 10440-2024")</f>
        <v/>
      </c>
      <c r="W166">
        <f>HYPERLINK("https://klasma.github.io/Logging_0980/klagomålsmail/A 10440-2024 FSC-klagomål mail.docx", "A 10440-2024")</f>
        <v/>
      </c>
      <c r="X166">
        <f>HYPERLINK("https://klasma.github.io/Logging_0980/tillsyn/A 10440-2024 tillsynsbegäran.docx", "A 10440-2024")</f>
        <v/>
      </c>
      <c r="Y166">
        <f>HYPERLINK("https://klasma.github.io/Logging_0980/tillsynsmail/A 10440-2024 tillsynsbegäran mail.docx", "A 10440-2024")</f>
        <v/>
      </c>
      <c r="Z166">
        <f>HYPERLINK("https://klasma.github.io/Logging_0980/fåglar/A 10440-2024 prioriterade fågelarter.docx", "A 10440-2024")</f>
        <v/>
      </c>
    </row>
    <row r="167" ht="15" customHeight="1">
      <c r="A167" t="inlineStr">
        <is>
          <t>A 6303-2024</t>
        </is>
      </c>
      <c r="B167" s="1" t="n">
        <v>45338.35376157407</v>
      </c>
      <c r="C167" s="1" t="n">
        <v>45931</v>
      </c>
      <c r="D167" t="inlineStr">
        <is>
          <t>GOTLANDS LÄN</t>
        </is>
      </c>
      <c r="E167" t="inlineStr">
        <is>
          <t>GOTLAND</t>
        </is>
      </c>
      <c r="G167" t="n">
        <v>0.6</v>
      </c>
      <c r="H167" t="n">
        <v>0</v>
      </c>
      <c r="I167" t="n">
        <v>1</v>
      </c>
      <c r="J167" t="n">
        <v>0</v>
      </c>
      <c r="K167" t="n">
        <v>0</v>
      </c>
      <c r="L167" t="n">
        <v>0</v>
      </c>
      <c r="M167" t="n">
        <v>0</v>
      </c>
      <c r="N167" t="n">
        <v>0</v>
      </c>
      <c r="O167" t="n">
        <v>0</v>
      </c>
      <c r="P167" t="n">
        <v>0</v>
      </c>
      <c r="Q167" t="n">
        <v>1</v>
      </c>
      <c r="R167" s="2" t="inlineStr">
        <is>
          <t>Strävlosta</t>
        </is>
      </c>
      <c r="S167">
        <f>HYPERLINK("https://klasma.github.io/Logging_0980/artfynd/A 6303-2024 artfynd.xlsx", "A 6303-2024")</f>
        <v/>
      </c>
      <c r="T167">
        <f>HYPERLINK("https://klasma.github.io/Logging_0980/kartor/A 6303-2024 karta.png", "A 6303-2024")</f>
        <v/>
      </c>
      <c r="V167">
        <f>HYPERLINK("https://klasma.github.io/Logging_0980/klagomål/A 6303-2024 FSC-klagomål.docx", "A 6303-2024")</f>
        <v/>
      </c>
      <c r="W167">
        <f>HYPERLINK("https://klasma.github.io/Logging_0980/klagomålsmail/A 6303-2024 FSC-klagomål mail.docx", "A 6303-2024")</f>
        <v/>
      </c>
      <c r="X167">
        <f>HYPERLINK("https://klasma.github.io/Logging_0980/tillsyn/A 6303-2024 tillsynsbegäran.docx", "A 6303-2024")</f>
        <v/>
      </c>
      <c r="Y167">
        <f>HYPERLINK("https://klasma.github.io/Logging_0980/tillsynsmail/A 6303-2024 tillsynsbegäran mail.docx", "A 6303-2024")</f>
        <v/>
      </c>
    </row>
    <row r="168" ht="15" customHeight="1">
      <c r="A168" t="inlineStr">
        <is>
          <t>A 61796-2022</t>
        </is>
      </c>
      <c r="B168" s="1" t="n">
        <v>44917</v>
      </c>
      <c r="C168" s="1" t="n">
        <v>45931</v>
      </c>
      <c r="D168" t="inlineStr">
        <is>
          <t>GOTLANDS LÄN</t>
        </is>
      </c>
      <c r="E168" t="inlineStr">
        <is>
          <t>GOTLAND</t>
        </is>
      </c>
      <c r="G168" t="n">
        <v>1.5</v>
      </c>
      <c r="H168" t="n">
        <v>1</v>
      </c>
      <c r="I168" t="n">
        <v>0</v>
      </c>
      <c r="J168" t="n">
        <v>0</v>
      </c>
      <c r="K168" t="n">
        <v>0</v>
      </c>
      <c r="L168" t="n">
        <v>0</v>
      </c>
      <c r="M168" t="n">
        <v>0</v>
      </c>
      <c r="N168" t="n">
        <v>0</v>
      </c>
      <c r="O168" t="n">
        <v>0</v>
      </c>
      <c r="P168" t="n">
        <v>0</v>
      </c>
      <c r="Q168" t="n">
        <v>1</v>
      </c>
      <c r="R168" s="2" t="inlineStr">
        <is>
          <t>Skogsduva</t>
        </is>
      </c>
      <c r="S168">
        <f>HYPERLINK("https://klasma.github.io/Logging_0980/artfynd/A 61796-2022 artfynd.xlsx", "A 61796-2022")</f>
        <v/>
      </c>
      <c r="T168">
        <f>HYPERLINK("https://klasma.github.io/Logging_0980/kartor/A 61796-2022 karta.png", "A 61796-2022")</f>
        <v/>
      </c>
      <c r="V168">
        <f>HYPERLINK("https://klasma.github.io/Logging_0980/klagomål/A 61796-2022 FSC-klagomål.docx", "A 61796-2022")</f>
        <v/>
      </c>
      <c r="W168">
        <f>HYPERLINK("https://klasma.github.io/Logging_0980/klagomålsmail/A 61796-2022 FSC-klagomål mail.docx", "A 61796-2022")</f>
        <v/>
      </c>
      <c r="X168">
        <f>HYPERLINK("https://klasma.github.io/Logging_0980/tillsyn/A 61796-2022 tillsynsbegäran.docx", "A 61796-2022")</f>
        <v/>
      </c>
      <c r="Y168">
        <f>HYPERLINK("https://klasma.github.io/Logging_0980/tillsynsmail/A 61796-2022 tillsynsbegäran mail.docx", "A 61796-2022")</f>
        <v/>
      </c>
      <c r="Z168">
        <f>HYPERLINK("https://klasma.github.io/Logging_0980/fåglar/A 61796-2022 prioriterade fågelarter.docx", "A 61796-2022")</f>
        <v/>
      </c>
    </row>
    <row r="169" ht="15" customHeight="1">
      <c r="A169" t="inlineStr">
        <is>
          <t>A 34809-2024</t>
        </is>
      </c>
      <c r="B169" s="1" t="n">
        <v>45526</v>
      </c>
      <c r="C169" s="1" t="n">
        <v>45931</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26461-2025</t>
        </is>
      </c>
      <c r="B170" s="1" t="n">
        <v>45807.43337962963</v>
      </c>
      <c r="C170" s="1" t="n">
        <v>45931</v>
      </c>
      <c r="D170" t="inlineStr">
        <is>
          <t>GOTLANDS LÄN</t>
        </is>
      </c>
      <c r="E170" t="inlineStr">
        <is>
          <t>GOTLAND</t>
        </is>
      </c>
      <c r="G170" t="n">
        <v>4.1</v>
      </c>
      <c r="H170" t="n">
        <v>0</v>
      </c>
      <c r="I170" t="n">
        <v>0</v>
      </c>
      <c r="J170" t="n">
        <v>0</v>
      </c>
      <c r="K170" t="n">
        <v>1</v>
      </c>
      <c r="L170" t="n">
        <v>0</v>
      </c>
      <c r="M170" t="n">
        <v>0</v>
      </c>
      <c r="N170" t="n">
        <v>0</v>
      </c>
      <c r="O170" t="n">
        <v>1</v>
      </c>
      <c r="P170" t="n">
        <v>1</v>
      </c>
      <c r="Q170" t="n">
        <v>1</v>
      </c>
      <c r="R170" s="2" t="inlineStr">
        <is>
          <t>Gotlandsmåra</t>
        </is>
      </c>
      <c r="S170">
        <f>HYPERLINK("https://klasma.github.io/Logging_0980/artfynd/A 26461-2025 artfynd.xlsx", "A 26461-2025")</f>
        <v/>
      </c>
      <c r="T170">
        <f>HYPERLINK("https://klasma.github.io/Logging_0980/kartor/A 26461-2025 karta.png", "A 26461-2025")</f>
        <v/>
      </c>
      <c r="V170">
        <f>HYPERLINK("https://klasma.github.io/Logging_0980/klagomål/A 26461-2025 FSC-klagomål.docx", "A 26461-2025")</f>
        <v/>
      </c>
      <c r="W170">
        <f>HYPERLINK("https://klasma.github.io/Logging_0980/klagomålsmail/A 26461-2025 FSC-klagomål mail.docx", "A 26461-2025")</f>
        <v/>
      </c>
      <c r="X170">
        <f>HYPERLINK("https://klasma.github.io/Logging_0980/tillsyn/A 26461-2025 tillsynsbegäran.docx", "A 26461-2025")</f>
        <v/>
      </c>
      <c r="Y170">
        <f>HYPERLINK("https://klasma.github.io/Logging_0980/tillsynsmail/A 26461-2025 tillsynsbegäran mail.docx", "A 26461-2025")</f>
        <v/>
      </c>
    </row>
    <row r="171" ht="15" customHeight="1">
      <c r="A171" t="inlineStr">
        <is>
          <t>A 15637-2024</t>
        </is>
      </c>
      <c r="B171" s="1" t="n">
        <v>45403.6684837963</v>
      </c>
      <c r="C171" s="1" t="n">
        <v>45931</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61561-2023</t>
        </is>
      </c>
      <c r="B172" s="1" t="n">
        <v>45265</v>
      </c>
      <c r="C172" s="1" t="n">
        <v>45931</v>
      </c>
      <c r="D172" t="inlineStr">
        <is>
          <t>GOTLANDS LÄN</t>
        </is>
      </c>
      <c r="E172" t="inlineStr">
        <is>
          <t>GOTLAND</t>
        </is>
      </c>
      <c r="G172" t="n">
        <v>7.4</v>
      </c>
      <c r="H172" t="n">
        <v>0</v>
      </c>
      <c r="I172" t="n">
        <v>0</v>
      </c>
      <c r="J172" t="n">
        <v>1</v>
      </c>
      <c r="K172" t="n">
        <v>0</v>
      </c>
      <c r="L172" t="n">
        <v>0</v>
      </c>
      <c r="M172" t="n">
        <v>0</v>
      </c>
      <c r="N172" t="n">
        <v>0</v>
      </c>
      <c r="O172" t="n">
        <v>1</v>
      </c>
      <c r="P172" t="n">
        <v>0</v>
      </c>
      <c r="Q172" t="n">
        <v>1</v>
      </c>
      <c r="R172" s="2" t="inlineStr">
        <is>
          <t>Loppstarr</t>
        </is>
      </c>
      <c r="S172">
        <f>HYPERLINK("https://klasma.github.io/Logging_0980/artfynd/A 61561-2023 artfynd.xlsx", "A 61561-2023")</f>
        <v/>
      </c>
      <c r="T172">
        <f>HYPERLINK("https://klasma.github.io/Logging_0980/kartor/A 61561-2023 karta.png", "A 61561-2023")</f>
        <v/>
      </c>
      <c r="V172">
        <f>HYPERLINK("https://klasma.github.io/Logging_0980/klagomål/A 61561-2023 FSC-klagomål.docx", "A 61561-2023")</f>
        <v/>
      </c>
      <c r="W172">
        <f>HYPERLINK("https://klasma.github.io/Logging_0980/klagomålsmail/A 61561-2023 FSC-klagomål mail.docx", "A 61561-2023")</f>
        <v/>
      </c>
      <c r="X172">
        <f>HYPERLINK("https://klasma.github.io/Logging_0980/tillsyn/A 61561-2023 tillsynsbegäran.docx", "A 61561-2023")</f>
        <v/>
      </c>
      <c r="Y172">
        <f>HYPERLINK("https://klasma.github.io/Logging_0980/tillsynsmail/A 61561-2023 tillsynsbegäran mail.docx", "A 61561-2023")</f>
        <v/>
      </c>
    </row>
    <row r="173" ht="15" customHeight="1">
      <c r="A173" t="inlineStr">
        <is>
          <t>A 2476-2025</t>
        </is>
      </c>
      <c r="B173" s="1" t="n">
        <v>45673</v>
      </c>
      <c r="C173" s="1" t="n">
        <v>45931</v>
      </c>
      <c r="D173" t="inlineStr">
        <is>
          <t>GOTLANDS LÄN</t>
        </is>
      </c>
      <c r="E173" t="inlineStr">
        <is>
          <t>GOTLAND</t>
        </is>
      </c>
      <c r="G173" t="n">
        <v>3.1</v>
      </c>
      <c r="H173" t="n">
        <v>0</v>
      </c>
      <c r="I173" t="n">
        <v>1</v>
      </c>
      <c r="J173" t="n">
        <v>0</v>
      </c>
      <c r="K173" t="n">
        <v>0</v>
      </c>
      <c r="L173" t="n">
        <v>0</v>
      </c>
      <c r="M173" t="n">
        <v>0</v>
      </c>
      <c r="N173" t="n">
        <v>0</v>
      </c>
      <c r="O173" t="n">
        <v>0</v>
      </c>
      <c r="P173" t="n">
        <v>0</v>
      </c>
      <c r="Q173" t="n">
        <v>1</v>
      </c>
      <c r="R173" s="2" t="inlineStr">
        <is>
          <t>Kryddspindling</t>
        </is>
      </c>
      <c r="S173">
        <f>HYPERLINK("https://klasma.github.io/Logging_0980/artfynd/A 2476-2025 artfynd.xlsx", "A 2476-2025")</f>
        <v/>
      </c>
      <c r="T173">
        <f>HYPERLINK("https://klasma.github.io/Logging_0980/kartor/A 2476-2025 karta.png", "A 2476-2025")</f>
        <v/>
      </c>
      <c r="V173">
        <f>HYPERLINK("https://klasma.github.io/Logging_0980/klagomål/A 2476-2025 FSC-klagomål.docx", "A 2476-2025")</f>
        <v/>
      </c>
      <c r="W173">
        <f>HYPERLINK("https://klasma.github.io/Logging_0980/klagomålsmail/A 2476-2025 FSC-klagomål mail.docx", "A 2476-2025")</f>
        <v/>
      </c>
      <c r="X173">
        <f>HYPERLINK("https://klasma.github.io/Logging_0980/tillsyn/A 2476-2025 tillsynsbegäran.docx", "A 2476-2025")</f>
        <v/>
      </c>
      <c r="Y173">
        <f>HYPERLINK("https://klasma.github.io/Logging_0980/tillsynsmail/A 2476-2025 tillsynsbegäran mail.docx", "A 2476-2025")</f>
        <v/>
      </c>
    </row>
    <row r="174" ht="15" customHeight="1">
      <c r="A174" t="inlineStr">
        <is>
          <t>A 34141-2024</t>
        </is>
      </c>
      <c r="B174" s="1" t="n">
        <v>45524.36229166666</v>
      </c>
      <c r="C174" s="1" t="n">
        <v>45931</v>
      </c>
      <c r="D174" t="inlineStr">
        <is>
          <t>GOTLANDS LÄN</t>
        </is>
      </c>
      <c r="E174" t="inlineStr">
        <is>
          <t>GOTLAND</t>
        </is>
      </c>
      <c r="G174" t="n">
        <v>0.9</v>
      </c>
      <c r="H174" t="n">
        <v>0</v>
      </c>
      <c r="I174" t="n">
        <v>1</v>
      </c>
      <c r="J174" t="n">
        <v>0</v>
      </c>
      <c r="K174" t="n">
        <v>0</v>
      </c>
      <c r="L174" t="n">
        <v>0</v>
      </c>
      <c r="M174" t="n">
        <v>0</v>
      </c>
      <c r="N174" t="n">
        <v>0</v>
      </c>
      <c r="O174" t="n">
        <v>0</v>
      </c>
      <c r="P174" t="n">
        <v>0</v>
      </c>
      <c r="Q174" t="n">
        <v>1</v>
      </c>
      <c r="R174" s="2" t="inlineStr">
        <is>
          <t>Strävlosta</t>
        </is>
      </c>
      <c r="S174">
        <f>HYPERLINK("https://klasma.github.io/Logging_0980/artfynd/A 34141-2024 artfynd.xlsx", "A 34141-2024")</f>
        <v/>
      </c>
      <c r="T174">
        <f>HYPERLINK("https://klasma.github.io/Logging_0980/kartor/A 34141-2024 karta.png", "A 34141-2024")</f>
        <v/>
      </c>
      <c r="V174">
        <f>HYPERLINK("https://klasma.github.io/Logging_0980/klagomål/A 34141-2024 FSC-klagomål.docx", "A 34141-2024")</f>
        <v/>
      </c>
      <c r="W174">
        <f>HYPERLINK("https://klasma.github.io/Logging_0980/klagomålsmail/A 34141-2024 FSC-klagomål mail.docx", "A 34141-2024")</f>
        <v/>
      </c>
      <c r="X174">
        <f>HYPERLINK("https://klasma.github.io/Logging_0980/tillsyn/A 34141-2024 tillsynsbegäran.docx", "A 34141-2024")</f>
        <v/>
      </c>
      <c r="Y174">
        <f>HYPERLINK("https://klasma.github.io/Logging_0980/tillsynsmail/A 34141-2024 tillsynsbegäran mail.docx", "A 34141-2024")</f>
        <v/>
      </c>
    </row>
    <row r="175" ht="15" customHeight="1">
      <c r="A175" t="inlineStr">
        <is>
          <t>A 9862-2024</t>
        </is>
      </c>
      <c r="B175" s="1" t="n">
        <v>45363</v>
      </c>
      <c r="C175" s="1" t="n">
        <v>45931</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39812-2025</t>
        </is>
      </c>
      <c r="B176" s="1" t="n">
        <v>45891</v>
      </c>
      <c r="C176" s="1" t="n">
        <v>45931</v>
      </c>
      <c r="D176" t="inlineStr">
        <is>
          <t>GOTLANDS LÄN</t>
        </is>
      </c>
      <c r="E176" t="inlineStr">
        <is>
          <t>GOTLAND</t>
        </is>
      </c>
      <c r="G176" t="n">
        <v>6</v>
      </c>
      <c r="H176" t="n">
        <v>1</v>
      </c>
      <c r="I176" t="n">
        <v>0</v>
      </c>
      <c r="J176" t="n">
        <v>0</v>
      </c>
      <c r="K176" t="n">
        <v>0</v>
      </c>
      <c r="L176" t="n">
        <v>1</v>
      </c>
      <c r="M176" t="n">
        <v>0</v>
      </c>
      <c r="N176" t="n">
        <v>0</v>
      </c>
      <c r="O176" t="n">
        <v>1</v>
      </c>
      <c r="P176" t="n">
        <v>1</v>
      </c>
      <c r="Q176" t="n">
        <v>1</v>
      </c>
      <c r="R176" s="2" t="inlineStr">
        <is>
          <t>Nålkörvel</t>
        </is>
      </c>
      <c r="S176">
        <f>HYPERLINK("https://klasma.github.io/Logging_0980/artfynd/A 39812-2025 artfynd.xlsx", "A 39812-2025")</f>
        <v/>
      </c>
      <c r="T176">
        <f>HYPERLINK("https://klasma.github.io/Logging_0980/kartor/A 39812-2025 karta.png", "A 39812-2025")</f>
        <v/>
      </c>
      <c r="V176">
        <f>HYPERLINK("https://klasma.github.io/Logging_0980/klagomål/A 39812-2025 FSC-klagomål.docx", "A 39812-2025")</f>
        <v/>
      </c>
      <c r="W176">
        <f>HYPERLINK("https://klasma.github.io/Logging_0980/klagomålsmail/A 39812-2025 FSC-klagomål mail.docx", "A 39812-2025")</f>
        <v/>
      </c>
      <c r="X176">
        <f>HYPERLINK("https://klasma.github.io/Logging_0980/tillsyn/A 39812-2025 tillsynsbegäran.docx", "A 39812-2025")</f>
        <v/>
      </c>
      <c r="Y176">
        <f>HYPERLINK("https://klasma.github.io/Logging_0980/tillsynsmail/A 39812-2025 tillsynsbegäran mail.docx", "A 39812-2025")</f>
        <v/>
      </c>
    </row>
    <row r="177" ht="15" customHeight="1">
      <c r="A177" t="inlineStr">
        <is>
          <t>A 63299-2020</t>
        </is>
      </c>
      <c r="B177" s="1" t="n">
        <v>44165</v>
      </c>
      <c r="C177" s="1" t="n">
        <v>45931</v>
      </c>
      <c r="D177" t="inlineStr">
        <is>
          <t>GOTLANDS LÄN</t>
        </is>
      </c>
      <c r="E177" t="inlineStr">
        <is>
          <t>GOTLAND</t>
        </is>
      </c>
      <c r="G177" t="n">
        <v>12.9</v>
      </c>
      <c r="H177" t="n">
        <v>1</v>
      </c>
      <c r="I177" t="n">
        <v>0</v>
      </c>
      <c r="J177" t="n">
        <v>1</v>
      </c>
      <c r="K177" t="n">
        <v>0</v>
      </c>
      <c r="L177" t="n">
        <v>0</v>
      </c>
      <c r="M177" t="n">
        <v>0</v>
      </c>
      <c r="N177" t="n">
        <v>0</v>
      </c>
      <c r="O177" t="n">
        <v>1</v>
      </c>
      <c r="P177" t="n">
        <v>0</v>
      </c>
      <c r="Q177" t="n">
        <v>1</v>
      </c>
      <c r="R177" s="2" t="inlineStr">
        <is>
          <t>Svartfläckig blåvinge</t>
        </is>
      </c>
      <c r="S177">
        <f>HYPERLINK("https://klasma.github.io/Logging_0980/artfynd/A 63299-2020 artfynd.xlsx", "A 63299-2020")</f>
        <v/>
      </c>
      <c r="T177">
        <f>HYPERLINK("https://klasma.github.io/Logging_0980/kartor/A 63299-2020 karta.png", "A 63299-2020")</f>
        <v/>
      </c>
      <c r="V177">
        <f>HYPERLINK("https://klasma.github.io/Logging_0980/klagomål/A 63299-2020 FSC-klagomål.docx", "A 63299-2020")</f>
        <v/>
      </c>
      <c r="W177">
        <f>HYPERLINK("https://klasma.github.io/Logging_0980/klagomålsmail/A 63299-2020 FSC-klagomål mail.docx", "A 63299-2020")</f>
        <v/>
      </c>
      <c r="X177">
        <f>HYPERLINK("https://klasma.github.io/Logging_0980/tillsyn/A 63299-2020 tillsynsbegäran.docx", "A 63299-2020")</f>
        <v/>
      </c>
      <c r="Y177">
        <f>HYPERLINK("https://klasma.github.io/Logging_0980/tillsynsmail/A 63299-2020 tillsynsbegäran mail.docx", "A 63299-2020")</f>
        <v/>
      </c>
    </row>
    <row r="178" ht="15" customHeight="1">
      <c r="A178" t="inlineStr">
        <is>
          <t>A 10995-2023</t>
        </is>
      </c>
      <c r="B178" s="1" t="n">
        <v>44986</v>
      </c>
      <c r="C178" s="1" t="n">
        <v>45931</v>
      </c>
      <c r="D178" t="inlineStr">
        <is>
          <t>GOTLANDS LÄN</t>
        </is>
      </c>
      <c r="E178" t="inlineStr">
        <is>
          <t>GOTLAND</t>
        </is>
      </c>
      <c r="G178" t="n">
        <v>2.8</v>
      </c>
      <c r="H178" t="n">
        <v>0</v>
      </c>
      <c r="I178" t="n">
        <v>0</v>
      </c>
      <c r="J178" t="n">
        <v>0</v>
      </c>
      <c r="K178" t="n">
        <v>1</v>
      </c>
      <c r="L178" t="n">
        <v>0</v>
      </c>
      <c r="M178" t="n">
        <v>0</v>
      </c>
      <c r="N178" t="n">
        <v>0</v>
      </c>
      <c r="O178" t="n">
        <v>1</v>
      </c>
      <c r="P178" t="n">
        <v>1</v>
      </c>
      <c r="Q178" t="n">
        <v>1</v>
      </c>
      <c r="R178" s="2" t="inlineStr">
        <is>
          <t>Violettfläckig spindling</t>
        </is>
      </c>
      <c r="S178">
        <f>HYPERLINK("https://klasma.github.io/Logging_0980/artfynd/A 10995-2023 artfynd.xlsx", "A 10995-2023")</f>
        <v/>
      </c>
      <c r="T178">
        <f>HYPERLINK("https://klasma.github.io/Logging_0980/kartor/A 10995-2023 karta.png", "A 10995-2023")</f>
        <v/>
      </c>
      <c r="V178">
        <f>HYPERLINK("https://klasma.github.io/Logging_0980/klagomål/A 10995-2023 FSC-klagomål.docx", "A 10995-2023")</f>
        <v/>
      </c>
      <c r="W178">
        <f>HYPERLINK("https://klasma.github.io/Logging_0980/klagomålsmail/A 10995-2023 FSC-klagomål mail.docx", "A 10995-2023")</f>
        <v/>
      </c>
      <c r="X178">
        <f>HYPERLINK("https://klasma.github.io/Logging_0980/tillsyn/A 10995-2023 tillsynsbegäran.docx", "A 10995-2023")</f>
        <v/>
      </c>
      <c r="Y178">
        <f>HYPERLINK("https://klasma.github.io/Logging_0980/tillsynsmail/A 10995-2023 tillsynsbegäran mail.docx", "A 10995-2023")</f>
        <v/>
      </c>
    </row>
    <row r="179" ht="15" customHeight="1">
      <c r="A179" t="inlineStr">
        <is>
          <t>A 27168-2022</t>
        </is>
      </c>
      <c r="B179" s="1" t="n">
        <v>44741</v>
      </c>
      <c r="C179" s="1" t="n">
        <v>45931</v>
      </c>
      <c r="D179" t="inlineStr">
        <is>
          <t>GOTLANDS LÄN</t>
        </is>
      </c>
      <c r="E179" t="inlineStr">
        <is>
          <t>GOTLAND</t>
        </is>
      </c>
      <c r="G179" t="n">
        <v>2.2</v>
      </c>
      <c r="H179" t="n">
        <v>1</v>
      </c>
      <c r="I179" t="n">
        <v>1</v>
      </c>
      <c r="J179" t="n">
        <v>0</v>
      </c>
      <c r="K179" t="n">
        <v>0</v>
      </c>
      <c r="L179" t="n">
        <v>0</v>
      </c>
      <c r="M179" t="n">
        <v>0</v>
      </c>
      <c r="N179" t="n">
        <v>0</v>
      </c>
      <c r="O179" t="n">
        <v>0</v>
      </c>
      <c r="P179" t="n">
        <v>0</v>
      </c>
      <c r="Q179" t="n">
        <v>1</v>
      </c>
      <c r="R179" s="2" t="inlineStr">
        <is>
          <t>Purpurknipprot</t>
        </is>
      </c>
      <c r="S179">
        <f>HYPERLINK("https://klasma.github.io/Logging_0980/artfynd/A 27168-2022 artfynd.xlsx", "A 27168-2022")</f>
        <v/>
      </c>
      <c r="T179">
        <f>HYPERLINK("https://klasma.github.io/Logging_0980/kartor/A 27168-2022 karta.png", "A 27168-2022")</f>
        <v/>
      </c>
      <c r="V179">
        <f>HYPERLINK("https://klasma.github.io/Logging_0980/klagomål/A 27168-2022 FSC-klagomål.docx", "A 27168-2022")</f>
        <v/>
      </c>
      <c r="W179">
        <f>HYPERLINK("https://klasma.github.io/Logging_0980/klagomålsmail/A 27168-2022 FSC-klagomål mail.docx", "A 27168-2022")</f>
        <v/>
      </c>
      <c r="X179">
        <f>HYPERLINK("https://klasma.github.io/Logging_0980/tillsyn/A 27168-2022 tillsynsbegäran.docx", "A 27168-2022")</f>
        <v/>
      </c>
      <c r="Y179">
        <f>HYPERLINK("https://klasma.github.io/Logging_0980/tillsynsmail/A 27168-2022 tillsynsbegäran mail.docx", "A 27168-2022")</f>
        <v/>
      </c>
    </row>
    <row r="180" ht="15" customHeight="1">
      <c r="A180" t="inlineStr">
        <is>
          <t>A 22782-2023</t>
        </is>
      </c>
      <c r="B180" s="1" t="n">
        <v>45072</v>
      </c>
      <c r="C180" s="1" t="n">
        <v>45931</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62552-2022</t>
        </is>
      </c>
      <c r="B181" s="1" t="n">
        <v>44924</v>
      </c>
      <c r="C181" s="1" t="n">
        <v>45931</v>
      </c>
      <c r="D181" t="inlineStr">
        <is>
          <t>GOTLANDS LÄN</t>
        </is>
      </c>
      <c r="E181" t="inlineStr">
        <is>
          <t>GOTLAND</t>
        </is>
      </c>
      <c r="G181" t="n">
        <v>1.6</v>
      </c>
      <c r="H181" t="n">
        <v>0</v>
      </c>
      <c r="I181" t="n">
        <v>0</v>
      </c>
      <c r="J181" t="n">
        <v>1</v>
      </c>
      <c r="K181" t="n">
        <v>0</v>
      </c>
      <c r="L181" t="n">
        <v>0</v>
      </c>
      <c r="M181" t="n">
        <v>0</v>
      </c>
      <c r="N181" t="n">
        <v>0</v>
      </c>
      <c r="O181" t="n">
        <v>1</v>
      </c>
      <c r="P181" t="n">
        <v>0</v>
      </c>
      <c r="Q181" t="n">
        <v>1</v>
      </c>
      <c r="R181" s="2" t="inlineStr">
        <is>
          <t>Äggspindling</t>
        </is>
      </c>
      <c r="S181">
        <f>HYPERLINK("https://klasma.github.io/Logging_0980/artfynd/A 62552-2022 artfynd.xlsx", "A 62552-2022")</f>
        <v/>
      </c>
      <c r="T181">
        <f>HYPERLINK("https://klasma.github.io/Logging_0980/kartor/A 62552-2022 karta.png", "A 62552-2022")</f>
        <v/>
      </c>
      <c r="V181">
        <f>HYPERLINK("https://klasma.github.io/Logging_0980/klagomål/A 62552-2022 FSC-klagomål.docx", "A 62552-2022")</f>
        <v/>
      </c>
      <c r="W181">
        <f>HYPERLINK("https://klasma.github.io/Logging_0980/klagomålsmail/A 62552-2022 FSC-klagomål mail.docx", "A 62552-2022")</f>
        <v/>
      </c>
      <c r="X181">
        <f>HYPERLINK("https://klasma.github.io/Logging_0980/tillsyn/A 62552-2022 tillsynsbegäran.docx", "A 62552-2022")</f>
        <v/>
      </c>
      <c r="Y181">
        <f>HYPERLINK("https://klasma.github.io/Logging_0980/tillsynsmail/A 62552-2022 tillsynsbegäran mail.docx", "A 62552-2022")</f>
        <v/>
      </c>
    </row>
    <row r="182" ht="15" customHeight="1">
      <c r="A182" t="inlineStr">
        <is>
          <t>A 22883-2024</t>
        </is>
      </c>
      <c r="B182" s="1" t="n">
        <v>45448.66368055555</v>
      </c>
      <c r="C182" s="1" t="n">
        <v>45931</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44088-2022</t>
        </is>
      </c>
      <c r="B183" s="1" t="n">
        <v>44839</v>
      </c>
      <c r="C183" s="1" t="n">
        <v>45931</v>
      </c>
      <c r="D183" t="inlineStr">
        <is>
          <t>GOTLANDS LÄN</t>
        </is>
      </c>
      <c r="E183" t="inlineStr">
        <is>
          <t>GOTLAND</t>
        </is>
      </c>
      <c r="G183" t="n">
        <v>1.5</v>
      </c>
      <c r="H183" t="n">
        <v>0</v>
      </c>
      <c r="I183" t="n">
        <v>1</v>
      </c>
      <c r="J183" t="n">
        <v>0</v>
      </c>
      <c r="K183" t="n">
        <v>0</v>
      </c>
      <c r="L183" t="n">
        <v>0</v>
      </c>
      <c r="M183" t="n">
        <v>0</v>
      </c>
      <c r="N183" t="n">
        <v>0</v>
      </c>
      <c r="O183" t="n">
        <v>0</v>
      </c>
      <c r="P183" t="n">
        <v>0</v>
      </c>
      <c r="Q183" t="n">
        <v>1</v>
      </c>
      <c r="R183" s="2" t="inlineStr">
        <is>
          <t>Strävlosta</t>
        </is>
      </c>
      <c r="S183">
        <f>HYPERLINK("https://klasma.github.io/Logging_0980/artfynd/A 44088-2022 artfynd.xlsx", "A 44088-2022")</f>
        <v/>
      </c>
      <c r="T183">
        <f>HYPERLINK("https://klasma.github.io/Logging_0980/kartor/A 44088-2022 karta.png", "A 44088-2022")</f>
        <v/>
      </c>
      <c r="V183">
        <f>HYPERLINK("https://klasma.github.io/Logging_0980/klagomål/A 44088-2022 FSC-klagomål.docx", "A 44088-2022")</f>
        <v/>
      </c>
      <c r="W183">
        <f>HYPERLINK("https://klasma.github.io/Logging_0980/klagomålsmail/A 44088-2022 FSC-klagomål mail.docx", "A 44088-2022")</f>
        <v/>
      </c>
      <c r="X183">
        <f>HYPERLINK("https://klasma.github.io/Logging_0980/tillsyn/A 44088-2022 tillsynsbegäran.docx", "A 44088-2022")</f>
        <v/>
      </c>
      <c r="Y183">
        <f>HYPERLINK("https://klasma.github.io/Logging_0980/tillsynsmail/A 44088-2022 tillsynsbegäran mail.docx", "A 44088-2022")</f>
        <v/>
      </c>
    </row>
    <row r="184" ht="15" customHeight="1">
      <c r="A184" t="inlineStr">
        <is>
          <t>A 44619-2025</t>
        </is>
      </c>
      <c r="B184" s="1" t="n">
        <v>45917</v>
      </c>
      <c r="C184" s="1" t="n">
        <v>45931</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Ögonpyrola</t>
        </is>
      </c>
      <c r="S184">
        <f>HYPERLINK("https://klasma.github.io/Logging_0980/artfynd/A 44619-2025 artfynd.xlsx", "A 44619-2025")</f>
        <v/>
      </c>
      <c r="T184">
        <f>HYPERLINK("https://klasma.github.io/Logging_0980/kartor/A 44619-2025 karta.png", "A 44619-2025")</f>
        <v/>
      </c>
      <c r="V184">
        <f>HYPERLINK("https://klasma.github.io/Logging_0980/klagomål/A 44619-2025 FSC-klagomål.docx", "A 44619-2025")</f>
        <v/>
      </c>
      <c r="W184">
        <f>HYPERLINK("https://klasma.github.io/Logging_0980/klagomålsmail/A 44619-2025 FSC-klagomål mail.docx", "A 44619-2025")</f>
        <v/>
      </c>
      <c r="X184">
        <f>HYPERLINK("https://klasma.github.io/Logging_0980/tillsyn/A 44619-2025 tillsynsbegäran.docx", "A 44619-2025")</f>
        <v/>
      </c>
      <c r="Y184">
        <f>HYPERLINK("https://klasma.github.io/Logging_0980/tillsynsmail/A 44619-2025 tillsynsbegäran mail.docx", "A 44619-2025")</f>
        <v/>
      </c>
    </row>
    <row r="185" ht="15" customHeight="1">
      <c r="A185" t="inlineStr">
        <is>
          <t>A 12924-2025</t>
        </is>
      </c>
      <c r="B185" s="1" t="n">
        <v>45734</v>
      </c>
      <c r="C185" s="1" t="n">
        <v>45931</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19901-2021</t>
        </is>
      </c>
      <c r="B186" s="1" t="n">
        <v>44312</v>
      </c>
      <c r="C186" s="1" t="n">
        <v>45931</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45931</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45931</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45931</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45931</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59052-2020</t>
        </is>
      </c>
      <c r="B191" s="1" t="n">
        <v>44147</v>
      </c>
      <c r="C191" s="1" t="n">
        <v>45931</v>
      </c>
      <c r="D191" t="inlineStr">
        <is>
          <t>GOTLANDS LÄN</t>
        </is>
      </c>
      <c r="E191" t="inlineStr">
        <is>
          <t>GOTLAND</t>
        </is>
      </c>
      <c r="G191" t="n">
        <v>3.4</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45931</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45931</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45931</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45931</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53665-2020</t>
        </is>
      </c>
      <c r="B196" s="1" t="n">
        <v>44124.55001157407</v>
      </c>
      <c r="C196" s="1" t="n">
        <v>45931</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45931</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45931</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45931</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45931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45931</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45931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45931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45931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45931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45931</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45931</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45931</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45931</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45931</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45931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45931</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45931</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45931</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45931</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45931</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45931</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45931</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45931</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45931</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44942-2022</t>
        </is>
      </c>
      <c r="B221" s="1" t="n">
        <v>44841</v>
      </c>
      <c r="C221" s="1" t="n">
        <v>45931</v>
      </c>
      <c r="D221" t="inlineStr">
        <is>
          <t>GOTLANDS LÄN</t>
        </is>
      </c>
      <c r="E221" t="inlineStr">
        <is>
          <t>GOTLAND</t>
        </is>
      </c>
      <c r="G221" t="n">
        <v>2</v>
      </c>
      <c r="H221" t="n">
        <v>0</v>
      </c>
      <c r="I221" t="n">
        <v>0</v>
      </c>
      <c r="J221" t="n">
        <v>0</v>
      </c>
      <c r="K221" t="n">
        <v>0</v>
      </c>
      <c r="L221" t="n">
        <v>0</v>
      </c>
      <c r="M221" t="n">
        <v>0</v>
      </c>
      <c r="N221" t="n">
        <v>0</v>
      </c>
      <c r="O221" t="n">
        <v>0</v>
      </c>
      <c r="P221" t="n">
        <v>0</v>
      </c>
      <c r="Q221" t="n">
        <v>0</v>
      </c>
      <c r="R221" s="2" t="inlineStr"/>
    </row>
    <row r="222" ht="15" customHeight="1">
      <c r="A222" t="inlineStr">
        <is>
          <t>A 31239-2022</t>
        </is>
      </c>
      <c r="B222" s="1" t="n">
        <v>44771.49383101852</v>
      </c>
      <c r="C222" s="1" t="n">
        <v>45931</v>
      </c>
      <c r="D222" t="inlineStr">
        <is>
          <t>GOTLANDS LÄN</t>
        </is>
      </c>
      <c r="E222" t="inlineStr">
        <is>
          <t>GOTLAND</t>
        </is>
      </c>
      <c r="G222" t="n">
        <v>1.9</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45931</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45931</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45931</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58815-2021</t>
        </is>
      </c>
      <c r="B226" s="1" t="n">
        <v>44489</v>
      </c>
      <c r="C226" s="1" t="n">
        <v>45931</v>
      </c>
      <c r="D226" t="inlineStr">
        <is>
          <t>GOTLANDS LÄN</t>
        </is>
      </c>
      <c r="E226" t="inlineStr">
        <is>
          <t>GOTLAND</t>
        </is>
      </c>
      <c r="G226" t="n">
        <v>4.1</v>
      </c>
      <c r="H226" t="n">
        <v>0</v>
      </c>
      <c r="I226" t="n">
        <v>0</v>
      </c>
      <c r="J226" t="n">
        <v>0</v>
      </c>
      <c r="K226" t="n">
        <v>0</v>
      </c>
      <c r="L226" t="n">
        <v>0</v>
      </c>
      <c r="M226" t="n">
        <v>0</v>
      </c>
      <c r="N226" t="n">
        <v>0</v>
      </c>
      <c r="O226" t="n">
        <v>0</v>
      </c>
      <c r="P226" t="n">
        <v>0</v>
      </c>
      <c r="Q226" t="n">
        <v>0</v>
      </c>
      <c r="R226" s="2" t="inlineStr"/>
    </row>
    <row r="227" ht="15" customHeight="1">
      <c r="A227" t="inlineStr">
        <is>
          <t>A 22155-2021</t>
        </is>
      </c>
      <c r="B227" s="1" t="n">
        <v>44325.49369212963</v>
      </c>
      <c r="C227" s="1" t="n">
        <v>45931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45931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45931</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62120-2020</t>
        </is>
      </c>
      <c r="B230" s="1" t="n">
        <v>44158</v>
      </c>
      <c r="C230" s="1" t="n">
        <v>45931</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45931</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23910-2021</t>
        </is>
      </c>
      <c r="B232" s="1" t="n">
        <v>44335</v>
      </c>
      <c r="C232" s="1" t="n">
        <v>45931</v>
      </c>
      <c r="D232" t="inlineStr">
        <is>
          <t>GOTLANDS LÄN</t>
        </is>
      </c>
      <c r="E232" t="inlineStr">
        <is>
          <t>GOTLAND</t>
        </is>
      </c>
      <c r="G232" t="n">
        <v>1.5</v>
      </c>
      <c r="H232" t="n">
        <v>0</v>
      </c>
      <c r="I232" t="n">
        <v>0</v>
      </c>
      <c r="J232" t="n">
        <v>0</v>
      </c>
      <c r="K232" t="n">
        <v>0</v>
      </c>
      <c r="L232" t="n">
        <v>0</v>
      </c>
      <c r="M232" t="n">
        <v>0</v>
      </c>
      <c r="N232" t="n">
        <v>0</v>
      </c>
      <c r="O232" t="n">
        <v>0</v>
      </c>
      <c r="P232" t="n">
        <v>0</v>
      </c>
      <c r="Q232" t="n">
        <v>0</v>
      </c>
      <c r="R232" s="2" t="inlineStr"/>
    </row>
    <row r="233" ht="15" customHeight="1">
      <c r="A233" t="inlineStr">
        <is>
          <t>A 71010-2021</t>
        </is>
      </c>
      <c r="B233" s="1" t="n">
        <v>44538.63775462963</v>
      </c>
      <c r="C233" s="1" t="n">
        <v>45931</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17354-2022</t>
        </is>
      </c>
      <c r="B234" s="1" t="n">
        <v>44678</v>
      </c>
      <c r="C234" s="1" t="n">
        <v>45931</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45931</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45931</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45931</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45931</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45931</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45931</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22495-2022</t>
        </is>
      </c>
      <c r="B241" s="1" t="n">
        <v>44713.6452199074</v>
      </c>
      <c r="C241" s="1" t="n">
        <v>45931</v>
      </c>
      <c r="D241" t="inlineStr">
        <is>
          <t>GOTLANDS LÄN</t>
        </is>
      </c>
      <c r="E241" t="inlineStr">
        <is>
          <t>GOTLAND</t>
        </is>
      </c>
      <c r="G241" t="n">
        <v>0.5</v>
      </c>
      <c r="H241" t="n">
        <v>0</v>
      </c>
      <c r="I241" t="n">
        <v>0</v>
      </c>
      <c r="J241" t="n">
        <v>0</v>
      </c>
      <c r="K241" t="n">
        <v>0</v>
      </c>
      <c r="L241" t="n">
        <v>0</v>
      </c>
      <c r="M241" t="n">
        <v>0</v>
      </c>
      <c r="N241" t="n">
        <v>0</v>
      </c>
      <c r="O241" t="n">
        <v>0</v>
      </c>
      <c r="P241" t="n">
        <v>0</v>
      </c>
      <c r="Q241" t="n">
        <v>0</v>
      </c>
      <c r="R241" s="2" t="inlineStr"/>
    </row>
    <row r="242" ht="15" customHeight="1">
      <c r="A242" t="inlineStr">
        <is>
          <t>A 57219-2021</t>
        </is>
      </c>
      <c r="B242" s="1" t="n">
        <v>44483</v>
      </c>
      <c r="C242" s="1" t="n">
        <v>45931</v>
      </c>
      <c r="D242" t="inlineStr">
        <is>
          <t>GOTLANDS LÄN</t>
        </is>
      </c>
      <c r="E242" t="inlineStr">
        <is>
          <t>GOTLAND</t>
        </is>
      </c>
      <c r="F242" t="inlineStr">
        <is>
          <t>Kyrkan</t>
        </is>
      </c>
      <c r="G242" t="n">
        <v>4</v>
      </c>
      <c r="H242" t="n">
        <v>0</v>
      </c>
      <c r="I242" t="n">
        <v>0</v>
      </c>
      <c r="J242" t="n">
        <v>0</v>
      </c>
      <c r="K242" t="n">
        <v>0</v>
      </c>
      <c r="L242" t="n">
        <v>0</v>
      </c>
      <c r="M242" t="n">
        <v>0</v>
      </c>
      <c r="N242" t="n">
        <v>0</v>
      </c>
      <c r="O242" t="n">
        <v>0</v>
      </c>
      <c r="P242" t="n">
        <v>0</v>
      </c>
      <c r="Q242" t="n">
        <v>0</v>
      </c>
      <c r="R242" s="2" t="inlineStr"/>
    </row>
    <row r="243" ht="15" customHeight="1">
      <c r="A243" t="inlineStr">
        <is>
          <t>A 53641-2020</t>
        </is>
      </c>
      <c r="B243" s="1" t="n">
        <v>44124</v>
      </c>
      <c r="C243" s="1" t="n">
        <v>45931</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17901-2023</t>
        </is>
      </c>
      <c r="B244" s="1" t="n">
        <v>45039</v>
      </c>
      <c r="C244" s="1" t="n">
        <v>45931</v>
      </c>
      <c r="D244" t="inlineStr">
        <is>
          <t>GOTLANDS LÄN</t>
        </is>
      </c>
      <c r="E244" t="inlineStr">
        <is>
          <t>GOTLAND</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25866-2022</t>
        </is>
      </c>
      <c r="B245" s="1" t="n">
        <v>44733</v>
      </c>
      <c r="C245" s="1" t="n">
        <v>45931</v>
      </c>
      <c r="D245" t="inlineStr">
        <is>
          <t>GOTLANDS LÄN</t>
        </is>
      </c>
      <c r="E245" t="inlineStr">
        <is>
          <t>GOTLAND</t>
        </is>
      </c>
      <c r="G245" t="n">
        <v>2.9</v>
      </c>
      <c r="H245" t="n">
        <v>0</v>
      </c>
      <c r="I245" t="n">
        <v>0</v>
      </c>
      <c r="J245" t="n">
        <v>0</v>
      </c>
      <c r="K245" t="n">
        <v>0</v>
      </c>
      <c r="L245" t="n">
        <v>0</v>
      </c>
      <c r="M245" t="n">
        <v>0</v>
      </c>
      <c r="N245" t="n">
        <v>0</v>
      </c>
      <c r="O245" t="n">
        <v>0</v>
      </c>
      <c r="P245" t="n">
        <v>0</v>
      </c>
      <c r="Q245" t="n">
        <v>0</v>
      </c>
      <c r="R245" s="2" t="inlineStr"/>
    </row>
    <row r="246" ht="15" customHeight="1">
      <c r="A246" t="inlineStr">
        <is>
          <t>A 37037-2021</t>
        </is>
      </c>
      <c r="B246" s="1" t="n">
        <v>44393.84688657407</v>
      </c>
      <c r="C246" s="1" t="n">
        <v>45931</v>
      </c>
      <c r="D246" t="inlineStr">
        <is>
          <t>GOTLANDS LÄN</t>
        </is>
      </c>
      <c r="E246" t="inlineStr">
        <is>
          <t>GOTLAND</t>
        </is>
      </c>
      <c r="G246" t="n">
        <v>10.2</v>
      </c>
      <c r="H246" t="n">
        <v>0</v>
      </c>
      <c r="I246" t="n">
        <v>0</v>
      </c>
      <c r="J246" t="n">
        <v>0</v>
      </c>
      <c r="K246" t="n">
        <v>0</v>
      </c>
      <c r="L246" t="n">
        <v>0</v>
      </c>
      <c r="M246" t="n">
        <v>0</v>
      </c>
      <c r="N246" t="n">
        <v>0</v>
      </c>
      <c r="O246" t="n">
        <v>0</v>
      </c>
      <c r="P246" t="n">
        <v>0</v>
      </c>
      <c r="Q246" t="n">
        <v>0</v>
      </c>
      <c r="R246" s="2" t="inlineStr"/>
    </row>
    <row r="247" ht="15" customHeight="1">
      <c r="A247" t="inlineStr">
        <is>
          <t>A 43229-2023</t>
        </is>
      </c>
      <c r="B247" s="1" t="n">
        <v>45183.46704861111</v>
      </c>
      <c r="C247" s="1" t="n">
        <v>45931</v>
      </c>
      <c r="D247" t="inlineStr">
        <is>
          <t>GOTLANDS LÄN</t>
        </is>
      </c>
      <c r="E247" t="inlineStr">
        <is>
          <t>GOTLAND</t>
        </is>
      </c>
      <c r="G247" t="n">
        <v>7.1</v>
      </c>
      <c r="H247" t="n">
        <v>0</v>
      </c>
      <c r="I247" t="n">
        <v>0</v>
      </c>
      <c r="J247" t="n">
        <v>0</v>
      </c>
      <c r="K247" t="n">
        <v>0</v>
      </c>
      <c r="L247" t="n">
        <v>0</v>
      </c>
      <c r="M247" t="n">
        <v>0</v>
      </c>
      <c r="N247" t="n">
        <v>0</v>
      </c>
      <c r="O247" t="n">
        <v>0</v>
      </c>
      <c r="P247" t="n">
        <v>0</v>
      </c>
      <c r="Q247" t="n">
        <v>0</v>
      </c>
      <c r="R247" s="2" t="inlineStr"/>
    </row>
    <row r="248" ht="15" customHeight="1">
      <c r="A248" t="inlineStr">
        <is>
          <t>A 1175-2025</t>
        </is>
      </c>
      <c r="B248" s="1" t="n">
        <v>45667.34449074074</v>
      </c>
      <c r="C248" s="1" t="n">
        <v>45931</v>
      </c>
      <c r="D248" t="inlineStr">
        <is>
          <t>GOTLANDS LÄN</t>
        </is>
      </c>
      <c r="E248" t="inlineStr">
        <is>
          <t>GOTLAND</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52892-2021</t>
        </is>
      </c>
      <c r="B249" s="1" t="n">
        <v>44467.49048611111</v>
      </c>
      <c r="C249" s="1" t="n">
        <v>45931</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27095-2022</t>
        </is>
      </c>
      <c r="B250" s="1" t="n">
        <v>44741</v>
      </c>
      <c r="C250" s="1" t="n">
        <v>45931</v>
      </c>
      <c r="D250" t="inlineStr">
        <is>
          <t>GOTLANDS LÄN</t>
        </is>
      </c>
      <c r="E250" t="inlineStr">
        <is>
          <t>GOTLAND</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22899-2023</t>
        </is>
      </c>
      <c r="B251" s="1" t="n">
        <v>45072</v>
      </c>
      <c r="C251" s="1" t="n">
        <v>45931</v>
      </c>
      <c r="D251" t="inlineStr">
        <is>
          <t>GOTLANDS LÄN</t>
        </is>
      </c>
      <c r="E251" t="inlineStr">
        <is>
          <t>GOTLAND</t>
        </is>
      </c>
      <c r="G251" t="n">
        <v>0.7</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45931</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23978-2023</t>
        </is>
      </c>
      <c r="B253" s="1" t="n">
        <v>45078</v>
      </c>
      <c r="C253" s="1" t="n">
        <v>45931</v>
      </c>
      <c r="D253" t="inlineStr">
        <is>
          <t>GOTLANDS LÄN</t>
        </is>
      </c>
      <c r="E253" t="inlineStr">
        <is>
          <t>GOTLAND</t>
        </is>
      </c>
      <c r="F253" t="inlineStr">
        <is>
          <t>Naturvårdsverket</t>
        </is>
      </c>
      <c r="G253" t="n">
        <v>1.7</v>
      </c>
      <c r="H253" t="n">
        <v>0</v>
      </c>
      <c r="I253" t="n">
        <v>0</v>
      </c>
      <c r="J253" t="n">
        <v>0</v>
      </c>
      <c r="K253" t="n">
        <v>0</v>
      </c>
      <c r="L253" t="n">
        <v>0</v>
      </c>
      <c r="M253" t="n">
        <v>0</v>
      </c>
      <c r="N253" t="n">
        <v>0</v>
      </c>
      <c r="O253" t="n">
        <v>0</v>
      </c>
      <c r="P253" t="n">
        <v>0</v>
      </c>
      <c r="Q253" t="n">
        <v>0</v>
      </c>
      <c r="R253" s="2" t="inlineStr"/>
    </row>
    <row r="254" ht="15" customHeight="1">
      <c r="A254" t="inlineStr">
        <is>
          <t>A 34407-2023</t>
        </is>
      </c>
      <c r="B254" s="1" t="n">
        <v>45132</v>
      </c>
      <c r="C254" s="1" t="n">
        <v>45931</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11013-2024</t>
        </is>
      </c>
      <c r="B255" s="1" t="n">
        <v>45370</v>
      </c>
      <c r="C255" s="1" t="n">
        <v>45931</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27694-2024</t>
        </is>
      </c>
      <c r="B256" s="1" t="n">
        <v>45475</v>
      </c>
      <c r="C256" s="1" t="n">
        <v>45931</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46396-2023</t>
        </is>
      </c>
      <c r="B257" s="1" t="n">
        <v>45197</v>
      </c>
      <c r="C257" s="1" t="n">
        <v>45931</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4868-2024</t>
        </is>
      </c>
      <c r="B258" s="1" t="n">
        <v>45329</v>
      </c>
      <c r="C258" s="1" t="n">
        <v>45931</v>
      </c>
      <c r="D258" t="inlineStr">
        <is>
          <t>GOTLANDS LÄN</t>
        </is>
      </c>
      <c r="E258" t="inlineStr">
        <is>
          <t>GOTLAND</t>
        </is>
      </c>
      <c r="G258" t="n">
        <v>7.1</v>
      </c>
      <c r="H258" t="n">
        <v>0</v>
      </c>
      <c r="I258" t="n">
        <v>0</v>
      </c>
      <c r="J258" t="n">
        <v>0</v>
      </c>
      <c r="K258" t="n">
        <v>0</v>
      </c>
      <c r="L258" t="n">
        <v>0</v>
      </c>
      <c r="M258" t="n">
        <v>0</v>
      </c>
      <c r="N258" t="n">
        <v>0</v>
      </c>
      <c r="O258" t="n">
        <v>0</v>
      </c>
      <c r="P258" t="n">
        <v>0</v>
      </c>
      <c r="Q258" t="n">
        <v>0</v>
      </c>
      <c r="R258" s="2" t="inlineStr"/>
    </row>
    <row r="259" ht="15" customHeight="1">
      <c r="A259" t="inlineStr">
        <is>
          <t>A 15083-2025</t>
        </is>
      </c>
      <c r="B259" s="1" t="n">
        <v>45743</v>
      </c>
      <c r="C259" s="1" t="n">
        <v>45931</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13037-2025</t>
        </is>
      </c>
      <c r="B260" s="1" t="n">
        <v>45734</v>
      </c>
      <c r="C260" s="1" t="n">
        <v>45931</v>
      </c>
      <c r="D260" t="inlineStr">
        <is>
          <t>GOTLANDS LÄN</t>
        </is>
      </c>
      <c r="E260" t="inlineStr">
        <is>
          <t>GOTLAND</t>
        </is>
      </c>
      <c r="G260" t="n">
        <v>9.5</v>
      </c>
      <c r="H260" t="n">
        <v>0</v>
      </c>
      <c r="I260" t="n">
        <v>0</v>
      </c>
      <c r="J260" t="n">
        <v>0</v>
      </c>
      <c r="K260" t="n">
        <v>0</v>
      </c>
      <c r="L260" t="n">
        <v>0</v>
      </c>
      <c r="M260" t="n">
        <v>0</v>
      </c>
      <c r="N260" t="n">
        <v>0</v>
      </c>
      <c r="O260" t="n">
        <v>0</v>
      </c>
      <c r="P260" t="n">
        <v>0</v>
      </c>
      <c r="Q260" t="n">
        <v>0</v>
      </c>
      <c r="R260" s="2" t="inlineStr"/>
    </row>
    <row r="261" ht="15" customHeight="1">
      <c r="A261" t="inlineStr">
        <is>
          <t>A 17724-2024</t>
        </is>
      </c>
      <c r="B261" s="1" t="n">
        <v>45418.55096064815</v>
      </c>
      <c r="C261" s="1" t="n">
        <v>45931</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458-2023</t>
        </is>
      </c>
      <c r="B262" s="1" t="n">
        <v>44929</v>
      </c>
      <c r="C262" s="1" t="n">
        <v>45931</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34312-2024</t>
        </is>
      </c>
      <c r="B263" s="1" t="n">
        <v>45524.69703703704</v>
      </c>
      <c r="C263" s="1" t="n">
        <v>45931</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32330-2024</t>
        </is>
      </c>
      <c r="B264" s="1" t="n">
        <v>45512</v>
      </c>
      <c r="C264" s="1" t="n">
        <v>45931</v>
      </c>
      <c r="D264" t="inlineStr">
        <is>
          <t>GOTLANDS LÄN</t>
        </is>
      </c>
      <c r="E264" t="inlineStr">
        <is>
          <t>GOTLAND</t>
        </is>
      </c>
      <c r="G264" t="n">
        <v>2.6</v>
      </c>
      <c r="H264" t="n">
        <v>0</v>
      </c>
      <c r="I264" t="n">
        <v>0</v>
      </c>
      <c r="J264" t="n">
        <v>0</v>
      </c>
      <c r="K264" t="n">
        <v>0</v>
      </c>
      <c r="L264" t="n">
        <v>0</v>
      </c>
      <c r="M264" t="n">
        <v>0</v>
      </c>
      <c r="N264" t="n">
        <v>0</v>
      </c>
      <c r="O264" t="n">
        <v>0</v>
      </c>
      <c r="P264" t="n">
        <v>0</v>
      </c>
      <c r="Q264" t="n">
        <v>0</v>
      </c>
      <c r="R264" s="2" t="inlineStr"/>
    </row>
    <row r="265" ht="15" customHeight="1">
      <c r="A265" t="inlineStr">
        <is>
          <t>A 44228-2022</t>
        </is>
      </c>
      <c r="B265" s="1" t="n">
        <v>44839.51599537037</v>
      </c>
      <c r="C265" s="1" t="n">
        <v>45931</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58132-2023</t>
        </is>
      </c>
      <c r="B266" s="1" t="n">
        <v>45250</v>
      </c>
      <c r="C266" s="1" t="n">
        <v>45931</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9613-2025</t>
        </is>
      </c>
      <c r="B267" s="1" t="n">
        <v>45715</v>
      </c>
      <c r="C267" s="1" t="n">
        <v>45931</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15595-2024</t>
        </is>
      </c>
      <c r="B268" s="1" t="n">
        <v>45401.81480324074</v>
      </c>
      <c r="C268" s="1" t="n">
        <v>45931</v>
      </c>
      <c r="D268" t="inlineStr">
        <is>
          <t>GOTLANDS LÄN</t>
        </is>
      </c>
      <c r="E268" t="inlineStr">
        <is>
          <t>GOTLAND</t>
        </is>
      </c>
      <c r="G268" t="n">
        <v>6.4</v>
      </c>
      <c r="H268" t="n">
        <v>0</v>
      </c>
      <c r="I268" t="n">
        <v>0</v>
      </c>
      <c r="J268" t="n">
        <v>0</v>
      </c>
      <c r="K268" t="n">
        <v>0</v>
      </c>
      <c r="L268" t="n">
        <v>0</v>
      </c>
      <c r="M268" t="n">
        <v>0</v>
      </c>
      <c r="N268" t="n">
        <v>0</v>
      </c>
      <c r="O268" t="n">
        <v>0</v>
      </c>
      <c r="P268" t="n">
        <v>0</v>
      </c>
      <c r="Q268" t="n">
        <v>0</v>
      </c>
      <c r="R268" s="2" t="inlineStr"/>
    </row>
    <row r="269" ht="15" customHeight="1">
      <c r="A269" t="inlineStr">
        <is>
          <t>A 6153-2024</t>
        </is>
      </c>
      <c r="B269" s="1" t="n">
        <v>45337</v>
      </c>
      <c r="C269" s="1" t="n">
        <v>45931</v>
      </c>
      <c r="D269" t="inlineStr">
        <is>
          <t>GOTLANDS LÄN</t>
        </is>
      </c>
      <c r="E269" t="inlineStr">
        <is>
          <t>GOTLAND</t>
        </is>
      </c>
      <c r="G269" t="n">
        <v>14.2</v>
      </c>
      <c r="H269" t="n">
        <v>0</v>
      </c>
      <c r="I269" t="n">
        <v>0</v>
      </c>
      <c r="J269" t="n">
        <v>0</v>
      </c>
      <c r="K269" t="n">
        <v>0</v>
      </c>
      <c r="L269" t="n">
        <v>0</v>
      </c>
      <c r="M269" t="n">
        <v>0</v>
      </c>
      <c r="N269" t="n">
        <v>0</v>
      </c>
      <c r="O269" t="n">
        <v>0</v>
      </c>
      <c r="P269" t="n">
        <v>0</v>
      </c>
      <c r="Q269" t="n">
        <v>0</v>
      </c>
      <c r="R269" s="2" t="inlineStr"/>
    </row>
    <row r="270" ht="15" customHeight="1">
      <c r="A270" t="inlineStr">
        <is>
          <t>A 5751-2024</t>
        </is>
      </c>
      <c r="B270" s="1" t="n">
        <v>45335.32702546296</v>
      </c>
      <c r="C270" s="1" t="n">
        <v>45931</v>
      </c>
      <c r="D270" t="inlineStr">
        <is>
          <t>GOTLANDS LÄN</t>
        </is>
      </c>
      <c r="E270" t="inlineStr">
        <is>
          <t>GOTLAND</t>
        </is>
      </c>
      <c r="G270" t="n">
        <v>4.2</v>
      </c>
      <c r="H270" t="n">
        <v>0</v>
      </c>
      <c r="I270" t="n">
        <v>0</v>
      </c>
      <c r="J270" t="n">
        <v>0</v>
      </c>
      <c r="K270" t="n">
        <v>0</v>
      </c>
      <c r="L270" t="n">
        <v>0</v>
      </c>
      <c r="M270" t="n">
        <v>0</v>
      </c>
      <c r="N270" t="n">
        <v>0</v>
      </c>
      <c r="O270" t="n">
        <v>0</v>
      </c>
      <c r="P270" t="n">
        <v>0</v>
      </c>
      <c r="Q270" t="n">
        <v>0</v>
      </c>
      <c r="R270" s="2" t="inlineStr"/>
    </row>
    <row r="271" ht="15" customHeight="1">
      <c r="A271" t="inlineStr">
        <is>
          <t>A 69112-2021</t>
        </is>
      </c>
      <c r="B271" s="1" t="n">
        <v>44530</v>
      </c>
      <c r="C271" s="1" t="n">
        <v>45931</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7638-2025</t>
        </is>
      </c>
      <c r="B272" s="1" t="n">
        <v>45705.77306712963</v>
      </c>
      <c r="C272" s="1" t="n">
        <v>45931</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49884-2023</t>
        </is>
      </c>
      <c r="B273" s="1" t="n">
        <v>45213</v>
      </c>
      <c r="C273" s="1" t="n">
        <v>45931</v>
      </c>
      <c r="D273" t="inlineStr">
        <is>
          <t>GOTLANDS LÄN</t>
        </is>
      </c>
      <c r="E273" t="inlineStr">
        <is>
          <t>GOTLAND</t>
        </is>
      </c>
      <c r="G273" t="n">
        <v>8.9</v>
      </c>
      <c r="H273" t="n">
        <v>0</v>
      </c>
      <c r="I273" t="n">
        <v>0</v>
      </c>
      <c r="J273" t="n">
        <v>0</v>
      </c>
      <c r="K273" t="n">
        <v>0</v>
      </c>
      <c r="L273" t="n">
        <v>0</v>
      </c>
      <c r="M273" t="n">
        <v>0</v>
      </c>
      <c r="N273" t="n">
        <v>0</v>
      </c>
      <c r="O273" t="n">
        <v>0</v>
      </c>
      <c r="P273" t="n">
        <v>0</v>
      </c>
      <c r="Q273" t="n">
        <v>0</v>
      </c>
      <c r="R273" s="2" t="inlineStr"/>
    </row>
    <row r="274" ht="15" customHeight="1">
      <c r="A274" t="inlineStr">
        <is>
          <t>A 50482-2024</t>
        </is>
      </c>
      <c r="B274" s="1" t="n">
        <v>45601.48114583334</v>
      </c>
      <c r="C274" s="1" t="n">
        <v>45931</v>
      </c>
      <c r="D274" t="inlineStr">
        <is>
          <t>GOTLANDS LÄN</t>
        </is>
      </c>
      <c r="E274" t="inlineStr">
        <is>
          <t>GOTLAND</t>
        </is>
      </c>
      <c r="G274" t="n">
        <v>2.3</v>
      </c>
      <c r="H274" t="n">
        <v>0</v>
      </c>
      <c r="I274" t="n">
        <v>0</v>
      </c>
      <c r="J274" t="n">
        <v>0</v>
      </c>
      <c r="K274" t="n">
        <v>0</v>
      </c>
      <c r="L274" t="n">
        <v>0</v>
      </c>
      <c r="M274" t="n">
        <v>0</v>
      </c>
      <c r="N274" t="n">
        <v>0</v>
      </c>
      <c r="O274" t="n">
        <v>0</v>
      </c>
      <c r="P274" t="n">
        <v>0</v>
      </c>
      <c r="Q274" t="n">
        <v>0</v>
      </c>
      <c r="R274" s="2" t="inlineStr"/>
    </row>
    <row r="275" ht="15" customHeight="1">
      <c r="A275" t="inlineStr">
        <is>
          <t>A 1394-2023</t>
        </is>
      </c>
      <c r="B275" s="1" t="n">
        <v>44936.72997685185</v>
      </c>
      <c r="C275" s="1" t="n">
        <v>45931</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24966-2023</t>
        </is>
      </c>
      <c r="B276" s="1" t="n">
        <v>45085</v>
      </c>
      <c r="C276" s="1" t="n">
        <v>45931</v>
      </c>
      <c r="D276" t="inlineStr">
        <is>
          <t>GOTLANDS LÄN</t>
        </is>
      </c>
      <c r="E276" t="inlineStr">
        <is>
          <t>GOTLAND</t>
        </is>
      </c>
      <c r="G276" t="n">
        <v>7</v>
      </c>
      <c r="H276" t="n">
        <v>0</v>
      </c>
      <c r="I276" t="n">
        <v>0</v>
      </c>
      <c r="J276" t="n">
        <v>0</v>
      </c>
      <c r="K276" t="n">
        <v>0</v>
      </c>
      <c r="L276" t="n">
        <v>0</v>
      </c>
      <c r="M276" t="n">
        <v>0</v>
      </c>
      <c r="N276" t="n">
        <v>0</v>
      </c>
      <c r="O276" t="n">
        <v>0</v>
      </c>
      <c r="P276" t="n">
        <v>0</v>
      </c>
      <c r="Q276" t="n">
        <v>0</v>
      </c>
      <c r="R276" s="2" t="inlineStr"/>
    </row>
    <row r="277" ht="15" customHeight="1">
      <c r="A277" t="inlineStr">
        <is>
          <t>A 46189-2022</t>
        </is>
      </c>
      <c r="B277" s="1" t="n">
        <v>44847</v>
      </c>
      <c r="C277" s="1" t="n">
        <v>45931</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58230-2024</t>
        </is>
      </c>
      <c r="B278" s="1" t="n">
        <v>45632.51625</v>
      </c>
      <c r="C278" s="1" t="n">
        <v>45931</v>
      </c>
      <c r="D278" t="inlineStr">
        <is>
          <t>GOTLANDS LÄN</t>
        </is>
      </c>
      <c r="E278" t="inlineStr">
        <is>
          <t>GOTLAND</t>
        </is>
      </c>
      <c r="G278" t="n">
        <v>7.3</v>
      </c>
      <c r="H278" t="n">
        <v>0</v>
      </c>
      <c r="I278" t="n">
        <v>0</v>
      </c>
      <c r="J278" t="n">
        <v>0</v>
      </c>
      <c r="K278" t="n">
        <v>0</v>
      </c>
      <c r="L278" t="n">
        <v>0</v>
      </c>
      <c r="M278" t="n">
        <v>0</v>
      </c>
      <c r="N278" t="n">
        <v>0</v>
      </c>
      <c r="O278" t="n">
        <v>0</v>
      </c>
      <c r="P278" t="n">
        <v>0</v>
      </c>
      <c r="Q278" t="n">
        <v>0</v>
      </c>
      <c r="R278" s="2" t="inlineStr"/>
    </row>
    <row r="279" ht="15" customHeight="1">
      <c r="A279" t="inlineStr">
        <is>
          <t>A 38649-2025</t>
        </is>
      </c>
      <c r="B279" s="1" t="n">
        <v>45884</v>
      </c>
      <c r="C279" s="1" t="n">
        <v>45931</v>
      </c>
      <c r="D279" t="inlineStr">
        <is>
          <t>GOTLANDS LÄN</t>
        </is>
      </c>
      <c r="E279" t="inlineStr">
        <is>
          <t>GOTLAND</t>
        </is>
      </c>
      <c r="G279" t="n">
        <v>1.5</v>
      </c>
      <c r="H279" t="n">
        <v>0</v>
      </c>
      <c r="I279" t="n">
        <v>0</v>
      </c>
      <c r="J279" t="n">
        <v>0</v>
      </c>
      <c r="K279" t="n">
        <v>0</v>
      </c>
      <c r="L279" t="n">
        <v>0</v>
      </c>
      <c r="M279" t="n">
        <v>0</v>
      </c>
      <c r="N279" t="n">
        <v>0</v>
      </c>
      <c r="O279" t="n">
        <v>0</v>
      </c>
      <c r="P279" t="n">
        <v>0</v>
      </c>
      <c r="Q279" t="n">
        <v>0</v>
      </c>
      <c r="R279" s="2" t="inlineStr"/>
    </row>
    <row r="280" ht="15" customHeight="1">
      <c r="A280" t="inlineStr">
        <is>
          <t>A 876-2024</t>
        </is>
      </c>
      <c r="B280" s="1" t="n">
        <v>45301</v>
      </c>
      <c r="C280" s="1" t="n">
        <v>45931</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1462-2025</t>
        </is>
      </c>
      <c r="B281" s="1" t="n">
        <v>45670.36319444444</v>
      </c>
      <c r="C281" s="1" t="n">
        <v>45931</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6796-2025</t>
        </is>
      </c>
      <c r="B282" s="1" t="n">
        <v>45700.66559027778</v>
      </c>
      <c r="C282" s="1" t="n">
        <v>45931</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22704-2023</t>
        </is>
      </c>
      <c r="B283" s="1" t="n">
        <v>45071</v>
      </c>
      <c r="C283" s="1" t="n">
        <v>45931</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28425-2023</t>
        </is>
      </c>
      <c r="B284" s="1" t="n">
        <v>45102</v>
      </c>
      <c r="C284" s="1" t="n">
        <v>45931</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58476-2022</t>
        </is>
      </c>
      <c r="B285" s="1" t="n">
        <v>44902</v>
      </c>
      <c r="C285" s="1" t="n">
        <v>45931</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45931</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24192-2023</t>
        </is>
      </c>
      <c r="B287" s="1" t="n">
        <v>45079</v>
      </c>
      <c r="C287" s="1" t="n">
        <v>45931</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22031-2024</t>
        </is>
      </c>
      <c r="B288" s="1" t="n">
        <v>45443.60075231481</v>
      </c>
      <c r="C288" s="1" t="n">
        <v>45931</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43200-2023</t>
        </is>
      </c>
      <c r="B289" s="1" t="n">
        <v>45183</v>
      </c>
      <c r="C289" s="1" t="n">
        <v>45931</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43223-2023</t>
        </is>
      </c>
      <c r="B290" s="1" t="n">
        <v>45183.45642361111</v>
      </c>
      <c r="C290" s="1" t="n">
        <v>45931</v>
      </c>
      <c r="D290" t="inlineStr">
        <is>
          <t>GOTLANDS LÄN</t>
        </is>
      </c>
      <c r="E290" t="inlineStr">
        <is>
          <t>GOTLAND</t>
        </is>
      </c>
      <c r="G290" t="n">
        <v>1.8</v>
      </c>
      <c r="H290" t="n">
        <v>0</v>
      </c>
      <c r="I290" t="n">
        <v>0</v>
      </c>
      <c r="J290" t="n">
        <v>0</v>
      </c>
      <c r="K290" t="n">
        <v>0</v>
      </c>
      <c r="L290" t="n">
        <v>0</v>
      </c>
      <c r="M290" t="n">
        <v>0</v>
      </c>
      <c r="N290" t="n">
        <v>0</v>
      </c>
      <c r="O290" t="n">
        <v>0</v>
      </c>
      <c r="P290" t="n">
        <v>0</v>
      </c>
      <c r="Q290" t="n">
        <v>0</v>
      </c>
      <c r="R290" s="2" t="inlineStr"/>
    </row>
    <row r="291" ht="15" customHeight="1">
      <c r="A291" t="inlineStr">
        <is>
          <t>A 5386-2023</t>
        </is>
      </c>
      <c r="B291" s="1" t="n">
        <v>44959</v>
      </c>
      <c r="C291" s="1" t="n">
        <v>45931</v>
      </c>
      <c r="D291" t="inlineStr">
        <is>
          <t>GOTLANDS LÄN</t>
        </is>
      </c>
      <c r="E291" t="inlineStr">
        <is>
          <t>GOTLAND</t>
        </is>
      </c>
      <c r="G291" t="n">
        <v>5.4</v>
      </c>
      <c r="H291" t="n">
        <v>0</v>
      </c>
      <c r="I291" t="n">
        <v>0</v>
      </c>
      <c r="J291" t="n">
        <v>0</v>
      </c>
      <c r="K291" t="n">
        <v>0</v>
      </c>
      <c r="L291" t="n">
        <v>0</v>
      </c>
      <c r="M291" t="n">
        <v>0</v>
      </c>
      <c r="N291" t="n">
        <v>0</v>
      </c>
      <c r="O291" t="n">
        <v>0</v>
      </c>
      <c r="P291" t="n">
        <v>0</v>
      </c>
      <c r="Q291" t="n">
        <v>0</v>
      </c>
      <c r="R291" s="2" t="inlineStr"/>
    </row>
    <row r="292" ht="15" customHeight="1">
      <c r="A292" t="inlineStr">
        <is>
          <t>A 12327-2025</t>
        </is>
      </c>
      <c r="B292" s="1" t="n">
        <v>45730</v>
      </c>
      <c r="C292" s="1" t="n">
        <v>45931</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49314-2024</t>
        </is>
      </c>
      <c r="B293" s="1" t="n">
        <v>45595.55893518519</v>
      </c>
      <c r="C293" s="1" t="n">
        <v>45931</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3431-2025</t>
        </is>
      </c>
      <c r="B294" s="1" t="n">
        <v>45680.42935185185</v>
      </c>
      <c r="C294" s="1" t="n">
        <v>45931</v>
      </c>
      <c r="D294" t="inlineStr">
        <is>
          <t>GOTLANDS LÄN</t>
        </is>
      </c>
      <c r="E294" t="inlineStr">
        <is>
          <t>GOTLAND</t>
        </is>
      </c>
      <c r="G294" t="n">
        <v>4.8</v>
      </c>
      <c r="H294" t="n">
        <v>0</v>
      </c>
      <c r="I294" t="n">
        <v>0</v>
      </c>
      <c r="J294" t="n">
        <v>0</v>
      </c>
      <c r="K294" t="n">
        <v>0</v>
      </c>
      <c r="L294" t="n">
        <v>0</v>
      </c>
      <c r="M294" t="n">
        <v>0</v>
      </c>
      <c r="N294" t="n">
        <v>0</v>
      </c>
      <c r="O294" t="n">
        <v>0</v>
      </c>
      <c r="P294" t="n">
        <v>0</v>
      </c>
      <c r="Q294" t="n">
        <v>0</v>
      </c>
      <c r="R294" s="2" t="inlineStr"/>
    </row>
    <row r="295" ht="15" customHeight="1">
      <c r="A295" t="inlineStr">
        <is>
          <t>A 7026-2023</t>
        </is>
      </c>
      <c r="B295" s="1" t="n">
        <v>44968.30340277778</v>
      </c>
      <c r="C295" s="1" t="n">
        <v>45931</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20855-2023</t>
        </is>
      </c>
      <c r="B296" s="1" t="n">
        <v>45058.82172453704</v>
      </c>
      <c r="C296" s="1" t="n">
        <v>45931</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44919-2022</t>
        </is>
      </c>
      <c r="B297" s="1" t="n">
        <v>44841</v>
      </c>
      <c r="C297" s="1" t="n">
        <v>45931</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45931</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12209-2024</t>
        </is>
      </c>
      <c r="B299" s="1" t="n">
        <v>45378</v>
      </c>
      <c r="C299" s="1" t="n">
        <v>45931</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12210-2024</t>
        </is>
      </c>
      <c r="B300" s="1" t="n">
        <v>45378</v>
      </c>
      <c r="C300" s="1" t="n">
        <v>45931</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1000-2024</t>
        </is>
      </c>
      <c r="B301" s="1" t="n">
        <v>45301.63371527778</v>
      </c>
      <c r="C301" s="1" t="n">
        <v>45931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1010-2024</t>
        </is>
      </c>
      <c r="B302" s="1" t="n">
        <v>45301</v>
      </c>
      <c r="C302" s="1" t="n">
        <v>45931</v>
      </c>
      <c r="D302" t="inlineStr">
        <is>
          <t>GOTLANDS LÄN</t>
        </is>
      </c>
      <c r="E302" t="inlineStr">
        <is>
          <t>GOTLAND</t>
        </is>
      </c>
      <c r="G302" t="n">
        <v>2.4</v>
      </c>
      <c r="H302" t="n">
        <v>0</v>
      </c>
      <c r="I302" t="n">
        <v>0</v>
      </c>
      <c r="J302" t="n">
        <v>0</v>
      </c>
      <c r="K302" t="n">
        <v>0</v>
      </c>
      <c r="L302" t="n">
        <v>0</v>
      </c>
      <c r="M302" t="n">
        <v>0</v>
      </c>
      <c r="N302" t="n">
        <v>0</v>
      </c>
      <c r="O302" t="n">
        <v>0</v>
      </c>
      <c r="P302" t="n">
        <v>0</v>
      </c>
      <c r="Q302" t="n">
        <v>0</v>
      </c>
      <c r="R302" s="2" t="inlineStr"/>
    </row>
    <row r="303" ht="15" customHeight="1">
      <c r="A303" t="inlineStr">
        <is>
          <t>A 1364-2025</t>
        </is>
      </c>
      <c r="B303" s="1" t="n">
        <v>45667.63929398148</v>
      </c>
      <c r="C303" s="1" t="n">
        <v>45931</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20356-2022</t>
        </is>
      </c>
      <c r="B304" s="1" t="n">
        <v>44699</v>
      </c>
      <c r="C304" s="1" t="n">
        <v>45931</v>
      </c>
      <c r="D304" t="inlineStr">
        <is>
          <t>GOTLANDS LÄN</t>
        </is>
      </c>
      <c r="E304" t="inlineStr">
        <is>
          <t>GOTLAND</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15042-2025</t>
        </is>
      </c>
      <c r="B305" s="1" t="n">
        <v>45743</v>
      </c>
      <c r="C305" s="1" t="n">
        <v>45931</v>
      </c>
      <c r="D305" t="inlineStr">
        <is>
          <t>GOTLANDS LÄN</t>
        </is>
      </c>
      <c r="E305" t="inlineStr">
        <is>
          <t>GOTLAND</t>
        </is>
      </c>
      <c r="G305" t="n">
        <v>8.5</v>
      </c>
      <c r="H305" t="n">
        <v>0</v>
      </c>
      <c r="I305" t="n">
        <v>0</v>
      </c>
      <c r="J305" t="n">
        <v>0</v>
      </c>
      <c r="K305" t="n">
        <v>0</v>
      </c>
      <c r="L305" t="n">
        <v>0</v>
      </c>
      <c r="M305" t="n">
        <v>0</v>
      </c>
      <c r="N305" t="n">
        <v>0</v>
      </c>
      <c r="O305" t="n">
        <v>0</v>
      </c>
      <c r="P305" t="n">
        <v>0</v>
      </c>
      <c r="Q305" t="n">
        <v>0</v>
      </c>
      <c r="R305" s="2" t="inlineStr"/>
    </row>
    <row r="306" ht="15" customHeight="1">
      <c r="A306" t="inlineStr">
        <is>
          <t>A 2180-2025</t>
        </is>
      </c>
      <c r="B306" s="1" t="n">
        <v>45673</v>
      </c>
      <c r="C306" s="1" t="n">
        <v>45931</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15436-2025</t>
        </is>
      </c>
      <c r="B307" s="1" t="n">
        <v>45747.47462962963</v>
      </c>
      <c r="C307" s="1" t="n">
        <v>45931</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45931</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49257-2024</t>
        </is>
      </c>
      <c r="B309" s="1" t="n">
        <v>45595.47627314815</v>
      </c>
      <c r="C309" s="1" t="n">
        <v>45931</v>
      </c>
      <c r="D309" t="inlineStr">
        <is>
          <t>GOTLANDS LÄN</t>
        </is>
      </c>
      <c r="E309" t="inlineStr">
        <is>
          <t>GOTLAND</t>
        </is>
      </c>
      <c r="G309" t="n">
        <v>6.3</v>
      </c>
      <c r="H309" t="n">
        <v>0</v>
      </c>
      <c r="I309" t="n">
        <v>0</v>
      </c>
      <c r="J309" t="n">
        <v>0</v>
      </c>
      <c r="K309" t="n">
        <v>0</v>
      </c>
      <c r="L309" t="n">
        <v>0</v>
      </c>
      <c r="M309" t="n">
        <v>0</v>
      </c>
      <c r="N309" t="n">
        <v>0</v>
      </c>
      <c r="O309" t="n">
        <v>0</v>
      </c>
      <c r="P309" t="n">
        <v>0</v>
      </c>
      <c r="Q309" t="n">
        <v>0</v>
      </c>
      <c r="R309" s="2" t="inlineStr"/>
    </row>
    <row r="310" ht="15" customHeight="1">
      <c r="A310" t="inlineStr">
        <is>
          <t>A 37202-2024</t>
        </is>
      </c>
      <c r="B310" s="1" t="n">
        <v>45539.67310185185</v>
      </c>
      <c r="C310" s="1" t="n">
        <v>45931</v>
      </c>
      <c r="D310" t="inlineStr">
        <is>
          <t>GOTLANDS LÄN</t>
        </is>
      </c>
      <c r="E310" t="inlineStr">
        <is>
          <t>GOTLAND</t>
        </is>
      </c>
      <c r="G310" t="n">
        <v>0.3</v>
      </c>
      <c r="H310" t="n">
        <v>0</v>
      </c>
      <c r="I310" t="n">
        <v>0</v>
      </c>
      <c r="J310" t="n">
        <v>0</v>
      </c>
      <c r="K310" t="n">
        <v>0</v>
      </c>
      <c r="L310" t="n">
        <v>0</v>
      </c>
      <c r="M310" t="n">
        <v>0</v>
      </c>
      <c r="N310" t="n">
        <v>0</v>
      </c>
      <c r="O310" t="n">
        <v>0</v>
      </c>
      <c r="P310" t="n">
        <v>0</v>
      </c>
      <c r="Q310" t="n">
        <v>0</v>
      </c>
      <c r="R310" s="2" t="inlineStr"/>
    </row>
    <row r="311" ht="15" customHeight="1">
      <c r="A311" t="inlineStr">
        <is>
          <t>A 65901-2021</t>
        </is>
      </c>
      <c r="B311" s="1" t="n">
        <v>44516</v>
      </c>
      <c r="C311" s="1" t="n">
        <v>45931</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47762-2023</t>
        </is>
      </c>
      <c r="B312" s="1" t="n">
        <v>45203.86256944444</v>
      </c>
      <c r="C312" s="1" t="n">
        <v>45931</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46545-2024</t>
        </is>
      </c>
      <c r="B313" s="1" t="n">
        <v>45582.65831018519</v>
      </c>
      <c r="C313" s="1" t="n">
        <v>45931</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56115-2023</t>
        </is>
      </c>
      <c r="B314" s="1" t="n">
        <v>45236</v>
      </c>
      <c r="C314" s="1" t="n">
        <v>45931</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60086-2022</t>
        </is>
      </c>
      <c r="B315" s="1" t="n">
        <v>44909</v>
      </c>
      <c r="C315" s="1" t="n">
        <v>45931</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45931</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45931</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44649-2021</t>
        </is>
      </c>
      <c r="B318" s="1" t="n">
        <v>44437</v>
      </c>
      <c r="C318" s="1" t="n">
        <v>45931</v>
      </c>
      <c r="D318" t="inlineStr">
        <is>
          <t>GOTLANDS LÄN</t>
        </is>
      </c>
      <c r="E318" t="inlineStr">
        <is>
          <t>GOTLAND</t>
        </is>
      </c>
      <c r="G318" t="n">
        <v>8.1</v>
      </c>
      <c r="H318" t="n">
        <v>0</v>
      </c>
      <c r="I318" t="n">
        <v>0</v>
      </c>
      <c r="J318" t="n">
        <v>0</v>
      </c>
      <c r="K318" t="n">
        <v>0</v>
      </c>
      <c r="L318" t="n">
        <v>0</v>
      </c>
      <c r="M318" t="n">
        <v>0</v>
      </c>
      <c r="N318" t="n">
        <v>0</v>
      </c>
      <c r="O318" t="n">
        <v>0</v>
      </c>
      <c r="P318" t="n">
        <v>0</v>
      </c>
      <c r="Q318" t="n">
        <v>0</v>
      </c>
      <c r="R318" s="2" t="inlineStr"/>
    </row>
    <row r="319" ht="15" customHeight="1">
      <c r="A319" t="inlineStr">
        <is>
          <t>A 62915-2021</t>
        </is>
      </c>
      <c r="B319" s="1" t="n">
        <v>44504</v>
      </c>
      <c r="C319" s="1" t="n">
        <v>45931</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44949-2023</t>
        </is>
      </c>
      <c r="B320" s="1" t="n">
        <v>45190.69520833333</v>
      </c>
      <c r="C320" s="1" t="n">
        <v>45931</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45931</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44304-2021</t>
        </is>
      </c>
      <c r="B322" s="1" t="n">
        <v>44434</v>
      </c>
      <c r="C322" s="1" t="n">
        <v>45931</v>
      </c>
      <c r="D322" t="inlineStr">
        <is>
          <t>GOTLANDS LÄN</t>
        </is>
      </c>
      <c r="E322" t="inlineStr">
        <is>
          <t>GOTLAND</t>
        </is>
      </c>
      <c r="G322" t="n">
        <v>5.8</v>
      </c>
      <c r="H322" t="n">
        <v>0</v>
      </c>
      <c r="I322" t="n">
        <v>0</v>
      </c>
      <c r="J322" t="n">
        <v>0</v>
      </c>
      <c r="K322" t="n">
        <v>0</v>
      </c>
      <c r="L322" t="n">
        <v>0</v>
      </c>
      <c r="M322" t="n">
        <v>0</v>
      </c>
      <c r="N322" t="n">
        <v>0</v>
      </c>
      <c r="O322" t="n">
        <v>0</v>
      </c>
      <c r="P322" t="n">
        <v>0</v>
      </c>
      <c r="Q322" t="n">
        <v>0</v>
      </c>
      <c r="R322" s="2" t="inlineStr"/>
    </row>
    <row r="323" ht="15" customHeight="1">
      <c r="A323" t="inlineStr">
        <is>
          <t>A 2774-2024</t>
        </is>
      </c>
      <c r="B323" s="1" t="n">
        <v>45314.62375</v>
      </c>
      <c r="C323" s="1" t="n">
        <v>45931</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37222-2021</t>
        </is>
      </c>
      <c r="B324" s="1" t="n">
        <v>44396</v>
      </c>
      <c r="C324" s="1" t="n">
        <v>45931</v>
      </c>
      <c r="D324" t="inlineStr">
        <is>
          <t>GOTLANDS LÄN</t>
        </is>
      </c>
      <c r="E324" t="inlineStr">
        <is>
          <t>GOTLAND</t>
        </is>
      </c>
      <c r="G324" t="n">
        <v>3</v>
      </c>
      <c r="H324" t="n">
        <v>0</v>
      </c>
      <c r="I324" t="n">
        <v>0</v>
      </c>
      <c r="J324" t="n">
        <v>0</v>
      </c>
      <c r="K324" t="n">
        <v>0</v>
      </c>
      <c r="L324" t="n">
        <v>0</v>
      </c>
      <c r="M324" t="n">
        <v>0</v>
      </c>
      <c r="N324" t="n">
        <v>0</v>
      </c>
      <c r="O324" t="n">
        <v>0</v>
      </c>
      <c r="P324" t="n">
        <v>0</v>
      </c>
      <c r="Q324" t="n">
        <v>0</v>
      </c>
      <c r="R324" s="2" t="inlineStr"/>
    </row>
    <row r="325" ht="15" customHeight="1">
      <c r="A325" t="inlineStr">
        <is>
          <t>A 17682-2024</t>
        </is>
      </c>
      <c r="B325" s="1" t="n">
        <v>45418.42966435185</v>
      </c>
      <c r="C325" s="1" t="n">
        <v>45931</v>
      </c>
      <c r="D325" t="inlineStr">
        <is>
          <t>GOTLANDS LÄN</t>
        </is>
      </c>
      <c r="E325" t="inlineStr">
        <is>
          <t>GOTLAND</t>
        </is>
      </c>
      <c r="G325" t="n">
        <v>2.9</v>
      </c>
      <c r="H325" t="n">
        <v>0</v>
      </c>
      <c r="I325" t="n">
        <v>0</v>
      </c>
      <c r="J325" t="n">
        <v>0</v>
      </c>
      <c r="K325" t="n">
        <v>0</v>
      </c>
      <c r="L325" t="n">
        <v>0</v>
      </c>
      <c r="M325" t="n">
        <v>0</v>
      </c>
      <c r="N325" t="n">
        <v>0</v>
      </c>
      <c r="O325" t="n">
        <v>0</v>
      </c>
      <c r="P325" t="n">
        <v>0</v>
      </c>
      <c r="Q325" t="n">
        <v>0</v>
      </c>
      <c r="R325" s="2" t="inlineStr"/>
    </row>
    <row r="326" ht="15" customHeight="1">
      <c r="A326" t="inlineStr">
        <is>
          <t>A 57522-2022</t>
        </is>
      </c>
      <c r="B326" s="1" t="n">
        <v>44896</v>
      </c>
      <c r="C326" s="1" t="n">
        <v>45931</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60709-2023</t>
        </is>
      </c>
      <c r="B327" s="1" t="n">
        <v>45260</v>
      </c>
      <c r="C327" s="1" t="n">
        <v>45931</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3964-2024</t>
        </is>
      </c>
      <c r="B328" s="1" t="n">
        <v>45322</v>
      </c>
      <c r="C328" s="1" t="n">
        <v>45931</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64208-2021</t>
        </is>
      </c>
      <c r="B329" s="1" t="n">
        <v>44510</v>
      </c>
      <c r="C329" s="1" t="n">
        <v>45931</v>
      </c>
      <c r="D329" t="inlineStr">
        <is>
          <t>GOTLANDS LÄN</t>
        </is>
      </c>
      <c r="E329" t="inlineStr">
        <is>
          <t>GOTLAND</t>
        </is>
      </c>
      <c r="G329" t="n">
        <v>4.7</v>
      </c>
      <c r="H329" t="n">
        <v>0</v>
      </c>
      <c r="I329" t="n">
        <v>0</v>
      </c>
      <c r="J329" t="n">
        <v>0</v>
      </c>
      <c r="K329" t="n">
        <v>0</v>
      </c>
      <c r="L329" t="n">
        <v>0</v>
      </c>
      <c r="M329" t="n">
        <v>0</v>
      </c>
      <c r="N329" t="n">
        <v>0</v>
      </c>
      <c r="O329" t="n">
        <v>0</v>
      </c>
      <c r="P329" t="n">
        <v>0</v>
      </c>
      <c r="Q329" t="n">
        <v>0</v>
      </c>
      <c r="R329" s="2" t="inlineStr"/>
    </row>
    <row r="330" ht="15" customHeight="1">
      <c r="A330" t="inlineStr">
        <is>
          <t>A 39764-2022</t>
        </is>
      </c>
      <c r="B330" s="1" t="n">
        <v>44819</v>
      </c>
      <c r="C330" s="1" t="n">
        <v>45931</v>
      </c>
      <c r="D330" t="inlineStr">
        <is>
          <t>GOTLANDS LÄN</t>
        </is>
      </c>
      <c r="E330" t="inlineStr">
        <is>
          <t>GOTLAND</t>
        </is>
      </c>
      <c r="F330" t="inlineStr">
        <is>
          <t>Kyrkan</t>
        </is>
      </c>
      <c r="G330" t="n">
        <v>3.7</v>
      </c>
      <c r="H330" t="n">
        <v>0</v>
      </c>
      <c r="I330" t="n">
        <v>0</v>
      </c>
      <c r="J330" t="n">
        <v>0</v>
      </c>
      <c r="K330" t="n">
        <v>0</v>
      </c>
      <c r="L330" t="n">
        <v>0</v>
      </c>
      <c r="M330" t="n">
        <v>0</v>
      </c>
      <c r="N330" t="n">
        <v>0</v>
      </c>
      <c r="O330" t="n">
        <v>0</v>
      </c>
      <c r="P330" t="n">
        <v>0</v>
      </c>
      <c r="Q330" t="n">
        <v>0</v>
      </c>
      <c r="R330" s="2" t="inlineStr"/>
    </row>
    <row r="331" ht="15" customHeight="1">
      <c r="A331" t="inlineStr">
        <is>
          <t>A 45084-2024</t>
        </is>
      </c>
      <c r="B331" s="1" t="n">
        <v>45575</v>
      </c>
      <c r="C331" s="1" t="n">
        <v>45931</v>
      </c>
      <c r="D331" t="inlineStr">
        <is>
          <t>GOTLANDS LÄN</t>
        </is>
      </c>
      <c r="E331" t="inlineStr">
        <is>
          <t>GOTLAND</t>
        </is>
      </c>
      <c r="G331" t="n">
        <v>6.8</v>
      </c>
      <c r="H331" t="n">
        <v>0</v>
      </c>
      <c r="I331" t="n">
        <v>0</v>
      </c>
      <c r="J331" t="n">
        <v>0</v>
      </c>
      <c r="K331" t="n">
        <v>0</v>
      </c>
      <c r="L331" t="n">
        <v>0</v>
      </c>
      <c r="M331" t="n">
        <v>0</v>
      </c>
      <c r="N331" t="n">
        <v>0</v>
      </c>
      <c r="O331" t="n">
        <v>0</v>
      </c>
      <c r="P331" t="n">
        <v>0</v>
      </c>
      <c r="Q331" t="n">
        <v>0</v>
      </c>
      <c r="R331" s="2" t="inlineStr"/>
    </row>
    <row r="332" ht="15" customHeight="1">
      <c r="A332" t="inlineStr">
        <is>
          <t>A 27593-2023</t>
        </is>
      </c>
      <c r="B332" s="1" t="n">
        <v>45097</v>
      </c>
      <c r="C332" s="1" t="n">
        <v>45931</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58211-2024</t>
        </is>
      </c>
      <c r="B333" s="1" t="n">
        <v>45632.49292824074</v>
      </c>
      <c r="C333" s="1" t="n">
        <v>45931</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30956-2024</t>
        </is>
      </c>
      <c r="B334" s="1" t="n">
        <v>45499.42527777778</v>
      </c>
      <c r="C334" s="1" t="n">
        <v>45931</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30892-2024</t>
        </is>
      </c>
      <c r="B335" s="1" t="n">
        <v>45491</v>
      </c>
      <c r="C335" s="1" t="n">
        <v>45931</v>
      </c>
      <c r="D335" t="inlineStr">
        <is>
          <t>GOTLANDS LÄN</t>
        </is>
      </c>
      <c r="E335" t="inlineStr">
        <is>
          <t>GOTLAND</t>
        </is>
      </c>
      <c r="G335" t="n">
        <v>6.1</v>
      </c>
      <c r="H335" t="n">
        <v>0</v>
      </c>
      <c r="I335" t="n">
        <v>0</v>
      </c>
      <c r="J335" t="n">
        <v>0</v>
      </c>
      <c r="K335" t="n">
        <v>0</v>
      </c>
      <c r="L335" t="n">
        <v>0</v>
      </c>
      <c r="M335" t="n">
        <v>0</v>
      </c>
      <c r="N335" t="n">
        <v>0</v>
      </c>
      <c r="O335" t="n">
        <v>0</v>
      </c>
      <c r="P335" t="n">
        <v>0</v>
      </c>
      <c r="Q335" t="n">
        <v>0</v>
      </c>
      <c r="R335" s="2" t="inlineStr"/>
    </row>
    <row r="336" ht="15" customHeight="1">
      <c r="A336" t="inlineStr">
        <is>
          <t>A 14635-2023</t>
        </is>
      </c>
      <c r="B336" s="1" t="n">
        <v>45013.69365740741</v>
      </c>
      <c r="C336" s="1" t="n">
        <v>45931</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59469-2024</t>
        </is>
      </c>
      <c r="B337" s="1" t="n">
        <v>45638</v>
      </c>
      <c r="C337" s="1" t="n">
        <v>45931</v>
      </c>
      <c r="D337" t="inlineStr">
        <is>
          <t>GOTLANDS LÄN</t>
        </is>
      </c>
      <c r="E337" t="inlineStr">
        <is>
          <t>GOTLAND</t>
        </is>
      </c>
      <c r="G337" t="n">
        <v>0.4</v>
      </c>
      <c r="H337" t="n">
        <v>0</v>
      </c>
      <c r="I337" t="n">
        <v>0</v>
      </c>
      <c r="J337" t="n">
        <v>0</v>
      </c>
      <c r="K337" t="n">
        <v>0</v>
      </c>
      <c r="L337" t="n">
        <v>0</v>
      </c>
      <c r="M337" t="n">
        <v>0</v>
      </c>
      <c r="N337" t="n">
        <v>0</v>
      </c>
      <c r="O337" t="n">
        <v>0</v>
      </c>
      <c r="P337" t="n">
        <v>0</v>
      </c>
      <c r="Q337" t="n">
        <v>0</v>
      </c>
      <c r="R337" s="2" t="inlineStr"/>
    </row>
    <row r="338" ht="15" customHeight="1">
      <c r="A338" t="inlineStr">
        <is>
          <t>A 7858-2025</t>
        </is>
      </c>
      <c r="B338" s="1" t="n">
        <v>45706.68633101852</v>
      </c>
      <c r="C338" s="1" t="n">
        <v>45931</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53935-2024</t>
        </is>
      </c>
      <c r="B339" s="1" t="n">
        <v>45615</v>
      </c>
      <c r="C339" s="1" t="n">
        <v>45931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63516-2023</t>
        </is>
      </c>
      <c r="B340" s="1" t="n">
        <v>45274</v>
      </c>
      <c r="C340" s="1" t="n">
        <v>45931</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5217-2023</t>
        </is>
      </c>
      <c r="B341" s="1" t="n">
        <v>44959.39582175926</v>
      </c>
      <c r="C341" s="1" t="n">
        <v>45931</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18223-2025</t>
        </is>
      </c>
      <c r="B342" s="1" t="n">
        <v>45761</v>
      </c>
      <c r="C342" s="1" t="n">
        <v>45931</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4420-2025</t>
        </is>
      </c>
      <c r="B343" s="1" t="n">
        <v>45686.47157407407</v>
      </c>
      <c r="C343" s="1" t="n">
        <v>45931</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5891-2025</t>
        </is>
      </c>
      <c r="B344" s="1" t="n">
        <v>45695.38327546296</v>
      </c>
      <c r="C344" s="1" t="n">
        <v>45931</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24001-2021</t>
        </is>
      </c>
      <c r="B345" s="1" t="n">
        <v>44335</v>
      </c>
      <c r="C345" s="1" t="n">
        <v>45931</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1677-2023</t>
        </is>
      </c>
      <c r="B346" s="1" t="n">
        <v>44938</v>
      </c>
      <c r="C346" s="1" t="n">
        <v>45931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45244-2024</t>
        </is>
      </c>
      <c r="B347" s="1" t="n">
        <v>45576</v>
      </c>
      <c r="C347" s="1" t="n">
        <v>45931</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7835-2024</t>
        </is>
      </c>
      <c r="B348" s="1" t="n">
        <v>45349.83138888889</v>
      </c>
      <c r="C348" s="1" t="n">
        <v>45931</v>
      </c>
      <c r="D348" t="inlineStr">
        <is>
          <t>GOTLANDS LÄN</t>
        </is>
      </c>
      <c r="E348" t="inlineStr">
        <is>
          <t>GOTLAND</t>
        </is>
      </c>
      <c r="G348" t="n">
        <v>3.8</v>
      </c>
      <c r="H348" t="n">
        <v>0</v>
      </c>
      <c r="I348" t="n">
        <v>0</v>
      </c>
      <c r="J348" t="n">
        <v>0</v>
      </c>
      <c r="K348" t="n">
        <v>0</v>
      </c>
      <c r="L348" t="n">
        <v>0</v>
      </c>
      <c r="M348" t="n">
        <v>0</v>
      </c>
      <c r="N348" t="n">
        <v>0</v>
      </c>
      <c r="O348" t="n">
        <v>0</v>
      </c>
      <c r="P348" t="n">
        <v>0</v>
      </c>
      <c r="Q348" t="n">
        <v>0</v>
      </c>
      <c r="R348" s="2" t="inlineStr"/>
    </row>
    <row r="349" ht="15" customHeight="1">
      <c r="A349" t="inlineStr">
        <is>
          <t>A 20794-2025</t>
        </is>
      </c>
      <c r="B349" s="1" t="n">
        <v>45776</v>
      </c>
      <c r="C349" s="1" t="n">
        <v>45931</v>
      </c>
      <c r="D349" t="inlineStr">
        <is>
          <t>GOTLANDS LÄN</t>
        </is>
      </c>
      <c r="E349" t="inlineStr">
        <is>
          <t>GOTLAND</t>
        </is>
      </c>
      <c r="G349" t="n">
        <v>6</v>
      </c>
      <c r="H349" t="n">
        <v>0</v>
      </c>
      <c r="I349" t="n">
        <v>0</v>
      </c>
      <c r="J349" t="n">
        <v>0</v>
      </c>
      <c r="K349" t="n">
        <v>0</v>
      </c>
      <c r="L349" t="n">
        <v>0</v>
      </c>
      <c r="M349" t="n">
        <v>0</v>
      </c>
      <c r="N349" t="n">
        <v>0</v>
      </c>
      <c r="O349" t="n">
        <v>0</v>
      </c>
      <c r="P349" t="n">
        <v>0</v>
      </c>
      <c r="Q349" t="n">
        <v>0</v>
      </c>
      <c r="R349" s="2" t="inlineStr"/>
    </row>
    <row r="350" ht="15" customHeight="1">
      <c r="A350" t="inlineStr">
        <is>
          <t>A 8260-2023</t>
        </is>
      </c>
      <c r="B350" s="1" t="n">
        <v>44974.61608796296</v>
      </c>
      <c r="C350" s="1" t="n">
        <v>45931</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20805-2025</t>
        </is>
      </c>
      <c r="B351" s="1" t="n">
        <v>45776</v>
      </c>
      <c r="C351" s="1" t="n">
        <v>45931</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64969-2023</t>
        </is>
      </c>
      <c r="B352" s="1" t="n">
        <v>45284.54009259259</v>
      </c>
      <c r="C352" s="1" t="n">
        <v>45931</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48843-2024</t>
        </is>
      </c>
      <c r="B353" s="1" t="n">
        <v>45593</v>
      </c>
      <c r="C353" s="1" t="n">
        <v>45931</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30365-2024</t>
        </is>
      </c>
      <c r="B354" s="1" t="n">
        <v>45491.3716087963</v>
      </c>
      <c r="C354" s="1" t="n">
        <v>45931</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17541-2024</t>
        </is>
      </c>
      <c r="B355" s="1" t="n">
        <v>45415</v>
      </c>
      <c r="C355" s="1" t="n">
        <v>45931</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1681-2023</t>
        </is>
      </c>
      <c r="B356" s="1" t="n">
        <v>44938.39715277778</v>
      </c>
      <c r="C356" s="1" t="n">
        <v>45931</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2241-2025</t>
        </is>
      </c>
      <c r="B357" s="1" t="n">
        <v>45673.48710648148</v>
      </c>
      <c r="C357" s="1" t="n">
        <v>45931</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6099-2024</t>
        </is>
      </c>
      <c r="B358" s="1" t="n">
        <v>45337</v>
      </c>
      <c r="C358" s="1" t="n">
        <v>45931</v>
      </c>
      <c r="D358" t="inlineStr">
        <is>
          <t>GOTLANDS LÄN</t>
        </is>
      </c>
      <c r="E358" t="inlineStr">
        <is>
          <t>GOTLAND</t>
        </is>
      </c>
      <c r="G358" t="n">
        <v>12.6</v>
      </c>
      <c r="H358" t="n">
        <v>0</v>
      </c>
      <c r="I358" t="n">
        <v>0</v>
      </c>
      <c r="J358" t="n">
        <v>0</v>
      </c>
      <c r="K358" t="n">
        <v>0</v>
      </c>
      <c r="L358" t="n">
        <v>0</v>
      </c>
      <c r="M358" t="n">
        <v>0</v>
      </c>
      <c r="N358" t="n">
        <v>0</v>
      </c>
      <c r="O358" t="n">
        <v>0</v>
      </c>
      <c r="P358" t="n">
        <v>0</v>
      </c>
      <c r="Q358" t="n">
        <v>0</v>
      </c>
      <c r="R358" s="2" t="inlineStr"/>
    </row>
    <row r="359" ht="15" customHeight="1">
      <c r="A359" t="inlineStr">
        <is>
          <t>A 1273-2023</t>
        </is>
      </c>
      <c r="B359" s="1" t="n">
        <v>44936</v>
      </c>
      <c r="C359" s="1" t="n">
        <v>45931</v>
      </c>
      <c r="D359" t="inlineStr">
        <is>
          <t>GOTLANDS LÄN</t>
        </is>
      </c>
      <c r="E359" t="inlineStr">
        <is>
          <t>GOTLAND</t>
        </is>
      </c>
      <c r="G359" t="n">
        <v>4.5</v>
      </c>
      <c r="H359" t="n">
        <v>0</v>
      </c>
      <c r="I359" t="n">
        <v>0</v>
      </c>
      <c r="J359" t="n">
        <v>0</v>
      </c>
      <c r="K359" t="n">
        <v>0</v>
      </c>
      <c r="L359" t="n">
        <v>0</v>
      </c>
      <c r="M359" t="n">
        <v>0</v>
      </c>
      <c r="N359" t="n">
        <v>0</v>
      </c>
      <c r="O359" t="n">
        <v>0</v>
      </c>
      <c r="P359" t="n">
        <v>0</v>
      </c>
      <c r="Q359" t="n">
        <v>0</v>
      </c>
      <c r="R359" s="2" t="inlineStr"/>
    </row>
    <row r="360" ht="15" customHeight="1">
      <c r="A360" t="inlineStr">
        <is>
          <t>A 15434-2024</t>
        </is>
      </c>
      <c r="B360" s="1" t="n">
        <v>45401.38836805556</v>
      </c>
      <c r="C360" s="1" t="n">
        <v>45931</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58780-2024</t>
        </is>
      </c>
      <c r="B361" s="1" t="n">
        <v>45635.84113425926</v>
      </c>
      <c r="C361" s="1" t="n">
        <v>45931</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18993-2025</t>
        </is>
      </c>
      <c r="B362" s="1" t="n">
        <v>45764</v>
      </c>
      <c r="C362" s="1" t="n">
        <v>45931</v>
      </c>
      <c r="D362" t="inlineStr">
        <is>
          <t>GOTLANDS LÄN</t>
        </is>
      </c>
      <c r="E362" t="inlineStr">
        <is>
          <t>GOTLAND</t>
        </is>
      </c>
      <c r="G362" t="n">
        <v>3</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45931</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45692-2023</t>
        </is>
      </c>
      <c r="B364" s="1" t="n">
        <v>45195</v>
      </c>
      <c r="C364" s="1" t="n">
        <v>45931</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5943-2024</t>
        </is>
      </c>
      <c r="B365" s="1" t="n">
        <v>45336</v>
      </c>
      <c r="C365" s="1" t="n">
        <v>45931</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33876-2024</t>
        </is>
      </c>
      <c r="B366" s="1" t="n">
        <v>45521.87988425926</v>
      </c>
      <c r="C366" s="1" t="n">
        <v>45931</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47147-2025</t>
        </is>
      </c>
      <c r="B367" s="1" t="n">
        <v>45929.71716435185</v>
      </c>
      <c r="C367" s="1" t="n">
        <v>45931</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54073-2022</t>
        </is>
      </c>
      <c r="B368" s="1" t="n">
        <v>44881.50380787037</v>
      </c>
      <c r="C368" s="1" t="n">
        <v>45931</v>
      </c>
      <c r="D368" t="inlineStr">
        <is>
          <t>GOTLANDS LÄN</t>
        </is>
      </c>
      <c r="E368" t="inlineStr">
        <is>
          <t>GOTLAND</t>
        </is>
      </c>
      <c r="G368" t="n">
        <v>3.8</v>
      </c>
      <c r="H368" t="n">
        <v>0</v>
      </c>
      <c r="I368" t="n">
        <v>0</v>
      </c>
      <c r="J368" t="n">
        <v>0</v>
      </c>
      <c r="K368" t="n">
        <v>0</v>
      </c>
      <c r="L368" t="n">
        <v>0</v>
      </c>
      <c r="M368" t="n">
        <v>0</v>
      </c>
      <c r="N368" t="n">
        <v>0</v>
      </c>
      <c r="O368" t="n">
        <v>0</v>
      </c>
      <c r="P368" t="n">
        <v>0</v>
      </c>
      <c r="Q368" t="n">
        <v>0</v>
      </c>
      <c r="R368" s="2" t="inlineStr"/>
    </row>
    <row r="369" ht="15" customHeight="1">
      <c r="A369" t="inlineStr">
        <is>
          <t>A 16361-2024</t>
        </is>
      </c>
      <c r="B369" s="1" t="n">
        <v>45407</v>
      </c>
      <c r="C369" s="1" t="n">
        <v>45931</v>
      </c>
      <c r="D369" t="inlineStr">
        <is>
          <t>GOTLANDS LÄN</t>
        </is>
      </c>
      <c r="E369" t="inlineStr">
        <is>
          <t>GOTLAND</t>
        </is>
      </c>
      <c r="G369" t="n">
        <v>6</v>
      </c>
      <c r="H369" t="n">
        <v>0</v>
      </c>
      <c r="I369" t="n">
        <v>0</v>
      </c>
      <c r="J369" t="n">
        <v>0</v>
      </c>
      <c r="K369" t="n">
        <v>0</v>
      </c>
      <c r="L369" t="n">
        <v>0</v>
      </c>
      <c r="M369" t="n">
        <v>0</v>
      </c>
      <c r="N369" t="n">
        <v>0</v>
      </c>
      <c r="O369" t="n">
        <v>0</v>
      </c>
      <c r="P369" t="n">
        <v>0</v>
      </c>
      <c r="Q369" t="n">
        <v>0</v>
      </c>
      <c r="R369" s="2" t="inlineStr"/>
    </row>
    <row r="370" ht="15" customHeight="1">
      <c r="A370" t="inlineStr">
        <is>
          <t>A 41038-2023</t>
        </is>
      </c>
      <c r="B370" s="1" t="n">
        <v>45173.60959490741</v>
      </c>
      <c r="C370" s="1" t="n">
        <v>45931</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21651-2025</t>
        </is>
      </c>
      <c r="B371" s="1" t="n">
        <v>45783</v>
      </c>
      <c r="C371" s="1" t="n">
        <v>45931</v>
      </c>
      <c r="D371" t="inlineStr">
        <is>
          <t>GOTLANDS LÄN</t>
        </is>
      </c>
      <c r="E371" t="inlineStr">
        <is>
          <t>GOTLAND</t>
        </is>
      </c>
      <c r="G371" t="n">
        <v>4.2</v>
      </c>
      <c r="H371" t="n">
        <v>0</v>
      </c>
      <c r="I371" t="n">
        <v>0</v>
      </c>
      <c r="J371" t="n">
        <v>0</v>
      </c>
      <c r="K371" t="n">
        <v>0</v>
      </c>
      <c r="L371" t="n">
        <v>0</v>
      </c>
      <c r="M371" t="n">
        <v>0</v>
      </c>
      <c r="N371" t="n">
        <v>0</v>
      </c>
      <c r="O371" t="n">
        <v>0</v>
      </c>
      <c r="P371" t="n">
        <v>0</v>
      </c>
      <c r="Q371" t="n">
        <v>0</v>
      </c>
      <c r="R371" s="2" t="inlineStr"/>
    </row>
    <row r="372" ht="15" customHeight="1">
      <c r="A372" t="inlineStr">
        <is>
          <t>A 30135-2025</t>
        </is>
      </c>
      <c r="B372" s="1" t="n">
        <v>45826</v>
      </c>
      <c r="C372" s="1" t="n">
        <v>45931</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12599-2025</t>
        </is>
      </c>
      <c r="B373" s="1" t="n">
        <v>45733.29546296296</v>
      </c>
      <c r="C373" s="1" t="n">
        <v>45931</v>
      </c>
      <c r="D373" t="inlineStr">
        <is>
          <t>GOTLANDS LÄN</t>
        </is>
      </c>
      <c r="E373" t="inlineStr">
        <is>
          <t>GOTLAND</t>
        </is>
      </c>
      <c r="G373" t="n">
        <v>4.7</v>
      </c>
      <c r="H373" t="n">
        <v>0</v>
      </c>
      <c r="I373" t="n">
        <v>0</v>
      </c>
      <c r="J373" t="n">
        <v>0</v>
      </c>
      <c r="K373" t="n">
        <v>0</v>
      </c>
      <c r="L373" t="n">
        <v>0</v>
      </c>
      <c r="M373" t="n">
        <v>0</v>
      </c>
      <c r="N373" t="n">
        <v>0</v>
      </c>
      <c r="O373" t="n">
        <v>0</v>
      </c>
      <c r="P373" t="n">
        <v>0</v>
      </c>
      <c r="Q373" t="n">
        <v>0</v>
      </c>
      <c r="R373" s="2" t="inlineStr"/>
    </row>
    <row r="374" ht="15" customHeight="1">
      <c r="A374" t="inlineStr">
        <is>
          <t>A 35141-2025</t>
        </is>
      </c>
      <c r="B374" s="1" t="n">
        <v>45852.65206018519</v>
      </c>
      <c r="C374" s="1" t="n">
        <v>45931</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28285-2024</t>
        </is>
      </c>
      <c r="B375" s="1" t="n">
        <v>45477</v>
      </c>
      <c r="C375" s="1" t="n">
        <v>45931</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46836-2025</t>
        </is>
      </c>
      <c r="B376" s="1" t="n">
        <v>45928.31511574074</v>
      </c>
      <c r="C376" s="1" t="n">
        <v>45931</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61100-2022</t>
        </is>
      </c>
      <c r="B377" s="1" t="n">
        <v>44915</v>
      </c>
      <c r="C377" s="1" t="n">
        <v>45931</v>
      </c>
      <c r="D377" t="inlineStr">
        <is>
          <t>GOTLANDS LÄN</t>
        </is>
      </c>
      <c r="E377" t="inlineStr">
        <is>
          <t>GOTLAND</t>
        </is>
      </c>
      <c r="G377" t="n">
        <v>1.4</v>
      </c>
      <c r="H377" t="n">
        <v>0</v>
      </c>
      <c r="I377" t="n">
        <v>0</v>
      </c>
      <c r="J377" t="n">
        <v>0</v>
      </c>
      <c r="K377" t="n">
        <v>0</v>
      </c>
      <c r="L377" t="n">
        <v>0</v>
      </c>
      <c r="M377" t="n">
        <v>0</v>
      </c>
      <c r="N377" t="n">
        <v>0</v>
      </c>
      <c r="O377" t="n">
        <v>0</v>
      </c>
      <c r="P377" t="n">
        <v>0</v>
      </c>
      <c r="Q377" t="n">
        <v>0</v>
      </c>
      <c r="R377" s="2" t="inlineStr"/>
    </row>
    <row r="378" ht="15" customHeight="1">
      <c r="A378" t="inlineStr">
        <is>
          <t>A 35142-2025</t>
        </is>
      </c>
      <c r="B378" s="1" t="n">
        <v>45852.65532407408</v>
      </c>
      <c r="C378" s="1" t="n">
        <v>45931</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14427-2024</t>
        </is>
      </c>
      <c r="B379" s="1" t="n">
        <v>45394</v>
      </c>
      <c r="C379" s="1" t="n">
        <v>45931</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61682-2024</t>
        </is>
      </c>
      <c r="B380" s="1" t="n">
        <v>45647.48824074074</v>
      </c>
      <c r="C380" s="1" t="n">
        <v>45931</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31802-2024</t>
        </is>
      </c>
      <c r="B381" s="1" t="n">
        <v>45509</v>
      </c>
      <c r="C381" s="1" t="n">
        <v>45931</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8684-2025</t>
        </is>
      </c>
      <c r="B382" s="1" t="n">
        <v>45712.45605324074</v>
      </c>
      <c r="C382" s="1" t="n">
        <v>45931</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8036-2022</t>
        </is>
      </c>
      <c r="B383" s="1" t="n">
        <v>44609.44362268518</v>
      </c>
      <c r="C383" s="1" t="n">
        <v>45931</v>
      </c>
      <c r="D383" t="inlineStr">
        <is>
          <t>GOTLANDS LÄN</t>
        </is>
      </c>
      <c r="E383" t="inlineStr">
        <is>
          <t>GOTLAND</t>
        </is>
      </c>
      <c r="G383" t="n">
        <v>6.1</v>
      </c>
      <c r="H383" t="n">
        <v>0</v>
      </c>
      <c r="I383" t="n">
        <v>0</v>
      </c>
      <c r="J383" t="n">
        <v>0</v>
      </c>
      <c r="K383" t="n">
        <v>0</v>
      </c>
      <c r="L383" t="n">
        <v>0</v>
      </c>
      <c r="M383" t="n">
        <v>0</v>
      </c>
      <c r="N383" t="n">
        <v>0</v>
      </c>
      <c r="O383" t="n">
        <v>0</v>
      </c>
      <c r="P383" t="n">
        <v>0</v>
      </c>
      <c r="Q383" t="n">
        <v>0</v>
      </c>
      <c r="R383" s="2" t="inlineStr"/>
    </row>
    <row r="384" ht="15" customHeight="1">
      <c r="A384" t="inlineStr">
        <is>
          <t>A 12846-2025</t>
        </is>
      </c>
      <c r="B384" s="1" t="n">
        <v>45733.65049768519</v>
      </c>
      <c r="C384" s="1" t="n">
        <v>45931</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57356-2023</t>
        </is>
      </c>
      <c r="B385" s="1" t="n">
        <v>45240</v>
      </c>
      <c r="C385" s="1" t="n">
        <v>45931</v>
      </c>
      <c r="D385" t="inlineStr">
        <is>
          <t>GOTLANDS LÄN</t>
        </is>
      </c>
      <c r="E385" t="inlineStr">
        <is>
          <t>GOTLAND</t>
        </is>
      </c>
      <c r="G385" t="n">
        <v>6.4</v>
      </c>
      <c r="H385" t="n">
        <v>0</v>
      </c>
      <c r="I385" t="n">
        <v>0</v>
      </c>
      <c r="J385" t="n">
        <v>0</v>
      </c>
      <c r="K385" t="n">
        <v>0</v>
      </c>
      <c r="L385" t="n">
        <v>0</v>
      </c>
      <c r="M385" t="n">
        <v>0</v>
      </c>
      <c r="N385" t="n">
        <v>0</v>
      </c>
      <c r="O385" t="n">
        <v>0</v>
      </c>
      <c r="P385" t="n">
        <v>0</v>
      </c>
      <c r="Q385" t="n">
        <v>0</v>
      </c>
      <c r="R385" s="2" t="inlineStr"/>
    </row>
    <row r="386" ht="15" customHeight="1">
      <c r="A386" t="inlineStr">
        <is>
          <t>A 10656-2024</t>
        </is>
      </c>
      <c r="B386" s="1" t="n">
        <v>45368</v>
      </c>
      <c r="C386" s="1" t="n">
        <v>45931</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46949-2024</t>
        </is>
      </c>
      <c r="B387" s="1" t="n">
        <v>45585</v>
      </c>
      <c r="C387" s="1" t="n">
        <v>45931</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58388-2022</t>
        </is>
      </c>
      <c r="B388" s="1" t="n">
        <v>44894</v>
      </c>
      <c r="C388" s="1" t="n">
        <v>45931</v>
      </c>
      <c r="D388" t="inlineStr">
        <is>
          <t>GOTLANDS LÄN</t>
        </is>
      </c>
      <c r="E388" t="inlineStr">
        <is>
          <t>GOTLAND</t>
        </is>
      </c>
      <c r="F388" t="inlineStr">
        <is>
          <t>Övriga statliga verk och myndigheter</t>
        </is>
      </c>
      <c r="G388" t="n">
        <v>3.1</v>
      </c>
      <c r="H388" t="n">
        <v>0</v>
      </c>
      <c r="I388" t="n">
        <v>0</v>
      </c>
      <c r="J388" t="n">
        <v>0</v>
      </c>
      <c r="K388" t="n">
        <v>0</v>
      </c>
      <c r="L388" t="n">
        <v>0</v>
      </c>
      <c r="M388" t="n">
        <v>0</v>
      </c>
      <c r="N388" t="n">
        <v>0</v>
      </c>
      <c r="O388" t="n">
        <v>0</v>
      </c>
      <c r="P388" t="n">
        <v>0</v>
      </c>
      <c r="Q388" t="n">
        <v>0</v>
      </c>
      <c r="R388" s="2" t="inlineStr"/>
    </row>
    <row r="389" ht="15" customHeight="1">
      <c r="A389" t="inlineStr">
        <is>
          <t>A 10650-2022</t>
        </is>
      </c>
      <c r="B389" s="1" t="n">
        <v>44624.57945601852</v>
      </c>
      <c r="C389" s="1" t="n">
        <v>45931</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28506-2023</t>
        </is>
      </c>
      <c r="B390" s="1" t="n">
        <v>45103</v>
      </c>
      <c r="C390" s="1" t="n">
        <v>45931</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21420-2024</t>
        </is>
      </c>
      <c r="B391" s="1" t="n">
        <v>45441.38293981482</v>
      </c>
      <c r="C391" s="1" t="n">
        <v>45931</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21792-2024</t>
        </is>
      </c>
      <c r="B392" s="1" t="n">
        <v>45442.64326388889</v>
      </c>
      <c r="C392" s="1" t="n">
        <v>45931</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23188-2025</t>
        </is>
      </c>
      <c r="B393" s="1" t="n">
        <v>45791</v>
      </c>
      <c r="C393" s="1" t="n">
        <v>45931</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23473-2025</t>
        </is>
      </c>
      <c r="B394" s="1" t="n">
        <v>45792</v>
      </c>
      <c r="C394" s="1" t="n">
        <v>45931</v>
      </c>
      <c r="D394" t="inlineStr">
        <is>
          <t>GOTLANDS LÄN</t>
        </is>
      </c>
      <c r="E394" t="inlineStr">
        <is>
          <t>GOTLAND</t>
        </is>
      </c>
      <c r="G394" t="n">
        <v>3.6</v>
      </c>
      <c r="H394" t="n">
        <v>0</v>
      </c>
      <c r="I394" t="n">
        <v>0</v>
      </c>
      <c r="J394" t="n">
        <v>0</v>
      </c>
      <c r="K394" t="n">
        <v>0</v>
      </c>
      <c r="L394" t="n">
        <v>0</v>
      </c>
      <c r="M394" t="n">
        <v>0</v>
      </c>
      <c r="N394" t="n">
        <v>0</v>
      </c>
      <c r="O394" t="n">
        <v>0</v>
      </c>
      <c r="P394" t="n">
        <v>0</v>
      </c>
      <c r="Q394" t="n">
        <v>0</v>
      </c>
      <c r="R394" s="2" t="inlineStr"/>
    </row>
    <row r="395" ht="15" customHeight="1">
      <c r="A395" t="inlineStr">
        <is>
          <t>A 23856-2025</t>
        </is>
      </c>
      <c r="B395" s="1" t="n">
        <v>45793</v>
      </c>
      <c r="C395" s="1" t="n">
        <v>45931</v>
      </c>
      <c r="D395" t="inlineStr">
        <is>
          <t>GOTLANDS LÄN</t>
        </is>
      </c>
      <c r="E395" t="inlineStr">
        <is>
          <t>GOTLAND</t>
        </is>
      </c>
      <c r="G395" t="n">
        <v>4.4</v>
      </c>
      <c r="H395" t="n">
        <v>0</v>
      </c>
      <c r="I395" t="n">
        <v>0</v>
      </c>
      <c r="J395" t="n">
        <v>0</v>
      </c>
      <c r="K395" t="n">
        <v>0</v>
      </c>
      <c r="L395" t="n">
        <v>0</v>
      </c>
      <c r="M395" t="n">
        <v>0</v>
      </c>
      <c r="N395" t="n">
        <v>0</v>
      </c>
      <c r="O395" t="n">
        <v>0</v>
      </c>
      <c r="P395" t="n">
        <v>0</v>
      </c>
      <c r="Q395" t="n">
        <v>0</v>
      </c>
      <c r="R395" s="2" t="inlineStr"/>
    </row>
    <row r="396" ht="15" customHeight="1">
      <c r="A396" t="inlineStr">
        <is>
          <t>A 17688-2024</t>
        </is>
      </c>
      <c r="B396" s="1" t="n">
        <v>45418.43575231481</v>
      </c>
      <c r="C396" s="1" t="n">
        <v>45931</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11634-2024</t>
        </is>
      </c>
      <c r="B397" s="1" t="n">
        <v>45373</v>
      </c>
      <c r="C397" s="1" t="n">
        <v>45931</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1351-2025</t>
        </is>
      </c>
      <c r="B398" s="1" t="n">
        <v>45667.62246527777</v>
      </c>
      <c r="C398" s="1" t="n">
        <v>45931</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39496-2022</t>
        </is>
      </c>
      <c r="B399" s="1" t="n">
        <v>44818</v>
      </c>
      <c r="C399" s="1" t="n">
        <v>45931</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15073-2025</t>
        </is>
      </c>
      <c r="B400" s="1" t="n">
        <v>45743</v>
      </c>
      <c r="C400" s="1" t="n">
        <v>45931</v>
      </c>
      <c r="D400" t="inlineStr">
        <is>
          <t>GOTLANDS LÄN</t>
        </is>
      </c>
      <c r="E400" t="inlineStr">
        <is>
          <t>GOTLAND</t>
        </is>
      </c>
      <c r="G400" t="n">
        <v>12.1</v>
      </c>
      <c r="H400" t="n">
        <v>0</v>
      </c>
      <c r="I400" t="n">
        <v>0</v>
      </c>
      <c r="J400" t="n">
        <v>0</v>
      </c>
      <c r="K400" t="n">
        <v>0</v>
      </c>
      <c r="L400" t="n">
        <v>0</v>
      </c>
      <c r="M400" t="n">
        <v>0</v>
      </c>
      <c r="N400" t="n">
        <v>0</v>
      </c>
      <c r="O400" t="n">
        <v>0</v>
      </c>
      <c r="P400" t="n">
        <v>0</v>
      </c>
      <c r="Q400" t="n">
        <v>0</v>
      </c>
      <c r="R400" s="2" t="inlineStr"/>
    </row>
    <row r="401" ht="15" customHeight="1">
      <c r="A401" t="inlineStr">
        <is>
          <t>A 7837-2024</t>
        </is>
      </c>
      <c r="B401" s="1" t="n">
        <v>45349.83787037037</v>
      </c>
      <c r="C401" s="1" t="n">
        <v>45931</v>
      </c>
      <c r="D401" t="inlineStr">
        <is>
          <t>GOTLANDS LÄN</t>
        </is>
      </c>
      <c r="E401" t="inlineStr">
        <is>
          <t>GOTLAND</t>
        </is>
      </c>
      <c r="G401" t="n">
        <v>5</v>
      </c>
      <c r="H401" t="n">
        <v>0</v>
      </c>
      <c r="I401" t="n">
        <v>0</v>
      </c>
      <c r="J401" t="n">
        <v>0</v>
      </c>
      <c r="K401" t="n">
        <v>0</v>
      </c>
      <c r="L401" t="n">
        <v>0</v>
      </c>
      <c r="M401" t="n">
        <v>0</v>
      </c>
      <c r="N401" t="n">
        <v>0</v>
      </c>
      <c r="O401" t="n">
        <v>0</v>
      </c>
      <c r="P401" t="n">
        <v>0</v>
      </c>
      <c r="Q401" t="n">
        <v>0</v>
      </c>
      <c r="R401" s="2" t="inlineStr"/>
    </row>
    <row r="402" ht="15" customHeight="1">
      <c r="A402" t="inlineStr">
        <is>
          <t>A 49874-2024</t>
        </is>
      </c>
      <c r="B402" s="1" t="n">
        <v>45597.49274305555</v>
      </c>
      <c r="C402" s="1" t="n">
        <v>45931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6749-2025</t>
        </is>
      </c>
      <c r="B403" s="1" t="n">
        <v>45700</v>
      </c>
      <c r="C403" s="1" t="n">
        <v>45931</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42201-2023</t>
        </is>
      </c>
      <c r="B404" s="1" t="n">
        <v>45179</v>
      </c>
      <c r="C404" s="1" t="n">
        <v>45931</v>
      </c>
      <c r="D404" t="inlineStr">
        <is>
          <t>GOTLANDS LÄN</t>
        </is>
      </c>
      <c r="E404" t="inlineStr">
        <is>
          <t>GOTLAND</t>
        </is>
      </c>
      <c r="G404" t="n">
        <v>11.9</v>
      </c>
      <c r="H404" t="n">
        <v>0</v>
      </c>
      <c r="I404" t="n">
        <v>0</v>
      </c>
      <c r="J404" t="n">
        <v>0</v>
      </c>
      <c r="K404" t="n">
        <v>0</v>
      </c>
      <c r="L404" t="n">
        <v>0</v>
      </c>
      <c r="M404" t="n">
        <v>0</v>
      </c>
      <c r="N404" t="n">
        <v>0</v>
      </c>
      <c r="O404" t="n">
        <v>0</v>
      </c>
      <c r="P404" t="n">
        <v>0</v>
      </c>
      <c r="Q404" t="n">
        <v>0</v>
      </c>
      <c r="R404" s="2" t="inlineStr"/>
    </row>
    <row r="405" ht="15" customHeight="1">
      <c r="A405" t="inlineStr">
        <is>
          <t>A 23698-2025</t>
        </is>
      </c>
      <c r="B405" s="1" t="n">
        <v>45793</v>
      </c>
      <c r="C405" s="1" t="n">
        <v>45931</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46400-2023</t>
        </is>
      </c>
      <c r="B406" s="1" t="n">
        <v>45197.49290509259</v>
      </c>
      <c r="C406" s="1" t="n">
        <v>45931</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4568-2025</t>
        </is>
      </c>
      <c r="B407" s="1" t="n">
        <v>45687</v>
      </c>
      <c r="C407" s="1" t="n">
        <v>45931</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9875-2025</t>
        </is>
      </c>
      <c r="B408" s="1" t="n">
        <v>45716</v>
      </c>
      <c r="C408" s="1" t="n">
        <v>45931</v>
      </c>
      <c r="D408" t="inlineStr">
        <is>
          <t>GOTLANDS LÄN</t>
        </is>
      </c>
      <c r="E408" t="inlineStr">
        <is>
          <t>GOTLAND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21164-2024</t>
        </is>
      </c>
      <c r="B409" s="1" t="n">
        <v>45440</v>
      </c>
      <c r="C409" s="1" t="n">
        <v>45931</v>
      </c>
      <c r="D409" t="inlineStr">
        <is>
          <t>GOTLANDS LÄN</t>
        </is>
      </c>
      <c r="E409" t="inlineStr">
        <is>
          <t>GOTLAND</t>
        </is>
      </c>
      <c r="G409" t="n">
        <v>6.3</v>
      </c>
      <c r="H409" t="n">
        <v>0</v>
      </c>
      <c r="I409" t="n">
        <v>0</v>
      </c>
      <c r="J409" t="n">
        <v>0</v>
      </c>
      <c r="K409" t="n">
        <v>0</v>
      </c>
      <c r="L409" t="n">
        <v>0</v>
      </c>
      <c r="M409" t="n">
        <v>0</v>
      </c>
      <c r="N409" t="n">
        <v>0</v>
      </c>
      <c r="O409" t="n">
        <v>0</v>
      </c>
      <c r="P409" t="n">
        <v>0</v>
      </c>
      <c r="Q409" t="n">
        <v>0</v>
      </c>
      <c r="R409" s="2" t="inlineStr"/>
    </row>
    <row r="410" ht="15" customHeight="1">
      <c r="A410" t="inlineStr">
        <is>
          <t>A 8045-2022</t>
        </is>
      </c>
      <c r="B410" s="1" t="n">
        <v>44609</v>
      </c>
      <c r="C410" s="1" t="n">
        <v>45931</v>
      </c>
      <c r="D410" t="inlineStr">
        <is>
          <t>GOTLANDS LÄN</t>
        </is>
      </c>
      <c r="E410" t="inlineStr">
        <is>
          <t>GOTLAND</t>
        </is>
      </c>
      <c r="G410" t="n">
        <v>7</v>
      </c>
      <c r="H410" t="n">
        <v>0</v>
      </c>
      <c r="I410" t="n">
        <v>0</v>
      </c>
      <c r="J410" t="n">
        <v>0</v>
      </c>
      <c r="K410" t="n">
        <v>0</v>
      </c>
      <c r="L410" t="n">
        <v>0</v>
      </c>
      <c r="M410" t="n">
        <v>0</v>
      </c>
      <c r="N410" t="n">
        <v>0</v>
      </c>
      <c r="O410" t="n">
        <v>0</v>
      </c>
      <c r="P410" t="n">
        <v>0</v>
      </c>
      <c r="Q410" t="n">
        <v>0</v>
      </c>
      <c r="R410" s="2" t="inlineStr"/>
    </row>
    <row r="411" ht="15" customHeight="1">
      <c r="A411" t="inlineStr">
        <is>
          <t>A 22897-2023</t>
        </is>
      </c>
      <c r="B411" s="1" t="n">
        <v>45072.55239583334</v>
      </c>
      <c r="C411" s="1" t="n">
        <v>45931</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35512-2023</t>
        </is>
      </c>
      <c r="B412" s="1" t="n">
        <v>45147.25623842593</v>
      </c>
      <c r="C412" s="1" t="n">
        <v>45931</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5905-2024</t>
        </is>
      </c>
      <c r="B413" s="1" t="n">
        <v>45335.88993055555</v>
      </c>
      <c r="C413" s="1" t="n">
        <v>45931</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5462-2025</t>
        </is>
      </c>
      <c r="B414" s="1" t="n">
        <v>45693.29331018519</v>
      </c>
      <c r="C414" s="1" t="n">
        <v>45931</v>
      </c>
      <c r="D414" t="inlineStr">
        <is>
          <t>GOTLANDS LÄN</t>
        </is>
      </c>
      <c r="E414" t="inlineStr">
        <is>
          <t>GOTLAND</t>
        </is>
      </c>
      <c r="G414" t="n">
        <v>2.6</v>
      </c>
      <c r="H414" t="n">
        <v>0</v>
      </c>
      <c r="I414" t="n">
        <v>0</v>
      </c>
      <c r="J414" t="n">
        <v>0</v>
      </c>
      <c r="K414" t="n">
        <v>0</v>
      </c>
      <c r="L414" t="n">
        <v>0</v>
      </c>
      <c r="M414" t="n">
        <v>0</v>
      </c>
      <c r="N414" t="n">
        <v>0</v>
      </c>
      <c r="O414" t="n">
        <v>0</v>
      </c>
      <c r="P414" t="n">
        <v>0</v>
      </c>
      <c r="Q414" t="n">
        <v>0</v>
      </c>
      <c r="R414" s="2" t="inlineStr"/>
    </row>
    <row r="415" ht="15" customHeight="1">
      <c r="A415" t="inlineStr">
        <is>
          <t>A 61897-2024</t>
        </is>
      </c>
      <c r="B415" s="1" t="n">
        <v>45652.75685185185</v>
      </c>
      <c r="C415" s="1" t="n">
        <v>45931</v>
      </c>
      <c r="D415" t="inlineStr">
        <is>
          <t>GOTLANDS LÄN</t>
        </is>
      </c>
      <c r="E415" t="inlineStr">
        <is>
          <t>GOTLAND</t>
        </is>
      </c>
      <c r="G415" t="n">
        <v>6.4</v>
      </c>
      <c r="H415" t="n">
        <v>0</v>
      </c>
      <c r="I415" t="n">
        <v>0</v>
      </c>
      <c r="J415" t="n">
        <v>0</v>
      </c>
      <c r="K415" t="n">
        <v>0</v>
      </c>
      <c r="L415" t="n">
        <v>0</v>
      </c>
      <c r="M415" t="n">
        <v>0</v>
      </c>
      <c r="N415" t="n">
        <v>0</v>
      </c>
      <c r="O415" t="n">
        <v>0</v>
      </c>
      <c r="P415" t="n">
        <v>0</v>
      </c>
      <c r="Q415" t="n">
        <v>0</v>
      </c>
      <c r="R415" s="2" t="inlineStr"/>
    </row>
    <row r="416" ht="15" customHeight="1">
      <c r="A416" t="inlineStr">
        <is>
          <t>A 49962-2023</t>
        </is>
      </c>
      <c r="B416" s="1" t="n">
        <v>45215.38775462963</v>
      </c>
      <c r="C416" s="1" t="n">
        <v>45931</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25796-2025</t>
        </is>
      </c>
      <c r="B417" s="1" t="n">
        <v>45804.39543981481</v>
      </c>
      <c r="C417" s="1" t="n">
        <v>45931</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1291-2023</t>
        </is>
      </c>
      <c r="B418" s="1" t="n">
        <v>44936.47561342592</v>
      </c>
      <c r="C418" s="1" t="n">
        <v>45931</v>
      </c>
      <c r="D418" t="inlineStr">
        <is>
          <t>GOTLANDS LÄN</t>
        </is>
      </c>
      <c r="E418" t="inlineStr">
        <is>
          <t>GOTLAND</t>
        </is>
      </c>
      <c r="G418" t="n">
        <v>7.4</v>
      </c>
      <c r="H418" t="n">
        <v>0</v>
      </c>
      <c r="I418" t="n">
        <v>0</v>
      </c>
      <c r="J418" t="n">
        <v>0</v>
      </c>
      <c r="K418" t="n">
        <v>0</v>
      </c>
      <c r="L418" t="n">
        <v>0</v>
      </c>
      <c r="M418" t="n">
        <v>0</v>
      </c>
      <c r="N418" t="n">
        <v>0</v>
      </c>
      <c r="O418" t="n">
        <v>0</v>
      </c>
      <c r="P418" t="n">
        <v>0</v>
      </c>
      <c r="Q418" t="n">
        <v>0</v>
      </c>
      <c r="R418" s="2" t="inlineStr"/>
    </row>
    <row r="419" ht="15" customHeight="1">
      <c r="A419" t="inlineStr">
        <is>
          <t>A 57652-2023</t>
        </is>
      </c>
      <c r="B419" s="1" t="n">
        <v>45246</v>
      </c>
      <c r="C419" s="1" t="n">
        <v>45931</v>
      </c>
      <c r="D419" t="inlineStr">
        <is>
          <t>GOTLANDS LÄN</t>
        </is>
      </c>
      <c r="E419" t="inlineStr">
        <is>
          <t>GOTLAND</t>
        </is>
      </c>
      <c r="G419" t="n">
        <v>7.2</v>
      </c>
      <c r="H419" t="n">
        <v>0</v>
      </c>
      <c r="I419" t="n">
        <v>0</v>
      </c>
      <c r="J419" t="n">
        <v>0</v>
      </c>
      <c r="K419" t="n">
        <v>0</v>
      </c>
      <c r="L419" t="n">
        <v>0</v>
      </c>
      <c r="M419" t="n">
        <v>0</v>
      </c>
      <c r="N419" t="n">
        <v>0</v>
      </c>
      <c r="O419" t="n">
        <v>0</v>
      </c>
      <c r="P419" t="n">
        <v>0</v>
      </c>
      <c r="Q419" t="n">
        <v>0</v>
      </c>
      <c r="R419" s="2" t="inlineStr"/>
    </row>
    <row r="420" ht="15" customHeight="1">
      <c r="A420" t="inlineStr">
        <is>
          <t>A 20165-2022</t>
        </is>
      </c>
      <c r="B420" s="1" t="n">
        <v>44698.49854166667</v>
      </c>
      <c r="C420" s="1" t="n">
        <v>45931</v>
      </c>
      <c r="D420" t="inlineStr">
        <is>
          <t>GOTLANDS LÄN</t>
        </is>
      </c>
      <c r="E420" t="inlineStr">
        <is>
          <t>GOTLAND</t>
        </is>
      </c>
      <c r="G420" t="n">
        <v>4.1</v>
      </c>
      <c r="H420" t="n">
        <v>0</v>
      </c>
      <c r="I420" t="n">
        <v>0</v>
      </c>
      <c r="J420" t="n">
        <v>0</v>
      </c>
      <c r="K420" t="n">
        <v>0</v>
      </c>
      <c r="L420" t="n">
        <v>0</v>
      </c>
      <c r="M420" t="n">
        <v>0</v>
      </c>
      <c r="N420" t="n">
        <v>0</v>
      </c>
      <c r="O420" t="n">
        <v>0</v>
      </c>
      <c r="P420" t="n">
        <v>0</v>
      </c>
      <c r="Q420" t="n">
        <v>0</v>
      </c>
      <c r="R420" s="2" t="inlineStr"/>
    </row>
    <row r="421" ht="15" customHeight="1">
      <c r="A421" t="inlineStr">
        <is>
          <t>A 40294-2022</t>
        </is>
      </c>
      <c r="B421" s="1" t="n">
        <v>44821</v>
      </c>
      <c r="C421" s="1" t="n">
        <v>45931</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26391-2025</t>
        </is>
      </c>
      <c r="B422" s="1" t="n">
        <v>45806</v>
      </c>
      <c r="C422" s="1" t="n">
        <v>45931</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12032-2025</t>
        </is>
      </c>
      <c r="B423" s="1" t="n">
        <v>45728.64472222222</v>
      </c>
      <c r="C423" s="1" t="n">
        <v>45931</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38787-2023</t>
        </is>
      </c>
      <c r="B424" s="1" t="n">
        <v>45163</v>
      </c>
      <c r="C424" s="1" t="n">
        <v>45931</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49315-2024</t>
        </is>
      </c>
      <c r="B425" s="1" t="n">
        <v>45595</v>
      </c>
      <c r="C425" s="1" t="n">
        <v>45931</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45106-2024</t>
        </is>
      </c>
      <c r="B426" s="1" t="n">
        <v>45575</v>
      </c>
      <c r="C426" s="1" t="n">
        <v>45931</v>
      </c>
      <c r="D426" t="inlineStr">
        <is>
          <t>GOTLANDS LÄN</t>
        </is>
      </c>
      <c r="E426" t="inlineStr">
        <is>
          <t>GOTLAND</t>
        </is>
      </c>
      <c r="G426" t="n">
        <v>10</v>
      </c>
      <c r="H426" t="n">
        <v>0</v>
      </c>
      <c r="I426" t="n">
        <v>0</v>
      </c>
      <c r="J426" t="n">
        <v>0</v>
      </c>
      <c r="K426" t="n">
        <v>0</v>
      </c>
      <c r="L426" t="n">
        <v>0</v>
      </c>
      <c r="M426" t="n">
        <v>0</v>
      </c>
      <c r="N426" t="n">
        <v>0</v>
      </c>
      <c r="O426" t="n">
        <v>0</v>
      </c>
      <c r="P426" t="n">
        <v>0</v>
      </c>
      <c r="Q426" t="n">
        <v>0</v>
      </c>
      <c r="R426" s="2" t="inlineStr"/>
    </row>
    <row r="427" ht="15" customHeight="1">
      <c r="A427" t="inlineStr">
        <is>
          <t>A 45112-2024</t>
        </is>
      </c>
      <c r="B427" s="1" t="n">
        <v>45575</v>
      </c>
      <c r="C427" s="1" t="n">
        <v>45931</v>
      </c>
      <c r="D427" t="inlineStr">
        <is>
          <t>GOTLANDS LÄN</t>
        </is>
      </c>
      <c r="E427" t="inlineStr">
        <is>
          <t>GOTLAND</t>
        </is>
      </c>
      <c r="G427" t="n">
        <v>5.1</v>
      </c>
      <c r="H427" t="n">
        <v>0</v>
      </c>
      <c r="I427" t="n">
        <v>0</v>
      </c>
      <c r="J427" t="n">
        <v>0</v>
      </c>
      <c r="K427" t="n">
        <v>0</v>
      </c>
      <c r="L427" t="n">
        <v>0</v>
      </c>
      <c r="M427" t="n">
        <v>0</v>
      </c>
      <c r="N427" t="n">
        <v>0</v>
      </c>
      <c r="O427" t="n">
        <v>0</v>
      </c>
      <c r="P427" t="n">
        <v>0</v>
      </c>
      <c r="Q427" t="n">
        <v>0</v>
      </c>
      <c r="R427" s="2" t="inlineStr"/>
    </row>
    <row r="428" ht="15" customHeight="1">
      <c r="A428" t="inlineStr">
        <is>
          <t>A 2676-2023</t>
        </is>
      </c>
      <c r="B428" s="1" t="n">
        <v>44944</v>
      </c>
      <c r="C428" s="1" t="n">
        <v>45931</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43231-2023</t>
        </is>
      </c>
      <c r="B429" s="1" t="n">
        <v>45183.47025462963</v>
      </c>
      <c r="C429" s="1" t="n">
        <v>45931</v>
      </c>
      <c r="D429" t="inlineStr">
        <is>
          <t>GOTLANDS LÄN</t>
        </is>
      </c>
      <c r="E429" t="inlineStr">
        <is>
          <t>GOTLAND</t>
        </is>
      </c>
      <c r="G429" t="n">
        <v>3.6</v>
      </c>
      <c r="H429" t="n">
        <v>0</v>
      </c>
      <c r="I429" t="n">
        <v>0</v>
      </c>
      <c r="J429" t="n">
        <v>0</v>
      </c>
      <c r="K429" t="n">
        <v>0</v>
      </c>
      <c r="L429" t="n">
        <v>0</v>
      </c>
      <c r="M429" t="n">
        <v>0</v>
      </c>
      <c r="N429" t="n">
        <v>0</v>
      </c>
      <c r="O429" t="n">
        <v>0</v>
      </c>
      <c r="P429" t="n">
        <v>0</v>
      </c>
      <c r="Q429" t="n">
        <v>0</v>
      </c>
      <c r="R429" s="2" t="inlineStr"/>
    </row>
    <row r="430" ht="15" customHeight="1">
      <c r="A430" t="inlineStr">
        <is>
          <t>A 26457-2025</t>
        </is>
      </c>
      <c r="B430" s="1" t="n">
        <v>45807.42773148148</v>
      </c>
      <c r="C430" s="1" t="n">
        <v>45931</v>
      </c>
      <c r="D430" t="inlineStr">
        <is>
          <t>GOTLANDS LÄN</t>
        </is>
      </c>
      <c r="E430" t="inlineStr">
        <is>
          <t>GOTLAND</t>
        </is>
      </c>
      <c r="G430" t="n">
        <v>5.7</v>
      </c>
      <c r="H430" t="n">
        <v>0</v>
      </c>
      <c r="I430" t="n">
        <v>0</v>
      </c>
      <c r="J430" t="n">
        <v>0</v>
      </c>
      <c r="K430" t="n">
        <v>0</v>
      </c>
      <c r="L430" t="n">
        <v>0</v>
      </c>
      <c r="M430" t="n">
        <v>0</v>
      </c>
      <c r="N430" t="n">
        <v>0</v>
      </c>
      <c r="O430" t="n">
        <v>0</v>
      </c>
      <c r="P430" t="n">
        <v>0</v>
      </c>
      <c r="Q430" t="n">
        <v>0</v>
      </c>
      <c r="R430" s="2" t="inlineStr"/>
    </row>
    <row r="431" ht="15" customHeight="1">
      <c r="A431" t="inlineStr">
        <is>
          <t>A 26467-2025</t>
        </is>
      </c>
      <c r="B431" s="1" t="n">
        <v>45807.44640046296</v>
      </c>
      <c r="C431" s="1" t="n">
        <v>45931</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17532-2024</t>
        </is>
      </c>
      <c r="B432" s="1" t="n">
        <v>45415</v>
      </c>
      <c r="C432" s="1" t="n">
        <v>45931</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26465-2025</t>
        </is>
      </c>
      <c r="B433" s="1" t="n">
        <v>45807.44377314814</v>
      </c>
      <c r="C433" s="1" t="n">
        <v>45931</v>
      </c>
      <c r="D433" t="inlineStr">
        <is>
          <t>GOTLANDS LÄN</t>
        </is>
      </c>
      <c r="E433" t="inlineStr">
        <is>
          <t>GOTLAND</t>
        </is>
      </c>
      <c r="G433" t="n">
        <v>4.5</v>
      </c>
      <c r="H433" t="n">
        <v>0</v>
      </c>
      <c r="I433" t="n">
        <v>0</v>
      </c>
      <c r="J433" t="n">
        <v>0</v>
      </c>
      <c r="K433" t="n">
        <v>0</v>
      </c>
      <c r="L433" t="n">
        <v>0</v>
      </c>
      <c r="M433" t="n">
        <v>0</v>
      </c>
      <c r="N433" t="n">
        <v>0</v>
      </c>
      <c r="O433" t="n">
        <v>0</v>
      </c>
      <c r="P433" t="n">
        <v>0</v>
      </c>
      <c r="Q433" t="n">
        <v>0</v>
      </c>
      <c r="R433" s="2" t="inlineStr"/>
    </row>
    <row r="434" ht="15" customHeight="1">
      <c r="A434" t="inlineStr">
        <is>
          <t>A 3150-2025</t>
        </is>
      </c>
      <c r="B434" s="1" t="n">
        <v>45679.28974537037</v>
      </c>
      <c r="C434" s="1" t="n">
        <v>45931</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3935-2025</t>
        </is>
      </c>
      <c r="B435" s="1" t="n">
        <v>45684.46070601852</v>
      </c>
      <c r="C435" s="1" t="n">
        <v>45931</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26660-2025</t>
        </is>
      </c>
      <c r="B436" s="1" t="n">
        <v>45810.39737268518</v>
      </c>
      <c r="C436" s="1" t="n">
        <v>45931</v>
      </c>
      <c r="D436" t="inlineStr">
        <is>
          <t>GOTLANDS LÄN</t>
        </is>
      </c>
      <c r="E436" t="inlineStr">
        <is>
          <t>GOTLAND</t>
        </is>
      </c>
      <c r="G436" t="n">
        <v>1.8</v>
      </c>
      <c r="H436" t="n">
        <v>0</v>
      </c>
      <c r="I436" t="n">
        <v>0</v>
      </c>
      <c r="J436" t="n">
        <v>0</v>
      </c>
      <c r="K436" t="n">
        <v>0</v>
      </c>
      <c r="L436" t="n">
        <v>0</v>
      </c>
      <c r="M436" t="n">
        <v>0</v>
      </c>
      <c r="N436" t="n">
        <v>0</v>
      </c>
      <c r="O436" t="n">
        <v>0</v>
      </c>
      <c r="P436" t="n">
        <v>0</v>
      </c>
      <c r="Q436" t="n">
        <v>0</v>
      </c>
      <c r="R436" s="2" t="inlineStr"/>
    </row>
    <row r="437" ht="15" customHeight="1">
      <c r="A437" t="inlineStr">
        <is>
          <t>A 8484-2025</t>
        </is>
      </c>
      <c r="B437" s="1" t="n">
        <v>45709</v>
      </c>
      <c r="C437" s="1" t="n">
        <v>45931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7635-2025</t>
        </is>
      </c>
      <c r="B438" s="1" t="n">
        <v>45705</v>
      </c>
      <c r="C438" s="1" t="n">
        <v>45931</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7636-2025</t>
        </is>
      </c>
      <c r="B439" s="1" t="n">
        <v>45705.7687962963</v>
      </c>
      <c r="C439" s="1" t="n">
        <v>45931</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7639-2025</t>
        </is>
      </c>
      <c r="B440" s="1" t="n">
        <v>45705.77465277778</v>
      </c>
      <c r="C440" s="1" t="n">
        <v>45931</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27348-2025</t>
        </is>
      </c>
      <c r="B441" s="1" t="n">
        <v>45812.62451388889</v>
      </c>
      <c r="C441" s="1" t="n">
        <v>45931</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20356-2022</t>
        </is>
      </c>
      <c r="B442" s="1" t="n">
        <v>44699</v>
      </c>
      <c r="C442" s="1" t="n">
        <v>45931</v>
      </c>
      <c r="D442" t="inlineStr">
        <is>
          <t>GOTLANDS LÄN</t>
        </is>
      </c>
      <c r="E442" t="inlineStr">
        <is>
          <t>GOTLAND</t>
        </is>
      </c>
      <c r="F442" t="inlineStr">
        <is>
          <t>Övriga Aktiebolag</t>
        </is>
      </c>
      <c r="G442" t="n">
        <v>4.4</v>
      </c>
      <c r="H442" t="n">
        <v>0</v>
      </c>
      <c r="I442" t="n">
        <v>0</v>
      </c>
      <c r="J442" t="n">
        <v>0</v>
      </c>
      <c r="K442" t="n">
        <v>0</v>
      </c>
      <c r="L442" t="n">
        <v>0</v>
      </c>
      <c r="M442" t="n">
        <v>0</v>
      </c>
      <c r="N442" t="n">
        <v>0</v>
      </c>
      <c r="O442" t="n">
        <v>0</v>
      </c>
      <c r="P442" t="n">
        <v>0</v>
      </c>
      <c r="Q442" t="n">
        <v>0</v>
      </c>
      <c r="R442" s="2" t="inlineStr"/>
    </row>
    <row r="443" ht="15" customHeight="1">
      <c r="A443" t="inlineStr">
        <is>
          <t>A 48734-2022</t>
        </is>
      </c>
      <c r="B443" s="1" t="n">
        <v>44855</v>
      </c>
      <c r="C443" s="1" t="n">
        <v>45931</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14141-2024</t>
        </is>
      </c>
      <c r="B444" s="1" t="n">
        <v>45392.85193287037</v>
      </c>
      <c r="C444" s="1" t="n">
        <v>45931</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27371-2025</t>
        </is>
      </c>
      <c r="B445" s="1" t="n">
        <v>45812</v>
      </c>
      <c r="C445" s="1" t="n">
        <v>45931</v>
      </c>
      <c r="D445" t="inlineStr">
        <is>
          <t>GOTLANDS LÄN</t>
        </is>
      </c>
      <c r="E445" t="inlineStr">
        <is>
          <t>GOTLAND</t>
        </is>
      </c>
      <c r="G445" t="n">
        <v>8</v>
      </c>
      <c r="H445" t="n">
        <v>0</v>
      </c>
      <c r="I445" t="n">
        <v>0</v>
      </c>
      <c r="J445" t="n">
        <v>0</v>
      </c>
      <c r="K445" t="n">
        <v>0</v>
      </c>
      <c r="L445" t="n">
        <v>0</v>
      </c>
      <c r="M445" t="n">
        <v>0</v>
      </c>
      <c r="N445" t="n">
        <v>0</v>
      </c>
      <c r="O445" t="n">
        <v>0</v>
      </c>
      <c r="P445" t="n">
        <v>0</v>
      </c>
      <c r="Q445" t="n">
        <v>0</v>
      </c>
      <c r="R445" s="2" t="inlineStr"/>
    </row>
    <row r="446" ht="15" customHeight="1">
      <c r="A446" t="inlineStr">
        <is>
          <t>A 27355-2025</t>
        </is>
      </c>
      <c r="B446" s="1" t="n">
        <v>45812</v>
      </c>
      <c r="C446" s="1" t="n">
        <v>45931</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29809-2022</t>
        </is>
      </c>
      <c r="B447" s="1" t="n">
        <v>44755.8713425926</v>
      </c>
      <c r="C447" s="1" t="n">
        <v>45931</v>
      </c>
      <c r="D447" t="inlineStr">
        <is>
          <t>GOTLANDS LÄN</t>
        </is>
      </c>
      <c r="E447" t="inlineStr">
        <is>
          <t>GOTLAND</t>
        </is>
      </c>
      <c r="G447" t="n">
        <v>11.5</v>
      </c>
      <c r="H447" t="n">
        <v>0</v>
      </c>
      <c r="I447" t="n">
        <v>0</v>
      </c>
      <c r="J447" t="n">
        <v>0</v>
      </c>
      <c r="K447" t="n">
        <v>0</v>
      </c>
      <c r="L447" t="n">
        <v>0</v>
      </c>
      <c r="M447" t="n">
        <v>0</v>
      </c>
      <c r="N447" t="n">
        <v>0</v>
      </c>
      <c r="O447" t="n">
        <v>0</v>
      </c>
      <c r="P447" t="n">
        <v>0</v>
      </c>
      <c r="Q447" t="n">
        <v>0</v>
      </c>
      <c r="R447" s="2" t="inlineStr"/>
    </row>
    <row r="448" ht="15" customHeight="1">
      <c r="A448" t="inlineStr">
        <is>
          <t>A 20225-2025</t>
        </is>
      </c>
      <c r="B448" s="1" t="n">
        <v>45772.65802083333</v>
      </c>
      <c r="C448" s="1" t="n">
        <v>45931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883-2025</t>
        </is>
      </c>
      <c r="B449" s="1" t="n">
        <v>45665</v>
      </c>
      <c r="C449" s="1" t="n">
        <v>45931</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6739-2025</t>
        </is>
      </c>
      <c r="B450" s="1" t="n">
        <v>45700</v>
      </c>
      <c r="C450" s="1" t="n">
        <v>45931</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7850-2025</t>
        </is>
      </c>
      <c r="B451" s="1" t="n">
        <v>45706</v>
      </c>
      <c r="C451" s="1" t="n">
        <v>45931</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8444-2025</t>
        </is>
      </c>
      <c r="B452" s="1" t="n">
        <v>45709</v>
      </c>
      <c r="C452" s="1" t="n">
        <v>45931</v>
      </c>
      <c r="D452" t="inlineStr">
        <is>
          <t>GOTLANDS LÄN</t>
        </is>
      </c>
      <c r="E452" t="inlineStr">
        <is>
          <t>GOTLAND</t>
        </is>
      </c>
      <c r="G452" t="n">
        <v>5.2</v>
      </c>
      <c r="H452" t="n">
        <v>0</v>
      </c>
      <c r="I452" t="n">
        <v>0</v>
      </c>
      <c r="J452" t="n">
        <v>0</v>
      </c>
      <c r="K452" t="n">
        <v>0</v>
      </c>
      <c r="L452" t="n">
        <v>0</v>
      </c>
      <c r="M452" t="n">
        <v>0</v>
      </c>
      <c r="N452" t="n">
        <v>0</v>
      </c>
      <c r="O452" t="n">
        <v>0</v>
      </c>
      <c r="P452" t="n">
        <v>0</v>
      </c>
      <c r="Q452" t="n">
        <v>0</v>
      </c>
      <c r="R452" s="2" t="inlineStr"/>
    </row>
    <row r="453" ht="15" customHeight="1">
      <c r="A453" t="inlineStr">
        <is>
          <t>A 1066-2024</t>
        </is>
      </c>
      <c r="B453" s="1" t="n">
        <v>45302.285</v>
      </c>
      <c r="C453" s="1" t="n">
        <v>45931</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17144-2025</t>
        </is>
      </c>
      <c r="B454" s="1" t="n">
        <v>45755.9499537037</v>
      </c>
      <c r="C454" s="1" t="n">
        <v>45931</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45931</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30815-2023</t>
        </is>
      </c>
      <c r="B456" s="1" t="n">
        <v>45112</v>
      </c>
      <c r="C456" s="1" t="n">
        <v>45931</v>
      </c>
      <c r="D456" t="inlineStr">
        <is>
          <t>GOTLANDS LÄN</t>
        </is>
      </c>
      <c r="E456" t="inlineStr">
        <is>
          <t>GOTLAND</t>
        </is>
      </c>
      <c r="G456" t="n">
        <v>6</v>
      </c>
      <c r="H456" t="n">
        <v>0</v>
      </c>
      <c r="I456" t="n">
        <v>0</v>
      </c>
      <c r="J456" t="n">
        <v>0</v>
      </c>
      <c r="K456" t="n">
        <v>0</v>
      </c>
      <c r="L456" t="n">
        <v>0</v>
      </c>
      <c r="M456" t="n">
        <v>0</v>
      </c>
      <c r="N456" t="n">
        <v>0</v>
      </c>
      <c r="O456" t="n">
        <v>0</v>
      </c>
      <c r="P456" t="n">
        <v>0</v>
      </c>
      <c r="Q456" t="n">
        <v>0</v>
      </c>
      <c r="R456" s="2" t="inlineStr"/>
    </row>
    <row r="457" ht="15" customHeight="1">
      <c r="A457" t="inlineStr">
        <is>
          <t>A 19905-2025</t>
        </is>
      </c>
      <c r="B457" s="1" t="n">
        <v>45771</v>
      </c>
      <c r="C457" s="1" t="n">
        <v>45931</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29196-2025</t>
        </is>
      </c>
      <c r="B458" s="1" t="n">
        <v>45822</v>
      </c>
      <c r="C458" s="1" t="n">
        <v>45931</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7034-2023</t>
        </is>
      </c>
      <c r="B459" s="1" t="n">
        <v>44968.32108796296</v>
      </c>
      <c r="C459" s="1" t="n">
        <v>45931</v>
      </c>
      <c r="D459" t="inlineStr">
        <is>
          <t>GOTLANDS LÄN</t>
        </is>
      </c>
      <c r="E459" t="inlineStr">
        <is>
          <t>GOTLAND</t>
        </is>
      </c>
      <c r="G459" t="n">
        <v>1.6</v>
      </c>
      <c r="H459" t="n">
        <v>0</v>
      </c>
      <c r="I459" t="n">
        <v>0</v>
      </c>
      <c r="J459" t="n">
        <v>0</v>
      </c>
      <c r="K459" t="n">
        <v>0</v>
      </c>
      <c r="L459" t="n">
        <v>0</v>
      </c>
      <c r="M459" t="n">
        <v>0</v>
      </c>
      <c r="N459" t="n">
        <v>0</v>
      </c>
      <c r="O459" t="n">
        <v>0</v>
      </c>
      <c r="P459" t="n">
        <v>0</v>
      </c>
      <c r="Q459" t="n">
        <v>0</v>
      </c>
      <c r="R459" s="2" t="inlineStr"/>
    </row>
    <row r="460" ht="15" customHeight="1">
      <c r="A460" t="inlineStr">
        <is>
          <t>A 7042-2023</t>
        </is>
      </c>
      <c r="B460" s="1" t="n">
        <v>44968</v>
      </c>
      <c r="C460" s="1" t="n">
        <v>45931</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56009-2024</t>
        </is>
      </c>
      <c r="B461" s="1" t="n">
        <v>45623.80864583333</v>
      </c>
      <c r="C461" s="1" t="n">
        <v>45931</v>
      </c>
      <c r="D461" t="inlineStr">
        <is>
          <t>GOTLANDS LÄN</t>
        </is>
      </c>
      <c r="E461" t="inlineStr">
        <is>
          <t>GOTLAND</t>
        </is>
      </c>
      <c r="G461" t="n">
        <v>2.8</v>
      </c>
      <c r="H461" t="n">
        <v>0</v>
      </c>
      <c r="I461" t="n">
        <v>0</v>
      </c>
      <c r="J461" t="n">
        <v>0</v>
      </c>
      <c r="K461" t="n">
        <v>0</v>
      </c>
      <c r="L461" t="n">
        <v>0</v>
      </c>
      <c r="M461" t="n">
        <v>0</v>
      </c>
      <c r="N461" t="n">
        <v>0</v>
      </c>
      <c r="O461" t="n">
        <v>0</v>
      </c>
      <c r="P461" t="n">
        <v>0</v>
      </c>
      <c r="Q461" t="n">
        <v>0</v>
      </c>
      <c r="R461" s="2" t="inlineStr"/>
    </row>
    <row r="462" ht="15" customHeight="1">
      <c r="A462" t="inlineStr">
        <is>
          <t>A 23516-2023</t>
        </is>
      </c>
      <c r="B462" s="1" t="n">
        <v>45076.93391203704</v>
      </c>
      <c r="C462" s="1" t="n">
        <v>45931</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64660-2023</t>
        </is>
      </c>
      <c r="B463" s="1" t="n">
        <v>45281.60122685185</v>
      </c>
      <c r="C463" s="1" t="n">
        <v>45931</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29207-2025</t>
        </is>
      </c>
      <c r="B464" s="1" t="n">
        <v>45823</v>
      </c>
      <c r="C464" s="1" t="n">
        <v>45931</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42338-2023</t>
        </is>
      </c>
      <c r="B465" s="1" t="n">
        <v>45180</v>
      </c>
      <c r="C465" s="1" t="n">
        <v>45931</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63763-2023</t>
        </is>
      </c>
      <c r="B466" s="1" t="n">
        <v>45278.33944444444</v>
      </c>
      <c r="C466" s="1" t="n">
        <v>45931</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30061-2025</t>
        </is>
      </c>
      <c r="B467" s="1" t="n">
        <v>45826.61488425926</v>
      </c>
      <c r="C467" s="1" t="n">
        <v>45931</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58160-2024</t>
        </is>
      </c>
      <c r="B468" s="1" t="n">
        <v>45632.44927083333</v>
      </c>
      <c r="C468" s="1" t="n">
        <v>45931</v>
      </c>
      <c r="D468" t="inlineStr">
        <is>
          <t>GOTLANDS LÄN</t>
        </is>
      </c>
      <c r="E468" t="inlineStr">
        <is>
          <t>GOTLAND</t>
        </is>
      </c>
      <c r="G468" t="n">
        <v>5.6</v>
      </c>
      <c r="H468" t="n">
        <v>0</v>
      </c>
      <c r="I468" t="n">
        <v>0</v>
      </c>
      <c r="J468" t="n">
        <v>0</v>
      </c>
      <c r="K468" t="n">
        <v>0</v>
      </c>
      <c r="L468" t="n">
        <v>0</v>
      </c>
      <c r="M468" t="n">
        <v>0</v>
      </c>
      <c r="N468" t="n">
        <v>0</v>
      </c>
      <c r="O468" t="n">
        <v>0</v>
      </c>
      <c r="P468" t="n">
        <v>0</v>
      </c>
      <c r="Q468" t="n">
        <v>0</v>
      </c>
      <c r="R468" s="2" t="inlineStr"/>
    </row>
    <row r="469" ht="15" customHeight="1">
      <c r="A469" t="inlineStr">
        <is>
          <t>A 63229-2021</t>
        </is>
      </c>
      <c r="B469" s="1" t="n">
        <v>44508.34518518519</v>
      </c>
      <c r="C469" s="1" t="n">
        <v>45931</v>
      </c>
      <c r="D469" t="inlineStr">
        <is>
          <t>GOTLANDS LÄN</t>
        </is>
      </c>
      <c r="E469" t="inlineStr">
        <is>
          <t>GOTLAND</t>
        </is>
      </c>
      <c r="F469" t="inlineStr">
        <is>
          <t>Kyrkan</t>
        </is>
      </c>
      <c r="G469" t="n">
        <v>3.8</v>
      </c>
      <c r="H469" t="n">
        <v>0</v>
      </c>
      <c r="I469" t="n">
        <v>0</v>
      </c>
      <c r="J469" t="n">
        <v>0</v>
      </c>
      <c r="K469" t="n">
        <v>0</v>
      </c>
      <c r="L469" t="n">
        <v>0</v>
      </c>
      <c r="M469" t="n">
        <v>0</v>
      </c>
      <c r="N469" t="n">
        <v>0</v>
      </c>
      <c r="O469" t="n">
        <v>0</v>
      </c>
      <c r="P469" t="n">
        <v>0</v>
      </c>
      <c r="Q469" t="n">
        <v>0</v>
      </c>
      <c r="R469" s="2" t="inlineStr"/>
    </row>
    <row r="470" ht="15" customHeight="1">
      <c r="A470" t="inlineStr">
        <is>
          <t>A 46375-2024</t>
        </is>
      </c>
      <c r="B470" s="1" t="n">
        <v>45582</v>
      </c>
      <c r="C470" s="1" t="n">
        <v>45931</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581-2023</t>
        </is>
      </c>
      <c r="B471" s="1" t="n">
        <v>44930</v>
      </c>
      <c r="C471" s="1" t="n">
        <v>45931</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61386-2023</t>
        </is>
      </c>
      <c r="B472" s="1" t="n">
        <v>45264</v>
      </c>
      <c r="C472" s="1" t="n">
        <v>45931</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873-2024</t>
        </is>
      </c>
      <c r="B473" s="1" t="n">
        <v>45301</v>
      </c>
      <c r="C473" s="1" t="n">
        <v>45931</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49411-2023</t>
        </is>
      </c>
      <c r="B474" s="1" t="n">
        <v>45205</v>
      </c>
      <c r="C474" s="1" t="n">
        <v>45931</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22275-2023</t>
        </is>
      </c>
      <c r="B475" s="1" t="n">
        <v>45070.39875</v>
      </c>
      <c r="C475" s="1" t="n">
        <v>45931</v>
      </c>
      <c r="D475" t="inlineStr">
        <is>
          <t>GOTLANDS LÄN</t>
        </is>
      </c>
      <c r="E475" t="inlineStr">
        <is>
          <t>GOTLAND</t>
        </is>
      </c>
      <c r="G475" t="n">
        <v>7.2</v>
      </c>
      <c r="H475" t="n">
        <v>0</v>
      </c>
      <c r="I475" t="n">
        <v>0</v>
      </c>
      <c r="J475" t="n">
        <v>0</v>
      </c>
      <c r="K475" t="n">
        <v>0</v>
      </c>
      <c r="L475" t="n">
        <v>0</v>
      </c>
      <c r="M475" t="n">
        <v>0</v>
      </c>
      <c r="N475" t="n">
        <v>0</v>
      </c>
      <c r="O475" t="n">
        <v>0</v>
      </c>
      <c r="P475" t="n">
        <v>0</v>
      </c>
      <c r="Q475" t="n">
        <v>0</v>
      </c>
      <c r="R475" s="2" t="inlineStr"/>
    </row>
    <row r="476" ht="15" customHeight="1">
      <c r="A476" t="inlineStr">
        <is>
          <t>A 12322-2025</t>
        </is>
      </c>
      <c r="B476" s="1" t="n">
        <v>45730</v>
      </c>
      <c r="C476" s="1" t="n">
        <v>45931</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14797-2024</t>
        </is>
      </c>
      <c r="B477" s="1" t="n">
        <v>45397.87030092593</v>
      </c>
      <c r="C477" s="1" t="n">
        <v>45931</v>
      </c>
      <c r="D477" t="inlineStr">
        <is>
          <t>GOTLANDS LÄN</t>
        </is>
      </c>
      <c r="E477" t="inlineStr">
        <is>
          <t>GOTLAND</t>
        </is>
      </c>
      <c r="G477" t="n">
        <v>8.1</v>
      </c>
      <c r="H477" t="n">
        <v>0</v>
      </c>
      <c r="I477" t="n">
        <v>0</v>
      </c>
      <c r="J477" t="n">
        <v>0</v>
      </c>
      <c r="K477" t="n">
        <v>0</v>
      </c>
      <c r="L477" t="n">
        <v>0</v>
      </c>
      <c r="M477" t="n">
        <v>0</v>
      </c>
      <c r="N477" t="n">
        <v>0</v>
      </c>
      <c r="O477" t="n">
        <v>0</v>
      </c>
      <c r="P477" t="n">
        <v>0</v>
      </c>
      <c r="Q477" t="n">
        <v>0</v>
      </c>
      <c r="R477" s="2" t="inlineStr"/>
    </row>
    <row r="478" ht="15" customHeight="1">
      <c r="A478" t="inlineStr">
        <is>
          <t>A 999-2024</t>
        </is>
      </c>
      <c r="B478" s="1" t="n">
        <v>45301</v>
      </c>
      <c r="C478" s="1" t="n">
        <v>45931</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61596-2023</t>
        </is>
      </c>
      <c r="B479" s="1" t="n">
        <v>45265</v>
      </c>
      <c r="C479" s="1" t="n">
        <v>45931</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1734-2025</t>
        </is>
      </c>
      <c r="B480" s="1" t="n">
        <v>45671.3840625</v>
      </c>
      <c r="C480" s="1" t="n">
        <v>45931</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32379-2025</t>
        </is>
      </c>
      <c r="B481" s="1" t="n">
        <v>45837</v>
      </c>
      <c r="C481" s="1" t="n">
        <v>45931</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14638-2025</t>
        </is>
      </c>
      <c r="B482" s="1" t="n">
        <v>45742</v>
      </c>
      <c r="C482" s="1" t="n">
        <v>45931</v>
      </c>
      <c r="D482" t="inlineStr">
        <is>
          <t>GOTLANDS LÄN</t>
        </is>
      </c>
      <c r="E482" t="inlineStr">
        <is>
          <t>GOTLAND</t>
        </is>
      </c>
      <c r="G482" t="n">
        <v>13.4</v>
      </c>
      <c r="H482" t="n">
        <v>0</v>
      </c>
      <c r="I482" t="n">
        <v>0</v>
      </c>
      <c r="J482" t="n">
        <v>0</v>
      </c>
      <c r="K482" t="n">
        <v>0</v>
      </c>
      <c r="L482" t="n">
        <v>0</v>
      </c>
      <c r="M482" t="n">
        <v>0</v>
      </c>
      <c r="N482" t="n">
        <v>0</v>
      </c>
      <c r="O482" t="n">
        <v>0</v>
      </c>
      <c r="P482" t="n">
        <v>0</v>
      </c>
      <c r="Q482" t="n">
        <v>0</v>
      </c>
      <c r="R482" s="2" t="inlineStr"/>
    </row>
    <row r="483" ht="15" customHeight="1">
      <c r="A483" t="inlineStr">
        <is>
          <t>A 20993-2023</t>
        </is>
      </c>
      <c r="B483" s="1" t="n">
        <v>45056</v>
      </c>
      <c r="C483" s="1" t="n">
        <v>45931</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32467-2025</t>
        </is>
      </c>
      <c r="B484" s="1" t="n">
        <v>45838.42111111111</v>
      </c>
      <c r="C484" s="1" t="n">
        <v>45931</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32378-2025</t>
        </is>
      </c>
      <c r="B485" s="1" t="n">
        <v>45837</v>
      </c>
      <c r="C485" s="1" t="n">
        <v>45931</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16109-2025</t>
        </is>
      </c>
      <c r="B486" s="1" t="n">
        <v>45750</v>
      </c>
      <c r="C486" s="1" t="n">
        <v>45931</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60675-2021</t>
        </is>
      </c>
      <c r="B487" s="1" t="n">
        <v>44496.64855324074</v>
      </c>
      <c r="C487" s="1" t="n">
        <v>45931</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33078-2025</t>
        </is>
      </c>
      <c r="B488" s="1" t="n">
        <v>45840</v>
      </c>
      <c r="C488" s="1" t="n">
        <v>45931</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37728-2024</t>
        </is>
      </c>
      <c r="B489" s="1" t="n">
        <v>45541</v>
      </c>
      <c r="C489" s="1" t="n">
        <v>45931</v>
      </c>
      <c r="D489" t="inlineStr">
        <is>
          <t>GOTLANDS LÄN</t>
        </is>
      </c>
      <c r="E489" t="inlineStr">
        <is>
          <t>GOTLAND</t>
        </is>
      </c>
      <c r="G489" t="n">
        <v>0.4</v>
      </c>
      <c r="H489" t="n">
        <v>0</v>
      </c>
      <c r="I489" t="n">
        <v>0</v>
      </c>
      <c r="J489" t="n">
        <v>0</v>
      </c>
      <c r="K489" t="n">
        <v>0</v>
      </c>
      <c r="L489" t="n">
        <v>0</v>
      </c>
      <c r="M489" t="n">
        <v>0</v>
      </c>
      <c r="N489" t="n">
        <v>0</v>
      </c>
      <c r="O489" t="n">
        <v>0</v>
      </c>
      <c r="P489" t="n">
        <v>0</v>
      </c>
      <c r="Q489" t="n">
        <v>0</v>
      </c>
      <c r="R489" s="2" t="inlineStr"/>
    </row>
    <row r="490" ht="15" customHeight="1">
      <c r="A490" t="inlineStr">
        <is>
          <t>A 33007-2025</t>
        </is>
      </c>
      <c r="B490" s="1" t="n">
        <v>45840</v>
      </c>
      <c r="C490" s="1" t="n">
        <v>45931</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33011-2025</t>
        </is>
      </c>
      <c r="B491" s="1" t="n">
        <v>45840</v>
      </c>
      <c r="C491" s="1" t="n">
        <v>45931</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45931</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54074-2022</t>
        </is>
      </c>
      <c r="B493" s="1" t="n">
        <v>44881</v>
      </c>
      <c r="C493" s="1" t="n">
        <v>45931</v>
      </c>
      <c r="D493" t="inlineStr">
        <is>
          <t>GOTLANDS LÄN</t>
        </is>
      </c>
      <c r="E493" t="inlineStr">
        <is>
          <t>GOTLAND</t>
        </is>
      </c>
      <c r="G493" t="n">
        <v>0.9</v>
      </c>
      <c r="H493" t="n">
        <v>0</v>
      </c>
      <c r="I493" t="n">
        <v>0</v>
      </c>
      <c r="J493" t="n">
        <v>0</v>
      </c>
      <c r="K493" t="n">
        <v>0</v>
      </c>
      <c r="L493" t="n">
        <v>0</v>
      </c>
      <c r="M493" t="n">
        <v>0</v>
      </c>
      <c r="N493" t="n">
        <v>0</v>
      </c>
      <c r="O493" t="n">
        <v>0</v>
      </c>
      <c r="P493" t="n">
        <v>0</v>
      </c>
      <c r="Q493" t="n">
        <v>0</v>
      </c>
      <c r="R493" s="2" t="inlineStr"/>
    </row>
    <row r="494" ht="15" customHeight="1">
      <c r="A494" t="inlineStr">
        <is>
          <t>A 12596-2023</t>
        </is>
      </c>
      <c r="B494" s="1" t="n">
        <v>45000.43310185185</v>
      </c>
      <c r="C494" s="1" t="n">
        <v>45931</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2125-2025</t>
        </is>
      </c>
      <c r="B495" s="1" t="n">
        <v>45672.64940972222</v>
      </c>
      <c r="C495" s="1" t="n">
        <v>45931</v>
      </c>
      <c r="D495" t="inlineStr">
        <is>
          <t>GOTLANDS LÄN</t>
        </is>
      </c>
      <c r="E495" t="inlineStr">
        <is>
          <t>GOTLAND</t>
        </is>
      </c>
      <c r="G495" t="n">
        <v>2.3</v>
      </c>
      <c r="H495" t="n">
        <v>0</v>
      </c>
      <c r="I495" t="n">
        <v>0</v>
      </c>
      <c r="J495" t="n">
        <v>0</v>
      </c>
      <c r="K495" t="n">
        <v>0</v>
      </c>
      <c r="L495" t="n">
        <v>0</v>
      </c>
      <c r="M495" t="n">
        <v>0</v>
      </c>
      <c r="N495" t="n">
        <v>0</v>
      </c>
      <c r="O495" t="n">
        <v>0</v>
      </c>
      <c r="P495" t="n">
        <v>0</v>
      </c>
      <c r="Q495" t="n">
        <v>0</v>
      </c>
      <c r="R495" s="2" t="inlineStr"/>
    </row>
    <row r="496" ht="15" customHeight="1">
      <c r="A496" t="inlineStr">
        <is>
          <t>A 65249-2023</t>
        </is>
      </c>
      <c r="B496" s="1" t="n">
        <v>45290</v>
      </c>
      <c r="C496" s="1" t="n">
        <v>45931</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12155-2023</t>
        </is>
      </c>
      <c r="B497" s="1" t="n">
        <v>44998.49106481481</v>
      </c>
      <c r="C497" s="1" t="n">
        <v>45931</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457-2023</t>
        </is>
      </c>
      <c r="B498" s="1" t="n">
        <v>44929.87238425926</v>
      </c>
      <c r="C498" s="1" t="n">
        <v>45931</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459-2023</t>
        </is>
      </c>
      <c r="B499" s="1" t="n">
        <v>44929.87423611111</v>
      </c>
      <c r="C499" s="1" t="n">
        <v>45931</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38234-2023</t>
        </is>
      </c>
      <c r="B500" s="1" t="n">
        <v>45161.56663194444</v>
      </c>
      <c r="C500" s="1" t="n">
        <v>45931</v>
      </c>
      <c r="D500" t="inlineStr">
        <is>
          <t>GOTLANDS LÄN</t>
        </is>
      </c>
      <c r="E500" t="inlineStr">
        <is>
          <t>GOTLAND</t>
        </is>
      </c>
      <c r="G500" t="n">
        <v>1.3</v>
      </c>
      <c r="H500" t="n">
        <v>0</v>
      </c>
      <c r="I500" t="n">
        <v>0</v>
      </c>
      <c r="J500" t="n">
        <v>0</v>
      </c>
      <c r="K500" t="n">
        <v>0</v>
      </c>
      <c r="L500" t="n">
        <v>0</v>
      </c>
      <c r="M500" t="n">
        <v>0</v>
      </c>
      <c r="N500" t="n">
        <v>0</v>
      </c>
      <c r="O500" t="n">
        <v>0</v>
      </c>
      <c r="P500" t="n">
        <v>0</v>
      </c>
      <c r="Q500" t="n">
        <v>0</v>
      </c>
      <c r="R500" s="2" t="inlineStr"/>
    </row>
    <row r="501" ht="15" customHeight="1">
      <c r="A501" t="inlineStr">
        <is>
          <t>A 50744-2024</t>
        </is>
      </c>
      <c r="B501" s="1" t="n">
        <v>45602.4187037037</v>
      </c>
      <c r="C501" s="1" t="n">
        <v>45931</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53934-2024</t>
        </is>
      </c>
      <c r="B502" s="1" t="n">
        <v>45615</v>
      </c>
      <c r="C502" s="1" t="n">
        <v>45931</v>
      </c>
      <c r="D502" t="inlineStr">
        <is>
          <t>GOTLANDS LÄN</t>
        </is>
      </c>
      <c r="E502" t="inlineStr">
        <is>
          <t>GOTLAND</t>
        </is>
      </c>
      <c r="G502" t="n">
        <v>5</v>
      </c>
      <c r="H502" t="n">
        <v>0</v>
      </c>
      <c r="I502" t="n">
        <v>0</v>
      </c>
      <c r="J502" t="n">
        <v>0</v>
      </c>
      <c r="K502" t="n">
        <v>0</v>
      </c>
      <c r="L502" t="n">
        <v>0</v>
      </c>
      <c r="M502" t="n">
        <v>0</v>
      </c>
      <c r="N502" t="n">
        <v>0</v>
      </c>
      <c r="O502" t="n">
        <v>0</v>
      </c>
      <c r="P502" t="n">
        <v>0</v>
      </c>
      <c r="Q502" t="n">
        <v>0</v>
      </c>
      <c r="R502" s="2" t="inlineStr"/>
    </row>
    <row r="503" ht="15" customHeight="1">
      <c r="A503" t="inlineStr">
        <is>
          <t>A 39278-2025</t>
        </is>
      </c>
      <c r="B503" s="1" t="n">
        <v>45889</v>
      </c>
      <c r="C503" s="1" t="n">
        <v>45931</v>
      </c>
      <c r="D503" t="inlineStr">
        <is>
          <t>GOTLANDS LÄN</t>
        </is>
      </c>
      <c r="E503" t="inlineStr">
        <is>
          <t>GOTLAND</t>
        </is>
      </c>
      <c r="G503" t="n">
        <v>3.7</v>
      </c>
      <c r="H503" t="n">
        <v>0</v>
      </c>
      <c r="I503" t="n">
        <v>0</v>
      </c>
      <c r="J503" t="n">
        <v>0</v>
      </c>
      <c r="K503" t="n">
        <v>0</v>
      </c>
      <c r="L503" t="n">
        <v>0</v>
      </c>
      <c r="M503" t="n">
        <v>0</v>
      </c>
      <c r="N503" t="n">
        <v>0</v>
      </c>
      <c r="O503" t="n">
        <v>0</v>
      </c>
      <c r="P503" t="n">
        <v>0</v>
      </c>
      <c r="Q503" t="n">
        <v>0</v>
      </c>
      <c r="R503" s="2" t="inlineStr"/>
    </row>
    <row r="504" ht="15" customHeight="1">
      <c r="A504" t="inlineStr">
        <is>
          <t>A 13910-2025</t>
        </is>
      </c>
      <c r="B504" s="1" t="n">
        <v>45737</v>
      </c>
      <c r="C504" s="1" t="n">
        <v>45931</v>
      </c>
      <c r="D504" t="inlineStr">
        <is>
          <t>GOTLANDS LÄN</t>
        </is>
      </c>
      <c r="E504" t="inlineStr">
        <is>
          <t>GOTLAND</t>
        </is>
      </c>
      <c r="F504" t="inlineStr">
        <is>
          <t>Kommuner</t>
        </is>
      </c>
      <c r="G504" t="n">
        <v>3.2</v>
      </c>
      <c r="H504" t="n">
        <v>0</v>
      </c>
      <c r="I504" t="n">
        <v>0</v>
      </c>
      <c r="J504" t="n">
        <v>0</v>
      </c>
      <c r="K504" t="n">
        <v>0</v>
      </c>
      <c r="L504" t="n">
        <v>0</v>
      </c>
      <c r="M504" t="n">
        <v>0</v>
      </c>
      <c r="N504" t="n">
        <v>0</v>
      </c>
      <c r="O504" t="n">
        <v>0</v>
      </c>
      <c r="P504" t="n">
        <v>0</v>
      </c>
      <c r="Q504" t="n">
        <v>0</v>
      </c>
      <c r="R504" s="2" t="inlineStr"/>
    </row>
    <row r="505" ht="15" customHeight="1">
      <c r="A505" t="inlineStr">
        <is>
          <t>A 15413-2025</t>
        </is>
      </c>
      <c r="B505" s="1" t="n">
        <v>45747.451875</v>
      </c>
      <c r="C505" s="1" t="n">
        <v>45931</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35123-2025</t>
        </is>
      </c>
      <c r="B506" s="1" t="n">
        <v>45852.614375</v>
      </c>
      <c r="C506" s="1" t="n">
        <v>45931</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44682.82622685185</v>
      </c>
      <c r="C507" s="1" t="n">
        <v>45931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39814-2025</t>
        </is>
      </c>
      <c r="B508" s="1" t="n">
        <v>45891.52694444444</v>
      </c>
      <c r="C508" s="1" t="n">
        <v>45931</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35096-2025</t>
        </is>
      </c>
      <c r="B509" s="1" t="n">
        <v>45852.54356481481</v>
      </c>
      <c r="C509" s="1" t="n">
        <v>45931</v>
      </c>
      <c r="D509" t="inlineStr">
        <is>
          <t>GOTLANDS LÄN</t>
        </is>
      </c>
      <c r="E509" t="inlineStr">
        <is>
          <t>GOTLAND</t>
        </is>
      </c>
      <c r="F509" t="inlineStr">
        <is>
          <t>Kyrkan</t>
        </is>
      </c>
      <c r="G509" t="n">
        <v>1</v>
      </c>
      <c r="H509" t="n">
        <v>0</v>
      </c>
      <c r="I509" t="n">
        <v>0</v>
      </c>
      <c r="J509" t="n">
        <v>0</v>
      </c>
      <c r="K509" t="n">
        <v>0</v>
      </c>
      <c r="L509" t="n">
        <v>0</v>
      </c>
      <c r="M509" t="n">
        <v>0</v>
      </c>
      <c r="N509" t="n">
        <v>0</v>
      </c>
      <c r="O509" t="n">
        <v>0</v>
      </c>
      <c r="P509" t="n">
        <v>0</v>
      </c>
      <c r="Q509" t="n">
        <v>0</v>
      </c>
      <c r="R509" s="2" t="inlineStr"/>
    </row>
    <row r="510" ht="15" customHeight="1">
      <c r="A510" t="inlineStr">
        <is>
          <t>A 59986-2022</t>
        </is>
      </c>
      <c r="B510" s="1" t="n">
        <v>44909</v>
      </c>
      <c r="C510" s="1" t="n">
        <v>45931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39849-2025</t>
        </is>
      </c>
      <c r="B511" s="1" t="n">
        <v>45891.58502314815</v>
      </c>
      <c r="C511" s="1" t="n">
        <v>45931</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14536-2021</t>
        </is>
      </c>
      <c r="B512" s="1" t="n">
        <v>44279.66168981481</v>
      </c>
      <c r="C512" s="1" t="n">
        <v>45931</v>
      </c>
      <c r="D512" t="inlineStr">
        <is>
          <t>GOTLANDS LÄN</t>
        </is>
      </c>
      <c r="E512" t="inlineStr">
        <is>
          <t>GOTLAND</t>
        </is>
      </c>
      <c r="G512" t="n">
        <v>8.5</v>
      </c>
      <c r="H512" t="n">
        <v>0</v>
      </c>
      <c r="I512" t="n">
        <v>0</v>
      </c>
      <c r="J512" t="n">
        <v>0</v>
      </c>
      <c r="K512" t="n">
        <v>0</v>
      </c>
      <c r="L512" t="n">
        <v>0</v>
      </c>
      <c r="M512" t="n">
        <v>0</v>
      </c>
      <c r="N512" t="n">
        <v>0</v>
      </c>
      <c r="O512" t="n">
        <v>0</v>
      </c>
      <c r="P512" t="n">
        <v>0</v>
      </c>
      <c r="Q512" t="n">
        <v>0</v>
      </c>
      <c r="R512" s="2" t="inlineStr"/>
    </row>
    <row r="513" ht="15" customHeight="1">
      <c r="A513" t="inlineStr">
        <is>
          <t>A 40103-2025</t>
        </is>
      </c>
      <c r="B513" s="1" t="n">
        <v>45894.4880324074</v>
      </c>
      <c r="C513" s="1" t="n">
        <v>45931</v>
      </c>
      <c r="D513" t="inlineStr">
        <is>
          <t>GOTLANDS LÄN</t>
        </is>
      </c>
      <c r="E513" t="inlineStr">
        <is>
          <t>GOTLAND</t>
        </is>
      </c>
      <c r="G513" t="n">
        <v>0.9</v>
      </c>
      <c r="H513" t="n">
        <v>0</v>
      </c>
      <c r="I513" t="n">
        <v>0</v>
      </c>
      <c r="J513" t="n">
        <v>0</v>
      </c>
      <c r="K513" t="n">
        <v>0</v>
      </c>
      <c r="L513" t="n">
        <v>0</v>
      </c>
      <c r="M513" t="n">
        <v>0</v>
      </c>
      <c r="N513" t="n">
        <v>0</v>
      </c>
      <c r="O513" t="n">
        <v>0</v>
      </c>
      <c r="P513" t="n">
        <v>0</v>
      </c>
      <c r="Q513" t="n">
        <v>0</v>
      </c>
      <c r="R513" s="2" t="inlineStr"/>
    </row>
    <row r="514" ht="15" customHeight="1">
      <c r="A514" t="inlineStr">
        <is>
          <t>A 39819-2025</t>
        </is>
      </c>
      <c r="B514" s="1" t="n">
        <v>45891.53418981482</v>
      </c>
      <c r="C514" s="1" t="n">
        <v>45931</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40372-2025</t>
        </is>
      </c>
      <c r="B515" s="1" t="n">
        <v>45895.5162037037</v>
      </c>
      <c r="C515" s="1" t="n">
        <v>45931</v>
      </c>
      <c r="D515" t="inlineStr">
        <is>
          <t>GOTLANDS LÄN</t>
        </is>
      </c>
      <c r="E515" t="inlineStr">
        <is>
          <t>GOTLAND</t>
        </is>
      </c>
      <c r="G515" t="n">
        <v>3.3</v>
      </c>
      <c r="H515" t="n">
        <v>0</v>
      </c>
      <c r="I515" t="n">
        <v>0</v>
      </c>
      <c r="J515" t="n">
        <v>0</v>
      </c>
      <c r="K515" t="n">
        <v>0</v>
      </c>
      <c r="L515" t="n">
        <v>0</v>
      </c>
      <c r="M515" t="n">
        <v>0</v>
      </c>
      <c r="N515" t="n">
        <v>0</v>
      </c>
      <c r="O515" t="n">
        <v>0</v>
      </c>
      <c r="P515" t="n">
        <v>0</v>
      </c>
      <c r="Q515" t="n">
        <v>0</v>
      </c>
      <c r="R515" s="2" t="inlineStr"/>
    </row>
    <row r="516" ht="15" customHeight="1">
      <c r="A516" t="inlineStr">
        <is>
          <t>A 40373-2025</t>
        </is>
      </c>
      <c r="B516" s="1" t="n">
        <v>45895.51821759259</v>
      </c>
      <c r="C516" s="1" t="n">
        <v>45931</v>
      </c>
      <c r="D516" t="inlineStr">
        <is>
          <t>GOTLANDS LÄN</t>
        </is>
      </c>
      <c r="E516" t="inlineStr">
        <is>
          <t>GOTLAND</t>
        </is>
      </c>
      <c r="G516" t="n">
        <v>0.6</v>
      </c>
      <c r="H516" t="n">
        <v>0</v>
      </c>
      <c r="I516" t="n">
        <v>0</v>
      </c>
      <c r="J516" t="n">
        <v>0</v>
      </c>
      <c r="K516" t="n">
        <v>0</v>
      </c>
      <c r="L516" t="n">
        <v>0</v>
      </c>
      <c r="M516" t="n">
        <v>0</v>
      </c>
      <c r="N516" t="n">
        <v>0</v>
      </c>
      <c r="O516" t="n">
        <v>0</v>
      </c>
      <c r="P516" t="n">
        <v>0</v>
      </c>
      <c r="Q516" t="n">
        <v>0</v>
      </c>
      <c r="R516" s="2" t="inlineStr"/>
    </row>
    <row r="517" ht="15" customHeight="1">
      <c r="A517" t="inlineStr">
        <is>
          <t>A 30104-2025</t>
        </is>
      </c>
      <c r="B517" s="1" t="n">
        <v>45826.68806712963</v>
      </c>
      <c r="C517" s="1" t="n">
        <v>45931</v>
      </c>
      <c r="D517" t="inlineStr">
        <is>
          <t>GOTLANDS LÄN</t>
        </is>
      </c>
      <c r="E517" t="inlineStr">
        <is>
          <t>GOTLAND</t>
        </is>
      </c>
      <c r="G517" t="n">
        <v>15.4</v>
      </c>
      <c r="H517" t="n">
        <v>0</v>
      </c>
      <c r="I517" t="n">
        <v>0</v>
      </c>
      <c r="J517" t="n">
        <v>0</v>
      </c>
      <c r="K517" t="n">
        <v>0</v>
      </c>
      <c r="L517" t="n">
        <v>0</v>
      </c>
      <c r="M517" t="n">
        <v>0</v>
      </c>
      <c r="N517" t="n">
        <v>0</v>
      </c>
      <c r="O517" t="n">
        <v>0</v>
      </c>
      <c r="P517" t="n">
        <v>0</v>
      </c>
      <c r="Q517" t="n">
        <v>0</v>
      </c>
      <c r="R517" s="2" t="inlineStr"/>
    </row>
    <row r="518" ht="15" customHeight="1">
      <c r="A518" t="inlineStr">
        <is>
          <t>A 40499-2025</t>
        </is>
      </c>
      <c r="B518" s="1" t="n">
        <v>45896.32517361111</v>
      </c>
      <c r="C518" s="1" t="n">
        <v>45931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35290-2025</t>
        </is>
      </c>
      <c r="B519" s="1" t="n">
        <v>45854.38502314815</v>
      </c>
      <c r="C519" s="1" t="n">
        <v>45931</v>
      </c>
      <c r="D519" t="inlineStr">
        <is>
          <t>GOTLANDS LÄN</t>
        </is>
      </c>
      <c r="E519" t="inlineStr">
        <is>
          <t>GOTLAND</t>
        </is>
      </c>
      <c r="G519" t="n">
        <v>5.4</v>
      </c>
      <c r="H519" t="n">
        <v>0</v>
      </c>
      <c r="I519" t="n">
        <v>0</v>
      </c>
      <c r="J519" t="n">
        <v>0</v>
      </c>
      <c r="K519" t="n">
        <v>0</v>
      </c>
      <c r="L519" t="n">
        <v>0</v>
      </c>
      <c r="M519" t="n">
        <v>0</v>
      </c>
      <c r="N519" t="n">
        <v>0</v>
      </c>
      <c r="O519" t="n">
        <v>0</v>
      </c>
      <c r="P519" t="n">
        <v>0</v>
      </c>
      <c r="Q519" t="n">
        <v>0</v>
      </c>
      <c r="R519" s="2" t="inlineStr"/>
    </row>
    <row r="520" ht="15" customHeight="1">
      <c r="A520" t="inlineStr">
        <is>
          <t>A 39752-2025</t>
        </is>
      </c>
      <c r="B520" s="1" t="n">
        <v>45891</v>
      </c>
      <c r="C520" s="1" t="n">
        <v>45931</v>
      </c>
      <c r="D520" t="inlineStr">
        <is>
          <t>GOTLANDS LÄN</t>
        </is>
      </c>
      <c r="E520" t="inlineStr">
        <is>
          <t>GOTLAND</t>
        </is>
      </c>
      <c r="G520" t="n">
        <v>5.3</v>
      </c>
      <c r="H520" t="n">
        <v>0</v>
      </c>
      <c r="I520" t="n">
        <v>0</v>
      </c>
      <c r="J520" t="n">
        <v>0</v>
      </c>
      <c r="K520" t="n">
        <v>0</v>
      </c>
      <c r="L520" t="n">
        <v>0</v>
      </c>
      <c r="M520" t="n">
        <v>0</v>
      </c>
      <c r="N520" t="n">
        <v>0</v>
      </c>
      <c r="O520" t="n">
        <v>0</v>
      </c>
      <c r="P520" t="n">
        <v>0</v>
      </c>
      <c r="Q520" t="n">
        <v>0</v>
      </c>
      <c r="R520" s="2" t="inlineStr"/>
    </row>
    <row r="521" ht="15" customHeight="1">
      <c r="A521" t="inlineStr">
        <is>
          <t>A 39816-2025</t>
        </is>
      </c>
      <c r="B521" s="1" t="n">
        <v>45891</v>
      </c>
      <c r="C521" s="1" t="n">
        <v>45931</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32669-2024</t>
        </is>
      </c>
      <c r="B522" s="1" t="n">
        <v>45514</v>
      </c>
      <c r="C522" s="1" t="n">
        <v>45931</v>
      </c>
      <c r="D522" t="inlineStr">
        <is>
          <t>GOTLANDS LÄN</t>
        </is>
      </c>
      <c r="E522" t="inlineStr">
        <is>
          <t>GOTLAND</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35537-2025</t>
        </is>
      </c>
      <c r="B523" s="1" t="n">
        <v>45856</v>
      </c>
      <c r="C523" s="1" t="n">
        <v>45931</v>
      </c>
      <c r="D523" t="inlineStr">
        <is>
          <t>GOTLANDS LÄN</t>
        </is>
      </c>
      <c r="E523" t="inlineStr">
        <is>
          <t>GOTLAND</t>
        </is>
      </c>
      <c r="G523" t="n">
        <v>16.8</v>
      </c>
      <c r="H523" t="n">
        <v>0</v>
      </c>
      <c r="I523" t="n">
        <v>0</v>
      </c>
      <c r="J523" t="n">
        <v>0</v>
      </c>
      <c r="K523" t="n">
        <v>0</v>
      </c>
      <c r="L523" t="n">
        <v>0</v>
      </c>
      <c r="M523" t="n">
        <v>0</v>
      </c>
      <c r="N523" t="n">
        <v>0</v>
      </c>
      <c r="O523" t="n">
        <v>0</v>
      </c>
      <c r="P523" t="n">
        <v>0</v>
      </c>
      <c r="Q523" t="n">
        <v>0</v>
      </c>
      <c r="R523" s="2" t="inlineStr"/>
    </row>
    <row r="524" ht="15" customHeight="1">
      <c r="A524" t="inlineStr">
        <is>
          <t>A 35550-2025</t>
        </is>
      </c>
      <c r="B524" s="1" t="n">
        <v>45856.49324074074</v>
      </c>
      <c r="C524" s="1" t="n">
        <v>45931</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1446-2025</t>
        </is>
      </c>
      <c r="B525" s="1" t="n">
        <v>45669.86035879629</v>
      </c>
      <c r="C525" s="1" t="n">
        <v>45931</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41551-2025</t>
        </is>
      </c>
      <c r="B526" s="1" t="n">
        <v>45901.58854166666</v>
      </c>
      <c r="C526" s="1" t="n">
        <v>45931</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11874-2024</t>
        </is>
      </c>
      <c r="B527" s="1" t="n">
        <v>45376.46956018519</v>
      </c>
      <c r="C527" s="1" t="n">
        <v>45931</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41435-2025</t>
        </is>
      </c>
      <c r="B528" s="1" t="n">
        <v>45901.39974537037</v>
      </c>
      <c r="C528" s="1" t="n">
        <v>45931</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31264-2021</t>
        </is>
      </c>
      <c r="B529" s="1" t="n">
        <v>44368</v>
      </c>
      <c r="C529" s="1" t="n">
        <v>45931</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42041-2024</t>
        </is>
      </c>
      <c r="B530" s="1" t="n">
        <v>45561</v>
      </c>
      <c r="C530" s="1" t="n">
        <v>45931</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61694-2023</t>
        </is>
      </c>
      <c r="B531" s="1" t="n">
        <v>45264</v>
      </c>
      <c r="C531" s="1" t="n">
        <v>45931</v>
      </c>
      <c r="D531" t="inlineStr">
        <is>
          <t>GOTLANDS LÄN</t>
        </is>
      </c>
      <c r="E531" t="inlineStr">
        <is>
          <t>GOTLAND</t>
        </is>
      </c>
      <c r="G531" t="n">
        <v>4.6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45931</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10746-2025</t>
        </is>
      </c>
      <c r="B533" s="1" t="n">
        <v>45722.42766203704</v>
      </c>
      <c r="C533" s="1" t="n">
        <v>45931</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16501-2023</t>
        </is>
      </c>
      <c r="B534" s="1" t="n">
        <v>45029</v>
      </c>
      <c r="C534" s="1" t="n">
        <v>45931</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64555-2023</t>
        </is>
      </c>
      <c r="B535" s="1" t="n">
        <v>45281</v>
      </c>
      <c r="C535" s="1" t="n">
        <v>45931</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64831-2023</t>
        </is>
      </c>
      <c r="B536" s="1" t="n">
        <v>45282.44924768519</v>
      </c>
      <c r="C536" s="1" t="n">
        <v>45931</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15216-2025</t>
        </is>
      </c>
      <c r="B537" s="1" t="n">
        <v>45744</v>
      </c>
      <c r="C537" s="1" t="n">
        <v>45931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14804-2021</t>
        </is>
      </c>
      <c r="B538" s="1" t="n">
        <v>44280</v>
      </c>
      <c r="C538" s="1" t="n">
        <v>45931</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45931</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43790-2024</t>
        </is>
      </c>
      <c r="B540" s="1" t="n">
        <v>45571</v>
      </c>
      <c r="C540" s="1" t="n">
        <v>45931</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27930-2021</t>
        </is>
      </c>
      <c r="B541" s="1" t="n">
        <v>44354</v>
      </c>
      <c r="C541" s="1" t="n">
        <v>45931</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27602-2023</t>
        </is>
      </c>
      <c r="B542" s="1" t="n">
        <v>45097</v>
      </c>
      <c r="C542" s="1" t="n">
        <v>45931</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15001-2025</t>
        </is>
      </c>
      <c r="B543" s="1" t="n">
        <v>45743</v>
      </c>
      <c r="C543" s="1" t="n">
        <v>45931</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30488-2025</t>
        </is>
      </c>
      <c r="B544" s="1" t="n">
        <v>45830</v>
      </c>
      <c r="C544" s="1" t="n">
        <v>45931</v>
      </c>
      <c r="D544" t="inlineStr">
        <is>
          <t>GOTLANDS LÄN</t>
        </is>
      </c>
      <c r="E544" t="inlineStr">
        <is>
          <t>GOTLAND</t>
        </is>
      </c>
      <c r="F544" t="inlineStr">
        <is>
          <t>Kyrkan</t>
        </is>
      </c>
      <c r="G544" t="n">
        <v>3.9</v>
      </c>
      <c r="H544" t="n">
        <v>0</v>
      </c>
      <c r="I544" t="n">
        <v>0</v>
      </c>
      <c r="J544" t="n">
        <v>0</v>
      </c>
      <c r="K544" t="n">
        <v>0</v>
      </c>
      <c r="L544" t="n">
        <v>0</v>
      </c>
      <c r="M544" t="n">
        <v>0</v>
      </c>
      <c r="N544" t="n">
        <v>0</v>
      </c>
      <c r="O544" t="n">
        <v>0</v>
      </c>
      <c r="P544" t="n">
        <v>0</v>
      </c>
      <c r="Q544" t="n">
        <v>0</v>
      </c>
      <c r="R544" s="2" t="inlineStr"/>
    </row>
    <row r="545" ht="15" customHeight="1">
      <c r="A545" t="inlineStr">
        <is>
          <t>A 42608-2025</t>
        </is>
      </c>
      <c r="B545" s="1" t="n">
        <v>45905</v>
      </c>
      <c r="C545" s="1" t="n">
        <v>45931</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17847-2025</t>
        </is>
      </c>
      <c r="B546" s="1" t="n">
        <v>45758</v>
      </c>
      <c r="C546" s="1" t="n">
        <v>45931</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61962-2024</t>
        </is>
      </c>
      <c r="B547" s="1" t="n">
        <v>45653.54340277778</v>
      </c>
      <c r="C547" s="1" t="n">
        <v>45931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18742-2025</t>
        </is>
      </c>
      <c r="B548" s="1" t="n">
        <v>45763</v>
      </c>
      <c r="C548" s="1" t="n">
        <v>45931</v>
      </c>
      <c r="D548" t="inlineStr">
        <is>
          <t>GOTLANDS LÄN</t>
        </is>
      </c>
      <c r="E548" t="inlineStr">
        <is>
          <t>GOTLAND</t>
        </is>
      </c>
      <c r="G548" t="n">
        <v>3.4</v>
      </c>
      <c r="H548" t="n">
        <v>0</v>
      </c>
      <c r="I548" t="n">
        <v>0</v>
      </c>
      <c r="J548" t="n">
        <v>0</v>
      </c>
      <c r="K548" t="n">
        <v>0</v>
      </c>
      <c r="L548" t="n">
        <v>0</v>
      </c>
      <c r="M548" t="n">
        <v>0</v>
      </c>
      <c r="N548" t="n">
        <v>0</v>
      </c>
      <c r="O548" t="n">
        <v>0</v>
      </c>
      <c r="P548" t="n">
        <v>0</v>
      </c>
      <c r="Q548" t="n">
        <v>0</v>
      </c>
      <c r="R548" s="2" t="inlineStr"/>
    </row>
    <row r="549" ht="15" customHeight="1">
      <c r="A549" t="inlineStr">
        <is>
          <t>A 36319-2025</t>
        </is>
      </c>
      <c r="B549" s="1" t="n">
        <v>45868</v>
      </c>
      <c r="C549" s="1" t="n">
        <v>45931</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10492-2023</t>
        </is>
      </c>
      <c r="B550" s="1" t="n">
        <v>44987</v>
      </c>
      <c r="C550" s="1" t="n">
        <v>45931</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35129-2025</t>
        </is>
      </c>
      <c r="B551" s="1" t="n">
        <v>45852.63224537037</v>
      </c>
      <c r="C551" s="1" t="n">
        <v>45931</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4377-2023</t>
        </is>
      </c>
      <c r="B552" s="1" t="n">
        <v>44955.5502662037</v>
      </c>
      <c r="C552" s="1" t="n">
        <v>45931</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4387-2023</t>
        </is>
      </c>
      <c r="B553" s="1" t="n">
        <v>44955.73359953704</v>
      </c>
      <c r="C553" s="1" t="n">
        <v>45931</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39479-2022</t>
        </is>
      </c>
      <c r="B554" s="1" t="n">
        <v>44818</v>
      </c>
      <c r="C554" s="1" t="n">
        <v>45931</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5909-2025</t>
        </is>
      </c>
      <c r="B555" s="1" t="n">
        <v>45695.40634259259</v>
      </c>
      <c r="C555" s="1" t="n">
        <v>45931</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10653-2023</t>
        </is>
      </c>
      <c r="B556" s="1" t="n">
        <v>44988.48859953704</v>
      </c>
      <c r="C556" s="1" t="n">
        <v>45931</v>
      </c>
      <c r="D556" t="inlineStr">
        <is>
          <t>GOTLANDS LÄN</t>
        </is>
      </c>
      <c r="E556" t="inlineStr">
        <is>
          <t>GOTLAND</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45931</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45931</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4990-2025</t>
        </is>
      </c>
      <c r="B559" s="1" t="n">
        <v>45691</v>
      </c>
      <c r="C559" s="1" t="n">
        <v>45931</v>
      </c>
      <c r="D559" t="inlineStr">
        <is>
          <t>GOTLANDS LÄN</t>
        </is>
      </c>
      <c r="E559" t="inlineStr">
        <is>
          <t>GOTLAND</t>
        </is>
      </c>
      <c r="G559" t="n">
        <v>7.7</v>
      </c>
      <c r="H559" t="n">
        <v>0</v>
      </c>
      <c r="I559" t="n">
        <v>0</v>
      </c>
      <c r="J559" t="n">
        <v>0</v>
      </c>
      <c r="K559" t="n">
        <v>0</v>
      </c>
      <c r="L559" t="n">
        <v>0</v>
      </c>
      <c r="M559" t="n">
        <v>0</v>
      </c>
      <c r="N559" t="n">
        <v>0</v>
      </c>
      <c r="O559" t="n">
        <v>0</v>
      </c>
      <c r="P559" t="n">
        <v>0</v>
      </c>
      <c r="Q559" t="n">
        <v>0</v>
      </c>
      <c r="R559" s="2" t="inlineStr"/>
    </row>
    <row r="560" ht="15" customHeight="1">
      <c r="A560" t="inlineStr">
        <is>
          <t>A 46389-2021</t>
        </is>
      </c>
      <c r="B560" s="1" t="n">
        <v>44443</v>
      </c>
      <c r="C560" s="1" t="n">
        <v>45931</v>
      </c>
      <c r="D560" t="inlineStr">
        <is>
          <t>GOTLANDS LÄN</t>
        </is>
      </c>
      <c r="E560" t="inlineStr">
        <is>
          <t>GOTLAND</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44410-2025</t>
        </is>
      </c>
      <c r="B561" s="1" t="n">
        <v>45916.53699074074</v>
      </c>
      <c r="C561" s="1" t="n">
        <v>45931</v>
      </c>
      <c r="D561" t="inlineStr">
        <is>
          <t>GOTLANDS LÄN</t>
        </is>
      </c>
      <c r="E561" t="inlineStr">
        <is>
          <t>GOTLAND</t>
        </is>
      </c>
      <c r="G561" t="n">
        <v>2.3</v>
      </c>
      <c r="H561" t="n">
        <v>0</v>
      </c>
      <c r="I561" t="n">
        <v>0</v>
      </c>
      <c r="J561" t="n">
        <v>0</v>
      </c>
      <c r="K561" t="n">
        <v>0</v>
      </c>
      <c r="L561" t="n">
        <v>0</v>
      </c>
      <c r="M561" t="n">
        <v>0</v>
      </c>
      <c r="N561" t="n">
        <v>0</v>
      </c>
      <c r="O561" t="n">
        <v>0</v>
      </c>
      <c r="P561" t="n">
        <v>0</v>
      </c>
      <c r="Q561" t="n">
        <v>0</v>
      </c>
      <c r="R561" s="2" t="inlineStr"/>
    </row>
    <row r="562" ht="15" customHeight="1">
      <c r="A562" t="inlineStr">
        <is>
          <t>A 44405-2025</t>
        </is>
      </c>
      <c r="B562" s="1" t="n">
        <v>45916.52405092592</v>
      </c>
      <c r="C562" s="1" t="n">
        <v>45931</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26810-2021</t>
        </is>
      </c>
      <c r="B563" s="1" t="n">
        <v>44349.55087962963</v>
      </c>
      <c r="C563" s="1" t="n">
        <v>45931</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43081-2022</t>
        </is>
      </c>
      <c r="B564" s="1" t="n">
        <v>44833</v>
      </c>
      <c r="C564" s="1" t="n">
        <v>45931</v>
      </c>
      <c r="D564" t="inlineStr">
        <is>
          <t>GOTLANDS LÄN</t>
        </is>
      </c>
      <c r="E564" t="inlineStr">
        <is>
          <t>GOTLAND</t>
        </is>
      </c>
      <c r="G564" t="n">
        <v>6.8</v>
      </c>
      <c r="H564" t="n">
        <v>0</v>
      </c>
      <c r="I564" t="n">
        <v>0</v>
      </c>
      <c r="J564" t="n">
        <v>0</v>
      </c>
      <c r="K564" t="n">
        <v>0</v>
      </c>
      <c r="L564" t="n">
        <v>0</v>
      </c>
      <c r="M564" t="n">
        <v>0</v>
      </c>
      <c r="N564" t="n">
        <v>0</v>
      </c>
      <c r="O564" t="n">
        <v>0</v>
      </c>
      <c r="P564" t="n">
        <v>0</v>
      </c>
      <c r="Q564" t="n">
        <v>0</v>
      </c>
      <c r="R564" s="2" t="inlineStr"/>
    </row>
    <row r="565" ht="15" customHeight="1">
      <c r="A565" t="inlineStr">
        <is>
          <t>A 32958-2021</t>
        </is>
      </c>
      <c r="B565" s="1" t="n">
        <v>44376</v>
      </c>
      <c r="C565" s="1" t="n">
        <v>45931</v>
      </c>
      <c r="D565" t="inlineStr">
        <is>
          <t>GOTLANDS LÄN</t>
        </is>
      </c>
      <c r="E565" t="inlineStr">
        <is>
          <t>GOTLAND</t>
        </is>
      </c>
      <c r="G565" t="n">
        <v>2.2</v>
      </c>
      <c r="H565" t="n">
        <v>0</v>
      </c>
      <c r="I565" t="n">
        <v>0</v>
      </c>
      <c r="J565" t="n">
        <v>0</v>
      </c>
      <c r="K565" t="n">
        <v>0</v>
      </c>
      <c r="L565" t="n">
        <v>0</v>
      </c>
      <c r="M565" t="n">
        <v>0</v>
      </c>
      <c r="N565" t="n">
        <v>0</v>
      </c>
      <c r="O565" t="n">
        <v>0</v>
      </c>
      <c r="P565" t="n">
        <v>0</v>
      </c>
      <c r="Q565" t="n">
        <v>0</v>
      </c>
      <c r="R565" s="2" t="inlineStr"/>
    </row>
    <row r="566" ht="15" customHeight="1">
      <c r="A566" t="inlineStr">
        <is>
          <t>A 5884-2025</t>
        </is>
      </c>
      <c r="B566" s="1" t="n">
        <v>45695.37482638889</v>
      </c>
      <c r="C566" s="1" t="n">
        <v>45931</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5897-2025</t>
        </is>
      </c>
      <c r="B567" s="1" t="n">
        <v>45695.39273148148</v>
      </c>
      <c r="C567" s="1" t="n">
        <v>45931</v>
      </c>
      <c r="D567" t="inlineStr">
        <is>
          <t>GOTLANDS LÄN</t>
        </is>
      </c>
      <c r="E567" t="inlineStr">
        <is>
          <t>GOTLAND</t>
        </is>
      </c>
      <c r="G567" t="n">
        <v>3.7</v>
      </c>
      <c r="H567" t="n">
        <v>0</v>
      </c>
      <c r="I567" t="n">
        <v>0</v>
      </c>
      <c r="J567" t="n">
        <v>0</v>
      </c>
      <c r="K567" t="n">
        <v>0</v>
      </c>
      <c r="L567" t="n">
        <v>0</v>
      </c>
      <c r="M567" t="n">
        <v>0</v>
      </c>
      <c r="N567" t="n">
        <v>0</v>
      </c>
      <c r="O567" t="n">
        <v>0</v>
      </c>
      <c r="P567" t="n">
        <v>0</v>
      </c>
      <c r="Q567" t="n">
        <v>0</v>
      </c>
      <c r="R567" s="2" t="inlineStr"/>
    </row>
    <row r="568" ht="15" customHeight="1">
      <c r="A568" t="inlineStr">
        <is>
          <t>A 43911-2025</t>
        </is>
      </c>
      <c r="B568" s="1" t="n">
        <v>45914.3881712963</v>
      </c>
      <c r="C568" s="1" t="n">
        <v>45931</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5923-2023</t>
        </is>
      </c>
      <c r="B569" s="1" t="n">
        <v>44963.69503472222</v>
      </c>
      <c r="C569" s="1" t="n">
        <v>45931</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43951-2025</t>
        </is>
      </c>
      <c r="B570" s="1" t="n">
        <v>45915.38119212963</v>
      </c>
      <c r="C570" s="1" t="n">
        <v>45931</v>
      </c>
      <c r="D570" t="inlineStr">
        <is>
          <t>GOTLANDS LÄN</t>
        </is>
      </c>
      <c r="E570" t="inlineStr">
        <is>
          <t>GOTLAND</t>
        </is>
      </c>
      <c r="G570" t="n">
        <v>4.4</v>
      </c>
      <c r="H570" t="n">
        <v>0</v>
      </c>
      <c r="I570" t="n">
        <v>0</v>
      </c>
      <c r="J570" t="n">
        <v>0</v>
      </c>
      <c r="K570" t="n">
        <v>0</v>
      </c>
      <c r="L570" t="n">
        <v>0</v>
      </c>
      <c r="M570" t="n">
        <v>0</v>
      </c>
      <c r="N570" t="n">
        <v>0</v>
      </c>
      <c r="O570" t="n">
        <v>0</v>
      </c>
      <c r="P570" t="n">
        <v>0</v>
      </c>
      <c r="Q570" t="n">
        <v>0</v>
      </c>
      <c r="R570" s="2" t="inlineStr"/>
    </row>
    <row r="571" ht="15" customHeight="1">
      <c r="A571" t="inlineStr">
        <is>
          <t>A 33853-2024</t>
        </is>
      </c>
      <c r="B571" s="1" t="n">
        <v>45520.64298611111</v>
      </c>
      <c r="C571" s="1" t="n">
        <v>45931</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18918-2025</t>
        </is>
      </c>
      <c r="B572" s="1" t="n">
        <v>45764</v>
      </c>
      <c r="C572" s="1" t="n">
        <v>45931</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45931</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49693-2023</t>
        </is>
      </c>
      <c r="B574" s="1" t="n">
        <v>45212.38138888889</v>
      </c>
      <c r="C574" s="1" t="n">
        <v>45931</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49697-2023</t>
        </is>
      </c>
      <c r="B575" s="1" t="n">
        <v>45212.38909722222</v>
      </c>
      <c r="C575" s="1" t="n">
        <v>45931</v>
      </c>
      <c r="D575" t="inlineStr">
        <is>
          <t>GOTLANDS LÄN</t>
        </is>
      </c>
      <c r="E575" t="inlineStr">
        <is>
          <t>GOTLAND</t>
        </is>
      </c>
      <c r="G575" t="n">
        <v>4.4</v>
      </c>
      <c r="H575" t="n">
        <v>0</v>
      </c>
      <c r="I575" t="n">
        <v>0</v>
      </c>
      <c r="J575" t="n">
        <v>0</v>
      </c>
      <c r="K575" t="n">
        <v>0</v>
      </c>
      <c r="L575" t="n">
        <v>0</v>
      </c>
      <c r="M575" t="n">
        <v>0</v>
      </c>
      <c r="N575" t="n">
        <v>0</v>
      </c>
      <c r="O575" t="n">
        <v>0</v>
      </c>
      <c r="P575" t="n">
        <v>0</v>
      </c>
      <c r="Q575" t="n">
        <v>0</v>
      </c>
      <c r="R575" s="2" t="inlineStr"/>
    </row>
    <row r="576" ht="15" customHeight="1">
      <c r="A576" t="inlineStr">
        <is>
          <t>A 10655-2023</t>
        </is>
      </c>
      <c r="B576" s="1" t="n">
        <v>44988.49543981482</v>
      </c>
      <c r="C576" s="1" t="n">
        <v>45931</v>
      </c>
      <c r="D576" t="inlineStr">
        <is>
          <t>GOTLANDS LÄN</t>
        </is>
      </c>
      <c r="E576" t="inlineStr">
        <is>
          <t>GOTLAND</t>
        </is>
      </c>
      <c r="F576" t="inlineStr">
        <is>
          <t>Kyrkan</t>
        </is>
      </c>
      <c r="G576" t="n">
        <v>2</v>
      </c>
      <c r="H576" t="n">
        <v>0</v>
      </c>
      <c r="I576" t="n">
        <v>0</v>
      </c>
      <c r="J576" t="n">
        <v>0</v>
      </c>
      <c r="K576" t="n">
        <v>0</v>
      </c>
      <c r="L576" t="n">
        <v>0</v>
      </c>
      <c r="M576" t="n">
        <v>0</v>
      </c>
      <c r="N576" t="n">
        <v>0</v>
      </c>
      <c r="O576" t="n">
        <v>0</v>
      </c>
      <c r="P576" t="n">
        <v>0</v>
      </c>
      <c r="Q576" t="n">
        <v>0</v>
      </c>
      <c r="R576" s="2" t="inlineStr"/>
    </row>
    <row r="577" ht="15" customHeight="1">
      <c r="A577" t="inlineStr">
        <is>
          <t>A 2719-2023</t>
        </is>
      </c>
      <c r="B577" s="1" t="n">
        <v>44944.55361111111</v>
      </c>
      <c r="C577" s="1" t="n">
        <v>45931</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26891-2024</t>
        </is>
      </c>
      <c r="B578" s="1" t="n">
        <v>45470.65540509259</v>
      </c>
      <c r="C578" s="1" t="n">
        <v>45931</v>
      </c>
      <c r="D578" t="inlineStr">
        <is>
          <t>GOTLANDS LÄN</t>
        </is>
      </c>
      <c r="E578" t="inlineStr">
        <is>
          <t>GOTLAND</t>
        </is>
      </c>
      <c r="G578" t="n">
        <v>0.8</v>
      </c>
      <c r="H578" t="n">
        <v>0</v>
      </c>
      <c r="I578" t="n">
        <v>0</v>
      </c>
      <c r="J578" t="n">
        <v>0</v>
      </c>
      <c r="K578" t="n">
        <v>0</v>
      </c>
      <c r="L578" t="n">
        <v>0</v>
      </c>
      <c r="M578" t="n">
        <v>0</v>
      </c>
      <c r="N578" t="n">
        <v>0</v>
      </c>
      <c r="O578" t="n">
        <v>0</v>
      </c>
      <c r="P578" t="n">
        <v>0</v>
      </c>
      <c r="Q578" t="n">
        <v>0</v>
      </c>
      <c r="R578" s="2" t="inlineStr"/>
    </row>
    <row r="579" ht="15" customHeight="1">
      <c r="A579" t="inlineStr">
        <is>
          <t>A 42007-2023</t>
        </is>
      </c>
      <c r="B579" s="1" t="n">
        <v>45177</v>
      </c>
      <c r="C579" s="1" t="n">
        <v>45931</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45931</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38165-2023</t>
        </is>
      </c>
      <c r="B581" s="1" t="n">
        <v>45161</v>
      </c>
      <c r="C581" s="1" t="n">
        <v>45931</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27596-2023</t>
        </is>
      </c>
      <c r="B582" s="1" t="n">
        <v>45097</v>
      </c>
      <c r="C582" s="1" t="n">
        <v>45931</v>
      </c>
      <c r="D582" t="inlineStr">
        <is>
          <t>GOTLANDS LÄN</t>
        </is>
      </c>
      <c r="E582" t="inlineStr">
        <is>
          <t>GOTLAND</t>
        </is>
      </c>
      <c r="G582" t="n">
        <v>3.6</v>
      </c>
      <c r="H582" t="n">
        <v>0</v>
      </c>
      <c r="I582" t="n">
        <v>0</v>
      </c>
      <c r="J582" t="n">
        <v>0</v>
      </c>
      <c r="K582" t="n">
        <v>0</v>
      </c>
      <c r="L582" t="n">
        <v>0</v>
      </c>
      <c r="M582" t="n">
        <v>0</v>
      </c>
      <c r="N582" t="n">
        <v>0</v>
      </c>
      <c r="O582" t="n">
        <v>0</v>
      </c>
      <c r="P582" t="n">
        <v>0</v>
      </c>
      <c r="Q582" t="n">
        <v>0</v>
      </c>
      <c r="R582" s="2" t="inlineStr"/>
    </row>
    <row r="583" ht="15" customHeight="1">
      <c r="A583" t="inlineStr">
        <is>
          <t>A 24825-2024</t>
        </is>
      </c>
      <c r="B583" s="1" t="n">
        <v>45461</v>
      </c>
      <c r="C583" s="1" t="n">
        <v>45931</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6696-2023</t>
        </is>
      </c>
      <c r="B584" s="1" t="n">
        <v>44966.66425925926</v>
      </c>
      <c r="C584" s="1" t="n">
        <v>45931</v>
      </c>
      <c r="D584" t="inlineStr">
        <is>
          <t>GOTLANDS LÄN</t>
        </is>
      </c>
      <c r="E584" t="inlineStr">
        <is>
          <t>GOTLAND</t>
        </is>
      </c>
      <c r="G584" t="n">
        <v>1.5</v>
      </c>
      <c r="H584" t="n">
        <v>0</v>
      </c>
      <c r="I584" t="n">
        <v>0</v>
      </c>
      <c r="J584" t="n">
        <v>0</v>
      </c>
      <c r="K584" t="n">
        <v>0</v>
      </c>
      <c r="L584" t="n">
        <v>0</v>
      </c>
      <c r="M584" t="n">
        <v>0</v>
      </c>
      <c r="N584" t="n">
        <v>0</v>
      </c>
      <c r="O584" t="n">
        <v>0</v>
      </c>
      <c r="P584" t="n">
        <v>0</v>
      </c>
      <c r="Q584" t="n">
        <v>0</v>
      </c>
      <c r="R584" s="2" t="inlineStr"/>
    </row>
    <row r="585" ht="15" customHeight="1">
      <c r="A585" t="inlineStr">
        <is>
          <t>A 6108-2025</t>
        </is>
      </c>
      <c r="B585" s="1" t="n">
        <v>45698.29880787037</v>
      </c>
      <c r="C585" s="1" t="n">
        <v>45931</v>
      </c>
      <c r="D585" t="inlineStr">
        <is>
          <t>GOTLANDS LÄN</t>
        </is>
      </c>
      <c r="E585" t="inlineStr">
        <is>
          <t>GOTLAND</t>
        </is>
      </c>
      <c r="G585" t="n">
        <v>2.8</v>
      </c>
      <c r="H585" t="n">
        <v>0</v>
      </c>
      <c r="I585" t="n">
        <v>0</v>
      </c>
      <c r="J585" t="n">
        <v>0</v>
      </c>
      <c r="K585" t="n">
        <v>0</v>
      </c>
      <c r="L585" t="n">
        <v>0</v>
      </c>
      <c r="M585" t="n">
        <v>0</v>
      </c>
      <c r="N585" t="n">
        <v>0</v>
      </c>
      <c r="O585" t="n">
        <v>0</v>
      </c>
      <c r="P585" t="n">
        <v>0</v>
      </c>
      <c r="Q585" t="n">
        <v>0</v>
      </c>
      <c r="R585" s="2" t="inlineStr"/>
    </row>
    <row r="586" ht="15" customHeight="1">
      <c r="A586" t="inlineStr">
        <is>
          <t>A 21142-2025</t>
        </is>
      </c>
      <c r="B586" s="1" t="n">
        <v>45779</v>
      </c>
      <c r="C586" s="1" t="n">
        <v>45931</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10158-2025</t>
        </is>
      </c>
      <c r="B587" s="1" t="n">
        <v>45719</v>
      </c>
      <c r="C587" s="1" t="n">
        <v>45931</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21247-2022</t>
        </is>
      </c>
      <c r="B588" s="1" t="n">
        <v>44705.38832175926</v>
      </c>
      <c r="C588" s="1" t="n">
        <v>45931</v>
      </c>
      <c r="D588" t="inlineStr">
        <is>
          <t>GOTLANDS LÄN</t>
        </is>
      </c>
      <c r="E588" t="inlineStr">
        <is>
          <t>GOTLAND</t>
        </is>
      </c>
      <c r="G588" t="n">
        <v>16.2</v>
      </c>
      <c r="H588" t="n">
        <v>0</v>
      </c>
      <c r="I588" t="n">
        <v>0</v>
      </c>
      <c r="J588" t="n">
        <v>0</v>
      </c>
      <c r="K588" t="n">
        <v>0</v>
      </c>
      <c r="L588" t="n">
        <v>0</v>
      </c>
      <c r="M588" t="n">
        <v>0</v>
      </c>
      <c r="N588" t="n">
        <v>0</v>
      </c>
      <c r="O588" t="n">
        <v>0</v>
      </c>
      <c r="P588" t="n">
        <v>0</v>
      </c>
      <c r="Q588" t="n">
        <v>0</v>
      </c>
      <c r="R588" s="2" t="inlineStr"/>
    </row>
    <row r="589" ht="15" customHeight="1">
      <c r="A589" t="inlineStr">
        <is>
          <t>A 456-2023</t>
        </is>
      </c>
      <c r="B589" s="1" t="n">
        <v>44929.87122685185</v>
      </c>
      <c r="C589" s="1" t="n">
        <v>45931</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44944.54896990741</v>
      </c>
      <c r="C590" s="1" t="n">
        <v>45931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17343-2025</t>
        </is>
      </c>
      <c r="B591" s="1" t="n">
        <v>45756.6687037037</v>
      </c>
      <c r="C591" s="1" t="n">
        <v>45931</v>
      </c>
      <c r="D591" t="inlineStr">
        <is>
          <t>GOTLANDS LÄN</t>
        </is>
      </c>
      <c r="E591" t="inlineStr">
        <is>
          <t>GOTLAND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4421-2024</t>
        </is>
      </c>
      <c r="B592" s="1" t="n">
        <v>45327.45173611111</v>
      </c>
      <c r="C592" s="1" t="n">
        <v>45931</v>
      </c>
      <c r="D592" t="inlineStr">
        <is>
          <t>GOTLANDS LÄN</t>
        </is>
      </c>
      <c r="E592" t="inlineStr">
        <is>
          <t>GOTLAND</t>
        </is>
      </c>
      <c r="G592" t="n">
        <v>5.1</v>
      </c>
      <c r="H592" t="n">
        <v>0</v>
      </c>
      <c r="I592" t="n">
        <v>0</v>
      </c>
      <c r="J592" t="n">
        <v>0</v>
      </c>
      <c r="K592" t="n">
        <v>0</v>
      </c>
      <c r="L592" t="n">
        <v>0</v>
      </c>
      <c r="M592" t="n">
        <v>0</v>
      </c>
      <c r="N592" t="n">
        <v>0</v>
      </c>
      <c r="O592" t="n">
        <v>0</v>
      </c>
      <c r="P592" t="n">
        <v>0</v>
      </c>
      <c r="Q592" t="n">
        <v>0</v>
      </c>
      <c r="R592" s="2" t="inlineStr"/>
    </row>
    <row r="593" ht="15" customHeight="1">
      <c r="A593" t="inlineStr">
        <is>
          <t>A 18938-2025</t>
        </is>
      </c>
      <c r="B593" s="1" t="n">
        <v>45764.49172453704</v>
      </c>
      <c r="C593" s="1" t="n">
        <v>45931</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45931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45931</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45931</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30489-2025</t>
        </is>
      </c>
      <c r="B597" s="1" t="n">
        <v>45830</v>
      </c>
      <c r="C597" s="1" t="n">
        <v>45931</v>
      </c>
      <c r="D597" t="inlineStr">
        <is>
          <t>GOTLANDS LÄN</t>
        </is>
      </c>
      <c r="E597" t="inlineStr">
        <is>
          <t>GOTLAND</t>
        </is>
      </c>
      <c r="G597" t="n">
        <v>4.6</v>
      </c>
      <c r="H597" t="n">
        <v>0</v>
      </c>
      <c r="I597" t="n">
        <v>0</v>
      </c>
      <c r="J597" t="n">
        <v>0</v>
      </c>
      <c r="K597" t="n">
        <v>0</v>
      </c>
      <c r="L597" t="n">
        <v>0</v>
      </c>
      <c r="M597" t="n">
        <v>0</v>
      </c>
      <c r="N597" t="n">
        <v>0</v>
      </c>
      <c r="O597" t="n">
        <v>0</v>
      </c>
      <c r="P597" t="n">
        <v>0</v>
      </c>
      <c r="Q597" t="n">
        <v>0</v>
      </c>
      <c r="R597" s="2" t="inlineStr"/>
    </row>
    <row r="598" ht="15" customHeight="1">
      <c r="A598" t="inlineStr">
        <is>
          <t>A 20307-2025</t>
        </is>
      </c>
      <c r="B598" s="1" t="n">
        <v>45774.95546296296</v>
      </c>
      <c r="C598" s="1" t="n">
        <v>45931</v>
      </c>
      <c r="D598" t="inlineStr">
        <is>
          <t>GOTLANDS LÄN</t>
        </is>
      </c>
      <c r="E598" t="inlineStr">
        <is>
          <t>GOTLAND</t>
        </is>
      </c>
      <c r="G598" t="n">
        <v>6.8</v>
      </c>
      <c r="H598" t="n">
        <v>0</v>
      </c>
      <c r="I598" t="n">
        <v>0</v>
      </c>
      <c r="J598" t="n">
        <v>0</v>
      </c>
      <c r="K598" t="n">
        <v>0</v>
      </c>
      <c r="L598" t="n">
        <v>0</v>
      </c>
      <c r="M598" t="n">
        <v>0</v>
      </c>
      <c r="N598" t="n">
        <v>0</v>
      </c>
      <c r="O598" t="n">
        <v>0</v>
      </c>
      <c r="P598" t="n">
        <v>0</v>
      </c>
      <c r="Q598" t="n">
        <v>0</v>
      </c>
      <c r="R598" s="2" t="inlineStr"/>
    </row>
    <row r="599">
      <c r="A599" t="inlineStr">
        <is>
          <t>A 2292-2021</t>
        </is>
      </c>
      <c r="B599" s="1" t="n">
        <v>44212</v>
      </c>
      <c r="C599" s="1" t="n">
        <v>45931</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2025-10-01T12:52:22Z</dcterms:created>
  <dcterms:modified xmlns:dcterms="http://purl.org/dc/terms/" xmlns:xsi="http://www.w3.org/2001/XMLSchema-instance" xsi:type="dcterms:W3CDTF">2025-10-01T12:52:23Z</dcterms:modified>
</cp:coreProperties>
</file>