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45996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45996</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45996</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45996</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45996</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45996</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45996</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45996</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45996</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45996</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45996</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45996</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45996</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45996</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45996</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45996</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45996</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45996</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45996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45996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45996</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445-2023</t>
        </is>
      </c>
      <c r="B38" s="1" t="n">
        <v>44929</v>
      </c>
      <c r="C38" s="1" t="n">
        <v>45996</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45996</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45996</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45996</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45996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45996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45996</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45996</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45996</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45996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45996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45996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45996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45996</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45996</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27168-2022</t>
        </is>
      </c>
      <c r="B63" s="1" t="n">
        <v>44741</v>
      </c>
      <c r="C63" s="1" t="n">
        <v>45996</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34142-2024</t>
        </is>
      </c>
      <c r="B64" s="1" t="n">
        <v>45524.36521990741</v>
      </c>
      <c r="C64" s="1" t="n">
        <v>45996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45996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45996</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45996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44944-2022</t>
        </is>
      </c>
      <c r="B68" s="1" t="n">
        <v>44841</v>
      </c>
      <c r="C68" s="1" t="n">
        <v>45996</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56687-2025</t>
        </is>
      </c>
      <c r="B69" s="1" t="n">
        <v>45975.84065972222</v>
      </c>
      <c r="C69" s="1" t="n">
        <v>45996</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45996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45996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45996</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45996</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65819-2020</t>
        </is>
      </c>
      <c r="B74" s="1" t="n">
        <v>44174</v>
      </c>
      <c r="C74" s="1" t="n">
        <v>45996</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54527-2023</t>
        </is>
      </c>
      <c r="B75" s="1" t="n">
        <v>45233</v>
      </c>
      <c r="C75" s="1" t="n">
        <v>45996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7038-2023</t>
        </is>
      </c>
      <c r="B76" s="1" t="n">
        <v>44968</v>
      </c>
      <c r="C76" s="1" t="n">
        <v>45996</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57773-2025</t>
        </is>
      </c>
      <c r="B77" s="1" t="n">
        <v>45981.56349537037</v>
      </c>
      <c r="C77" s="1" t="n">
        <v>45996</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446-2023</t>
        </is>
      </c>
      <c r="B78" s="1" t="n">
        <v>44929</v>
      </c>
      <c r="C78" s="1" t="n">
        <v>45996</v>
      </c>
      <c r="D78" t="inlineStr">
        <is>
          <t>GOTLANDS LÄN</t>
        </is>
      </c>
      <c r="E78" t="inlineStr">
        <is>
          <t>GOTLAND</t>
        </is>
      </c>
      <c r="G78" t="n">
        <v>7.1</v>
      </c>
      <c r="H78" t="n">
        <v>2</v>
      </c>
      <c r="I78" t="n">
        <v>3</v>
      </c>
      <c r="J78" t="n">
        <v>2</v>
      </c>
      <c r="K78" t="n">
        <v>1</v>
      </c>
      <c r="L78" t="n">
        <v>0</v>
      </c>
      <c r="M78" t="n">
        <v>0</v>
      </c>
      <c r="N78" t="n">
        <v>0</v>
      </c>
      <c r="O78" t="n">
        <v>3</v>
      </c>
      <c r="P78" t="n">
        <v>1</v>
      </c>
      <c r="Q78" t="n">
        <v>6</v>
      </c>
      <c r="R78" s="2" t="inlineStr">
        <is>
          <t>Svartgrön spindling
Spillkråka
Äggspindling
Kastanjefjällskivling
Skogsknipprot
Svavelriska</t>
        </is>
      </c>
      <c r="S78">
        <f>HYPERLINK("https://klasma.github.io/Logging_0980/artfynd/A 446-2023 artfynd.xlsx", "A 446-2023")</f>
        <v/>
      </c>
      <c r="T78">
        <f>HYPERLINK("https://klasma.github.io/Logging_0980/kartor/A 446-2023 karta.png", "A 446-2023")</f>
        <v/>
      </c>
      <c r="V78">
        <f>HYPERLINK("https://klasma.github.io/Logging_0980/klagomål/A 446-2023 FSC-klagomål.docx", "A 446-2023")</f>
        <v/>
      </c>
      <c r="W78">
        <f>HYPERLINK("https://klasma.github.io/Logging_0980/klagomålsmail/A 446-2023 FSC-klagomål mail.docx", "A 446-2023")</f>
        <v/>
      </c>
      <c r="X78">
        <f>HYPERLINK("https://klasma.github.io/Logging_0980/tillsyn/A 446-2023 tillsynsbegäran.docx", "A 446-2023")</f>
        <v/>
      </c>
      <c r="Y78">
        <f>HYPERLINK("https://klasma.github.io/Logging_0980/tillsynsmail/A 446-2023 tillsynsbegäran mail.docx", "A 446-2023")</f>
        <v/>
      </c>
      <c r="Z78">
        <f>HYPERLINK("https://klasma.github.io/Logging_0980/fåglar/A 446-2023 prioriterade fågelarter.docx", "A 446-2023")</f>
        <v/>
      </c>
    </row>
    <row r="79" ht="15" customHeight="1">
      <c r="A79" t="inlineStr">
        <is>
          <t>A 53584-2025</t>
        </is>
      </c>
      <c r="B79" s="1" t="n">
        <v>45960.43130787037</v>
      </c>
      <c r="C79" s="1" t="n">
        <v>45996</v>
      </c>
      <c r="D79" t="inlineStr">
        <is>
          <t>GOTLANDS LÄN</t>
        </is>
      </c>
      <c r="E79" t="inlineStr">
        <is>
          <t>GOTLAND</t>
        </is>
      </c>
      <c r="F79" t="inlineStr">
        <is>
          <t>Övriga Aktiebolag</t>
        </is>
      </c>
      <c r="G79" t="n">
        <v>18.1</v>
      </c>
      <c r="H79" t="n">
        <v>3</v>
      </c>
      <c r="I79" t="n">
        <v>0</v>
      </c>
      <c r="J79" t="n">
        <v>4</v>
      </c>
      <c r="K79" t="n">
        <v>0</v>
      </c>
      <c r="L79" t="n">
        <v>0</v>
      </c>
      <c r="M79" t="n">
        <v>0</v>
      </c>
      <c r="N79" t="n">
        <v>0</v>
      </c>
      <c r="O79" t="n">
        <v>4</v>
      </c>
      <c r="P79" t="n">
        <v>0</v>
      </c>
      <c r="Q79" t="n">
        <v>6</v>
      </c>
      <c r="R79" s="2" t="inlineStr">
        <is>
          <t>Apollofjäril
Jordtistel
Klasefibbla
Majviva
Gråkråka
Nattviol</t>
        </is>
      </c>
      <c r="S79">
        <f>HYPERLINK("https://klasma.github.io/Logging_0980/artfynd/A 53584-2025 artfynd.xlsx", "A 53584-2025")</f>
        <v/>
      </c>
      <c r="T79">
        <f>HYPERLINK("https://klasma.github.io/Logging_0980/kartor/A 53584-2025 karta.png", "A 53584-2025")</f>
        <v/>
      </c>
      <c r="V79">
        <f>HYPERLINK("https://klasma.github.io/Logging_0980/klagomål/A 53584-2025 FSC-klagomål.docx", "A 53584-2025")</f>
        <v/>
      </c>
      <c r="W79">
        <f>HYPERLINK("https://klasma.github.io/Logging_0980/klagomålsmail/A 53584-2025 FSC-klagomål mail.docx", "A 53584-2025")</f>
        <v/>
      </c>
      <c r="X79">
        <f>HYPERLINK("https://klasma.github.io/Logging_0980/tillsyn/A 53584-2025 tillsynsbegäran.docx", "A 53584-2025")</f>
        <v/>
      </c>
      <c r="Y79">
        <f>HYPERLINK("https://klasma.github.io/Logging_0980/tillsynsmail/A 53584-2025 tillsynsbegäran mail.docx", "A 53584-2025")</f>
        <v/>
      </c>
    </row>
    <row r="80" ht="15" customHeight="1">
      <c r="A80" t="inlineStr">
        <is>
          <t>A 66091-2021</t>
        </is>
      </c>
      <c r="B80" s="1" t="n">
        <v>44517</v>
      </c>
      <c r="C80" s="1" t="n">
        <v>45996</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2213-2023</t>
        </is>
      </c>
      <c r="B81" s="1" t="n">
        <v>44942</v>
      </c>
      <c r="C81" s="1" t="n">
        <v>45996</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16375-2025</t>
        </is>
      </c>
      <c r="B82" s="1" t="n">
        <v>45751.41064814815</v>
      </c>
      <c r="C82" s="1" t="n">
        <v>45996</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45996</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35293-2025</t>
        </is>
      </c>
      <c r="B84" s="1" t="n">
        <v>45854.39438657407</v>
      </c>
      <c r="C84" s="1" t="n">
        <v>45996</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54055-2022</t>
        </is>
      </c>
      <c r="B85" s="1" t="n">
        <v>44881</v>
      </c>
      <c r="C85" s="1" t="n">
        <v>45996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32326-2024</t>
        </is>
      </c>
      <c r="B86" s="1" t="n">
        <v>45512</v>
      </c>
      <c r="C86" s="1" t="n">
        <v>45996</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39425-2023</t>
        </is>
      </c>
      <c r="B87" s="1" t="n">
        <v>45166</v>
      </c>
      <c r="C87" s="1" t="n">
        <v>45996</v>
      </c>
      <c r="D87" t="inlineStr">
        <is>
          <t>GOTLANDS LÄN</t>
        </is>
      </c>
      <c r="E87" t="inlineStr">
        <is>
          <t>GOTLAND</t>
        </is>
      </c>
      <c r="G87" t="n">
        <v>3.9</v>
      </c>
      <c r="H87" t="n">
        <v>1</v>
      </c>
      <c r="I87" t="n">
        <v>3</v>
      </c>
      <c r="J87" t="n">
        <v>0</v>
      </c>
      <c r="K87" t="n">
        <v>2</v>
      </c>
      <c r="L87" t="n">
        <v>0</v>
      </c>
      <c r="M87" t="n">
        <v>0</v>
      </c>
      <c r="N87" t="n">
        <v>0</v>
      </c>
      <c r="O87" t="n">
        <v>2</v>
      </c>
      <c r="P87" t="n">
        <v>2</v>
      </c>
      <c r="Q87" t="n">
        <v>5</v>
      </c>
      <c r="R87" s="2" t="inlineStr">
        <is>
          <t>Knärot
Violgubbe
Anisspindling
Rödgul trumpetsvamp
Svavelriska</t>
        </is>
      </c>
      <c r="S87">
        <f>HYPERLINK("https://klasma.github.io/Logging_0980/artfynd/A 39425-2023 artfynd.xlsx", "A 39425-2023")</f>
        <v/>
      </c>
      <c r="T87">
        <f>HYPERLINK("https://klasma.github.io/Logging_0980/kartor/A 39425-2023 karta.png", "A 39425-2023")</f>
        <v/>
      </c>
      <c r="U87">
        <f>HYPERLINK("https://klasma.github.io/Logging_0980/knärot/A 39425-2023 karta knärot.png", "A 39425-2023")</f>
        <v/>
      </c>
      <c r="V87">
        <f>HYPERLINK("https://klasma.github.io/Logging_0980/klagomål/A 39425-2023 FSC-klagomål.docx", "A 39425-2023")</f>
        <v/>
      </c>
      <c r="W87">
        <f>HYPERLINK("https://klasma.github.io/Logging_0980/klagomålsmail/A 39425-2023 FSC-klagomål mail.docx", "A 39425-2023")</f>
        <v/>
      </c>
      <c r="X87">
        <f>HYPERLINK("https://klasma.github.io/Logging_0980/tillsyn/A 39425-2023 tillsynsbegäran.docx", "A 39425-2023")</f>
        <v/>
      </c>
      <c r="Y87">
        <f>HYPERLINK("https://klasma.github.io/Logging_0980/tillsynsmail/A 39425-2023 tillsynsbegäran mail.docx", "A 39425-2023")</f>
        <v/>
      </c>
    </row>
    <row r="88" ht="15" customHeight="1">
      <c r="A88" t="inlineStr">
        <is>
          <t>A 52245-2025</t>
        </is>
      </c>
      <c r="B88" s="1" t="n">
        <v>45953.47115740741</v>
      </c>
      <c r="C88" s="1" t="n">
        <v>45996</v>
      </c>
      <c r="D88" t="inlineStr">
        <is>
          <t>GOTLANDS LÄN</t>
        </is>
      </c>
      <c r="E88" t="inlineStr">
        <is>
          <t>GOTLAND</t>
        </is>
      </c>
      <c r="F88" t="inlineStr">
        <is>
          <t>Övriga Aktiebolag</t>
        </is>
      </c>
      <c r="G88" t="n">
        <v>10.1</v>
      </c>
      <c r="H88" t="n">
        <v>0</v>
      </c>
      <c r="I88" t="n">
        <v>3</v>
      </c>
      <c r="J88" t="n">
        <v>1</v>
      </c>
      <c r="K88" t="n">
        <v>1</v>
      </c>
      <c r="L88" t="n">
        <v>0</v>
      </c>
      <c r="M88" t="n">
        <v>0</v>
      </c>
      <c r="N88" t="n">
        <v>0</v>
      </c>
      <c r="O88" t="n">
        <v>2</v>
      </c>
      <c r="P88" t="n">
        <v>1</v>
      </c>
      <c r="Q88" t="n">
        <v>5</v>
      </c>
      <c r="R88" s="2" t="inlineStr">
        <is>
          <t>Källnate
Jordtistel
Olivspindling
Rödgul trumpetsvamp
Underviol</t>
        </is>
      </c>
      <c r="S88">
        <f>HYPERLINK("https://klasma.github.io/Logging_0980/artfynd/A 52245-2025 artfynd.xlsx", "A 52245-2025")</f>
        <v/>
      </c>
      <c r="T88">
        <f>HYPERLINK("https://klasma.github.io/Logging_0980/kartor/A 52245-2025 karta.png", "A 52245-2025")</f>
        <v/>
      </c>
      <c r="V88">
        <f>HYPERLINK("https://klasma.github.io/Logging_0980/klagomål/A 52245-2025 FSC-klagomål.docx", "A 52245-2025")</f>
        <v/>
      </c>
      <c r="W88">
        <f>HYPERLINK("https://klasma.github.io/Logging_0980/klagomålsmail/A 52245-2025 FSC-klagomål mail.docx", "A 52245-2025")</f>
        <v/>
      </c>
      <c r="X88">
        <f>HYPERLINK("https://klasma.github.io/Logging_0980/tillsyn/A 52245-2025 tillsynsbegäran.docx", "A 52245-2025")</f>
        <v/>
      </c>
      <c r="Y88">
        <f>HYPERLINK("https://klasma.github.io/Logging_0980/tillsynsmail/A 52245-2025 tillsynsbegäran mail.docx", "A 52245-2025")</f>
        <v/>
      </c>
    </row>
    <row r="89" ht="15" customHeight="1">
      <c r="A89" t="inlineStr">
        <is>
          <t>A 29331-2021</t>
        </is>
      </c>
      <c r="B89" s="1" t="n">
        <v>44361</v>
      </c>
      <c r="C89" s="1" t="n">
        <v>45996</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186-2023</t>
        </is>
      </c>
      <c r="B90" s="1" t="n">
        <v>44928</v>
      </c>
      <c r="C90" s="1" t="n">
        <v>45996</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5904-2024</t>
        </is>
      </c>
      <c r="B91" s="1" t="n">
        <v>45335</v>
      </c>
      <c r="C91" s="1" t="n">
        <v>45996</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56717-2024</t>
        </is>
      </c>
      <c r="B92" s="1" t="n">
        <v>45628.3166550926</v>
      </c>
      <c r="C92" s="1" t="n">
        <v>45996</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40099-2025</t>
        </is>
      </c>
      <c r="B93" s="1" t="n">
        <v>45894.48462962963</v>
      </c>
      <c r="C93" s="1" t="n">
        <v>45996</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45996</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8265-2023</t>
        </is>
      </c>
      <c r="B95" s="1" t="n">
        <v>44974</v>
      </c>
      <c r="C95" s="1" t="n">
        <v>45996</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54523-2023</t>
        </is>
      </c>
      <c r="B96" s="1" t="n">
        <v>45233</v>
      </c>
      <c r="C96" s="1" t="n">
        <v>45996</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2485-2025</t>
        </is>
      </c>
      <c r="B97" s="1" t="n">
        <v>45673</v>
      </c>
      <c r="C97" s="1" t="n">
        <v>45996</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6159-2023</t>
        </is>
      </c>
      <c r="B98" s="1" t="n">
        <v>44964</v>
      </c>
      <c r="C98" s="1" t="n">
        <v>45996</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45996</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44933-2022</t>
        </is>
      </c>
      <c r="B100" s="1" t="n">
        <v>44841</v>
      </c>
      <c r="C100" s="1" t="n">
        <v>45996</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1971-2023</t>
        </is>
      </c>
      <c r="B101" s="1" t="n">
        <v>44939</v>
      </c>
      <c r="C101" s="1" t="n">
        <v>45996</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57463-2025</t>
        </is>
      </c>
      <c r="B102" s="1" t="n">
        <v>45980.54174768519</v>
      </c>
      <c r="C102" s="1" t="n">
        <v>45996</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45996</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52309-2025</t>
        </is>
      </c>
      <c r="B104" s="1" t="n">
        <v>45953.64381944444</v>
      </c>
      <c r="C104" s="1" t="n">
        <v>45996</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52309-2025 artfynd.xlsx", "A 52309-2025")</f>
        <v/>
      </c>
      <c r="T104">
        <f>HYPERLINK("https://klasma.github.io/Logging_0980/kartor/A 52309-2025 karta.png", "A 52309-2025")</f>
        <v/>
      </c>
      <c r="V104">
        <f>HYPERLINK("https://klasma.github.io/Logging_0980/klagomål/A 52309-2025 FSC-klagomål.docx", "A 52309-2025")</f>
        <v/>
      </c>
      <c r="W104">
        <f>HYPERLINK("https://klasma.github.io/Logging_0980/klagomålsmail/A 52309-2025 FSC-klagomål mail.docx", "A 52309-2025")</f>
        <v/>
      </c>
      <c r="X104">
        <f>HYPERLINK("https://klasma.github.io/Logging_0980/tillsyn/A 52309-2025 tillsynsbegäran.docx", "A 52309-2025")</f>
        <v/>
      </c>
      <c r="Y104">
        <f>HYPERLINK("https://klasma.github.io/Logging_0980/tillsynsmail/A 52309-2025 tillsynsbegäran mail.docx", "A 52309-2025")</f>
        <v/>
      </c>
    </row>
    <row r="105" ht="15" customHeight="1">
      <c r="A105" t="inlineStr">
        <is>
          <t>A 65537-2020</t>
        </is>
      </c>
      <c r="B105" s="1" t="n">
        <v>44173</v>
      </c>
      <c r="C105" s="1" t="n">
        <v>45996</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45996</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45996</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45996</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73144-2021</t>
        </is>
      </c>
      <c r="B109" s="1" t="n">
        <v>44550</v>
      </c>
      <c r="C109" s="1" t="n">
        <v>45996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2332-2021</t>
        </is>
      </c>
      <c r="B110" s="1" t="n">
        <v>44214</v>
      </c>
      <c r="C110" s="1" t="n">
        <v>45996</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32718-2021</t>
        </is>
      </c>
      <c r="B111" s="1" t="n">
        <v>44375</v>
      </c>
      <c r="C111" s="1" t="n">
        <v>45996</v>
      </c>
      <c r="D111" t="inlineStr">
        <is>
          <t>GOTLANDS LÄN</t>
        </is>
      </c>
      <c r="E111" t="inlineStr">
        <is>
          <t>GOTLAND</t>
        </is>
      </c>
      <c r="G111" t="n">
        <v>2.1</v>
      </c>
      <c r="H111" t="n">
        <v>0</v>
      </c>
      <c r="I111" t="n">
        <v>1</v>
      </c>
      <c r="J111" t="n">
        <v>1</v>
      </c>
      <c r="K111" t="n">
        <v>1</v>
      </c>
      <c r="L111" t="n">
        <v>0</v>
      </c>
      <c r="M111" t="n">
        <v>0</v>
      </c>
      <c r="N111" t="n">
        <v>0</v>
      </c>
      <c r="O111" t="n">
        <v>2</v>
      </c>
      <c r="P111" t="n">
        <v>1</v>
      </c>
      <c r="Q111" t="n">
        <v>3</v>
      </c>
      <c r="R111" s="2" t="inlineStr">
        <is>
          <t>Skogskorn
Skugglosta
Strävlosta</t>
        </is>
      </c>
      <c r="S111">
        <f>HYPERLINK("https://klasma.github.io/Logging_0980/artfynd/A 32718-2021 artfynd.xlsx", "A 32718-2021")</f>
        <v/>
      </c>
      <c r="T111">
        <f>HYPERLINK("https://klasma.github.io/Logging_0980/kartor/A 32718-2021 karta.png", "A 32718-2021")</f>
        <v/>
      </c>
      <c r="V111">
        <f>HYPERLINK("https://klasma.github.io/Logging_0980/klagomål/A 32718-2021 FSC-klagomål.docx", "A 32718-2021")</f>
        <v/>
      </c>
      <c r="W111">
        <f>HYPERLINK("https://klasma.github.io/Logging_0980/klagomålsmail/A 32718-2021 FSC-klagomål mail.docx", "A 32718-2021")</f>
        <v/>
      </c>
      <c r="X111">
        <f>HYPERLINK("https://klasma.github.io/Logging_0980/tillsyn/A 32718-2021 tillsynsbegäran.docx", "A 32718-2021")</f>
        <v/>
      </c>
      <c r="Y111">
        <f>HYPERLINK("https://klasma.github.io/Logging_0980/tillsynsmail/A 32718-2021 tillsynsbegäran mail.docx", "A 32718-2021")</f>
        <v/>
      </c>
    </row>
    <row r="112" ht="15" customHeight="1">
      <c r="A112" t="inlineStr">
        <is>
          <t>A 43013-2022</t>
        </is>
      </c>
      <c r="B112" s="1" t="n">
        <v>44833</v>
      </c>
      <c r="C112" s="1" t="n">
        <v>45996</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13499-2022</t>
        </is>
      </c>
      <c r="B113" s="1" t="n">
        <v>44647.79203703703</v>
      </c>
      <c r="C113" s="1" t="n">
        <v>45996</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45996</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30490-2025</t>
        </is>
      </c>
      <c r="B115" s="1" t="n">
        <v>45830</v>
      </c>
      <c r="C115" s="1" t="n">
        <v>45996</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53552-2021</t>
        </is>
      </c>
      <c r="B116" s="1" t="n">
        <v>44468</v>
      </c>
      <c r="C116" s="1" t="n">
        <v>45996</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12315-2024</t>
        </is>
      </c>
      <c r="B117" s="1" t="n">
        <v>45378.6434837963</v>
      </c>
      <c r="C117" s="1" t="n">
        <v>45996</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48126-2022</t>
        </is>
      </c>
      <c r="B118" s="1" t="n">
        <v>44857</v>
      </c>
      <c r="C118" s="1" t="n">
        <v>45996</v>
      </c>
      <c r="D118" t="inlineStr">
        <is>
          <t>GOTLANDS LÄN</t>
        </is>
      </c>
      <c r="E118" t="inlineStr">
        <is>
          <t>GOTLAND</t>
        </is>
      </c>
      <c r="G118" t="n">
        <v>9.800000000000001</v>
      </c>
      <c r="H118" t="n">
        <v>1</v>
      </c>
      <c r="I118" t="n">
        <v>0</v>
      </c>
      <c r="J118" t="n">
        <v>3</v>
      </c>
      <c r="K118" t="n">
        <v>0</v>
      </c>
      <c r="L118" t="n">
        <v>0</v>
      </c>
      <c r="M118" t="n">
        <v>0</v>
      </c>
      <c r="N118" t="n">
        <v>0</v>
      </c>
      <c r="O118" t="n">
        <v>3</v>
      </c>
      <c r="P118" t="n">
        <v>0</v>
      </c>
      <c r="Q118" t="n">
        <v>3</v>
      </c>
      <c r="R118" s="2" t="inlineStr">
        <is>
          <t>Jordtistel
Spillkråka
Svinrot</t>
        </is>
      </c>
      <c r="S118">
        <f>HYPERLINK("https://klasma.github.io/Logging_0980/artfynd/A 48126-2022 artfynd.xlsx", "A 48126-2022")</f>
        <v/>
      </c>
      <c r="T118">
        <f>HYPERLINK("https://klasma.github.io/Logging_0980/kartor/A 48126-2022 karta.png", "A 48126-2022")</f>
        <v/>
      </c>
      <c r="V118">
        <f>HYPERLINK("https://klasma.github.io/Logging_0980/klagomål/A 48126-2022 FSC-klagomål.docx", "A 48126-2022")</f>
        <v/>
      </c>
      <c r="W118">
        <f>HYPERLINK("https://klasma.github.io/Logging_0980/klagomålsmail/A 48126-2022 FSC-klagomål mail.docx", "A 48126-2022")</f>
        <v/>
      </c>
      <c r="X118">
        <f>HYPERLINK("https://klasma.github.io/Logging_0980/tillsyn/A 48126-2022 tillsynsbegäran.docx", "A 48126-2022")</f>
        <v/>
      </c>
      <c r="Y118">
        <f>HYPERLINK("https://klasma.github.io/Logging_0980/tillsynsmail/A 48126-2022 tillsynsbegäran mail.docx", "A 48126-2022")</f>
        <v/>
      </c>
      <c r="Z118">
        <f>HYPERLINK("https://klasma.github.io/Logging_0980/fåglar/A 48126-2022 prioriterade fågelarter.docx", "A 48126-2022")</f>
        <v/>
      </c>
    </row>
    <row r="119" ht="15" customHeight="1">
      <c r="A119" t="inlineStr">
        <is>
          <t>A 20831-2024</t>
        </is>
      </c>
      <c r="B119" s="1" t="n">
        <v>45439</v>
      </c>
      <c r="C119" s="1" t="n">
        <v>45996</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17975-2024</t>
        </is>
      </c>
      <c r="B120" s="1" t="n">
        <v>45419.85546296297</v>
      </c>
      <c r="C120" s="1" t="n">
        <v>45996</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17982-2023</t>
        </is>
      </c>
      <c r="B121" s="1" t="n">
        <v>45040</v>
      </c>
      <c r="C121" s="1" t="n">
        <v>45996</v>
      </c>
      <c r="D121" t="inlineStr">
        <is>
          <t>GOTLANDS LÄN</t>
        </is>
      </c>
      <c r="E121" t="inlineStr">
        <is>
          <t>GOTLAND</t>
        </is>
      </c>
      <c r="G121" t="n">
        <v>2.2</v>
      </c>
      <c r="H121" t="n">
        <v>0</v>
      </c>
      <c r="I121" t="n">
        <v>0</v>
      </c>
      <c r="J121" t="n">
        <v>2</v>
      </c>
      <c r="K121" t="n">
        <v>0</v>
      </c>
      <c r="L121" t="n">
        <v>0</v>
      </c>
      <c r="M121" t="n">
        <v>1</v>
      </c>
      <c r="N121" t="n">
        <v>0</v>
      </c>
      <c r="O121" t="n">
        <v>3</v>
      </c>
      <c r="P121" t="n">
        <v>1</v>
      </c>
      <c r="Q121" t="n">
        <v>3</v>
      </c>
      <c r="R121" s="2" t="inlineStr">
        <is>
          <t>Lundalm
Krusfrö
Ängsskära</t>
        </is>
      </c>
      <c r="S121">
        <f>HYPERLINK("https://klasma.github.io/Logging_0980/artfynd/A 17982-2023 artfynd.xlsx", "A 17982-2023")</f>
        <v/>
      </c>
      <c r="T121">
        <f>HYPERLINK("https://klasma.github.io/Logging_0980/kartor/A 17982-2023 karta.png", "A 17982-2023")</f>
        <v/>
      </c>
      <c r="V121">
        <f>HYPERLINK("https://klasma.github.io/Logging_0980/klagomål/A 17982-2023 FSC-klagomål.docx", "A 17982-2023")</f>
        <v/>
      </c>
      <c r="W121">
        <f>HYPERLINK("https://klasma.github.io/Logging_0980/klagomålsmail/A 17982-2023 FSC-klagomål mail.docx", "A 17982-2023")</f>
        <v/>
      </c>
      <c r="X121">
        <f>HYPERLINK("https://klasma.github.io/Logging_0980/tillsyn/A 17982-2023 tillsynsbegäran.docx", "A 17982-2023")</f>
        <v/>
      </c>
      <c r="Y121">
        <f>HYPERLINK("https://klasma.github.io/Logging_0980/tillsynsmail/A 17982-2023 tillsynsbegäran mail.docx", "A 17982-2023")</f>
        <v/>
      </c>
    </row>
    <row r="122" ht="15" customHeight="1">
      <c r="A122" t="inlineStr">
        <is>
          <t>A 55334-2024</t>
        </is>
      </c>
      <c r="B122" s="1" t="n">
        <v>45621</v>
      </c>
      <c r="C122" s="1" t="n">
        <v>45996</v>
      </c>
      <c r="D122" t="inlineStr">
        <is>
          <t>GOTLANDS LÄN</t>
        </is>
      </c>
      <c r="E122" t="inlineStr">
        <is>
          <t>GOTLAND</t>
        </is>
      </c>
      <c r="G122" t="n">
        <v>21.7</v>
      </c>
      <c r="H122" t="n">
        <v>0</v>
      </c>
      <c r="I122" t="n">
        <v>3</v>
      </c>
      <c r="J122" t="n">
        <v>0</v>
      </c>
      <c r="K122" t="n">
        <v>0</v>
      </c>
      <c r="L122" t="n">
        <v>0</v>
      </c>
      <c r="M122" t="n">
        <v>0</v>
      </c>
      <c r="N122" t="n">
        <v>0</v>
      </c>
      <c r="O122" t="n">
        <v>0</v>
      </c>
      <c r="P122" t="n">
        <v>0</v>
      </c>
      <c r="Q122" t="n">
        <v>3</v>
      </c>
      <c r="R122" s="2" t="inlineStr">
        <is>
          <t>Anisspindling
Besk kastanjemusseron
Svavelriska</t>
        </is>
      </c>
      <c r="S122">
        <f>HYPERLINK("https://klasma.github.io/Logging_0980/artfynd/A 55334-2024 artfynd.xlsx", "A 55334-2024")</f>
        <v/>
      </c>
      <c r="T122">
        <f>HYPERLINK("https://klasma.github.io/Logging_0980/kartor/A 55334-2024 karta.png", "A 55334-2024")</f>
        <v/>
      </c>
      <c r="V122">
        <f>HYPERLINK("https://klasma.github.io/Logging_0980/klagomål/A 55334-2024 FSC-klagomål.docx", "A 55334-2024")</f>
        <v/>
      </c>
      <c r="W122">
        <f>HYPERLINK("https://klasma.github.io/Logging_0980/klagomålsmail/A 55334-2024 FSC-klagomål mail.docx", "A 55334-2024")</f>
        <v/>
      </c>
      <c r="X122">
        <f>HYPERLINK("https://klasma.github.io/Logging_0980/tillsyn/A 55334-2024 tillsynsbegäran.docx", "A 55334-2024")</f>
        <v/>
      </c>
      <c r="Y122">
        <f>HYPERLINK("https://klasma.github.io/Logging_0980/tillsynsmail/A 55334-2024 tillsynsbegäran mail.docx", "A 55334-2024")</f>
        <v/>
      </c>
    </row>
    <row r="123" ht="15" customHeight="1">
      <c r="A123" t="inlineStr">
        <is>
          <t>A 49709-2025</t>
        </is>
      </c>
      <c r="B123" s="1" t="n">
        <v>45939.68228009259</v>
      </c>
      <c r="C123" s="1" t="n">
        <v>45996</v>
      </c>
      <c r="D123" t="inlineStr">
        <is>
          <t>GOTLANDS LÄN</t>
        </is>
      </c>
      <c r="E123" t="inlineStr">
        <is>
          <t>GOTLAND</t>
        </is>
      </c>
      <c r="G123" t="n">
        <v>10.2</v>
      </c>
      <c r="H123" t="n">
        <v>0</v>
      </c>
      <c r="I123" t="n">
        <v>2</v>
      </c>
      <c r="J123" t="n">
        <v>1</v>
      </c>
      <c r="K123" t="n">
        <v>0</v>
      </c>
      <c r="L123" t="n">
        <v>0</v>
      </c>
      <c r="M123" t="n">
        <v>0</v>
      </c>
      <c r="N123" t="n">
        <v>0</v>
      </c>
      <c r="O123" t="n">
        <v>1</v>
      </c>
      <c r="P123" t="n">
        <v>0</v>
      </c>
      <c r="Q123" t="n">
        <v>3</v>
      </c>
      <c r="R123" s="2" t="inlineStr">
        <is>
          <t>Tallticka
Blåmossa
Grovticka</t>
        </is>
      </c>
      <c r="S123">
        <f>HYPERLINK("https://klasma.github.io/Logging_0980/artfynd/A 49709-2025 artfynd.xlsx", "A 49709-2025")</f>
        <v/>
      </c>
      <c r="T123">
        <f>HYPERLINK("https://klasma.github.io/Logging_0980/kartor/A 49709-2025 karta.png", "A 49709-2025")</f>
        <v/>
      </c>
      <c r="V123">
        <f>HYPERLINK("https://klasma.github.io/Logging_0980/klagomål/A 49709-2025 FSC-klagomål.docx", "A 49709-2025")</f>
        <v/>
      </c>
      <c r="W123">
        <f>HYPERLINK("https://klasma.github.io/Logging_0980/klagomålsmail/A 49709-2025 FSC-klagomål mail.docx", "A 49709-2025")</f>
        <v/>
      </c>
      <c r="X123">
        <f>HYPERLINK("https://klasma.github.io/Logging_0980/tillsyn/A 49709-2025 tillsynsbegäran.docx", "A 49709-2025")</f>
        <v/>
      </c>
      <c r="Y123">
        <f>HYPERLINK("https://klasma.github.io/Logging_0980/tillsynsmail/A 49709-2025 tillsynsbegäran mail.docx", "A 49709-2025")</f>
        <v/>
      </c>
    </row>
    <row r="124" ht="15" customHeight="1">
      <c r="A124" t="inlineStr">
        <is>
          <t>A 29870-2021</t>
        </is>
      </c>
      <c r="B124" s="1" t="n">
        <v>44362</v>
      </c>
      <c r="C124" s="1" t="n">
        <v>45996</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45996</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45996</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45996</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28261-2024</t>
        </is>
      </c>
      <c r="B128" s="1" t="n">
        <v>45477</v>
      </c>
      <c r="C128" s="1" t="n">
        <v>45996</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60665-2021</t>
        </is>
      </c>
      <c r="B129" s="1" t="n">
        <v>44496</v>
      </c>
      <c r="C129" s="1" t="n">
        <v>45996</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45996</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55649-2024</t>
        </is>
      </c>
      <c r="B131" s="1" t="n">
        <v>45622.63053240741</v>
      </c>
      <c r="C131" s="1" t="n">
        <v>45996</v>
      </c>
      <c r="D131" t="inlineStr">
        <is>
          <t>GOTLANDS LÄN</t>
        </is>
      </c>
      <c r="E131" t="inlineStr">
        <is>
          <t>GOTLAND</t>
        </is>
      </c>
      <c r="G131" t="n">
        <v>4.6</v>
      </c>
      <c r="H131" t="n">
        <v>2</v>
      </c>
      <c r="I131" t="n">
        <v>0</v>
      </c>
      <c r="J131" t="n">
        <v>0</v>
      </c>
      <c r="K131" t="n">
        <v>0</v>
      </c>
      <c r="L131" t="n">
        <v>0</v>
      </c>
      <c r="M131" t="n">
        <v>0</v>
      </c>
      <c r="N131" t="n">
        <v>0</v>
      </c>
      <c r="O131" t="n">
        <v>0</v>
      </c>
      <c r="P131" t="n">
        <v>0</v>
      </c>
      <c r="Q131" t="n">
        <v>2</v>
      </c>
      <c r="R131" s="2" t="inlineStr">
        <is>
          <t>Sankt pers nycklar
Blåsippa</t>
        </is>
      </c>
      <c r="S131">
        <f>HYPERLINK("https://klasma.github.io/Logging_0980/artfynd/A 55649-2024 artfynd.xlsx", "A 55649-2024")</f>
        <v/>
      </c>
      <c r="T131">
        <f>HYPERLINK("https://klasma.github.io/Logging_0980/kartor/A 55649-2024 karta.png", "A 55649-2024")</f>
        <v/>
      </c>
      <c r="V131">
        <f>HYPERLINK("https://klasma.github.io/Logging_0980/klagomål/A 55649-2024 FSC-klagomål.docx", "A 55649-2024")</f>
        <v/>
      </c>
      <c r="W131">
        <f>HYPERLINK("https://klasma.github.io/Logging_0980/klagomålsmail/A 55649-2024 FSC-klagomål mail.docx", "A 55649-2024")</f>
        <v/>
      </c>
      <c r="X131">
        <f>HYPERLINK("https://klasma.github.io/Logging_0980/tillsyn/A 55649-2024 tillsynsbegäran.docx", "A 55649-2024")</f>
        <v/>
      </c>
      <c r="Y131">
        <f>HYPERLINK("https://klasma.github.io/Logging_0980/tillsynsmail/A 55649-2024 tillsynsbegäran mail.docx", "A 55649-2024")</f>
        <v/>
      </c>
    </row>
    <row r="132" ht="15" customHeight="1">
      <c r="A132" t="inlineStr">
        <is>
          <t>A 26077-2024</t>
        </is>
      </c>
      <c r="B132" s="1" t="n">
        <v>45467</v>
      </c>
      <c r="C132" s="1" t="n">
        <v>45996</v>
      </c>
      <c r="D132" t="inlineStr">
        <is>
          <t>GOTLANDS LÄN</t>
        </is>
      </c>
      <c r="E132" t="inlineStr">
        <is>
          <t>GOTLAND</t>
        </is>
      </c>
      <c r="G132" t="n">
        <v>4.6</v>
      </c>
      <c r="H132" t="n">
        <v>0</v>
      </c>
      <c r="I132" t="n">
        <v>0</v>
      </c>
      <c r="J132" t="n">
        <v>1</v>
      </c>
      <c r="K132" t="n">
        <v>0</v>
      </c>
      <c r="L132" t="n">
        <v>1</v>
      </c>
      <c r="M132" t="n">
        <v>0</v>
      </c>
      <c r="N132" t="n">
        <v>0</v>
      </c>
      <c r="O132" t="n">
        <v>2</v>
      </c>
      <c r="P132" t="n">
        <v>1</v>
      </c>
      <c r="Q132" t="n">
        <v>2</v>
      </c>
      <c r="R132" s="2" t="inlineStr">
        <is>
          <t>Ask
Tallticka</t>
        </is>
      </c>
      <c r="S132">
        <f>HYPERLINK("https://klasma.github.io/Logging_0980/artfynd/A 26077-2024 artfynd.xlsx", "A 26077-2024")</f>
        <v/>
      </c>
      <c r="T132">
        <f>HYPERLINK("https://klasma.github.io/Logging_0980/kartor/A 26077-2024 karta.png", "A 26077-2024")</f>
        <v/>
      </c>
      <c r="V132">
        <f>HYPERLINK("https://klasma.github.io/Logging_0980/klagomål/A 26077-2024 FSC-klagomål.docx", "A 26077-2024")</f>
        <v/>
      </c>
      <c r="W132">
        <f>HYPERLINK("https://klasma.github.io/Logging_0980/klagomålsmail/A 26077-2024 FSC-klagomål mail.docx", "A 26077-2024")</f>
        <v/>
      </c>
      <c r="X132">
        <f>HYPERLINK("https://klasma.github.io/Logging_0980/tillsyn/A 26077-2024 tillsynsbegäran.docx", "A 26077-2024")</f>
        <v/>
      </c>
      <c r="Y132">
        <f>HYPERLINK("https://klasma.github.io/Logging_0980/tillsynsmail/A 26077-2024 tillsynsbegäran mail.docx", "A 26077-2024")</f>
        <v/>
      </c>
    </row>
    <row r="133" ht="15" customHeight="1">
      <c r="A133" t="inlineStr">
        <is>
          <t>A 7070-2022</t>
        </is>
      </c>
      <c r="B133" s="1" t="n">
        <v>44603</v>
      </c>
      <c r="C133" s="1" t="n">
        <v>45996</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12914-2025</t>
        </is>
      </c>
      <c r="B134" s="1" t="n">
        <v>45733</v>
      </c>
      <c r="C134" s="1" t="n">
        <v>45996</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43219-2023</t>
        </is>
      </c>
      <c r="B135" s="1" t="n">
        <v>45183</v>
      </c>
      <c r="C135" s="1" t="n">
        <v>45996</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45996</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54357-2024</t>
        </is>
      </c>
      <c r="B137" s="1" t="n">
        <v>45617.40662037037</v>
      </c>
      <c r="C137" s="1" t="n">
        <v>45996</v>
      </c>
      <c r="D137" t="inlineStr">
        <is>
          <t>GOTLANDS LÄN</t>
        </is>
      </c>
      <c r="E137" t="inlineStr">
        <is>
          <t>GOTLAND</t>
        </is>
      </c>
      <c r="G137" t="n">
        <v>1.5</v>
      </c>
      <c r="H137" t="n">
        <v>1</v>
      </c>
      <c r="I137" t="n">
        <v>0</v>
      </c>
      <c r="J137" t="n">
        <v>1</v>
      </c>
      <c r="K137" t="n">
        <v>0</v>
      </c>
      <c r="L137" t="n">
        <v>0</v>
      </c>
      <c r="M137" t="n">
        <v>0</v>
      </c>
      <c r="N137" t="n">
        <v>0</v>
      </c>
      <c r="O137" t="n">
        <v>1</v>
      </c>
      <c r="P137" t="n">
        <v>0</v>
      </c>
      <c r="Q137" t="n">
        <v>2</v>
      </c>
      <c r="R137" s="2" t="inlineStr">
        <is>
          <t>Loppstarr
Fläcknycklar</t>
        </is>
      </c>
      <c r="S137">
        <f>HYPERLINK("https://klasma.github.io/Logging_0980/artfynd/A 54357-2024 artfynd.xlsx", "A 54357-2024")</f>
        <v/>
      </c>
      <c r="T137">
        <f>HYPERLINK("https://klasma.github.io/Logging_0980/kartor/A 54357-2024 karta.png", "A 54357-2024")</f>
        <v/>
      </c>
      <c r="V137">
        <f>HYPERLINK("https://klasma.github.io/Logging_0980/klagomål/A 54357-2024 FSC-klagomål.docx", "A 54357-2024")</f>
        <v/>
      </c>
      <c r="W137">
        <f>HYPERLINK("https://klasma.github.io/Logging_0980/klagomålsmail/A 54357-2024 FSC-klagomål mail.docx", "A 54357-2024")</f>
        <v/>
      </c>
      <c r="X137">
        <f>HYPERLINK("https://klasma.github.io/Logging_0980/tillsyn/A 54357-2024 tillsynsbegäran.docx", "A 54357-2024")</f>
        <v/>
      </c>
      <c r="Y137">
        <f>HYPERLINK("https://klasma.github.io/Logging_0980/tillsynsmail/A 54357-2024 tillsynsbegäran mail.docx", "A 54357-2024")</f>
        <v/>
      </c>
    </row>
    <row r="138" ht="15" customHeight="1">
      <c r="A138" t="inlineStr">
        <is>
          <t>A 20838-2024</t>
        </is>
      </c>
      <c r="B138" s="1" t="n">
        <v>45439</v>
      </c>
      <c r="C138" s="1" t="n">
        <v>45996</v>
      </c>
      <c r="D138" t="inlineStr">
        <is>
          <t>GOTLANDS LÄN</t>
        </is>
      </c>
      <c r="E138" t="inlineStr">
        <is>
          <t>GOTLAND</t>
        </is>
      </c>
      <c r="G138" t="n">
        <v>0.7</v>
      </c>
      <c r="H138" t="n">
        <v>2</v>
      </c>
      <c r="I138" t="n">
        <v>1</v>
      </c>
      <c r="J138" t="n">
        <v>1</v>
      </c>
      <c r="K138" t="n">
        <v>0</v>
      </c>
      <c r="L138" t="n">
        <v>0</v>
      </c>
      <c r="M138" t="n">
        <v>0</v>
      </c>
      <c r="N138" t="n">
        <v>0</v>
      </c>
      <c r="O138" t="n">
        <v>1</v>
      </c>
      <c r="P138" t="n">
        <v>0</v>
      </c>
      <c r="Q138" t="n">
        <v>2</v>
      </c>
      <c r="R138" s="2" t="inlineStr">
        <is>
          <t>Spillkråka
Skogsknipprot</t>
        </is>
      </c>
      <c r="S138">
        <f>HYPERLINK("https://klasma.github.io/Logging_0980/artfynd/A 20838-2024 artfynd.xlsx", "A 20838-2024")</f>
        <v/>
      </c>
      <c r="T138">
        <f>HYPERLINK("https://klasma.github.io/Logging_0980/kartor/A 20838-2024 karta.png", "A 20838-2024")</f>
        <v/>
      </c>
      <c r="V138">
        <f>HYPERLINK("https://klasma.github.io/Logging_0980/klagomål/A 20838-2024 FSC-klagomål.docx", "A 20838-2024")</f>
        <v/>
      </c>
      <c r="W138">
        <f>HYPERLINK("https://klasma.github.io/Logging_0980/klagomålsmail/A 20838-2024 FSC-klagomål mail.docx", "A 20838-2024")</f>
        <v/>
      </c>
      <c r="X138">
        <f>HYPERLINK("https://klasma.github.io/Logging_0980/tillsyn/A 20838-2024 tillsynsbegäran.docx", "A 20838-2024")</f>
        <v/>
      </c>
      <c r="Y138">
        <f>HYPERLINK("https://klasma.github.io/Logging_0980/tillsynsmail/A 20838-2024 tillsynsbegäran mail.docx", "A 20838-2024")</f>
        <v/>
      </c>
      <c r="Z138">
        <f>HYPERLINK("https://klasma.github.io/Logging_0980/fåglar/A 20838-2024 prioriterade fågelarter.docx", "A 20838-2024")</f>
        <v/>
      </c>
    </row>
    <row r="139" ht="15" customHeight="1">
      <c r="A139" t="inlineStr">
        <is>
          <t>A 21879-2025</t>
        </is>
      </c>
      <c r="B139" s="1" t="n">
        <v>45784.40533564815</v>
      </c>
      <c r="C139" s="1" t="n">
        <v>45996</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45996</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45996</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45996</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24245-2022</t>
        </is>
      </c>
      <c r="B144" s="1" t="n">
        <v>44725</v>
      </c>
      <c r="C144" s="1" t="n">
        <v>45996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45996</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44088-2022</t>
        </is>
      </c>
      <c r="B146" s="1" t="n">
        <v>44839</v>
      </c>
      <c r="C146" s="1" t="n">
        <v>45996</v>
      </c>
      <c r="D146" t="inlineStr">
        <is>
          <t>GOTLANDS LÄN</t>
        </is>
      </c>
      <c r="E146" t="inlineStr">
        <is>
          <t>GOTLAND</t>
        </is>
      </c>
      <c r="G146" t="n">
        <v>1.5</v>
      </c>
      <c r="H146" t="n">
        <v>0</v>
      </c>
      <c r="I146" t="n">
        <v>1</v>
      </c>
      <c r="J146" t="n">
        <v>0</v>
      </c>
      <c r="K146" t="n">
        <v>0</v>
      </c>
      <c r="L146" t="n">
        <v>0</v>
      </c>
      <c r="M146" t="n">
        <v>0</v>
      </c>
      <c r="N146" t="n">
        <v>0</v>
      </c>
      <c r="O146" t="n">
        <v>0</v>
      </c>
      <c r="P146" t="n">
        <v>0</v>
      </c>
      <c r="Q146" t="n">
        <v>1</v>
      </c>
      <c r="R146" s="2" t="inlineStr">
        <is>
          <t>Strävlosta</t>
        </is>
      </c>
      <c r="S146">
        <f>HYPERLINK("https://klasma.github.io/Logging_0980/artfynd/A 44088-2022 artfynd.xlsx", "A 44088-2022")</f>
        <v/>
      </c>
      <c r="T146">
        <f>HYPERLINK("https://klasma.github.io/Logging_0980/kartor/A 44088-2022 karta.png", "A 44088-2022")</f>
        <v/>
      </c>
      <c r="V146">
        <f>HYPERLINK("https://klasma.github.io/Logging_0980/klagomål/A 44088-2022 FSC-klagomål.docx", "A 44088-2022")</f>
        <v/>
      </c>
      <c r="W146">
        <f>HYPERLINK("https://klasma.github.io/Logging_0980/klagomålsmail/A 44088-2022 FSC-klagomål mail.docx", "A 44088-2022")</f>
        <v/>
      </c>
      <c r="X146">
        <f>HYPERLINK("https://klasma.github.io/Logging_0980/tillsyn/A 44088-2022 tillsynsbegäran.docx", "A 44088-2022")</f>
        <v/>
      </c>
      <c r="Y146">
        <f>HYPERLINK("https://klasma.github.io/Logging_0980/tillsynsmail/A 44088-2022 tillsynsbegäran mail.docx", "A 44088-2022")</f>
        <v/>
      </c>
    </row>
    <row r="147" ht="15" customHeight="1">
      <c r="A147" t="inlineStr">
        <is>
          <t>A 26461-2025</t>
        </is>
      </c>
      <c r="B147" s="1" t="n">
        <v>45807.43337962963</v>
      </c>
      <c r="C147" s="1" t="n">
        <v>45996</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13939-2021</t>
        </is>
      </c>
      <c r="B148" s="1" t="n">
        <v>44277</v>
      </c>
      <c r="C148" s="1" t="n">
        <v>45996</v>
      </c>
      <c r="D148" t="inlineStr">
        <is>
          <t>GOTLANDS LÄN</t>
        </is>
      </c>
      <c r="E148" t="inlineStr">
        <is>
          <t>GOTLAND</t>
        </is>
      </c>
      <c r="G148" t="n">
        <v>1</v>
      </c>
      <c r="H148" t="n">
        <v>0</v>
      </c>
      <c r="I148" t="n">
        <v>0</v>
      </c>
      <c r="J148" t="n">
        <v>1</v>
      </c>
      <c r="K148" t="n">
        <v>0</v>
      </c>
      <c r="L148" t="n">
        <v>0</v>
      </c>
      <c r="M148" t="n">
        <v>0</v>
      </c>
      <c r="N148" t="n">
        <v>0</v>
      </c>
      <c r="O148" t="n">
        <v>1</v>
      </c>
      <c r="P148" t="n">
        <v>0</v>
      </c>
      <c r="Q148" t="n">
        <v>1</v>
      </c>
      <c r="R148" s="2" t="inlineStr">
        <is>
          <t>Axveronika</t>
        </is>
      </c>
      <c r="S148">
        <f>HYPERLINK("https://klasma.github.io/Logging_0980/artfynd/A 13939-2021 artfynd.xlsx", "A 13939-2021")</f>
        <v/>
      </c>
      <c r="T148">
        <f>HYPERLINK("https://klasma.github.io/Logging_0980/kartor/A 13939-2021 karta.png", "A 13939-2021")</f>
        <v/>
      </c>
      <c r="V148">
        <f>HYPERLINK("https://klasma.github.io/Logging_0980/klagomål/A 13939-2021 FSC-klagomål.docx", "A 13939-2021")</f>
        <v/>
      </c>
      <c r="W148">
        <f>HYPERLINK("https://klasma.github.io/Logging_0980/klagomålsmail/A 13939-2021 FSC-klagomål mail.docx", "A 13939-2021")</f>
        <v/>
      </c>
      <c r="X148">
        <f>HYPERLINK("https://klasma.github.io/Logging_0980/tillsyn/A 13939-2021 tillsynsbegäran.docx", "A 13939-2021")</f>
        <v/>
      </c>
      <c r="Y148">
        <f>HYPERLINK("https://klasma.github.io/Logging_0980/tillsynsmail/A 13939-2021 tillsynsbegäran mail.docx", "A 13939-2021")</f>
        <v/>
      </c>
    </row>
    <row r="149" ht="15" customHeight="1">
      <c r="A149" t="inlineStr">
        <is>
          <t>A 44308-2021</t>
        </is>
      </c>
      <c r="B149" s="1" t="n">
        <v>44434</v>
      </c>
      <c r="C149" s="1" t="n">
        <v>45996</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1477-2024</t>
        </is>
      </c>
      <c r="B150" s="1" t="n">
        <v>45305.37987268518</v>
      </c>
      <c r="C150" s="1" t="n">
        <v>45996</v>
      </c>
      <c r="D150" t="inlineStr">
        <is>
          <t>GOTLANDS LÄN</t>
        </is>
      </c>
      <c r="E150" t="inlineStr">
        <is>
          <t>GOTLAND</t>
        </is>
      </c>
      <c r="G150" t="n">
        <v>6.9</v>
      </c>
      <c r="H150" t="n">
        <v>0</v>
      </c>
      <c r="I150" t="n">
        <v>0</v>
      </c>
      <c r="J150" t="n">
        <v>1</v>
      </c>
      <c r="K150" t="n">
        <v>0</v>
      </c>
      <c r="L150" t="n">
        <v>0</v>
      </c>
      <c r="M150" t="n">
        <v>0</v>
      </c>
      <c r="N150" t="n">
        <v>0</v>
      </c>
      <c r="O150" t="n">
        <v>1</v>
      </c>
      <c r="P150" t="n">
        <v>0</v>
      </c>
      <c r="Q150" t="n">
        <v>1</v>
      </c>
      <c r="R150" s="2" t="inlineStr">
        <is>
          <t>Igelkott</t>
        </is>
      </c>
      <c r="S150">
        <f>HYPERLINK("https://klasma.github.io/Logging_0980/artfynd/A 1477-2024 artfynd.xlsx", "A 1477-2024")</f>
        <v/>
      </c>
      <c r="T150">
        <f>HYPERLINK("https://klasma.github.io/Logging_0980/kartor/A 1477-2024 karta.png", "A 1477-2024")</f>
        <v/>
      </c>
      <c r="V150">
        <f>HYPERLINK("https://klasma.github.io/Logging_0980/klagomål/A 1477-2024 FSC-klagomål.docx", "A 1477-2024")</f>
        <v/>
      </c>
      <c r="W150">
        <f>HYPERLINK("https://klasma.github.io/Logging_0980/klagomålsmail/A 1477-2024 FSC-klagomål mail.docx", "A 1477-2024")</f>
        <v/>
      </c>
      <c r="X150">
        <f>HYPERLINK("https://klasma.github.io/Logging_0980/tillsyn/A 1477-2024 tillsynsbegäran.docx", "A 1477-2024")</f>
        <v/>
      </c>
      <c r="Y150">
        <f>HYPERLINK("https://klasma.github.io/Logging_0980/tillsynsmail/A 1477-2024 tillsynsbegäran mail.docx", "A 1477-2024")</f>
        <v/>
      </c>
    </row>
    <row r="151" ht="15" customHeight="1">
      <c r="A151" t="inlineStr">
        <is>
          <t>A 46527-2023</t>
        </is>
      </c>
      <c r="B151" s="1" t="n">
        <v>45197</v>
      </c>
      <c r="C151" s="1" t="n">
        <v>45996</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17723-2021</t>
        </is>
      </c>
      <c r="B152" s="1" t="n">
        <v>44300</v>
      </c>
      <c r="C152" s="1" t="n">
        <v>45996</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39812-2025</t>
        </is>
      </c>
      <c r="B153" s="1" t="n">
        <v>45891</v>
      </c>
      <c r="C153" s="1" t="n">
        <v>45996</v>
      </c>
      <c r="D153" t="inlineStr">
        <is>
          <t>GOTLANDS LÄN</t>
        </is>
      </c>
      <c r="E153" t="inlineStr">
        <is>
          <t>GOTLAND</t>
        </is>
      </c>
      <c r="G153" t="n">
        <v>6</v>
      </c>
      <c r="H153" t="n">
        <v>1</v>
      </c>
      <c r="I153" t="n">
        <v>0</v>
      </c>
      <c r="J153" t="n">
        <v>0</v>
      </c>
      <c r="K153" t="n">
        <v>0</v>
      </c>
      <c r="L153" t="n">
        <v>1</v>
      </c>
      <c r="M153" t="n">
        <v>0</v>
      </c>
      <c r="N153" t="n">
        <v>0</v>
      </c>
      <c r="O153" t="n">
        <v>1</v>
      </c>
      <c r="P153" t="n">
        <v>1</v>
      </c>
      <c r="Q153" t="n">
        <v>1</v>
      </c>
      <c r="R153" s="2" t="inlineStr">
        <is>
          <t>Nålkörvel</t>
        </is>
      </c>
      <c r="S153">
        <f>HYPERLINK("https://klasma.github.io/Logging_0980/artfynd/A 39812-2025 artfynd.xlsx", "A 39812-2025")</f>
        <v/>
      </c>
      <c r="T153">
        <f>HYPERLINK("https://klasma.github.io/Logging_0980/kartor/A 39812-2025 karta.png", "A 39812-2025")</f>
        <v/>
      </c>
      <c r="V153">
        <f>HYPERLINK("https://klasma.github.io/Logging_0980/klagomål/A 39812-2025 FSC-klagomål.docx", "A 39812-2025")</f>
        <v/>
      </c>
      <c r="W153">
        <f>HYPERLINK("https://klasma.github.io/Logging_0980/klagomålsmail/A 39812-2025 FSC-klagomål mail.docx", "A 39812-2025")</f>
        <v/>
      </c>
      <c r="X153">
        <f>HYPERLINK("https://klasma.github.io/Logging_0980/tillsyn/A 39812-2025 tillsynsbegäran.docx", "A 39812-2025")</f>
        <v/>
      </c>
      <c r="Y153">
        <f>HYPERLINK("https://klasma.github.io/Logging_0980/tillsynsmail/A 39812-2025 tillsynsbegäran mail.docx", "A 39812-2025")</f>
        <v/>
      </c>
    </row>
    <row r="154" ht="15" customHeight="1">
      <c r="A154" t="inlineStr">
        <is>
          <t>A 7637-2025</t>
        </is>
      </c>
      <c r="B154" s="1" t="n">
        <v>45705.77181712963</v>
      </c>
      <c r="C154" s="1" t="n">
        <v>45996</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9862-2024</t>
        </is>
      </c>
      <c r="B155" s="1" t="n">
        <v>45363</v>
      </c>
      <c r="C155" s="1" t="n">
        <v>45996</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45996</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6303-2024</t>
        </is>
      </c>
      <c r="B157" s="1" t="n">
        <v>45338.35376157407</v>
      </c>
      <c r="C157" s="1" t="n">
        <v>45996</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45996</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45996</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45996</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61796-2022</t>
        </is>
      </c>
      <c r="B161" s="1" t="n">
        <v>44917</v>
      </c>
      <c r="C161" s="1" t="n">
        <v>45996</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10218-2025</t>
        </is>
      </c>
      <c r="B162" s="1" t="n">
        <v>45720</v>
      </c>
      <c r="C162" s="1" t="n">
        <v>45996</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45996</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12924-2025</t>
        </is>
      </c>
      <c r="B164" s="1" t="n">
        <v>45734</v>
      </c>
      <c r="C164" s="1" t="n">
        <v>45996</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64700-2021</t>
        </is>
      </c>
      <c r="B165" s="1" t="n">
        <v>44511</v>
      </c>
      <c r="C165" s="1" t="n">
        <v>45996</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65927-2021</t>
        </is>
      </c>
      <c r="B166" s="1" t="n">
        <v>44516</v>
      </c>
      <c r="C166" s="1" t="n">
        <v>45996</v>
      </c>
      <c r="D166" t="inlineStr">
        <is>
          <t>GOTLANDS LÄN</t>
        </is>
      </c>
      <c r="E166" t="inlineStr">
        <is>
          <t>GOTLAND</t>
        </is>
      </c>
      <c r="G166" t="n">
        <v>3.1</v>
      </c>
      <c r="H166" t="n">
        <v>1</v>
      </c>
      <c r="I166" t="n">
        <v>0</v>
      </c>
      <c r="J166" t="n">
        <v>0</v>
      </c>
      <c r="K166" t="n">
        <v>1</v>
      </c>
      <c r="L166" t="n">
        <v>0</v>
      </c>
      <c r="M166" t="n">
        <v>0</v>
      </c>
      <c r="N166" t="n">
        <v>0</v>
      </c>
      <c r="O166" t="n">
        <v>1</v>
      </c>
      <c r="P166" t="n">
        <v>1</v>
      </c>
      <c r="Q166" t="n">
        <v>1</v>
      </c>
      <c r="R166" s="2" t="inlineStr">
        <is>
          <t>Grenigt kungsljus</t>
        </is>
      </c>
      <c r="S166">
        <f>HYPERLINK("https://klasma.github.io/Logging_0980/artfynd/A 65927-2021 artfynd.xlsx", "A 65927-2021")</f>
        <v/>
      </c>
      <c r="T166">
        <f>HYPERLINK("https://klasma.github.io/Logging_0980/kartor/A 65927-2021 karta.png", "A 65927-2021")</f>
        <v/>
      </c>
      <c r="V166">
        <f>HYPERLINK("https://klasma.github.io/Logging_0980/klagomål/A 65927-2021 FSC-klagomål.docx", "A 65927-2021")</f>
        <v/>
      </c>
      <c r="W166">
        <f>HYPERLINK("https://klasma.github.io/Logging_0980/klagomålsmail/A 65927-2021 FSC-klagomål mail.docx", "A 65927-2021")</f>
        <v/>
      </c>
      <c r="X166">
        <f>HYPERLINK("https://klasma.github.io/Logging_0980/tillsyn/A 65927-2021 tillsynsbegäran.docx", "A 65927-2021")</f>
        <v/>
      </c>
      <c r="Y166">
        <f>HYPERLINK("https://klasma.github.io/Logging_0980/tillsynsmail/A 65927-2021 tillsynsbegäran mail.docx", "A 65927-2021")</f>
        <v/>
      </c>
    </row>
    <row r="167" ht="15" customHeight="1">
      <c r="A167" t="inlineStr">
        <is>
          <t>A 35574-2024</t>
        </is>
      </c>
      <c r="B167" s="1" t="n">
        <v>45531</v>
      </c>
      <c r="C167" s="1" t="n">
        <v>45996</v>
      </c>
      <c r="D167" t="inlineStr">
        <is>
          <t>GOTLANDS LÄN</t>
        </is>
      </c>
      <c r="E167" t="inlineStr">
        <is>
          <t>GOTLAND</t>
        </is>
      </c>
      <c r="G167" t="n">
        <v>5.7</v>
      </c>
      <c r="H167" t="n">
        <v>0</v>
      </c>
      <c r="I167" t="n">
        <v>1</v>
      </c>
      <c r="J167" t="n">
        <v>0</v>
      </c>
      <c r="K167" t="n">
        <v>0</v>
      </c>
      <c r="L167" t="n">
        <v>0</v>
      </c>
      <c r="M167" t="n">
        <v>0</v>
      </c>
      <c r="N167" t="n">
        <v>0</v>
      </c>
      <c r="O167" t="n">
        <v>0</v>
      </c>
      <c r="P167" t="n">
        <v>0</v>
      </c>
      <c r="Q167" t="n">
        <v>1</v>
      </c>
      <c r="R167" s="2" t="inlineStr">
        <is>
          <t>Murgröna</t>
        </is>
      </c>
      <c r="S167">
        <f>HYPERLINK("https://klasma.github.io/Logging_0980/artfynd/A 35574-2024 artfynd.xlsx", "A 35574-2024")</f>
        <v/>
      </c>
      <c r="T167">
        <f>HYPERLINK("https://klasma.github.io/Logging_0980/kartor/A 35574-2024 karta.png", "A 35574-2024")</f>
        <v/>
      </c>
      <c r="V167">
        <f>HYPERLINK("https://klasma.github.io/Logging_0980/klagomål/A 35574-2024 FSC-klagomål.docx", "A 35574-2024")</f>
        <v/>
      </c>
      <c r="W167">
        <f>HYPERLINK("https://klasma.github.io/Logging_0980/klagomålsmail/A 35574-2024 FSC-klagomål mail.docx", "A 35574-2024")</f>
        <v/>
      </c>
      <c r="X167">
        <f>HYPERLINK("https://klasma.github.io/Logging_0980/tillsyn/A 35574-2024 tillsynsbegäran.docx", "A 35574-2024")</f>
        <v/>
      </c>
      <c r="Y167">
        <f>HYPERLINK("https://klasma.github.io/Logging_0980/tillsynsmail/A 35574-2024 tillsynsbegäran mail.docx", "A 35574-2024")</f>
        <v/>
      </c>
    </row>
    <row r="168" ht="15" customHeight="1">
      <c r="A168" t="inlineStr">
        <is>
          <t>A 947-2023</t>
        </is>
      </c>
      <c r="B168" s="1" t="n">
        <v>44934</v>
      </c>
      <c r="C168" s="1" t="n">
        <v>45996</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37591-2023</t>
        </is>
      </c>
      <c r="B169" s="1" t="n">
        <v>45159</v>
      </c>
      <c r="C169" s="1" t="n">
        <v>45996</v>
      </c>
      <c r="D169" t="inlineStr">
        <is>
          <t>GOTLANDS LÄN</t>
        </is>
      </c>
      <c r="E169" t="inlineStr">
        <is>
          <t>GOTLAND</t>
        </is>
      </c>
      <c r="G169" t="n">
        <v>8.300000000000001</v>
      </c>
      <c r="H169" t="n">
        <v>0</v>
      </c>
      <c r="I169" t="n">
        <v>0</v>
      </c>
      <c r="J169" t="n">
        <v>1</v>
      </c>
      <c r="K169" t="n">
        <v>0</v>
      </c>
      <c r="L169" t="n">
        <v>0</v>
      </c>
      <c r="M169" t="n">
        <v>0</v>
      </c>
      <c r="N169" t="n">
        <v>0</v>
      </c>
      <c r="O169" t="n">
        <v>1</v>
      </c>
      <c r="P169" t="n">
        <v>0</v>
      </c>
      <c r="Q169" t="n">
        <v>1</v>
      </c>
      <c r="R169" s="2" t="inlineStr">
        <is>
          <t>Ängsstarr</t>
        </is>
      </c>
      <c r="S169">
        <f>HYPERLINK("https://klasma.github.io/Logging_0980/artfynd/A 37591-2023 artfynd.xlsx", "A 37591-2023")</f>
        <v/>
      </c>
      <c r="T169">
        <f>HYPERLINK("https://klasma.github.io/Logging_0980/kartor/A 37591-2023 karta.png", "A 37591-2023")</f>
        <v/>
      </c>
      <c r="V169">
        <f>HYPERLINK("https://klasma.github.io/Logging_0980/klagomål/A 37591-2023 FSC-klagomål.docx", "A 37591-2023")</f>
        <v/>
      </c>
      <c r="W169">
        <f>HYPERLINK("https://klasma.github.io/Logging_0980/klagomålsmail/A 37591-2023 FSC-klagomål mail.docx", "A 37591-2023")</f>
        <v/>
      </c>
      <c r="X169">
        <f>HYPERLINK("https://klasma.github.io/Logging_0980/tillsyn/A 37591-2023 tillsynsbegäran.docx", "A 37591-2023")</f>
        <v/>
      </c>
      <c r="Y169">
        <f>HYPERLINK("https://klasma.github.io/Logging_0980/tillsynsmail/A 37591-2023 tillsynsbegäran mail.docx", "A 37591-2023")</f>
        <v/>
      </c>
    </row>
    <row r="170" ht="15" customHeight="1">
      <c r="A170" t="inlineStr">
        <is>
          <t>A 15637-2024</t>
        </is>
      </c>
      <c r="B170" s="1" t="n">
        <v>45403.6684837963</v>
      </c>
      <c r="C170" s="1" t="n">
        <v>45996</v>
      </c>
      <c r="D170" t="inlineStr">
        <is>
          <t>GOTLANDS LÄN</t>
        </is>
      </c>
      <c r="E170" t="inlineStr">
        <is>
          <t>GOTLAND</t>
        </is>
      </c>
      <c r="G170" t="n">
        <v>4.1</v>
      </c>
      <c r="H170" t="n">
        <v>1</v>
      </c>
      <c r="I170" t="n">
        <v>0</v>
      </c>
      <c r="J170" t="n">
        <v>0</v>
      </c>
      <c r="K170" t="n">
        <v>0</v>
      </c>
      <c r="L170" t="n">
        <v>0</v>
      </c>
      <c r="M170" t="n">
        <v>0</v>
      </c>
      <c r="N170" t="n">
        <v>0</v>
      </c>
      <c r="O170" t="n">
        <v>0</v>
      </c>
      <c r="P170" t="n">
        <v>0</v>
      </c>
      <c r="Q170" t="n">
        <v>1</v>
      </c>
      <c r="R170" s="2" t="inlineStr">
        <is>
          <t>Blåsippa</t>
        </is>
      </c>
      <c r="S170">
        <f>HYPERLINK("https://klasma.github.io/Logging_0980/artfynd/A 15637-2024 artfynd.xlsx", "A 15637-2024")</f>
        <v/>
      </c>
      <c r="T170">
        <f>HYPERLINK("https://klasma.github.io/Logging_0980/kartor/A 15637-2024 karta.png", "A 15637-2024")</f>
        <v/>
      </c>
      <c r="V170">
        <f>HYPERLINK("https://klasma.github.io/Logging_0980/klagomål/A 15637-2024 FSC-klagomål.docx", "A 15637-2024")</f>
        <v/>
      </c>
      <c r="W170">
        <f>HYPERLINK("https://klasma.github.io/Logging_0980/klagomålsmail/A 15637-2024 FSC-klagomål mail.docx", "A 15637-2024")</f>
        <v/>
      </c>
      <c r="X170">
        <f>HYPERLINK("https://klasma.github.io/Logging_0980/tillsyn/A 15637-2024 tillsynsbegäran.docx", "A 15637-2024")</f>
        <v/>
      </c>
      <c r="Y170">
        <f>HYPERLINK("https://klasma.github.io/Logging_0980/tillsynsmail/A 15637-2024 tillsynsbegäran mail.docx", "A 15637-2024")</f>
        <v/>
      </c>
    </row>
    <row r="171" ht="15" customHeight="1">
      <c r="A171" t="inlineStr">
        <is>
          <t>A 61561-2023</t>
        </is>
      </c>
      <c r="B171" s="1" t="n">
        <v>45265</v>
      </c>
      <c r="C171" s="1" t="n">
        <v>45996</v>
      </c>
      <c r="D171" t="inlineStr">
        <is>
          <t>GOTLANDS LÄN</t>
        </is>
      </c>
      <c r="E171" t="inlineStr">
        <is>
          <t>GOTLAND</t>
        </is>
      </c>
      <c r="G171" t="n">
        <v>7.4</v>
      </c>
      <c r="H171" t="n">
        <v>0</v>
      </c>
      <c r="I171" t="n">
        <v>0</v>
      </c>
      <c r="J171" t="n">
        <v>1</v>
      </c>
      <c r="K171" t="n">
        <v>0</v>
      </c>
      <c r="L171" t="n">
        <v>0</v>
      </c>
      <c r="M171" t="n">
        <v>0</v>
      </c>
      <c r="N171" t="n">
        <v>0</v>
      </c>
      <c r="O171" t="n">
        <v>1</v>
      </c>
      <c r="P171" t="n">
        <v>0</v>
      </c>
      <c r="Q171" t="n">
        <v>1</v>
      </c>
      <c r="R171" s="2" t="inlineStr">
        <is>
          <t>Loppstarr</t>
        </is>
      </c>
      <c r="S171">
        <f>HYPERLINK("https://klasma.github.io/Logging_0980/artfynd/A 61561-2023 artfynd.xlsx", "A 61561-2023")</f>
        <v/>
      </c>
      <c r="T171">
        <f>HYPERLINK("https://klasma.github.io/Logging_0980/kartor/A 61561-2023 karta.png", "A 61561-2023")</f>
        <v/>
      </c>
      <c r="V171">
        <f>HYPERLINK("https://klasma.github.io/Logging_0980/klagomål/A 61561-2023 FSC-klagomål.docx", "A 61561-2023")</f>
        <v/>
      </c>
      <c r="W171">
        <f>HYPERLINK("https://klasma.github.io/Logging_0980/klagomålsmail/A 61561-2023 FSC-klagomål mail.docx", "A 61561-2023")</f>
        <v/>
      </c>
      <c r="X171">
        <f>HYPERLINK("https://klasma.github.io/Logging_0980/tillsyn/A 61561-2023 tillsynsbegäran.docx", "A 61561-2023")</f>
        <v/>
      </c>
      <c r="Y171">
        <f>HYPERLINK("https://klasma.github.io/Logging_0980/tillsynsmail/A 61561-2023 tillsynsbegäran mail.docx", "A 61561-2023")</f>
        <v/>
      </c>
    </row>
    <row r="172" ht="15" customHeight="1">
      <c r="A172" t="inlineStr">
        <is>
          <t>A 35467-2021</t>
        </is>
      </c>
      <c r="B172" s="1" t="n">
        <v>44385</v>
      </c>
      <c r="C172" s="1" t="n">
        <v>45996</v>
      </c>
      <c r="D172" t="inlineStr">
        <is>
          <t>GOTLANDS LÄN</t>
        </is>
      </c>
      <c r="E172" t="inlineStr">
        <is>
          <t>GOTLAND</t>
        </is>
      </c>
      <c r="G172" t="n">
        <v>12.7</v>
      </c>
      <c r="H172" t="n">
        <v>0</v>
      </c>
      <c r="I172" t="n">
        <v>0</v>
      </c>
      <c r="J172" t="n">
        <v>1</v>
      </c>
      <c r="K172" t="n">
        <v>0</v>
      </c>
      <c r="L172" t="n">
        <v>0</v>
      </c>
      <c r="M172" t="n">
        <v>0</v>
      </c>
      <c r="N172" t="n">
        <v>0</v>
      </c>
      <c r="O172" t="n">
        <v>1</v>
      </c>
      <c r="P172" t="n">
        <v>0</v>
      </c>
      <c r="Q172" t="n">
        <v>1</v>
      </c>
      <c r="R172" s="2" t="inlineStr">
        <is>
          <t>Loppstarr</t>
        </is>
      </c>
      <c r="S172">
        <f>HYPERLINK("https://klasma.github.io/Logging_0980/artfynd/A 35467-2021 artfynd.xlsx", "A 35467-2021")</f>
        <v/>
      </c>
      <c r="T172">
        <f>HYPERLINK("https://klasma.github.io/Logging_0980/kartor/A 35467-2021 karta.png", "A 35467-2021")</f>
        <v/>
      </c>
      <c r="V172">
        <f>HYPERLINK("https://klasma.github.io/Logging_0980/klagomål/A 35467-2021 FSC-klagomål.docx", "A 35467-2021")</f>
        <v/>
      </c>
      <c r="W172">
        <f>HYPERLINK("https://klasma.github.io/Logging_0980/klagomålsmail/A 35467-2021 FSC-klagomål mail.docx", "A 35467-2021")</f>
        <v/>
      </c>
      <c r="X172">
        <f>HYPERLINK("https://klasma.github.io/Logging_0980/tillsyn/A 35467-2021 tillsynsbegäran.docx", "A 35467-2021")</f>
        <v/>
      </c>
      <c r="Y172">
        <f>HYPERLINK("https://klasma.github.io/Logging_0980/tillsynsmail/A 35467-2021 tillsynsbegäran mail.docx", "A 35467-2021")</f>
        <v/>
      </c>
    </row>
    <row r="173" ht="15" customHeight="1">
      <c r="A173" t="inlineStr">
        <is>
          <t>A 12324-2025</t>
        </is>
      </c>
      <c r="B173" s="1" t="n">
        <v>45730</v>
      </c>
      <c r="C173" s="1" t="n">
        <v>45996</v>
      </c>
      <c r="D173" t="inlineStr">
        <is>
          <t>GOTLANDS LÄN</t>
        </is>
      </c>
      <c r="E173" t="inlineStr">
        <is>
          <t>GOTLAND</t>
        </is>
      </c>
      <c r="G173" t="n">
        <v>5</v>
      </c>
      <c r="H173" t="n">
        <v>0</v>
      </c>
      <c r="I173" t="n">
        <v>0</v>
      </c>
      <c r="J173" t="n">
        <v>0</v>
      </c>
      <c r="K173" t="n">
        <v>1</v>
      </c>
      <c r="L173" t="n">
        <v>0</v>
      </c>
      <c r="M173" t="n">
        <v>0</v>
      </c>
      <c r="N173" t="n">
        <v>0</v>
      </c>
      <c r="O173" t="n">
        <v>1</v>
      </c>
      <c r="P173" t="n">
        <v>1</v>
      </c>
      <c r="Q173" t="n">
        <v>1</v>
      </c>
      <c r="R173" s="2" t="inlineStr">
        <is>
          <t>Sommarklynne</t>
        </is>
      </c>
      <c r="S173">
        <f>HYPERLINK("https://klasma.github.io/Logging_0980/artfynd/A 12324-2025 artfynd.xlsx", "A 12324-2025")</f>
        <v/>
      </c>
      <c r="T173">
        <f>HYPERLINK("https://klasma.github.io/Logging_0980/kartor/A 12324-2025 karta.png", "A 12324-2025")</f>
        <v/>
      </c>
      <c r="V173">
        <f>HYPERLINK("https://klasma.github.io/Logging_0980/klagomål/A 12324-2025 FSC-klagomål.docx", "A 12324-2025")</f>
        <v/>
      </c>
      <c r="W173">
        <f>HYPERLINK("https://klasma.github.io/Logging_0980/klagomålsmail/A 12324-2025 FSC-klagomål mail.docx", "A 12324-2025")</f>
        <v/>
      </c>
      <c r="X173">
        <f>HYPERLINK("https://klasma.github.io/Logging_0980/tillsyn/A 12324-2025 tillsynsbegäran.docx", "A 12324-2025")</f>
        <v/>
      </c>
      <c r="Y173">
        <f>HYPERLINK("https://klasma.github.io/Logging_0980/tillsynsmail/A 12324-2025 tillsynsbegäran mail.docx", "A 12324-2025")</f>
        <v/>
      </c>
    </row>
    <row r="174" ht="15" customHeight="1">
      <c r="A174" t="inlineStr">
        <is>
          <t>A 49847-2023</t>
        </is>
      </c>
      <c r="B174" s="1" t="n">
        <v>45212</v>
      </c>
      <c r="C174" s="1" t="n">
        <v>45996</v>
      </c>
      <c r="D174" t="inlineStr">
        <is>
          <t>GOTLANDS LÄN</t>
        </is>
      </c>
      <c r="E174" t="inlineStr">
        <is>
          <t>GOTLAND</t>
        </is>
      </c>
      <c r="G174" t="n">
        <v>35.2</v>
      </c>
      <c r="H174" t="n">
        <v>0</v>
      </c>
      <c r="I174" t="n">
        <v>0</v>
      </c>
      <c r="J174" t="n">
        <v>0</v>
      </c>
      <c r="K174" t="n">
        <v>1</v>
      </c>
      <c r="L174" t="n">
        <v>0</v>
      </c>
      <c r="M174" t="n">
        <v>0</v>
      </c>
      <c r="N174" t="n">
        <v>0</v>
      </c>
      <c r="O174" t="n">
        <v>1</v>
      </c>
      <c r="P174" t="n">
        <v>1</v>
      </c>
      <c r="Q174" t="n">
        <v>1</v>
      </c>
      <c r="R174" s="2" t="inlineStr">
        <is>
          <t>Strandviol</t>
        </is>
      </c>
      <c r="S174">
        <f>HYPERLINK("https://klasma.github.io/Logging_0980/artfynd/A 49847-2023 artfynd.xlsx", "A 49847-2023")</f>
        <v/>
      </c>
      <c r="T174">
        <f>HYPERLINK("https://klasma.github.io/Logging_0980/kartor/A 49847-2023 karta.png", "A 49847-2023")</f>
        <v/>
      </c>
      <c r="V174">
        <f>HYPERLINK("https://klasma.github.io/Logging_0980/klagomål/A 49847-2023 FSC-klagomål.docx", "A 49847-2023")</f>
        <v/>
      </c>
      <c r="W174">
        <f>HYPERLINK("https://klasma.github.io/Logging_0980/klagomålsmail/A 49847-2023 FSC-klagomål mail.docx", "A 49847-2023")</f>
        <v/>
      </c>
      <c r="X174">
        <f>HYPERLINK("https://klasma.github.io/Logging_0980/tillsyn/A 49847-2023 tillsynsbegäran.docx", "A 49847-2023")</f>
        <v/>
      </c>
      <c r="Y174">
        <f>HYPERLINK("https://klasma.github.io/Logging_0980/tillsynsmail/A 49847-2023 tillsynsbegäran mail.docx", "A 49847-2023")</f>
        <v/>
      </c>
    </row>
    <row r="175" ht="15" customHeight="1">
      <c r="A175" t="inlineStr">
        <is>
          <t>A 44619-2025</t>
        </is>
      </c>
      <c r="B175" s="1" t="n">
        <v>45917</v>
      </c>
      <c r="C175" s="1" t="n">
        <v>45996</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2476-2025</t>
        </is>
      </c>
      <c r="B176" s="1" t="n">
        <v>45673</v>
      </c>
      <c r="C176" s="1" t="n">
        <v>45996</v>
      </c>
      <c r="D176" t="inlineStr">
        <is>
          <t>GOTLANDS LÄN</t>
        </is>
      </c>
      <c r="E176" t="inlineStr">
        <is>
          <t>GOTLAND</t>
        </is>
      </c>
      <c r="G176" t="n">
        <v>3.1</v>
      </c>
      <c r="H176" t="n">
        <v>0</v>
      </c>
      <c r="I176" t="n">
        <v>1</v>
      </c>
      <c r="J176" t="n">
        <v>0</v>
      </c>
      <c r="K176" t="n">
        <v>0</v>
      </c>
      <c r="L176" t="n">
        <v>0</v>
      </c>
      <c r="M176" t="n">
        <v>0</v>
      </c>
      <c r="N176" t="n">
        <v>0</v>
      </c>
      <c r="O176" t="n">
        <v>0</v>
      </c>
      <c r="P176" t="n">
        <v>0</v>
      </c>
      <c r="Q176" t="n">
        <v>1</v>
      </c>
      <c r="R176" s="2" t="inlineStr">
        <is>
          <t>Kryddspindling</t>
        </is>
      </c>
      <c r="S176">
        <f>HYPERLINK("https://klasma.github.io/Logging_0980/artfynd/A 2476-2025 artfynd.xlsx", "A 2476-2025")</f>
        <v/>
      </c>
      <c r="T176">
        <f>HYPERLINK("https://klasma.github.io/Logging_0980/kartor/A 2476-2025 karta.png", "A 2476-2025")</f>
        <v/>
      </c>
      <c r="V176">
        <f>HYPERLINK("https://klasma.github.io/Logging_0980/klagomål/A 2476-2025 FSC-klagomål.docx", "A 2476-2025")</f>
        <v/>
      </c>
      <c r="W176">
        <f>HYPERLINK("https://klasma.github.io/Logging_0980/klagomålsmail/A 2476-2025 FSC-klagomål mail.docx", "A 2476-2025")</f>
        <v/>
      </c>
      <c r="X176">
        <f>HYPERLINK("https://klasma.github.io/Logging_0980/tillsyn/A 2476-2025 tillsynsbegäran.docx", "A 2476-2025")</f>
        <v/>
      </c>
      <c r="Y176">
        <f>HYPERLINK("https://klasma.github.io/Logging_0980/tillsynsmail/A 2476-2025 tillsynsbegäran mail.docx", "A 2476-2025")</f>
        <v/>
      </c>
    </row>
    <row r="177" ht="15" customHeight="1">
      <c r="A177" t="inlineStr">
        <is>
          <t>A 44304-2021</t>
        </is>
      </c>
      <c r="B177" s="1" t="n">
        <v>44434</v>
      </c>
      <c r="C177" s="1" t="n">
        <v>45996</v>
      </c>
      <c r="D177" t="inlineStr">
        <is>
          <t>GOTLANDS LÄN</t>
        </is>
      </c>
      <c r="E177" t="inlineStr">
        <is>
          <t>GOTLAND</t>
        </is>
      </c>
      <c r="G177" t="n">
        <v>5.8</v>
      </c>
      <c r="H177" t="n">
        <v>0</v>
      </c>
      <c r="I177" t="n">
        <v>0</v>
      </c>
      <c r="J177" t="n">
        <v>1</v>
      </c>
      <c r="K177" t="n">
        <v>0</v>
      </c>
      <c r="L177" t="n">
        <v>0</v>
      </c>
      <c r="M177" t="n">
        <v>0</v>
      </c>
      <c r="N177" t="n">
        <v>0</v>
      </c>
      <c r="O177" t="n">
        <v>1</v>
      </c>
      <c r="P177" t="n">
        <v>0</v>
      </c>
      <c r="Q177" t="n">
        <v>1</v>
      </c>
      <c r="R177" s="2" t="inlineStr">
        <is>
          <t>Svinrot</t>
        </is>
      </c>
      <c r="S177">
        <f>HYPERLINK("https://klasma.github.io/Logging_0980/artfynd/A 44304-2021 artfynd.xlsx", "A 44304-2021")</f>
        <v/>
      </c>
      <c r="T177">
        <f>HYPERLINK("https://klasma.github.io/Logging_0980/kartor/A 44304-2021 karta.png", "A 44304-2021")</f>
        <v/>
      </c>
      <c r="V177">
        <f>HYPERLINK("https://klasma.github.io/Logging_0980/klagomål/A 44304-2021 FSC-klagomål.docx", "A 44304-2021")</f>
        <v/>
      </c>
      <c r="W177">
        <f>HYPERLINK("https://klasma.github.io/Logging_0980/klagomålsmail/A 44304-2021 FSC-klagomål mail.docx", "A 44304-2021")</f>
        <v/>
      </c>
      <c r="X177">
        <f>HYPERLINK("https://klasma.github.io/Logging_0980/tillsyn/A 44304-2021 tillsynsbegäran.docx", "A 44304-2021")</f>
        <v/>
      </c>
      <c r="Y177">
        <f>HYPERLINK("https://klasma.github.io/Logging_0980/tillsynsmail/A 44304-2021 tillsynsbegäran mail.docx", "A 44304-2021")</f>
        <v/>
      </c>
    </row>
    <row r="178" ht="15" customHeight="1">
      <c r="A178" t="inlineStr">
        <is>
          <t>A 10995-2023</t>
        </is>
      </c>
      <c r="B178" s="1" t="n">
        <v>44986</v>
      </c>
      <c r="C178" s="1" t="n">
        <v>45996</v>
      </c>
      <c r="D178" t="inlineStr">
        <is>
          <t>GOTLANDS LÄN</t>
        </is>
      </c>
      <c r="E178" t="inlineStr">
        <is>
          <t>GOTLAND</t>
        </is>
      </c>
      <c r="G178" t="n">
        <v>2.8</v>
      </c>
      <c r="H178" t="n">
        <v>0</v>
      </c>
      <c r="I178" t="n">
        <v>0</v>
      </c>
      <c r="J178" t="n">
        <v>0</v>
      </c>
      <c r="K178" t="n">
        <v>1</v>
      </c>
      <c r="L178" t="n">
        <v>0</v>
      </c>
      <c r="M178" t="n">
        <v>0</v>
      </c>
      <c r="N178" t="n">
        <v>0</v>
      </c>
      <c r="O178" t="n">
        <v>1</v>
      </c>
      <c r="P178" t="n">
        <v>1</v>
      </c>
      <c r="Q178" t="n">
        <v>1</v>
      </c>
      <c r="R178" s="2" t="inlineStr">
        <is>
          <t>Violettfläckig spindling</t>
        </is>
      </c>
      <c r="S178">
        <f>HYPERLINK("https://klasma.github.io/Logging_0980/artfynd/A 10995-2023 artfynd.xlsx", "A 10995-2023")</f>
        <v/>
      </c>
      <c r="T178">
        <f>HYPERLINK("https://klasma.github.io/Logging_0980/kartor/A 10995-2023 karta.png", "A 10995-2023")</f>
        <v/>
      </c>
      <c r="V178">
        <f>HYPERLINK("https://klasma.github.io/Logging_0980/klagomål/A 10995-2023 FSC-klagomål.docx", "A 10995-2023")</f>
        <v/>
      </c>
      <c r="W178">
        <f>HYPERLINK("https://klasma.github.io/Logging_0980/klagomålsmail/A 10995-2023 FSC-klagomål mail.docx", "A 10995-2023")</f>
        <v/>
      </c>
      <c r="X178">
        <f>HYPERLINK("https://klasma.github.io/Logging_0980/tillsyn/A 10995-2023 tillsynsbegäran.docx", "A 10995-2023")</f>
        <v/>
      </c>
      <c r="Y178">
        <f>HYPERLINK("https://klasma.github.io/Logging_0980/tillsynsmail/A 10995-2023 tillsynsbegäran mail.docx", "A 10995-2023")</f>
        <v/>
      </c>
    </row>
    <row r="179" ht="15" customHeight="1">
      <c r="A179" t="inlineStr">
        <is>
          <t>A 447-2023</t>
        </is>
      </c>
      <c r="B179" s="1" t="n">
        <v>44929</v>
      </c>
      <c r="C179" s="1" t="n">
        <v>45996</v>
      </c>
      <c r="D179" t="inlineStr">
        <is>
          <t>GOTLANDS LÄN</t>
        </is>
      </c>
      <c r="E179" t="inlineStr">
        <is>
          <t>GOTLAND</t>
        </is>
      </c>
      <c r="G179" t="n">
        <v>5.1</v>
      </c>
      <c r="H179" t="n">
        <v>0</v>
      </c>
      <c r="I179" t="n">
        <v>0</v>
      </c>
      <c r="J179" t="n">
        <v>1</v>
      </c>
      <c r="K179" t="n">
        <v>0</v>
      </c>
      <c r="L179" t="n">
        <v>0</v>
      </c>
      <c r="M179" t="n">
        <v>0</v>
      </c>
      <c r="N179" t="n">
        <v>0</v>
      </c>
      <c r="O179" t="n">
        <v>1</v>
      </c>
      <c r="P179" t="n">
        <v>0</v>
      </c>
      <c r="Q179" t="n">
        <v>1</v>
      </c>
      <c r="R179" s="2" t="inlineStr">
        <is>
          <t>Äggspindling</t>
        </is>
      </c>
      <c r="S179">
        <f>HYPERLINK("https://klasma.github.io/Logging_0980/artfynd/A 447-2023 artfynd.xlsx", "A 447-2023")</f>
        <v/>
      </c>
      <c r="T179">
        <f>HYPERLINK("https://klasma.github.io/Logging_0980/kartor/A 447-2023 karta.png", "A 447-2023")</f>
        <v/>
      </c>
      <c r="V179">
        <f>HYPERLINK("https://klasma.github.io/Logging_0980/klagomål/A 447-2023 FSC-klagomål.docx", "A 447-2023")</f>
        <v/>
      </c>
      <c r="W179">
        <f>HYPERLINK("https://klasma.github.io/Logging_0980/klagomålsmail/A 447-2023 FSC-klagomål mail.docx", "A 447-2023")</f>
        <v/>
      </c>
      <c r="X179">
        <f>HYPERLINK("https://klasma.github.io/Logging_0980/tillsyn/A 447-2023 tillsynsbegäran.docx", "A 447-2023")</f>
        <v/>
      </c>
      <c r="Y179">
        <f>HYPERLINK("https://klasma.github.io/Logging_0980/tillsynsmail/A 447-2023 tillsynsbegäran mail.docx", "A 447-2023")</f>
        <v/>
      </c>
    </row>
    <row r="180" ht="15" customHeight="1">
      <c r="A180" t="inlineStr">
        <is>
          <t>A 63576-2021</t>
        </is>
      </c>
      <c r="B180" s="1" t="n">
        <v>44508</v>
      </c>
      <c r="C180" s="1" t="n">
        <v>45996</v>
      </c>
      <c r="D180" t="inlineStr">
        <is>
          <t>GOTLANDS LÄN</t>
        </is>
      </c>
      <c r="E180" t="inlineStr">
        <is>
          <t>GOTLAND</t>
        </is>
      </c>
      <c r="F180" t="inlineStr">
        <is>
          <t>Kyrkan</t>
        </is>
      </c>
      <c r="G180" t="n">
        <v>4.1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63576-2021 artfynd.xlsx", "A 63576-2021")</f>
        <v/>
      </c>
      <c r="T180">
        <f>HYPERLINK("https://klasma.github.io/Logging_0980/kartor/A 63576-2021 karta.png", "A 63576-2021")</f>
        <v/>
      </c>
      <c r="V180">
        <f>HYPERLINK("https://klasma.github.io/Logging_0980/klagomål/A 63576-2021 FSC-klagomål.docx", "A 63576-2021")</f>
        <v/>
      </c>
      <c r="W180">
        <f>HYPERLINK("https://klasma.github.io/Logging_0980/klagomålsmail/A 63576-2021 FSC-klagomål mail.docx", "A 63576-2021")</f>
        <v/>
      </c>
      <c r="X180">
        <f>HYPERLINK("https://klasma.github.io/Logging_0980/tillsyn/A 63576-2021 tillsynsbegäran.docx", "A 63576-2021")</f>
        <v/>
      </c>
      <c r="Y180">
        <f>HYPERLINK("https://klasma.github.io/Logging_0980/tillsynsmail/A 63576-2021 tillsynsbegäran mail.docx", "A 63576-2021")</f>
        <v/>
      </c>
    </row>
    <row r="181" ht="15" customHeight="1">
      <c r="A181" t="inlineStr">
        <is>
          <t>A 21466-2025</t>
        </is>
      </c>
      <c r="B181" s="1" t="n">
        <v>45782</v>
      </c>
      <c r="C181" s="1" t="n">
        <v>45996</v>
      </c>
      <c r="D181" t="inlineStr">
        <is>
          <t>GOTLANDS LÄN</t>
        </is>
      </c>
      <c r="E181" t="inlineStr">
        <is>
          <t>GOTLAND</t>
        </is>
      </c>
      <c r="F181" t="inlineStr">
        <is>
          <t>Övriga statliga verk och myndigheter</t>
        </is>
      </c>
      <c r="G181" t="n">
        <v>1.7</v>
      </c>
      <c r="H181" t="n">
        <v>1</v>
      </c>
      <c r="I181" t="n">
        <v>0</v>
      </c>
      <c r="J181" t="n">
        <v>0</v>
      </c>
      <c r="K181" t="n">
        <v>0</v>
      </c>
      <c r="L181" t="n">
        <v>0</v>
      </c>
      <c r="M181" t="n">
        <v>0</v>
      </c>
      <c r="N181" t="n">
        <v>0</v>
      </c>
      <c r="O181" t="n">
        <v>0</v>
      </c>
      <c r="P181" t="n">
        <v>0</v>
      </c>
      <c r="Q181" t="n">
        <v>1</v>
      </c>
      <c r="R181" s="2" t="inlineStr">
        <is>
          <t>Blåsippa</t>
        </is>
      </c>
      <c r="S181">
        <f>HYPERLINK("https://klasma.github.io/Logging_0980/artfynd/A 21466-2025 artfynd.xlsx", "A 21466-2025")</f>
        <v/>
      </c>
      <c r="T181">
        <f>HYPERLINK("https://klasma.github.io/Logging_0980/kartor/A 21466-2025 karta.png", "A 21466-2025")</f>
        <v/>
      </c>
      <c r="V181">
        <f>HYPERLINK("https://klasma.github.io/Logging_0980/klagomål/A 21466-2025 FSC-klagomål.docx", "A 21466-2025")</f>
        <v/>
      </c>
      <c r="W181">
        <f>HYPERLINK("https://klasma.github.io/Logging_0980/klagomålsmail/A 21466-2025 FSC-klagomål mail.docx", "A 21466-2025")</f>
        <v/>
      </c>
      <c r="X181">
        <f>HYPERLINK("https://klasma.github.io/Logging_0980/tillsyn/A 21466-2025 tillsynsbegäran.docx", "A 21466-2025")</f>
        <v/>
      </c>
      <c r="Y181">
        <f>HYPERLINK("https://klasma.github.io/Logging_0980/tillsynsmail/A 21466-2025 tillsynsbegäran mail.docx", "A 21466-2025")</f>
        <v/>
      </c>
    </row>
    <row r="182" ht="15" customHeight="1">
      <c r="A182" t="inlineStr">
        <is>
          <t>A 34809-2024</t>
        </is>
      </c>
      <c r="B182" s="1" t="n">
        <v>45526</v>
      </c>
      <c r="C182" s="1" t="n">
        <v>45996</v>
      </c>
      <c r="D182" t="inlineStr">
        <is>
          <t>GOTLANDS LÄN</t>
        </is>
      </c>
      <c r="E182" t="inlineStr">
        <is>
          <t>GOTLAND</t>
        </is>
      </c>
      <c r="G182" t="n">
        <v>9.9</v>
      </c>
      <c r="H182" t="n">
        <v>1</v>
      </c>
      <c r="I182" t="n">
        <v>0</v>
      </c>
      <c r="J182" t="n">
        <v>1</v>
      </c>
      <c r="K182" t="n">
        <v>0</v>
      </c>
      <c r="L182" t="n">
        <v>0</v>
      </c>
      <c r="M182" t="n">
        <v>0</v>
      </c>
      <c r="N182" t="n">
        <v>0</v>
      </c>
      <c r="O182" t="n">
        <v>1</v>
      </c>
      <c r="P182" t="n">
        <v>0</v>
      </c>
      <c r="Q182" t="n">
        <v>1</v>
      </c>
      <c r="R182" s="2" t="inlineStr">
        <is>
          <t>Brun ögontröst</t>
        </is>
      </c>
      <c r="S182">
        <f>HYPERLINK("https://klasma.github.io/Logging_0980/artfynd/A 34809-2024 artfynd.xlsx", "A 34809-2024")</f>
        <v/>
      </c>
      <c r="T182">
        <f>HYPERLINK("https://klasma.github.io/Logging_0980/kartor/A 34809-2024 karta.png", "A 34809-2024")</f>
        <v/>
      </c>
      <c r="V182">
        <f>HYPERLINK("https://klasma.github.io/Logging_0980/klagomål/A 34809-2024 FSC-klagomål.docx", "A 34809-2024")</f>
        <v/>
      </c>
      <c r="W182">
        <f>HYPERLINK("https://klasma.github.io/Logging_0980/klagomålsmail/A 34809-2024 FSC-klagomål mail.docx", "A 34809-2024")</f>
        <v/>
      </c>
      <c r="X182">
        <f>HYPERLINK("https://klasma.github.io/Logging_0980/tillsyn/A 34809-2024 tillsynsbegäran.docx", "A 34809-2024")</f>
        <v/>
      </c>
      <c r="Y182">
        <f>HYPERLINK("https://klasma.github.io/Logging_0980/tillsynsmail/A 34809-2024 tillsynsbegäran mail.docx", "A 34809-2024")</f>
        <v/>
      </c>
    </row>
    <row r="183" ht="15" customHeight="1">
      <c r="A183" t="inlineStr">
        <is>
          <t>A 10440-2024</t>
        </is>
      </c>
      <c r="B183" s="1" t="n">
        <v>45366.32818287037</v>
      </c>
      <c r="C183" s="1" t="n">
        <v>45996</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49304-2024</t>
        </is>
      </c>
      <c r="B184" s="1" t="n">
        <v>45595.54996527778</v>
      </c>
      <c r="C184" s="1" t="n">
        <v>45996</v>
      </c>
      <c r="D184" t="inlineStr">
        <is>
          <t>GOTLANDS LÄN</t>
        </is>
      </c>
      <c r="E184" t="inlineStr">
        <is>
          <t>GOTLAND</t>
        </is>
      </c>
      <c r="G184" t="n">
        <v>10.8</v>
      </c>
      <c r="H184" t="n">
        <v>0</v>
      </c>
      <c r="I184" t="n">
        <v>0</v>
      </c>
      <c r="J184" t="n">
        <v>1</v>
      </c>
      <c r="K184" t="n">
        <v>0</v>
      </c>
      <c r="L184" t="n">
        <v>0</v>
      </c>
      <c r="M184" t="n">
        <v>0</v>
      </c>
      <c r="N184" t="n">
        <v>0</v>
      </c>
      <c r="O184" t="n">
        <v>1</v>
      </c>
      <c r="P184" t="n">
        <v>0</v>
      </c>
      <c r="Q184" t="n">
        <v>1</v>
      </c>
      <c r="R184" s="2" t="inlineStr">
        <is>
          <t>Åkerranunkel</t>
        </is>
      </c>
      <c r="S184">
        <f>HYPERLINK("https://klasma.github.io/Logging_0980/artfynd/A 49304-2024 artfynd.xlsx", "A 49304-2024")</f>
        <v/>
      </c>
      <c r="T184">
        <f>HYPERLINK("https://klasma.github.io/Logging_0980/kartor/A 49304-2024 karta.png", "A 49304-2024")</f>
        <v/>
      </c>
      <c r="V184">
        <f>HYPERLINK("https://klasma.github.io/Logging_0980/klagomål/A 49304-2024 FSC-klagomål.docx", "A 49304-2024")</f>
        <v/>
      </c>
      <c r="W184">
        <f>HYPERLINK("https://klasma.github.io/Logging_0980/klagomålsmail/A 49304-2024 FSC-klagomål mail.docx", "A 49304-2024")</f>
        <v/>
      </c>
      <c r="X184">
        <f>HYPERLINK("https://klasma.github.io/Logging_0980/tillsyn/A 49304-2024 tillsynsbegäran.docx", "A 49304-2024")</f>
        <v/>
      </c>
      <c r="Y184">
        <f>HYPERLINK("https://klasma.github.io/Logging_0980/tillsynsmail/A 49304-2024 tillsynsbegäran mail.docx", "A 49304-2024")</f>
        <v/>
      </c>
    </row>
    <row r="185" ht="15" customHeight="1">
      <c r="A185" t="inlineStr">
        <is>
          <t>A 22782-2023</t>
        </is>
      </c>
      <c r="B185" s="1" t="n">
        <v>45072</v>
      </c>
      <c r="C185" s="1" t="n">
        <v>45996</v>
      </c>
      <c r="D185" t="inlineStr">
        <is>
          <t>GOTLANDS LÄN</t>
        </is>
      </c>
      <c r="E185" t="inlineStr">
        <is>
          <t>GOTLAND</t>
        </is>
      </c>
      <c r="F185" t="inlineStr">
        <is>
          <t>Kyrkan</t>
        </is>
      </c>
      <c r="G185" t="n">
        <v>3.1</v>
      </c>
      <c r="H185" t="n">
        <v>1</v>
      </c>
      <c r="I185" t="n">
        <v>0</v>
      </c>
      <c r="J185" t="n">
        <v>0</v>
      </c>
      <c r="K185" t="n">
        <v>0</v>
      </c>
      <c r="L185" t="n">
        <v>0</v>
      </c>
      <c r="M185" t="n">
        <v>0</v>
      </c>
      <c r="N185" t="n">
        <v>0</v>
      </c>
      <c r="O185" t="n">
        <v>0</v>
      </c>
      <c r="P185" t="n">
        <v>0</v>
      </c>
      <c r="Q185" t="n">
        <v>1</v>
      </c>
      <c r="R185" s="2" t="inlineStr">
        <is>
          <t>Ängsnycklar × skogsnycklar</t>
        </is>
      </c>
      <c r="S185">
        <f>HYPERLINK("https://klasma.github.io/Logging_0980/artfynd/A 22782-2023 artfynd.xlsx", "A 22782-2023")</f>
        <v/>
      </c>
      <c r="T185">
        <f>HYPERLINK("https://klasma.github.io/Logging_0980/kartor/A 22782-2023 karta.png", "A 22782-2023")</f>
        <v/>
      </c>
      <c r="V185">
        <f>HYPERLINK("https://klasma.github.io/Logging_0980/klagomål/A 22782-2023 FSC-klagomål.docx", "A 22782-2023")</f>
        <v/>
      </c>
      <c r="W185">
        <f>HYPERLINK("https://klasma.github.io/Logging_0980/klagomålsmail/A 22782-2023 FSC-klagomål mail.docx", "A 22782-2023")</f>
        <v/>
      </c>
      <c r="X185">
        <f>HYPERLINK("https://klasma.github.io/Logging_0980/tillsyn/A 22782-2023 tillsynsbegäran.docx", "A 22782-2023")</f>
        <v/>
      </c>
      <c r="Y185">
        <f>HYPERLINK("https://klasma.github.io/Logging_0980/tillsynsmail/A 22782-2023 tillsynsbegäran mail.docx", "A 22782-2023")</f>
        <v/>
      </c>
    </row>
    <row r="186" ht="15" customHeight="1">
      <c r="A186" t="inlineStr">
        <is>
          <t>A 20429-2025</t>
        </is>
      </c>
      <c r="B186" s="1" t="n">
        <v>45775.47728009259</v>
      </c>
      <c r="C186" s="1" t="n">
        <v>45996</v>
      </c>
      <c r="D186" t="inlineStr">
        <is>
          <t>GOTLANDS LÄN</t>
        </is>
      </c>
      <c r="E186" t="inlineStr">
        <is>
          <t>GOTLAND</t>
        </is>
      </c>
      <c r="G186" t="n">
        <v>1.4</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20429-2025 artfynd.xlsx", "A 20429-2025")</f>
        <v/>
      </c>
      <c r="T186">
        <f>HYPERLINK("https://klasma.github.io/Logging_0980/kartor/A 20429-2025 karta.png", "A 20429-2025")</f>
        <v/>
      </c>
      <c r="V186">
        <f>HYPERLINK("https://klasma.github.io/Logging_0980/klagomål/A 20429-2025 FSC-klagomål.docx", "A 20429-2025")</f>
        <v/>
      </c>
      <c r="W186">
        <f>HYPERLINK("https://klasma.github.io/Logging_0980/klagomålsmail/A 20429-2025 FSC-klagomål mail.docx", "A 20429-2025")</f>
        <v/>
      </c>
      <c r="X186">
        <f>HYPERLINK("https://klasma.github.io/Logging_0980/tillsyn/A 20429-2025 tillsynsbegäran.docx", "A 20429-2025")</f>
        <v/>
      </c>
      <c r="Y186">
        <f>HYPERLINK("https://klasma.github.io/Logging_0980/tillsynsmail/A 20429-2025 tillsynsbegäran mail.docx", "A 20429-2025")</f>
        <v/>
      </c>
    </row>
    <row r="187" ht="15" customHeight="1">
      <c r="A187" t="inlineStr">
        <is>
          <t>A 49726-2025</t>
        </is>
      </c>
      <c r="B187" s="1" t="n">
        <v>45939.84466435185</v>
      </c>
      <c r="C187" s="1" t="n">
        <v>45996</v>
      </c>
      <c r="D187" t="inlineStr">
        <is>
          <t>GOTLANDS LÄN</t>
        </is>
      </c>
      <c r="E187" t="inlineStr">
        <is>
          <t>GOTLAND</t>
        </is>
      </c>
      <c r="F187" t="inlineStr">
        <is>
          <t>Kyrkan</t>
        </is>
      </c>
      <c r="G187" t="n">
        <v>5.4</v>
      </c>
      <c r="H187" t="n">
        <v>0</v>
      </c>
      <c r="I187" t="n">
        <v>0</v>
      </c>
      <c r="J187" t="n">
        <v>1</v>
      </c>
      <c r="K187" t="n">
        <v>0</v>
      </c>
      <c r="L187" t="n">
        <v>0</v>
      </c>
      <c r="M187" t="n">
        <v>0</v>
      </c>
      <c r="N187" t="n">
        <v>0</v>
      </c>
      <c r="O187" t="n">
        <v>1</v>
      </c>
      <c r="P187" t="n">
        <v>0</v>
      </c>
      <c r="Q187" t="n">
        <v>1</v>
      </c>
      <c r="R187" s="2" t="inlineStr">
        <is>
          <t>Odörspindling</t>
        </is>
      </c>
      <c r="S187">
        <f>HYPERLINK("https://klasma.github.io/Logging_0980/artfynd/A 49726-2025 artfynd.xlsx", "A 49726-2025")</f>
        <v/>
      </c>
      <c r="T187">
        <f>HYPERLINK("https://klasma.github.io/Logging_0980/kartor/A 49726-2025 karta.png", "A 49726-2025")</f>
        <v/>
      </c>
      <c r="V187">
        <f>HYPERLINK("https://klasma.github.io/Logging_0980/klagomål/A 49726-2025 FSC-klagomål.docx", "A 49726-2025")</f>
        <v/>
      </c>
      <c r="W187">
        <f>HYPERLINK("https://klasma.github.io/Logging_0980/klagomålsmail/A 49726-2025 FSC-klagomål mail.docx", "A 49726-2025")</f>
        <v/>
      </c>
      <c r="X187">
        <f>HYPERLINK("https://klasma.github.io/Logging_0980/tillsyn/A 49726-2025 tillsynsbegäran.docx", "A 49726-2025")</f>
        <v/>
      </c>
      <c r="Y187">
        <f>HYPERLINK("https://klasma.github.io/Logging_0980/tillsynsmail/A 49726-2025 tillsynsbegäran mail.docx", "A 49726-2025")</f>
        <v/>
      </c>
    </row>
    <row r="188" ht="15" customHeight="1">
      <c r="A188" t="inlineStr">
        <is>
          <t>A 19901-2021</t>
        </is>
      </c>
      <c r="B188" s="1" t="n">
        <v>44312</v>
      </c>
      <c r="C188" s="1" t="n">
        <v>45996</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45996</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45996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45996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45996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45996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45996</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45996</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45996</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45996</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45996</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45996</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45996</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45996</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45996</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45996</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45996</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45996</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45996</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45996</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45996</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45996</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45996</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45996</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45996</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45996</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45996</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45996</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45996</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45996</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45996</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45996</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45996</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45996</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45996</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45996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1229-2021</t>
        </is>
      </c>
      <c r="B226" s="1" t="n">
        <v>44208</v>
      </c>
      <c r="C226" s="1" t="n">
        <v>45996</v>
      </c>
      <c r="D226" t="inlineStr">
        <is>
          <t>GOTLANDS LÄN</t>
        </is>
      </c>
      <c r="E226" t="inlineStr">
        <is>
          <t>GOTLAND</t>
        </is>
      </c>
      <c r="G226" t="n">
        <v>5.3</v>
      </c>
      <c r="H226" t="n">
        <v>0</v>
      </c>
      <c r="I226" t="n">
        <v>0</v>
      </c>
      <c r="J226" t="n">
        <v>0</v>
      </c>
      <c r="K226" t="n">
        <v>0</v>
      </c>
      <c r="L226" t="n">
        <v>0</v>
      </c>
      <c r="M226" t="n">
        <v>0</v>
      </c>
      <c r="N226" t="n">
        <v>0</v>
      </c>
      <c r="O226" t="n">
        <v>0</v>
      </c>
      <c r="P226" t="n">
        <v>0</v>
      </c>
      <c r="Q226" t="n">
        <v>0</v>
      </c>
      <c r="R226" s="2" t="inlineStr"/>
    </row>
    <row r="227" ht="15" customHeight="1">
      <c r="A227" t="inlineStr">
        <is>
          <t>A 3271-2021</t>
        </is>
      </c>
      <c r="B227" s="1" t="n">
        <v>44217</v>
      </c>
      <c r="C227" s="1" t="n">
        <v>45996</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58476-2022</t>
        </is>
      </c>
      <c r="B228" s="1" t="n">
        <v>44902</v>
      </c>
      <c r="C228" s="1" t="n">
        <v>45996</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45996</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45996</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45996</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45996</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45996</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45996</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45996</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45996</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45996</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44228-2022</t>
        </is>
      </c>
      <c r="B238" s="1" t="n">
        <v>44839.51599537037</v>
      </c>
      <c r="C238" s="1" t="n">
        <v>45996</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45996</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42201-2023</t>
        </is>
      </c>
      <c r="B240" s="1" t="n">
        <v>45179</v>
      </c>
      <c r="C240" s="1" t="n">
        <v>45996</v>
      </c>
      <c r="D240" t="inlineStr">
        <is>
          <t>GOTLANDS LÄN</t>
        </is>
      </c>
      <c r="E240" t="inlineStr">
        <is>
          <t>GOTLAND</t>
        </is>
      </c>
      <c r="G240" t="n">
        <v>11.9</v>
      </c>
      <c r="H240" t="n">
        <v>0</v>
      </c>
      <c r="I240" t="n">
        <v>0</v>
      </c>
      <c r="J240" t="n">
        <v>0</v>
      </c>
      <c r="K240" t="n">
        <v>0</v>
      </c>
      <c r="L240" t="n">
        <v>0</v>
      </c>
      <c r="M240" t="n">
        <v>0</v>
      </c>
      <c r="N240" t="n">
        <v>0</v>
      </c>
      <c r="O240" t="n">
        <v>0</v>
      </c>
      <c r="P240" t="n">
        <v>0</v>
      </c>
      <c r="Q240" t="n">
        <v>0</v>
      </c>
      <c r="R240" s="2" t="inlineStr"/>
    </row>
    <row r="241" ht="15" customHeight="1">
      <c r="A241" t="inlineStr">
        <is>
          <t>A 3150-2025</t>
        </is>
      </c>
      <c r="B241" s="1" t="n">
        <v>45679.28974537037</v>
      </c>
      <c r="C241" s="1" t="n">
        <v>45996</v>
      </c>
      <c r="D241" t="inlineStr">
        <is>
          <t>GOTLANDS LÄN</t>
        </is>
      </c>
      <c r="E241" t="inlineStr">
        <is>
          <t>GOTLAND</t>
        </is>
      </c>
      <c r="G241" t="n">
        <v>2.5</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45996</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44942-2022</t>
        </is>
      </c>
      <c r="B243" s="1" t="n">
        <v>44841</v>
      </c>
      <c r="C243" s="1" t="n">
        <v>45996</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27593-2023</t>
        </is>
      </c>
      <c r="B244" s="1" t="n">
        <v>45097</v>
      </c>
      <c r="C244" s="1" t="n">
        <v>45996</v>
      </c>
      <c r="D244" t="inlineStr">
        <is>
          <t>GOTLANDS LÄN</t>
        </is>
      </c>
      <c r="E244" t="inlineStr">
        <is>
          <t>GOTLAND</t>
        </is>
      </c>
      <c r="G244" t="n">
        <v>3.1</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45996</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42041-2024</t>
        </is>
      </c>
      <c r="B246" s="1" t="n">
        <v>45561</v>
      </c>
      <c r="C246" s="1" t="n">
        <v>45996</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6749-2025</t>
        </is>
      </c>
      <c r="B247" s="1" t="n">
        <v>45700</v>
      </c>
      <c r="C247" s="1" t="n">
        <v>45996</v>
      </c>
      <c r="D247" t="inlineStr">
        <is>
          <t>GOTLANDS LÄN</t>
        </is>
      </c>
      <c r="E247" t="inlineStr">
        <is>
          <t>GOTLAND</t>
        </is>
      </c>
      <c r="G247" t="n">
        <v>4.5</v>
      </c>
      <c r="H247" t="n">
        <v>0</v>
      </c>
      <c r="I247" t="n">
        <v>0</v>
      </c>
      <c r="J247" t="n">
        <v>0</v>
      </c>
      <c r="K247" t="n">
        <v>0</v>
      </c>
      <c r="L247" t="n">
        <v>0</v>
      </c>
      <c r="M247" t="n">
        <v>0</v>
      </c>
      <c r="N247" t="n">
        <v>0</v>
      </c>
      <c r="O247" t="n">
        <v>0</v>
      </c>
      <c r="P247" t="n">
        <v>0</v>
      </c>
      <c r="Q247" t="n">
        <v>0</v>
      </c>
      <c r="R247" s="2" t="inlineStr"/>
    </row>
    <row r="248" ht="15" customHeight="1">
      <c r="A248" t="inlineStr">
        <is>
          <t>A 53225-2022</t>
        </is>
      </c>
      <c r="B248" s="1" t="n">
        <v>44876</v>
      </c>
      <c r="C248" s="1" t="n">
        <v>45996</v>
      </c>
      <c r="D248" t="inlineStr">
        <is>
          <t>GOTLANDS LÄN</t>
        </is>
      </c>
      <c r="E248" t="inlineStr">
        <is>
          <t>GOTLAND</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30055-2021</t>
        </is>
      </c>
      <c r="B249" s="1" t="n">
        <v>44363</v>
      </c>
      <c r="C249" s="1" t="n">
        <v>45996</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5462-2025</t>
        </is>
      </c>
      <c r="B250" s="1" t="n">
        <v>45693.29331018519</v>
      </c>
      <c r="C250" s="1" t="n">
        <v>45996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15436-2025</t>
        </is>
      </c>
      <c r="B251" s="1" t="n">
        <v>45747.47462962963</v>
      </c>
      <c r="C251" s="1" t="n">
        <v>45996</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21247-2022</t>
        </is>
      </c>
      <c r="B252" s="1" t="n">
        <v>44705.38832175926</v>
      </c>
      <c r="C252" s="1" t="n">
        <v>45996</v>
      </c>
      <c r="D252" t="inlineStr">
        <is>
          <t>GOTLANDS LÄN</t>
        </is>
      </c>
      <c r="E252" t="inlineStr">
        <is>
          <t>GOTLAND</t>
        </is>
      </c>
      <c r="G252" t="n">
        <v>16.2</v>
      </c>
      <c r="H252" t="n">
        <v>0</v>
      </c>
      <c r="I252" t="n">
        <v>0</v>
      </c>
      <c r="J252" t="n">
        <v>0</v>
      </c>
      <c r="K252" t="n">
        <v>0</v>
      </c>
      <c r="L252" t="n">
        <v>0</v>
      </c>
      <c r="M252" t="n">
        <v>0</v>
      </c>
      <c r="N252" t="n">
        <v>0</v>
      </c>
      <c r="O252" t="n">
        <v>0</v>
      </c>
      <c r="P252" t="n">
        <v>0</v>
      </c>
      <c r="Q252" t="n">
        <v>0</v>
      </c>
      <c r="R252" s="2" t="inlineStr"/>
    </row>
    <row r="253" ht="15" customHeight="1">
      <c r="A253" t="inlineStr">
        <is>
          <t>A 65393-2021</t>
        </is>
      </c>
      <c r="B253" s="1" t="n">
        <v>44515</v>
      </c>
      <c r="C253" s="1" t="n">
        <v>45996</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56009-2024</t>
        </is>
      </c>
      <c r="B254" s="1" t="n">
        <v>45623.80864583333</v>
      </c>
      <c r="C254" s="1" t="n">
        <v>45996</v>
      </c>
      <c r="D254" t="inlineStr">
        <is>
          <t>GOTLANDS LÄN</t>
        </is>
      </c>
      <c r="E254" t="inlineStr">
        <is>
          <t>GOTLAND</t>
        </is>
      </c>
      <c r="G254" t="n">
        <v>2.8</v>
      </c>
      <c r="H254" t="n">
        <v>0</v>
      </c>
      <c r="I254" t="n">
        <v>0</v>
      </c>
      <c r="J254" t="n">
        <v>0</v>
      </c>
      <c r="K254" t="n">
        <v>0</v>
      </c>
      <c r="L254" t="n">
        <v>0</v>
      </c>
      <c r="M254" t="n">
        <v>0</v>
      </c>
      <c r="N254" t="n">
        <v>0</v>
      </c>
      <c r="O254" t="n">
        <v>0</v>
      </c>
      <c r="P254" t="n">
        <v>0</v>
      </c>
      <c r="Q254" t="n">
        <v>0</v>
      </c>
      <c r="R254" s="2" t="inlineStr"/>
    </row>
    <row r="255" ht="15" customHeight="1">
      <c r="A255" t="inlineStr">
        <is>
          <t>A 54073-2022</t>
        </is>
      </c>
      <c r="B255" s="1" t="n">
        <v>44881.50380787037</v>
      </c>
      <c r="C255" s="1" t="n">
        <v>45996</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45996</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17780-2022</t>
        </is>
      </c>
      <c r="B257" s="1" t="n">
        <v>44682.82622685185</v>
      </c>
      <c r="C257" s="1" t="n">
        <v>45996</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63516-2023</t>
        </is>
      </c>
      <c r="B258" s="1" t="n">
        <v>45274</v>
      </c>
      <c r="C258" s="1" t="n">
        <v>45996</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45106-2024</t>
        </is>
      </c>
      <c r="B259" s="1" t="n">
        <v>45575</v>
      </c>
      <c r="C259" s="1" t="n">
        <v>45996</v>
      </c>
      <c r="D259" t="inlineStr">
        <is>
          <t>GOTLANDS LÄN</t>
        </is>
      </c>
      <c r="E259" t="inlineStr">
        <is>
          <t>GOTLAND</t>
        </is>
      </c>
      <c r="G259" t="n">
        <v>10</v>
      </c>
      <c r="H259" t="n">
        <v>0</v>
      </c>
      <c r="I259" t="n">
        <v>0</v>
      </c>
      <c r="J259" t="n">
        <v>0</v>
      </c>
      <c r="K259" t="n">
        <v>0</v>
      </c>
      <c r="L259" t="n">
        <v>0</v>
      </c>
      <c r="M259" t="n">
        <v>0</v>
      </c>
      <c r="N259" t="n">
        <v>0</v>
      </c>
      <c r="O259" t="n">
        <v>0</v>
      </c>
      <c r="P259" t="n">
        <v>0</v>
      </c>
      <c r="Q259" t="n">
        <v>0</v>
      </c>
      <c r="R259" s="2" t="inlineStr"/>
    </row>
    <row r="260" ht="15" customHeight="1">
      <c r="A260" t="inlineStr">
        <is>
          <t>A 45112-2024</t>
        </is>
      </c>
      <c r="B260" s="1" t="n">
        <v>45575</v>
      </c>
      <c r="C260" s="1" t="n">
        <v>45996</v>
      </c>
      <c r="D260" t="inlineStr">
        <is>
          <t>GOTLANDS LÄN</t>
        </is>
      </c>
      <c r="E260" t="inlineStr">
        <is>
          <t>GOTLAND</t>
        </is>
      </c>
      <c r="G260" t="n">
        <v>5.1</v>
      </c>
      <c r="H260" t="n">
        <v>0</v>
      </c>
      <c r="I260" t="n">
        <v>0</v>
      </c>
      <c r="J260" t="n">
        <v>0</v>
      </c>
      <c r="K260" t="n">
        <v>0</v>
      </c>
      <c r="L260" t="n">
        <v>0</v>
      </c>
      <c r="M260" t="n">
        <v>0</v>
      </c>
      <c r="N260" t="n">
        <v>0</v>
      </c>
      <c r="O260" t="n">
        <v>0</v>
      </c>
      <c r="P260" t="n">
        <v>0</v>
      </c>
      <c r="Q260" t="n">
        <v>0</v>
      </c>
      <c r="R260" s="2" t="inlineStr"/>
    </row>
    <row r="261" ht="15" customHeight="1">
      <c r="A261" t="inlineStr">
        <is>
          <t>A 25796-2025</t>
        </is>
      </c>
      <c r="B261" s="1" t="n">
        <v>45804.39543981481</v>
      </c>
      <c r="C261" s="1" t="n">
        <v>45996</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23910-2021</t>
        </is>
      </c>
      <c r="B262" s="1" t="n">
        <v>44335</v>
      </c>
      <c r="C262" s="1" t="n">
        <v>45996</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44968.30340277778</v>
      </c>
      <c r="C263" s="1" t="n">
        <v>45996</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53935-2024</t>
        </is>
      </c>
      <c r="B264" s="1" t="n">
        <v>45615</v>
      </c>
      <c r="C264" s="1" t="n">
        <v>45996</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69112-2021</t>
        </is>
      </c>
      <c r="B265" s="1" t="n">
        <v>44530</v>
      </c>
      <c r="C265" s="1" t="n">
        <v>45996</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48734-2022</t>
        </is>
      </c>
      <c r="B266" s="1" t="n">
        <v>44855</v>
      </c>
      <c r="C266" s="1" t="n">
        <v>45996</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52892-2021</t>
        </is>
      </c>
      <c r="B267" s="1" t="n">
        <v>44467.49048611111</v>
      </c>
      <c r="C267" s="1" t="n">
        <v>45996</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1351-2025</t>
        </is>
      </c>
      <c r="B268" s="1" t="n">
        <v>45667.62246527777</v>
      </c>
      <c r="C268" s="1" t="n">
        <v>45996</v>
      </c>
      <c r="D268" t="inlineStr">
        <is>
          <t>GOTLANDS LÄN</t>
        </is>
      </c>
      <c r="E268" t="inlineStr">
        <is>
          <t>GOTLAND</t>
        </is>
      </c>
      <c r="G268" t="n">
        <v>1.3</v>
      </c>
      <c r="H268" t="n">
        <v>0</v>
      </c>
      <c r="I268" t="n">
        <v>0</v>
      </c>
      <c r="J268" t="n">
        <v>0</v>
      </c>
      <c r="K268" t="n">
        <v>0</v>
      </c>
      <c r="L268" t="n">
        <v>0</v>
      </c>
      <c r="M268" t="n">
        <v>0</v>
      </c>
      <c r="N268" t="n">
        <v>0</v>
      </c>
      <c r="O268" t="n">
        <v>0</v>
      </c>
      <c r="P268" t="n">
        <v>0</v>
      </c>
      <c r="Q268" t="n">
        <v>0</v>
      </c>
      <c r="R268" s="2" t="inlineStr"/>
    </row>
    <row r="269" ht="15" customHeight="1">
      <c r="A269" t="inlineStr">
        <is>
          <t>A 23516-2023</t>
        </is>
      </c>
      <c r="B269" s="1" t="n">
        <v>45076.93391203704</v>
      </c>
      <c r="C269" s="1" t="n">
        <v>45996</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43231-2023</t>
        </is>
      </c>
      <c r="B270" s="1" t="n">
        <v>45183.47025462963</v>
      </c>
      <c r="C270" s="1" t="n">
        <v>45996</v>
      </c>
      <c r="D270" t="inlineStr">
        <is>
          <t>GOTLANDS LÄN</t>
        </is>
      </c>
      <c r="E270" t="inlineStr">
        <is>
          <t>GOTLAND</t>
        </is>
      </c>
      <c r="G270" t="n">
        <v>3.6</v>
      </c>
      <c r="H270" t="n">
        <v>0</v>
      </c>
      <c r="I270" t="n">
        <v>0</v>
      </c>
      <c r="J270" t="n">
        <v>0</v>
      </c>
      <c r="K270" t="n">
        <v>0</v>
      </c>
      <c r="L270" t="n">
        <v>0</v>
      </c>
      <c r="M270" t="n">
        <v>0</v>
      </c>
      <c r="N270" t="n">
        <v>0</v>
      </c>
      <c r="O270" t="n">
        <v>0</v>
      </c>
      <c r="P270" t="n">
        <v>0</v>
      </c>
      <c r="Q270" t="n">
        <v>0</v>
      </c>
      <c r="R270" s="2" t="inlineStr"/>
    </row>
    <row r="271" ht="15" customHeight="1">
      <c r="A271" t="inlineStr">
        <is>
          <t>A 17354-2022</t>
        </is>
      </c>
      <c r="B271" s="1" t="n">
        <v>44678</v>
      </c>
      <c r="C271" s="1" t="n">
        <v>45996</v>
      </c>
      <c r="D271" t="inlineStr">
        <is>
          <t>GOTLANDS LÄN</t>
        </is>
      </c>
      <c r="E271" t="inlineStr">
        <is>
          <t>GOTLAND</t>
        </is>
      </c>
      <c r="G271" t="n">
        <v>7.1</v>
      </c>
      <c r="H271" t="n">
        <v>0</v>
      </c>
      <c r="I271" t="n">
        <v>0</v>
      </c>
      <c r="J271" t="n">
        <v>0</v>
      </c>
      <c r="K271" t="n">
        <v>0</v>
      </c>
      <c r="L271" t="n">
        <v>0</v>
      </c>
      <c r="M271" t="n">
        <v>0</v>
      </c>
      <c r="N271" t="n">
        <v>0</v>
      </c>
      <c r="O271" t="n">
        <v>0</v>
      </c>
      <c r="P271" t="n">
        <v>0</v>
      </c>
      <c r="Q271" t="n">
        <v>0</v>
      </c>
      <c r="R271" s="2" t="inlineStr"/>
    </row>
    <row r="272" ht="15" customHeight="1">
      <c r="A272" t="inlineStr">
        <is>
          <t>A 49874-2024</t>
        </is>
      </c>
      <c r="B272" s="1" t="n">
        <v>45597.49274305555</v>
      </c>
      <c r="C272" s="1" t="n">
        <v>45996</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26465-2025</t>
        </is>
      </c>
      <c r="B273" s="1" t="n">
        <v>45807.44377314814</v>
      </c>
      <c r="C273" s="1" t="n">
        <v>45996</v>
      </c>
      <c r="D273" t="inlineStr">
        <is>
          <t>GOTLANDS LÄN</t>
        </is>
      </c>
      <c r="E273" t="inlineStr">
        <is>
          <t>GOTLAND</t>
        </is>
      </c>
      <c r="G273" t="n">
        <v>4.5</v>
      </c>
      <c r="H273" t="n">
        <v>0</v>
      </c>
      <c r="I273" t="n">
        <v>0</v>
      </c>
      <c r="J273" t="n">
        <v>0</v>
      </c>
      <c r="K273" t="n">
        <v>0</v>
      </c>
      <c r="L273" t="n">
        <v>0</v>
      </c>
      <c r="M273" t="n">
        <v>0</v>
      </c>
      <c r="N273" t="n">
        <v>0</v>
      </c>
      <c r="O273" t="n">
        <v>0</v>
      </c>
      <c r="P273" t="n">
        <v>0</v>
      </c>
      <c r="Q273" t="n">
        <v>0</v>
      </c>
      <c r="R273" s="2" t="inlineStr"/>
    </row>
    <row r="274" ht="15" customHeight="1">
      <c r="A274" t="inlineStr">
        <is>
          <t>A 58230-2024</t>
        </is>
      </c>
      <c r="B274" s="1" t="n">
        <v>45632.51625</v>
      </c>
      <c r="C274" s="1" t="n">
        <v>45996</v>
      </c>
      <c r="D274" t="inlineStr">
        <is>
          <t>GOTLANDS LÄN</t>
        </is>
      </c>
      <c r="E274" t="inlineStr">
        <is>
          <t>GOTLAND</t>
        </is>
      </c>
      <c r="G274" t="n">
        <v>7.3</v>
      </c>
      <c r="H274" t="n">
        <v>0</v>
      </c>
      <c r="I274" t="n">
        <v>0</v>
      </c>
      <c r="J274" t="n">
        <v>0</v>
      </c>
      <c r="K274" t="n">
        <v>0</v>
      </c>
      <c r="L274" t="n">
        <v>0</v>
      </c>
      <c r="M274" t="n">
        <v>0</v>
      </c>
      <c r="N274" t="n">
        <v>0</v>
      </c>
      <c r="O274" t="n">
        <v>0</v>
      </c>
      <c r="P274" t="n">
        <v>0</v>
      </c>
      <c r="Q274" t="n">
        <v>0</v>
      </c>
      <c r="R274" s="2" t="inlineStr"/>
    </row>
    <row r="275" ht="15" customHeight="1">
      <c r="A275" t="inlineStr">
        <is>
          <t>A 26457-2025</t>
        </is>
      </c>
      <c r="B275" s="1" t="n">
        <v>45807.42773148148</v>
      </c>
      <c r="C275" s="1" t="n">
        <v>45996</v>
      </c>
      <c r="D275" t="inlineStr">
        <is>
          <t>GOTLANDS LÄN</t>
        </is>
      </c>
      <c r="E275" t="inlineStr">
        <is>
          <t>GOTLAND</t>
        </is>
      </c>
      <c r="G275" t="n">
        <v>5.7</v>
      </c>
      <c r="H275" t="n">
        <v>0</v>
      </c>
      <c r="I275" t="n">
        <v>0</v>
      </c>
      <c r="J275" t="n">
        <v>0</v>
      </c>
      <c r="K275" t="n">
        <v>0</v>
      </c>
      <c r="L275" t="n">
        <v>0</v>
      </c>
      <c r="M275" t="n">
        <v>0</v>
      </c>
      <c r="N275" t="n">
        <v>0</v>
      </c>
      <c r="O275" t="n">
        <v>0</v>
      </c>
      <c r="P275" t="n">
        <v>0</v>
      </c>
      <c r="Q275" t="n">
        <v>0</v>
      </c>
      <c r="R275" s="2" t="inlineStr"/>
    </row>
    <row r="276" ht="15" customHeight="1">
      <c r="A276" t="inlineStr">
        <is>
          <t>A 26467-2025</t>
        </is>
      </c>
      <c r="B276" s="1" t="n">
        <v>45807.44640046296</v>
      </c>
      <c r="C276" s="1" t="n">
        <v>45996</v>
      </c>
      <c r="D276" t="inlineStr">
        <is>
          <t>GOTLANDS LÄN</t>
        </is>
      </c>
      <c r="E276" t="inlineStr">
        <is>
          <t>GOTLAND</t>
        </is>
      </c>
      <c r="G276" t="n">
        <v>0.7</v>
      </c>
      <c r="H276" t="n">
        <v>0</v>
      </c>
      <c r="I276" t="n">
        <v>0</v>
      </c>
      <c r="J276" t="n">
        <v>0</v>
      </c>
      <c r="K276" t="n">
        <v>0</v>
      </c>
      <c r="L276" t="n">
        <v>0</v>
      </c>
      <c r="M276" t="n">
        <v>0</v>
      </c>
      <c r="N276" t="n">
        <v>0</v>
      </c>
      <c r="O276" t="n">
        <v>0</v>
      </c>
      <c r="P276" t="n">
        <v>0</v>
      </c>
      <c r="Q276" t="n">
        <v>0</v>
      </c>
      <c r="R276" s="2" t="inlineStr"/>
    </row>
    <row r="277" ht="15" customHeight="1">
      <c r="A277" t="inlineStr">
        <is>
          <t>A 64555-2023</t>
        </is>
      </c>
      <c r="B277" s="1" t="n">
        <v>45281</v>
      </c>
      <c r="C277" s="1" t="n">
        <v>45996</v>
      </c>
      <c r="D277" t="inlineStr">
        <is>
          <t>GOTLANDS LÄN</t>
        </is>
      </c>
      <c r="E277" t="inlineStr">
        <is>
          <t>GOTLAND</t>
        </is>
      </c>
      <c r="G277" t="n">
        <v>3.5</v>
      </c>
      <c r="H277" t="n">
        <v>0</v>
      </c>
      <c r="I277" t="n">
        <v>0</v>
      </c>
      <c r="J277" t="n">
        <v>0</v>
      </c>
      <c r="K277" t="n">
        <v>0</v>
      </c>
      <c r="L277" t="n">
        <v>0</v>
      </c>
      <c r="M277" t="n">
        <v>0</v>
      </c>
      <c r="N277" t="n">
        <v>0</v>
      </c>
      <c r="O277" t="n">
        <v>0</v>
      </c>
      <c r="P277" t="n">
        <v>0</v>
      </c>
      <c r="Q277" t="n">
        <v>0</v>
      </c>
      <c r="R277" s="2" t="inlineStr"/>
    </row>
    <row r="278" ht="15" customHeight="1">
      <c r="A278" t="inlineStr">
        <is>
          <t>A 457-2023</t>
        </is>
      </c>
      <c r="B278" s="1" t="n">
        <v>44929.87238425926</v>
      </c>
      <c r="C278" s="1" t="n">
        <v>45996</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459-2023</t>
        </is>
      </c>
      <c r="B279" s="1" t="n">
        <v>44929.87423611111</v>
      </c>
      <c r="C279" s="1" t="n">
        <v>45996</v>
      </c>
      <c r="D279" t="inlineStr">
        <is>
          <t>GOTLANDS LÄN</t>
        </is>
      </c>
      <c r="E279" t="inlineStr">
        <is>
          <t>GOTLAND</t>
        </is>
      </c>
      <c r="G279" t="n">
        <v>4.2</v>
      </c>
      <c r="H279" t="n">
        <v>0</v>
      </c>
      <c r="I279" t="n">
        <v>0</v>
      </c>
      <c r="J279" t="n">
        <v>0</v>
      </c>
      <c r="K279" t="n">
        <v>0</v>
      </c>
      <c r="L279" t="n">
        <v>0</v>
      </c>
      <c r="M279" t="n">
        <v>0</v>
      </c>
      <c r="N279" t="n">
        <v>0</v>
      </c>
      <c r="O279" t="n">
        <v>0</v>
      </c>
      <c r="P279" t="n">
        <v>0</v>
      </c>
      <c r="Q279" t="n">
        <v>0</v>
      </c>
      <c r="R279" s="2" t="inlineStr"/>
    </row>
    <row r="280" ht="15" customHeight="1">
      <c r="A280" t="inlineStr">
        <is>
          <t>A 26660-2025</t>
        </is>
      </c>
      <c r="B280" s="1" t="n">
        <v>45810.39737268518</v>
      </c>
      <c r="C280" s="1" t="n">
        <v>45996</v>
      </c>
      <c r="D280" t="inlineStr">
        <is>
          <t>GOTLANDS LÄN</t>
        </is>
      </c>
      <c r="E280" t="inlineStr">
        <is>
          <t>GOTLAND</t>
        </is>
      </c>
      <c r="G280" t="n">
        <v>1.8</v>
      </c>
      <c r="H280" t="n">
        <v>0</v>
      </c>
      <c r="I280" t="n">
        <v>0</v>
      </c>
      <c r="J280" t="n">
        <v>0</v>
      </c>
      <c r="K280" t="n">
        <v>0</v>
      </c>
      <c r="L280" t="n">
        <v>0</v>
      </c>
      <c r="M280" t="n">
        <v>0</v>
      </c>
      <c r="N280" t="n">
        <v>0</v>
      </c>
      <c r="O280" t="n">
        <v>0</v>
      </c>
      <c r="P280" t="n">
        <v>0</v>
      </c>
      <c r="Q280" t="n">
        <v>0</v>
      </c>
      <c r="R280" s="2" t="inlineStr"/>
    </row>
    <row r="281" ht="15" customHeight="1">
      <c r="A281" t="inlineStr">
        <is>
          <t>A 12599-2025</t>
        </is>
      </c>
      <c r="B281" s="1" t="n">
        <v>45733.29546296296</v>
      </c>
      <c r="C281" s="1" t="n">
        <v>45996</v>
      </c>
      <c r="D281" t="inlineStr">
        <is>
          <t>GOTLANDS LÄN</t>
        </is>
      </c>
      <c r="E281" t="inlineStr">
        <is>
          <t>GOTLAND</t>
        </is>
      </c>
      <c r="G281" t="n">
        <v>4.7</v>
      </c>
      <c r="H281" t="n">
        <v>0</v>
      </c>
      <c r="I281" t="n">
        <v>0</v>
      </c>
      <c r="J281" t="n">
        <v>0</v>
      </c>
      <c r="K281" t="n">
        <v>0</v>
      </c>
      <c r="L281" t="n">
        <v>0</v>
      </c>
      <c r="M281" t="n">
        <v>0</v>
      </c>
      <c r="N281" t="n">
        <v>0</v>
      </c>
      <c r="O281" t="n">
        <v>0</v>
      </c>
      <c r="P281" t="n">
        <v>0</v>
      </c>
      <c r="Q281" t="n">
        <v>0</v>
      </c>
      <c r="R281" s="2" t="inlineStr"/>
    </row>
    <row r="282" ht="15" customHeight="1">
      <c r="A282" t="inlineStr">
        <is>
          <t>A 876-2024</t>
        </is>
      </c>
      <c r="B282" s="1" t="n">
        <v>45301</v>
      </c>
      <c r="C282" s="1" t="n">
        <v>45996</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26891-2024</t>
        </is>
      </c>
      <c r="B283" s="1" t="n">
        <v>45470.65540509259</v>
      </c>
      <c r="C283" s="1" t="n">
        <v>45996</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51782-2023</t>
        </is>
      </c>
      <c r="B284" s="1" t="n">
        <v>45222.80952546297</v>
      </c>
      <c r="C284" s="1" t="n">
        <v>45996</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14536-2021</t>
        </is>
      </c>
      <c r="B285" s="1" t="n">
        <v>44279.66168981481</v>
      </c>
      <c r="C285" s="1" t="n">
        <v>45996</v>
      </c>
      <c r="D285" t="inlineStr">
        <is>
          <t>GOTLANDS LÄN</t>
        </is>
      </c>
      <c r="E285" t="inlineStr">
        <is>
          <t>GOTLAND</t>
        </is>
      </c>
      <c r="G285" t="n">
        <v>8.5</v>
      </c>
      <c r="H285" t="n">
        <v>0</v>
      </c>
      <c r="I285" t="n">
        <v>0</v>
      </c>
      <c r="J285" t="n">
        <v>0</v>
      </c>
      <c r="K285" t="n">
        <v>0</v>
      </c>
      <c r="L285" t="n">
        <v>0</v>
      </c>
      <c r="M285" t="n">
        <v>0</v>
      </c>
      <c r="N285" t="n">
        <v>0</v>
      </c>
      <c r="O285" t="n">
        <v>0</v>
      </c>
      <c r="P285" t="n">
        <v>0</v>
      </c>
      <c r="Q285" t="n">
        <v>0</v>
      </c>
      <c r="R285" s="2" t="inlineStr"/>
    </row>
    <row r="286" ht="15" customHeight="1">
      <c r="A286" t="inlineStr">
        <is>
          <t>A 5923-2023</t>
        </is>
      </c>
      <c r="B286" s="1" t="n">
        <v>44963.69503472222</v>
      </c>
      <c r="C286" s="1" t="n">
        <v>45996</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60675-2021</t>
        </is>
      </c>
      <c r="B287" s="1" t="n">
        <v>44496.64855324074</v>
      </c>
      <c r="C287" s="1" t="n">
        <v>45996</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27355-2025</t>
        </is>
      </c>
      <c r="B288" s="1" t="n">
        <v>45812</v>
      </c>
      <c r="C288" s="1" t="n">
        <v>45996</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50482-2024</t>
        </is>
      </c>
      <c r="B289" s="1" t="n">
        <v>45601.48114583334</v>
      </c>
      <c r="C289" s="1" t="n">
        <v>45996</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5217-2023</t>
        </is>
      </c>
      <c r="B290" s="1" t="n">
        <v>44959.39582175926</v>
      </c>
      <c r="C290" s="1" t="n">
        <v>45996</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27371-2025</t>
        </is>
      </c>
      <c r="B291" s="1" t="n">
        <v>45812</v>
      </c>
      <c r="C291" s="1" t="n">
        <v>45996</v>
      </c>
      <c r="D291" t="inlineStr">
        <is>
          <t>GOTLANDS LÄN</t>
        </is>
      </c>
      <c r="E291" t="inlineStr">
        <is>
          <t>GOTLAND</t>
        </is>
      </c>
      <c r="G291" t="n">
        <v>8</v>
      </c>
      <c r="H291" t="n">
        <v>0</v>
      </c>
      <c r="I291" t="n">
        <v>0</v>
      </c>
      <c r="J291" t="n">
        <v>0</v>
      </c>
      <c r="K291" t="n">
        <v>0</v>
      </c>
      <c r="L291" t="n">
        <v>0</v>
      </c>
      <c r="M291" t="n">
        <v>0</v>
      </c>
      <c r="N291" t="n">
        <v>0</v>
      </c>
      <c r="O291" t="n">
        <v>0</v>
      </c>
      <c r="P291" t="n">
        <v>0</v>
      </c>
      <c r="Q291" t="n">
        <v>0</v>
      </c>
      <c r="R291" s="2" t="inlineStr"/>
    </row>
    <row r="292" ht="15" customHeight="1">
      <c r="A292" t="inlineStr">
        <is>
          <t>A 5943-2024</t>
        </is>
      </c>
      <c r="B292" s="1" t="n">
        <v>45336</v>
      </c>
      <c r="C292" s="1" t="n">
        <v>45996</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14638-2025</t>
        </is>
      </c>
      <c r="B293" s="1" t="n">
        <v>45742</v>
      </c>
      <c r="C293" s="1" t="n">
        <v>45996</v>
      </c>
      <c r="D293" t="inlineStr">
        <is>
          <t>GOTLANDS LÄN</t>
        </is>
      </c>
      <c r="E293" t="inlineStr">
        <is>
          <t>GOTLAND</t>
        </is>
      </c>
      <c r="G293" t="n">
        <v>13.4</v>
      </c>
      <c r="H293" t="n">
        <v>0</v>
      </c>
      <c r="I293" t="n">
        <v>0</v>
      </c>
      <c r="J293" t="n">
        <v>0</v>
      </c>
      <c r="K293" t="n">
        <v>0</v>
      </c>
      <c r="L293" t="n">
        <v>0</v>
      </c>
      <c r="M293" t="n">
        <v>0</v>
      </c>
      <c r="N293" t="n">
        <v>0</v>
      </c>
      <c r="O293" t="n">
        <v>0</v>
      </c>
      <c r="P293" t="n">
        <v>0</v>
      </c>
      <c r="Q293" t="n">
        <v>0</v>
      </c>
      <c r="R293" s="2" t="inlineStr"/>
    </row>
    <row r="294" ht="15" customHeight="1">
      <c r="A294" t="inlineStr">
        <is>
          <t>A 38234-2023</t>
        </is>
      </c>
      <c r="B294" s="1" t="n">
        <v>45161.56663194444</v>
      </c>
      <c r="C294" s="1" t="n">
        <v>45996</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4421-2024</t>
        </is>
      </c>
      <c r="B295" s="1" t="n">
        <v>45327.45173611111</v>
      </c>
      <c r="C295" s="1" t="n">
        <v>45996</v>
      </c>
      <c r="D295" t="inlineStr">
        <is>
          <t>GOTLANDS LÄN</t>
        </is>
      </c>
      <c r="E295" t="inlineStr">
        <is>
          <t>GOTLAND</t>
        </is>
      </c>
      <c r="G295" t="n">
        <v>5.1</v>
      </c>
      <c r="H295" t="n">
        <v>0</v>
      </c>
      <c r="I295" t="n">
        <v>0</v>
      </c>
      <c r="J295" t="n">
        <v>0</v>
      </c>
      <c r="K295" t="n">
        <v>0</v>
      </c>
      <c r="L295" t="n">
        <v>0</v>
      </c>
      <c r="M295" t="n">
        <v>0</v>
      </c>
      <c r="N295" t="n">
        <v>0</v>
      </c>
      <c r="O295" t="n">
        <v>0</v>
      </c>
      <c r="P295" t="n">
        <v>0</v>
      </c>
      <c r="Q295" t="n">
        <v>0</v>
      </c>
      <c r="R295" s="2" t="inlineStr"/>
    </row>
    <row r="296" ht="15" customHeight="1">
      <c r="A296" t="inlineStr">
        <is>
          <t>A 1273-2023</t>
        </is>
      </c>
      <c r="B296" s="1" t="n">
        <v>44936</v>
      </c>
      <c r="C296" s="1" t="n">
        <v>45996</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20356-2022</t>
        </is>
      </c>
      <c r="B297" s="1" t="n">
        <v>44699</v>
      </c>
      <c r="C297" s="1" t="n">
        <v>45996</v>
      </c>
      <c r="D297" t="inlineStr">
        <is>
          <t>GOTLANDS LÄN</t>
        </is>
      </c>
      <c r="E297" t="inlineStr">
        <is>
          <t>GOTLAND</t>
        </is>
      </c>
      <c r="F297" t="inlineStr">
        <is>
          <t>Övriga Aktiebolag</t>
        </is>
      </c>
      <c r="G297" t="n">
        <v>4.4</v>
      </c>
      <c r="H297" t="n">
        <v>0</v>
      </c>
      <c r="I297" t="n">
        <v>0</v>
      </c>
      <c r="J297" t="n">
        <v>0</v>
      </c>
      <c r="K297" t="n">
        <v>0</v>
      </c>
      <c r="L297" t="n">
        <v>0</v>
      </c>
      <c r="M297" t="n">
        <v>0</v>
      </c>
      <c r="N297" t="n">
        <v>0</v>
      </c>
      <c r="O297" t="n">
        <v>0</v>
      </c>
      <c r="P297" t="n">
        <v>0</v>
      </c>
      <c r="Q297" t="n">
        <v>0</v>
      </c>
      <c r="R297" s="2" t="inlineStr"/>
    </row>
    <row r="298" ht="15" customHeight="1">
      <c r="A298" t="inlineStr">
        <is>
          <t>A 20165-2022</t>
        </is>
      </c>
      <c r="B298" s="1" t="n">
        <v>44698.49854166667</v>
      </c>
      <c r="C298" s="1" t="n">
        <v>45996</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7850-2025</t>
        </is>
      </c>
      <c r="B299" s="1" t="n">
        <v>45706</v>
      </c>
      <c r="C299" s="1" t="n">
        <v>45996</v>
      </c>
      <c r="D299" t="inlineStr">
        <is>
          <t>GOTLANDS LÄN</t>
        </is>
      </c>
      <c r="E299" t="inlineStr">
        <is>
          <t>GOTLAND</t>
        </is>
      </c>
      <c r="G299" t="n">
        <v>0.5</v>
      </c>
      <c r="H299" t="n">
        <v>0</v>
      </c>
      <c r="I299" t="n">
        <v>0</v>
      </c>
      <c r="J299" t="n">
        <v>0</v>
      </c>
      <c r="K299" t="n">
        <v>0</v>
      </c>
      <c r="L299" t="n">
        <v>0</v>
      </c>
      <c r="M299" t="n">
        <v>0</v>
      </c>
      <c r="N299" t="n">
        <v>0</v>
      </c>
      <c r="O299" t="n">
        <v>0</v>
      </c>
      <c r="P299" t="n">
        <v>0</v>
      </c>
      <c r="Q299" t="n">
        <v>0</v>
      </c>
      <c r="R299" s="2" t="inlineStr"/>
    </row>
    <row r="300" ht="15" customHeight="1">
      <c r="A300" t="inlineStr">
        <is>
          <t>A 6739-2025</t>
        </is>
      </c>
      <c r="B300" s="1" t="n">
        <v>45700</v>
      </c>
      <c r="C300" s="1" t="n">
        <v>45996</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31264-2021</t>
        </is>
      </c>
      <c r="B301" s="1" t="n">
        <v>44368</v>
      </c>
      <c r="C301" s="1" t="n">
        <v>45996</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2292-2021</t>
        </is>
      </c>
      <c r="B302" s="1" t="n">
        <v>44212</v>
      </c>
      <c r="C302" s="1" t="n">
        <v>45996</v>
      </c>
      <c r="D302" t="inlineStr">
        <is>
          <t>GOTLANDS LÄN</t>
        </is>
      </c>
      <c r="E302" t="inlineStr">
        <is>
          <t>GOTLAND</t>
        </is>
      </c>
      <c r="G302" t="n">
        <v>3</v>
      </c>
      <c r="H302" t="n">
        <v>0</v>
      </c>
      <c r="I302" t="n">
        <v>0</v>
      </c>
      <c r="J302" t="n">
        <v>0</v>
      </c>
      <c r="K302" t="n">
        <v>0</v>
      </c>
      <c r="L302" t="n">
        <v>0</v>
      </c>
      <c r="M302" t="n">
        <v>0</v>
      </c>
      <c r="N302" t="n">
        <v>0</v>
      </c>
      <c r="O302" t="n">
        <v>0</v>
      </c>
      <c r="P302" t="n">
        <v>0</v>
      </c>
      <c r="Q302" t="n">
        <v>0</v>
      </c>
      <c r="R302" s="2" t="inlineStr"/>
    </row>
    <row r="303" ht="15" customHeight="1">
      <c r="A303" t="inlineStr">
        <is>
          <t>A 35142-2025</t>
        </is>
      </c>
      <c r="B303" s="1" t="n">
        <v>45852.65532407408</v>
      </c>
      <c r="C303" s="1" t="n">
        <v>45996</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45996</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17724-2024</t>
        </is>
      </c>
      <c r="B305" s="1" t="n">
        <v>45418.55096064815</v>
      </c>
      <c r="C305" s="1" t="n">
        <v>45996</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8444-2025</t>
        </is>
      </c>
      <c r="B306" s="1" t="n">
        <v>45709</v>
      </c>
      <c r="C306" s="1" t="n">
        <v>45996</v>
      </c>
      <c r="D306" t="inlineStr">
        <is>
          <t>GOTLANDS LÄN</t>
        </is>
      </c>
      <c r="E306" t="inlineStr">
        <is>
          <t>GOTLAND</t>
        </is>
      </c>
      <c r="G306" t="n">
        <v>5.2</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45996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35141-2025</t>
        </is>
      </c>
      <c r="B308" s="1" t="n">
        <v>45852.65206018519</v>
      </c>
      <c r="C308" s="1" t="n">
        <v>45996</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43223-2023</t>
        </is>
      </c>
      <c r="B309" s="1" t="n">
        <v>45183.45642361111</v>
      </c>
      <c r="C309" s="1" t="n">
        <v>45996</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23978-2023</t>
        </is>
      </c>
      <c r="B310" s="1" t="n">
        <v>45078</v>
      </c>
      <c r="C310" s="1" t="n">
        <v>45996</v>
      </c>
      <c r="D310" t="inlineStr">
        <is>
          <t>GOTLANDS LÄN</t>
        </is>
      </c>
      <c r="E310" t="inlineStr">
        <is>
          <t>GOTLAND</t>
        </is>
      </c>
      <c r="F310" t="inlineStr">
        <is>
          <t>Naturvårdsverket</t>
        </is>
      </c>
      <c r="G310" t="n">
        <v>1.7</v>
      </c>
      <c r="H310" t="n">
        <v>0</v>
      </c>
      <c r="I310" t="n">
        <v>0</v>
      </c>
      <c r="J310" t="n">
        <v>0</v>
      </c>
      <c r="K310" t="n">
        <v>0</v>
      </c>
      <c r="L310" t="n">
        <v>0</v>
      </c>
      <c r="M310" t="n">
        <v>0</v>
      </c>
      <c r="N310" t="n">
        <v>0</v>
      </c>
      <c r="O310" t="n">
        <v>0</v>
      </c>
      <c r="P310" t="n">
        <v>0</v>
      </c>
      <c r="Q310" t="n">
        <v>0</v>
      </c>
      <c r="R310" s="2" t="inlineStr"/>
    </row>
    <row r="311" ht="15" customHeight="1">
      <c r="A311" t="inlineStr">
        <is>
          <t>A 49884-2023</t>
        </is>
      </c>
      <c r="B311" s="1" t="n">
        <v>45213</v>
      </c>
      <c r="C311" s="1" t="n">
        <v>45996</v>
      </c>
      <c r="D311" t="inlineStr">
        <is>
          <t>GOTLANDS LÄN</t>
        </is>
      </c>
      <c r="E311" t="inlineStr">
        <is>
          <t>GOTLAND</t>
        </is>
      </c>
      <c r="G311" t="n">
        <v>8.9</v>
      </c>
      <c r="H311" t="n">
        <v>0</v>
      </c>
      <c r="I311" t="n">
        <v>0</v>
      </c>
      <c r="J311" t="n">
        <v>0</v>
      </c>
      <c r="K311" t="n">
        <v>0</v>
      </c>
      <c r="L311" t="n">
        <v>0</v>
      </c>
      <c r="M311" t="n">
        <v>0</v>
      </c>
      <c r="N311" t="n">
        <v>0</v>
      </c>
      <c r="O311" t="n">
        <v>0</v>
      </c>
      <c r="P311" t="n">
        <v>0</v>
      </c>
      <c r="Q311" t="n">
        <v>0</v>
      </c>
      <c r="R311" s="2" t="inlineStr"/>
    </row>
    <row r="312" ht="15" customHeight="1">
      <c r="A312" t="inlineStr">
        <is>
          <t>A 61962-2024</t>
        </is>
      </c>
      <c r="B312" s="1" t="n">
        <v>45653.54340277778</v>
      </c>
      <c r="C312" s="1" t="n">
        <v>45996</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12846-2025</t>
        </is>
      </c>
      <c r="B313" s="1" t="n">
        <v>45733.65049768519</v>
      </c>
      <c r="C313" s="1" t="n">
        <v>45996</v>
      </c>
      <c r="D313" t="inlineStr">
        <is>
          <t>GOTLANDS LÄN</t>
        </is>
      </c>
      <c r="E313" t="inlineStr">
        <is>
          <t>GOTLAND</t>
        </is>
      </c>
      <c r="G313" t="n">
        <v>1.7</v>
      </c>
      <c r="H313" t="n">
        <v>0</v>
      </c>
      <c r="I313" t="n">
        <v>0</v>
      </c>
      <c r="J313" t="n">
        <v>0</v>
      </c>
      <c r="K313" t="n">
        <v>0</v>
      </c>
      <c r="L313" t="n">
        <v>0</v>
      </c>
      <c r="M313" t="n">
        <v>0</v>
      </c>
      <c r="N313" t="n">
        <v>0</v>
      </c>
      <c r="O313" t="n">
        <v>0</v>
      </c>
      <c r="P313" t="n">
        <v>0</v>
      </c>
      <c r="Q313" t="n">
        <v>0</v>
      </c>
      <c r="R313" s="2" t="inlineStr"/>
    </row>
    <row r="314" ht="15" customHeight="1">
      <c r="A314" t="inlineStr">
        <is>
          <t>A 27930-2021</t>
        </is>
      </c>
      <c r="B314" s="1" t="n">
        <v>44354</v>
      </c>
      <c r="C314" s="1" t="n">
        <v>45996</v>
      </c>
      <c r="D314" t="inlineStr">
        <is>
          <t>GOTLANDS LÄN</t>
        </is>
      </c>
      <c r="E314" t="inlineStr">
        <is>
          <t>GOTLAND</t>
        </is>
      </c>
      <c r="G314" t="n">
        <v>2.5</v>
      </c>
      <c r="H314" t="n">
        <v>0</v>
      </c>
      <c r="I314" t="n">
        <v>0</v>
      </c>
      <c r="J314" t="n">
        <v>0</v>
      </c>
      <c r="K314" t="n">
        <v>0</v>
      </c>
      <c r="L314" t="n">
        <v>0</v>
      </c>
      <c r="M314" t="n">
        <v>0</v>
      </c>
      <c r="N314" t="n">
        <v>0</v>
      </c>
      <c r="O314" t="n">
        <v>0</v>
      </c>
      <c r="P314" t="n">
        <v>0</v>
      </c>
      <c r="Q314" t="n">
        <v>0</v>
      </c>
      <c r="R314" s="2" t="inlineStr"/>
    </row>
    <row r="315" ht="15" customHeight="1">
      <c r="A315" t="inlineStr">
        <is>
          <t>A 59469-2024</t>
        </is>
      </c>
      <c r="B315" s="1" t="n">
        <v>45638</v>
      </c>
      <c r="C315" s="1" t="n">
        <v>45996</v>
      </c>
      <c r="D315" t="inlineStr">
        <is>
          <t>GOTLANDS LÄN</t>
        </is>
      </c>
      <c r="E315" t="inlineStr">
        <is>
          <t>GOTLAND</t>
        </is>
      </c>
      <c r="G315" t="n">
        <v>0.4</v>
      </c>
      <c r="H315" t="n">
        <v>0</v>
      </c>
      <c r="I315" t="n">
        <v>0</v>
      </c>
      <c r="J315" t="n">
        <v>0</v>
      </c>
      <c r="K315" t="n">
        <v>0</v>
      </c>
      <c r="L315" t="n">
        <v>0</v>
      </c>
      <c r="M315" t="n">
        <v>0</v>
      </c>
      <c r="N315" t="n">
        <v>0</v>
      </c>
      <c r="O315" t="n">
        <v>0</v>
      </c>
      <c r="P315" t="n">
        <v>0</v>
      </c>
      <c r="Q315" t="n">
        <v>0</v>
      </c>
      <c r="R315" s="2" t="inlineStr"/>
    </row>
    <row r="316" ht="15" customHeight="1">
      <c r="A316" t="inlineStr">
        <is>
          <t>A 43200-2023</t>
        </is>
      </c>
      <c r="B316" s="1" t="n">
        <v>45183</v>
      </c>
      <c r="C316" s="1" t="n">
        <v>45996</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45996</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45996</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3935-2025</t>
        </is>
      </c>
      <c r="B319" s="1" t="n">
        <v>45684.46070601852</v>
      </c>
      <c r="C319" s="1" t="n">
        <v>45996</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5751-2024</t>
        </is>
      </c>
      <c r="B320" s="1" t="n">
        <v>45335.32702546296</v>
      </c>
      <c r="C320" s="1" t="n">
        <v>45996</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6696-2023</t>
        </is>
      </c>
      <c r="B321" s="1" t="n">
        <v>44966.66425925926</v>
      </c>
      <c r="C321" s="1" t="n">
        <v>45996</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28480-2023</t>
        </is>
      </c>
      <c r="B322" s="1" t="n">
        <v>45103</v>
      </c>
      <c r="C322" s="1" t="n">
        <v>45996</v>
      </c>
      <c r="D322" t="inlineStr">
        <is>
          <t>GOTLANDS LÄN</t>
        </is>
      </c>
      <c r="E322" t="inlineStr">
        <is>
          <t>GOTLAND</t>
        </is>
      </c>
      <c r="G322" t="n">
        <v>5.7</v>
      </c>
      <c r="H322" t="n">
        <v>0</v>
      </c>
      <c r="I322" t="n">
        <v>0</v>
      </c>
      <c r="J322" t="n">
        <v>0</v>
      </c>
      <c r="K322" t="n">
        <v>0</v>
      </c>
      <c r="L322" t="n">
        <v>0</v>
      </c>
      <c r="M322" t="n">
        <v>0</v>
      </c>
      <c r="N322" t="n">
        <v>0</v>
      </c>
      <c r="O322" t="n">
        <v>0</v>
      </c>
      <c r="P322" t="n">
        <v>0</v>
      </c>
      <c r="Q322" t="n">
        <v>0</v>
      </c>
      <c r="R322" s="2" t="inlineStr"/>
    </row>
    <row r="323" ht="15" customHeight="1">
      <c r="A323" t="inlineStr">
        <is>
          <t>A 28485-2023</t>
        </is>
      </c>
      <c r="B323" s="1" t="n">
        <v>45103.43731481482</v>
      </c>
      <c r="C323" s="1" t="n">
        <v>45996</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4990-2025</t>
        </is>
      </c>
      <c r="B324" s="1" t="n">
        <v>45691</v>
      </c>
      <c r="C324" s="1" t="n">
        <v>45996</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21792-2024</t>
        </is>
      </c>
      <c r="B325" s="1" t="n">
        <v>45442.64326388889</v>
      </c>
      <c r="C325" s="1" t="n">
        <v>45996</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38165-2023</t>
        </is>
      </c>
      <c r="B326" s="1" t="n">
        <v>45161</v>
      </c>
      <c r="C326" s="1" t="n">
        <v>45996</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30061-2025</t>
        </is>
      </c>
      <c r="B327" s="1" t="n">
        <v>45826.61488425926</v>
      </c>
      <c r="C327" s="1" t="n">
        <v>45996</v>
      </c>
      <c r="D327" t="inlineStr">
        <is>
          <t>GOTLANDS LÄN</t>
        </is>
      </c>
      <c r="E327" t="inlineStr">
        <is>
          <t>GOTLAND</t>
        </is>
      </c>
      <c r="G327" t="n">
        <v>4.1</v>
      </c>
      <c r="H327" t="n">
        <v>0</v>
      </c>
      <c r="I327" t="n">
        <v>0</v>
      </c>
      <c r="J327" t="n">
        <v>0</v>
      </c>
      <c r="K327" t="n">
        <v>0</v>
      </c>
      <c r="L327" t="n">
        <v>0</v>
      </c>
      <c r="M327" t="n">
        <v>0</v>
      </c>
      <c r="N327" t="n">
        <v>0</v>
      </c>
      <c r="O327" t="n">
        <v>0</v>
      </c>
      <c r="P327" t="n">
        <v>0</v>
      </c>
      <c r="Q327" t="n">
        <v>0</v>
      </c>
      <c r="R327" s="2" t="inlineStr"/>
    </row>
    <row r="328" ht="15" customHeight="1">
      <c r="A328" t="inlineStr">
        <is>
          <t>A 48843-2024</t>
        </is>
      </c>
      <c r="B328" s="1" t="n">
        <v>45593</v>
      </c>
      <c r="C328" s="1" t="n">
        <v>45996</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58160-2024</t>
        </is>
      </c>
      <c r="B329" s="1" t="n">
        <v>45632.44927083333</v>
      </c>
      <c r="C329" s="1" t="n">
        <v>45996</v>
      </c>
      <c r="D329" t="inlineStr">
        <is>
          <t>GOTLANDS LÄN</t>
        </is>
      </c>
      <c r="E329" t="inlineStr">
        <is>
          <t>GOTLAND</t>
        </is>
      </c>
      <c r="G329" t="n">
        <v>5.6</v>
      </c>
      <c r="H329" t="n">
        <v>0</v>
      </c>
      <c r="I329" t="n">
        <v>0</v>
      </c>
      <c r="J329" t="n">
        <v>0</v>
      </c>
      <c r="K329" t="n">
        <v>0</v>
      </c>
      <c r="L329" t="n">
        <v>0</v>
      </c>
      <c r="M329" t="n">
        <v>0</v>
      </c>
      <c r="N329" t="n">
        <v>0</v>
      </c>
      <c r="O329" t="n">
        <v>0</v>
      </c>
      <c r="P329" t="n">
        <v>0</v>
      </c>
      <c r="Q329" t="n">
        <v>0</v>
      </c>
      <c r="R329" s="2" t="inlineStr"/>
    </row>
    <row r="330" ht="15" customHeight="1">
      <c r="A330" t="inlineStr">
        <is>
          <t>A 10653-2023</t>
        </is>
      </c>
      <c r="B330" s="1" t="n">
        <v>44988.48859953704</v>
      </c>
      <c r="C330" s="1" t="n">
        <v>45996</v>
      </c>
      <c r="D330" t="inlineStr">
        <is>
          <t>GOTLANDS LÄN</t>
        </is>
      </c>
      <c r="E330" t="inlineStr">
        <is>
          <t>GOTLAND</t>
        </is>
      </c>
      <c r="F330" t="inlineStr">
        <is>
          <t>Kyrkan</t>
        </is>
      </c>
      <c r="G330" t="n">
        <v>3</v>
      </c>
      <c r="H330" t="n">
        <v>0</v>
      </c>
      <c r="I330" t="n">
        <v>0</v>
      </c>
      <c r="J330" t="n">
        <v>0</v>
      </c>
      <c r="K330" t="n">
        <v>0</v>
      </c>
      <c r="L330" t="n">
        <v>0</v>
      </c>
      <c r="M330" t="n">
        <v>0</v>
      </c>
      <c r="N330" t="n">
        <v>0</v>
      </c>
      <c r="O330" t="n">
        <v>0</v>
      </c>
      <c r="P330" t="n">
        <v>0</v>
      </c>
      <c r="Q330" t="n">
        <v>0</v>
      </c>
      <c r="R330" s="2" t="inlineStr"/>
    </row>
    <row r="331" ht="15" customHeight="1">
      <c r="A331" t="inlineStr">
        <is>
          <t>A 49693-2023</t>
        </is>
      </c>
      <c r="B331" s="1" t="n">
        <v>45212.38138888889</v>
      </c>
      <c r="C331" s="1" t="n">
        <v>45996</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49697-2023</t>
        </is>
      </c>
      <c r="B332" s="1" t="n">
        <v>45212.38909722222</v>
      </c>
      <c r="C332" s="1" t="n">
        <v>45996</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39849-2025</t>
        </is>
      </c>
      <c r="B333" s="1" t="n">
        <v>45891.58502314815</v>
      </c>
      <c r="C333" s="1" t="n">
        <v>45996</v>
      </c>
      <c r="D333" t="inlineStr">
        <is>
          <t>GOTLANDS LÄN</t>
        </is>
      </c>
      <c r="E333" t="inlineStr">
        <is>
          <t>GOTLAND</t>
        </is>
      </c>
      <c r="G333" t="n">
        <v>6.1</v>
      </c>
      <c r="H333" t="n">
        <v>0</v>
      </c>
      <c r="I333" t="n">
        <v>0</v>
      </c>
      <c r="J333" t="n">
        <v>0</v>
      </c>
      <c r="K333" t="n">
        <v>0</v>
      </c>
      <c r="L333" t="n">
        <v>0</v>
      </c>
      <c r="M333" t="n">
        <v>0</v>
      </c>
      <c r="N333" t="n">
        <v>0</v>
      </c>
      <c r="O333" t="n">
        <v>0</v>
      </c>
      <c r="P333" t="n">
        <v>0</v>
      </c>
      <c r="Q333" t="n">
        <v>0</v>
      </c>
      <c r="R333" s="2" t="inlineStr"/>
    </row>
    <row r="334" ht="15" customHeight="1">
      <c r="A334" t="inlineStr">
        <is>
          <t>A 34312-2024</t>
        </is>
      </c>
      <c r="B334" s="1" t="n">
        <v>45524.69703703704</v>
      </c>
      <c r="C334" s="1" t="n">
        <v>45996</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35512-2023</t>
        </is>
      </c>
      <c r="B335" s="1" t="n">
        <v>45147.25623842593</v>
      </c>
      <c r="C335" s="1" t="n">
        <v>45996</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11874-2024</t>
        </is>
      </c>
      <c r="B336" s="1" t="n">
        <v>45376.46956018519</v>
      </c>
      <c r="C336" s="1" t="n">
        <v>45996</v>
      </c>
      <c r="D336" t="inlineStr">
        <is>
          <t>GOTLANDS LÄN</t>
        </is>
      </c>
      <c r="E336" t="inlineStr">
        <is>
          <t>GOTLAND</t>
        </is>
      </c>
      <c r="G336" t="n">
        <v>0.8</v>
      </c>
      <c r="H336" t="n">
        <v>0</v>
      </c>
      <c r="I336" t="n">
        <v>0</v>
      </c>
      <c r="J336" t="n">
        <v>0</v>
      </c>
      <c r="K336" t="n">
        <v>0</v>
      </c>
      <c r="L336" t="n">
        <v>0</v>
      </c>
      <c r="M336" t="n">
        <v>0</v>
      </c>
      <c r="N336" t="n">
        <v>0</v>
      </c>
      <c r="O336" t="n">
        <v>0</v>
      </c>
      <c r="P336" t="n">
        <v>0</v>
      </c>
      <c r="Q336" t="n">
        <v>0</v>
      </c>
      <c r="R336" s="2" t="inlineStr"/>
    </row>
    <row r="337" ht="15" customHeight="1">
      <c r="A337" t="inlineStr">
        <is>
          <t>A 48503-2023</t>
        </is>
      </c>
      <c r="B337" s="1" t="n">
        <v>45207</v>
      </c>
      <c r="C337" s="1" t="n">
        <v>45996</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20225-2025</t>
        </is>
      </c>
      <c r="B338" s="1" t="n">
        <v>45772.65802083333</v>
      </c>
      <c r="C338" s="1" t="n">
        <v>45996</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24825-2024</t>
        </is>
      </c>
      <c r="B339" s="1" t="n">
        <v>45461</v>
      </c>
      <c r="C339" s="1" t="n">
        <v>45996</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39814-2025</t>
        </is>
      </c>
      <c r="B340" s="1" t="n">
        <v>45891.52694444444</v>
      </c>
      <c r="C340" s="1" t="n">
        <v>45996</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1677-2023</t>
        </is>
      </c>
      <c r="B341" s="1" t="n">
        <v>44938</v>
      </c>
      <c r="C341" s="1" t="n">
        <v>45996</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64831-2023</t>
        </is>
      </c>
      <c r="B342" s="1" t="n">
        <v>45282.44924768519</v>
      </c>
      <c r="C342" s="1" t="n">
        <v>45996</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39819-2025</t>
        </is>
      </c>
      <c r="B343" s="1" t="n">
        <v>45891.53418981482</v>
      </c>
      <c r="C343" s="1" t="n">
        <v>45996</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22031-2024</t>
        </is>
      </c>
      <c r="B344" s="1" t="n">
        <v>45443.60075231481</v>
      </c>
      <c r="C344" s="1" t="n">
        <v>45996</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17688-2024</t>
        </is>
      </c>
      <c r="B345" s="1" t="n">
        <v>45418.43575231481</v>
      </c>
      <c r="C345" s="1" t="n">
        <v>45996</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16109-2025</t>
        </is>
      </c>
      <c r="B346" s="1" t="n">
        <v>45750</v>
      </c>
      <c r="C346" s="1" t="n">
        <v>45996</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32467-2025</t>
        </is>
      </c>
      <c r="B347" s="1" t="n">
        <v>45838.42111111111</v>
      </c>
      <c r="C347" s="1" t="n">
        <v>45996</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8036-2022</t>
        </is>
      </c>
      <c r="B348" s="1" t="n">
        <v>44609.44362268518</v>
      </c>
      <c r="C348" s="1" t="n">
        <v>45996</v>
      </c>
      <c r="D348" t="inlineStr">
        <is>
          <t>GOTLANDS LÄN</t>
        </is>
      </c>
      <c r="E348" t="inlineStr">
        <is>
          <t>GOTLAND</t>
        </is>
      </c>
      <c r="G348" t="n">
        <v>6.1</v>
      </c>
      <c r="H348" t="n">
        <v>0</v>
      </c>
      <c r="I348" t="n">
        <v>0</v>
      </c>
      <c r="J348" t="n">
        <v>0</v>
      </c>
      <c r="K348" t="n">
        <v>0</v>
      </c>
      <c r="L348" t="n">
        <v>0</v>
      </c>
      <c r="M348" t="n">
        <v>0</v>
      </c>
      <c r="N348" t="n">
        <v>0</v>
      </c>
      <c r="O348" t="n">
        <v>0</v>
      </c>
      <c r="P348" t="n">
        <v>0</v>
      </c>
      <c r="Q348" t="n">
        <v>0</v>
      </c>
      <c r="R348" s="2" t="inlineStr"/>
    </row>
    <row r="349" ht="15" customHeight="1">
      <c r="A349" t="inlineStr">
        <is>
          <t>A 32379-2025</t>
        </is>
      </c>
      <c r="B349" s="1" t="n">
        <v>45837</v>
      </c>
      <c r="C349" s="1" t="n">
        <v>45996</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46375-2024</t>
        </is>
      </c>
      <c r="B350" s="1" t="n">
        <v>45582</v>
      </c>
      <c r="C350" s="1" t="n">
        <v>45996</v>
      </c>
      <c r="D350" t="inlineStr">
        <is>
          <t>GOTLANDS LÄN</t>
        </is>
      </c>
      <c r="E350" t="inlineStr">
        <is>
          <t>GOTLAND</t>
        </is>
      </c>
      <c r="G350" t="n">
        <v>3</v>
      </c>
      <c r="H350" t="n">
        <v>0</v>
      </c>
      <c r="I350" t="n">
        <v>0</v>
      </c>
      <c r="J350" t="n">
        <v>0</v>
      </c>
      <c r="K350" t="n">
        <v>0</v>
      </c>
      <c r="L350" t="n">
        <v>0</v>
      </c>
      <c r="M350" t="n">
        <v>0</v>
      </c>
      <c r="N350" t="n">
        <v>0</v>
      </c>
      <c r="O350" t="n">
        <v>0</v>
      </c>
      <c r="P350" t="n">
        <v>0</v>
      </c>
      <c r="Q350" t="n">
        <v>0</v>
      </c>
      <c r="R350" s="2" t="inlineStr"/>
    </row>
    <row r="351" ht="15" customHeight="1">
      <c r="A351" t="inlineStr">
        <is>
          <t>A 27694-2024</t>
        </is>
      </c>
      <c r="B351" s="1" t="n">
        <v>45475</v>
      </c>
      <c r="C351" s="1" t="n">
        <v>45996</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62915-2021</t>
        </is>
      </c>
      <c r="B352" s="1" t="n">
        <v>44504</v>
      </c>
      <c r="C352" s="1" t="n">
        <v>45996</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39752-2025</t>
        </is>
      </c>
      <c r="B353" s="1" t="n">
        <v>45891</v>
      </c>
      <c r="C353" s="1" t="n">
        <v>45996</v>
      </c>
      <c r="D353" t="inlineStr">
        <is>
          <t>GOTLANDS LÄN</t>
        </is>
      </c>
      <c r="E353" t="inlineStr">
        <is>
          <t>GOTLAND</t>
        </is>
      </c>
      <c r="G353" t="n">
        <v>5.3</v>
      </c>
      <c r="H353" t="n">
        <v>0</v>
      </c>
      <c r="I353" t="n">
        <v>0</v>
      </c>
      <c r="J353" t="n">
        <v>0</v>
      </c>
      <c r="K353" t="n">
        <v>0</v>
      </c>
      <c r="L353" t="n">
        <v>0</v>
      </c>
      <c r="M353" t="n">
        <v>0</v>
      </c>
      <c r="N353" t="n">
        <v>0</v>
      </c>
      <c r="O353" t="n">
        <v>0</v>
      </c>
      <c r="P353" t="n">
        <v>0</v>
      </c>
      <c r="Q353" t="n">
        <v>0</v>
      </c>
      <c r="R353" s="2" t="inlineStr"/>
    </row>
    <row r="354" ht="15" customHeight="1">
      <c r="A354" t="inlineStr">
        <is>
          <t>A 39816-2025</t>
        </is>
      </c>
      <c r="B354" s="1" t="n">
        <v>45891</v>
      </c>
      <c r="C354" s="1" t="n">
        <v>45996</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40372-2025</t>
        </is>
      </c>
      <c r="B355" s="1" t="n">
        <v>45895.5162037037</v>
      </c>
      <c r="C355" s="1" t="n">
        <v>45996</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39764-2022</t>
        </is>
      </c>
      <c r="B356" s="1" t="n">
        <v>44819</v>
      </c>
      <c r="C356" s="1" t="n">
        <v>45996</v>
      </c>
      <c r="D356" t="inlineStr">
        <is>
          <t>GOTLANDS LÄN</t>
        </is>
      </c>
      <c r="E356" t="inlineStr">
        <is>
          <t>GOTLAND</t>
        </is>
      </c>
      <c r="F356" t="inlineStr">
        <is>
          <t>Kyrkan</t>
        </is>
      </c>
      <c r="G356" t="n">
        <v>3.7</v>
      </c>
      <c r="H356" t="n">
        <v>0</v>
      </c>
      <c r="I356" t="n">
        <v>0</v>
      </c>
      <c r="J356" t="n">
        <v>0</v>
      </c>
      <c r="K356" t="n">
        <v>0</v>
      </c>
      <c r="L356" t="n">
        <v>0</v>
      </c>
      <c r="M356" t="n">
        <v>0</v>
      </c>
      <c r="N356" t="n">
        <v>0</v>
      </c>
      <c r="O356" t="n">
        <v>0</v>
      </c>
      <c r="P356" t="n">
        <v>0</v>
      </c>
      <c r="Q356" t="n">
        <v>0</v>
      </c>
      <c r="R356" s="2" t="inlineStr"/>
    </row>
    <row r="357" ht="15" customHeight="1">
      <c r="A357" t="inlineStr">
        <is>
          <t>A 7638-2025</t>
        </is>
      </c>
      <c r="B357" s="1" t="n">
        <v>45705.77306712963</v>
      </c>
      <c r="C357" s="1" t="n">
        <v>45996</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45996</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6099-2024</t>
        </is>
      </c>
      <c r="B359" s="1" t="n">
        <v>45337</v>
      </c>
      <c r="C359" s="1" t="n">
        <v>45996</v>
      </c>
      <c r="D359" t="inlineStr">
        <is>
          <t>GOTLANDS LÄN</t>
        </is>
      </c>
      <c r="E359" t="inlineStr">
        <is>
          <t>GOTLAND</t>
        </is>
      </c>
      <c r="G359" t="n">
        <v>12.6</v>
      </c>
      <c r="H359" t="n">
        <v>0</v>
      </c>
      <c r="I359" t="n">
        <v>0</v>
      </c>
      <c r="J359" t="n">
        <v>0</v>
      </c>
      <c r="K359" t="n">
        <v>0</v>
      </c>
      <c r="L359" t="n">
        <v>0</v>
      </c>
      <c r="M359" t="n">
        <v>0</v>
      </c>
      <c r="N359" t="n">
        <v>0</v>
      </c>
      <c r="O359" t="n">
        <v>0</v>
      </c>
      <c r="P359" t="n">
        <v>0</v>
      </c>
      <c r="Q359" t="n">
        <v>0</v>
      </c>
      <c r="R359" s="2" t="inlineStr"/>
    </row>
    <row r="360" ht="15" customHeight="1">
      <c r="A360" t="inlineStr">
        <is>
          <t>A 8260-2023</t>
        </is>
      </c>
      <c r="B360" s="1" t="n">
        <v>44974.61608796296</v>
      </c>
      <c r="C360" s="1" t="n">
        <v>45996</v>
      </c>
      <c r="D360" t="inlineStr">
        <is>
          <t>GOTLANDS LÄN</t>
        </is>
      </c>
      <c r="E360" t="inlineStr">
        <is>
          <t>GOTLAND</t>
        </is>
      </c>
      <c r="G360" t="n">
        <v>2.9</v>
      </c>
      <c r="H360" t="n">
        <v>0</v>
      </c>
      <c r="I360" t="n">
        <v>0</v>
      </c>
      <c r="J360" t="n">
        <v>0</v>
      </c>
      <c r="K360" t="n">
        <v>0</v>
      </c>
      <c r="L360" t="n">
        <v>0</v>
      </c>
      <c r="M360" t="n">
        <v>0</v>
      </c>
      <c r="N360" t="n">
        <v>0</v>
      </c>
      <c r="O360" t="n">
        <v>0</v>
      </c>
      <c r="P360" t="n">
        <v>0</v>
      </c>
      <c r="Q360" t="n">
        <v>0</v>
      </c>
      <c r="R360" s="2" t="inlineStr"/>
    </row>
    <row r="361" ht="15" customHeight="1">
      <c r="A361" t="inlineStr">
        <is>
          <t>A 40373-2025</t>
        </is>
      </c>
      <c r="B361" s="1" t="n">
        <v>45895.51821759259</v>
      </c>
      <c r="C361" s="1" t="n">
        <v>45996</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4377-2023</t>
        </is>
      </c>
      <c r="B362" s="1" t="n">
        <v>44955.5502662037</v>
      </c>
      <c r="C362" s="1" t="n">
        <v>45996</v>
      </c>
      <c r="D362" t="inlineStr">
        <is>
          <t>GOTLANDS LÄN</t>
        </is>
      </c>
      <c r="E362" t="inlineStr">
        <is>
          <t>GOTLAND</t>
        </is>
      </c>
      <c r="F362" t="inlineStr">
        <is>
          <t>Kyrkan</t>
        </is>
      </c>
      <c r="G362" t="n">
        <v>0.6</v>
      </c>
      <c r="H362" t="n">
        <v>0</v>
      </c>
      <c r="I362" t="n">
        <v>0</v>
      </c>
      <c r="J362" t="n">
        <v>0</v>
      </c>
      <c r="K362" t="n">
        <v>0</v>
      </c>
      <c r="L362" t="n">
        <v>0</v>
      </c>
      <c r="M362" t="n">
        <v>0</v>
      </c>
      <c r="N362" t="n">
        <v>0</v>
      </c>
      <c r="O362" t="n">
        <v>0</v>
      </c>
      <c r="P362" t="n">
        <v>0</v>
      </c>
      <c r="Q362" t="n">
        <v>0</v>
      </c>
      <c r="R362" s="2" t="inlineStr"/>
    </row>
    <row r="363" ht="15" customHeight="1">
      <c r="A363" t="inlineStr">
        <is>
          <t>A 22287-2022</t>
        </is>
      </c>
      <c r="B363" s="1" t="n">
        <v>44712</v>
      </c>
      <c r="C363" s="1" t="n">
        <v>45996</v>
      </c>
      <c r="D363" t="inlineStr">
        <is>
          <t>GOTLANDS LÄN</t>
        </is>
      </c>
      <c r="E363" t="inlineStr">
        <is>
          <t>GOTLAND</t>
        </is>
      </c>
      <c r="G363" t="n">
        <v>6.1</v>
      </c>
      <c r="H363" t="n">
        <v>0</v>
      </c>
      <c r="I363" t="n">
        <v>0</v>
      </c>
      <c r="J363" t="n">
        <v>0</v>
      </c>
      <c r="K363" t="n">
        <v>0</v>
      </c>
      <c r="L363" t="n">
        <v>0</v>
      </c>
      <c r="M363" t="n">
        <v>0</v>
      </c>
      <c r="N363" t="n">
        <v>0</v>
      </c>
      <c r="O363" t="n">
        <v>0</v>
      </c>
      <c r="P363" t="n">
        <v>0</v>
      </c>
      <c r="Q363" t="n">
        <v>0</v>
      </c>
      <c r="R363" s="2" t="inlineStr"/>
    </row>
    <row r="364" ht="15" customHeight="1">
      <c r="A364" t="inlineStr">
        <is>
          <t>A 57534-2022</t>
        </is>
      </c>
      <c r="B364" s="1" t="n">
        <v>44896</v>
      </c>
      <c r="C364" s="1" t="n">
        <v>45996</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45996</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17532-2024</t>
        </is>
      </c>
      <c r="B366" s="1" t="n">
        <v>45415</v>
      </c>
      <c r="C366" s="1" t="n">
        <v>45996</v>
      </c>
      <c r="D366" t="inlineStr">
        <is>
          <t>GOTLANDS LÄN</t>
        </is>
      </c>
      <c r="E366" t="inlineStr">
        <is>
          <t>GOTLAND</t>
        </is>
      </c>
      <c r="G366" t="n">
        <v>4.3</v>
      </c>
      <c r="H366" t="n">
        <v>0</v>
      </c>
      <c r="I366" t="n">
        <v>0</v>
      </c>
      <c r="J366" t="n">
        <v>0</v>
      </c>
      <c r="K366" t="n">
        <v>0</v>
      </c>
      <c r="L366" t="n">
        <v>0</v>
      </c>
      <c r="M366" t="n">
        <v>0</v>
      </c>
      <c r="N366" t="n">
        <v>0</v>
      </c>
      <c r="O366" t="n">
        <v>0</v>
      </c>
      <c r="P366" t="n">
        <v>0</v>
      </c>
      <c r="Q366" t="n">
        <v>0</v>
      </c>
      <c r="R366" s="2" t="inlineStr"/>
    </row>
    <row r="367" ht="15" customHeight="1">
      <c r="A367" t="inlineStr">
        <is>
          <t>A 45692-2023</t>
        </is>
      </c>
      <c r="B367" s="1" t="n">
        <v>45195</v>
      </c>
      <c r="C367" s="1" t="n">
        <v>45996</v>
      </c>
      <c r="D367" t="inlineStr">
        <is>
          <t>GOTLANDS LÄN</t>
        </is>
      </c>
      <c r="E367" t="inlineStr">
        <is>
          <t>GOTLAND</t>
        </is>
      </c>
      <c r="G367" t="n">
        <v>5.3</v>
      </c>
      <c r="H367" t="n">
        <v>0</v>
      </c>
      <c r="I367" t="n">
        <v>0</v>
      </c>
      <c r="J367" t="n">
        <v>0</v>
      </c>
      <c r="K367" t="n">
        <v>0</v>
      </c>
      <c r="L367" t="n">
        <v>0</v>
      </c>
      <c r="M367" t="n">
        <v>0</v>
      </c>
      <c r="N367" t="n">
        <v>0</v>
      </c>
      <c r="O367" t="n">
        <v>0</v>
      </c>
      <c r="P367" t="n">
        <v>0</v>
      </c>
      <c r="Q367" t="n">
        <v>0</v>
      </c>
      <c r="R367" s="2" t="inlineStr"/>
    </row>
    <row r="368" ht="15" customHeight="1">
      <c r="A368" t="inlineStr">
        <is>
          <t>A 37222-2021</t>
        </is>
      </c>
      <c r="B368" s="1" t="n">
        <v>44396</v>
      </c>
      <c r="C368" s="1" t="n">
        <v>45996</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15413-2025</t>
        </is>
      </c>
      <c r="B369" s="1" t="n">
        <v>45747.451875</v>
      </c>
      <c r="C369" s="1" t="n">
        <v>45996</v>
      </c>
      <c r="D369" t="inlineStr">
        <is>
          <t>GOTLANDS LÄN</t>
        </is>
      </c>
      <c r="E369" t="inlineStr">
        <is>
          <t>GOTLAND</t>
        </is>
      </c>
      <c r="G369" t="n">
        <v>0.6</v>
      </c>
      <c r="H369" t="n">
        <v>0</v>
      </c>
      <c r="I369" t="n">
        <v>0</v>
      </c>
      <c r="J369" t="n">
        <v>0</v>
      </c>
      <c r="K369" t="n">
        <v>0</v>
      </c>
      <c r="L369" t="n">
        <v>0</v>
      </c>
      <c r="M369" t="n">
        <v>0</v>
      </c>
      <c r="N369" t="n">
        <v>0</v>
      </c>
      <c r="O369" t="n">
        <v>0</v>
      </c>
      <c r="P369" t="n">
        <v>0</v>
      </c>
      <c r="Q369" t="n">
        <v>0</v>
      </c>
      <c r="R369" s="2" t="inlineStr"/>
    </row>
    <row r="370" ht="15" customHeight="1">
      <c r="A370" t="inlineStr">
        <is>
          <t>A 35096-2025</t>
        </is>
      </c>
      <c r="B370" s="1" t="n">
        <v>45852.54356481481</v>
      </c>
      <c r="C370" s="1" t="n">
        <v>45996</v>
      </c>
      <c r="D370" t="inlineStr">
        <is>
          <t>GOTLANDS LÄN</t>
        </is>
      </c>
      <c r="E370" t="inlineStr">
        <is>
          <t>GOTLAND</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35123-2025</t>
        </is>
      </c>
      <c r="B371" s="1" t="n">
        <v>45852.614375</v>
      </c>
      <c r="C371" s="1" t="n">
        <v>45996</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46396-2023</t>
        </is>
      </c>
      <c r="B372" s="1" t="n">
        <v>45197</v>
      </c>
      <c r="C372" s="1" t="n">
        <v>45996</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58388-2022</t>
        </is>
      </c>
      <c r="B373" s="1" t="n">
        <v>44894</v>
      </c>
      <c r="C373" s="1" t="n">
        <v>45996</v>
      </c>
      <c r="D373" t="inlineStr">
        <is>
          <t>GOTLANDS LÄN</t>
        </is>
      </c>
      <c r="E373" t="inlineStr">
        <is>
          <t>GOTLAND</t>
        </is>
      </c>
      <c r="F373" t="inlineStr">
        <is>
          <t>Övriga statliga verk och myndigheter</t>
        </is>
      </c>
      <c r="G373" t="n">
        <v>3.1</v>
      </c>
      <c r="H373" t="n">
        <v>0</v>
      </c>
      <c r="I373" t="n">
        <v>0</v>
      </c>
      <c r="J373" t="n">
        <v>0</v>
      </c>
      <c r="K373" t="n">
        <v>0</v>
      </c>
      <c r="L373" t="n">
        <v>0</v>
      </c>
      <c r="M373" t="n">
        <v>0</v>
      </c>
      <c r="N373" t="n">
        <v>0</v>
      </c>
      <c r="O373" t="n">
        <v>0</v>
      </c>
      <c r="P373" t="n">
        <v>0</v>
      </c>
      <c r="Q373" t="n">
        <v>0</v>
      </c>
      <c r="R373" s="2" t="inlineStr"/>
    </row>
    <row r="374" ht="15" customHeight="1">
      <c r="A374" t="inlineStr">
        <is>
          <t>A 40103-2025</t>
        </is>
      </c>
      <c r="B374" s="1" t="n">
        <v>45894.4880324074</v>
      </c>
      <c r="C374" s="1" t="n">
        <v>45996</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64660-2023</t>
        </is>
      </c>
      <c r="B375" s="1" t="n">
        <v>45281.60122685185</v>
      </c>
      <c r="C375" s="1" t="n">
        <v>45996</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35290-2025</t>
        </is>
      </c>
      <c r="B376" s="1" t="n">
        <v>45854.38502314815</v>
      </c>
      <c r="C376" s="1" t="n">
        <v>45996</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30104-2025</t>
        </is>
      </c>
      <c r="B377" s="1" t="n">
        <v>45826.68806712963</v>
      </c>
      <c r="C377" s="1" t="n">
        <v>45996</v>
      </c>
      <c r="D377" t="inlineStr">
        <is>
          <t>GOTLANDS LÄN</t>
        </is>
      </c>
      <c r="E377" t="inlineStr">
        <is>
          <t>GOTLAND</t>
        </is>
      </c>
      <c r="G377" t="n">
        <v>15.4</v>
      </c>
      <c r="H377" t="n">
        <v>0</v>
      </c>
      <c r="I377" t="n">
        <v>0</v>
      </c>
      <c r="J377" t="n">
        <v>0</v>
      </c>
      <c r="K377" t="n">
        <v>0</v>
      </c>
      <c r="L377" t="n">
        <v>0</v>
      </c>
      <c r="M377" t="n">
        <v>0</v>
      </c>
      <c r="N377" t="n">
        <v>0</v>
      </c>
      <c r="O377" t="n">
        <v>0</v>
      </c>
      <c r="P377" t="n">
        <v>0</v>
      </c>
      <c r="Q377" t="n">
        <v>0</v>
      </c>
      <c r="R377" s="2" t="inlineStr"/>
    </row>
    <row r="378" ht="15" customHeight="1">
      <c r="A378" t="inlineStr">
        <is>
          <t>A 38649-2025</t>
        </is>
      </c>
      <c r="B378" s="1" t="n">
        <v>45884</v>
      </c>
      <c r="C378" s="1" t="n">
        <v>45996</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32669-2024</t>
        </is>
      </c>
      <c r="B379" s="1" t="n">
        <v>45514</v>
      </c>
      <c r="C379" s="1" t="n">
        <v>45996</v>
      </c>
      <c r="D379" t="inlineStr">
        <is>
          <t>GOTLANDS LÄN</t>
        </is>
      </c>
      <c r="E379" t="inlineStr">
        <is>
          <t>GOTLAND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35537-2025</t>
        </is>
      </c>
      <c r="B380" s="1" t="n">
        <v>45856</v>
      </c>
      <c r="C380" s="1" t="n">
        <v>45996</v>
      </c>
      <c r="D380" t="inlineStr">
        <is>
          <t>GOTLANDS LÄN</t>
        </is>
      </c>
      <c r="E380" t="inlineStr">
        <is>
          <t>GOTLAND</t>
        </is>
      </c>
      <c r="G380" t="n">
        <v>16.8</v>
      </c>
      <c r="H380" t="n">
        <v>0</v>
      </c>
      <c r="I380" t="n">
        <v>0</v>
      </c>
      <c r="J380" t="n">
        <v>0</v>
      </c>
      <c r="K380" t="n">
        <v>0</v>
      </c>
      <c r="L380" t="n">
        <v>0</v>
      </c>
      <c r="M380" t="n">
        <v>0</v>
      </c>
      <c r="N380" t="n">
        <v>0</v>
      </c>
      <c r="O380" t="n">
        <v>0</v>
      </c>
      <c r="P380" t="n">
        <v>0</v>
      </c>
      <c r="Q380" t="n">
        <v>0</v>
      </c>
      <c r="R380" s="2" t="inlineStr"/>
    </row>
    <row r="381" ht="15" customHeight="1">
      <c r="A381" t="inlineStr">
        <is>
          <t>A 20855-2023</t>
        </is>
      </c>
      <c r="B381" s="1" t="n">
        <v>45058.82172453704</v>
      </c>
      <c r="C381" s="1" t="n">
        <v>45996</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40499-2025</t>
        </is>
      </c>
      <c r="B382" s="1" t="n">
        <v>45896.32517361111</v>
      </c>
      <c r="C382" s="1" t="n">
        <v>45996</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53934-2024</t>
        </is>
      </c>
      <c r="B383" s="1" t="n">
        <v>45615</v>
      </c>
      <c r="C383" s="1" t="n">
        <v>45996</v>
      </c>
      <c r="D383" t="inlineStr">
        <is>
          <t>GOTLANDS LÄN</t>
        </is>
      </c>
      <c r="E383" t="inlineStr">
        <is>
          <t>GOTLAND</t>
        </is>
      </c>
      <c r="G383" t="n">
        <v>5</v>
      </c>
      <c r="H383" t="n">
        <v>0</v>
      </c>
      <c r="I383" t="n">
        <v>0</v>
      </c>
      <c r="J383" t="n">
        <v>0</v>
      </c>
      <c r="K383" t="n">
        <v>0</v>
      </c>
      <c r="L383" t="n">
        <v>0</v>
      </c>
      <c r="M383" t="n">
        <v>0</v>
      </c>
      <c r="N383" t="n">
        <v>0</v>
      </c>
      <c r="O383" t="n">
        <v>0</v>
      </c>
      <c r="P383" t="n">
        <v>0</v>
      </c>
      <c r="Q383" t="n">
        <v>0</v>
      </c>
      <c r="R383" s="2" t="inlineStr"/>
    </row>
    <row r="384" ht="15" customHeight="1">
      <c r="A384" t="inlineStr">
        <is>
          <t>A 30488-2025</t>
        </is>
      </c>
      <c r="B384" s="1" t="n">
        <v>45830</v>
      </c>
      <c r="C384" s="1" t="n">
        <v>45996</v>
      </c>
      <c r="D384" t="inlineStr">
        <is>
          <t>GOTLANDS LÄN</t>
        </is>
      </c>
      <c r="E384" t="inlineStr">
        <is>
          <t>GOTLAND</t>
        </is>
      </c>
      <c r="F384" t="inlineStr">
        <is>
          <t>Kyrkan</t>
        </is>
      </c>
      <c r="G384" t="n">
        <v>3.9</v>
      </c>
      <c r="H384" t="n">
        <v>0</v>
      </c>
      <c r="I384" t="n">
        <v>0</v>
      </c>
      <c r="J384" t="n">
        <v>0</v>
      </c>
      <c r="K384" t="n">
        <v>0</v>
      </c>
      <c r="L384" t="n">
        <v>0</v>
      </c>
      <c r="M384" t="n">
        <v>0</v>
      </c>
      <c r="N384" t="n">
        <v>0</v>
      </c>
      <c r="O384" t="n">
        <v>0</v>
      </c>
      <c r="P384" t="n">
        <v>0</v>
      </c>
      <c r="Q384" t="n">
        <v>0</v>
      </c>
      <c r="R384" s="2" t="inlineStr"/>
    </row>
    <row r="385" ht="15" customHeight="1">
      <c r="A385" t="inlineStr">
        <is>
          <t>A 15216-2025</t>
        </is>
      </c>
      <c r="B385" s="1" t="n">
        <v>45744</v>
      </c>
      <c r="C385" s="1" t="n">
        <v>45996</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15001-2025</t>
        </is>
      </c>
      <c r="B386" s="1" t="n">
        <v>45743</v>
      </c>
      <c r="C386" s="1" t="n">
        <v>45996</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43790-2024</t>
        </is>
      </c>
      <c r="B387" s="1" t="n">
        <v>45571</v>
      </c>
      <c r="C387" s="1" t="n">
        <v>45996</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45996</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58132-2023</t>
        </is>
      </c>
      <c r="B389" s="1" t="n">
        <v>45250</v>
      </c>
      <c r="C389" s="1" t="n">
        <v>45996</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60709-2023</t>
        </is>
      </c>
      <c r="B390" s="1" t="n">
        <v>45260</v>
      </c>
      <c r="C390" s="1" t="n">
        <v>45996</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22899-2023</t>
        </is>
      </c>
      <c r="B391" s="1" t="n">
        <v>45072</v>
      </c>
      <c r="C391" s="1" t="n">
        <v>45996</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36319-2025</t>
        </is>
      </c>
      <c r="B392" s="1" t="n">
        <v>45868</v>
      </c>
      <c r="C392" s="1" t="n">
        <v>45996</v>
      </c>
      <c r="D392" t="inlineStr">
        <is>
          <t>GOTLANDS LÄN</t>
        </is>
      </c>
      <c r="E392" t="inlineStr">
        <is>
          <t>GOTLAND</t>
        </is>
      </c>
      <c r="G392" t="n">
        <v>2.9</v>
      </c>
      <c r="H392" t="n">
        <v>0</v>
      </c>
      <c r="I392" t="n">
        <v>0</v>
      </c>
      <c r="J392" t="n">
        <v>0</v>
      </c>
      <c r="K392" t="n">
        <v>0</v>
      </c>
      <c r="L392" t="n">
        <v>0</v>
      </c>
      <c r="M392" t="n">
        <v>0</v>
      </c>
      <c r="N392" t="n">
        <v>0</v>
      </c>
      <c r="O392" t="n">
        <v>0</v>
      </c>
      <c r="P392" t="n">
        <v>0</v>
      </c>
      <c r="Q392" t="n">
        <v>0</v>
      </c>
      <c r="R392" s="2" t="inlineStr"/>
    </row>
    <row r="393" ht="15" customHeight="1">
      <c r="A393" t="inlineStr">
        <is>
          <t>A 18742-2025</t>
        </is>
      </c>
      <c r="B393" s="1" t="n">
        <v>45763</v>
      </c>
      <c r="C393" s="1" t="n">
        <v>45996</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1000-2024</t>
        </is>
      </c>
      <c r="B394" s="1" t="n">
        <v>45301.63371527778</v>
      </c>
      <c r="C394" s="1" t="n">
        <v>45996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1010-2024</t>
        </is>
      </c>
      <c r="B395" s="1" t="n">
        <v>45301</v>
      </c>
      <c r="C395" s="1" t="n">
        <v>45996</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65249-2023</t>
        </is>
      </c>
      <c r="B396" s="1" t="n">
        <v>45290</v>
      </c>
      <c r="C396" s="1" t="n">
        <v>45996</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35129-2025</t>
        </is>
      </c>
      <c r="B397" s="1" t="n">
        <v>45852.63224537037</v>
      </c>
      <c r="C397" s="1" t="n">
        <v>45996</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28285-2024</t>
        </is>
      </c>
      <c r="B398" s="1" t="n">
        <v>45477</v>
      </c>
      <c r="C398" s="1" t="n">
        <v>45996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51963-2024</t>
        </is>
      </c>
      <c r="B399" s="1" t="n">
        <v>45607.64833333333</v>
      </c>
      <c r="C399" s="1" t="n">
        <v>45996</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41551-2025</t>
        </is>
      </c>
      <c r="B400" s="1" t="n">
        <v>45901.58854166666</v>
      </c>
      <c r="C400" s="1" t="n">
        <v>45996</v>
      </c>
      <c r="D400" t="inlineStr">
        <is>
          <t>GOTLANDS LÄN</t>
        </is>
      </c>
      <c r="E400" t="inlineStr">
        <is>
          <t>GOTLAND</t>
        </is>
      </c>
      <c r="G400" t="n">
        <v>5.6</v>
      </c>
      <c r="H400" t="n">
        <v>0</v>
      </c>
      <c r="I400" t="n">
        <v>0</v>
      </c>
      <c r="J400" t="n">
        <v>0</v>
      </c>
      <c r="K400" t="n">
        <v>0</v>
      </c>
      <c r="L400" t="n">
        <v>0</v>
      </c>
      <c r="M400" t="n">
        <v>0</v>
      </c>
      <c r="N400" t="n">
        <v>0</v>
      </c>
      <c r="O400" t="n">
        <v>0</v>
      </c>
      <c r="P400" t="n">
        <v>0</v>
      </c>
      <c r="Q400" t="n">
        <v>0</v>
      </c>
      <c r="R400" s="2" t="inlineStr"/>
    </row>
    <row r="401" ht="15" customHeight="1">
      <c r="A401" t="inlineStr">
        <is>
          <t>A 30956-2024</t>
        </is>
      </c>
      <c r="B401" s="1" t="n">
        <v>45499.42527777778</v>
      </c>
      <c r="C401" s="1" t="n">
        <v>45996</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12596-2023</t>
        </is>
      </c>
      <c r="B402" s="1" t="n">
        <v>45000.43310185185</v>
      </c>
      <c r="C402" s="1" t="n">
        <v>45996</v>
      </c>
      <c r="D402" t="inlineStr">
        <is>
          <t>GOTLANDS LÄN</t>
        </is>
      </c>
      <c r="E402" t="inlineStr">
        <is>
          <t>GOTLAND</t>
        </is>
      </c>
      <c r="G402" t="n">
        <v>4.1</v>
      </c>
      <c r="H402" t="n">
        <v>0</v>
      </c>
      <c r="I402" t="n">
        <v>0</v>
      </c>
      <c r="J402" t="n">
        <v>0</v>
      </c>
      <c r="K402" t="n">
        <v>0</v>
      </c>
      <c r="L402" t="n">
        <v>0</v>
      </c>
      <c r="M402" t="n">
        <v>0</v>
      </c>
      <c r="N402" t="n">
        <v>0</v>
      </c>
      <c r="O402" t="n">
        <v>0</v>
      </c>
      <c r="P402" t="n">
        <v>0</v>
      </c>
      <c r="Q402" t="n">
        <v>0</v>
      </c>
      <c r="R402" s="2" t="inlineStr"/>
    </row>
    <row r="403" ht="15" customHeight="1">
      <c r="A403" t="inlineStr">
        <is>
          <t>A 8045-2022</t>
        </is>
      </c>
      <c r="B403" s="1" t="n">
        <v>44609</v>
      </c>
      <c r="C403" s="1" t="n">
        <v>45996</v>
      </c>
      <c r="D403" t="inlineStr">
        <is>
          <t>GOTLANDS LÄN</t>
        </is>
      </c>
      <c r="E403" t="inlineStr">
        <is>
          <t>GOTLAND</t>
        </is>
      </c>
      <c r="G403" t="n">
        <v>7</v>
      </c>
      <c r="H403" t="n">
        <v>0</v>
      </c>
      <c r="I403" t="n">
        <v>0</v>
      </c>
      <c r="J403" t="n">
        <v>0</v>
      </c>
      <c r="K403" t="n">
        <v>0</v>
      </c>
      <c r="L403" t="n">
        <v>0</v>
      </c>
      <c r="M403" t="n">
        <v>0</v>
      </c>
      <c r="N403" t="n">
        <v>0</v>
      </c>
      <c r="O403" t="n">
        <v>0</v>
      </c>
      <c r="P403" t="n">
        <v>0</v>
      </c>
      <c r="Q403" t="n">
        <v>0</v>
      </c>
      <c r="R403" s="2" t="inlineStr"/>
    </row>
    <row r="404" ht="15" customHeight="1">
      <c r="A404" t="inlineStr">
        <is>
          <t>A 1734-2025</t>
        </is>
      </c>
      <c r="B404" s="1" t="n">
        <v>45671.3840625</v>
      </c>
      <c r="C404" s="1" t="n">
        <v>45996</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30365-2024</t>
        </is>
      </c>
      <c r="B405" s="1" t="n">
        <v>45491.3716087963</v>
      </c>
      <c r="C405" s="1" t="n">
        <v>45996</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2674-2023</t>
        </is>
      </c>
      <c r="B406" s="1" t="n">
        <v>44944</v>
      </c>
      <c r="C406" s="1" t="n">
        <v>45996</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61100-2022</t>
        </is>
      </c>
      <c r="B407" s="1" t="n">
        <v>44915</v>
      </c>
      <c r="C407" s="1" t="n">
        <v>45996</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999-2024</t>
        </is>
      </c>
      <c r="B408" s="1" t="n">
        <v>45301</v>
      </c>
      <c r="C408" s="1" t="n">
        <v>45996</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65901-2021</t>
        </is>
      </c>
      <c r="B409" s="1" t="n">
        <v>44516</v>
      </c>
      <c r="C409" s="1" t="n">
        <v>45996</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47762-2023</t>
        </is>
      </c>
      <c r="B410" s="1" t="n">
        <v>45203.86256944444</v>
      </c>
      <c r="C410" s="1" t="n">
        <v>45996</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581-2023</t>
        </is>
      </c>
      <c r="B411" s="1" t="n">
        <v>44930</v>
      </c>
      <c r="C411" s="1" t="n">
        <v>45996</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39278-2025</t>
        </is>
      </c>
      <c r="B412" s="1" t="n">
        <v>45889</v>
      </c>
      <c r="C412" s="1" t="n">
        <v>45996</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40294-2022</t>
        </is>
      </c>
      <c r="B413" s="1" t="n">
        <v>44821</v>
      </c>
      <c r="C413" s="1" t="n">
        <v>45996</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27602-2023</t>
        </is>
      </c>
      <c r="B414" s="1" t="n">
        <v>45097</v>
      </c>
      <c r="C414" s="1" t="n">
        <v>45996</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58780-2024</t>
        </is>
      </c>
      <c r="B415" s="1" t="n">
        <v>45635.84113425926</v>
      </c>
      <c r="C415" s="1" t="n">
        <v>45996</v>
      </c>
      <c r="D415" t="inlineStr">
        <is>
          <t>GOTLANDS LÄN</t>
        </is>
      </c>
      <c r="E415" t="inlineStr">
        <is>
          <t>GOTLAND</t>
        </is>
      </c>
      <c r="G415" t="n">
        <v>2.6</v>
      </c>
      <c r="H415" t="n">
        <v>0</v>
      </c>
      <c r="I415" t="n">
        <v>0</v>
      </c>
      <c r="J415" t="n">
        <v>0</v>
      </c>
      <c r="K415" t="n">
        <v>0</v>
      </c>
      <c r="L415" t="n">
        <v>0</v>
      </c>
      <c r="M415" t="n">
        <v>0</v>
      </c>
      <c r="N415" t="n">
        <v>0</v>
      </c>
      <c r="O415" t="n">
        <v>0</v>
      </c>
      <c r="P415" t="n">
        <v>0</v>
      </c>
      <c r="Q415" t="n">
        <v>0</v>
      </c>
      <c r="R415" s="2" t="inlineStr"/>
    </row>
    <row r="416" ht="15" customHeight="1">
      <c r="A416" t="inlineStr">
        <is>
          <t>A 12322-2025</t>
        </is>
      </c>
      <c r="B416" s="1" t="n">
        <v>45730</v>
      </c>
      <c r="C416" s="1" t="n">
        <v>45996</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10655-2023</t>
        </is>
      </c>
      <c r="B417" s="1" t="n">
        <v>44988.49543981482</v>
      </c>
      <c r="C417" s="1" t="n">
        <v>45996</v>
      </c>
      <c r="D417" t="inlineStr">
        <is>
          <t>GOTLANDS LÄN</t>
        </is>
      </c>
      <c r="E417" t="inlineStr">
        <is>
          <t>GOTLAND</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30489-2025</t>
        </is>
      </c>
      <c r="B418" s="1" t="n">
        <v>45830</v>
      </c>
      <c r="C418" s="1" t="n">
        <v>45996</v>
      </c>
      <c r="D418" t="inlineStr">
        <is>
          <t>GOTLANDS LÄN</t>
        </is>
      </c>
      <c r="E418" t="inlineStr">
        <is>
          <t>GOTLAND</t>
        </is>
      </c>
      <c r="G418" t="n">
        <v>4.6</v>
      </c>
      <c r="H418" t="n">
        <v>0</v>
      </c>
      <c r="I418" t="n">
        <v>0</v>
      </c>
      <c r="J418" t="n">
        <v>0</v>
      </c>
      <c r="K418" t="n">
        <v>0</v>
      </c>
      <c r="L418" t="n">
        <v>0</v>
      </c>
      <c r="M418" t="n">
        <v>0</v>
      </c>
      <c r="N418" t="n">
        <v>0</v>
      </c>
      <c r="O418" t="n">
        <v>0</v>
      </c>
      <c r="P418" t="n">
        <v>0</v>
      </c>
      <c r="Q418" t="n">
        <v>0</v>
      </c>
      <c r="R418" s="2" t="inlineStr"/>
    </row>
    <row r="419" ht="15" customHeight="1">
      <c r="A419" t="inlineStr">
        <is>
          <t>A 21142-2025</t>
        </is>
      </c>
      <c r="B419" s="1" t="n">
        <v>45779</v>
      </c>
      <c r="C419" s="1" t="n">
        <v>45996</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6108-2025</t>
        </is>
      </c>
      <c r="B420" s="1" t="n">
        <v>45698.29880787037</v>
      </c>
      <c r="C420" s="1" t="n">
        <v>45996</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45996</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24192-2023</t>
        </is>
      </c>
      <c r="B422" s="1" t="n">
        <v>45079</v>
      </c>
      <c r="C422" s="1" t="n">
        <v>45996</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30282-2022</t>
        </is>
      </c>
      <c r="B423" s="1" t="n">
        <v>44760</v>
      </c>
      <c r="C423" s="1" t="n">
        <v>45996</v>
      </c>
      <c r="D423" t="inlineStr">
        <is>
          <t>GOTLANDS LÄN</t>
        </is>
      </c>
      <c r="E423" t="inlineStr">
        <is>
          <t>GOTLAND</t>
        </is>
      </c>
      <c r="G423" t="n">
        <v>2.6</v>
      </c>
      <c r="H423" t="n">
        <v>0</v>
      </c>
      <c r="I423" t="n">
        <v>0</v>
      </c>
      <c r="J423" t="n">
        <v>0</v>
      </c>
      <c r="K423" t="n">
        <v>0</v>
      </c>
      <c r="L423" t="n">
        <v>0</v>
      </c>
      <c r="M423" t="n">
        <v>0</v>
      </c>
      <c r="N423" t="n">
        <v>0</v>
      </c>
      <c r="O423" t="n">
        <v>0</v>
      </c>
      <c r="P423" t="n">
        <v>0</v>
      </c>
      <c r="Q423" t="n">
        <v>0</v>
      </c>
      <c r="R423" s="2" t="inlineStr"/>
    </row>
    <row r="424" ht="15" customHeight="1">
      <c r="A424" t="inlineStr">
        <is>
          <t>A 8484-2025</t>
        </is>
      </c>
      <c r="B424" s="1" t="n">
        <v>45709</v>
      </c>
      <c r="C424" s="1" t="n">
        <v>45996</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17343-2025</t>
        </is>
      </c>
      <c r="B425" s="1" t="n">
        <v>45756.6687037037</v>
      </c>
      <c r="C425" s="1" t="n">
        <v>45996</v>
      </c>
      <c r="D425" t="inlineStr">
        <is>
          <t>GOTLANDS LÄN</t>
        </is>
      </c>
      <c r="E425" t="inlineStr">
        <is>
          <t>GOTLAND</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7835-2024</t>
        </is>
      </c>
      <c r="B426" s="1" t="n">
        <v>45349.83138888889</v>
      </c>
      <c r="C426" s="1" t="n">
        <v>45996</v>
      </c>
      <c r="D426" t="inlineStr">
        <is>
          <t>GOTLANDS LÄN</t>
        </is>
      </c>
      <c r="E426" t="inlineStr">
        <is>
          <t>GOTLAND</t>
        </is>
      </c>
      <c r="G426" t="n">
        <v>3.8</v>
      </c>
      <c r="H426" t="n">
        <v>0</v>
      </c>
      <c r="I426" t="n">
        <v>0</v>
      </c>
      <c r="J426" t="n">
        <v>0</v>
      </c>
      <c r="K426" t="n">
        <v>0</v>
      </c>
      <c r="L426" t="n">
        <v>0</v>
      </c>
      <c r="M426" t="n">
        <v>0</v>
      </c>
      <c r="N426" t="n">
        <v>0</v>
      </c>
      <c r="O426" t="n">
        <v>0</v>
      </c>
      <c r="P426" t="n">
        <v>0</v>
      </c>
      <c r="Q426" t="n">
        <v>0</v>
      </c>
      <c r="R426" s="2" t="inlineStr"/>
    </row>
    <row r="427" ht="15" customHeight="1">
      <c r="A427" t="inlineStr">
        <is>
          <t>A 18938-2025</t>
        </is>
      </c>
      <c r="B427" s="1" t="n">
        <v>45764.49172453704</v>
      </c>
      <c r="C427" s="1" t="n">
        <v>45996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20307-2025</t>
        </is>
      </c>
      <c r="B428" s="1" t="n">
        <v>45774.95546296296</v>
      </c>
      <c r="C428" s="1" t="n">
        <v>45996</v>
      </c>
      <c r="D428" t="inlineStr">
        <is>
          <t>GOTLANDS LÄN</t>
        </is>
      </c>
      <c r="E428" t="inlineStr">
        <is>
          <t>GOTLAND</t>
        </is>
      </c>
      <c r="G428" t="n">
        <v>6.8</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45996</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41435-2025</t>
        </is>
      </c>
      <c r="B430" s="1" t="n">
        <v>45901.39974537037</v>
      </c>
      <c r="C430" s="1" t="n">
        <v>45996</v>
      </c>
      <c r="D430" t="inlineStr">
        <is>
          <t>GOTLANDS LÄN</t>
        </is>
      </c>
      <c r="E430" t="inlineStr">
        <is>
          <t>GOTLAND</t>
        </is>
      </c>
      <c r="G430" t="n">
        <v>4.9</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45996</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28425-2023</t>
        </is>
      </c>
      <c r="B432" s="1" t="n">
        <v>45102</v>
      </c>
      <c r="C432" s="1" t="n">
        <v>45996</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18993-2025</t>
        </is>
      </c>
      <c r="B433" s="1" t="n">
        <v>45764</v>
      </c>
      <c r="C433" s="1" t="n">
        <v>45996</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30135-2025</t>
        </is>
      </c>
      <c r="B434" s="1" t="n">
        <v>45826</v>
      </c>
      <c r="C434" s="1" t="n">
        <v>45996</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49962-2023</t>
        </is>
      </c>
      <c r="B435" s="1" t="n">
        <v>45215.38775462963</v>
      </c>
      <c r="C435" s="1" t="n">
        <v>45996</v>
      </c>
      <c r="D435" t="inlineStr">
        <is>
          <t>GOTLANDS LÄN</t>
        </is>
      </c>
      <c r="E435" t="inlineStr">
        <is>
          <t>GOTLAND</t>
        </is>
      </c>
      <c r="G435" t="n">
        <v>1.4</v>
      </c>
      <c r="H435" t="n">
        <v>0</v>
      </c>
      <c r="I435" t="n">
        <v>0</v>
      </c>
      <c r="J435" t="n">
        <v>0</v>
      </c>
      <c r="K435" t="n">
        <v>0</v>
      </c>
      <c r="L435" t="n">
        <v>0</v>
      </c>
      <c r="M435" t="n">
        <v>0</v>
      </c>
      <c r="N435" t="n">
        <v>0</v>
      </c>
      <c r="O435" t="n">
        <v>0</v>
      </c>
      <c r="P435" t="n">
        <v>0</v>
      </c>
      <c r="Q435" t="n">
        <v>0</v>
      </c>
      <c r="R435" s="2" t="inlineStr"/>
    </row>
    <row r="436" ht="15" customHeight="1">
      <c r="A436" t="inlineStr">
        <is>
          <t>A 13037-2025</t>
        </is>
      </c>
      <c r="B436" s="1" t="n">
        <v>45734</v>
      </c>
      <c r="C436" s="1" t="n">
        <v>45996</v>
      </c>
      <c r="D436" t="inlineStr">
        <is>
          <t>GOTLANDS LÄN</t>
        </is>
      </c>
      <c r="E436" t="inlineStr">
        <is>
          <t>GOTLAND</t>
        </is>
      </c>
      <c r="G436" t="n">
        <v>9.5</v>
      </c>
      <c r="H436" t="n">
        <v>0</v>
      </c>
      <c r="I436" t="n">
        <v>0</v>
      </c>
      <c r="J436" t="n">
        <v>0</v>
      </c>
      <c r="K436" t="n">
        <v>0</v>
      </c>
      <c r="L436" t="n">
        <v>0</v>
      </c>
      <c r="M436" t="n">
        <v>0</v>
      </c>
      <c r="N436" t="n">
        <v>0</v>
      </c>
      <c r="O436" t="n">
        <v>0</v>
      </c>
      <c r="P436" t="n">
        <v>0</v>
      </c>
      <c r="Q436" t="n">
        <v>0</v>
      </c>
      <c r="R436" s="2" t="inlineStr"/>
    </row>
    <row r="437" ht="15" customHeight="1">
      <c r="A437" t="inlineStr">
        <is>
          <t>A 50744-2024</t>
        </is>
      </c>
      <c r="B437" s="1" t="n">
        <v>45602.4187037037</v>
      </c>
      <c r="C437" s="1" t="n">
        <v>45996</v>
      </c>
      <c r="D437" t="inlineStr">
        <is>
          <t>GOTLANDS LÄN</t>
        </is>
      </c>
      <c r="E437" t="inlineStr">
        <is>
          <t>GOTLAND</t>
        </is>
      </c>
      <c r="G437" t="n">
        <v>3.2</v>
      </c>
      <c r="H437" t="n">
        <v>0</v>
      </c>
      <c r="I437" t="n">
        <v>0</v>
      </c>
      <c r="J437" t="n">
        <v>0</v>
      </c>
      <c r="K437" t="n">
        <v>0</v>
      </c>
      <c r="L437" t="n">
        <v>0</v>
      </c>
      <c r="M437" t="n">
        <v>0</v>
      </c>
      <c r="N437" t="n">
        <v>0</v>
      </c>
      <c r="O437" t="n">
        <v>0</v>
      </c>
      <c r="P437" t="n">
        <v>0</v>
      </c>
      <c r="Q437" t="n">
        <v>0</v>
      </c>
      <c r="R437" s="2" t="inlineStr"/>
    </row>
    <row r="438" ht="15" customHeight="1">
      <c r="A438" t="inlineStr">
        <is>
          <t>A 45244-2024</t>
        </is>
      </c>
      <c r="B438" s="1" t="n">
        <v>45576</v>
      </c>
      <c r="C438" s="1" t="n">
        <v>45996</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38787-2023</t>
        </is>
      </c>
      <c r="B439" s="1" t="n">
        <v>45163</v>
      </c>
      <c r="C439" s="1" t="n">
        <v>45996</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2714-2023</t>
        </is>
      </c>
      <c r="B440" s="1" t="n">
        <v>44944.54896990741</v>
      </c>
      <c r="C440" s="1" t="n">
        <v>45996</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22897-2023</t>
        </is>
      </c>
      <c r="B441" s="1" t="n">
        <v>45072.55239583334</v>
      </c>
      <c r="C441" s="1" t="n">
        <v>45996</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4568-2025</t>
        </is>
      </c>
      <c r="B442" s="1" t="n">
        <v>45687</v>
      </c>
      <c r="C442" s="1" t="n">
        <v>45996</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10746-2025</t>
        </is>
      </c>
      <c r="B443" s="1" t="n">
        <v>45722.42766203704</v>
      </c>
      <c r="C443" s="1" t="n">
        <v>45996</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1681-2023</t>
        </is>
      </c>
      <c r="B444" s="1" t="n">
        <v>44938.39715277778</v>
      </c>
      <c r="C444" s="1" t="n">
        <v>45996</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42338-2023</t>
        </is>
      </c>
      <c r="B445" s="1" t="n">
        <v>45180</v>
      </c>
      <c r="C445" s="1" t="n">
        <v>45996</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18918-2025</t>
        </is>
      </c>
      <c r="B446" s="1" t="n">
        <v>45764</v>
      </c>
      <c r="C446" s="1" t="n">
        <v>45996</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11013-2024</t>
        </is>
      </c>
      <c r="B447" s="1" t="n">
        <v>45370</v>
      </c>
      <c r="C447" s="1" t="n">
        <v>45996</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42608-2025</t>
        </is>
      </c>
      <c r="B448" s="1" t="n">
        <v>45905</v>
      </c>
      <c r="C448" s="1" t="n">
        <v>45996</v>
      </c>
      <c r="D448" t="inlineStr">
        <is>
          <t>GOTLANDS LÄN</t>
        </is>
      </c>
      <c r="E448" t="inlineStr">
        <is>
          <t>GOTLAND</t>
        </is>
      </c>
      <c r="G448" t="n">
        <v>1.3</v>
      </c>
      <c r="H448" t="n">
        <v>0</v>
      </c>
      <c r="I448" t="n">
        <v>0</v>
      </c>
      <c r="J448" t="n">
        <v>0</v>
      </c>
      <c r="K448" t="n">
        <v>0</v>
      </c>
      <c r="L448" t="n">
        <v>0</v>
      </c>
      <c r="M448" t="n">
        <v>0</v>
      </c>
      <c r="N448" t="n">
        <v>0</v>
      </c>
      <c r="O448" t="n">
        <v>0</v>
      </c>
      <c r="P448" t="n">
        <v>0</v>
      </c>
      <c r="Q448" t="n">
        <v>0</v>
      </c>
      <c r="R448" s="2" t="inlineStr"/>
    </row>
    <row r="449" ht="15" customHeight="1">
      <c r="A449" t="inlineStr">
        <is>
          <t>A 45084-2024</t>
        </is>
      </c>
      <c r="B449" s="1" t="n">
        <v>45575</v>
      </c>
      <c r="C449" s="1" t="n">
        <v>45996</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20356-2022</t>
        </is>
      </c>
      <c r="B450" s="1" t="n">
        <v>44699</v>
      </c>
      <c r="C450" s="1" t="n">
        <v>45996</v>
      </c>
      <c r="D450" t="inlineStr">
        <is>
          <t>GOTLANDS LÄN</t>
        </is>
      </c>
      <c r="E450" t="inlineStr">
        <is>
          <t>GOTLAND</t>
        </is>
      </c>
      <c r="F450" t="inlineStr">
        <is>
          <t>Övriga Aktiebolag</t>
        </is>
      </c>
      <c r="G450" t="n">
        <v>4.4</v>
      </c>
      <c r="H450" t="n">
        <v>0</v>
      </c>
      <c r="I450" t="n">
        <v>0</v>
      </c>
      <c r="J450" t="n">
        <v>0</v>
      </c>
      <c r="K450" t="n">
        <v>0</v>
      </c>
      <c r="L450" t="n">
        <v>0</v>
      </c>
      <c r="M450" t="n">
        <v>0</v>
      </c>
      <c r="N450" t="n">
        <v>0</v>
      </c>
      <c r="O450" t="n">
        <v>0</v>
      </c>
      <c r="P450" t="n">
        <v>0</v>
      </c>
      <c r="Q450" t="n">
        <v>0</v>
      </c>
      <c r="R450" s="2" t="inlineStr"/>
    </row>
    <row r="451" ht="15" customHeight="1">
      <c r="A451" t="inlineStr">
        <is>
          <t>A 4868-2024</t>
        </is>
      </c>
      <c r="B451" s="1" t="n">
        <v>45329</v>
      </c>
      <c r="C451" s="1" t="n">
        <v>45996</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9613-2025</t>
        </is>
      </c>
      <c r="B452" s="1" t="n">
        <v>45715</v>
      </c>
      <c r="C452" s="1" t="n">
        <v>45996</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16373-2025</t>
        </is>
      </c>
      <c r="B453" s="1" t="n">
        <v>45751</v>
      </c>
      <c r="C453" s="1" t="n">
        <v>45996</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43229-2023</t>
        </is>
      </c>
      <c r="B454" s="1" t="n">
        <v>45183.46704861111</v>
      </c>
      <c r="C454" s="1" t="n">
        <v>45996</v>
      </c>
      <c r="D454" t="inlineStr">
        <is>
          <t>GOTLANDS LÄN</t>
        </is>
      </c>
      <c r="E454" t="inlineStr">
        <is>
          <t>GOTLAND</t>
        </is>
      </c>
      <c r="G454" t="n">
        <v>7.1</v>
      </c>
      <c r="H454" t="n">
        <v>0</v>
      </c>
      <c r="I454" t="n">
        <v>0</v>
      </c>
      <c r="J454" t="n">
        <v>0</v>
      </c>
      <c r="K454" t="n">
        <v>0</v>
      </c>
      <c r="L454" t="n">
        <v>0</v>
      </c>
      <c r="M454" t="n">
        <v>0</v>
      </c>
      <c r="N454" t="n">
        <v>0</v>
      </c>
      <c r="O454" t="n">
        <v>0</v>
      </c>
      <c r="P454" t="n">
        <v>0</v>
      </c>
      <c r="Q454" t="n">
        <v>0</v>
      </c>
      <c r="R454" s="2" t="inlineStr"/>
    </row>
    <row r="455" ht="15" customHeight="1">
      <c r="A455" t="inlineStr">
        <is>
          <t>A 5386-2023</t>
        </is>
      </c>
      <c r="B455" s="1" t="n">
        <v>44959</v>
      </c>
      <c r="C455" s="1" t="n">
        <v>45996</v>
      </c>
      <c r="D455" t="inlineStr">
        <is>
          <t>GOTLANDS LÄN</t>
        </is>
      </c>
      <c r="E455" t="inlineStr">
        <is>
          <t>GOTLAND</t>
        </is>
      </c>
      <c r="G455" t="n">
        <v>5.4</v>
      </c>
      <c r="H455" t="n">
        <v>0</v>
      </c>
      <c r="I455" t="n">
        <v>0</v>
      </c>
      <c r="J455" t="n">
        <v>0</v>
      </c>
      <c r="K455" t="n">
        <v>0</v>
      </c>
      <c r="L455" t="n">
        <v>0</v>
      </c>
      <c r="M455" t="n">
        <v>0</v>
      </c>
      <c r="N455" t="n">
        <v>0</v>
      </c>
      <c r="O455" t="n">
        <v>0</v>
      </c>
      <c r="P455" t="n">
        <v>0</v>
      </c>
      <c r="Q455" t="n">
        <v>0</v>
      </c>
      <c r="R455" s="2" t="inlineStr"/>
    </row>
    <row r="456" ht="15" customHeight="1">
      <c r="A456" t="inlineStr">
        <is>
          <t>A 41038-2023</t>
        </is>
      </c>
      <c r="B456" s="1" t="n">
        <v>45173.60959490741</v>
      </c>
      <c r="C456" s="1" t="n">
        <v>45996</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58211-2024</t>
        </is>
      </c>
      <c r="B457" s="1" t="n">
        <v>45632.49292824074</v>
      </c>
      <c r="C457" s="1" t="n">
        <v>45996</v>
      </c>
      <c r="D457" t="inlineStr">
        <is>
          <t>GOTLANDS LÄN</t>
        </is>
      </c>
      <c r="E457" t="inlineStr">
        <is>
          <t>GOTLAND</t>
        </is>
      </c>
      <c r="G457" t="n">
        <v>5.4</v>
      </c>
      <c r="H457" t="n">
        <v>0</v>
      </c>
      <c r="I457" t="n">
        <v>0</v>
      </c>
      <c r="J457" t="n">
        <v>0</v>
      </c>
      <c r="K457" t="n">
        <v>0</v>
      </c>
      <c r="L457" t="n">
        <v>0</v>
      </c>
      <c r="M457" t="n">
        <v>0</v>
      </c>
      <c r="N457" t="n">
        <v>0</v>
      </c>
      <c r="O457" t="n">
        <v>0</v>
      </c>
      <c r="P457" t="n">
        <v>0</v>
      </c>
      <c r="Q457" t="n">
        <v>0</v>
      </c>
      <c r="R457" s="2" t="inlineStr"/>
    </row>
    <row r="458" ht="15" customHeight="1">
      <c r="A458" t="inlineStr">
        <is>
          <t>A 11634-2024</t>
        </is>
      </c>
      <c r="B458" s="1" t="n">
        <v>45373</v>
      </c>
      <c r="C458" s="1" t="n">
        <v>45996</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5884-2025</t>
        </is>
      </c>
      <c r="B459" s="1" t="n">
        <v>45695.37482638889</v>
      </c>
      <c r="C459" s="1" t="n">
        <v>45996</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5897-2025</t>
        </is>
      </c>
      <c r="B460" s="1" t="n">
        <v>45695.39273148148</v>
      </c>
      <c r="C460" s="1" t="n">
        <v>45996</v>
      </c>
      <c r="D460" t="inlineStr">
        <is>
          <t>GOTLANDS LÄN</t>
        </is>
      </c>
      <c r="E460" t="inlineStr">
        <is>
          <t>GOTLAND</t>
        </is>
      </c>
      <c r="G460" t="n">
        <v>3.7</v>
      </c>
      <c r="H460" t="n">
        <v>0</v>
      </c>
      <c r="I460" t="n">
        <v>0</v>
      </c>
      <c r="J460" t="n">
        <v>0</v>
      </c>
      <c r="K460" t="n">
        <v>0</v>
      </c>
      <c r="L460" t="n">
        <v>0</v>
      </c>
      <c r="M460" t="n">
        <v>0</v>
      </c>
      <c r="N460" t="n">
        <v>0</v>
      </c>
      <c r="O460" t="n">
        <v>0</v>
      </c>
      <c r="P460" t="n">
        <v>0</v>
      </c>
      <c r="Q460" t="n">
        <v>0</v>
      </c>
      <c r="R460" s="2" t="inlineStr"/>
    </row>
    <row r="461" ht="15" customHeight="1">
      <c r="A461" t="inlineStr">
        <is>
          <t>A 5909-2025</t>
        </is>
      </c>
      <c r="B461" s="1" t="n">
        <v>45695.40634259259</v>
      </c>
      <c r="C461" s="1" t="n">
        <v>45996</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60086-2022</t>
        </is>
      </c>
      <c r="B462" s="1" t="n">
        <v>44909</v>
      </c>
      <c r="C462" s="1" t="n">
        <v>45996</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22704-2023</t>
        </is>
      </c>
      <c r="B463" s="1" t="n">
        <v>45071</v>
      </c>
      <c r="C463" s="1" t="n">
        <v>45996</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24966-2023</t>
        </is>
      </c>
      <c r="B464" s="1" t="n">
        <v>45085</v>
      </c>
      <c r="C464" s="1" t="n">
        <v>45996</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57652-2023</t>
        </is>
      </c>
      <c r="B465" s="1" t="n">
        <v>45246</v>
      </c>
      <c r="C465" s="1" t="n">
        <v>45996</v>
      </c>
      <c r="D465" t="inlineStr">
        <is>
          <t>GOTLANDS LÄN</t>
        </is>
      </c>
      <c r="E465" t="inlineStr">
        <is>
          <t>GOTLAND</t>
        </is>
      </c>
      <c r="G465" t="n">
        <v>7.2</v>
      </c>
      <c r="H465" t="n">
        <v>0</v>
      </c>
      <c r="I465" t="n">
        <v>0</v>
      </c>
      <c r="J465" t="n">
        <v>0</v>
      </c>
      <c r="K465" t="n">
        <v>0</v>
      </c>
      <c r="L465" t="n">
        <v>0</v>
      </c>
      <c r="M465" t="n">
        <v>0</v>
      </c>
      <c r="N465" t="n">
        <v>0</v>
      </c>
      <c r="O465" t="n">
        <v>0</v>
      </c>
      <c r="P465" t="n">
        <v>0</v>
      </c>
      <c r="Q465" t="n">
        <v>0</v>
      </c>
      <c r="R465" s="2" t="inlineStr"/>
    </row>
    <row r="466" ht="15" customHeight="1">
      <c r="A466" t="inlineStr">
        <is>
          <t>A 46189-2022</t>
        </is>
      </c>
      <c r="B466" s="1" t="n">
        <v>44847</v>
      </c>
      <c r="C466" s="1" t="n">
        <v>45996</v>
      </c>
      <c r="D466" t="inlineStr">
        <is>
          <t>GOTLANDS LÄN</t>
        </is>
      </c>
      <c r="E466" t="inlineStr">
        <is>
          <t>GOTLAND</t>
        </is>
      </c>
      <c r="G466" t="n">
        <v>0.4</v>
      </c>
      <c r="H466" t="n">
        <v>0</v>
      </c>
      <c r="I466" t="n">
        <v>0</v>
      </c>
      <c r="J466" t="n">
        <v>0</v>
      </c>
      <c r="K466" t="n">
        <v>0</v>
      </c>
      <c r="L466" t="n">
        <v>0</v>
      </c>
      <c r="M466" t="n">
        <v>0</v>
      </c>
      <c r="N466" t="n">
        <v>0</v>
      </c>
      <c r="O466" t="n">
        <v>0</v>
      </c>
      <c r="P466" t="n">
        <v>0</v>
      </c>
      <c r="Q466" t="n">
        <v>0</v>
      </c>
      <c r="R466" s="2" t="inlineStr"/>
    </row>
    <row r="467" ht="15" customHeight="1">
      <c r="A467" t="inlineStr">
        <is>
          <t>A 57522-2022</t>
        </is>
      </c>
      <c r="B467" s="1" t="n">
        <v>44896</v>
      </c>
      <c r="C467" s="1" t="n">
        <v>45996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14797-2024</t>
        </is>
      </c>
      <c r="B468" s="1" t="n">
        <v>45397.87030092593</v>
      </c>
      <c r="C468" s="1" t="n">
        <v>45996</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25866-2022</t>
        </is>
      </c>
      <c r="B469" s="1" t="n">
        <v>44733</v>
      </c>
      <c r="C469" s="1" t="n">
        <v>45996</v>
      </c>
      <c r="D469" t="inlineStr">
        <is>
          <t>GOTLANDS LÄN</t>
        </is>
      </c>
      <c r="E469" t="inlineStr">
        <is>
          <t>GOTLAND</t>
        </is>
      </c>
      <c r="G469" t="n">
        <v>2.9</v>
      </c>
      <c r="H469" t="n">
        <v>0</v>
      </c>
      <c r="I469" t="n">
        <v>0</v>
      </c>
      <c r="J469" t="n">
        <v>0</v>
      </c>
      <c r="K469" t="n">
        <v>0</v>
      </c>
      <c r="L469" t="n">
        <v>0</v>
      </c>
      <c r="M469" t="n">
        <v>0</v>
      </c>
      <c r="N469" t="n">
        <v>0</v>
      </c>
      <c r="O469" t="n">
        <v>0</v>
      </c>
      <c r="P469" t="n">
        <v>0</v>
      </c>
      <c r="Q469" t="n">
        <v>0</v>
      </c>
      <c r="R469" s="2" t="inlineStr"/>
    </row>
    <row r="470" ht="15" customHeight="1">
      <c r="A470" t="inlineStr">
        <is>
          <t>A 10158-2025</t>
        </is>
      </c>
      <c r="B470" s="1" t="n">
        <v>45719</v>
      </c>
      <c r="C470" s="1" t="n">
        <v>45996</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7837-2024</t>
        </is>
      </c>
      <c r="B471" s="1" t="n">
        <v>45349.83787037037</v>
      </c>
      <c r="C471" s="1" t="n">
        <v>45996</v>
      </c>
      <c r="D471" t="inlineStr">
        <is>
          <t>GOTLANDS LÄN</t>
        </is>
      </c>
      <c r="E471" t="inlineStr">
        <is>
          <t>GOTLAND</t>
        </is>
      </c>
      <c r="G471" t="n">
        <v>5</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45996</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9887-2025</t>
        </is>
      </c>
      <c r="B473" s="1" t="n">
        <v>45716</v>
      </c>
      <c r="C473" s="1" t="n">
        <v>45996</v>
      </c>
      <c r="D473" t="inlineStr">
        <is>
          <t>GOTLANDS LÄN</t>
        </is>
      </c>
      <c r="E473" t="inlineStr">
        <is>
          <t>GOTLAND</t>
        </is>
      </c>
      <c r="G473" t="n">
        <v>7.5</v>
      </c>
      <c r="H473" t="n">
        <v>0</v>
      </c>
      <c r="I473" t="n">
        <v>0</v>
      </c>
      <c r="J473" t="n">
        <v>0</v>
      </c>
      <c r="K473" t="n">
        <v>0</v>
      </c>
      <c r="L473" t="n">
        <v>0</v>
      </c>
      <c r="M473" t="n">
        <v>0</v>
      </c>
      <c r="N473" t="n">
        <v>0</v>
      </c>
      <c r="O473" t="n">
        <v>0</v>
      </c>
      <c r="P473" t="n">
        <v>0</v>
      </c>
      <c r="Q473" t="n">
        <v>0</v>
      </c>
      <c r="R473" s="2" t="inlineStr"/>
    </row>
    <row r="474" ht="15" customHeight="1">
      <c r="A474" t="inlineStr">
        <is>
          <t>A 2676-2023</t>
        </is>
      </c>
      <c r="B474" s="1" t="n">
        <v>44944</v>
      </c>
      <c r="C474" s="1" t="n">
        <v>45996</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4387-2023</t>
        </is>
      </c>
      <c r="B475" s="1" t="n">
        <v>44955.73359953704</v>
      </c>
      <c r="C475" s="1" t="n">
        <v>45996</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12209-2024</t>
        </is>
      </c>
      <c r="B476" s="1" t="n">
        <v>45378</v>
      </c>
      <c r="C476" s="1" t="n">
        <v>45996</v>
      </c>
      <c r="D476" t="inlineStr">
        <is>
          <t>GOTLANDS LÄN</t>
        </is>
      </c>
      <c r="E476" t="inlineStr">
        <is>
          <t>GOTLAND</t>
        </is>
      </c>
      <c r="G476" t="n">
        <v>5.3</v>
      </c>
      <c r="H476" t="n">
        <v>0</v>
      </c>
      <c r="I476" t="n">
        <v>0</v>
      </c>
      <c r="J476" t="n">
        <v>0</v>
      </c>
      <c r="K476" t="n">
        <v>0</v>
      </c>
      <c r="L476" t="n">
        <v>0</v>
      </c>
      <c r="M476" t="n">
        <v>0</v>
      </c>
      <c r="N476" t="n">
        <v>0</v>
      </c>
      <c r="O476" t="n">
        <v>0</v>
      </c>
      <c r="P476" t="n">
        <v>0</v>
      </c>
      <c r="Q476" t="n">
        <v>0</v>
      </c>
      <c r="R476" s="2" t="inlineStr"/>
    </row>
    <row r="477" ht="15" customHeight="1">
      <c r="A477" t="inlineStr">
        <is>
          <t>A 12210-2024</t>
        </is>
      </c>
      <c r="B477" s="1" t="n">
        <v>45378</v>
      </c>
      <c r="C477" s="1" t="n">
        <v>45996</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43911-2025</t>
        </is>
      </c>
      <c r="B478" s="1" t="n">
        <v>45914.3881712963</v>
      </c>
      <c r="C478" s="1" t="n">
        <v>45996</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59986-2022</t>
        </is>
      </c>
      <c r="B479" s="1" t="n">
        <v>44909</v>
      </c>
      <c r="C479" s="1" t="n">
        <v>45996</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49411-2023</t>
        </is>
      </c>
      <c r="B480" s="1" t="n">
        <v>45205</v>
      </c>
      <c r="C480" s="1" t="n">
        <v>45996</v>
      </c>
      <c r="D480" t="inlineStr">
        <is>
          <t>GOTLANDS LÄN</t>
        </is>
      </c>
      <c r="E480" t="inlineStr">
        <is>
          <t>GOTLAND</t>
        </is>
      </c>
      <c r="G480" t="n">
        <v>2</v>
      </c>
      <c r="H480" t="n">
        <v>0</v>
      </c>
      <c r="I480" t="n">
        <v>0</v>
      </c>
      <c r="J480" t="n">
        <v>0</v>
      </c>
      <c r="K480" t="n">
        <v>0</v>
      </c>
      <c r="L480" t="n">
        <v>0</v>
      </c>
      <c r="M480" t="n">
        <v>0</v>
      </c>
      <c r="N480" t="n">
        <v>0</v>
      </c>
      <c r="O480" t="n">
        <v>0</v>
      </c>
      <c r="P480" t="n">
        <v>0</v>
      </c>
      <c r="Q480" t="n">
        <v>0</v>
      </c>
      <c r="R480" s="2" t="inlineStr"/>
    </row>
    <row r="481" ht="15" customHeight="1">
      <c r="A481" t="inlineStr">
        <is>
          <t>A 37728-2024</t>
        </is>
      </c>
      <c r="B481" s="1" t="n">
        <v>45541</v>
      </c>
      <c r="C481" s="1" t="n">
        <v>45996</v>
      </c>
      <c r="D481" t="inlineStr">
        <is>
          <t>GOTLANDS LÄN</t>
        </is>
      </c>
      <c r="E481" t="inlineStr">
        <is>
          <t>GOTLAND</t>
        </is>
      </c>
      <c r="G481" t="n">
        <v>0.4</v>
      </c>
      <c r="H481" t="n">
        <v>0</v>
      </c>
      <c r="I481" t="n">
        <v>0</v>
      </c>
      <c r="J481" t="n">
        <v>0</v>
      </c>
      <c r="K481" t="n">
        <v>0</v>
      </c>
      <c r="L481" t="n">
        <v>0</v>
      </c>
      <c r="M481" t="n">
        <v>0</v>
      </c>
      <c r="N481" t="n">
        <v>0</v>
      </c>
      <c r="O481" t="n">
        <v>0</v>
      </c>
      <c r="P481" t="n">
        <v>0</v>
      </c>
      <c r="Q481" t="n">
        <v>0</v>
      </c>
      <c r="R481" s="2" t="inlineStr"/>
    </row>
    <row r="482" ht="15" customHeight="1">
      <c r="A482" t="inlineStr">
        <is>
          <t>A 2241-2025</t>
        </is>
      </c>
      <c r="B482" s="1" t="n">
        <v>45673.48710648148</v>
      </c>
      <c r="C482" s="1" t="n">
        <v>45996</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31802-2024</t>
        </is>
      </c>
      <c r="B483" s="1" t="n">
        <v>45509</v>
      </c>
      <c r="C483" s="1" t="n">
        <v>45996</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20993-2023</t>
        </is>
      </c>
      <c r="B484" s="1" t="n">
        <v>45056</v>
      </c>
      <c r="C484" s="1" t="n">
        <v>45996</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15042-2025</t>
        </is>
      </c>
      <c r="B485" s="1" t="n">
        <v>45743</v>
      </c>
      <c r="C485" s="1" t="n">
        <v>45996</v>
      </c>
      <c r="D485" t="inlineStr">
        <is>
          <t>GOTLANDS LÄN</t>
        </is>
      </c>
      <c r="E485" t="inlineStr">
        <is>
          <t>GOTLAND</t>
        </is>
      </c>
      <c r="G485" t="n">
        <v>8.5</v>
      </c>
      <c r="H485" t="n">
        <v>0</v>
      </c>
      <c r="I485" t="n">
        <v>0</v>
      </c>
      <c r="J485" t="n">
        <v>0</v>
      </c>
      <c r="K485" t="n">
        <v>0</v>
      </c>
      <c r="L485" t="n">
        <v>0</v>
      </c>
      <c r="M485" t="n">
        <v>0</v>
      </c>
      <c r="N485" t="n">
        <v>0</v>
      </c>
      <c r="O485" t="n">
        <v>0</v>
      </c>
      <c r="P485" t="n">
        <v>0</v>
      </c>
      <c r="Q485" t="n">
        <v>0</v>
      </c>
      <c r="R485" s="2" t="inlineStr"/>
    </row>
    <row r="486" ht="15" customHeight="1">
      <c r="A486" t="inlineStr">
        <is>
          <t>A 22275-2023</t>
        </is>
      </c>
      <c r="B486" s="1" t="n">
        <v>45070.39875</v>
      </c>
      <c r="C486" s="1" t="n">
        <v>45996</v>
      </c>
      <c r="D486" t="inlineStr">
        <is>
          <t>GOTLANDS LÄN</t>
        </is>
      </c>
      <c r="E486" t="inlineStr">
        <is>
          <t>GOTLAND</t>
        </is>
      </c>
      <c r="G486" t="n">
        <v>7.2</v>
      </c>
      <c r="H486" t="n">
        <v>0</v>
      </c>
      <c r="I486" t="n">
        <v>0</v>
      </c>
      <c r="J486" t="n">
        <v>0</v>
      </c>
      <c r="K486" t="n">
        <v>0</v>
      </c>
      <c r="L486" t="n">
        <v>0</v>
      </c>
      <c r="M486" t="n">
        <v>0</v>
      </c>
      <c r="N486" t="n">
        <v>0</v>
      </c>
      <c r="O486" t="n">
        <v>0</v>
      </c>
      <c r="P486" t="n">
        <v>0</v>
      </c>
      <c r="Q486" t="n">
        <v>0</v>
      </c>
      <c r="R486" s="2" t="inlineStr"/>
    </row>
    <row r="487" ht="15" customHeight="1">
      <c r="A487" t="inlineStr">
        <is>
          <t>A 12327-2025</t>
        </is>
      </c>
      <c r="B487" s="1" t="n">
        <v>45730</v>
      </c>
      <c r="C487" s="1" t="n">
        <v>45996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14635-2023</t>
        </is>
      </c>
      <c r="B488" s="1" t="n">
        <v>45013.69365740741</v>
      </c>
      <c r="C488" s="1" t="n">
        <v>45996</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63763-2023</t>
        </is>
      </c>
      <c r="B489" s="1" t="n">
        <v>45278.33944444444</v>
      </c>
      <c r="C489" s="1" t="n">
        <v>45996</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7635-2025</t>
        </is>
      </c>
      <c r="B490" s="1" t="n">
        <v>45705</v>
      </c>
      <c r="C490" s="1" t="n">
        <v>45996</v>
      </c>
      <c r="D490" t="inlineStr">
        <is>
          <t>GOTLANDS LÄN</t>
        </is>
      </c>
      <c r="E490" t="inlineStr">
        <is>
          <t>GOTLAND</t>
        </is>
      </c>
      <c r="G490" t="n">
        <v>0.9</v>
      </c>
      <c r="H490" t="n">
        <v>0</v>
      </c>
      <c r="I490" t="n">
        <v>0</v>
      </c>
      <c r="J490" t="n">
        <v>0</v>
      </c>
      <c r="K490" t="n">
        <v>0</v>
      </c>
      <c r="L490" t="n">
        <v>0</v>
      </c>
      <c r="M490" t="n">
        <v>0</v>
      </c>
      <c r="N490" t="n">
        <v>0</v>
      </c>
      <c r="O490" t="n">
        <v>0</v>
      </c>
      <c r="P490" t="n">
        <v>0</v>
      </c>
      <c r="Q490" t="n">
        <v>0</v>
      </c>
      <c r="R490" s="2" t="inlineStr"/>
    </row>
    <row r="491" ht="15" customHeight="1">
      <c r="A491" t="inlineStr">
        <is>
          <t>A 7636-2025</t>
        </is>
      </c>
      <c r="B491" s="1" t="n">
        <v>45705.7687962963</v>
      </c>
      <c r="C491" s="1" t="n">
        <v>45996</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7639-2025</t>
        </is>
      </c>
      <c r="B492" s="1" t="n">
        <v>45705.77465277778</v>
      </c>
      <c r="C492" s="1" t="n">
        <v>45996</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61682-2024</t>
        </is>
      </c>
      <c r="B493" s="1" t="n">
        <v>45647.48824074074</v>
      </c>
      <c r="C493" s="1" t="n">
        <v>45996</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4420-2025</t>
        </is>
      </c>
      <c r="B494" s="1" t="n">
        <v>45686.47157407407</v>
      </c>
      <c r="C494" s="1" t="n">
        <v>45996</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15434-2024</t>
        </is>
      </c>
      <c r="B495" s="1" t="n">
        <v>45401.38836805556</v>
      </c>
      <c r="C495" s="1" t="n">
        <v>45996</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14427-2024</t>
        </is>
      </c>
      <c r="B496" s="1" t="n">
        <v>45394</v>
      </c>
      <c r="C496" s="1" t="n">
        <v>45996</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7034-2023</t>
        </is>
      </c>
      <c r="B497" s="1" t="n">
        <v>44968.32108796296</v>
      </c>
      <c r="C497" s="1" t="n">
        <v>45996</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7042-2023</t>
        </is>
      </c>
      <c r="B498" s="1" t="n">
        <v>44968</v>
      </c>
      <c r="C498" s="1" t="n">
        <v>45996</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2180-2025</t>
        </is>
      </c>
      <c r="B499" s="1" t="n">
        <v>45673</v>
      </c>
      <c r="C499" s="1" t="n">
        <v>45996</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43951-2025</t>
        </is>
      </c>
      <c r="B500" s="1" t="n">
        <v>45915.38119212963</v>
      </c>
      <c r="C500" s="1" t="n">
        <v>45996</v>
      </c>
      <c r="D500" t="inlineStr">
        <is>
          <t>GOTLANDS LÄN</t>
        </is>
      </c>
      <c r="E500" t="inlineStr">
        <is>
          <t>GOTLAND</t>
        </is>
      </c>
      <c r="G500" t="n">
        <v>4.4</v>
      </c>
      <c r="H500" t="n">
        <v>0</v>
      </c>
      <c r="I500" t="n">
        <v>0</v>
      </c>
      <c r="J500" t="n">
        <v>0</v>
      </c>
      <c r="K500" t="n">
        <v>0</v>
      </c>
      <c r="L500" t="n">
        <v>0</v>
      </c>
      <c r="M500" t="n">
        <v>0</v>
      </c>
      <c r="N500" t="n">
        <v>0</v>
      </c>
      <c r="O500" t="n">
        <v>0</v>
      </c>
      <c r="P500" t="n">
        <v>0</v>
      </c>
      <c r="Q500" t="n">
        <v>0</v>
      </c>
      <c r="R500" s="2" t="inlineStr"/>
    </row>
    <row r="501" ht="15" customHeight="1">
      <c r="A501" t="inlineStr">
        <is>
          <t>A 52637-2025</t>
        </is>
      </c>
      <c r="B501" s="1" t="n">
        <v>45954.75099537037</v>
      </c>
      <c r="C501" s="1" t="n">
        <v>45996</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44410-2025</t>
        </is>
      </c>
      <c r="B502" s="1" t="n">
        <v>45916.53699074074</v>
      </c>
      <c r="C502" s="1" t="n">
        <v>45996</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49257-2024</t>
        </is>
      </c>
      <c r="B503" s="1" t="n">
        <v>45595.47627314815</v>
      </c>
      <c r="C503" s="1" t="n">
        <v>45996</v>
      </c>
      <c r="D503" t="inlineStr">
        <is>
          <t>GOTLANDS LÄN</t>
        </is>
      </c>
      <c r="E503" t="inlineStr">
        <is>
          <t>GOTLAND</t>
        </is>
      </c>
      <c r="G503" t="n">
        <v>6.3</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45996</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49315-2024</t>
        </is>
      </c>
      <c r="B505" s="1" t="n">
        <v>45595</v>
      </c>
      <c r="C505" s="1" t="n">
        <v>45996</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61694-2023</t>
        </is>
      </c>
      <c r="B506" s="1" t="n">
        <v>45264</v>
      </c>
      <c r="C506" s="1" t="n">
        <v>45996</v>
      </c>
      <c r="D506" t="inlineStr">
        <is>
          <t>GOTLANDS LÄN</t>
        </is>
      </c>
      <c r="E506" t="inlineStr">
        <is>
          <t>GOTLAND</t>
        </is>
      </c>
      <c r="G506" t="n">
        <v>4.6</v>
      </c>
      <c r="H506" t="n">
        <v>0</v>
      </c>
      <c r="I506" t="n">
        <v>0</v>
      </c>
      <c r="J506" t="n">
        <v>0</v>
      </c>
      <c r="K506" t="n">
        <v>0</v>
      </c>
      <c r="L506" t="n">
        <v>0</v>
      </c>
      <c r="M506" t="n">
        <v>0</v>
      </c>
      <c r="N506" t="n">
        <v>0</v>
      </c>
      <c r="O506" t="n">
        <v>0</v>
      </c>
      <c r="P506" t="n">
        <v>0</v>
      </c>
      <c r="Q506" t="n">
        <v>0</v>
      </c>
      <c r="R506" s="2" t="inlineStr"/>
    </row>
    <row r="507" ht="15" customHeight="1">
      <c r="A507" t="inlineStr">
        <is>
          <t>A 64208-2021</t>
        </is>
      </c>
      <c r="B507" s="1" t="n">
        <v>44510</v>
      </c>
      <c r="C507" s="1" t="n">
        <v>45996</v>
      </c>
      <c r="D507" t="inlineStr">
        <is>
          <t>GOTLANDS LÄN</t>
        </is>
      </c>
      <c r="E507" t="inlineStr">
        <is>
          <t>GOTLAND</t>
        </is>
      </c>
      <c r="G507" t="n">
        <v>4.7</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45996</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1446-2025</t>
        </is>
      </c>
      <c r="B509" s="1" t="n">
        <v>45669.86035879629</v>
      </c>
      <c r="C509" s="1" t="n">
        <v>45996</v>
      </c>
      <c r="D509" t="inlineStr">
        <is>
          <t>GOTLANDS LÄN</t>
        </is>
      </c>
      <c r="E509" t="inlineStr">
        <is>
          <t>GOTLAND</t>
        </is>
      </c>
      <c r="G509" t="n">
        <v>3.1</v>
      </c>
      <c r="H509" t="n">
        <v>0</v>
      </c>
      <c r="I509" t="n">
        <v>0</v>
      </c>
      <c r="J509" t="n">
        <v>0</v>
      </c>
      <c r="K509" t="n">
        <v>0</v>
      </c>
      <c r="L509" t="n">
        <v>0</v>
      </c>
      <c r="M509" t="n">
        <v>0</v>
      </c>
      <c r="N509" t="n">
        <v>0</v>
      </c>
      <c r="O509" t="n">
        <v>0</v>
      </c>
      <c r="P509" t="n">
        <v>0</v>
      </c>
      <c r="Q509" t="n">
        <v>0</v>
      </c>
      <c r="R509" s="2" t="inlineStr"/>
    </row>
    <row r="510" ht="15" customHeight="1">
      <c r="A510" t="inlineStr">
        <is>
          <t>A 1462-2025</t>
        </is>
      </c>
      <c r="B510" s="1" t="n">
        <v>45670.36319444444</v>
      </c>
      <c r="C510" s="1" t="n">
        <v>45996</v>
      </c>
      <c r="D510" t="inlineStr">
        <is>
          <t>GOTLANDS LÄN</t>
        </is>
      </c>
      <c r="E510" t="inlineStr">
        <is>
          <t>GOTLAND</t>
        </is>
      </c>
      <c r="G510" t="n">
        <v>2.8</v>
      </c>
      <c r="H510" t="n">
        <v>0</v>
      </c>
      <c r="I510" t="n">
        <v>0</v>
      </c>
      <c r="J510" t="n">
        <v>0</v>
      </c>
      <c r="K510" t="n">
        <v>0</v>
      </c>
      <c r="L510" t="n">
        <v>0</v>
      </c>
      <c r="M510" t="n">
        <v>0</v>
      </c>
      <c r="N510" t="n">
        <v>0</v>
      </c>
      <c r="O510" t="n">
        <v>0</v>
      </c>
      <c r="P510" t="n">
        <v>0</v>
      </c>
      <c r="Q510" t="n">
        <v>0</v>
      </c>
      <c r="R510" s="2" t="inlineStr"/>
    </row>
    <row r="511" ht="15" customHeight="1">
      <c r="A511" t="inlineStr">
        <is>
          <t>A 57685-2022</t>
        </is>
      </c>
      <c r="B511" s="1" t="n">
        <v>44897.4777662037</v>
      </c>
      <c r="C511" s="1" t="n">
        <v>45996</v>
      </c>
      <c r="D511" t="inlineStr">
        <is>
          <t>GOTLANDS LÄN</t>
        </is>
      </c>
      <c r="E511" t="inlineStr">
        <is>
          <t>GOTLAND</t>
        </is>
      </c>
      <c r="G511" t="n">
        <v>3.7</v>
      </c>
      <c r="H511" t="n">
        <v>0</v>
      </c>
      <c r="I511" t="n">
        <v>0</v>
      </c>
      <c r="J511" t="n">
        <v>0</v>
      </c>
      <c r="K511" t="n">
        <v>0</v>
      </c>
      <c r="L511" t="n">
        <v>0</v>
      </c>
      <c r="M511" t="n">
        <v>0</v>
      </c>
      <c r="N511" t="n">
        <v>0</v>
      </c>
      <c r="O511" t="n">
        <v>0</v>
      </c>
      <c r="P511" t="n">
        <v>0</v>
      </c>
      <c r="Q511" t="n">
        <v>0</v>
      </c>
      <c r="R511" s="2" t="inlineStr"/>
    </row>
    <row r="512" ht="15" customHeight="1">
      <c r="A512" t="inlineStr">
        <is>
          <t>A 811-2023</t>
        </is>
      </c>
      <c r="B512" s="1" t="n">
        <v>44931</v>
      </c>
      <c r="C512" s="1" t="n">
        <v>45996</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44405-2025</t>
        </is>
      </c>
      <c r="B513" s="1" t="n">
        <v>45916.52405092592</v>
      </c>
      <c r="C513" s="1" t="n">
        <v>45996</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5905-2024</t>
        </is>
      </c>
      <c r="B514" s="1" t="n">
        <v>45335.88993055555</v>
      </c>
      <c r="C514" s="1" t="n">
        <v>45996</v>
      </c>
      <c r="D514" t="inlineStr">
        <is>
          <t>GOTLANDS LÄN</t>
        </is>
      </c>
      <c r="E514" t="inlineStr">
        <is>
          <t>GOTLAND</t>
        </is>
      </c>
      <c r="G514" t="n">
        <v>3</v>
      </c>
      <c r="H514" t="n">
        <v>0</v>
      </c>
      <c r="I514" t="n">
        <v>0</v>
      </c>
      <c r="J514" t="n">
        <v>0</v>
      </c>
      <c r="K514" t="n">
        <v>0</v>
      </c>
      <c r="L514" t="n">
        <v>0</v>
      </c>
      <c r="M514" t="n">
        <v>0</v>
      </c>
      <c r="N514" t="n">
        <v>0</v>
      </c>
      <c r="O514" t="n">
        <v>0</v>
      </c>
      <c r="P514" t="n">
        <v>0</v>
      </c>
      <c r="Q514" t="n">
        <v>0</v>
      </c>
      <c r="R514" s="2" t="inlineStr"/>
    </row>
    <row r="515" ht="15" customHeight="1">
      <c r="A515" t="inlineStr">
        <is>
          <t>A 53587-2025</t>
        </is>
      </c>
      <c r="B515" s="1" t="n">
        <v>45960.43681712963</v>
      </c>
      <c r="C515" s="1" t="n">
        <v>45996</v>
      </c>
      <c r="D515" t="inlineStr">
        <is>
          <t>GOTLANDS LÄN</t>
        </is>
      </c>
      <c r="E515" t="inlineStr">
        <is>
          <t>GOTLAND</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3431-2025</t>
        </is>
      </c>
      <c r="B516" s="1" t="n">
        <v>45680.42935185185</v>
      </c>
      <c r="C516" s="1" t="n">
        <v>45996</v>
      </c>
      <c r="D516" t="inlineStr">
        <is>
          <t>GOTLANDS LÄN</t>
        </is>
      </c>
      <c r="E516" t="inlineStr">
        <is>
          <t>GOTLAND</t>
        </is>
      </c>
      <c r="G516" t="n">
        <v>4.8</v>
      </c>
      <c r="H516" t="n">
        <v>0</v>
      </c>
      <c r="I516" t="n">
        <v>0</v>
      </c>
      <c r="J516" t="n">
        <v>0</v>
      </c>
      <c r="K516" t="n">
        <v>0</v>
      </c>
      <c r="L516" t="n">
        <v>0</v>
      </c>
      <c r="M516" t="n">
        <v>0</v>
      </c>
      <c r="N516" t="n">
        <v>0</v>
      </c>
      <c r="O516" t="n">
        <v>0</v>
      </c>
      <c r="P516" t="n">
        <v>0</v>
      </c>
      <c r="Q516" t="n">
        <v>0</v>
      </c>
      <c r="R516" s="2" t="inlineStr"/>
    </row>
    <row r="517" ht="15" customHeight="1">
      <c r="A517" t="inlineStr">
        <is>
          <t>A 27596-2023</t>
        </is>
      </c>
      <c r="B517" s="1" t="n">
        <v>45097</v>
      </c>
      <c r="C517" s="1" t="n">
        <v>45996</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34407-2023</t>
        </is>
      </c>
      <c r="B518" s="1" t="n">
        <v>45132</v>
      </c>
      <c r="C518" s="1" t="n">
        <v>45996</v>
      </c>
      <c r="D518" t="inlineStr">
        <is>
          <t>GOTLANDS LÄN</t>
        </is>
      </c>
      <c r="E518" t="inlineStr">
        <is>
          <t>GOTLAND</t>
        </is>
      </c>
      <c r="G518" t="n">
        <v>4.4</v>
      </c>
      <c r="H518" t="n">
        <v>0</v>
      </c>
      <c r="I518" t="n">
        <v>0</v>
      </c>
      <c r="J518" t="n">
        <v>0</v>
      </c>
      <c r="K518" t="n">
        <v>0</v>
      </c>
      <c r="L518" t="n">
        <v>0</v>
      </c>
      <c r="M518" t="n">
        <v>0</v>
      </c>
      <c r="N518" t="n">
        <v>0</v>
      </c>
      <c r="O518" t="n">
        <v>0</v>
      </c>
      <c r="P518" t="n">
        <v>0</v>
      </c>
      <c r="Q518" t="n">
        <v>0</v>
      </c>
      <c r="R518" s="2" t="inlineStr"/>
    </row>
    <row r="519" ht="15" customHeight="1">
      <c r="A519" t="inlineStr">
        <is>
          <t>A 30892-2024</t>
        </is>
      </c>
      <c r="B519" s="1" t="n">
        <v>45491</v>
      </c>
      <c r="C519" s="1" t="n">
        <v>45996</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32958-2021</t>
        </is>
      </c>
      <c r="B520" s="1" t="n">
        <v>44376</v>
      </c>
      <c r="C520" s="1" t="n">
        <v>45996</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56115-2023</t>
        </is>
      </c>
      <c r="B521" s="1" t="n">
        <v>45236</v>
      </c>
      <c r="C521" s="1" t="n">
        <v>45996</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64969-2023</t>
        </is>
      </c>
      <c r="B522" s="1" t="n">
        <v>45284.54009259259</v>
      </c>
      <c r="C522" s="1" t="n">
        <v>45996</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33853-2024</t>
        </is>
      </c>
      <c r="B523" s="1" t="n">
        <v>45520.64298611111</v>
      </c>
      <c r="C523" s="1" t="n">
        <v>45996</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53561-2025</t>
        </is>
      </c>
      <c r="B524" s="1" t="n">
        <v>45960.4059375</v>
      </c>
      <c r="C524" s="1" t="n">
        <v>45996</v>
      </c>
      <c r="D524" t="inlineStr">
        <is>
          <t>GOTLANDS LÄN</t>
        </is>
      </c>
      <c r="E524" t="inlineStr">
        <is>
          <t>GOTLAND</t>
        </is>
      </c>
      <c r="F524" t="inlineStr">
        <is>
          <t>Övriga Aktiebolag</t>
        </is>
      </c>
      <c r="G524" t="n">
        <v>2.4</v>
      </c>
      <c r="H524" t="n">
        <v>0</v>
      </c>
      <c r="I524" t="n">
        <v>0</v>
      </c>
      <c r="J524" t="n">
        <v>0</v>
      </c>
      <c r="K524" t="n">
        <v>0</v>
      </c>
      <c r="L524" t="n">
        <v>0</v>
      </c>
      <c r="M524" t="n">
        <v>0</v>
      </c>
      <c r="N524" t="n">
        <v>0</v>
      </c>
      <c r="O524" t="n">
        <v>0</v>
      </c>
      <c r="P524" t="n">
        <v>0</v>
      </c>
      <c r="Q524" t="n">
        <v>0</v>
      </c>
      <c r="R524" s="2" t="inlineStr"/>
    </row>
    <row r="525" ht="15" customHeight="1">
      <c r="A525" t="inlineStr">
        <is>
          <t>A 18223-2025</t>
        </is>
      </c>
      <c r="B525" s="1" t="n">
        <v>45761</v>
      </c>
      <c r="C525" s="1" t="n">
        <v>45996</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7858-2025</t>
        </is>
      </c>
      <c r="B526" s="1" t="n">
        <v>45706.68633101852</v>
      </c>
      <c r="C526" s="1" t="n">
        <v>45996</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46545-2024</t>
        </is>
      </c>
      <c r="B527" s="1" t="n">
        <v>45582.65831018519</v>
      </c>
      <c r="C527" s="1" t="n">
        <v>45996</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999-2023</t>
        </is>
      </c>
      <c r="B528" s="1" t="n">
        <v>44935</v>
      </c>
      <c r="C528" s="1" t="n">
        <v>45996</v>
      </c>
      <c r="D528" t="inlineStr">
        <is>
          <t>GOTLANDS LÄN</t>
        </is>
      </c>
      <c r="E528" t="inlineStr">
        <is>
          <t>GOTLAND</t>
        </is>
      </c>
      <c r="G528" t="n">
        <v>4.7</v>
      </c>
      <c r="H528" t="n">
        <v>0</v>
      </c>
      <c r="I528" t="n">
        <v>0</v>
      </c>
      <c r="J528" t="n">
        <v>0</v>
      </c>
      <c r="K528" t="n">
        <v>0</v>
      </c>
      <c r="L528" t="n">
        <v>0</v>
      </c>
      <c r="M528" t="n">
        <v>0</v>
      </c>
      <c r="N528" t="n">
        <v>0</v>
      </c>
      <c r="O528" t="n">
        <v>0</v>
      </c>
      <c r="P528" t="n">
        <v>0</v>
      </c>
      <c r="Q528" t="n">
        <v>0</v>
      </c>
      <c r="R528" s="2" t="inlineStr"/>
    </row>
    <row r="529" ht="15" customHeight="1">
      <c r="A529" t="inlineStr">
        <is>
          <t>A 46949-2024</t>
        </is>
      </c>
      <c r="B529" s="1" t="n">
        <v>45585</v>
      </c>
      <c r="C529" s="1" t="n">
        <v>45996</v>
      </c>
      <c r="D529" t="inlineStr">
        <is>
          <t>GOTLANDS LÄN</t>
        </is>
      </c>
      <c r="E529" t="inlineStr">
        <is>
          <t>GOTLAND</t>
        </is>
      </c>
      <c r="G529" t="n">
        <v>0.6</v>
      </c>
      <c r="H529" t="n">
        <v>0</v>
      </c>
      <c r="I529" t="n">
        <v>0</v>
      </c>
      <c r="J529" t="n">
        <v>0</v>
      </c>
      <c r="K529" t="n">
        <v>0</v>
      </c>
      <c r="L529" t="n">
        <v>0</v>
      </c>
      <c r="M529" t="n">
        <v>0</v>
      </c>
      <c r="N529" t="n">
        <v>0</v>
      </c>
      <c r="O529" t="n">
        <v>0</v>
      </c>
      <c r="P529" t="n">
        <v>0</v>
      </c>
      <c r="Q529" t="n">
        <v>0</v>
      </c>
      <c r="R529" s="2" t="inlineStr"/>
    </row>
    <row r="530" ht="15" customHeight="1">
      <c r="A530" t="inlineStr">
        <is>
          <t>A 1364-2025</t>
        </is>
      </c>
      <c r="B530" s="1" t="n">
        <v>45667.63929398148</v>
      </c>
      <c r="C530" s="1" t="n">
        <v>45996</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2125-2025</t>
        </is>
      </c>
      <c r="B531" s="1" t="n">
        <v>45672.64940972222</v>
      </c>
      <c r="C531" s="1" t="n">
        <v>45996</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24001-2021</t>
        </is>
      </c>
      <c r="B532" s="1" t="n">
        <v>44335</v>
      </c>
      <c r="C532" s="1" t="n">
        <v>45996</v>
      </c>
      <c r="D532" t="inlineStr">
        <is>
          <t>GOTLANDS LÄN</t>
        </is>
      </c>
      <c r="E532" t="inlineStr">
        <is>
          <t>GOTLAND</t>
        </is>
      </c>
      <c r="G532" t="n">
        <v>3.4</v>
      </c>
      <c r="H532" t="n">
        <v>0</v>
      </c>
      <c r="I532" t="n">
        <v>0</v>
      </c>
      <c r="J532" t="n">
        <v>0</v>
      </c>
      <c r="K532" t="n">
        <v>0</v>
      </c>
      <c r="L532" t="n">
        <v>0</v>
      </c>
      <c r="M532" t="n">
        <v>0</v>
      </c>
      <c r="N532" t="n">
        <v>0</v>
      </c>
      <c r="O532" t="n">
        <v>0</v>
      </c>
      <c r="P532" t="n">
        <v>0</v>
      </c>
      <c r="Q532" t="n">
        <v>0</v>
      </c>
      <c r="R532" s="2" t="inlineStr"/>
    </row>
    <row r="533" ht="15" customHeight="1">
      <c r="A533" t="inlineStr">
        <is>
          <t>A 39479-2022</t>
        </is>
      </c>
      <c r="B533" s="1" t="n">
        <v>44818</v>
      </c>
      <c r="C533" s="1" t="n">
        <v>45996</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39496-2022</t>
        </is>
      </c>
      <c r="B534" s="1" t="n">
        <v>44818</v>
      </c>
      <c r="C534" s="1" t="n">
        <v>45996</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14141-2024</t>
        </is>
      </c>
      <c r="B535" s="1" t="n">
        <v>45392.85193287037</v>
      </c>
      <c r="C535" s="1" t="n">
        <v>45996</v>
      </c>
      <c r="D535" t="inlineStr">
        <is>
          <t>GOTLANDS LÄN</t>
        </is>
      </c>
      <c r="E535" t="inlineStr">
        <is>
          <t>GOTLAND</t>
        </is>
      </c>
      <c r="G535" t="n">
        <v>5.3</v>
      </c>
      <c r="H535" t="n">
        <v>0</v>
      </c>
      <c r="I535" t="n">
        <v>0</v>
      </c>
      <c r="J535" t="n">
        <v>0</v>
      </c>
      <c r="K535" t="n">
        <v>0</v>
      </c>
      <c r="L535" t="n">
        <v>0</v>
      </c>
      <c r="M535" t="n">
        <v>0</v>
      </c>
      <c r="N535" t="n">
        <v>0</v>
      </c>
      <c r="O535" t="n">
        <v>0</v>
      </c>
      <c r="P535" t="n">
        <v>0</v>
      </c>
      <c r="Q535" t="n">
        <v>0</v>
      </c>
      <c r="R535" s="2" t="inlineStr"/>
    </row>
    <row r="536" ht="15" customHeight="1">
      <c r="A536" t="inlineStr">
        <is>
          <t>A 12155-2023</t>
        </is>
      </c>
      <c r="B536" s="1" t="n">
        <v>44998.49106481481</v>
      </c>
      <c r="C536" s="1" t="n">
        <v>45996</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46389-2021</t>
        </is>
      </c>
      <c r="B537" s="1" t="n">
        <v>44443</v>
      </c>
      <c r="C537" s="1" t="n">
        <v>45996</v>
      </c>
      <c r="D537" t="inlineStr">
        <is>
          <t>GOTLANDS LÄN</t>
        </is>
      </c>
      <c r="E537" t="inlineStr">
        <is>
          <t>GOTLAND</t>
        </is>
      </c>
      <c r="F537" t="inlineStr">
        <is>
          <t>Kyrkan</t>
        </is>
      </c>
      <c r="G537" t="n">
        <v>2.1</v>
      </c>
      <c r="H537" t="n">
        <v>0</v>
      </c>
      <c r="I537" t="n">
        <v>0</v>
      </c>
      <c r="J537" t="n">
        <v>0</v>
      </c>
      <c r="K537" t="n">
        <v>0</v>
      </c>
      <c r="L537" t="n">
        <v>0</v>
      </c>
      <c r="M537" t="n">
        <v>0</v>
      </c>
      <c r="N537" t="n">
        <v>0</v>
      </c>
      <c r="O537" t="n">
        <v>0</v>
      </c>
      <c r="P537" t="n">
        <v>0</v>
      </c>
      <c r="Q537" t="n">
        <v>0</v>
      </c>
      <c r="R537" s="2" t="inlineStr"/>
    </row>
    <row r="538" ht="15" customHeight="1">
      <c r="A538" t="inlineStr">
        <is>
          <t>A 2774-2024</t>
        </is>
      </c>
      <c r="B538" s="1" t="n">
        <v>45314.62375</v>
      </c>
      <c r="C538" s="1" t="n">
        <v>45996</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44949-2023</t>
        </is>
      </c>
      <c r="B539" s="1" t="n">
        <v>45190.69520833333</v>
      </c>
      <c r="C539" s="1" t="n">
        <v>45996</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9947-2024</t>
        </is>
      </c>
      <c r="B540" s="1" t="n">
        <v>45363</v>
      </c>
      <c r="C540" s="1" t="n">
        <v>45996</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42007-2023</t>
        </is>
      </c>
      <c r="B541" s="1" t="n">
        <v>45177</v>
      </c>
      <c r="C541" s="1" t="n">
        <v>45996</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17682-2024</t>
        </is>
      </c>
      <c r="B542" s="1" t="n">
        <v>45418.42966435185</v>
      </c>
      <c r="C542" s="1" t="n">
        <v>45996</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54584-2025</t>
        </is>
      </c>
      <c r="B543" s="1" t="n">
        <v>45965.71788194445</v>
      </c>
      <c r="C543" s="1" t="n">
        <v>45996</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61897-2024</t>
        </is>
      </c>
      <c r="B544" s="1" t="n">
        <v>45652.75685185185</v>
      </c>
      <c r="C544" s="1" t="n">
        <v>45996</v>
      </c>
      <c r="D544" t="inlineStr">
        <is>
          <t>GOTLANDS LÄN</t>
        </is>
      </c>
      <c r="E544" t="inlineStr">
        <is>
          <t>GOTLAND</t>
        </is>
      </c>
      <c r="G544" t="n">
        <v>6.4</v>
      </c>
      <c r="H544" t="n">
        <v>0</v>
      </c>
      <c r="I544" t="n">
        <v>0</v>
      </c>
      <c r="J544" t="n">
        <v>0</v>
      </c>
      <c r="K544" t="n">
        <v>0</v>
      </c>
      <c r="L544" t="n">
        <v>0</v>
      </c>
      <c r="M544" t="n">
        <v>0</v>
      </c>
      <c r="N544" t="n">
        <v>0</v>
      </c>
      <c r="O544" t="n">
        <v>0</v>
      </c>
      <c r="P544" t="n">
        <v>0</v>
      </c>
      <c r="Q544" t="n">
        <v>0</v>
      </c>
      <c r="R544" s="2" t="inlineStr"/>
    </row>
    <row r="545" ht="15" customHeight="1">
      <c r="A545" t="inlineStr">
        <is>
          <t>A 12032-2025</t>
        </is>
      </c>
      <c r="B545" s="1" t="n">
        <v>45728.64472222222</v>
      </c>
      <c r="C545" s="1" t="n">
        <v>45996</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15595-2024</t>
        </is>
      </c>
      <c r="B546" s="1" t="n">
        <v>45401.81480324074</v>
      </c>
      <c r="C546" s="1" t="n">
        <v>45996</v>
      </c>
      <c r="D546" t="inlineStr">
        <is>
          <t>GOTLANDS LÄN</t>
        </is>
      </c>
      <c r="E546" t="inlineStr">
        <is>
          <t>GOTLAND</t>
        </is>
      </c>
      <c r="G546" t="n">
        <v>6.4</v>
      </c>
      <c r="H546" t="n">
        <v>0</v>
      </c>
      <c r="I546" t="n">
        <v>0</v>
      </c>
      <c r="J546" t="n">
        <v>0</v>
      </c>
      <c r="K546" t="n">
        <v>0</v>
      </c>
      <c r="L546" t="n">
        <v>0</v>
      </c>
      <c r="M546" t="n">
        <v>0</v>
      </c>
      <c r="N546" t="n">
        <v>0</v>
      </c>
      <c r="O546" t="n">
        <v>0</v>
      </c>
      <c r="P546" t="n">
        <v>0</v>
      </c>
      <c r="Q546" t="n">
        <v>0</v>
      </c>
      <c r="R546" s="2" t="inlineStr"/>
    </row>
    <row r="547" ht="15" customHeight="1">
      <c r="A547" t="inlineStr">
        <is>
          <t>A 15083-2025</t>
        </is>
      </c>
      <c r="B547" s="1" t="n">
        <v>45743</v>
      </c>
      <c r="C547" s="1" t="n">
        <v>45996</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21164-2024</t>
        </is>
      </c>
      <c r="B548" s="1" t="n">
        <v>45440</v>
      </c>
      <c r="C548" s="1" t="n">
        <v>45996</v>
      </c>
      <c r="D548" t="inlineStr">
        <is>
          <t>GOTLANDS LÄN</t>
        </is>
      </c>
      <c r="E548" t="inlineStr">
        <is>
          <t>GOTLAND</t>
        </is>
      </c>
      <c r="G548" t="n">
        <v>6.3</v>
      </c>
      <c r="H548" t="n">
        <v>0</v>
      </c>
      <c r="I548" t="n">
        <v>0</v>
      </c>
      <c r="J548" t="n">
        <v>0</v>
      </c>
      <c r="K548" t="n">
        <v>0</v>
      </c>
      <c r="L548" t="n">
        <v>0</v>
      </c>
      <c r="M548" t="n">
        <v>0</v>
      </c>
      <c r="N548" t="n">
        <v>0</v>
      </c>
      <c r="O548" t="n">
        <v>0</v>
      </c>
      <c r="P548" t="n">
        <v>0</v>
      </c>
      <c r="Q548" t="n">
        <v>0</v>
      </c>
      <c r="R548" s="2" t="inlineStr"/>
    </row>
    <row r="549" ht="15" customHeight="1">
      <c r="A549" t="inlineStr">
        <is>
          <t>A 17541-2024</t>
        </is>
      </c>
      <c r="B549" s="1" t="n">
        <v>45415</v>
      </c>
      <c r="C549" s="1" t="n">
        <v>45996</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883-2025</t>
        </is>
      </c>
      <c r="B550" s="1" t="n">
        <v>45665</v>
      </c>
      <c r="C550" s="1" t="n">
        <v>45996</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13910-2025</t>
        </is>
      </c>
      <c r="B551" s="1" t="n">
        <v>45737</v>
      </c>
      <c r="C551" s="1" t="n">
        <v>45996</v>
      </c>
      <c r="D551" t="inlineStr">
        <is>
          <t>GOTLANDS LÄN</t>
        </is>
      </c>
      <c r="E551" t="inlineStr">
        <is>
          <t>GOTLAND</t>
        </is>
      </c>
      <c r="F551" t="inlineStr">
        <is>
          <t>Kommuner</t>
        </is>
      </c>
      <c r="G551" t="n">
        <v>3.2</v>
      </c>
      <c r="H551" t="n">
        <v>0</v>
      </c>
      <c r="I551" t="n">
        <v>0</v>
      </c>
      <c r="J551" t="n">
        <v>0</v>
      </c>
      <c r="K551" t="n">
        <v>0</v>
      </c>
      <c r="L551" t="n">
        <v>0</v>
      </c>
      <c r="M551" t="n">
        <v>0</v>
      </c>
      <c r="N551" t="n">
        <v>0</v>
      </c>
      <c r="O551" t="n">
        <v>0</v>
      </c>
      <c r="P551" t="n">
        <v>0</v>
      </c>
      <c r="Q551" t="n">
        <v>0</v>
      </c>
      <c r="R551" s="2" t="inlineStr"/>
    </row>
    <row r="552" ht="15" customHeight="1">
      <c r="A552" t="inlineStr">
        <is>
          <t>A 20794-2025</t>
        </is>
      </c>
      <c r="B552" s="1" t="n">
        <v>45776</v>
      </c>
      <c r="C552" s="1" t="n">
        <v>45996</v>
      </c>
      <c r="D552" t="inlineStr">
        <is>
          <t>GOTLANDS LÄN</t>
        </is>
      </c>
      <c r="E552" t="inlineStr">
        <is>
          <t>GOTLAND</t>
        </is>
      </c>
      <c r="G552" t="n">
        <v>6</v>
      </c>
      <c r="H552" t="n">
        <v>0</v>
      </c>
      <c r="I552" t="n">
        <v>0</v>
      </c>
      <c r="J552" t="n">
        <v>0</v>
      </c>
      <c r="K552" t="n">
        <v>0</v>
      </c>
      <c r="L552" t="n">
        <v>0</v>
      </c>
      <c r="M552" t="n">
        <v>0</v>
      </c>
      <c r="N552" t="n">
        <v>0</v>
      </c>
      <c r="O552" t="n">
        <v>0</v>
      </c>
      <c r="P552" t="n">
        <v>0</v>
      </c>
      <c r="Q552" t="n">
        <v>0</v>
      </c>
      <c r="R552" s="2" t="inlineStr"/>
    </row>
    <row r="553" ht="15" customHeight="1">
      <c r="A553" t="inlineStr">
        <is>
          <t>A 1066-2024</t>
        </is>
      </c>
      <c r="B553" s="1" t="n">
        <v>45302.285</v>
      </c>
      <c r="C553" s="1" t="n">
        <v>45996</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20805-2025</t>
        </is>
      </c>
      <c r="B554" s="1" t="n">
        <v>45776</v>
      </c>
      <c r="C554" s="1" t="n">
        <v>45996</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37202-2024</t>
        </is>
      </c>
      <c r="B555" s="1" t="n">
        <v>45539.67310185185</v>
      </c>
      <c r="C555" s="1" t="n">
        <v>45996</v>
      </c>
      <c r="D555" t="inlineStr">
        <is>
          <t>GOTLANDS LÄN</t>
        </is>
      </c>
      <c r="E555" t="inlineStr">
        <is>
          <t>GOTLAND</t>
        </is>
      </c>
      <c r="G555" t="n">
        <v>0.3</v>
      </c>
      <c r="H555" t="n">
        <v>0</v>
      </c>
      <c r="I555" t="n">
        <v>0</v>
      </c>
      <c r="J555" t="n">
        <v>0</v>
      </c>
      <c r="K555" t="n">
        <v>0</v>
      </c>
      <c r="L555" t="n">
        <v>0</v>
      </c>
      <c r="M555" t="n">
        <v>0</v>
      </c>
      <c r="N555" t="n">
        <v>0</v>
      </c>
      <c r="O555" t="n">
        <v>0</v>
      </c>
      <c r="P555" t="n">
        <v>0</v>
      </c>
      <c r="Q555" t="n">
        <v>0</v>
      </c>
      <c r="R555" s="2" t="inlineStr"/>
    </row>
    <row r="556" ht="15" customHeight="1">
      <c r="A556" t="inlineStr">
        <is>
          <t>A 21389-2025</t>
        </is>
      </c>
      <c r="B556" s="1" t="n">
        <v>45782</v>
      </c>
      <c r="C556" s="1" t="n">
        <v>45996</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30815-2023</t>
        </is>
      </c>
      <c r="B557" s="1" t="n">
        <v>45112</v>
      </c>
      <c r="C557" s="1" t="n">
        <v>45996</v>
      </c>
      <c r="D557" t="inlineStr">
        <is>
          <t>GOTLANDS LÄN</t>
        </is>
      </c>
      <c r="E557" t="inlineStr">
        <is>
          <t>GOTLAND</t>
        </is>
      </c>
      <c r="G557" t="n">
        <v>6</v>
      </c>
      <c r="H557" t="n">
        <v>0</v>
      </c>
      <c r="I557" t="n">
        <v>0</v>
      </c>
      <c r="J557" t="n">
        <v>0</v>
      </c>
      <c r="K557" t="n">
        <v>0</v>
      </c>
      <c r="L557" t="n">
        <v>0</v>
      </c>
      <c r="M557" t="n">
        <v>0</v>
      </c>
      <c r="N557" t="n">
        <v>0</v>
      </c>
      <c r="O557" t="n">
        <v>0</v>
      </c>
      <c r="P557" t="n">
        <v>0</v>
      </c>
      <c r="Q557" t="n">
        <v>0</v>
      </c>
      <c r="R557" s="2" t="inlineStr"/>
    </row>
    <row r="558" ht="15" customHeight="1">
      <c r="A558" t="inlineStr">
        <is>
          <t>A 46400-2023</t>
        </is>
      </c>
      <c r="B558" s="1" t="n">
        <v>45197.49290509259</v>
      </c>
      <c r="C558" s="1" t="n">
        <v>45996</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10492-2023</t>
        </is>
      </c>
      <c r="B559" s="1" t="n">
        <v>44987</v>
      </c>
      <c r="C559" s="1" t="n">
        <v>45996</v>
      </c>
      <c r="D559" t="inlineStr">
        <is>
          <t>GOTLANDS LÄN</t>
        </is>
      </c>
      <c r="E559" t="inlineStr">
        <is>
          <t>GOTLAND</t>
        </is>
      </c>
      <c r="G559" t="n">
        <v>1</v>
      </c>
      <c r="H559" t="n">
        <v>0</v>
      </c>
      <c r="I559" t="n">
        <v>0</v>
      </c>
      <c r="J559" t="n">
        <v>0</v>
      </c>
      <c r="K559" t="n">
        <v>0</v>
      </c>
      <c r="L559" t="n">
        <v>0</v>
      </c>
      <c r="M559" t="n">
        <v>0</v>
      </c>
      <c r="N559" t="n">
        <v>0</v>
      </c>
      <c r="O559" t="n">
        <v>0</v>
      </c>
      <c r="P559" t="n">
        <v>0</v>
      </c>
      <c r="Q559" t="n">
        <v>0</v>
      </c>
      <c r="R559" s="2" t="inlineStr"/>
    </row>
    <row r="560" ht="15" customHeight="1">
      <c r="A560" t="inlineStr">
        <is>
          <t>A 21651-2025</t>
        </is>
      </c>
      <c r="B560" s="1" t="n">
        <v>45783</v>
      </c>
      <c r="C560" s="1" t="n">
        <v>45996</v>
      </c>
      <c r="D560" t="inlineStr">
        <is>
          <t>GOTLANDS LÄN</t>
        </is>
      </c>
      <c r="E560" t="inlineStr">
        <is>
          <t>GOTLAND</t>
        </is>
      </c>
      <c r="G560" t="n">
        <v>4.2</v>
      </c>
      <c r="H560" t="n">
        <v>0</v>
      </c>
      <c r="I560" t="n">
        <v>0</v>
      </c>
      <c r="J560" t="n">
        <v>0</v>
      </c>
      <c r="K560" t="n">
        <v>0</v>
      </c>
      <c r="L560" t="n">
        <v>0</v>
      </c>
      <c r="M560" t="n">
        <v>0</v>
      </c>
      <c r="N560" t="n">
        <v>0</v>
      </c>
      <c r="O560" t="n">
        <v>0</v>
      </c>
      <c r="P560" t="n">
        <v>0</v>
      </c>
      <c r="Q560" t="n">
        <v>0</v>
      </c>
      <c r="R560" s="2" t="inlineStr"/>
    </row>
    <row r="561" ht="15" customHeight="1">
      <c r="A561" t="inlineStr">
        <is>
          <t>A 44919-2022</t>
        </is>
      </c>
      <c r="B561" s="1" t="n">
        <v>44841</v>
      </c>
      <c r="C561" s="1" t="n">
        <v>45996</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16501-2023</t>
        </is>
      </c>
      <c r="B562" s="1" t="n">
        <v>45029</v>
      </c>
      <c r="C562" s="1" t="n">
        <v>45996</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45996</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458-2023</t>
        </is>
      </c>
      <c r="B564" s="1" t="n">
        <v>44929</v>
      </c>
      <c r="C564" s="1" t="n">
        <v>45996</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44936.47561342592</v>
      </c>
      <c r="C565" s="1" t="n">
        <v>45996</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32330-2024</t>
        </is>
      </c>
      <c r="B566" s="1" t="n">
        <v>45512</v>
      </c>
      <c r="C566" s="1" t="n">
        <v>45996</v>
      </c>
      <c r="D566" t="inlineStr">
        <is>
          <t>GOTLANDS LÄN</t>
        </is>
      </c>
      <c r="E566" t="inlineStr">
        <is>
          <t>GOTLAND</t>
        </is>
      </c>
      <c r="G566" t="n">
        <v>2.6</v>
      </c>
      <c r="H566" t="n">
        <v>0</v>
      </c>
      <c r="I566" t="n">
        <v>0</v>
      </c>
      <c r="J566" t="n">
        <v>0</v>
      </c>
      <c r="K566" t="n">
        <v>0</v>
      </c>
      <c r="L566" t="n">
        <v>0</v>
      </c>
      <c r="M566" t="n">
        <v>0</v>
      </c>
      <c r="N566" t="n">
        <v>0</v>
      </c>
      <c r="O566" t="n">
        <v>0</v>
      </c>
      <c r="P566" t="n">
        <v>0</v>
      </c>
      <c r="Q566" t="n">
        <v>0</v>
      </c>
      <c r="R566" s="2" t="inlineStr"/>
    </row>
    <row r="567" ht="15" customHeight="1">
      <c r="A567" t="inlineStr">
        <is>
          <t>A 21420-2024</t>
        </is>
      </c>
      <c r="B567" s="1" t="n">
        <v>45441.38293981482</v>
      </c>
      <c r="C567" s="1" t="n">
        <v>45996</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10656-2024</t>
        </is>
      </c>
      <c r="B568" s="1" t="n">
        <v>45368</v>
      </c>
      <c r="C568" s="1" t="n">
        <v>45996</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5891-2025</t>
        </is>
      </c>
      <c r="B569" s="1" t="n">
        <v>45695.38327546296</v>
      </c>
      <c r="C569" s="1" t="n">
        <v>45996</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57356-2023</t>
        </is>
      </c>
      <c r="B570" s="1" t="n">
        <v>45240</v>
      </c>
      <c r="C570" s="1" t="n">
        <v>45996</v>
      </c>
      <c r="D570" t="inlineStr">
        <is>
          <t>GOTLANDS LÄN</t>
        </is>
      </c>
      <c r="E570" t="inlineStr">
        <is>
          <t>GOTLAND</t>
        </is>
      </c>
      <c r="G570" t="n">
        <v>6.4</v>
      </c>
      <c r="H570" t="n">
        <v>0</v>
      </c>
      <c r="I570" t="n">
        <v>0</v>
      </c>
      <c r="J570" t="n">
        <v>0</v>
      </c>
      <c r="K570" t="n">
        <v>0</v>
      </c>
      <c r="L570" t="n">
        <v>0</v>
      </c>
      <c r="M570" t="n">
        <v>0</v>
      </c>
      <c r="N570" t="n">
        <v>0</v>
      </c>
      <c r="O570" t="n">
        <v>0</v>
      </c>
      <c r="P570" t="n">
        <v>0</v>
      </c>
      <c r="Q570" t="n">
        <v>0</v>
      </c>
      <c r="R570" s="2" t="inlineStr"/>
    </row>
    <row r="571" ht="15" customHeight="1">
      <c r="A571" t="inlineStr">
        <is>
          <t>A 28506-2023</t>
        </is>
      </c>
      <c r="B571" s="1" t="n">
        <v>45103</v>
      </c>
      <c r="C571" s="1" t="n">
        <v>45996</v>
      </c>
      <c r="D571" t="inlineStr">
        <is>
          <t>GOTLANDS LÄN</t>
        </is>
      </c>
      <c r="E571" t="inlineStr">
        <is>
          <t>GOTLAND</t>
        </is>
      </c>
      <c r="G571" t="n">
        <v>3.2</v>
      </c>
      <c r="H571" t="n">
        <v>0</v>
      </c>
      <c r="I571" t="n">
        <v>0</v>
      </c>
      <c r="J571" t="n">
        <v>0</v>
      </c>
      <c r="K571" t="n">
        <v>0</v>
      </c>
      <c r="L571" t="n">
        <v>0</v>
      </c>
      <c r="M571" t="n">
        <v>0</v>
      </c>
      <c r="N571" t="n">
        <v>0</v>
      </c>
      <c r="O571" t="n">
        <v>0</v>
      </c>
      <c r="P571" t="n">
        <v>0</v>
      </c>
      <c r="Q571" t="n">
        <v>0</v>
      </c>
      <c r="R571" s="2" t="inlineStr"/>
    </row>
    <row r="572" ht="15" customHeight="1">
      <c r="A572" t="inlineStr">
        <is>
          <t>A 14804-2021</t>
        </is>
      </c>
      <c r="B572" s="1" t="n">
        <v>44280</v>
      </c>
      <c r="C572" s="1" t="n">
        <v>45996</v>
      </c>
      <c r="D572" t="inlineStr">
        <is>
          <t>GOTLANDS LÄN</t>
        </is>
      </c>
      <c r="E572" t="inlineStr">
        <is>
          <t>GOTLAND</t>
        </is>
      </c>
      <c r="G572" t="n">
        <v>2.2</v>
      </c>
      <c r="H572" t="n">
        <v>0</v>
      </c>
      <c r="I572" t="n">
        <v>0</v>
      </c>
      <c r="J572" t="n">
        <v>0</v>
      </c>
      <c r="K572" t="n">
        <v>0</v>
      </c>
      <c r="L572" t="n">
        <v>0</v>
      </c>
      <c r="M572" t="n">
        <v>0</v>
      </c>
      <c r="N572" t="n">
        <v>0</v>
      </c>
      <c r="O572" t="n">
        <v>0</v>
      </c>
      <c r="P572" t="n">
        <v>0</v>
      </c>
      <c r="Q572" t="n">
        <v>0</v>
      </c>
      <c r="R572" s="2" t="inlineStr"/>
    </row>
    <row r="573" ht="15" customHeight="1">
      <c r="A573" t="inlineStr">
        <is>
          <t>A 26391-2025</t>
        </is>
      </c>
      <c r="B573" s="1" t="n">
        <v>45806</v>
      </c>
      <c r="C573" s="1" t="n">
        <v>45996</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23188-2025</t>
        </is>
      </c>
      <c r="B574" s="1" t="n">
        <v>45791</v>
      </c>
      <c r="C574" s="1" t="n">
        <v>45996</v>
      </c>
      <c r="D574" t="inlineStr">
        <is>
          <t>GOTLANDS LÄN</t>
        </is>
      </c>
      <c r="E574" t="inlineStr">
        <is>
          <t>GOTLAND</t>
        </is>
      </c>
      <c r="G574" t="n">
        <v>6.2</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44944.55361111111</v>
      </c>
      <c r="C575" s="1" t="n">
        <v>45996</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17144-2025</t>
        </is>
      </c>
      <c r="B576" s="1" t="n">
        <v>45755.9499537037</v>
      </c>
      <c r="C576" s="1" t="n">
        <v>45996</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49314-2024</t>
        </is>
      </c>
      <c r="B577" s="1" t="n">
        <v>45595.55893518519</v>
      </c>
      <c r="C577" s="1" t="n">
        <v>45996</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9875-2025</t>
        </is>
      </c>
      <c r="B578" s="1" t="n">
        <v>45716</v>
      </c>
      <c r="C578" s="1" t="n">
        <v>45996</v>
      </c>
      <c r="D578" t="inlineStr">
        <is>
          <t>GOTLANDS LÄN</t>
        </is>
      </c>
      <c r="E578" t="inlineStr">
        <is>
          <t>GOTLAND</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29809-2022</t>
        </is>
      </c>
      <c r="B579" s="1" t="n">
        <v>44755.8713425926</v>
      </c>
      <c r="C579" s="1" t="n">
        <v>45996</v>
      </c>
      <c r="D579" t="inlineStr">
        <is>
          <t>GOTLANDS LÄN</t>
        </is>
      </c>
      <c r="E579" t="inlineStr">
        <is>
          <t>GOTLAND</t>
        </is>
      </c>
      <c r="G579" t="n">
        <v>11.5</v>
      </c>
      <c r="H579" t="n">
        <v>0</v>
      </c>
      <c r="I579" t="n">
        <v>0</v>
      </c>
      <c r="J579" t="n">
        <v>0</v>
      </c>
      <c r="K579" t="n">
        <v>0</v>
      </c>
      <c r="L579" t="n">
        <v>0</v>
      </c>
      <c r="M579" t="n">
        <v>0</v>
      </c>
      <c r="N579" t="n">
        <v>0</v>
      </c>
      <c r="O579" t="n">
        <v>0</v>
      </c>
      <c r="P579" t="n">
        <v>0</v>
      </c>
      <c r="Q579" t="n">
        <v>0</v>
      </c>
      <c r="R579" s="2" t="inlineStr"/>
    </row>
    <row r="580" ht="15" customHeight="1">
      <c r="A580" t="inlineStr">
        <is>
          <t>A 23856-2025</t>
        </is>
      </c>
      <c r="B580" s="1" t="n">
        <v>45793</v>
      </c>
      <c r="C580" s="1" t="n">
        <v>45996</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23473-2025</t>
        </is>
      </c>
      <c r="B581" s="1" t="n">
        <v>45792</v>
      </c>
      <c r="C581" s="1" t="n">
        <v>45996</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16361-2024</t>
        </is>
      </c>
      <c r="B582" s="1" t="n">
        <v>45407</v>
      </c>
      <c r="C582" s="1" t="n">
        <v>45996</v>
      </c>
      <c r="D582" t="inlineStr">
        <is>
          <t>GOTLANDS LÄN</t>
        </is>
      </c>
      <c r="E582" t="inlineStr">
        <is>
          <t>GOTLAND</t>
        </is>
      </c>
      <c r="G582" t="n">
        <v>6</v>
      </c>
      <c r="H582" t="n">
        <v>0</v>
      </c>
      <c r="I582" t="n">
        <v>0</v>
      </c>
      <c r="J582" t="n">
        <v>0</v>
      </c>
      <c r="K582" t="n">
        <v>0</v>
      </c>
      <c r="L582" t="n">
        <v>0</v>
      </c>
      <c r="M582" t="n">
        <v>0</v>
      </c>
      <c r="N582" t="n">
        <v>0</v>
      </c>
      <c r="O582" t="n">
        <v>0</v>
      </c>
      <c r="P582" t="n">
        <v>0</v>
      </c>
      <c r="Q582" t="n">
        <v>0</v>
      </c>
      <c r="R582" s="2" t="inlineStr"/>
    </row>
    <row r="583" ht="15" customHeight="1">
      <c r="A583" t="inlineStr">
        <is>
          <t>A 23698-2025</t>
        </is>
      </c>
      <c r="B583" s="1" t="n">
        <v>45793</v>
      </c>
      <c r="C583" s="1" t="n">
        <v>45996</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43081-2022</t>
        </is>
      </c>
      <c r="B584" s="1" t="n">
        <v>44833</v>
      </c>
      <c r="C584" s="1" t="n">
        <v>45996</v>
      </c>
      <c r="D584" t="inlineStr">
        <is>
          <t>GOTLANDS LÄN</t>
        </is>
      </c>
      <c r="E584" t="inlineStr">
        <is>
          <t>GOTLAND</t>
        </is>
      </c>
      <c r="G584" t="n">
        <v>6.8</v>
      </c>
      <c r="H584" t="n">
        <v>0</v>
      </c>
      <c r="I584" t="n">
        <v>0</v>
      </c>
      <c r="J584" t="n">
        <v>0</v>
      </c>
      <c r="K584" t="n">
        <v>0</v>
      </c>
      <c r="L584" t="n">
        <v>0</v>
      </c>
      <c r="M584" t="n">
        <v>0</v>
      </c>
      <c r="N584" t="n">
        <v>0</v>
      </c>
      <c r="O584" t="n">
        <v>0</v>
      </c>
      <c r="P584" t="n">
        <v>0</v>
      </c>
      <c r="Q584" t="n">
        <v>0</v>
      </c>
      <c r="R584" s="2" t="inlineStr"/>
    </row>
    <row r="585" ht="15" customHeight="1">
      <c r="A585" t="inlineStr">
        <is>
          <t>A 15073-2025</t>
        </is>
      </c>
      <c r="B585" s="1" t="n">
        <v>45743</v>
      </c>
      <c r="C585" s="1" t="n">
        <v>45996</v>
      </c>
      <c r="D585" t="inlineStr">
        <is>
          <t>GOTLANDS LÄN</t>
        </is>
      </c>
      <c r="E585" t="inlineStr">
        <is>
          <t>GOTLAND</t>
        </is>
      </c>
      <c r="G585" t="n">
        <v>12.1</v>
      </c>
      <c r="H585" t="n">
        <v>0</v>
      </c>
      <c r="I585" t="n">
        <v>0</v>
      </c>
      <c r="J585" t="n">
        <v>0</v>
      </c>
      <c r="K585" t="n">
        <v>0</v>
      </c>
      <c r="L585" t="n">
        <v>0</v>
      </c>
      <c r="M585" t="n">
        <v>0</v>
      </c>
      <c r="N585" t="n">
        <v>0</v>
      </c>
      <c r="O585" t="n">
        <v>0</v>
      </c>
      <c r="P585" t="n">
        <v>0</v>
      </c>
      <c r="Q585" t="n">
        <v>0</v>
      </c>
      <c r="R585" s="2" t="inlineStr"/>
    </row>
    <row r="586" ht="15" customHeight="1">
      <c r="A586" t="inlineStr">
        <is>
          <t>A 46836-2025</t>
        </is>
      </c>
      <c r="B586" s="1" t="n">
        <v>45928.31511574074</v>
      </c>
      <c r="C586" s="1" t="n">
        <v>45996</v>
      </c>
      <c r="D586" t="inlineStr">
        <is>
          <t>GOTLANDS LÄN</t>
        </is>
      </c>
      <c r="E586" t="inlineStr">
        <is>
          <t>GOTLAND</t>
        </is>
      </c>
      <c r="G586" t="n">
        <v>2.8</v>
      </c>
      <c r="H586" t="n">
        <v>0</v>
      </c>
      <c r="I586" t="n">
        <v>0</v>
      </c>
      <c r="J586" t="n">
        <v>0</v>
      </c>
      <c r="K586" t="n">
        <v>0</v>
      </c>
      <c r="L586" t="n">
        <v>0</v>
      </c>
      <c r="M586" t="n">
        <v>0</v>
      </c>
      <c r="N586" t="n">
        <v>0</v>
      </c>
      <c r="O586" t="n">
        <v>0</v>
      </c>
      <c r="P586" t="n">
        <v>0</v>
      </c>
      <c r="Q586" t="n">
        <v>0</v>
      </c>
      <c r="R586" s="2" t="inlineStr"/>
    </row>
    <row r="587" ht="15" customHeight="1">
      <c r="A587" t="inlineStr">
        <is>
          <t>A 1175-2025</t>
        </is>
      </c>
      <c r="B587" s="1" t="n">
        <v>45667.34449074074</v>
      </c>
      <c r="C587" s="1" t="n">
        <v>45996</v>
      </c>
      <c r="D587" t="inlineStr">
        <is>
          <t>GOTLANDS LÄN</t>
        </is>
      </c>
      <c r="E587" t="inlineStr">
        <is>
          <t>GOTLAND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47637-2025</t>
        </is>
      </c>
      <c r="B588" s="1" t="n">
        <v>45931.49753472222</v>
      </c>
      <c r="C588" s="1" t="n">
        <v>45996</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32378-2025</t>
        </is>
      </c>
      <c r="B589" s="1" t="n">
        <v>45837</v>
      </c>
      <c r="C589" s="1" t="n">
        <v>45996</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56799-2025</t>
        </is>
      </c>
      <c r="B590" s="1" t="n">
        <v>45978.43392361111</v>
      </c>
      <c r="C590" s="1" t="n">
        <v>45996</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56688-2025</t>
        </is>
      </c>
      <c r="B591" s="1" t="n">
        <v>45975.84331018518</v>
      </c>
      <c r="C591" s="1" t="n">
        <v>45996</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47147-2025</t>
        </is>
      </c>
      <c r="B592" s="1" t="n">
        <v>45929</v>
      </c>
      <c r="C592" s="1" t="n">
        <v>45996</v>
      </c>
      <c r="D592" t="inlineStr">
        <is>
          <t>GOTLANDS LÄN</t>
        </is>
      </c>
      <c r="E592" t="inlineStr">
        <is>
          <t>GOTLAND</t>
        </is>
      </c>
      <c r="G592" t="n">
        <v>2.3</v>
      </c>
      <c r="H592" t="n">
        <v>0</v>
      </c>
      <c r="I592" t="n">
        <v>0</v>
      </c>
      <c r="J592" t="n">
        <v>0</v>
      </c>
      <c r="K592" t="n">
        <v>0</v>
      </c>
      <c r="L592" t="n">
        <v>0</v>
      </c>
      <c r="M592" t="n">
        <v>0</v>
      </c>
      <c r="N592" t="n">
        <v>0</v>
      </c>
      <c r="O592" t="n">
        <v>0</v>
      </c>
      <c r="P592" t="n">
        <v>0</v>
      </c>
      <c r="Q592" t="n">
        <v>0</v>
      </c>
      <c r="R592" s="2" t="inlineStr"/>
    </row>
    <row r="593" ht="15" customHeight="1">
      <c r="A593" t="inlineStr">
        <is>
          <t>A 35550-2025</t>
        </is>
      </c>
      <c r="B593" s="1" t="n">
        <v>45856.49324074074</v>
      </c>
      <c r="C593" s="1" t="n">
        <v>45996</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47578-2025</t>
        </is>
      </c>
      <c r="B594" s="1" t="n">
        <v>45931</v>
      </c>
      <c r="C594" s="1" t="n">
        <v>45996</v>
      </c>
      <c r="D594" t="inlineStr">
        <is>
          <t>GOTLANDS LÄN</t>
        </is>
      </c>
      <c r="E594" t="inlineStr">
        <is>
          <t>GOTLAND</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33011-2025</t>
        </is>
      </c>
      <c r="B595" s="1" t="n">
        <v>45840</v>
      </c>
      <c r="C595" s="1" t="n">
        <v>45996</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49690-2025</t>
        </is>
      </c>
      <c r="B596" s="1" t="n">
        <v>45939.66730324074</v>
      </c>
      <c r="C596" s="1" t="n">
        <v>45996</v>
      </c>
      <c r="D596" t="inlineStr">
        <is>
          <t>GOTLANDS LÄN</t>
        </is>
      </c>
      <c r="E596" t="inlineStr">
        <is>
          <t>GOTLAND</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49724-2025</t>
        </is>
      </c>
      <c r="B597" s="1" t="n">
        <v>45939.83730324074</v>
      </c>
      <c r="C597" s="1" t="n">
        <v>45996</v>
      </c>
      <c r="D597" t="inlineStr">
        <is>
          <t>GOTLANDS LÄN</t>
        </is>
      </c>
      <c r="E597" t="inlineStr">
        <is>
          <t>GOTLAND</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49730-2025</t>
        </is>
      </c>
      <c r="B598" s="1" t="n">
        <v>45939.87613425926</v>
      </c>
      <c r="C598" s="1" t="n">
        <v>45996</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50421-2025</t>
        </is>
      </c>
      <c r="B599" s="1" t="n">
        <v>45944.66049768519</v>
      </c>
      <c r="C599" s="1" t="n">
        <v>45996</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50431-2025</t>
        </is>
      </c>
      <c r="B600" s="1" t="n">
        <v>45944.68453703704</v>
      </c>
      <c r="C600" s="1" t="n">
        <v>45996</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59197-2025</t>
        </is>
      </c>
      <c r="B601" s="1" t="n">
        <v>45988.59846064815</v>
      </c>
      <c r="C601" s="1" t="n">
        <v>45996</v>
      </c>
      <c r="D601" t="inlineStr">
        <is>
          <t>GOTLANDS LÄN</t>
        </is>
      </c>
      <c r="E601" t="inlineStr">
        <is>
          <t>GOTLAND</t>
        </is>
      </c>
      <c r="G601" t="n">
        <v>2.3</v>
      </c>
      <c r="H601" t="n">
        <v>0</v>
      </c>
      <c r="I601" t="n">
        <v>0</v>
      </c>
      <c r="J601" t="n">
        <v>0</v>
      </c>
      <c r="K601" t="n">
        <v>0</v>
      </c>
      <c r="L601" t="n">
        <v>0</v>
      </c>
      <c r="M601" t="n">
        <v>0</v>
      </c>
      <c r="N601" t="n">
        <v>0</v>
      </c>
      <c r="O601" t="n">
        <v>0</v>
      </c>
      <c r="P601" t="n">
        <v>0</v>
      </c>
      <c r="Q601" t="n">
        <v>0</v>
      </c>
      <c r="R601" s="2" t="inlineStr"/>
    </row>
    <row r="602" ht="15" customHeight="1">
      <c r="A602" t="inlineStr">
        <is>
          <t>A 50928-2025</t>
        </is>
      </c>
      <c r="B602" s="1" t="n">
        <v>45946.67896990741</v>
      </c>
      <c r="C602" s="1" t="n">
        <v>45996</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51262-2025</t>
        </is>
      </c>
      <c r="B603" s="1" t="n">
        <v>45949.49872685185</v>
      </c>
      <c r="C603" s="1" t="n">
        <v>45996</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53569-2025</t>
        </is>
      </c>
      <c r="B604" s="1" t="n">
        <v>45960.41155092593</v>
      </c>
      <c r="C604" s="1" t="n">
        <v>45996</v>
      </c>
      <c r="D604" t="inlineStr">
        <is>
          <t>GOTLANDS LÄN</t>
        </is>
      </c>
      <c r="E604" t="inlineStr">
        <is>
          <t>GOTLAND</t>
        </is>
      </c>
      <c r="F604" t="inlineStr">
        <is>
          <t>Övriga Aktiebolag</t>
        </is>
      </c>
      <c r="G604" t="n">
        <v>11.3</v>
      </c>
      <c r="H604" t="n">
        <v>0</v>
      </c>
      <c r="I604" t="n">
        <v>0</v>
      </c>
      <c r="J604" t="n">
        <v>0</v>
      </c>
      <c r="K604" t="n">
        <v>0</v>
      </c>
      <c r="L604" t="n">
        <v>0</v>
      </c>
      <c r="M604" t="n">
        <v>0</v>
      </c>
      <c r="N604" t="n">
        <v>0</v>
      </c>
      <c r="O604" t="n">
        <v>0</v>
      </c>
      <c r="P604" t="n">
        <v>0</v>
      </c>
      <c r="Q604" t="n">
        <v>0</v>
      </c>
      <c r="R604" s="2" t="inlineStr"/>
    </row>
    <row r="605" ht="15" customHeight="1">
      <c r="A605" t="inlineStr">
        <is>
          <t>A 53577-2025</t>
        </is>
      </c>
      <c r="B605" s="1" t="n">
        <v>45960.42224537037</v>
      </c>
      <c r="C605" s="1" t="n">
        <v>45996</v>
      </c>
      <c r="D605" t="inlineStr">
        <is>
          <t>GOTLANDS LÄN</t>
        </is>
      </c>
      <c r="E605" t="inlineStr">
        <is>
          <t>GOTLAND</t>
        </is>
      </c>
      <c r="F605" t="inlineStr">
        <is>
          <t>Övriga Aktiebolag</t>
        </is>
      </c>
      <c r="G605" t="n">
        <v>3.3</v>
      </c>
      <c r="H605" t="n">
        <v>0</v>
      </c>
      <c r="I605" t="n">
        <v>0</v>
      </c>
      <c r="J605" t="n">
        <v>0</v>
      </c>
      <c r="K605" t="n">
        <v>0</v>
      </c>
      <c r="L605" t="n">
        <v>0</v>
      </c>
      <c r="M605" t="n">
        <v>0</v>
      </c>
      <c r="N605" t="n">
        <v>0</v>
      </c>
      <c r="O605" t="n">
        <v>0</v>
      </c>
      <c r="P605" t="n">
        <v>0</v>
      </c>
      <c r="Q605" t="n">
        <v>0</v>
      </c>
      <c r="R605" s="2" t="inlineStr"/>
    </row>
    <row r="606" ht="15" customHeight="1">
      <c r="A606" t="inlineStr">
        <is>
          <t>A 60384-2025</t>
        </is>
      </c>
      <c r="B606" s="1" t="n">
        <v>45995.37947916667</v>
      </c>
      <c r="C606" s="1" t="n">
        <v>45996</v>
      </c>
      <c r="D606" t="inlineStr">
        <is>
          <t>GOTLANDS LÄN</t>
        </is>
      </c>
      <c r="E606" t="inlineStr">
        <is>
          <t>GOTLAND</t>
        </is>
      </c>
      <c r="G606" t="n">
        <v>2.5</v>
      </c>
      <c r="H606" t="n">
        <v>0</v>
      </c>
      <c r="I606" t="n">
        <v>0</v>
      </c>
      <c r="J606" t="n">
        <v>0</v>
      </c>
      <c r="K606" t="n">
        <v>0</v>
      </c>
      <c r="L606" t="n">
        <v>0</v>
      </c>
      <c r="M606" t="n">
        <v>0</v>
      </c>
      <c r="N606" t="n">
        <v>0</v>
      </c>
      <c r="O606" t="n">
        <v>0</v>
      </c>
      <c r="P606" t="n">
        <v>0</v>
      </c>
      <c r="Q606" t="n">
        <v>0</v>
      </c>
      <c r="R606" s="2" t="inlineStr"/>
    </row>
    <row r="607">
      <c r="A607" t="inlineStr">
        <is>
          <t>A 52249-2025</t>
        </is>
      </c>
      <c r="B607" s="1" t="n">
        <v>45953.48637731482</v>
      </c>
      <c r="C607" s="1" t="n">
        <v>45996</v>
      </c>
      <c r="D607" t="inlineStr">
        <is>
          <t>GOTLANDS LÄN</t>
        </is>
      </c>
      <c r="E607" t="inlineStr">
        <is>
          <t>GOTLAND</t>
        </is>
      </c>
      <c r="F607" t="inlineStr">
        <is>
          <t>Övriga Aktiebolag</t>
        </is>
      </c>
      <c r="G607" t="n">
        <v>1</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2025-12-05T10:32:27Z</dcterms:created>
  <dcterms:modified xmlns:dcterms="http://purl.org/dc/terms/" xmlns:xsi="http://www.w3.org/2001/XMLSchema-instance" xsi:type="dcterms:W3CDTF">2025-12-05T10:32:28Z</dcterms:modified>
</cp:coreProperties>
</file>