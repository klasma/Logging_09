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45784</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45784</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45784</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45784</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45784</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45784</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45784</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45784</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45784</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45784</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45784</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45784</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45784</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45784</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45784</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45784</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45784</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45784</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45784</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45784</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45784</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45784</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45784</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45784</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45784</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45784</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45784</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45784</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45784</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45784</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45784</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45784</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45784</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45784</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45784</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45784</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45784</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45784</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45784</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45784</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45784</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45784</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45784</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45784</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45784</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45784</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45784</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45784</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45784</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45784</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45784</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45784</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45784</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45784</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45784</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45784</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45784</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45784</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45784</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45784</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45784</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45784</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45784</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45784</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45784</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45784</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45784</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45784</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45784</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45784</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45784</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45784</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45784</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45784</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45784</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45784</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45784</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45784</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45784</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45784</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45784</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45784</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45784</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45784</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45784</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45784</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45784</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45784</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45784</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45784</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45784</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45784</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45784</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45784</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45784</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45784</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45784</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45784</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45784</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45784</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45784</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45784</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45784</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45784</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45784</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45784</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45784</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45784</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45784</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45784</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45784</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45784</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45784</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45784</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45784</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45784</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45784</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45784</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45784</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45784</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45784</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45784</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45784</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45784</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45784</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45784</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45784</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45784</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45784</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45784</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45784</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45784</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45784</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45784</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45784</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45784</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45784</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45784</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45784</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45784</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45784</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45784</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45784</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45784</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45784</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45784</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45784</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45784</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45784</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45784</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45784</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45784</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45784</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45784</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45784</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45784</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45784</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45784</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45784</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45784</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45784</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45784</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45784</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45784</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45784</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45784</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45784</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45784</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45784</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45784</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45784</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45784</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45784</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45784</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45784</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45784</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10218-2025</t>
        </is>
      </c>
      <c r="B284" s="1" t="n">
        <v>45720</v>
      </c>
      <c r="C284" s="1" t="n">
        <v>45784</v>
      </c>
      <c r="D284" t="inlineStr">
        <is>
          <t>GOTLANDS LÄN</t>
        </is>
      </c>
      <c r="E284" t="inlineStr">
        <is>
          <t>GOTLAND</t>
        </is>
      </c>
      <c r="G284" t="n">
        <v>8.1</v>
      </c>
      <c r="H284" t="n">
        <v>0</v>
      </c>
      <c r="I284" t="n">
        <v>1</v>
      </c>
      <c r="J284" t="n">
        <v>0</v>
      </c>
      <c r="K284" t="n">
        <v>0</v>
      </c>
      <c r="L284" t="n">
        <v>0</v>
      </c>
      <c r="M284" t="n">
        <v>0</v>
      </c>
      <c r="N284" t="n">
        <v>0</v>
      </c>
      <c r="O284" t="n">
        <v>0</v>
      </c>
      <c r="P284" t="n">
        <v>0</v>
      </c>
      <c r="Q284" t="n">
        <v>1</v>
      </c>
      <c r="R284" s="2" t="inlineStr">
        <is>
          <t>Kalktallört</t>
        </is>
      </c>
      <c r="S284">
        <f>HYPERLINK("https://klasma.github.io/Logging_090980/artfynd/A 10218-2025 artfynd.xlsx", "A 10218-2025")</f>
        <v/>
      </c>
      <c r="T284">
        <f>HYPERLINK("https://klasma.github.io/Logging_090980/kartor/A 10218-2025 karta.png", "A 10218-2025")</f>
        <v/>
      </c>
      <c r="V284">
        <f>HYPERLINK("https://klasma.github.io/Logging_090980/klagomål/A 10218-2025 FSC-klagomål.docx", "A 10218-2025")</f>
        <v/>
      </c>
      <c r="W284">
        <f>HYPERLINK("https://klasma.github.io/Logging_090980/klagomålsmail/A 10218-2025 FSC-klagomål mail.docx", "A 10218-2025")</f>
        <v/>
      </c>
      <c r="X284">
        <f>HYPERLINK("https://klasma.github.io/Logging_090980/tillsyn/A 10218-2025 tillsynsbegäran.docx", "A 10218-2025")</f>
        <v/>
      </c>
      <c r="Y284">
        <f>HYPERLINK("https://klasma.github.io/Logging_090980/tillsynsmail/A 10218-2025 tillsynsbegäran mail.docx", "A 10218-2025")</f>
        <v/>
      </c>
    </row>
    <row r="285" ht="15" customHeight="1">
      <c r="A285" t="inlineStr">
        <is>
          <t>A 10780-2025</t>
        </is>
      </c>
      <c r="B285" s="1" t="n">
        <v>45722</v>
      </c>
      <c r="C285" s="1" t="n">
        <v>45784</v>
      </c>
      <c r="D285" t="inlineStr">
        <is>
          <t>GOTLANDS LÄN</t>
        </is>
      </c>
      <c r="E285" t="inlineStr">
        <is>
          <t>GOTLAND</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HYPERLINK("https://klasma.github.io/Logging_090980/artfynd/A 10780-2025 artfynd.xlsx", "A 10780-2025")</f>
        <v/>
      </c>
      <c r="T285">
        <f>HYPERLINK("https://klasma.github.io/Logging_090980/kartor/A 10780-2025 karta.png", "A 10780-2025")</f>
        <v/>
      </c>
      <c r="U285">
        <f>HYPERLINK("https://klasma.github.io/Logging_090980/knärot/A 10780-2025 karta knärot.png", "A 10780-2025")</f>
        <v/>
      </c>
      <c r="V285">
        <f>HYPERLINK("https://klasma.github.io/Logging_090980/klagomål/A 10780-2025 FSC-klagomål.docx", "A 10780-2025")</f>
        <v/>
      </c>
      <c r="W285">
        <f>HYPERLINK("https://klasma.github.io/Logging_090980/klagomålsmail/A 10780-2025 FSC-klagomål mail.docx", "A 10780-2025")</f>
        <v/>
      </c>
      <c r="X285">
        <f>HYPERLINK("https://klasma.github.io/Logging_090980/tillsyn/A 10780-2025 tillsynsbegäran.docx", "A 10780-2025")</f>
        <v/>
      </c>
      <c r="Y285">
        <f>HYPERLINK("https://klasma.github.io/Logging_090980/tillsynsmail/A 10780-2025 tillsynsbegäran mail.docx", "A 10780-2025")</f>
        <v/>
      </c>
    </row>
    <row r="286" ht="15" customHeight="1">
      <c r="A286" t="inlineStr">
        <is>
          <t>A 12324-2025</t>
        </is>
      </c>
      <c r="B286" s="1" t="n">
        <v>45730</v>
      </c>
      <c r="C286" s="1" t="n">
        <v>45784</v>
      </c>
      <c r="D286" t="inlineStr">
        <is>
          <t>GOTLANDS LÄN</t>
        </is>
      </c>
      <c r="E286" t="inlineStr">
        <is>
          <t>GOTLAND</t>
        </is>
      </c>
      <c r="G286" t="n">
        <v>5</v>
      </c>
      <c r="H286" t="n">
        <v>0</v>
      </c>
      <c r="I286" t="n">
        <v>0</v>
      </c>
      <c r="J286" t="n">
        <v>0</v>
      </c>
      <c r="K286" t="n">
        <v>1</v>
      </c>
      <c r="L286" t="n">
        <v>0</v>
      </c>
      <c r="M286" t="n">
        <v>0</v>
      </c>
      <c r="N286" t="n">
        <v>0</v>
      </c>
      <c r="O286" t="n">
        <v>1</v>
      </c>
      <c r="P286" t="n">
        <v>1</v>
      </c>
      <c r="Q286" t="n">
        <v>1</v>
      </c>
      <c r="R286" s="2" t="inlineStr">
        <is>
          <t>Sommarklynne</t>
        </is>
      </c>
      <c r="S286">
        <f>HYPERLINK("https://klasma.github.io/Logging_090980/artfynd/A 12324-2025 artfynd.xlsx", "A 12324-2025")</f>
        <v/>
      </c>
      <c r="T286">
        <f>HYPERLINK("https://klasma.github.io/Logging_090980/kartor/A 12324-2025 karta.png", "A 12324-2025")</f>
        <v/>
      </c>
      <c r="V286">
        <f>HYPERLINK("https://klasma.github.io/Logging_090980/klagomål/A 12324-2025 FSC-klagomål.docx", "A 12324-2025")</f>
        <v/>
      </c>
      <c r="W286">
        <f>HYPERLINK("https://klasma.github.io/Logging_090980/klagomålsmail/A 12324-2025 FSC-klagomål mail.docx", "A 12324-2025")</f>
        <v/>
      </c>
      <c r="X286">
        <f>HYPERLINK("https://klasma.github.io/Logging_090980/tillsyn/A 12324-2025 tillsynsbegäran.docx", "A 12324-2025")</f>
        <v/>
      </c>
      <c r="Y286">
        <f>HYPERLINK("https://klasma.github.io/Logging_090980/tillsynsmail/A 12324-2025 tillsynsbegäran mail.docx", "A 12324-2025")</f>
        <v/>
      </c>
    </row>
    <row r="287" ht="15" customHeight="1">
      <c r="A287" t="inlineStr">
        <is>
          <t>A 12924-2025</t>
        </is>
      </c>
      <c r="B287" s="1" t="n">
        <v>45734</v>
      </c>
      <c r="C287" s="1" t="n">
        <v>45784</v>
      </c>
      <c r="D287" t="inlineStr">
        <is>
          <t>GOTLANDS LÄN</t>
        </is>
      </c>
      <c r="E287" t="inlineStr">
        <is>
          <t>GOTLAND</t>
        </is>
      </c>
      <c r="G287" t="n">
        <v>11.7</v>
      </c>
      <c r="H287" t="n">
        <v>0</v>
      </c>
      <c r="I287" t="n">
        <v>0</v>
      </c>
      <c r="J287" t="n">
        <v>0</v>
      </c>
      <c r="K287" t="n">
        <v>1</v>
      </c>
      <c r="L287" t="n">
        <v>0</v>
      </c>
      <c r="M287" t="n">
        <v>0</v>
      </c>
      <c r="N287" t="n">
        <v>0</v>
      </c>
      <c r="O287" t="n">
        <v>1</v>
      </c>
      <c r="P287" t="n">
        <v>1</v>
      </c>
      <c r="Q287" t="n">
        <v>1</v>
      </c>
      <c r="R287" s="2" t="inlineStr">
        <is>
          <t>Gotlandsmåra</t>
        </is>
      </c>
      <c r="S287">
        <f>HYPERLINK("https://klasma.github.io/Logging_090980/artfynd/A 12924-2025 artfynd.xlsx", "A 12924-2025")</f>
        <v/>
      </c>
      <c r="T287">
        <f>HYPERLINK("https://klasma.github.io/Logging_090980/kartor/A 12924-2025 karta.png", "A 12924-2025")</f>
        <v/>
      </c>
      <c r="V287">
        <f>HYPERLINK("https://klasma.github.io/Logging_090980/klagomål/A 12924-2025 FSC-klagomål.docx", "A 12924-2025")</f>
        <v/>
      </c>
      <c r="W287">
        <f>HYPERLINK("https://klasma.github.io/Logging_090980/klagomålsmail/A 12924-2025 FSC-klagomål mail.docx", "A 12924-2025")</f>
        <v/>
      </c>
      <c r="X287">
        <f>HYPERLINK("https://klasma.github.io/Logging_090980/tillsyn/A 12924-2025 tillsynsbegäran.docx", "A 12924-2025")</f>
        <v/>
      </c>
      <c r="Y287">
        <f>HYPERLINK("https://klasma.github.io/Logging_090980/tillsynsmail/A 12924-2025 tillsynsbegäran mail.docx", "A 12924-2025")</f>
        <v/>
      </c>
    </row>
    <row r="288" ht="15" customHeight="1">
      <c r="A288" t="inlineStr">
        <is>
          <t>A 20429-2025</t>
        </is>
      </c>
      <c r="B288" s="1" t="n">
        <v>45775</v>
      </c>
      <c r="C288" s="1" t="n">
        <v>45784</v>
      </c>
      <c r="D288" t="inlineStr">
        <is>
          <t>GOTLANDS LÄN</t>
        </is>
      </c>
      <c r="E288" t="inlineStr">
        <is>
          <t>GOTLAND</t>
        </is>
      </c>
      <c r="G288" t="n">
        <v>1.4</v>
      </c>
      <c r="H288" t="n">
        <v>1</v>
      </c>
      <c r="I288" t="n">
        <v>0</v>
      </c>
      <c r="J288" t="n">
        <v>0</v>
      </c>
      <c r="K288" t="n">
        <v>0</v>
      </c>
      <c r="L288" t="n">
        <v>0</v>
      </c>
      <c r="M288" t="n">
        <v>0</v>
      </c>
      <c r="N288" t="n">
        <v>0</v>
      </c>
      <c r="O288" t="n">
        <v>0</v>
      </c>
      <c r="P288" t="n">
        <v>0</v>
      </c>
      <c r="Q288" t="n">
        <v>1</v>
      </c>
      <c r="R288" s="2" t="inlineStr">
        <is>
          <t>Äkta lopplummer</t>
        </is>
      </c>
      <c r="S288">
        <f>HYPERLINK("https://klasma.github.io/Logging_090980/artfynd/A 20429-2025 artfynd.xlsx", "A 20429-2025")</f>
        <v/>
      </c>
      <c r="T288">
        <f>HYPERLINK("https://klasma.github.io/Logging_090980/kartor/A 20429-2025 karta.png", "A 20429-2025")</f>
        <v/>
      </c>
      <c r="V288">
        <f>HYPERLINK("https://klasma.github.io/Logging_090980/klagomål/A 20429-2025 FSC-klagomål.docx", "A 20429-2025")</f>
        <v/>
      </c>
      <c r="W288">
        <f>HYPERLINK("https://klasma.github.io/Logging_090980/klagomålsmail/A 20429-2025 FSC-klagomål mail.docx", "A 20429-2025")</f>
        <v/>
      </c>
      <c r="X288">
        <f>HYPERLINK("https://klasma.github.io/Logging_090980/tillsyn/A 20429-2025 tillsynsbegäran.docx", "A 20429-2025")</f>
        <v/>
      </c>
      <c r="Y288">
        <f>HYPERLINK("https://klasma.github.io/Logging_090980/tillsynsmail/A 20429-2025 tillsynsbegäran mail.docx", "A 20429-2025")</f>
        <v/>
      </c>
    </row>
    <row r="289" ht="15" customHeight="1">
      <c r="A289" t="inlineStr">
        <is>
          <t>A 21466-2025</t>
        </is>
      </c>
      <c r="B289" s="1" t="n">
        <v>45782</v>
      </c>
      <c r="C289" s="1" t="n">
        <v>45784</v>
      </c>
      <c r="D289" t="inlineStr">
        <is>
          <t>GOTLANDS LÄN</t>
        </is>
      </c>
      <c r="E289" t="inlineStr">
        <is>
          <t>GOTLAND</t>
        </is>
      </c>
      <c r="F289" t="inlineStr">
        <is>
          <t>Övriga statliga verk och myndigheter</t>
        </is>
      </c>
      <c r="G289" t="n">
        <v>1.7</v>
      </c>
      <c r="H289" t="n">
        <v>1</v>
      </c>
      <c r="I289" t="n">
        <v>0</v>
      </c>
      <c r="J289" t="n">
        <v>0</v>
      </c>
      <c r="K289" t="n">
        <v>0</v>
      </c>
      <c r="L289" t="n">
        <v>0</v>
      </c>
      <c r="M289" t="n">
        <v>0</v>
      </c>
      <c r="N289" t="n">
        <v>0</v>
      </c>
      <c r="O289" t="n">
        <v>0</v>
      </c>
      <c r="P289" t="n">
        <v>0</v>
      </c>
      <c r="Q289" t="n">
        <v>1</v>
      </c>
      <c r="R289" s="2" t="inlineStr">
        <is>
          <t>Blåsippa</t>
        </is>
      </c>
      <c r="S289">
        <f>HYPERLINK("https://klasma.github.io/Logging_090980/artfynd/A 21466-2025 artfynd.xlsx", "A 21466-2025")</f>
        <v/>
      </c>
      <c r="T289">
        <f>HYPERLINK("https://klasma.github.io/Logging_090980/kartor/A 21466-2025 karta.png", "A 21466-2025")</f>
        <v/>
      </c>
      <c r="V289">
        <f>HYPERLINK("https://klasma.github.io/Logging_090980/klagomål/A 21466-2025 FSC-klagomål.docx", "A 21466-2025")</f>
        <v/>
      </c>
      <c r="W289">
        <f>HYPERLINK("https://klasma.github.io/Logging_090980/klagomålsmail/A 21466-2025 FSC-klagomål mail.docx", "A 21466-2025")</f>
        <v/>
      </c>
      <c r="X289">
        <f>HYPERLINK("https://klasma.github.io/Logging_090980/tillsyn/A 21466-2025 tillsynsbegäran.docx", "A 21466-2025")</f>
        <v/>
      </c>
      <c r="Y289">
        <f>HYPERLINK("https://klasma.github.io/Logging_090980/tillsynsmail/A 21466-2025 tillsynsbegäran mail.docx", "A 21466-2025")</f>
        <v/>
      </c>
    </row>
    <row r="290" ht="15" customHeight="1">
      <c r="A290" t="inlineStr">
        <is>
          <t>A 19159-2019</t>
        </is>
      </c>
      <c r="B290" s="1" t="n">
        <v>43564</v>
      </c>
      <c r="C290" s="1" t="n">
        <v>45784</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21380-2019</t>
        </is>
      </c>
      <c r="B291" s="1" t="n">
        <v>43579</v>
      </c>
      <c r="C291" s="1" t="n">
        <v>45784</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21894-2019</t>
        </is>
      </c>
      <c r="B292" s="1" t="n">
        <v>43584</v>
      </c>
      <c r="C292" s="1" t="n">
        <v>45784</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21925-2019</t>
        </is>
      </c>
      <c r="B293" s="1" t="n">
        <v>43584</v>
      </c>
      <c r="C293" s="1" t="n">
        <v>45784</v>
      </c>
      <c r="D293" t="inlineStr">
        <is>
          <t>GOTLANDS LÄN</t>
        </is>
      </c>
      <c r="E293" t="inlineStr">
        <is>
          <t>GOTLAND</t>
        </is>
      </c>
      <c r="G293" t="n">
        <v>2.1</v>
      </c>
      <c r="H293" t="n">
        <v>0</v>
      </c>
      <c r="I293" t="n">
        <v>0</v>
      </c>
      <c r="J293" t="n">
        <v>0</v>
      </c>
      <c r="K293" t="n">
        <v>0</v>
      </c>
      <c r="L293" t="n">
        <v>0</v>
      </c>
      <c r="M293" t="n">
        <v>0</v>
      </c>
      <c r="N293" t="n">
        <v>0</v>
      </c>
      <c r="O293" t="n">
        <v>0</v>
      </c>
      <c r="P293" t="n">
        <v>0</v>
      </c>
      <c r="Q293" t="n">
        <v>0</v>
      </c>
      <c r="R293" s="2" t="inlineStr"/>
    </row>
    <row r="294" ht="15" customHeight="1">
      <c r="A294" t="inlineStr">
        <is>
          <t>A 22457-2019</t>
        </is>
      </c>
      <c r="B294" s="1" t="n">
        <v>43587</v>
      </c>
      <c r="C294" s="1" t="n">
        <v>45784</v>
      </c>
      <c r="D294" t="inlineStr">
        <is>
          <t>GOTLANDS LÄN</t>
        </is>
      </c>
      <c r="E294" t="inlineStr">
        <is>
          <t>GOTLAND</t>
        </is>
      </c>
      <c r="G294" t="n">
        <v>0.3</v>
      </c>
      <c r="H294" t="n">
        <v>0</v>
      </c>
      <c r="I294" t="n">
        <v>0</v>
      </c>
      <c r="J294" t="n">
        <v>0</v>
      </c>
      <c r="K294" t="n">
        <v>0</v>
      </c>
      <c r="L294" t="n">
        <v>0</v>
      </c>
      <c r="M294" t="n">
        <v>0</v>
      </c>
      <c r="N294" t="n">
        <v>0</v>
      </c>
      <c r="O294" t="n">
        <v>0</v>
      </c>
      <c r="P294" t="n">
        <v>0</v>
      </c>
      <c r="Q294" t="n">
        <v>0</v>
      </c>
      <c r="R294" s="2" t="inlineStr"/>
    </row>
    <row r="295" ht="15" customHeight="1">
      <c r="A295" t="inlineStr">
        <is>
          <t>A 23044-2019</t>
        </is>
      </c>
      <c r="B295" s="1" t="n">
        <v>43591</v>
      </c>
      <c r="C295" s="1" t="n">
        <v>45784</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26595-2019</t>
        </is>
      </c>
      <c r="B296" s="1" t="n">
        <v>43612</v>
      </c>
      <c r="C296" s="1" t="n">
        <v>45784</v>
      </c>
      <c r="D296" t="inlineStr">
        <is>
          <t>GOTLANDS LÄN</t>
        </is>
      </c>
      <c r="E296" t="inlineStr">
        <is>
          <t>GOTLAND</t>
        </is>
      </c>
      <c r="G296" t="n">
        <v>0.2</v>
      </c>
      <c r="H296" t="n">
        <v>0</v>
      </c>
      <c r="I296" t="n">
        <v>0</v>
      </c>
      <c r="J296" t="n">
        <v>0</v>
      </c>
      <c r="K296" t="n">
        <v>0</v>
      </c>
      <c r="L296" t="n">
        <v>0</v>
      </c>
      <c r="M296" t="n">
        <v>0</v>
      </c>
      <c r="N296" t="n">
        <v>0</v>
      </c>
      <c r="O296" t="n">
        <v>0</v>
      </c>
      <c r="P296" t="n">
        <v>0</v>
      </c>
      <c r="Q296" t="n">
        <v>0</v>
      </c>
      <c r="R296" s="2" t="inlineStr"/>
    </row>
    <row r="297" ht="15" customHeight="1">
      <c r="A297" t="inlineStr">
        <is>
          <t>A 27795-2019</t>
        </is>
      </c>
      <c r="B297" s="1" t="n">
        <v>43612</v>
      </c>
      <c r="C297" s="1" t="n">
        <v>45784</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28977-2019</t>
        </is>
      </c>
      <c r="B298" s="1" t="n">
        <v>43628</v>
      </c>
      <c r="C298" s="1" t="n">
        <v>45784</v>
      </c>
      <c r="D298" t="inlineStr">
        <is>
          <t>GOTLANDS LÄN</t>
        </is>
      </c>
      <c r="E298" t="inlineStr">
        <is>
          <t>GOTLAND</t>
        </is>
      </c>
      <c r="G298" t="n">
        <v>4.6</v>
      </c>
      <c r="H298" t="n">
        <v>0</v>
      </c>
      <c r="I298" t="n">
        <v>0</v>
      </c>
      <c r="J298" t="n">
        <v>0</v>
      </c>
      <c r="K298" t="n">
        <v>0</v>
      </c>
      <c r="L298" t="n">
        <v>0</v>
      </c>
      <c r="M298" t="n">
        <v>0</v>
      </c>
      <c r="N298" t="n">
        <v>0</v>
      </c>
      <c r="O298" t="n">
        <v>0</v>
      </c>
      <c r="P298" t="n">
        <v>0</v>
      </c>
      <c r="Q298" t="n">
        <v>0</v>
      </c>
      <c r="R298" s="2" t="inlineStr"/>
    </row>
    <row r="299" ht="15" customHeight="1">
      <c r="A299" t="inlineStr">
        <is>
          <t>A 29470-2019</t>
        </is>
      </c>
      <c r="B299" s="1" t="n">
        <v>43629</v>
      </c>
      <c r="C299" s="1" t="n">
        <v>45784</v>
      </c>
      <c r="D299" t="inlineStr">
        <is>
          <t>GOTLANDS LÄN</t>
        </is>
      </c>
      <c r="E299" t="inlineStr">
        <is>
          <t>GOTLAND</t>
        </is>
      </c>
      <c r="G299" t="n">
        <v>2.7</v>
      </c>
      <c r="H299" t="n">
        <v>0</v>
      </c>
      <c r="I299" t="n">
        <v>0</v>
      </c>
      <c r="J299" t="n">
        <v>0</v>
      </c>
      <c r="K299" t="n">
        <v>0</v>
      </c>
      <c r="L299" t="n">
        <v>0</v>
      </c>
      <c r="M299" t="n">
        <v>0</v>
      </c>
      <c r="N299" t="n">
        <v>0</v>
      </c>
      <c r="O299" t="n">
        <v>0</v>
      </c>
      <c r="P299" t="n">
        <v>0</v>
      </c>
      <c r="Q299" t="n">
        <v>0</v>
      </c>
      <c r="R299" s="2" t="inlineStr"/>
    </row>
    <row r="300" ht="15" customHeight="1">
      <c r="A300" t="inlineStr">
        <is>
          <t>A 29469-2019</t>
        </is>
      </c>
      <c r="B300" s="1" t="n">
        <v>43629</v>
      </c>
      <c r="C300" s="1" t="n">
        <v>45784</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30033-2019</t>
        </is>
      </c>
      <c r="B301" s="1" t="n">
        <v>43630</v>
      </c>
      <c r="C301" s="1" t="n">
        <v>45784</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31396-2019</t>
        </is>
      </c>
      <c r="B302" s="1" t="n">
        <v>43636</v>
      </c>
      <c r="C302" s="1" t="n">
        <v>45784</v>
      </c>
      <c r="D302" t="inlineStr">
        <is>
          <t>GOTLANDS LÄN</t>
        </is>
      </c>
      <c r="E302" t="inlineStr">
        <is>
          <t>GOTLAND</t>
        </is>
      </c>
      <c r="G302" t="n">
        <v>5.8</v>
      </c>
      <c r="H302" t="n">
        <v>0</v>
      </c>
      <c r="I302" t="n">
        <v>0</v>
      </c>
      <c r="J302" t="n">
        <v>0</v>
      </c>
      <c r="K302" t="n">
        <v>0</v>
      </c>
      <c r="L302" t="n">
        <v>0</v>
      </c>
      <c r="M302" t="n">
        <v>0</v>
      </c>
      <c r="N302" t="n">
        <v>0</v>
      </c>
      <c r="O302" t="n">
        <v>0</v>
      </c>
      <c r="P302" t="n">
        <v>0</v>
      </c>
      <c r="Q302" t="n">
        <v>0</v>
      </c>
      <c r="R302" s="2" t="inlineStr"/>
    </row>
    <row r="303" ht="15" customHeight="1">
      <c r="A303" t="inlineStr">
        <is>
          <t>A 32061-2019</t>
        </is>
      </c>
      <c r="B303" s="1" t="n">
        <v>43643</v>
      </c>
      <c r="C303" s="1" t="n">
        <v>45784</v>
      </c>
      <c r="D303" t="inlineStr">
        <is>
          <t>GOTLANDS LÄN</t>
        </is>
      </c>
      <c r="E303" t="inlineStr">
        <is>
          <t>GOTLAND</t>
        </is>
      </c>
      <c r="G303" t="n">
        <v>7.5</v>
      </c>
      <c r="H303" t="n">
        <v>0</v>
      </c>
      <c r="I303" t="n">
        <v>0</v>
      </c>
      <c r="J303" t="n">
        <v>0</v>
      </c>
      <c r="K303" t="n">
        <v>0</v>
      </c>
      <c r="L303" t="n">
        <v>0</v>
      </c>
      <c r="M303" t="n">
        <v>0</v>
      </c>
      <c r="N303" t="n">
        <v>0</v>
      </c>
      <c r="O303" t="n">
        <v>0</v>
      </c>
      <c r="P303" t="n">
        <v>0</v>
      </c>
      <c r="Q303" t="n">
        <v>0</v>
      </c>
      <c r="R303" s="2" t="inlineStr"/>
    </row>
    <row r="304" ht="15" customHeight="1">
      <c r="A304" t="inlineStr">
        <is>
          <t>A 32949-2019</t>
        </is>
      </c>
      <c r="B304" s="1" t="n">
        <v>43648</v>
      </c>
      <c r="C304" s="1" t="n">
        <v>45784</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32964-2019</t>
        </is>
      </c>
      <c r="B305" s="1" t="n">
        <v>43648</v>
      </c>
      <c r="C305" s="1" t="n">
        <v>45784</v>
      </c>
      <c r="D305" t="inlineStr">
        <is>
          <t>GOTLANDS LÄN</t>
        </is>
      </c>
      <c r="E305" t="inlineStr">
        <is>
          <t>GOTLAND</t>
        </is>
      </c>
      <c r="G305" t="n">
        <v>8.9</v>
      </c>
      <c r="H305" t="n">
        <v>0</v>
      </c>
      <c r="I305" t="n">
        <v>0</v>
      </c>
      <c r="J305" t="n">
        <v>0</v>
      </c>
      <c r="K305" t="n">
        <v>0</v>
      </c>
      <c r="L305" t="n">
        <v>0</v>
      </c>
      <c r="M305" t="n">
        <v>0</v>
      </c>
      <c r="N305" t="n">
        <v>0</v>
      </c>
      <c r="O305" t="n">
        <v>0</v>
      </c>
      <c r="P305" t="n">
        <v>0</v>
      </c>
      <c r="Q305" t="n">
        <v>0</v>
      </c>
      <c r="R305" s="2" t="inlineStr"/>
    </row>
    <row r="306" ht="15" customHeight="1">
      <c r="A306" t="inlineStr">
        <is>
          <t>A 32970-2019</t>
        </is>
      </c>
      <c r="B306" s="1" t="n">
        <v>43648</v>
      </c>
      <c r="C306" s="1" t="n">
        <v>45784</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33673-2019</t>
        </is>
      </c>
      <c r="B307" s="1" t="n">
        <v>43651</v>
      </c>
      <c r="C307" s="1" t="n">
        <v>45784</v>
      </c>
      <c r="D307" t="inlineStr">
        <is>
          <t>GOTLANDS LÄN</t>
        </is>
      </c>
      <c r="E307" t="inlineStr">
        <is>
          <t>GOTLAND</t>
        </is>
      </c>
      <c r="G307" t="n">
        <v>3.8</v>
      </c>
      <c r="H307" t="n">
        <v>0</v>
      </c>
      <c r="I307" t="n">
        <v>0</v>
      </c>
      <c r="J307" t="n">
        <v>0</v>
      </c>
      <c r="K307" t="n">
        <v>0</v>
      </c>
      <c r="L307" t="n">
        <v>0</v>
      </c>
      <c r="M307" t="n">
        <v>0</v>
      </c>
      <c r="N307" t="n">
        <v>0</v>
      </c>
      <c r="O307" t="n">
        <v>0</v>
      </c>
      <c r="P307" t="n">
        <v>0</v>
      </c>
      <c r="Q307" t="n">
        <v>0</v>
      </c>
      <c r="R307" s="2" t="inlineStr"/>
    </row>
    <row r="308" ht="15" customHeight="1">
      <c r="A308" t="inlineStr">
        <is>
          <t>A 33668-2019</t>
        </is>
      </c>
      <c r="B308" s="1" t="n">
        <v>43651</v>
      </c>
      <c r="C308" s="1" t="n">
        <v>45784</v>
      </c>
      <c r="D308" t="inlineStr">
        <is>
          <t>GOTLANDS LÄN</t>
        </is>
      </c>
      <c r="E308" t="inlineStr">
        <is>
          <t>GOTLAND</t>
        </is>
      </c>
      <c r="G308" t="n">
        <v>9.4</v>
      </c>
      <c r="H308" t="n">
        <v>0</v>
      </c>
      <c r="I308" t="n">
        <v>0</v>
      </c>
      <c r="J308" t="n">
        <v>0</v>
      </c>
      <c r="K308" t="n">
        <v>0</v>
      </c>
      <c r="L308" t="n">
        <v>0</v>
      </c>
      <c r="M308" t="n">
        <v>0</v>
      </c>
      <c r="N308" t="n">
        <v>0</v>
      </c>
      <c r="O308" t="n">
        <v>0</v>
      </c>
      <c r="P308" t="n">
        <v>0</v>
      </c>
      <c r="Q308" t="n">
        <v>0</v>
      </c>
      <c r="R308" s="2" t="inlineStr"/>
    </row>
    <row r="309" ht="15" customHeight="1">
      <c r="A309" t="inlineStr">
        <is>
          <t>A 33674-2019</t>
        </is>
      </c>
      <c r="B309" s="1" t="n">
        <v>43651</v>
      </c>
      <c r="C309" s="1" t="n">
        <v>45784</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33646-2019</t>
        </is>
      </c>
      <c r="B310" s="1" t="n">
        <v>43651</v>
      </c>
      <c r="C310" s="1" t="n">
        <v>45784</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34790-2019</t>
        </is>
      </c>
      <c r="B311" s="1" t="n">
        <v>43658</v>
      </c>
      <c r="C311" s="1" t="n">
        <v>45784</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36344-2019</t>
        </is>
      </c>
      <c r="B312" s="1" t="n">
        <v>43661</v>
      </c>
      <c r="C312" s="1" t="n">
        <v>45784</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36072-2019</t>
        </is>
      </c>
      <c r="B313" s="1" t="n">
        <v>43668</v>
      </c>
      <c r="C313" s="1" t="n">
        <v>45784</v>
      </c>
      <c r="D313" t="inlineStr">
        <is>
          <t>GOTLANDS LÄN</t>
        </is>
      </c>
      <c r="E313" t="inlineStr">
        <is>
          <t>GOTLAND</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37028-2019</t>
        </is>
      </c>
      <c r="B314" s="1" t="n">
        <v>43675</v>
      </c>
      <c r="C314" s="1" t="n">
        <v>45784</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40205-2019</t>
        </is>
      </c>
      <c r="B315" s="1" t="n">
        <v>43693</v>
      </c>
      <c r="C315" s="1" t="n">
        <v>45784</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46423-2019</t>
        </is>
      </c>
      <c r="B316" s="1" t="n">
        <v>43719</v>
      </c>
      <c r="C316" s="1" t="n">
        <v>45784</v>
      </c>
      <c r="D316" t="inlineStr">
        <is>
          <t>GOTLANDS LÄN</t>
        </is>
      </c>
      <c r="E316" t="inlineStr">
        <is>
          <t>GOTLAND</t>
        </is>
      </c>
      <c r="F316" t="inlineStr">
        <is>
          <t>Kyrkan</t>
        </is>
      </c>
      <c r="G316" t="n">
        <v>1.6</v>
      </c>
      <c r="H316" t="n">
        <v>0</v>
      </c>
      <c r="I316" t="n">
        <v>0</v>
      </c>
      <c r="J316" t="n">
        <v>0</v>
      </c>
      <c r="K316" t="n">
        <v>0</v>
      </c>
      <c r="L316" t="n">
        <v>0</v>
      </c>
      <c r="M316" t="n">
        <v>0</v>
      </c>
      <c r="N316" t="n">
        <v>0</v>
      </c>
      <c r="O316" t="n">
        <v>0</v>
      </c>
      <c r="P316" t="n">
        <v>0</v>
      </c>
      <c r="Q316" t="n">
        <v>0</v>
      </c>
      <c r="R316" s="2" t="inlineStr"/>
    </row>
    <row r="317" ht="15" customHeight="1">
      <c r="A317" t="inlineStr">
        <is>
          <t>A 47141-2019</t>
        </is>
      </c>
      <c r="B317" s="1" t="n">
        <v>43721</v>
      </c>
      <c r="C317" s="1" t="n">
        <v>45784</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48459-2019</t>
        </is>
      </c>
      <c r="B318" s="1" t="n">
        <v>43727</v>
      </c>
      <c r="C318" s="1" t="n">
        <v>45784</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49769-2019</t>
        </is>
      </c>
      <c r="B319" s="1" t="n">
        <v>43733</v>
      </c>
      <c r="C319" s="1" t="n">
        <v>45784</v>
      </c>
      <c r="D319" t="inlineStr">
        <is>
          <t>GOTLANDS LÄN</t>
        </is>
      </c>
      <c r="E319" t="inlineStr">
        <is>
          <t>GOTLAND</t>
        </is>
      </c>
      <c r="G319" t="n">
        <v>22.3</v>
      </c>
      <c r="H319" t="n">
        <v>0</v>
      </c>
      <c r="I319" t="n">
        <v>0</v>
      </c>
      <c r="J319" t="n">
        <v>0</v>
      </c>
      <c r="K319" t="n">
        <v>0</v>
      </c>
      <c r="L319" t="n">
        <v>0</v>
      </c>
      <c r="M319" t="n">
        <v>0</v>
      </c>
      <c r="N319" t="n">
        <v>0</v>
      </c>
      <c r="O319" t="n">
        <v>0</v>
      </c>
      <c r="P319" t="n">
        <v>0</v>
      </c>
      <c r="Q319" t="n">
        <v>0</v>
      </c>
      <c r="R319" s="2" t="inlineStr"/>
    </row>
    <row r="320" ht="15" customHeight="1">
      <c r="A320" t="inlineStr">
        <is>
          <t>A 50463-2019</t>
        </is>
      </c>
      <c r="B320" s="1" t="n">
        <v>43735</v>
      </c>
      <c r="C320" s="1" t="n">
        <v>45784</v>
      </c>
      <c r="D320" t="inlineStr">
        <is>
          <t>GOTLANDS LÄN</t>
        </is>
      </c>
      <c r="E320" t="inlineStr">
        <is>
          <t>GOTLAND</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50632-2019</t>
        </is>
      </c>
      <c r="B321" s="1" t="n">
        <v>43737</v>
      </c>
      <c r="C321" s="1" t="n">
        <v>45784</v>
      </c>
      <c r="D321" t="inlineStr">
        <is>
          <t>GOTLANDS LÄN</t>
        </is>
      </c>
      <c r="E321" t="inlineStr">
        <is>
          <t>GOTLAND</t>
        </is>
      </c>
      <c r="G321" t="n">
        <v>7.7</v>
      </c>
      <c r="H321" t="n">
        <v>0</v>
      </c>
      <c r="I321" t="n">
        <v>0</v>
      </c>
      <c r="J321" t="n">
        <v>0</v>
      </c>
      <c r="K321" t="n">
        <v>0</v>
      </c>
      <c r="L321" t="n">
        <v>0</v>
      </c>
      <c r="M321" t="n">
        <v>0</v>
      </c>
      <c r="N321" t="n">
        <v>0</v>
      </c>
      <c r="O321" t="n">
        <v>0</v>
      </c>
      <c r="P321" t="n">
        <v>0</v>
      </c>
      <c r="Q321" t="n">
        <v>0</v>
      </c>
      <c r="R321" s="2" t="inlineStr"/>
    </row>
    <row r="322" ht="15" customHeight="1">
      <c r="A322" t="inlineStr">
        <is>
          <t>A 51577-2019</t>
        </is>
      </c>
      <c r="B322" s="1" t="n">
        <v>43740</v>
      </c>
      <c r="C322" s="1" t="n">
        <v>45784</v>
      </c>
      <c r="D322" t="inlineStr">
        <is>
          <t>GOTLANDS LÄN</t>
        </is>
      </c>
      <c r="E322" t="inlineStr">
        <is>
          <t>GOTLAND</t>
        </is>
      </c>
      <c r="G322" t="n">
        <v>6.5</v>
      </c>
      <c r="H322" t="n">
        <v>0</v>
      </c>
      <c r="I322" t="n">
        <v>0</v>
      </c>
      <c r="J322" t="n">
        <v>0</v>
      </c>
      <c r="K322" t="n">
        <v>0</v>
      </c>
      <c r="L322" t="n">
        <v>0</v>
      </c>
      <c r="M322" t="n">
        <v>0</v>
      </c>
      <c r="N322" t="n">
        <v>0</v>
      </c>
      <c r="O322" t="n">
        <v>0</v>
      </c>
      <c r="P322" t="n">
        <v>0</v>
      </c>
      <c r="Q322" t="n">
        <v>0</v>
      </c>
      <c r="R322" s="2" t="inlineStr"/>
    </row>
    <row r="323" ht="15" customHeight="1">
      <c r="A323" t="inlineStr">
        <is>
          <t>A 53783-2019</t>
        </is>
      </c>
      <c r="B323" s="1" t="n">
        <v>43750</v>
      </c>
      <c r="C323" s="1" t="n">
        <v>45784</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56238-2019</t>
        </is>
      </c>
      <c r="B324" s="1" t="n">
        <v>43762</v>
      </c>
      <c r="C324" s="1" t="n">
        <v>45784</v>
      </c>
      <c r="D324" t="inlineStr">
        <is>
          <t>GOTLANDS LÄN</t>
        </is>
      </c>
      <c r="E324" t="inlineStr">
        <is>
          <t>GOTLAND</t>
        </is>
      </c>
      <c r="G324" t="n">
        <v>5.8</v>
      </c>
      <c r="H324" t="n">
        <v>0</v>
      </c>
      <c r="I324" t="n">
        <v>0</v>
      </c>
      <c r="J324" t="n">
        <v>0</v>
      </c>
      <c r="K324" t="n">
        <v>0</v>
      </c>
      <c r="L324" t="n">
        <v>0</v>
      </c>
      <c r="M324" t="n">
        <v>0</v>
      </c>
      <c r="N324" t="n">
        <v>0</v>
      </c>
      <c r="O324" t="n">
        <v>0</v>
      </c>
      <c r="P324" t="n">
        <v>0</v>
      </c>
      <c r="Q324" t="n">
        <v>0</v>
      </c>
      <c r="R324" s="2" t="inlineStr"/>
    </row>
    <row r="325" ht="15" customHeight="1">
      <c r="A325" t="inlineStr">
        <is>
          <t>A 56845-2019</t>
        </is>
      </c>
      <c r="B325" s="1" t="n">
        <v>43765</v>
      </c>
      <c r="C325" s="1" t="n">
        <v>45784</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62212-2019</t>
        </is>
      </c>
      <c r="B326" s="1" t="n">
        <v>43788</v>
      </c>
      <c r="C326" s="1" t="n">
        <v>45784</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62209-2019</t>
        </is>
      </c>
      <c r="B327" s="1" t="n">
        <v>43788</v>
      </c>
      <c r="C327" s="1" t="n">
        <v>45784</v>
      </c>
      <c r="D327" t="inlineStr">
        <is>
          <t>GOTLANDS LÄN</t>
        </is>
      </c>
      <c r="E327" t="inlineStr">
        <is>
          <t>GOTLAND</t>
        </is>
      </c>
      <c r="G327" t="n">
        <v>4.8</v>
      </c>
      <c r="H327" t="n">
        <v>0</v>
      </c>
      <c r="I327" t="n">
        <v>0</v>
      </c>
      <c r="J327" t="n">
        <v>0</v>
      </c>
      <c r="K327" t="n">
        <v>0</v>
      </c>
      <c r="L327" t="n">
        <v>0</v>
      </c>
      <c r="M327" t="n">
        <v>0</v>
      </c>
      <c r="N327" t="n">
        <v>0</v>
      </c>
      <c r="O327" t="n">
        <v>0</v>
      </c>
      <c r="P327" t="n">
        <v>0</v>
      </c>
      <c r="Q327" t="n">
        <v>0</v>
      </c>
      <c r="R327" s="2" t="inlineStr"/>
    </row>
    <row r="328" ht="15" customHeight="1">
      <c r="A328" t="inlineStr">
        <is>
          <t>A 62218-2019</t>
        </is>
      </c>
      <c r="B328" s="1" t="n">
        <v>43788</v>
      </c>
      <c r="C328" s="1" t="n">
        <v>45784</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63366-2019</t>
        </is>
      </c>
      <c r="B329" s="1" t="n">
        <v>43794</v>
      </c>
      <c r="C329" s="1" t="n">
        <v>45784</v>
      </c>
      <c r="D329" t="inlineStr">
        <is>
          <t>GOTLANDS LÄN</t>
        </is>
      </c>
      <c r="E329" t="inlineStr">
        <is>
          <t>GOTLAND</t>
        </is>
      </c>
      <c r="G329" t="n">
        <v>16.4</v>
      </c>
      <c r="H329" t="n">
        <v>0</v>
      </c>
      <c r="I329" t="n">
        <v>0</v>
      </c>
      <c r="J329" t="n">
        <v>0</v>
      </c>
      <c r="K329" t="n">
        <v>0</v>
      </c>
      <c r="L329" t="n">
        <v>0</v>
      </c>
      <c r="M329" t="n">
        <v>0</v>
      </c>
      <c r="N329" t="n">
        <v>0</v>
      </c>
      <c r="O329" t="n">
        <v>0</v>
      </c>
      <c r="P329" t="n">
        <v>0</v>
      </c>
      <c r="Q329" t="n">
        <v>0</v>
      </c>
      <c r="R329" s="2" t="inlineStr"/>
    </row>
    <row r="330" ht="15" customHeight="1">
      <c r="A330" t="inlineStr">
        <is>
          <t>A 63747-2019</t>
        </is>
      </c>
      <c r="B330" s="1" t="n">
        <v>43795</v>
      </c>
      <c r="C330" s="1" t="n">
        <v>45784</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63751-2019</t>
        </is>
      </c>
      <c r="B331" s="1" t="n">
        <v>43795</v>
      </c>
      <c r="C331" s="1" t="n">
        <v>45784</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66960-2019</t>
        </is>
      </c>
      <c r="B332" s="1" t="n">
        <v>43810</v>
      </c>
      <c r="C332" s="1" t="n">
        <v>45784</v>
      </c>
      <c r="D332" t="inlineStr">
        <is>
          <t>GOTLANDS LÄN</t>
        </is>
      </c>
      <c r="E332" t="inlineStr">
        <is>
          <t>GOTLAND</t>
        </is>
      </c>
      <c r="G332" t="n">
        <v>4.6</v>
      </c>
      <c r="H332" t="n">
        <v>0</v>
      </c>
      <c r="I332" t="n">
        <v>0</v>
      </c>
      <c r="J332" t="n">
        <v>0</v>
      </c>
      <c r="K332" t="n">
        <v>0</v>
      </c>
      <c r="L332" t="n">
        <v>0</v>
      </c>
      <c r="M332" t="n">
        <v>0</v>
      </c>
      <c r="N332" t="n">
        <v>0</v>
      </c>
      <c r="O332" t="n">
        <v>0</v>
      </c>
      <c r="P332" t="n">
        <v>0</v>
      </c>
      <c r="Q332" t="n">
        <v>0</v>
      </c>
      <c r="R332" s="2" t="inlineStr"/>
    </row>
    <row r="333" ht="15" customHeight="1">
      <c r="A333" t="inlineStr">
        <is>
          <t>A 67079-2019</t>
        </is>
      </c>
      <c r="B333" s="1" t="n">
        <v>43811</v>
      </c>
      <c r="C333" s="1" t="n">
        <v>45784</v>
      </c>
      <c r="D333" t="inlineStr">
        <is>
          <t>GOTLANDS LÄN</t>
        </is>
      </c>
      <c r="E333" t="inlineStr">
        <is>
          <t>GOTLAND</t>
        </is>
      </c>
      <c r="G333" t="n">
        <v>18.7</v>
      </c>
      <c r="H333" t="n">
        <v>0</v>
      </c>
      <c r="I333" t="n">
        <v>0</v>
      </c>
      <c r="J333" t="n">
        <v>0</v>
      </c>
      <c r="K333" t="n">
        <v>0</v>
      </c>
      <c r="L333" t="n">
        <v>0</v>
      </c>
      <c r="M333" t="n">
        <v>0</v>
      </c>
      <c r="N333" t="n">
        <v>0</v>
      </c>
      <c r="O333" t="n">
        <v>0</v>
      </c>
      <c r="P333" t="n">
        <v>0</v>
      </c>
      <c r="Q333" t="n">
        <v>0</v>
      </c>
      <c r="R333" s="2" t="inlineStr"/>
    </row>
    <row r="334" ht="15" customHeight="1">
      <c r="A334" t="inlineStr">
        <is>
          <t>A 67737-2019</t>
        </is>
      </c>
      <c r="B334" s="1" t="n">
        <v>43815</v>
      </c>
      <c r="C334" s="1" t="n">
        <v>45784</v>
      </c>
      <c r="D334" t="inlineStr">
        <is>
          <t>GOTLANDS LÄN</t>
        </is>
      </c>
      <c r="E334" t="inlineStr">
        <is>
          <t>GOTLAND</t>
        </is>
      </c>
      <c r="G334" t="n">
        <v>22.1</v>
      </c>
      <c r="H334" t="n">
        <v>0</v>
      </c>
      <c r="I334" t="n">
        <v>0</v>
      </c>
      <c r="J334" t="n">
        <v>0</v>
      </c>
      <c r="K334" t="n">
        <v>0</v>
      </c>
      <c r="L334" t="n">
        <v>0</v>
      </c>
      <c r="M334" t="n">
        <v>0</v>
      </c>
      <c r="N334" t="n">
        <v>0</v>
      </c>
      <c r="O334" t="n">
        <v>0</v>
      </c>
      <c r="P334" t="n">
        <v>0</v>
      </c>
      <c r="Q334" t="n">
        <v>0</v>
      </c>
      <c r="R334" s="2" t="inlineStr"/>
    </row>
    <row r="335" ht="15" customHeight="1">
      <c r="A335" t="inlineStr">
        <is>
          <t>A 67791-2019</t>
        </is>
      </c>
      <c r="B335" s="1" t="n">
        <v>43815</v>
      </c>
      <c r="C335" s="1" t="n">
        <v>45784</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67743-2019</t>
        </is>
      </c>
      <c r="B336" s="1" t="n">
        <v>43815</v>
      </c>
      <c r="C336" s="1" t="n">
        <v>45784</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972-2020</t>
        </is>
      </c>
      <c r="B337" s="1" t="n">
        <v>43819</v>
      </c>
      <c r="C337" s="1" t="n">
        <v>45784</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68750-2019</t>
        </is>
      </c>
      <c r="B338" s="1" t="n">
        <v>43819</v>
      </c>
      <c r="C338" s="1" t="n">
        <v>45784</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164-2020</t>
        </is>
      </c>
      <c r="B339" s="1" t="n">
        <v>43833</v>
      </c>
      <c r="C339" s="1" t="n">
        <v>45784</v>
      </c>
      <c r="D339" t="inlineStr">
        <is>
          <t>GOTLANDS LÄN</t>
        </is>
      </c>
      <c r="E339" t="inlineStr">
        <is>
          <t>GOTLAND</t>
        </is>
      </c>
      <c r="F339" t="inlineStr">
        <is>
          <t>Kyrkan</t>
        </is>
      </c>
      <c r="G339" t="n">
        <v>6.2</v>
      </c>
      <c r="H339" t="n">
        <v>0</v>
      </c>
      <c r="I339" t="n">
        <v>0</v>
      </c>
      <c r="J339" t="n">
        <v>0</v>
      </c>
      <c r="K339" t="n">
        <v>0</v>
      </c>
      <c r="L339" t="n">
        <v>0</v>
      </c>
      <c r="M339" t="n">
        <v>0</v>
      </c>
      <c r="N339" t="n">
        <v>0</v>
      </c>
      <c r="O339" t="n">
        <v>0</v>
      </c>
      <c r="P339" t="n">
        <v>0</v>
      </c>
      <c r="Q339" t="n">
        <v>0</v>
      </c>
      <c r="R339" s="2" t="inlineStr"/>
    </row>
    <row r="340" ht="15" customHeight="1">
      <c r="A340" t="inlineStr">
        <is>
          <t>A 768-2020</t>
        </is>
      </c>
      <c r="B340" s="1" t="n">
        <v>43838</v>
      </c>
      <c r="C340" s="1" t="n">
        <v>45784</v>
      </c>
      <c r="D340" t="inlineStr">
        <is>
          <t>GOTLANDS LÄN</t>
        </is>
      </c>
      <c r="E340" t="inlineStr">
        <is>
          <t>GOTLAND</t>
        </is>
      </c>
      <c r="G340" t="n">
        <v>4.3</v>
      </c>
      <c r="H340" t="n">
        <v>0</v>
      </c>
      <c r="I340" t="n">
        <v>0</v>
      </c>
      <c r="J340" t="n">
        <v>0</v>
      </c>
      <c r="K340" t="n">
        <v>0</v>
      </c>
      <c r="L340" t="n">
        <v>0</v>
      </c>
      <c r="M340" t="n">
        <v>0</v>
      </c>
      <c r="N340" t="n">
        <v>0</v>
      </c>
      <c r="O340" t="n">
        <v>0</v>
      </c>
      <c r="P340" t="n">
        <v>0</v>
      </c>
      <c r="Q340" t="n">
        <v>0</v>
      </c>
      <c r="R340" s="2" t="inlineStr"/>
    </row>
    <row r="341" ht="15" customHeight="1">
      <c r="A341" t="inlineStr">
        <is>
          <t>A 1384-2020</t>
        </is>
      </c>
      <c r="B341" s="1" t="n">
        <v>43843</v>
      </c>
      <c r="C341" s="1" t="n">
        <v>45784</v>
      </c>
      <c r="D341" t="inlineStr">
        <is>
          <t>GOTLANDS LÄN</t>
        </is>
      </c>
      <c r="E341" t="inlineStr">
        <is>
          <t>GOTLAND</t>
        </is>
      </c>
      <c r="G341" t="n">
        <v>6</v>
      </c>
      <c r="H341" t="n">
        <v>0</v>
      </c>
      <c r="I341" t="n">
        <v>0</v>
      </c>
      <c r="J341" t="n">
        <v>0</v>
      </c>
      <c r="K341" t="n">
        <v>0</v>
      </c>
      <c r="L341" t="n">
        <v>0</v>
      </c>
      <c r="M341" t="n">
        <v>0</v>
      </c>
      <c r="N341" t="n">
        <v>0</v>
      </c>
      <c r="O341" t="n">
        <v>0</v>
      </c>
      <c r="P341" t="n">
        <v>0</v>
      </c>
      <c r="Q341" t="n">
        <v>0</v>
      </c>
      <c r="R341" s="2" t="inlineStr"/>
    </row>
    <row r="342" ht="15" customHeight="1">
      <c r="A342" t="inlineStr">
        <is>
          <t>A 1541-2020</t>
        </is>
      </c>
      <c r="B342" s="1" t="n">
        <v>43843</v>
      </c>
      <c r="C342" s="1" t="n">
        <v>45784</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2675-2020</t>
        </is>
      </c>
      <c r="B343" s="1" t="n">
        <v>43849</v>
      </c>
      <c r="C343" s="1" t="n">
        <v>45784</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4409-2020</t>
        </is>
      </c>
      <c r="B344" s="1" t="n">
        <v>43850</v>
      </c>
      <c r="C344" s="1" t="n">
        <v>45784</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5724-2020</t>
        </is>
      </c>
      <c r="B345" s="1" t="n">
        <v>43862</v>
      </c>
      <c r="C345" s="1" t="n">
        <v>45784</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5731-2020</t>
        </is>
      </c>
      <c r="B346" s="1" t="n">
        <v>43862</v>
      </c>
      <c r="C346" s="1" t="n">
        <v>45784</v>
      </c>
      <c r="D346" t="inlineStr">
        <is>
          <t>GOTLANDS LÄN</t>
        </is>
      </c>
      <c r="E346" t="inlineStr">
        <is>
          <t>GOTLAND</t>
        </is>
      </c>
      <c r="G346" t="n">
        <v>2.2</v>
      </c>
      <c r="H346" t="n">
        <v>0</v>
      </c>
      <c r="I346" t="n">
        <v>0</v>
      </c>
      <c r="J346" t="n">
        <v>0</v>
      </c>
      <c r="K346" t="n">
        <v>0</v>
      </c>
      <c r="L346" t="n">
        <v>0</v>
      </c>
      <c r="M346" t="n">
        <v>0</v>
      </c>
      <c r="N346" t="n">
        <v>0</v>
      </c>
      <c r="O346" t="n">
        <v>0</v>
      </c>
      <c r="P346" t="n">
        <v>0</v>
      </c>
      <c r="Q346" t="n">
        <v>0</v>
      </c>
      <c r="R346" s="2" t="inlineStr"/>
    </row>
    <row r="347" ht="15" customHeight="1">
      <c r="A347" t="inlineStr">
        <is>
          <t>A 5723-2020</t>
        </is>
      </c>
      <c r="B347" s="1" t="n">
        <v>43862</v>
      </c>
      <c r="C347" s="1" t="n">
        <v>45784</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5727-2020</t>
        </is>
      </c>
      <c r="B348" s="1" t="n">
        <v>43862</v>
      </c>
      <c r="C348" s="1" t="n">
        <v>45784</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6226-2020</t>
        </is>
      </c>
      <c r="B349" s="1" t="n">
        <v>43865</v>
      </c>
      <c r="C349" s="1" t="n">
        <v>45784</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6611-2020</t>
        </is>
      </c>
      <c r="B350" s="1" t="n">
        <v>43867</v>
      </c>
      <c r="C350" s="1" t="n">
        <v>45784</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8217-2020</t>
        </is>
      </c>
      <c r="B351" s="1" t="n">
        <v>43874</v>
      </c>
      <c r="C351" s="1" t="n">
        <v>45784</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8872-2020</t>
        </is>
      </c>
      <c r="B352" s="1" t="n">
        <v>43878</v>
      </c>
      <c r="C352" s="1" t="n">
        <v>45784</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9502-2020</t>
        </is>
      </c>
      <c r="B353" s="1" t="n">
        <v>43880</v>
      </c>
      <c r="C353" s="1" t="n">
        <v>45784</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10932-2020</t>
        </is>
      </c>
      <c r="B354" s="1" t="n">
        <v>43889</v>
      </c>
      <c r="C354" s="1" t="n">
        <v>45784</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10931-2020</t>
        </is>
      </c>
      <c r="B355" s="1" t="n">
        <v>43889</v>
      </c>
      <c r="C355" s="1" t="n">
        <v>45784</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12309-2020</t>
        </is>
      </c>
      <c r="B356" s="1" t="n">
        <v>43895</v>
      </c>
      <c r="C356" s="1" t="n">
        <v>45784</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13940-2020</t>
        </is>
      </c>
      <c r="B357" s="1" t="n">
        <v>43903</v>
      </c>
      <c r="C357" s="1" t="n">
        <v>45784</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13930-2020</t>
        </is>
      </c>
      <c r="B358" s="1" t="n">
        <v>43906</v>
      </c>
      <c r="C358" s="1" t="n">
        <v>45784</v>
      </c>
      <c r="D358" t="inlineStr">
        <is>
          <t>GOTLANDS LÄN</t>
        </is>
      </c>
      <c r="E358" t="inlineStr">
        <is>
          <t>GOTLAND</t>
        </is>
      </c>
      <c r="G358" t="n">
        <v>4</v>
      </c>
      <c r="H358" t="n">
        <v>0</v>
      </c>
      <c r="I358" t="n">
        <v>0</v>
      </c>
      <c r="J358" t="n">
        <v>0</v>
      </c>
      <c r="K358" t="n">
        <v>0</v>
      </c>
      <c r="L358" t="n">
        <v>0</v>
      </c>
      <c r="M358" t="n">
        <v>0</v>
      </c>
      <c r="N358" t="n">
        <v>0</v>
      </c>
      <c r="O358" t="n">
        <v>0</v>
      </c>
      <c r="P358" t="n">
        <v>0</v>
      </c>
      <c r="Q358" t="n">
        <v>0</v>
      </c>
      <c r="R358" s="2" t="inlineStr"/>
    </row>
    <row r="359" ht="15" customHeight="1">
      <c r="A359" t="inlineStr">
        <is>
          <t>A 13995-2020</t>
        </is>
      </c>
      <c r="B359" s="1" t="n">
        <v>43906</v>
      </c>
      <c r="C359" s="1" t="n">
        <v>45784</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13987-2020</t>
        </is>
      </c>
      <c r="B360" s="1" t="n">
        <v>43906</v>
      </c>
      <c r="C360" s="1" t="n">
        <v>45784</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14073-2020</t>
        </is>
      </c>
      <c r="B361" s="1" t="n">
        <v>43907</v>
      </c>
      <c r="C361" s="1" t="n">
        <v>45784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14074-2020</t>
        </is>
      </c>
      <c r="B362" s="1" t="n">
        <v>43907</v>
      </c>
      <c r="C362" s="1" t="n">
        <v>45784</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16452-2020</t>
        </is>
      </c>
      <c r="B363" s="1" t="n">
        <v>43909</v>
      </c>
      <c r="C363" s="1" t="n">
        <v>45784</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14995-2020</t>
        </is>
      </c>
      <c r="B364" s="1" t="n">
        <v>43910</v>
      </c>
      <c r="C364" s="1" t="n">
        <v>45784</v>
      </c>
      <c r="D364" t="inlineStr">
        <is>
          <t>GOTLANDS LÄN</t>
        </is>
      </c>
      <c r="E364" t="inlineStr">
        <is>
          <t>GOTLAND</t>
        </is>
      </c>
      <c r="G364" t="n">
        <v>6.3</v>
      </c>
      <c r="H364" t="n">
        <v>0</v>
      </c>
      <c r="I364" t="n">
        <v>0</v>
      </c>
      <c r="J364" t="n">
        <v>0</v>
      </c>
      <c r="K364" t="n">
        <v>0</v>
      </c>
      <c r="L364" t="n">
        <v>0</v>
      </c>
      <c r="M364" t="n">
        <v>0</v>
      </c>
      <c r="N364" t="n">
        <v>0</v>
      </c>
      <c r="O364" t="n">
        <v>0</v>
      </c>
      <c r="P364" t="n">
        <v>0</v>
      </c>
      <c r="Q364" t="n">
        <v>0</v>
      </c>
      <c r="R364" s="2" t="inlineStr"/>
    </row>
    <row r="365" ht="15" customHeight="1">
      <c r="A365" t="inlineStr">
        <is>
          <t>A 15202-2020</t>
        </is>
      </c>
      <c r="B365" s="1" t="n">
        <v>43913</v>
      </c>
      <c r="C365" s="1" t="n">
        <v>45784</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15197-2020</t>
        </is>
      </c>
      <c r="B366" s="1" t="n">
        <v>43913</v>
      </c>
      <c r="C366" s="1" t="n">
        <v>45784</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15888-2020</t>
        </is>
      </c>
      <c r="B367" s="1" t="n">
        <v>43915</v>
      </c>
      <c r="C367" s="1" t="n">
        <v>45784</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16133-2020</t>
        </is>
      </c>
      <c r="B368" s="1" t="n">
        <v>43916</v>
      </c>
      <c r="C368" s="1" t="n">
        <v>45784</v>
      </c>
      <c r="D368" t="inlineStr">
        <is>
          <t>GOTLANDS LÄN</t>
        </is>
      </c>
      <c r="E368" t="inlineStr">
        <is>
          <t>GOTLAND</t>
        </is>
      </c>
      <c r="G368" t="n">
        <v>6.7</v>
      </c>
      <c r="H368" t="n">
        <v>0</v>
      </c>
      <c r="I368" t="n">
        <v>0</v>
      </c>
      <c r="J368" t="n">
        <v>0</v>
      </c>
      <c r="K368" t="n">
        <v>0</v>
      </c>
      <c r="L368" t="n">
        <v>0</v>
      </c>
      <c r="M368" t="n">
        <v>0</v>
      </c>
      <c r="N368" t="n">
        <v>0</v>
      </c>
      <c r="O368" t="n">
        <v>0</v>
      </c>
      <c r="P368" t="n">
        <v>0</v>
      </c>
      <c r="Q368" t="n">
        <v>0</v>
      </c>
      <c r="R368" s="2" t="inlineStr"/>
    </row>
    <row r="369" ht="15" customHeight="1">
      <c r="A369" t="inlineStr">
        <is>
          <t>A 17403-2020</t>
        </is>
      </c>
      <c r="B369" s="1" t="n">
        <v>43917</v>
      </c>
      <c r="C369" s="1" t="n">
        <v>45784</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17869-2020</t>
        </is>
      </c>
      <c r="B370" s="1" t="n">
        <v>43924</v>
      </c>
      <c r="C370" s="1" t="n">
        <v>45784</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19900-2020</t>
        </is>
      </c>
      <c r="B371" s="1" t="n">
        <v>43942</v>
      </c>
      <c r="C371" s="1" t="n">
        <v>45784</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21568-2020</t>
        </is>
      </c>
      <c r="B372" s="1" t="n">
        <v>43956</v>
      </c>
      <c r="C372" s="1" t="n">
        <v>45784</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22093-2020</t>
        </is>
      </c>
      <c r="B373" s="1" t="n">
        <v>43959</v>
      </c>
      <c r="C373" s="1" t="n">
        <v>45784</v>
      </c>
      <c r="D373" t="inlineStr">
        <is>
          <t>GOTLANDS LÄN</t>
        </is>
      </c>
      <c r="E373" t="inlineStr">
        <is>
          <t>GOTLAND</t>
        </is>
      </c>
      <c r="F373" t="inlineStr">
        <is>
          <t>Kommuner</t>
        </is>
      </c>
      <c r="G373" t="n">
        <v>0.6</v>
      </c>
      <c r="H373" t="n">
        <v>0</v>
      </c>
      <c r="I373" t="n">
        <v>0</v>
      </c>
      <c r="J373" t="n">
        <v>0</v>
      </c>
      <c r="K373" t="n">
        <v>0</v>
      </c>
      <c r="L373" t="n">
        <v>0</v>
      </c>
      <c r="M373" t="n">
        <v>0</v>
      </c>
      <c r="N373" t="n">
        <v>0</v>
      </c>
      <c r="O373" t="n">
        <v>0</v>
      </c>
      <c r="P373" t="n">
        <v>0</v>
      </c>
      <c r="Q373" t="n">
        <v>0</v>
      </c>
      <c r="R373" s="2" t="inlineStr"/>
    </row>
    <row r="374" ht="15" customHeight="1">
      <c r="A374" t="inlineStr">
        <is>
          <t>A 22329-2020</t>
        </is>
      </c>
      <c r="B374" s="1" t="n">
        <v>43962</v>
      </c>
      <c r="C374" s="1" t="n">
        <v>45784</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22333-2020</t>
        </is>
      </c>
      <c r="B375" s="1" t="n">
        <v>43962</v>
      </c>
      <c r="C375" s="1" t="n">
        <v>45784</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23498-2020</t>
        </is>
      </c>
      <c r="B376" s="1" t="n">
        <v>43969</v>
      </c>
      <c r="C376" s="1" t="n">
        <v>45784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23728-2020</t>
        </is>
      </c>
      <c r="B377" s="1" t="n">
        <v>43970</v>
      </c>
      <c r="C377" s="1" t="n">
        <v>45784</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24537-2020</t>
        </is>
      </c>
      <c r="B378" s="1" t="n">
        <v>43977</v>
      </c>
      <c r="C378" s="1" t="n">
        <v>45784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25039-2020</t>
        </is>
      </c>
      <c r="B379" s="1" t="n">
        <v>43979</v>
      </c>
      <c r="C379" s="1" t="n">
        <v>45784</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26117-2020</t>
        </is>
      </c>
      <c r="B380" s="1" t="n">
        <v>43985</v>
      </c>
      <c r="C380" s="1" t="n">
        <v>45784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27322-2020</t>
        </is>
      </c>
      <c r="B381" s="1" t="n">
        <v>43992</v>
      </c>
      <c r="C381" s="1" t="n">
        <v>45784</v>
      </c>
      <c r="D381" t="inlineStr">
        <is>
          <t>GOTLANDS LÄN</t>
        </is>
      </c>
      <c r="E381" t="inlineStr">
        <is>
          <t>GOTLAND</t>
        </is>
      </c>
      <c r="F381" t="inlineStr">
        <is>
          <t>Övriga statliga verk och myndigheter</t>
        </is>
      </c>
      <c r="G381" t="n">
        <v>7.4</v>
      </c>
      <c r="H381" t="n">
        <v>0</v>
      </c>
      <c r="I381" t="n">
        <v>0</v>
      </c>
      <c r="J381" t="n">
        <v>0</v>
      </c>
      <c r="K381" t="n">
        <v>0</v>
      </c>
      <c r="L381" t="n">
        <v>0</v>
      </c>
      <c r="M381" t="n">
        <v>0</v>
      </c>
      <c r="N381" t="n">
        <v>0</v>
      </c>
      <c r="O381" t="n">
        <v>0</v>
      </c>
      <c r="P381" t="n">
        <v>0</v>
      </c>
      <c r="Q381" t="n">
        <v>0</v>
      </c>
      <c r="R381" s="2" t="inlineStr"/>
    </row>
    <row r="382" ht="15" customHeight="1">
      <c r="A382" t="inlineStr">
        <is>
          <t>A 27334-2020</t>
        </is>
      </c>
      <c r="B382" s="1" t="n">
        <v>43992</v>
      </c>
      <c r="C382" s="1" t="n">
        <v>45784</v>
      </c>
      <c r="D382" t="inlineStr">
        <is>
          <t>GOTLANDS LÄN</t>
        </is>
      </c>
      <c r="E382" t="inlineStr">
        <is>
          <t>GOTLAND</t>
        </is>
      </c>
      <c r="F382" t="inlineStr">
        <is>
          <t>Övriga statliga verk och myndigheter</t>
        </is>
      </c>
      <c r="G382" t="n">
        <v>5.4</v>
      </c>
      <c r="H382" t="n">
        <v>0</v>
      </c>
      <c r="I382" t="n">
        <v>0</v>
      </c>
      <c r="J382" t="n">
        <v>0</v>
      </c>
      <c r="K382" t="n">
        <v>0</v>
      </c>
      <c r="L382" t="n">
        <v>0</v>
      </c>
      <c r="M382" t="n">
        <v>0</v>
      </c>
      <c r="N382" t="n">
        <v>0</v>
      </c>
      <c r="O382" t="n">
        <v>0</v>
      </c>
      <c r="P382" t="n">
        <v>0</v>
      </c>
      <c r="Q382" t="n">
        <v>0</v>
      </c>
      <c r="R382" s="2" t="inlineStr"/>
    </row>
    <row r="383" ht="15" customHeight="1">
      <c r="A383" t="inlineStr">
        <is>
          <t>A 27723-2020</t>
        </is>
      </c>
      <c r="B383" s="1" t="n">
        <v>43994</v>
      </c>
      <c r="C383" s="1" t="n">
        <v>45784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27719-2020</t>
        </is>
      </c>
      <c r="B384" s="1" t="n">
        <v>43994</v>
      </c>
      <c r="C384" s="1" t="n">
        <v>45784</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27713-2020</t>
        </is>
      </c>
      <c r="B385" s="1" t="n">
        <v>43994</v>
      </c>
      <c r="C385" s="1" t="n">
        <v>45784</v>
      </c>
      <c r="D385" t="inlineStr">
        <is>
          <t>GOTLANDS LÄN</t>
        </is>
      </c>
      <c r="E385" t="inlineStr">
        <is>
          <t>GOTLAND</t>
        </is>
      </c>
      <c r="F385" t="inlineStr">
        <is>
          <t>Övriga statliga verk och myndigheter</t>
        </is>
      </c>
      <c r="G385" t="n">
        <v>0.8</v>
      </c>
      <c r="H385" t="n">
        <v>0</v>
      </c>
      <c r="I385" t="n">
        <v>0</v>
      </c>
      <c r="J385" t="n">
        <v>0</v>
      </c>
      <c r="K385" t="n">
        <v>0</v>
      </c>
      <c r="L385" t="n">
        <v>0</v>
      </c>
      <c r="M385" t="n">
        <v>0</v>
      </c>
      <c r="N385" t="n">
        <v>0</v>
      </c>
      <c r="O385" t="n">
        <v>0</v>
      </c>
      <c r="P385" t="n">
        <v>0</v>
      </c>
      <c r="Q385" t="n">
        <v>0</v>
      </c>
      <c r="R385" s="2" t="inlineStr"/>
    </row>
    <row r="386" ht="15" customHeight="1">
      <c r="A386" t="inlineStr">
        <is>
          <t>A 29529-2020</t>
        </is>
      </c>
      <c r="B386" s="1" t="n">
        <v>44005</v>
      </c>
      <c r="C386" s="1" t="n">
        <v>45784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29915-2020</t>
        </is>
      </c>
      <c r="B387" s="1" t="n">
        <v>44006</v>
      </c>
      <c r="C387" s="1" t="n">
        <v>45784</v>
      </c>
      <c r="D387" t="inlineStr">
        <is>
          <t>GOTLANDS LÄN</t>
        </is>
      </c>
      <c r="E387" t="inlineStr">
        <is>
          <t>GOTLAND</t>
        </is>
      </c>
      <c r="F387" t="inlineStr">
        <is>
          <t>Kommuner</t>
        </is>
      </c>
      <c r="G387" t="n">
        <v>5.8</v>
      </c>
      <c r="H387" t="n">
        <v>0</v>
      </c>
      <c r="I387" t="n">
        <v>0</v>
      </c>
      <c r="J387" t="n">
        <v>0</v>
      </c>
      <c r="K387" t="n">
        <v>0</v>
      </c>
      <c r="L387" t="n">
        <v>0</v>
      </c>
      <c r="M387" t="n">
        <v>0</v>
      </c>
      <c r="N387" t="n">
        <v>0</v>
      </c>
      <c r="O387" t="n">
        <v>0</v>
      </c>
      <c r="P387" t="n">
        <v>0</v>
      </c>
      <c r="Q387" t="n">
        <v>0</v>
      </c>
      <c r="R387" s="2" t="inlineStr"/>
    </row>
    <row r="388" ht="15" customHeight="1">
      <c r="A388" t="inlineStr">
        <is>
          <t>A 30980-2020</t>
        </is>
      </c>
      <c r="B388" s="1" t="n">
        <v>44011</v>
      </c>
      <c r="C388" s="1" t="n">
        <v>45784</v>
      </c>
      <c r="D388" t="inlineStr">
        <is>
          <t>GOTLANDS LÄN</t>
        </is>
      </c>
      <c r="E388" t="inlineStr">
        <is>
          <t>GOTLAND</t>
        </is>
      </c>
      <c r="G388" t="n">
        <v>17.9</v>
      </c>
      <c r="H388" t="n">
        <v>0</v>
      </c>
      <c r="I388" t="n">
        <v>0</v>
      </c>
      <c r="J388" t="n">
        <v>0</v>
      </c>
      <c r="K388" t="n">
        <v>0</v>
      </c>
      <c r="L388" t="n">
        <v>0</v>
      </c>
      <c r="M388" t="n">
        <v>0</v>
      </c>
      <c r="N388" t="n">
        <v>0</v>
      </c>
      <c r="O388" t="n">
        <v>0</v>
      </c>
      <c r="P388" t="n">
        <v>0</v>
      </c>
      <c r="Q388" t="n">
        <v>0</v>
      </c>
      <c r="R388" s="2" t="inlineStr"/>
    </row>
    <row r="389" ht="15" customHeight="1">
      <c r="A389" t="inlineStr">
        <is>
          <t>A 32804-2020</t>
        </is>
      </c>
      <c r="B389" s="1" t="n">
        <v>44018</v>
      </c>
      <c r="C389" s="1" t="n">
        <v>45784</v>
      </c>
      <c r="D389" t="inlineStr">
        <is>
          <t>GOTLANDS LÄN</t>
        </is>
      </c>
      <c r="E389" t="inlineStr">
        <is>
          <t>GOTLAND</t>
        </is>
      </c>
      <c r="G389" t="n">
        <v>19.3</v>
      </c>
      <c r="H389" t="n">
        <v>0</v>
      </c>
      <c r="I389" t="n">
        <v>0</v>
      </c>
      <c r="J389" t="n">
        <v>0</v>
      </c>
      <c r="K389" t="n">
        <v>0</v>
      </c>
      <c r="L389" t="n">
        <v>0</v>
      </c>
      <c r="M389" t="n">
        <v>0</v>
      </c>
      <c r="N389" t="n">
        <v>0</v>
      </c>
      <c r="O389" t="n">
        <v>0</v>
      </c>
      <c r="P389" t="n">
        <v>0</v>
      </c>
      <c r="Q389" t="n">
        <v>0</v>
      </c>
      <c r="R389" s="2" t="inlineStr"/>
    </row>
    <row r="390" ht="15" customHeight="1">
      <c r="A390" t="inlineStr">
        <is>
          <t>A 32974-2020</t>
        </is>
      </c>
      <c r="B390" s="1" t="n">
        <v>44020</v>
      </c>
      <c r="C390" s="1" t="n">
        <v>45784</v>
      </c>
      <c r="D390" t="inlineStr">
        <is>
          <t>GOTLANDS LÄN</t>
        </is>
      </c>
      <c r="E390" t="inlineStr">
        <is>
          <t>GOTLAND</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35074-2020</t>
        </is>
      </c>
      <c r="B391" s="1" t="n">
        <v>44039</v>
      </c>
      <c r="C391" s="1" t="n">
        <v>45784</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36073-2020</t>
        </is>
      </c>
      <c r="B392" s="1" t="n">
        <v>44048</v>
      </c>
      <c r="C392" s="1" t="n">
        <v>45784</v>
      </c>
      <c r="D392" t="inlineStr">
        <is>
          <t>GOTLANDS LÄN</t>
        </is>
      </c>
      <c r="E392" t="inlineStr">
        <is>
          <t>GOTLAND</t>
        </is>
      </c>
      <c r="G392" t="n">
        <v>10.1</v>
      </c>
      <c r="H392" t="n">
        <v>0</v>
      </c>
      <c r="I392" t="n">
        <v>0</v>
      </c>
      <c r="J392" t="n">
        <v>0</v>
      </c>
      <c r="K392" t="n">
        <v>0</v>
      </c>
      <c r="L392" t="n">
        <v>0</v>
      </c>
      <c r="M392" t="n">
        <v>0</v>
      </c>
      <c r="N392" t="n">
        <v>0</v>
      </c>
      <c r="O392" t="n">
        <v>0</v>
      </c>
      <c r="P392" t="n">
        <v>0</v>
      </c>
      <c r="Q392" t="n">
        <v>0</v>
      </c>
      <c r="R392" s="2" t="inlineStr"/>
    </row>
    <row r="393" ht="15" customHeight="1">
      <c r="A393" t="inlineStr">
        <is>
          <t>A 36076-2020</t>
        </is>
      </c>
      <c r="B393" s="1" t="n">
        <v>44048</v>
      </c>
      <c r="C393" s="1" t="n">
        <v>45784</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36284-2020</t>
        </is>
      </c>
      <c r="B394" s="1" t="n">
        <v>44049</v>
      </c>
      <c r="C394" s="1" t="n">
        <v>45784</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37204-2020</t>
        </is>
      </c>
      <c r="B395" s="1" t="n">
        <v>44054</v>
      </c>
      <c r="C395" s="1" t="n">
        <v>45784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38709-2020</t>
        </is>
      </c>
      <c r="B396" s="1" t="n">
        <v>44061</v>
      </c>
      <c r="C396" s="1" t="n">
        <v>45784</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39477-2020</t>
        </is>
      </c>
      <c r="B397" s="1" t="n">
        <v>44064</v>
      </c>
      <c r="C397" s="1" t="n">
        <v>45784</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41109-2020</t>
        </is>
      </c>
      <c r="B398" s="1" t="n">
        <v>44069</v>
      </c>
      <c r="C398" s="1" t="n">
        <v>45784</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41576-2020</t>
        </is>
      </c>
      <c r="B399" s="1" t="n">
        <v>44074</v>
      </c>
      <c r="C399" s="1" t="n">
        <v>45784</v>
      </c>
      <c r="D399" t="inlineStr">
        <is>
          <t>GOTLANDS LÄN</t>
        </is>
      </c>
      <c r="E399" t="inlineStr">
        <is>
          <t>GOTLAND</t>
        </is>
      </c>
      <c r="G399" t="n">
        <v>8.4</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45784</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45784</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45784</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45784</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45784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45784</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45784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45784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45784</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45784</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45784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45784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45784</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45784</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45784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45784</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45784</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45784</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45784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45784</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45784</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45784</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45784</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45784</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45784</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45784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45784</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45784</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45784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45784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45784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45784</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45784</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45784</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45784</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45784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45784</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45784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45784</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45784</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45784</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45784</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45784</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45784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45784</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45784</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45784</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45784</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45784</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45784</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45784</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45784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45784</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45784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45784</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45784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45784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45784</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45784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45784</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45784</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45784</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45784</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45784</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45784</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45784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45784</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45784</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45784</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45784</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45784</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45784</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45784</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45784</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45784</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45784</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45784</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45784</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45784</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45784</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45784</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45784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45784</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45784</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45784</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45784</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45784</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45784</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45784</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45784</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45784</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45784</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45784</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45784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45784</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45784</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45784</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45784</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45784</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45784</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45784</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45784</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45784</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45784</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45784</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45784</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45784</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45784</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45784</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45784</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45784</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45784</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45784</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45784</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45784</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29809-2022</t>
        </is>
      </c>
      <c r="B515" s="1" t="n">
        <v>44755</v>
      </c>
      <c r="C515" s="1" t="n">
        <v>45784</v>
      </c>
      <c r="D515" t="inlineStr">
        <is>
          <t>GOTLANDS LÄN</t>
        </is>
      </c>
      <c r="E515" t="inlineStr">
        <is>
          <t>GOTLAND</t>
        </is>
      </c>
      <c r="G515" t="n">
        <v>11.5</v>
      </c>
      <c r="H515" t="n">
        <v>0</v>
      </c>
      <c r="I515" t="n">
        <v>0</v>
      </c>
      <c r="J515" t="n">
        <v>0</v>
      </c>
      <c r="K515" t="n">
        <v>0</v>
      </c>
      <c r="L515" t="n">
        <v>0</v>
      </c>
      <c r="M515" t="n">
        <v>0</v>
      </c>
      <c r="N515" t="n">
        <v>0</v>
      </c>
      <c r="O515" t="n">
        <v>0</v>
      </c>
      <c r="P515" t="n">
        <v>0</v>
      </c>
      <c r="Q515" t="n">
        <v>0</v>
      </c>
      <c r="R515" s="2" t="inlineStr"/>
    </row>
    <row r="516" ht="15" customHeight="1">
      <c r="A516" t="inlineStr">
        <is>
          <t>A 30282-2022</t>
        </is>
      </c>
      <c r="B516" s="1" t="n">
        <v>44760</v>
      </c>
      <c r="C516" s="1" t="n">
        <v>45784</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31239-2022</t>
        </is>
      </c>
      <c r="B517" s="1" t="n">
        <v>44771</v>
      </c>
      <c r="C517" s="1" t="n">
        <v>45784</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37569-2022</t>
        </is>
      </c>
      <c r="B518" s="1" t="n">
        <v>44809</v>
      </c>
      <c r="C518" s="1" t="n">
        <v>45784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39302-2022</t>
        </is>
      </c>
      <c r="B519" s="1" t="n">
        <v>44817</v>
      </c>
      <c r="C519" s="1" t="n">
        <v>45784</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39496-2022</t>
        </is>
      </c>
      <c r="B520" s="1" t="n">
        <v>44818</v>
      </c>
      <c r="C520" s="1" t="n">
        <v>45784</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39479-2022</t>
        </is>
      </c>
      <c r="B521" s="1" t="n">
        <v>44818</v>
      </c>
      <c r="C521" s="1" t="n">
        <v>45784</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39764-2022</t>
        </is>
      </c>
      <c r="B522" s="1" t="n">
        <v>44819</v>
      </c>
      <c r="C522" s="1" t="n">
        <v>45784</v>
      </c>
      <c r="D522" t="inlineStr">
        <is>
          <t>GOTLANDS LÄN</t>
        </is>
      </c>
      <c r="E522" t="inlineStr">
        <is>
          <t>GOTLAND</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40294-2022</t>
        </is>
      </c>
      <c r="B523" s="1" t="n">
        <v>44821</v>
      </c>
      <c r="C523" s="1" t="n">
        <v>45784</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40478-2022</t>
        </is>
      </c>
      <c r="B524" s="1" t="n">
        <v>44823</v>
      </c>
      <c r="C524" s="1" t="n">
        <v>45784</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43081-2022</t>
        </is>
      </c>
      <c r="B525" s="1" t="n">
        <v>44833</v>
      </c>
      <c r="C525" s="1" t="n">
        <v>45784</v>
      </c>
      <c r="D525" t="inlineStr">
        <is>
          <t>GOTLANDS LÄN</t>
        </is>
      </c>
      <c r="E525" t="inlineStr">
        <is>
          <t>GOTLAND</t>
        </is>
      </c>
      <c r="G525" t="n">
        <v>6.8</v>
      </c>
      <c r="H525" t="n">
        <v>0</v>
      </c>
      <c r="I525" t="n">
        <v>0</v>
      </c>
      <c r="J525" t="n">
        <v>0</v>
      </c>
      <c r="K525" t="n">
        <v>0</v>
      </c>
      <c r="L525" t="n">
        <v>0</v>
      </c>
      <c r="M525" t="n">
        <v>0</v>
      </c>
      <c r="N525" t="n">
        <v>0</v>
      </c>
      <c r="O525" t="n">
        <v>0</v>
      </c>
      <c r="P525" t="n">
        <v>0</v>
      </c>
      <c r="Q525" t="n">
        <v>0</v>
      </c>
      <c r="R525" s="2" t="inlineStr"/>
    </row>
    <row r="526" ht="15" customHeight="1">
      <c r="A526" t="inlineStr">
        <is>
          <t>A 44102-2022</t>
        </is>
      </c>
      <c r="B526" s="1" t="n">
        <v>44839</v>
      </c>
      <c r="C526" s="1" t="n">
        <v>45784</v>
      </c>
      <c r="D526" t="inlineStr">
        <is>
          <t>GOTLANDS LÄN</t>
        </is>
      </c>
      <c r="E526" t="inlineStr">
        <is>
          <t>GOTLAND</t>
        </is>
      </c>
      <c r="G526" t="n">
        <v>4.2</v>
      </c>
      <c r="H526" t="n">
        <v>0</v>
      </c>
      <c r="I526" t="n">
        <v>0</v>
      </c>
      <c r="J526" t="n">
        <v>0</v>
      </c>
      <c r="K526" t="n">
        <v>0</v>
      </c>
      <c r="L526" t="n">
        <v>0</v>
      </c>
      <c r="M526" t="n">
        <v>0</v>
      </c>
      <c r="N526" t="n">
        <v>0</v>
      </c>
      <c r="O526" t="n">
        <v>0</v>
      </c>
      <c r="P526" t="n">
        <v>0</v>
      </c>
      <c r="Q526" t="n">
        <v>0</v>
      </c>
      <c r="R526" s="2" t="inlineStr"/>
    </row>
    <row r="527" ht="15" customHeight="1">
      <c r="A527" t="inlineStr">
        <is>
          <t>A 44108-2022</t>
        </is>
      </c>
      <c r="B527" s="1" t="n">
        <v>44839</v>
      </c>
      <c r="C527" s="1" t="n">
        <v>45784</v>
      </c>
      <c r="D527" t="inlineStr">
        <is>
          <t>GOTLANDS LÄN</t>
        </is>
      </c>
      <c r="E527" t="inlineStr">
        <is>
          <t>GOTLAND</t>
        </is>
      </c>
      <c r="G527" t="n">
        <v>12.9</v>
      </c>
      <c r="H527" t="n">
        <v>0</v>
      </c>
      <c r="I527" t="n">
        <v>0</v>
      </c>
      <c r="J527" t="n">
        <v>0</v>
      </c>
      <c r="K527" t="n">
        <v>0</v>
      </c>
      <c r="L527" t="n">
        <v>0</v>
      </c>
      <c r="M527" t="n">
        <v>0</v>
      </c>
      <c r="N527" t="n">
        <v>0</v>
      </c>
      <c r="O527" t="n">
        <v>0</v>
      </c>
      <c r="P527" t="n">
        <v>0</v>
      </c>
      <c r="Q527" t="n">
        <v>0</v>
      </c>
      <c r="R527" s="2" t="inlineStr"/>
    </row>
    <row r="528" ht="15" customHeight="1">
      <c r="A528" t="inlineStr">
        <is>
          <t>A 44207-2022</t>
        </is>
      </c>
      <c r="B528" s="1" t="n">
        <v>44839</v>
      </c>
      <c r="C528" s="1" t="n">
        <v>45784</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44204-2022</t>
        </is>
      </c>
      <c r="B529" s="1" t="n">
        <v>44839</v>
      </c>
      <c r="C529" s="1" t="n">
        <v>45784</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44228-2022</t>
        </is>
      </c>
      <c r="B530" s="1" t="n">
        <v>44839</v>
      </c>
      <c r="C530" s="1" t="n">
        <v>45784</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44878-2022</t>
        </is>
      </c>
      <c r="B531" s="1" t="n">
        <v>44839</v>
      </c>
      <c r="C531" s="1" t="n">
        <v>45784</v>
      </c>
      <c r="D531" t="inlineStr">
        <is>
          <t>GOTLANDS LÄN</t>
        </is>
      </c>
      <c r="E531" t="inlineStr">
        <is>
          <t>GOTLAND</t>
        </is>
      </c>
      <c r="G531" t="n">
        <v>4</v>
      </c>
      <c r="H531" t="n">
        <v>0</v>
      </c>
      <c r="I531" t="n">
        <v>0</v>
      </c>
      <c r="J531" t="n">
        <v>0</v>
      </c>
      <c r="K531" t="n">
        <v>0</v>
      </c>
      <c r="L531" t="n">
        <v>0</v>
      </c>
      <c r="M531" t="n">
        <v>0</v>
      </c>
      <c r="N531" t="n">
        <v>0</v>
      </c>
      <c r="O531" t="n">
        <v>0</v>
      </c>
      <c r="P531" t="n">
        <v>0</v>
      </c>
      <c r="Q531" t="n">
        <v>0</v>
      </c>
      <c r="R531" s="2" t="inlineStr"/>
    </row>
    <row r="532" ht="15" customHeight="1">
      <c r="A532" t="inlineStr">
        <is>
          <t>A 44919-2022</t>
        </is>
      </c>
      <c r="B532" s="1" t="n">
        <v>44841</v>
      </c>
      <c r="C532" s="1" t="n">
        <v>45784</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44942-2022</t>
        </is>
      </c>
      <c r="B533" s="1" t="n">
        <v>44841</v>
      </c>
      <c r="C533" s="1" t="n">
        <v>45784</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45784</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47231-2022</t>
        </is>
      </c>
      <c r="B535" s="1" t="n">
        <v>44852</v>
      </c>
      <c r="C535" s="1" t="n">
        <v>45784</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45784</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49812-2022</t>
        </is>
      </c>
      <c r="B537" s="1" t="n">
        <v>44862</v>
      </c>
      <c r="C537" s="1" t="n">
        <v>45784</v>
      </c>
      <c r="D537" t="inlineStr">
        <is>
          <t>GOTLANDS LÄN</t>
        </is>
      </c>
      <c r="E537" t="inlineStr">
        <is>
          <t>GOTLAND</t>
        </is>
      </c>
      <c r="F537" t="inlineStr">
        <is>
          <t>Kyrkan</t>
        </is>
      </c>
      <c r="G537" t="n">
        <v>1.3</v>
      </c>
      <c r="H537" t="n">
        <v>0</v>
      </c>
      <c r="I537" t="n">
        <v>0</v>
      </c>
      <c r="J537" t="n">
        <v>0</v>
      </c>
      <c r="K537" t="n">
        <v>0</v>
      </c>
      <c r="L537" t="n">
        <v>0</v>
      </c>
      <c r="M537" t="n">
        <v>0</v>
      </c>
      <c r="N537" t="n">
        <v>0</v>
      </c>
      <c r="O537" t="n">
        <v>0</v>
      </c>
      <c r="P537" t="n">
        <v>0</v>
      </c>
      <c r="Q537" t="n">
        <v>0</v>
      </c>
      <c r="R537" s="2" t="inlineStr"/>
    </row>
    <row r="538" ht="15" customHeight="1">
      <c r="A538" t="inlineStr">
        <is>
          <t>A 50810-2022</t>
        </is>
      </c>
      <c r="B538" s="1" t="n">
        <v>44867</v>
      </c>
      <c r="C538" s="1" t="n">
        <v>45784</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51591-2022</t>
        </is>
      </c>
      <c r="B539" s="1" t="n">
        <v>44871</v>
      </c>
      <c r="C539" s="1" t="n">
        <v>45784</v>
      </c>
      <c r="D539" t="inlineStr">
        <is>
          <t>GOTLANDS LÄN</t>
        </is>
      </c>
      <c r="E539" t="inlineStr">
        <is>
          <t>GOTLAND</t>
        </is>
      </c>
      <c r="G539" t="n">
        <v>1.5</v>
      </c>
      <c r="H539" t="n">
        <v>0</v>
      </c>
      <c r="I539" t="n">
        <v>0</v>
      </c>
      <c r="J539" t="n">
        <v>0</v>
      </c>
      <c r="K539" t="n">
        <v>0</v>
      </c>
      <c r="L539" t="n">
        <v>0</v>
      </c>
      <c r="M539" t="n">
        <v>0</v>
      </c>
      <c r="N539" t="n">
        <v>0</v>
      </c>
      <c r="O539" t="n">
        <v>0</v>
      </c>
      <c r="P539" t="n">
        <v>0</v>
      </c>
      <c r="Q539" t="n">
        <v>0</v>
      </c>
      <c r="R539" s="2" t="inlineStr"/>
    </row>
    <row r="540" ht="15" customHeight="1">
      <c r="A540" t="inlineStr">
        <is>
          <t>A 53725-2022</t>
        </is>
      </c>
      <c r="B540" s="1" t="n">
        <v>44875</v>
      </c>
      <c r="C540" s="1" t="n">
        <v>45784</v>
      </c>
      <c r="D540" t="inlineStr">
        <is>
          <t>GOTLANDS LÄN</t>
        </is>
      </c>
      <c r="E540" t="inlineStr">
        <is>
          <t>GOTLAND</t>
        </is>
      </c>
      <c r="F540" t="inlineStr">
        <is>
          <t>Övriga statliga verk och myndigheter</t>
        </is>
      </c>
      <c r="G540" t="n">
        <v>6.2</v>
      </c>
      <c r="H540" t="n">
        <v>0</v>
      </c>
      <c r="I540" t="n">
        <v>0</v>
      </c>
      <c r="J540" t="n">
        <v>0</v>
      </c>
      <c r="K540" t="n">
        <v>0</v>
      </c>
      <c r="L540" t="n">
        <v>0</v>
      </c>
      <c r="M540" t="n">
        <v>0</v>
      </c>
      <c r="N540" t="n">
        <v>0</v>
      </c>
      <c r="O540" t="n">
        <v>0</v>
      </c>
      <c r="P540" t="n">
        <v>0</v>
      </c>
      <c r="Q540" t="n">
        <v>0</v>
      </c>
      <c r="R540" s="2" t="inlineStr"/>
    </row>
    <row r="541" ht="15" customHeight="1">
      <c r="A541" t="inlineStr">
        <is>
          <t>A 53722-2022</t>
        </is>
      </c>
      <c r="B541" s="1" t="n">
        <v>44875</v>
      </c>
      <c r="C541" s="1" t="n">
        <v>45784</v>
      </c>
      <c r="D541" t="inlineStr">
        <is>
          <t>GOTLANDS LÄN</t>
        </is>
      </c>
      <c r="E541" t="inlineStr">
        <is>
          <t>GOTLAND</t>
        </is>
      </c>
      <c r="F541" t="inlineStr">
        <is>
          <t>Övriga statliga verk och myndigheter</t>
        </is>
      </c>
      <c r="G541" t="n">
        <v>8</v>
      </c>
      <c r="H541" t="n">
        <v>0</v>
      </c>
      <c r="I541" t="n">
        <v>0</v>
      </c>
      <c r="J541" t="n">
        <v>0</v>
      </c>
      <c r="K541" t="n">
        <v>0</v>
      </c>
      <c r="L541" t="n">
        <v>0</v>
      </c>
      <c r="M541" t="n">
        <v>0</v>
      </c>
      <c r="N541" t="n">
        <v>0</v>
      </c>
      <c r="O541" t="n">
        <v>0</v>
      </c>
      <c r="P541" t="n">
        <v>0</v>
      </c>
      <c r="Q541" t="n">
        <v>0</v>
      </c>
      <c r="R541" s="2" t="inlineStr"/>
    </row>
    <row r="542" ht="15" customHeight="1">
      <c r="A542" t="inlineStr">
        <is>
          <t>A 53727-2022</t>
        </is>
      </c>
      <c r="B542" s="1" t="n">
        <v>44875</v>
      </c>
      <c r="C542" s="1" t="n">
        <v>45784</v>
      </c>
      <c r="D542" t="inlineStr">
        <is>
          <t>GOTLANDS LÄN</t>
        </is>
      </c>
      <c r="E542" t="inlineStr">
        <is>
          <t>GOTLAND</t>
        </is>
      </c>
      <c r="F542" t="inlineStr">
        <is>
          <t>Övriga statliga verk och myndigheter</t>
        </is>
      </c>
      <c r="G542" t="n">
        <v>3.6</v>
      </c>
      <c r="H542" t="n">
        <v>0</v>
      </c>
      <c r="I542" t="n">
        <v>0</v>
      </c>
      <c r="J542" t="n">
        <v>0</v>
      </c>
      <c r="K542" t="n">
        <v>0</v>
      </c>
      <c r="L542" t="n">
        <v>0</v>
      </c>
      <c r="M542" t="n">
        <v>0</v>
      </c>
      <c r="N542" t="n">
        <v>0</v>
      </c>
      <c r="O542" t="n">
        <v>0</v>
      </c>
      <c r="P542" t="n">
        <v>0</v>
      </c>
      <c r="Q542" t="n">
        <v>0</v>
      </c>
      <c r="R542" s="2" t="inlineStr"/>
    </row>
    <row r="543" ht="15" customHeight="1">
      <c r="A543" t="inlineStr">
        <is>
          <t>A 53225-2022</t>
        </is>
      </c>
      <c r="B543" s="1" t="n">
        <v>44876</v>
      </c>
      <c r="C543" s="1" t="n">
        <v>45784</v>
      </c>
      <c r="D543" t="inlineStr">
        <is>
          <t>GOTLANDS LÄN</t>
        </is>
      </c>
      <c r="E543" t="inlineStr">
        <is>
          <t>GOTLAND</t>
        </is>
      </c>
      <c r="F543" t="inlineStr">
        <is>
          <t>Kyrkan</t>
        </is>
      </c>
      <c r="G543" t="n">
        <v>0.9</v>
      </c>
      <c r="H543" t="n">
        <v>0</v>
      </c>
      <c r="I543" t="n">
        <v>0</v>
      </c>
      <c r="J543" t="n">
        <v>0</v>
      </c>
      <c r="K543" t="n">
        <v>0</v>
      </c>
      <c r="L543" t="n">
        <v>0</v>
      </c>
      <c r="M543" t="n">
        <v>0</v>
      </c>
      <c r="N543" t="n">
        <v>0</v>
      </c>
      <c r="O543" t="n">
        <v>0</v>
      </c>
      <c r="P543" t="n">
        <v>0</v>
      </c>
      <c r="Q543" t="n">
        <v>0</v>
      </c>
      <c r="R543" s="2" t="inlineStr"/>
    </row>
    <row r="544" ht="15" customHeight="1">
      <c r="A544" t="inlineStr">
        <is>
          <t>A 54074-2022</t>
        </is>
      </c>
      <c r="B544" s="1" t="n">
        <v>44881</v>
      </c>
      <c r="C544" s="1" t="n">
        <v>45784</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54073-2022</t>
        </is>
      </c>
      <c r="B545" s="1" t="n">
        <v>44881</v>
      </c>
      <c r="C545" s="1" t="n">
        <v>45784</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54268-2022</t>
        </is>
      </c>
      <c r="B546" s="1" t="n">
        <v>44882</v>
      </c>
      <c r="C546" s="1" t="n">
        <v>45784</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55866-2022</t>
        </is>
      </c>
      <c r="B547" s="1" t="n">
        <v>44888</v>
      </c>
      <c r="C547" s="1" t="n">
        <v>45784</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56928-2022</t>
        </is>
      </c>
      <c r="B548" s="1" t="n">
        <v>44894</v>
      </c>
      <c r="C548" s="1" t="n">
        <v>45784</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58388-2022</t>
        </is>
      </c>
      <c r="B549" s="1" t="n">
        <v>44894</v>
      </c>
      <c r="C549" s="1" t="n">
        <v>45784</v>
      </c>
      <c r="D549" t="inlineStr">
        <is>
          <t>GOTLANDS LÄN</t>
        </is>
      </c>
      <c r="E549" t="inlineStr">
        <is>
          <t>GOTLAND</t>
        </is>
      </c>
      <c r="F549" t="inlineStr">
        <is>
          <t>Övriga statliga verk och myndigheter</t>
        </is>
      </c>
      <c r="G549" t="n">
        <v>3.1</v>
      </c>
      <c r="H549" t="n">
        <v>0</v>
      </c>
      <c r="I549" t="n">
        <v>0</v>
      </c>
      <c r="J549" t="n">
        <v>0</v>
      </c>
      <c r="K549" t="n">
        <v>0</v>
      </c>
      <c r="L549" t="n">
        <v>0</v>
      </c>
      <c r="M549" t="n">
        <v>0</v>
      </c>
      <c r="N549" t="n">
        <v>0</v>
      </c>
      <c r="O549" t="n">
        <v>0</v>
      </c>
      <c r="P549" t="n">
        <v>0</v>
      </c>
      <c r="Q549" t="n">
        <v>0</v>
      </c>
      <c r="R549" s="2" t="inlineStr"/>
    </row>
    <row r="550" ht="15" customHeight="1">
      <c r="A550" t="inlineStr">
        <is>
          <t>A 57534-2022</t>
        </is>
      </c>
      <c r="B550" s="1" t="n">
        <v>44896</v>
      </c>
      <c r="C550" s="1" t="n">
        <v>45784</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57522-2022</t>
        </is>
      </c>
      <c r="B551" s="1" t="n">
        <v>44896</v>
      </c>
      <c r="C551" s="1" t="n">
        <v>45784</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57685-2022</t>
        </is>
      </c>
      <c r="B552" s="1" t="n">
        <v>44897</v>
      </c>
      <c r="C552" s="1" t="n">
        <v>45784</v>
      </c>
      <c r="D552" t="inlineStr">
        <is>
          <t>GOTLANDS LÄN</t>
        </is>
      </c>
      <c r="E552" t="inlineStr">
        <is>
          <t>GOTLAND</t>
        </is>
      </c>
      <c r="G552" t="n">
        <v>3.7</v>
      </c>
      <c r="H552" t="n">
        <v>0</v>
      </c>
      <c r="I552" t="n">
        <v>0</v>
      </c>
      <c r="J552" t="n">
        <v>0</v>
      </c>
      <c r="K552" t="n">
        <v>0</v>
      </c>
      <c r="L552" t="n">
        <v>0</v>
      </c>
      <c r="M552" t="n">
        <v>0</v>
      </c>
      <c r="N552" t="n">
        <v>0</v>
      </c>
      <c r="O552" t="n">
        <v>0</v>
      </c>
      <c r="P552" t="n">
        <v>0</v>
      </c>
      <c r="Q552" t="n">
        <v>0</v>
      </c>
      <c r="R552" s="2" t="inlineStr"/>
    </row>
    <row r="553" ht="15" customHeight="1">
      <c r="A553" t="inlineStr">
        <is>
          <t>A 57947-2022</t>
        </is>
      </c>
      <c r="B553" s="1" t="n">
        <v>44900</v>
      </c>
      <c r="C553" s="1" t="n">
        <v>45784</v>
      </c>
      <c r="D553" t="inlineStr">
        <is>
          <t>GOTLANDS LÄN</t>
        </is>
      </c>
      <c r="E553" t="inlineStr">
        <is>
          <t>GOTLAND</t>
        </is>
      </c>
      <c r="G553" t="n">
        <v>4.3</v>
      </c>
      <c r="H553" t="n">
        <v>0</v>
      </c>
      <c r="I553" t="n">
        <v>0</v>
      </c>
      <c r="J553" t="n">
        <v>0</v>
      </c>
      <c r="K553" t="n">
        <v>0</v>
      </c>
      <c r="L553" t="n">
        <v>0</v>
      </c>
      <c r="M553" t="n">
        <v>0</v>
      </c>
      <c r="N553" t="n">
        <v>0</v>
      </c>
      <c r="O553" t="n">
        <v>0</v>
      </c>
      <c r="P553" t="n">
        <v>0</v>
      </c>
      <c r="Q553" t="n">
        <v>0</v>
      </c>
      <c r="R553" s="2" t="inlineStr"/>
    </row>
    <row r="554" ht="15" customHeight="1">
      <c r="A554" t="inlineStr">
        <is>
          <t>A 58479-2022</t>
        </is>
      </c>
      <c r="B554" s="1" t="n">
        <v>44902</v>
      </c>
      <c r="C554" s="1" t="n">
        <v>45784</v>
      </c>
      <c r="D554" t="inlineStr">
        <is>
          <t>GOTLANDS LÄN</t>
        </is>
      </c>
      <c r="E554" t="inlineStr">
        <is>
          <t>GOTLAND</t>
        </is>
      </c>
      <c r="G554" t="n">
        <v>2.9</v>
      </c>
      <c r="H554" t="n">
        <v>0</v>
      </c>
      <c r="I554" t="n">
        <v>0</v>
      </c>
      <c r="J554" t="n">
        <v>0</v>
      </c>
      <c r="K554" t="n">
        <v>0</v>
      </c>
      <c r="L554" t="n">
        <v>0</v>
      </c>
      <c r="M554" t="n">
        <v>0</v>
      </c>
      <c r="N554" t="n">
        <v>0</v>
      </c>
      <c r="O554" t="n">
        <v>0</v>
      </c>
      <c r="P554" t="n">
        <v>0</v>
      </c>
      <c r="Q554" t="n">
        <v>0</v>
      </c>
      <c r="R554" s="2" t="inlineStr"/>
    </row>
    <row r="555" ht="15" customHeight="1">
      <c r="A555" t="inlineStr">
        <is>
          <t>A 58476-2022</t>
        </is>
      </c>
      <c r="B555" s="1" t="n">
        <v>44902</v>
      </c>
      <c r="C555" s="1" t="n">
        <v>45784</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59874-2022</t>
        </is>
      </c>
      <c r="B556" s="1" t="n">
        <v>44908</v>
      </c>
      <c r="C556" s="1" t="n">
        <v>45784</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60086-2022</t>
        </is>
      </c>
      <c r="B557" s="1" t="n">
        <v>44909</v>
      </c>
      <c r="C557" s="1" t="n">
        <v>45784</v>
      </c>
      <c r="D557" t="inlineStr">
        <is>
          <t>GOTLANDS LÄN</t>
        </is>
      </c>
      <c r="E557" t="inlineStr">
        <is>
          <t>GOTLAND</t>
        </is>
      </c>
      <c r="G557" t="n">
        <v>2.1</v>
      </c>
      <c r="H557" t="n">
        <v>0</v>
      </c>
      <c r="I557" t="n">
        <v>0</v>
      </c>
      <c r="J557" t="n">
        <v>0</v>
      </c>
      <c r="K557" t="n">
        <v>0</v>
      </c>
      <c r="L557" t="n">
        <v>0</v>
      </c>
      <c r="M557" t="n">
        <v>0</v>
      </c>
      <c r="N557" t="n">
        <v>0</v>
      </c>
      <c r="O557" t="n">
        <v>0</v>
      </c>
      <c r="P557" t="n">
        <v>0</v>
      </c>
      <c r="Q557" t="n">
        <v>0</v>
      </c>
      <c r="R557" s="2" t="inlineStr"/>
    </row>
    <row r="558" ht="15" customHeight="1">
      <c r="A558" t="inlineStr">
        <is>
          <t>A 59986-2022</t>
        </is>
      </c>
      <c r="B558" s="1" t="n">
        <v>44909</v>
      </c>
      <c r="C558" s="1" t="n">
        <v>45784</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60372-2022</t>
        </is>
      </c>
      <c r="B559" s="1" t="n">
        <v>44910</v>
      </c>
      <c r="C559" s="1" t="n">
        <v>45784</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61100-2022</t>
        </is>
      </c>
      <c r="B560" s="1" t="n">
        <v>44915</v>
      </c>
      <c r="C560" s="1" t="n">
        <v>45784</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61570-2022</t>
        </is>
      </c>
      <c r="B561" s="1" t="n">
        <v>44916</v>
      </c>
      <c r="C561" s="1" t="n">
        <v>45784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61563-2022</t>
        </is>
      </c>
      <c r="B562" s="1" t="n">
        <v>44916</v>
      </c>
      <c r="C562" s="1" t="n">
        <v>45784</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62155-2022</t>
        </is>
      </c>
      <c r="B563" s="1" t="n">
        <v>44922</v>
      </c>
      <c r="C563" s="1" t="n">
        <v>45784</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62164-2022</t>
        </is>
      </c>
      <c r="B564" s="1" t="n">
        <v>44922</v>
      </c>
      <c r="C564" s="1" t="n">
        <v>45784</v>
      </c>
      <c r="D564" t="inlineStr">
        <is>
          <t>GOTLANDS LÄN</t>
        </is>
      </c>
      <c r="E564" t="inlineStr">
        <is>
          <t>GOTLAND</t>
        </is>
      </c>
      <c r="G564" t="n">
        <v>3.8</v>
      </c>
      <c r="H564" t="n">
        <v>0</v>
      </c>
      <c r="I564" t="n">
        <v>0</v>
      </c>
      <c r="J564" t="n">
        <v>0</v>
      </c>
      <c r="K564" t="n">
        <v>0</v>
      </c>
      <c r="L564" t="n">
        <v>0</v>
      </c>
      <c r="M564" t="n">
        <v>0</v>
      </c>
      <c r="N564" t="n">
        <v>0</v>
      </c>
      <c r="O564" t="n">
        <v>0</v>
      </c>
      <c r="P564" t="n">
        <v>0</v>
      </c>
      <c r="Q564" t="n">
        <v>0</v>
      </c>
      <c r="R564" s="2" t="inlineStr"/>
    </row>
    <row r="565" ht="15" customHeight="1">
      <c r="A565" t="inlineStr">
        <is>
          <t>A 62182-2022</t>
        </is>
      </c>
      <c r="B565" s="1" t="n">
        <v>44922</v>
      </c>
      <c r="C565" s="1" t="n">
        <v>45784</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62151-2022</t>
        </is>
      </c>
      <c r="B566" s="1" t="n">
        <v>44922</v>
      </c>
      <c r="C566" s="1" t="n">
        <v>45784</v>
      </c>
      <c r="D566" t="inlineStr">
        <is>
          <t>GOTLANDS LÄN</t>
        </is>
      </c>
      <c r="E566" t="inlineStr">
        <is>
          <t>GOTLAND</t>
        </is>
      </c>
      <c r="G566" t="n">
        <v>6.5</v>
      </c>
      <c r="H566" t="n">
        <v>0</v>
      </c>
      <c r="I566" t="n">
        <v>0</v>
      </c>
      <c r="J566" t="n">
        <v>0</v>
      </c>
      <c r="K566" t="n">
        <v>0</v>
      </c>
      <c r="L566" t="n">
        <v>0</v>
      </c>
      <c r="M566" t="n">
        <v>0</v>
      </c>
      <c r="N566" t="n">
        <v>0</v>
      </c>
      <c r="O566" t="n">
        <v>0</v>
      </c>
      <c r="P566" t="n">
        <v>0</v>
      </c>
      <c r="Q566" t="n">
        <v>0</v>
      </c>
      <c r="R566" s="2" t="inlineStr"/>
    </row>
    <row r="567" ht="15" customHeight="1">
      <c r="A567" t="inlineStr">
        <is>
          <t>A 62186-2022</t>
        </is>
      </c>
      <c r="B567" s="1" t="n">
        <v>44922</v>
      </c>
      <c r="C567" s="1" t="n">
        <v>45784</v>
      </c>
      <c r="D567" t="inlineStr">
        <is>
          <t>GOTLANDS LÄN</t>
        </is>
      </c>
      <c r="E567" t="inlineStr">
        <is>
          <t>GOTLAND</t>
        </is>
      </c>
      <c r="G567" t="n">
        <v>2.6</v>
      </c>
      <c r="H567" t="n">
        <v>0</v>
      </c>
      <c r="I567" t="n">
        <v>0</v>
      </c>
      <c r="J567" t="n">
        <v>0</v>
      </c>
      <c r="K567" t="n">
        <v>0</v>
      </c>
      <c r="L567" t="n">
        <v>0</v>
      </c>
      <c r="M567" t="n">
        <v>0</v>
      </c>
      <c r="N567" t="n">
        <v>0</v>
      </c>
      <c r="O567" t="n">
        <v>0</v>
      </c>
      <c r="P567" t="n">
        <v>0</v>
      </c>
      <c r="Q567" t="n">
        <v>0</v>
      </c>
      <c r="R567" s="2" t="inlineStr"/>
    </row>
    <row r="568" ht="15" customHeight="1">
      <c r="A568" t="inlineStr">
        <is>
          <t>A 62184-2022</t>
        </is>
      </c>
      <c r="B568" s="1" t="n">
        <v>44922</v>
      </c>
      <c r="C568" s="1" t="n">
        <v>45784</v>
      </c>
      <c r="D568" t="inlineStr">
        <is>
          <t>GOTLANDS LÄN</t>
        </is>
      </c>
      <c r="E568" t="inlineStr">
        <is>
          <t>GOTLAND</t>
        </is>
      </c>
      <c r="G568" t="n">
        <v>4.9</v>
      </c>
      <c r="H568" t="n">
        <v>0</v>
      </c>
      <c r="I568" t="n">
        <v>0</v>
      </c>
      <c r="J568" t="n">
        <v>0</v>
      </c>
      <c r="K568" t="n">
        <v>0</v>
      </c>
      <c r="L568" t="n">
        <v>0</v>
      </c>
      <c r="M568" t="n">
        <v>0</v>
      </c>
      <c r="N568" t="n">
        <v>0</v>
      </c>
      <c r="O568" t="n">
        <v>0</v>
      </c>
      <c r="P568" t="n">
        <v>0</v>
      </c>
      <c r="Q568" t="n">
        <v>0</v>
      </c>
      <c r="R568" s="2" t="inlineStr"/>
    </row>
    <row r="569" ht="15" customHeight="1">
      <c r="A569" t="inlineStr">
        <is>
          <t>A 163-2023</t>
        </is>
      </c>
      <c r="B569" s="1" t="n">
        <v>44928</v>
      </c>
      <c r="C569" s="1" t="n">
        <v>45784</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458-2023</t>
        </is>
      </c>
      <c r="B570" s="1" t="n">
        <v>44929</v>
      </c>
      <c r="C570" s="1" t="n">
        <v>45784</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457-2023</t>
        </is>
      </c>
      <c r="B571" s="1" t="n">
        <v>44929</v>
      </c>
      <c r="C571" s="1" t="n">
        <v>45784</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456-2023</t>
        </is>
      </c>
      <c r="B572" s="1" t="n">
        <v>44929</v>
      </c>
      <c r="C572" s="1" t="n">
        <v>45784</v>
      </c>
      <c r="D572" t="inlineStr">
        <is>
          <t>GOTLANDS LÄN</t>
        </is>
      </c>
      <c r="E572" t="inlineStr">
        <is>
          <t>GOTLAND</t>
        </is>
      </c>
      <c r="G572" t="n">
        <v>3.2</v>
      </c>
      <c r="H572" t="n">
        <v>0</v>
      </c>
      <c r="I572" t="n">
        <v>0</v>
      </c>
      <c r="J572" t="n">
        <v>0</v>
      </c>
      <c r="K572" t="n">
        <v>0</v>
      </c>
      <c r="L572" t="n">
        <v>0</v>
      </c>
      <c r="M572" t="n">
        <v>0</v>
      </c>
      <c r="N572" t="n">
        <v>0</v>
      </c>
      <c r="O572" t="n">
        <v>0</v>
      </c>
      <c r="P572" t="n">
        <v>0</v>
      </c>
      <c r="Q572" t="n">
        <v>0</v>
      </c>
      <c r="R572" s="2" t="inlineStr"/>
    </row>
    <row r="573" ht="15" customHeight="1">
      <c r="A573" t="inlineStr">
        <is>
          <t>A 459-2023</t>
        </is>
      </c>
      <c r="B573" s="1" t="n">
        <v>44929</v>
      </c>
      <c r="C573" s="1" t="n">
        <v>45784</v>
      </c>
      <c r="D573" t="inlineStr">
        <is>
          <t>GOTLANDS LÄN</t>
        </is>
      </c>
      <c r="E573" t="inlineStr">
        <is>
          <t>GOTLAND</t>
        </is>
      </c>
      <c r="G573" t="n">
        <v>4.2</v>
      </c>
      <c r="H573" t="n">
        <v>0</v>
      </c>
      <c r="I573" t="n">
        <v>0</v>
      </c>
      <c r="J573" t="n">
        <v>0</v>
      </c>
      <c r="K573" t="n">
        <v>0</v>
      </c>
      <c r="L573" t="n">
        <v>0</v>
      </c>
      <c r="M573" t="n">
        <v>0</v>
      </c>
      <c r="N573" t="n">
        <v>0</v>
      </c>
      <c r="O573" t="n">
        <v>0</v>
      </c>
      <c r="P573" t="n">
        <v>0</v>
      </c>
      <c r="Q573" t="n">
        <v>0</v>
      </c>
      <c r="R573" s="2" t="inlineStr"/>
    </row>
    <row r="574" ht="15" customHeight="1">
      <c r="A574" t="inlineStr">
        <is>
          <t>A 581-2023</t>
        </is>
      </c>
      <c r="B574" s="1" t="n">
        <v>44930</v>
      </c>
      <c r="C574" s="1" t="n">
        <v>45784</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811-2023</t>
        </is>
      </c>
      <c r="B575" s="1" t="n">
        <v>44931</v>
      </c>
      <c r="C575" s="1" t="n">
        <v>45784</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45784</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1284-2023</t>
        </is>
      </c>
      <c r="B577" s="1" t="n">
        <v>44936</v>
      </c>
      <c r="C577" s="1" t="n">
        <v>45784</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1273-2023</t>
        </is>
      </c>
      <c r="B578" s="1" t="n">
        <v>44936</v>
      </c>
      <c r="C578" s="1" t="n">
        <v>45784</v>
      </c>
      <c r="D578" t="inlineStr">
        <is>
          <t>GOTLANDS LÄN</t>
        </is>
      </c>
      <c r="E578" t="inlineStr">
        <is>
          <t>GOTLAND</t>
        </is>
      </c>
      <c r="G578" t="n">
        <v>4.5</v>
      </c>
      <c r="H578" t="n">
        <v>0</v>
      </c>
      <c r="I578" t="n">
        <v>0</v>
      </c>
      <c r="J578" t="n">
        <v>0</v>
      </c>
      <c r="K578" t="n">
        <v>0</v>
      </c>
      <c r="L578" t="n">
        <v>0</v>
      </c>
      <c r="M578" t="n">
        <v>0</v>
      </c>
      <c r="N578" t="n">
        <v>0</v>
      </c>
      <c r="O578" t="n">
        <v>0</v>
      </c>
      <c r="P578" t="n">
        <v>0</v>
      </c>
      <c r="Q578" t="n">
        <v>0</v>
      </c>
      <c r="R578" s="2" t="inlineStr"/>
    </row>
    <row r="579" ht="15" customHeight="1">
      <c r="A579" t="inlineStr">
        <is>
          <t>A 1291-2023</t>
        </is>
      </c>
      <c r="B579" s="1" t="n">
        <v>44936</v>
      </c>
      <c r="C579" s="1" t="n">
        <v>45784</v>
      </c>
      <c r="D579" t="inlineStr">
        <is>
          <t>GOTLANDS LÄN</t>
        </is>
      </c>
      <c r="E579" t="inlineStr">
        <is>
          <t>GOTLAND</t>
        </is>
      </c>
      <c r="G579" t="n">
        <v>7.4</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v>
      </c>
      <c r="C580" s="1" t="n">
        <v>45784</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1677-2023</t>
        </is>
      </c>
      <c r="B581" s="1" t="n">
        <v>44938</v>
      </c>
      <c r="C581" s="1" t="n">
        <v>45784</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1681-2023</t>
        </is>
      </c>
      <c r="B582" s="1" t="n">
        <v>44938</v>
      </c>
      <c r="C582" s="1" t="n">
        <v>45784</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2674-2023</t>
        </is>
      </c>
      <c r="B583" s="1" t="n">
        <v>44944</v>
      </c>
      <c r="C583" s="1" t="n">
        <v>45784</v>
      </c>
      <c r="D583" t="inlineStr">
        <is>
          <t>GOTLANDS LÄN</t>
        </is>
      </c>
      <c r="E583" t="inlineStr">
        <is>
          <t>GOTLAND</t>
        </is>
      </c>
      <c r="G583" t="n">
        <v>2.5</v>
      </c>
      <c r="H583" t="n">
        <v>0</v>
      </c>
      <c r="I583" t="n">
        <v>0</v>
      </c>
      <c r="J583" t="n">
        <v>0</v>
      </c>
      <c r="K583" t="n">
        <v>0</v>
      </c>
      <c r="L583" t="n">
        <v>0</v>
      </c>
      <c r="M583" t="n">
        <v>0</v>
      </c>
      <c r="N583" t="n">
        <v>0</v>
      </c>
      <c r="O583" t="n">
        <v>0</v>
      </c>
      <c r="P583" t="n">
        <v>0</v>
      </c>
      <c r="Q583" t="n">
        <v>0</v>
      </c>
      <c r="R583" s="2" t="inlineStr"/>
    </row>
    <row r="584" ht="15" customHeight="1">
      <c r="A584" t="inlineStr">
        <is>
          <t>A 2676-2023</t>
        </is>
      </c>
      <c r="B584" s="1" t="n">
        <v>44944</v>
      </c>
      <c r="C584" s="1" t="n">
        <v>45784</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v>
      </c>
      <c r="C585" s="1" t="n">
        <v>45784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2727-2023</t>
        </is>
      </c>
      <c r="B586" s="1" t="n">
        <v>44944</v>
      </c>
      <c r="C586" s="1" t="n">
        <v>45784</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2719-2023</t>
        </is>
      </c>
      <c r="B587" s="1" t="n">
        <v>44944</v>
      </c>
      <c r="C587" s="1" t="n">
        <v>45784</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2805-2023</t>
        </is>
      </c>
      <c r="B588" s="1" t="n">
        <v>44944</v>
      </c>
      <c r="C588" s="1" t="n">
        <v>45784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2815-2023</t>
        </is>
      </c>
      <c r="B589" s="1" t="n">
        <v>44944</v>
      </c>
      <c r="C589" s="1" t="n">
        <v>45784</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3230-2023</t>
        </is>
      </c>
      <c r="B590" s="1" t="n">
        <v>44946</v>
      </c>
      <c r="C590" s="1" t="n">
        <v>45784</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4378-2023</t>
        </is>
      </c>
      <c r="B591" s="1" t="n">
        <v>44955</v>
      </c>
      <c r="C591" s="1" t="n">
        <v>45784</v>
      </c>
      <c r="D591" t="inlineStr">
        <is>
          <t>GOTLANDS LÄN</t>
        </is>
      </c>
      <c r="E591" t="inlineStr">
        <is>
          <t>GOTLAND</t>
        </is>
      </c>
      <c r="F591" t="inlineStr">
        <is>
          <t>Kyrkan</t>
        </is>
      </c>
      <c r="G591" t="n">
        <v>1.5</v>
      </c>
      <c r="H591" t="n">
        <v>0</v>
      </c>
      <c r="I591" t="n">
        <v>0</v>
      </c>
      <c r="J591" t="n">
        <v>0</v>
      </c>
      <c r="K591" t="n">
        <v>0</v>
      </c>
      <c r="L591" t="n">
        <v>0</v>
      </c>
      <c r="M591" t="n">
        <v>0</v>
      </c>
      <c r="N591" t="n">
        <v>0</v>
      </c>
      <c r="O591" t="n">
        <v>0</v>
      </c>
      <c r="P591" t="n">
        <v>0</v>
      </c>
      <c r="Q591" t="n">
        <v>0</v>
      </c>
      <c r="R591" s="2" t="inlineStr"/>
    </row>
    <row r="592" ht="15" customHeight="1">
      <c r="A592" t="inlineStr">
        <is>
          <t>A 4377-2023</t>
        </is>
      </c>
      <c r="B592" s="1" t="n">
        <v>44955</v>
      </c>
      <c r="C592" s="1" t="n">
        <v>45784</v>
      </c>
      <c r="D592" t="inlineStr">
        <is>
          <t>GOTLANDS LÄN</t>
        </is>
      </c>
      <c r="E592" t="inlineStr">
        <is>
          <t>GOTLAND</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4387-2023</t>
        </is>
      </c>
      <c r="B593" s="1" t="n">
        <v>44955</v>
      </c>
      <c r="C593" s="1" t="n">
        <v>45784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4565-2023</t>
        </is>
      </c>
      <c r="B594" s="1" t="n">
        <v>44956</v>
      </c>
      <c r="C594" s="1" t="n">
        <v>45784</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5217-2023</t>
        </is>
      </c>
      <c r="B595" s="1" t="n">
        <v>44959</v>
      </c>
      <c r="C595" s="1" t="n">
        <v>45784</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5379-2023</t>
        </is>
      </c>
      <c r="B596" s="1" t="n">
        <v>44959</v>
      </c>
      <c r="C596" s="1" t="n">
        <v>45784</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45784</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5923-2023</t>
        </is>
      </c>
      <c r="B598" s="1" t="n">
        <v>44963</v>
      </c>
      <c r="C598" s="1" t="n">
        <v>45784</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row r="599" ht="15" customHeight="1">
      <c r="A599" t="inlineStr">
        <is>
          <t>A 6721-2023</t>
        </is>
      </c>
      <c r="B599" s="1" t="n">
        <v>44966</v>
      </c>
      <c r="C599" s="1" t="n">
        <v>45784</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6717-2023</t>
        </is>
      </c>
      <c r="B600" s="1" t="n">
        <v>44966</v>
      </c>
      <c r="C600" s="1" t="n">
        <v>45784</v>
      </c>
      <c r="D600" t="inlineStr">
        <is>
          <t>GOTLANDS LÄN</t>
        </is>
      </c>
      <c r="E600" t="inlineStr">
        <is>
          <t>GOTLAND</t>
        </is>
      </c>
      <c r="F600" t="inlineStr">
        <is>
          <t>Naturvårdsverket</t>
        </is>
      </c>
      <c r="G600" t="n">
        <v>1.4</v>
      </c>
      <c r="H600" t="n">
        <v>0</v>
      </c>
      <c r="I600" t="n">
        <v>0</v>
      </c>
      <c r="J600" t="n">
        <v>0</v>
      </c>
      <c r="K600" t="n">
        <v>0</v>
      </c>
      <c r="L600" t="n">
        <v>0</v>
      </c>
      <c r="M600" t="n">
        <v>0</v>
      </c>
      <c r="N600" t="n">
        <v>0</v>
      </c>
      <c r="O600" t="n">
        <v>0</v>
      </c>
      <c r="P600" t="n">
        <v>0</v>
      </c>
      <c r="Q600" t="n">
        <v>0</v>
      </c>
      <c r="R600" s="2" t="inlineStr"/>
    </row>
    <row r="601" ht="15" customHeight="1">
      <c r="A601" t="inlineStr">
        <is>
          <t>A 7041-2023</t>
        </is>
      </c>
      <c r="B601" s="1" t="n">
        <v>44968</v>
      </c>
      <c r="C601" s="1" t="n">
        <v>45784</v>
      </c>
      <c r="D601" t="inlineStr">
        <is>
          <t>GOTLANDS LÄN</t>
        </is>
      </c>
      <c r="E601" t="inlineStr">
        <is>
          <t>GOTLAND</t>
        </is>
      </c>
      <c r="G601" t="n">
        <v>0.9</v>
      </c>
      <c r="H601" t="n">
        <v>0</v>
      </c>
      <c r="I601" t="n">
        <v>0</v>
      </c>
      <c r="J601" t="n">
        <v>0</v>
      </c>
      <c r="K601" t="n">
        <v>0</v>
      </c>
      <c r="L601" t="n">
        <v>0</v>
      </c>
      <c r="M601" t="n">
        <v>0</v>
      </c>
      <c r="N601" t="n">
        <v>0</v>
      </c>
      <c r="O601" t="n">
        <v>0</v>
      </c>
      <c r="P601" t="n">
        <v>0</v>
      </c>
      <c r="Q601" t="n">
        <v>0</v>
      </c>
      <c r="R601" s="2" t="inlineStr"/>
    </row>
    <row r="602" ht="15" customHeight="1">
      <c r="A602" t="inlineStr">
        <is>
          <t>A 7026-2023</t>
        </is>
      </c>
      <c r="B602" s="1" t="n">
        <v>44968</v>
      </c>
      <c r="C602" s="1" t="n">
        <v>45784</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7034-2023</t>
        </is>
      </c>
      <c r="B603" s="1" t="n">
        <v>44968</v>
      </c>
      <c r="C603" s="1" t="n">
        <v>45784</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7040-2023</t>
        </is>
      </c>
      <c r="B604" s="1" t="n">
        <v>44968</v>
      </c>
      <c r="C604" s="1" t="n">
        <v>45784</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7042-2023</t>
        </is>
      </c>
      <c r="B605" s="1" t="n">
        <v>44968</v>
      </c>
      <c r="C605" s="1" t="n">
        <v>45784</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8260-2023</t>
        </is>
      </c>
      <c r="B606" s="1" t="n">
        <v>44974</v>
      </c>
      <c r="C606" s="1" t="n">
        <v>45784</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8962-2023</t>
        </is>
      </c>
      <c r="B607" s="1" t="n">
        <v>44979</v>
      </c>
      <c r="C607" s="1" t="n">
        <v>45784</v>
      </c>
      <c r="D607" t="inlineStr">
        <is>
          <t>GOTLANDS LÄN</t>
        </is>
      </c>
      <c r="E607" t="inlineStr">
        <is>
          <t>GOTLAND</t>
        </is>
      </c>
      <c r="G607" t="n">
        <v>5.5</v>
      </c>
      <c r="H607" t="n">
        <v>0</v>
      </c>
      <c r="I607" t="n">
        <v>0</v>
      </c>
      <c r="J607" t="n">
        <v>0</v>
      </c>
      <c r="K607" t="n">
        <v>0</v>
      </c>
      <c r="L607" t="n">
        <v>0</v>
      </c>
      <c r="M607" t="n">
        <v>0</v>
      </c>
      <c r="N607" t="n">
        <v>0</v>
      </c>
      <c r="O607" t="n">
        <v>0</v>
      </c>
      <c r="P607" t="n">
        <v>0</v>
      </c>
      <c r="Q607" t="n">
        <v>0</v>
      </c>
      <c r="R607" s="2" t="inlineStr"/>
    </row>
    <row r="608" ht="15" customHeight="1">
      <c r="A608" t="inlineStr">
        <is>
          <t>A 10492-2023</t>
        </is>
      </c>
      <c r="B608" s="1" t="n">
        <v>44987</v>
      </c>
      <c r="C608" s="1" t="n">
        <v>45784</v>
      </c>
      <c r="D608" t="inlineStr">
        <is>
          <t>GOTLANDS LÄN</t>
        </is>
      </c>
      <c r="E608" t="inlineStr">
        <is>
          <t>GOTLAND</t>
        </is>
      </c>
      <c r="G608" t="n">
        <v>1</v>
      </c>
      <c r="H608" t="n">
        <v>0</v>
      </c>
      <c r="I608" t="n">
        <v>0</v>
      </c>
      <c r="J608" t="n">
        <v>0</v>
      </c>
      <c r="K608" t="n">
        <v>0</v>
      </c>
      <c r="L608" t="n">
        <v>0</v>
      </c>
      <c r="M608" t="n">
        <v>0</v>
      </c>
      <c r="N608" t="n">
        <v>0</v>
      </c>
      <c r="O608" t="n">
        <v>0</v>
      </c>
      <c r="P608" t="n">
        <v>0</v>
      </c>
      <c r="Q608" t="n">
        <v>0</v>
      </c>
      <c r="R608" s="2" t="inlineStr"/>
    </row>
    <row r="609" ht="15" customHeight="1">
      <c r="A609" t="inlineStr">
        <is>
          <t>A 10655-2023</t>
        </is>
      </c>
      <c r="B609" s="1" t="n">
        <v>44988</v>
      </c>
      <c r="C609" s="1" t="n">
        <v>45784</v>
      </c>
      <c r="D609" t="inlineStr">
        <is>
          <t>GOTLANDS LÄN</t>
        </is>
      </c>
      <c r="E609" t="inlineStr">
        <is>
          <t>GOTLAND</t>
        </is>
      </c>
      <c r="F609" t="inlineStr">
        <is>
          <t>Kyrkan</t>
        </is>
      </c>
      <c r="G609" t="n">
        <v>2</v>
      </c>
      <c r="H609" t="n">
        <v>0</v>
      </c>
      <c r="I609" t="n">
        <v>0</v>
      </c>
      <c r="J609" t="n">
        <v>0</v>
      </c>
      <c r="K609" t="n">
        <v>0</v>
      </c>
      <c r="L609" t="n">
        <v>0</v>
      </c>
      <c r="M609" t="n">
        <v>0</v>
      </c>
      <c r="N609" t="n">
        <v>0</v>
      </c>
      <c r="O609" t="n">
        <v>0</v>
      </c>
      <c r="P609" t="n">
        <v>0</v>
      </c>
      <c r="Q609" t="n">
        <v>0</v>
      </c>
      <c r="R609" s="2" t="inlineStr"/>
    </row>
    <row r="610" ht="15" customHeight="1">
      <c r="A610" t="inlineStr">
        <is>
          <t>A 10657-2023</t>
        </is>
      </c>
      <c r="B610" s="1" t="n">
        <v>44988</v>
      </c>
      <c r="C610" s="1" t="n">
        <v>45784</v>
      </c>
      <c r="D610" t="inlineStr">
        <is>
          <t>GOTLANDS LÄN</t>
        </is>
      </c>
      <c r="E610" t="inlineStr">
        <is>
          <t>GOTLAND</t>
        </is>
      </c>
      <c r="F610" t="inlineStr">
        <is>
          <t>Kyrkan</t>
        </is>
      </c>
      <c r="G610" t="n">
        <v>1</v>
      </c>
      <c r="H610" t="n">
        <v>0</v>
      </c>
      <c r="I610" t="n">
        <v>0</v>
      </c>
      <c r="J610" t="n">
        <v>0</v>
      </c>
      <c r="K610" t="n">
        <v>0</v>
      </c>
      <c r="L610" t="n">
        <v>0</v>
      </c>
      <c r="M610" t="n">
        <v>0</v>
      </c>
      <c r="N610" t="n">
        <v>0</v>
      </c>
      <c r="O610" t="n">
        <v>0</v>
      </c>
      <c r="P610" t="n">
        <v>0</v>
      </c>
      <c r="Q610" t="n">
        <v>0</v>
      </c>
      <c r="R610" s="2" t="inlineStr"/>
    </row>
    <row r="611" ht="15" customHeight="1">
      <c r="A611" t="inlineStr">
        <is>
          <t>A 10653-2023</t>
        </is>
      </c>
      <c r="B611" s="1" t="n">
        <v>44988</v>
      </c>
      <c r="C611" s="1" t="n">
        <v>45784</v>
      </c>
      <c r="D611" t="inlineStr">
        <is>
          <t>GOTLANDS LÄN</t>
        </is>
      </c>
      <c r="E611" t="inlineStr">
        <is>
          <t>GOTLAND</t>
        </is>
      </c>
      <c r="F611" t="inlineStr">
        <is>
          <t>Kyrkan</t>
        </is>
      </c>
      <c r="G611" t="n">
        <v>3</v>
      </c>
      <c r="H611" t="n">
        <v>0</v>
      </c>
      <c r="I611" t="n">
        <v>0</v>
      </c>
      <c r="J611" t="n">
        <v>0</v>
      </c>
      <c r="K611" t="n">
        <v>0</v>
      </c>
      <c r="L611" t="n">
        <v>0</v>
      </c>
      <c r="M611" t="n">
        <v>0</v>
      </c>
      <c r="N611" t="n">
        <v>0</v>
      </c>
      <c r="O611" t="n">
        <v>0</v>
      </c>
      <c r="P611" t="n">
        <v>0</v>
      </c>
      <c r="Q611" t="n">
        <v>0</v>
      </c>
      <c r="R611" s="2" t="inlineStr"/>
    </row>
    <row r="612" ht="15" customHeight="1">
      <c r="A612" t="inlineStr">
        <is>
          <t>A 11115-2023</t>
        </is>
      </c>
      <c r="B612" s="1" t="n">
        <v>44992</v>
      </c>
      <c r="C612" s="1" t="n">
        <v>45784</v>
      </c>
      <c r="D612" t="inlineStr">
        <is>
          <t>GOTLANDS LÄN</t>
        </is>
      </c>
      <c r="E612" t="inlineStr">
        <is>
          <t>GOTLAND</t>
        </is>
      </c>
      <c r="G612" t="n">
        <v>3.5</v>
      </c>
      <c r="H612" t="n">
        <v>0</v>
      </c>
      <c r="I612" t="n">
        <v>0</v>
      </c>
      <c r="J612" t="n">
        <v>0</v>
      </c>
      <c r="K612" t="n">
        <v>0</v>
      </c>
      <c r="L612" t="n">
        <v>0</v>
      </c>
      <c r="M612" t="n">
        <v>0</v>
      </c>
      <c r="N612" t="n">
        <v>0</v>
      </c>
      <c r="O612" t="n">
        <v>0</v>
      </c>
      <c r="P612" t="n">
        <v>0</v>
      </c>
      <c r="Q612" t="n">
        <v>0</v>
      </c>
      <c r="R612" s="2" t="inlineStr"/>
    </row>
    <row r="613" ht="15" customHeight="1">
      <c r="A613" t="inlineStr">
        <is>
          <t>A 12161-2023</t>
        </is>
      </c>
      <c r="B613" s="1" t="n">
        <v>44998</v>
      </c>
      <c r="C613" s="1" t="n">
        <v>45784</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12155-2023</t>
        </is>
      </c>
      <c r="B614" s="1" t="n">
        <v>44998</v>
      </c>
      <c r="C614" s="1" t="n">
        <v>45784</v>
      </c>
      <c r="D614" t="inlineStr">
        <is>
          <t>GOTLANDS LÄN</t>
        </is>
      </c>
      <c r="E614" t="inlineStr">
        <is>
          <t>GOTLAND</t>
        </is>
      </c>
      <c r="G614" t="n">
        <v>1.1</v>
      </c>
      <c r="H614" t="n">
        <v>0</v>
      </c>
      <c r="I614" t="n">
        <v>0</v>
      </c>
      <c r="J614" t="n">
        <v>0</v>
      </c>
      <c r="K614" t="n">
        <v>0</v>
      </c>
      <c r="L614" t="n">
        <v>0</v>
      </c>
      <c r="M614" t="n">
        <v>0</v>
      </c>
      <c r="N614" t="n">
        <v>0</v>
      </c>
      <c r="O614" t="n">
        <v>0</v>
      </c>
      <c r="P614" t="n">
        <v>0</v>
      </c>
      <c r="Q614" t="n">
        <v>0</v>
      </c>
      <c r="R614" s="2" t="inlineStr"/>
    </row>
    <row r="615" ht="15" customHeight="1">
      <c r="A615" t="inlineStr">
        <is>
          <t>A 12596-2023</t>
        </is>
      </c>
      <c r="B615" s="1" t="n">
        <v>45000</v>
      </c>
      <c r="C615" s="1" t="n">
        <v>45784</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13627-2023</t>
        </is>
      </c>
      <c r="B616" s="1" t="n">
        <v>45006</v>
      </c>
      <c r="C616" s="1" t="n">
        <v>45784</v>
      </c>
      <c r="D616" t="inlineStr">
        <is>
          <t>GOTLANDS LÄN</t>
        </is>
      </c>
      <c r="E616" t="inlineStr">
        <is>
          <t>GOTLAND</t>
        </is>
      </c>
      <c r="G616" t="n">
        <v>10.7</v>
      </c>
      <c r="H616" t="n">
        <v>0</v>
      </c>
      <c r="I616" t="n">
        <v>0</v>
      </c>
      <c r="J616" t="n">
        <v>0</v>
      </c>
      <c r="K616" t="n">
        <v>0</v>
      </c>
      <c r="L616" t="n">
        <v>0</v>
      </c>
      <c r="M616" t="n">
        <v>0</v>
      </c>
      <c r="N616" t="n">
        <v>0</v>
      </c>
      <c r="O616" t="n">
        <v>0</v>
      </c>
      <c r="P616" t="n">
        <v>0</v>
      </c>
      <c r="Q616" t="n">
        <v>0</v>
      </c>
      <c r="R616" s="2" t="inlineStr"/>
    </row>
    <row r="617" ht="15" customHeight="1">
      <c r="A617" t="inlineStr">
        <is>
          <t>A 13910-2023</t>
        </is>
      </c>
      <c r="B617" s="1" t="n">
        <v>45008</v>
      </c>
      <c r="C617" s="1" t="n">
        <v>45784</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14635-2023</t>
        </is>
      </c>
      <c r="B618" s="1" t="n">
        <v>45013</v>
      </c>
      <c r="C618" s="1" t="n">
        <v>45784</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14704-2023</t>
        </is>
      </c>
      <c r="B619" s="1" t="n">
        <v>45014</v>
      </c>
      <c r="C619" s="1" t="n">
        <v>45784</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15182-2023</t>
        </is>
      </c>
      <c r="B620" s="1" t="n">
        <v>45016</v>
      </c>
      <c r="C620" s="1" t="n">
        <v>45784</v>
      </c>
      <c r="D620" t="inlineStr">
        <is>
          <t>GOTLANDS LÄN</t>
        </is>
      </c>
      <c r="E620" t="inlineStr">
        <is>
          <t>GOTLAND</t>
        </is>
      </c>
      <c r="G620" t="n">
        <v>3.9</v>
      </c>
      <c r="H620" t="n">
        <v>0</v>
      </c>
      <c r="I620" t="n">
        <v>0</v>
      </c>
      <c r="J620" t="n">
        <v>0</v>
      </c>
      <c r="K620" t="n">
        <v>0</v>
      </c>
      <c r="L620" t="n">
        <v>0</v>
      </c>
      <c r="M620" t="n">
        <v>0</v>
      </c>
      <c r="N620" t="n">
        <v>0</v>
      </c>
      <c r="O620" t="n">
        <v>0</v>
      </c>
      <c r="P620" t="n">
        <v>0</v>
      </c>
      <c r="Q620" t="n">
        <v>0</v>
      </c>
      <c r="R620" s="2" t="inlineStr"/>
    </row>
    <row r="621" ht="15" customHeight="1">
      <c r="A621" t="inlineStr">
        <is>
          <t>A 15216-2023</t>
        </is>
      </c>
      <c r="B621" s="1" t="n">
        <v>45019</v>
      </c>
      <c r="C621" s="1" t="n">
        <v>45784</v>
      </c>
      <c r="D621" t="inlineStr">
        <is>
          <t>GOTLANDS LÄN</t>
        </is>
      </c>
      <c r="E621" t="inlineStr">
        <is>
          <t>GOTLAND</t>
        </is>
      </c>
      <c r="G621" t="n">
        <v>5</v>
      </c>
      <c r="H621" t="n">
        <v>0</v>
      </c>
      <c r="I621" t="n">
        <v>0</v>
      </c>
      <c r="J621" t="n">
        <v>0</v>
      </c>
      <c r="K621" t="n">
        <v>0</v>
      </c>
      <c r="L621" t="n">
        <v>0</v>
      </c>
      <c r="M621" t="n">
        <v>0</v>
      </c>
      <c r="N621" t="n">
        <v>0</v>
      </c>
      <c r="O621" t="n">
        <v>0</v>
      </c>
      <c r="P621" t="n">
        <v>0</v>
      </c>
      <c r="Q621" t="n">
        <v>0</v>
      </c>
      <c r="R621" s="2" t="inlineStr"/>
    </row>
    <row r="622" ht="15" customHeight="1">
      <c r="A622" t="inlineStr">
        <is>
          <t>A 15617-2023</t>
        </is>
      </c>
      <c r="B622" s="1" t="n">
        <v>45020</v>
      </c>
      <c r="C622" s="1" t="n">
        <v>45784</v>
      </c>
      <c r="D622" t="inlineStr">
        <is>
          <t>GOTLANDS LÄN</t>
        </is>
      </c>
      <c r="E622" t="inlineStr">
        <is>
          <t>GOTLAND</t>
        </is>
      </c>
      <c r="G622" t="n">
        <v>6.1</v>
      </c>
      <c r="H622" t="n">
        <v>0</v>
      </c>
      <c r="I622" t="n">
        <v>0</v>
      </c>
      <c r="J622" t="n">
        <v>0</v>
      </c>
      <c r="K622" t="n">
        <v>0</v>
      </c>
      <c r="L622" t="n">
        <v>0</v>
      </c>
      <c r="M622" t="n">
        <v>0</v>
      </c>
      <c r="N622" t="n">
        <v>0</v>
      </c>
      <c r="O622" t="n">
        <v>0</v>
      </c>
      <c r="P622" t="n">
        <v>0</v>
      </c>
      <c r="Q622" t="n">
        <v>0</v>
      </c>
      <c r="R622" s="2" t="inlineStr"/>
    </row>
    <row r="623" ht="15" customHeight="1">
      <c r="A623" t="inlineStr">
        <is>
          <t>A 16501-2023</t>
        </is>
      </c>
      <c r="B623" s="1" t="n">
        <v>45029</v>
      </c>
      <c r="C623" s="1" t="n">
        <v>45784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17080-2023</t>
        </is>
      </c>
      <c r="B624" s="1" t="n">
        <v>45033</v>
      </c>
      <c r="C624" s="1" t="n">
        <v>45784</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17901-2023</t>
        </is>
      </c>
      <c r="B625" s="1" t="n">
        <v>45039</v>
      </c>
      <c r="C625" s="1" t="n">
        <v>45784</v>
      </c>
      <c r="D625" t="inlineStr">
        <is>
          <t>GOTLANDS LÄN</t>
        </is>
      </c>
      <c r="E625" t="inlineStr">
        <is>
          <t>GOTLAND</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18889-2023</t>
        </is>
      </c>
      <c r="B626" s="1" t="n">
        <v>45044</v>
      </c>
      <c r="C626" s="1" t="n">
        <v>45784</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20993-2023</t>
        </is>
      </c>
      <c r="B627" s="1" t="n">
        <v>45056</v>
      </c>
      <c r="C627" s="1" t="n">
        <v>45784</v>
      </c>
      <c r="D627" t="inlineStr">
        <is>
          <t>GOTLANDS LÄN</t>
        </is>
      </c>
      <c r="E627" t="inlineStr">
        <is>
          <t>GOTLAND</t>
        </is>
      </c>
      <c r="G627" t="n">
        <v>7.1</v>
      </c>
      <c r="H627" t="n">
        <v>0</v>
      </c>
      <c r="I627" t="n">
        <v>0</v>
      </c>
      <c r="J627" t="n">
        <v>0</v>
      </c>
      <c r="K627" t="n">
        <v>0</v>
      </c>
      <c r="L627" t="n">
        <v>0</v>
      </c>
      <c r="M627" t="n">
        <v>0</v>
      </c>
      <c r="N627" t="n">
        <v>0</v>
      </c>
      <c r="O627" t="n">
        <v>0</v>
      </c>
      <c r="P627" t="n">
        <v>0</v>
      </c>
      <c r="Q627" t="n">
        <v>0</v>
      </c>
      <c r="R627" s="2" t="inlineStr"/>
    </row>
    <row r="628" ht="15" customHeight="1">
      <c r="A628" t="inlineStr">
        <is>
          <t>A 20855-2023</t>
        </is>
      </c>
      <c r="B628" s="1" t="n">
        <v>45058</v>
      </c>
      <c r="C628" s="1" t="n">
        <v>45784</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20856-2023</t>
        </is>
      </c>
      <c r="B629" s="1" t="n">
        <v>45058</v>
      </c>
      <c r="C629" s="1" t="n">
        <v>45784</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20857-2023</t>
        </is>
      </c>
      <c r="B630" s="1" t="n">
        <v>45058</v>
      </c>
      <c r="C630" s="1" t="n">
        <v>45784</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20854-2023</t>
        </is>
      </c>
      <c r="B631" s="1" t="n">
        <v>45058</v>
      </c>
      <c r="C631" s="1" t="n">
        <v>45784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22275-2023</t>
        </is>
      </c>
      <c r="B632" s="1" t="n">
        <v>45070</v>
      </c>
      <c r="C632" s="1" t="n">
        <v>45784</v>
      </c>
      <c r="D632" t="inlineStr">
        <is>
          <t>GOTLANDS LÄN</t>
        </is>
      </c>
      <c r="E632" t="inlineStr">
        <is>
          <t>GOTLAND</t>
        </is>
      </c>
      <c r="G632" t="n">
        <v>7.2</v>
      </c>
      <c r="H632" t="n">
        <v>0</v>
      </c>
      <c r="I632" t="n">
        <v>0</v>
      </c>
      <c r="J632" t="n">
        <v>0</v>
      </c>
      <c r="K632" t="n">
        <v>0</v>
      </c>
      <c r="L632" t="n">
        <v>0</v>
      </c>
      <c r="M632" t="n">
        <v>0</v>
      </c>
      <c r="N632" t="n">
        <v>0</v>
      </c>
      <c r="O632" t="n">
        <v>0</v>
      </c>
      <c r="P632" t="n">
        <v>0</v>
      </c>
      <c r="Q632" t="n">
        <v>0</v>
      </c>
      <c r="R632" s="2" t="inlineStr"/>
    </row>
    <row r="633" ht="15" customHeight="1">
      <c r="A633" t="inlineStr">
        <is>
          <t>A 22412-2023</t>
        </is>
      </c>
      <c r="B633" s="1" t="n">
        <v>45070</v>
      </c>
      <c r="C633" s="1" t="n">
        <v>45784</v>
      </c>
      <c r="D633" t="inlineStr">
        <is>
          <t>GOTLANDS LÄN</t>
        </is>
      </c>
      <c r="E633" t="inlineStr">
        <is>
          <t>GOTLAND</t>
        </is>
      </c>
      <c r="G633" t="n">
        <v>7.3</v>
      </c>
      <c r="H633" t="n">
        <v>0</v>
      </c>
      <c r="I633" t="n">
        <v>0</v>
      </c>
      <c r="J633" t="n">
        <v>0</v>
      </c>
      <c r="K633" t="n">
        <v>0</v>
      </c>
      <c r="L633" t="n">
        <v>0</v>
      </c>
      <c r="M633" t="n">
        <v>0</v>
      </c>
      <c r="N633" t="n">
        <v>0</v>
      </c>
      <c r="O633" t="n">
        <v>0</v>
      </c>
      <c r="P633" t="n">
        <v>0</v>
      </c>
      <c r="Q633" t="n">
        <v>0</v>
      </c>
      <c r="R633" s="2" t="inlineStr"/>
    </row>
    <row r="634" ht="15" customHeight="1">
      <c r="A634" t="inlineStr">
        <is>
          <t>A 22709-2023</t>
        </is>
      </c>
      <c r="B634" s="1" t="n">
        <v>45071</v>
      </c>
      <c r="C634" s="1" t="n">
        <v>45784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22704-2023</t>
        </is>
      </c>
      <c r="B635" s="1" t="n">
        <v>45071</v>
      </c>
      <c r="C635" s="1" t="n">
        <v>45784</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22708-2023</t>
        </is>
      </c>
      <c r="B636" s="1" t="n">
        <v>45071</v>
      </c>
      <c r="C636" s="1" t="n">
        <v>45784</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22707-2023</t>
        </is>
      </c>
      <c r="B637" s="1" t="n">
        <v>45071</v>
      </c>
      <c r="C637" s="1" t="n">
        <v>45784</v>
      </c>
      <c r="D637" t="inlineStr">
        <is>
          <t>GOTLANDS LÄN</t>
        </is>
      </c>
      <c r="E637" t="inlineStr">
        <is>
          <t>GOTLAND</t>
        </is>
      </c>
      <c r="G637" t="n">
        <v>2.2</v>
      </c>
      <c r="H637" t="n">
        <v>0</v>
      </c>
      <c r="I637" t="n">
        <v>0</v>
      </c>
      <c r="J637" t="n">
        <v>0</v>
      </c>
      <c r="K637" t="n">
        <v>0</v>
      </c>
      <c r="L637" t="n">
        <v>0</v>
      </c>
      <c r="M637" t="n">
        <v>0</v>
      </c>
      <c r="N637" t="n">
        <v>0</v>
      </c>
      <c r="O637" t="n">
        <v>0</v>
      </c>
      <c r="P637" t="n">
        <v>0</v>
      </c>
      <c r="Q637" t="n">
        <v>0</v>
      </c>
      <c r="R637" s="2" t="inlineStr"/>
    </row>
    <row r="638" ht="15" customHeight="1">
      <c r="A638" t="inlineStr">
        <is>
          <t>A 22723-2023</t>
        </is>
      </c>
      <c r="B638" s="1" t="n">
        <v>45071</v>
      </c>
      <c r="C638" s="1" t="n">
        <v>45784</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22706-2023</t>
        </is>
      </c>
      <c r="B639" s="1" t="n">
        <v>45071</v>
      </c>
      <c r="C639" s="1" t="n">
        <v>45784</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22890-2023</t>
        </is>
      </c>
      <c r="B640" s="1" t="n">
        <v>45072</v>
      </c>
      <c r="C640" s="1" t="n">
        <v>45784</v>
      </c>
      <c r="D640" t="inlineStr">
        <is>
          <t>GOTLANDS LÄN</t>
        </is>
      </c>
      <c r="E640" t="inlineStr">
        <is>
          <t>GOTLAND</t>
        </is>
      </c>
      <c r="G640" t="n">
        <v>7.5</v>
      </c>
      <c r="H640" t="n">
        <v>0</v>
      </c>
      <c r="I640" t="n">
        <v>0</v>
      </c>
      <c r="J640" t="n">
        <v>0</v>
      </c>
      <c r="K640" t="n">
        <v>0</v>
      </c>
      <c r="L640" t="n">
        <v>0</v>
      </c>
      <c r="M640" t="n">
        <v>0</v>
      </c>
      <c r="N640" t="n">
        <v>0</v>
      </c>
      <c r="O640" t="n">
        <v>0</v>
      </c>
      <c r="P640" t="n">
        <v>0</v>
      </c>
      <c r="Q640" t="n">
        <v>0</v>
      </c>
      <c r="R640" s="2" t="inlineStr"/>
    </row>
    <row r="641" ht="15" customHeight="1">
      <c r="A641" t="inlineStr">
        <is>
          <t>A 22899-2023</t>
        </is>
      </c>
      <c r="B641" s="1" t="n">
        <v>45072</v>
      </c>
      <c r="C641" s="1" t="n">
        <v>45784</v>
      </c>
      <c r="D641" t="inlineStr">
        <is>
          <t>GOTLANDS LÄN</t>
        </is>
      </c>
      <c r="E641" t="inlineStr">
        <is>
          <t>GOTLAND</t>
        </is>
      </c>
      <c r="G641" t="n">
        <v>0.7</v>
      </c>
      <c r="H641" t="n">
        <v>0</v>
      </c>
      <c r="I641" t="n">
        <v>0</v>
      </c>
      <c r="J641" t="n">
        <v>0</v>
      </c>
      <c r="K641" t="n">
        <v>0</v>
      </c>
      <c r="L641" t="n">
        <v>0</v>
      </c>
      <c r="M641" t="n">
        <v>0</v>
      </c>
      <c r="N641" t="n">
        <v>0</v>
      </c>
      <c r="O641" t="n">
        <v>0</v>
      </c>
      <c r="P641" t="n">
        <v>0</v>
      </c>
      <c r="Q641" t="n">
        <v>0</v>
      </c>
      <c r="R641" s="2" t="inlineStr"/>
    </row>
    <row r="642" ht="15" customHeight="1">
      <c r="A642" t="inlineStr">
        <is>
          <t>A 22903-2023</t>
        </is>
      </c>
      <c r="B642" s="1" t="n">
        <v>45072</v>
      </c>
      <c r="C642" s="1" t="n">
        <v>45784</v>
      </c>
      <c r="D642" t="inlineStr">
        <is>
          <t>GOTLANDS LÄN</t>
        </is>
      </c>
      <c r="E642" t="inlineStr">
        <is>
          <t>GOTLAND</t>
        </is>
      </c>
      <c r="G642" t="n">
        <v>0.6</v>
      </c>
      <c r="H642" t="n">
        <v>0</v>
      </c>
      <c r="I642" t="n">
        <v>0</v>
      </c>
      <c r="J642" t="n">
        <v>0</v>
      </c>
      <c r="K642" t="n">
        <v>0</v>
      </c>
      <c r="L642" t="n">
        <v>0</v>
      </c>
      <c r="M642" t="n">
        <v>0</v>
      </c>
      <c r="N642" t="n">
        <v>0</v>
      </c>
      <c r="O642" t="n">
        <v>0</v>
      </c>
      <c r="P642" t="n">
        <v>0</v>
      </c>
      <c r="Q642" t="n">
        <v>0</v>
      </c>
      <c r="R642" s="2" t="inlineStr"/>
    </row>
    <row r="643" ht="15" customHeight="1">
      <c r="A643" t="inlineStr">
        <is>
          <t>A 22897-2023</t>
        </is>
      </c>
      <c r="B643" s="1" t="n">
        <v>45072</v>
      </c>
      <c r="C643" s="1" t="n">
        <v>45784</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23511-2023</t>
        </is>
      </c>
      <c r="B644" s="1" t="n">
        <v>45077</v>
      </c>
      <c r="C644" s="1" t="n">
        <v>45784</v>
      </c>
      <c r="D644" t="inlineStr">
        <is>
          <t>GOTLANDS LÄN</t>
        </is>
      </c>
      <c r="E644" t="inlineStr">
        <is>
          <t>GOTLAND</t>
        </is>
      </c>
      <c r="G644" t="n">
        <v>11.2</v>
      </c>
      <c r="H644" t="n">
        <v>0</v>
      </c>
      <c r="I644" t="n">
        <v>0</v>
      </c>
      <c r="J644" t="n">
        <v>0</v>
      </c>
      <c r="K644" t="n">
        <v>0</v>
      </c>
      <c r="L644" t="n">
        <v>0</v>
      </c>
      <c r="M644" t="n">
        <v>0</v>
      </c>
      <c r="N644" t="n">
        <v>0</v>
      </c>
      <c r="O644" t="n">
        <v>0</v>
      </c>
      <c r="P644" t="n">
        <v>0</v>
      </c>
      <c r="Q644" t="n">
        <v>0</v>
      </c>
      <c r="R644" s="2" t="inlineStr"/>
    </row>
    <row r="645" ht="15" customHeight="1">
      <c r="A645" t="inlineStr">
        <is>
          <t>A 23516-2023</t>
        </is>
      </c>
      <c r="B645" s="1" t="n">
        <v>45077</v>
      </c>
      <c r="C645" s="1" t="n">
        <v>45784</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23858-2023</t>
        </is>
      </c>
      <c r="B646" s="1" t="n">
        <v>45078</v>
      </c>
      <c r="C646" s="1" t="n">
        <v>45784</v>
      </c>
      <c r="D646" t="inlineStr">
        <is>
          <t>GOTLANDS LÄN</t>
        </is>
      </c>
      <c r="E646" t="inlineStr">
        <is>
          <t>GOTLAND</t>
        </is>
      </c>
      <c r="F646" t="inlineStr">
        <is>
          <t>Naturvårdsverket</t>
        </is>
      </c>
      <c r="G646" t="n">
        <v>4.2</v>
      </c>
      <c r="H646" t="n">
        <v>0</v>
      </c>
      <c r="I646" t="n">
        <v>0</v>
      </c>
      <c r="J646" t="n">
        <v>0</v>
      </c>
      <c r="K646" t="n">
        <v>0</v>
      </c>
      <c r="L646" t="n">
        <v>0</v>
      </c>
      <c r="M646" t="n">
        <v>0</v>
      </c>
      <c r="N646" t="n">
        <v>0</v>
      </c>
      <c r="O646" t="n">
        <v>0</v>
      </c>
      <c r="P646" t="n">
        <v>0</v>
      </c>
      <c r="Q646" t="n">
        <v>0</v>
      </c>
      <c r="R646" s="2" t="inlineStr"/>
    </row>
    <row r="647" ht="15" customHeight="1">
      <c r="A647" t="inlineStr">
        <is>
          <t>A 23966-2023</t>
        </is>
      </c>
      <c r="B647" s="1" t="n">
        <v>45078</v>
      </c>
      <c r="C647" s="1" t="n">
        <v>45784</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23978-2023</t>
        </is>
      </c>
      <c r="B648" s="1" t="n">
        <v>45078</v>
      </c>
      <c r="C648" s="1" t="n">
        <v>45784</v>
      </c>
      <c r="D648" t="inlineStr">
        <is>
          <t>GOTLANDS LÄN</t>
        </is>
      </c>
      <c r="E648" t="inlineStr">
        <is>
          <t>GOTLAND</t>
        </is>
      </c>
      <c r="F648" t="inlineStr">
        <is>
          <t>Naturvårdsverket</t>
        </is>
      </c>
      <c r="G648" t="n">
        <v>1.7</v>
      </c>
      <c r="H648" t="n">
        <v>0</v>
      </c>
      <c r="I648" t="n">
        <v>0</v>
      </c>
      <c r="J648" t="n">
        <v>0</v>
      </c>
      <c r="K648" t="n">
        <v>0</v>
      </c>
      <c r="L648" t="n">
        <v>0</v>
      </c>
      <c r="M648" t="n">
        <v>0</v>
      </c>
      <c r="N648" t="n">
        <v>0</v>
      </c>
      <c r="O648" t="n">
        <v>0</v>
      </c>
      <c r="P648" t="n">
        <v>0</v>
      </c>
      <c r="Q648" t="n">
        <v>0</v>
      </c>
      <c r="R648" s="2" t="inlineStr"/>
    </row>
    <row r="649" ht="15" customHeight="1">
      <c r="A649" t="inlineStr">
        <is>
          <t>A 24192-2023</t>
        </is>
      </c>
      <c r="B649" s="1" t="n">
        <v>45079</v>
      </c>
      <c r="C649" s="1" t="n">
        <v>45784</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24719-2023</t>
        </is>
      </c>
      <c r="B650" s="1" t="n">
        <v>45084</v>
      </c>
      <c r="C650" s="1" t="n">
        <v>45784</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24966-2023</t>
        </is>
      </c>
      <c r="B651" s="1" t="n">
        <v>45085</v>
      </c>
      <c r="C651" s="1" t="n">
        <v>45784</v>
      </c>
      <c r="D651" t="inlineStr">
        <is>
          <t>GOTLANDS LÄN</t>
        </is>
      </c>
      <c r="E651" t="inlineStr">
        <is>
          <t>GOTLAND</t>
        </is>
      </c>
      <c r="G651" t="n">
        <v>7</v>
      </c>
      <c r="H651" t="n">
        <v>0</v>
      </c>
      <c r="I651" t="n">
        <v>0</v>
      </c>
      <c r="J651" t="n">
        <v>0</v>
      </c>
      <c r="K651" t="n">
        <v>0</v>
      </c>
      <c r="L651" t="n">
        <v>0</v>
      </c>
      <c r="M651" t="n">
        <v>0</v>
      </c>
      <c r="N651" t="n">
        <v>0</v>
      </c>
      <c r="O651" t="n">
        <v>0</v>
      </c>
      <c r="P651" t="n">
        <v>0</v>
      </c>
      <c r="Q651" t="n">
        <v>0</v>
      </c>
      <c r="R651" s="2" t="inlineStr"/>
    </row>
    <row r="652" ht="15" customHeight="1">
      <c r="A652" t="inlineStr">
        <is>
          <t>A 25129-2023</t>
        </is>
      </c>
      <c r="B652" s="1" t="n">
        <v>45086</v>
      </c>
      <c r="C652" s="1" t="n">
        <v>45784</v>
      </c>
      <c r="D652" t="inlineStr">
        <is>
          <t>GOTLANDS LÄN</t>
        </is>
      </c>
      <c r="E652" t="inlineStr">
        <is>
          <t>GOTLAND</t>
        </is>
      </c>
      <c r="G652" t="n">
        <v>1.5</v>
      </c>
      <c r="H652" t="n">
        <v>0</v>
      </c>
      <c r="I652" t="n">
        <v>0</v>
      </c>
      <c r="J652" t="n">
        <v>0</v>
      </c>
      <c r="K652" t="n">
        <v>0</v>
      </c>
      <c r="L652" t="n">
        <v>0</v>
      </c>
      <c r="M652" t="n">
        <v>0</v>
      </c>
      <c r="N652" t="n">
        <v>0</v>
      </c>
      <c r="O652" t="n">
        <v>0</v>
      </c>
      <c r="P652" t="n">
        <v>0</v>
      </c>
      <c r="Q652" t="n">
        <v>0</v>
      </c>
      <c r="R652" s="2" t="inlineStr"/>
    </row>
    <row r="653" ht="15" customHeight="1">
      <c r="A653" t="inlineStr">
        <is>
          <t>A 27593-2023</t>
        </is>
      </c>
      <c r="B653" s="1" t="n">
        <v>45097</v>
      </c>
      <c r="C653" s="1" t="n">
        <v>45784</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27597-2023</t>
        </is>
      </c>
      <c r="B654" s="1" t="n">
        <v>45097</v>
      </c>
      <c r="C654" s="1" t="n">
        <v>45784</v>
      </c>
      <c r="D654" t="inlineStr">
        <is>
          <t>GOTLANDS LÄN</t>
        </is>
      </c>
      <c r="E654" t="inlineStr">
        <is>
          <t>GOTLAND</t>
        </is>
      </c>
      <c r="G654" t="n">
        <v>1.9</v>
      </c>
      <c r="H654" t="n">
        <v>0</v>
      </c>
      <c r="I654" t="n">
        <v>0</v>
      </c>
      <c r="J654" t="n">
        <v>0</v>
      </c>
      <c r="K654" t="n">
        <v>0</v>
      </c>
      <c r="L654" t="n">
        <v>0</v>
      </c>
      <c r="M654" t="n">
        <v>0</v>
      </c>
      <c r="N654" t="n">
        <v>0</v>
      </c>
      <c r="O654" t="n">
        <v>0</v>
      </c>
      <c r="P654" t="n">
        <v>0</v>
      </c>
      <c r="Q654" t="n">
        <v>0</v>
      </c>
      <c r="R654" s="2" t="inlineStr"/>
    </row>
    <row r="655" ht="15" customHeight="1">
      <c r="A655" t="inlineStr">
        <is>
          <t>A 27602-2023</t>
        </is>
      </c>
      <c r="B655" s="1" t="n">
        <v>45097</v>
      </c>
      <c r="C655" s="1" t="n">
        <v>45784</v>
      </c>
      <c r="D655" t="inlineStr">
        <is>
          <t>GOTLANDS LÄN</t>
        </is>
      </c>
      <c r="E655" t="inlineStr">
        <is>
          <t>GOTLAND</t>
        </is>
      </c>
      <c r="G655" t="n">
        <v>2.7</v>
      </c>
      <c r="H655" t="n">
        <v>0</v>
      </c>
      <c r="I655" t="n">
        <v>0</v>
      </c>
      <c r="J655" t="n">
        <v>0</v>
      </c>
      <c r="K655" t="n">
        <v>0</v>
      </c>
      <c r="L655" t="n">
        <v>0</v>
      </c>
      <c r="M655" t="n">
        <v>0</v>
      </c>
      <c r="N655" t="n">
        <v>0</v>
      </c>
      <c r="O655" t="n">
        <v>0</v>
      </c>
      <c r="P655" t="n">
        <v>0</v>
      </c>
      <c r="Q655" t="n">
        <v>0</v>
      </c>
      <c r="R655" s="2" t="inlineStr"/>
    </row>
    <row r="656" ht="15" customHeight="1">
      <c r="A656" t="inlineStr">
        <is>
          <t>A 27596-2023</t>
        </is>
      </c>
      <c r="B656" s="1" t="n">
        <v>45097</v>
      </c>
      <c r="C656" s="1" t="n">
        <v>45784</v>
      </c>
      <c r="D656" t="inlineStr">
        <is>
          <t>GOTLANDS LÄN</t>
        </is>
      </c>
      <c r="E656" t="inlineStr">
        <is>
          <t>GOTLAND</t>
        </is>
      </c>
      <c r="G656" t="n">
        <v>3.6</v>
      </c>
      <c r="H656" t="n">
        <v>0</v>
      </c>
      <c r="I656" t="n">
        <v>0</v>
      </c>
      <c r="J656" t="n">
        <v>0</v>
      </c>
      <c r="K656" t="n">
        <v>0</v>
      </c>
      <c r="L656" t="n">
        <v>0</v>
      </c>
      <c r="M656" t="n">
        <v>0</v>
      </c>
      <c r="N656" t="n">
        <v>0</v>
      </c>
      <c r="O656" t="n">
        <v>0</v>
      </c>
      <c r="P656" t="n">
        <v>0</v>
      </c>
      <c r="Q656" t="n">
        <v>0</v>
      </c>
      <c r="R656" s="2" t="inlineStr"/>
    </row>
    <row r="657" ht="15" customHeight="1">
      <c r="A657" t="inlineStr">
        <is>
          <t>A 28228-2023</t>
        </is>
      </c>
      <c r="B657" s="1" t="n">
        <v>45099</v>
      </c>
      <c r="C657" s="1" t="n">
        <v>45784</v>
      </c>
      <c r="D657" t="inlineStr">
        <is>
          <t>GOTLANDS LÄN</t>
        </is>
      </c>
      <c r="E657" t="inlineStr">
        <is>
          <t>GOTLAND</t>
        </is>
      </c>
      <c r="G657" t="n">
        <v>1</v>
      </c>
      <c r="H657" t="n">
        <v>0</v>
      </c>
      <c r="I657" t="n">
        <v>0</v>
      </c>
      <c r="J657" t="n">
        <v>0</v>
      </c>
      <c r="K657" t="n">
        <v>0</v>
      </c>
      <c r="L657" t="n">
        <v>0</v>
      </c>
      <c r="M657" t="n">
        <v>0</v>
      </c>
      <c r="N657" t="n">
        <v>0</v>
      </c>
      <c r="O657" t="n">
        <v>0</v>
      </c>
      <c r="P657" t="n">
        <v>0</v>
      </c>
      <c r="Q657" t="n">
        <v>0</v>
      </c>
      <c r="R657" s="2" t="inlineStr"/>
    </row>
    <row r="658" ht="15" customHeight="1">
      <c r="A658" t="inlineStr">
        <is>
          <t>A 28425-2023</t>
        </is>
      </c>
      <c r="B658" s="1" t="n">
        <v>45102</v>
      </c>
      <c r="C658" s="1" t="n">
        <v>45784</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28486-2023</t>
        </is>
      </c>
      <c r="B659" s="1" t="n">
        <v>45103</v>
      </c>
      <c r="C659" s="1" t="n">
        <v>45784</v>
      </c>
      <c r="D659" t="inlineStr">
        <is>
          <t>GOTLANDS LÄN</t>
        </is>
      </c>
      <c r="E659" t="inlineStr">
        <is>
          <t>GOTLAND</t>
        </is>
      </c>
      <c r="G659" t="n">
        <v>7.7</v>
      </c>
      <c r="H659" t="n">
        <v>0</v>
      </c>
      <c r="I659" t="n">
        <v>0</v>
      </c>
      <c r="J659" t="n">
        <v>0</v>
      </c>
      <c r="K659" t="n">
        <v>0</v>
      </c>
      <c r="L659" t="n">
        <v>0</v>
      </c>
      <c r="M659" t="n">
        <v>0</v>
      </c>
      <c r="N659" t="n">
        <v>0</v>
      </c>
      <c r="O659" t="n">
        <v>0</v>
      </c>
      <c r="P659" t="n">
        <v>0</v>
      </c>
      <c r="Q659" t="n">
        <v>0</v>
      </c>
      <c r="R659" s="2" t="inlineStr"/>
    </row>
    <row r="660" ht="15" customHeight="1">
      <c r="A660" t="inlineStr">
        <is>
          <t>A 28485-2023</t>
        </is>
      </c>
      <c r="B660" s="1" t="n">
        <v>45103</v>
      </c>
      <c r="C660" s="1" t="n">
        <v>45784</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28480-2023</t>
        </is>
      </c>
      <c r="B661" s="1" t="n">
        <v>45103</v>
      </c>
      <c r="C661" s="1" t="n">
        <v>45784</v>
      </c>
      <c r="D661" t="inlineStr">
        <is>
          <t>GOTLANDS LÄN</t>
        </is>
      </c>
      <c r="E661" t="inlineStr">
        <is>
          <t>GOTLAND</t>
        </is>
      </c>
      <c r="G661" t="n">
        <v>5.7</v>
      </c>
      <c r="H661" t="n">
        <v>0</v>
      </c>
      <c r="I661" t="n">
        <v>0</v>
      </c>
      <c r="J661" t="n">
        <v>0</v>
      </c>
      <c r="K661" t="n">
        <v>0</v>
      </c>
      <c r="L661" t="n">
        <v>0</v>
      </c>
      <c r="M661" t="n">
        <v>0</v>
      </c>
      <c r="N661" t="n">
        <v>0</v>
      </c>
      <c r="O661" t="n">
        <v>0</v>
      </c>
      <c r="P661" t="n">
        <v>0</v>
      </c>
      <c r="Q661" t="n">
        <v>0</v>
      </c>
      <c r="R661" s="2" t="inlineStr"/>
    </row>
    <row r="662" ht="15" customHeight="1">
      <c r="A662" t="inlineStr">
        <is>
          <t>A 28506-2023</t>
        </is>
      </c>
      <c r="B662" s="1" t="n">
        <v>45103</v>
      </c>
      <c r="C662" s="1" t="n">
        <v>45784</v>
      </c>
      <c r="D662" t="inlineStr">
        <is>
          <t>GOTLANDS LÄN</t>
        </is>
      </c>
      <c r="E662" t="inlineStr">
        <is>
          <t>GOTLAND</t>
        </is>
      </c>
      <c r="G662" t="n">
        <v>3.2</v>
      </c>
      <c r="H662" t="n">
        <v>0</v>
      </c>
      <c r="I662" t="n">
        <v>0</v>
      </c>
      <c r="J662" t="n">
        <v>0</v>
      </c>
      <c r="K662" t="n">
        <v>0</v>
      </c>
      <c r="L662" t="n">
        <v>0</v>
      </c>
      <c r="M662" t="n">
        <v>0</v>
      </c>
      <c r="N662" t="n">
        <v>0</v>
      </c>
      <c r="O662" t="n">
        <v>0</v>
      </c>
      <c r="P662" t="n">
        <v>0</v>
      </c>
      <c r="Q662" t="n">
        <v>0</v>
      </c>
      <c r="R662" s="2" t="inlineStr"/>
    </row>
    <row r="663" ht="15" customHeight="1">
      <c r="A663" t="inlineStr">
        <is>
          <t>A 28560-2023</t>
        </is>
      </c>
      <c r="B663" s="1" t="n">
        <v>45103</v>
      </c>
      <c r="C663" s="1" t="n">
        <v>45784</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29126-2023</t>
        </is>
      </c>
      <c r="B664" s="1" t="n">
        <v>45105</v>
      </c>
      <c r="C664" s="1" t="n">
        <v>45784</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29499-2023</t>
        </is>
      </c>
      <c r="B665" s="1" t="n">
        <v>45106</v>
      </c>
      <c r="C665" s="1" t="n">
        <v>45784</v>
      </c>
      <c r="D665" t="inlineStr">
        <is>
          <t>GOTLANDS LÄN</t>
        </is>
      </c>
      <c r="E665" t="inlineStr">
        <is>
          <t>GOTLAND</t>
        </is>
      </c>
      <c r="G665" t="n">
        <v>2.5</v>
      </c>
      <c r="H665" t="n">
        <v>0</v>
      </c>
      <c r="I665" t="n">
        <v>0</v>
      </c>
      <c r="J665" t="n">
        <v>0</v>
      </c>
      <c r="K665" t="n">
        <v>0</v>
      </c>
      <c r="L665" t="n">
        <v>0</v>
      </c>
      <c r="M665" t="n">
        <v>0</v>
      </c>
      <c r="N665" t="n">
        <v>0</v>
      </c>
      <c r="O665" t="n">
        <v>0</v>
      </c>
      <c r="P665" t="n">
        <v>0</v>
      </c>
      <c r="Q665" t="n">
        <v>0</v>
      </c>
      <c r="R665" s="2" t="inlineStr"/>
    </row>
    <row r="666" ht="15" customHeight="1">
      <c r="A666" t="inlineStr">
        <is>
          <t>A 30164-2023</t>
        </is>
      </c>
      <c r="B666" s="1" t="n">
        <v>45110</v>
      </c>
      <c r="C666" s="1" t="n">
        <v>45784</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30815-2023</t>
        </is>
      </c>
      <c r="B667" s="1" t="n">
        <v>45112</v>
      </c>
      <c r="C667" s="1" t="n">
        <v>45784</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32737-2023</t>
        </is>
      </c>
      <c r="B668" s="1" t="n">
        <v>45122</v>
      </c>
      <c r="C668" s="1" t="n">
        <v>45784</v>
      </c>
      <c r="D668" t="inlineStr">
        <is>
          <t>GOTLANDS LÄN</t>
        </is>
      </c>
      <c r="E668" t="inlineStr">
        <is>
          <t>GOTLAND</t>
        </is>
      </c>
      <c r="F668" t="inlineStr">
        <is>
          <t>Kyrkan</t>
        </is>
      </c>
      <c r="G668" t="n">
        <v>15.4</v>
      </c>
      <c r="H668" t="n">
        <v>0</v>
      </c>
      <c r="I668" t="n">
        <v>0</v>
      </c>
      <c r="J668" t="n">
        <v>0</v>
      </c>
      <c r="K668" t="n">
        <v>0</v>
      </c>
      <c r="L668" t="n">
        <v>0</v>
      </c>
      <c r="M668" t="n">
        <v>0</v>
      </c>
      <c r="N668" t="n">
        <v>0</v>
      </c>
      <c r="O668" t="n">
        <v>0</v>
      </c>
      <c r="P668" t="n">
        <v>0</v>
      </c>
      <c r="Q668" t="n">
        <v>0</v>
      </c>
      <c r="R668" s="2" t="inlineStr"/>
    </row>
    <row r="669" ht="15" customHeight="1">
      <c r="A669" t="inlineStr">
        <is>
          <t>A 32783-2023</t>
        </is>
      </c>
      <c r="B669" s="1" t="n">
        <v>45124</v>
      </c>
      <c r="C669" s="1" t="n">
        <v>45784</v>
      </c>
      <c r="D669" t="inlineStr">
        <is>
          <t>GOTLANDS LÄN</t>
        </is>
      </c>
      <c r="E669" t="inlineStr">
        <is>
          <t>GOTLAND</t>
        </is>
      </c>
      <c r="G669" t="n">
        <v>17.8</v>
      </c>
      <c r="H669" t="n">
        <v>0</v>
      </c>
      <c r="I669" t="n">
        <v>0</v>
      </c>
      <c r="J669" t="n">
        <v>0</v>
      </c>
      <c r="K669" t="n">
        <v>0</v>
      </c>
      <c r="L669" t="n">
        <v>0</v>
      </c>
      <c r="M669" t="n">
        <v>0</v>
      </c>
      <c r="N669" t="n">
        <v>0</v>
      </c>
      <c r="O669" t="n">
        <v>0</v>
      </c>
      <c r="P669" t="n">
        <v>0</v>
      </c>
      <c r="Q669" t="n">
        <v>0</v>
      </c>
      <c r="R669" s="2" t="inlineStr"/>
    </row>
    <row r="670" ht="15" customHeight="1">
      <c r="A670" t="inlineStr">
        <is>
          <t>A 34081-2023</t>
        </is>
      </c>
      <c r="B670" s="1" t="n">
        <v>45125</v>
      </c>
      <c r="C670" s="1" t="n">
        <v>45784</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34407-2023</t>
        </is>
      </c>
      <c r="B671" s="1" t="n">
        <v>45132</v>
      </c>
      <c r="C671" s="1" t="n">
        <v>45784</v>
      </c>
      <c r="D671" t="inlineStr">
        <is>
          <t>GOTLANDS LÄN</t>
        </is>
      </c>
      <c r="E671" t="inlineStr">
        <is>
          <t>GOTLAND</t>
        </is>
      </c>
      <c r="G671" t="n">
        <v>4.4</v>
      </c>
      <c r="H671" t="n">
        <v>0</v>
      </c>
      <c r="I671" t="n">
        <v>0</v>
      </c>
      <c r="J671" t="n">
        <v>0</v>
      </c>
      <c r="K671" t="n">
        <v>0</v>
      </c>
      <c r="L671" t="n">
        <v>0</v>
      </c>
      <c r="M671" t="n">
        <v>0</v>
      </c>
      <c r="N671" t="n">
        <v>0</v>
      </c>
      <c r="O671" t="n">
        <v>0</v>
      </c>
      <c r="P671" t="n">
        <v>0</v>
      </c>
      <c r="Q671" t="n">
        <v>0</v>
      </c>
      <c r="R671" s="2" t="inlineStr"/>
    </row>
    <row r="672" ht="15" customHeight="1">
      <c r="A672" t="inlineStr">
        <is>
          <t>A 35478-2023</t>
        </is>
      </c>
      <c r="B672" s="1" t="n">
        <v>45146</v>
      </c>
      <c r="C672" s="1" t="n">
        <v>45784</v>
      </c>
      <c r="D672" t="inlineStr">
        <is>
          <t>GOTLANDS LÄN</t>
        </is>
      </c>
      <c r="E672" t="inlineStr">
        <is>
          <t>GOTLAND</t>
        </is>
      </c>
      <c r="G672" t="n">
        <v>0.9</v>
      </c>
      <c r="H672" t="n">
        <v>0</v>
      </c>
      <c r="I672" t="n">
        <v>0</v>
      </c>
      <c r="J672" t="n">
        <v>0</v>
      </c>
      <c r="K672" t="n">
        <v>0</v>
      </c>
      <c r="L672" t="n">
        <v>0</v>
      </c>
      <c r="M672" t="n">
        <v>0</v>
      </c>
      <c r="N672" t="n">
        <v>0</v>
      </c>
      <c r="O672" t="n">
        <v>0</v>
      </c>
      <c r="P672" t="n">
        <v>0</v>
      </c>
      <c r="Q672" t="n">
        <v>0</v>
      </c>
      <c r="R672" s="2" t="inlineStr"/>
    </row>
    <row r="673" ht="15" customHeight="1">
      <c r="A673" t="inlineStr">
        <is>
          <t>A 35512-2023</t>
        </is>
      </c>
      <c r="B673" s="1" t="n">
        <v>45147</v>
      </c>
      <c r="C673" s="1" t="n">
        <v>45784</v>
      </c>
      <c r="D673" t="inlineStr">
        <is>
          <t>GOTLANDS LÄN</t>
        </is>
      </c>
      <c r="E673" t="inlineStr">
        <is>
          <t>GOTLAND</t>
        </is>
      </c>
      <c r="G673" t="n">
        <v>1.2</v>
      </c>
      <c r="H673" t="n">
        <v>0</v>
      </c>
      <c r="I673" t="n">
        <v>0</v>
      </c>
      <c r="J673" t="n">
        <v>0</v>
      </c>
      <c r="K673" t="n">
        <v>0</v>
      </c>
      <c r="L673" t="n">
        <v>0</v>
      </c>
      <c r="M673" t="n">
        <v>0</v>
      </c>
      <c r="N673" t="n">
        <v>0</v>
      </c>
      <c r="O673" t="n">
        <v>0</v>
      </c>
      <c r="P673" t="n">
        <v>0</v>
      </c>
      <c r="Q673" t="n">
        <v>0</v>
      </c>
      <c r="R673" s="2" t="inlineStr"/>
    </row>
    <row r="674" ht="15" customHeight="1">
      <c r="A674" t="inlineStr">
        <is>
          <t>A 35595-2023</t>
        </is>
      </c>
      <c r="B674" s="1" t="n">
        <v>45147</v>
      </c>
      <c r="C674" s="1" t="n">
        <v>45784</v>
      </c>
      <c r="D674" t="inlineStr">
        <is>
          <t>GOTLANDS LÄN</t>
        </is>
      </c>
      <c r="E674" t="inlineStr">
        <is>
          <t>GOTLAND</t>
        </is>
      </c>
      <c r="G674" t="n">
        <v>4.2</v>
      </c>
      <c r="H674" t="n">
        <v>0</v>
      </c>
      <c r="I674" t="n">
        <v>0</v>
      </c>
      <c r="J674" t="n">
        <v>0</v>
      </c>
      <c r="K674" t="n">
        <v>0</v>
      </c>
      <c r="L674" t="n">
        <v>0</v>
      </c>
      <c r="M674" t="n">
        <v>0</v>
      </c>
      <c r="N674" t="n">
        <v>0</v>
      </c>
      <c r="O674" t="n">
        <v>0</v>
      </c>
      <c r="P674" t="n">
        <v>0</v>
      </c>
      <c r="Q674" t="n">
        <v>0</v>
      </c>
      <c r="R674" s="2" t="inlineStr"/>
    </row>
    <row r="675" ht="15" customHeight="1">
      <c r="A675" t="inlineStr">
        <is>
          <t>A 35592-2023</t>
        </is>
      </c>
      <c r="B675" s="1" t="n">
        <v>45147</v>
      </c>
      <c r="C675" s="1" t="n">
        <v>45784</v>
      </c>
      <c r="D675" t="inlineStr">
        <is>
          <t>GOTLANDS LÄN</t>
        </is>
      </c>
      <c r="E675" t="inlineStr">
        <is>
          <t>GOTLAND</t>
        </is>
      </c>
      <c r="G675" t="n">
        <v>5.1</v>
      </c>
      <c r="H675" t="n">
        <v>0</v>
      </c>
      <c r="I675" t="n">
        <v>0</v>
      </c>
      <c r="J675" t="n">
        <v>0</v>
      </c>
      <c r="K675" t="n">
        <v>0</v>
      </c>
      <c r="L675" t="n">
        <v>0</v>
      </c>
      <c r="M675" t="n">
        <v>0</v>
      </c>
      <c r="N675" t="n">
        <v>0</v>
      </c>
      <c r="O675" t="n">
        <v>0</v>
      </c>
      <c r="P675" t="n">
        <v>0</v>
      </c>
      <c r="Q675" t="n">
        <v>0</v>
      </c>
      <c r="R675" s="2" t="inlineStr"/>
    </row>
    <row r="676" ht="15" customHeight="1">
      <c r="A676" t="inlineStr">
        <is>
          <t>A 37591-2023</t>
        </is>
      </c>
      <c r="B676" s="1" t="n">
        <v>45159</v>
      </c>
      <c r="C676" s="1" t="n">
        <v>45784</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38234-2023</t>
        </is>
      </c>
      <c r="B677" s="1" t="n">
        <v>45161</v>
      </c>
      <c r="C677" s="1" t="n">
        <v>45784</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38237-2023</t>
        </is>
      </c>
      <c r="B678" s="1" t="n">
        <v>45161</v>
      </c>
      <c r="C678" s="1" t="n">
        <v>45784</v>
      </c>
      <c r="D678" t="inlineStr">
        <is>
          <t>GOTLANDS LÄN</t>
        </is>
      </c>
      <c r="E678" t="inlineStr">
        <is>
          <t>GOTLAND</t>
        </is>
      </c>
      <c r="G678" t="n">
        <v>2.8</v>
      </c>
      <c r="H678" t="n">
        <v>0</v>
      </c>
      <c r="I678" t="n">
        <v>0</v>
      </c>
      <c r="J678" t="n">
        <v>0</v>
      </c>
      <c r="K678" t="n">
        <v>0</v>
      </c>
      <c r="L678" t="n">
        <v>0</v>
      </c>
      <c r="M678" t="n">
        <v>0</v>
      </c>
      <c r="N678" t="n">
        <v>0</v>
      </c>
      <c r="O678" t="n">
        <v>0</v>
      </c>
      <c r="P678" t="n">
        <v>0</v>
      </c>
      <c r="Q678" t="n">
        <v>0</v>
      </c>
      <c r="R678" s="2" t="inlineStr"/>
    </row>
    <row r="679" ht="15" customHeight="1">
      <c r="A679" t="inlineStr">
        <is>
          <t>A 38165-2023</t>
        </is>
      </c>
      <c r="B679" s="1" t="n">
        <v>45161</v>
      </c>
      <c r="C679" s="1" t="n">
        <v>45784</v>
      </c>
      <c r="D679" t="inlineStr">
        <is>
          <t>GOTLANDS LÄN</t>
        </is>
      </c>
      <c r="E679" t="inlineStr">
        <is>
          <t>GOTLAND</t>
        </is>
      </c>
      <c r="G679" t="n">
        <v>2.6</v>
      </c>
      <c r="H679" t="n">
        <v>0</v>
      </c>
      <c r="I679" t="n">
        <v>0</v>
      </c>
      <c r="J679" t="n">
        <v>0</v>
      </c>
      <c r="K679" t="n">
        <v>0</v>
      </c>
      <c r="L679" t="n">
        <v>0</v>
      </c>
      <c r="M679" t="n">
        <v>0</v>
      </c>
      <c r="N679" t="n">
        <v>0</v>
      </c>
      <c r="O679" t="n">
        <v>0</v>
      </c>
      <c r="P679" t="n">
        <v>0</v>
      </c>
      <c r="Q679" t="n">
        <v>0</v>
      </c>
      <c r="R679" s="2" t="inlineStr"/>
    </row>
    <row r="680" ht="15" customHeight="1">
      <c r="A680" t="inlineStr">
        <is>
          <t>A 38787-2023</t>
        </is>
      </c>
      <c r="B680" s="1" t="n">
        <v>45163</v>
      </c>
      <c r="C680" s="1" t="n">
        <v>45784</v>
      </c>
      <c r="D680" t="inlineStr">
        <is>
          <t>GOTLANDS LÄN</t>
        </is>
      </c>
      <c r="E680" t="inlineStr">
        <is>
          <t>GOTLAND</t>
        </is>
      </c>
      <c r="G680" t="n">
        <v>0.4</v>
      </c>
      <c r="H680" t="n">
        <v>0</v>
      </c>
      <c r="I680" t="n">
        <v>0</v>
      </c>
      <c r="J680" t="n">
        <v>0</v>
      </c>
      <c r="K680" t="n">
        <v>0</v>
      </c>
      <c r="L680" t="n">
        <v>0</v>
      </c>
      <c r="M680" t="n">
        <v>0</v>
      </c>
      <c r="N680" t="n">
        <v>0</v>
      </c>
      <c r="O680" t="n">
        <v>0</v>
      </c>
      <c r="P680" t="n">
        <v>0</v>
      </c>
      <c r="Q680" t="n">
        <v>0</v>
      </c>
      <c r="R680" s="2" t="inlineStr"/>
    </row>
    <row r="681" ht="15" customHeight="1">
      <c r="A681" t="inlineStr">
        <is>
          <t>A 39436-2023</t>
        </is>
      </c>
      <c r="B681" s="1" t="n">
        <v>45166</v>
      </c>
      <c r="C681" s="1" t="n">
        <v>45784</v>
      </c>
      <c r="D681" t="inlineStr">
        <is>
          <t>GOTLANDS LÄN</t>
        </is>
      </c>
      <c r="E681" t="inlineStr">
        <is>
          <t>GOTLAND</t>
        </is>
      </c>
      <c r="G681" t="n">
        <v>7</v>
      </c>
      <c r="H681" t="n">
        <v>0</v>
      </c>
      <c r="I681" t="n">
        <v>0</v>
      </c>
      <c r="J681" t="n">
        <v>0</v>
      </c>
      <c r="K681" t="n">
        <v>0</v>
      </c>
      <c r="L681" t="n">
        <v>0</v>
      </c>
      <c r="M681" t="n">
        <v>0</v>
      </c>
      <c r="N681" t="n">
        <v>0</v>
      </c>
      <c r="O681" t="n">
        <v>0</v>
      </c>
      <c r="P681" t="n">
        <v>0</v>
      </c>
      <c r="Q681" t="n">
        <v>0</v>
      </c>
      <c r="R681" s="2" t="inlineStr"/>
    </row>
    <row r="682" ht="15" customHeight="1">
      <c r="A682" t="inlineStr">
        <is>
          <t>A 39371-2023</t>
        </is>
      </c>
      <c r="B682" s="1" t="n">
        <v>45166</v>
      </c>
      <c r="C682" s="1" t="n">
        <v>45784</v>
      </c>
      <c r="D682" t="inlineStr">
        <is>
          <t>GOTLANDS LÄN</t>
        </is>
      </c>
      <c r="E682" t="inlineStr">
        <is>
          <t>GOTLAND</t>
        </is>
      </c>
      <c r="G682" t="n">
        <v>8.4</v>
      </c>
      <c r="H682" t="n">
        <v>0</v>
      </c>
      <c r="I682" t="n">
        <v>0</v>
      </c>
      <c r="J682" t="n">
        <v>0</v>
      </c>
      <c r="K682" t="n">
        <v>0</v>
      </c>
      <c r="L682" t="n">
        <v>0</v>
      </c>
      <c r="M682" t="n">
        <v>0</v>
      </c>
      <c r="N682" t="n">
        <v>0</v>
      </c>
      <c r="O682" t="n">
        <v>0</v>
      </c>
      <c r="P682" t="n">
        <v>0</v>
      </c>
      <c r="Q682" t="n">
        <v>0</v>
      </c>
      <c r="R682" s="2" t="inlineStr"/>
    </row>
    <row r="683" ht="15" customHeight="1">
      <c r="A683" t="inlineStr">
        <is>
          <t>A 39711-2023</t>
        </is>
      </c>
      <c r="B683" s="1" t="n">
        <v>45166</v>
      </c>
      <c r="C683" s="1" t="n">
        <v>45784</v>
      </c>
      <c r="D683" t="inlineStr">
        <is>
          <t>GOTLANDS LÄN</t>
        </is>
      </c>
      <c r="E683" t="inlineStr">
        <is>
          <t>GOTLAND</t>
        </is>
      </c>
      <c r="G683" t="n">
        <v>5.5</v>
      </c>
      <c r="H683" t="n">
        <v>0</v>
      </c>
      <c r="I683" t="n">
        <v>0</v>
      </c>
      <c r="J683" t="n">
        <v>0</v>
      </c>
      <c r="K683" t="n">
        <v>0</v>
      </c>
      <c r="L683" t="n">
        <v>0</v>
      </c>
      <c r="M683" t="n">
        <v>0</v>
      </c>
      <c r="N683" t="n">
        <v>0</v>
      </c>
      <c r="O683" t="n">
        <v>0</v>
      </c>
      <c r="P683" t="n">
        <v>0</v>
      </c>
      <c r="Q683" t="n">
        <v>0</v>
      </c>
      <c r="R683" s="2" t="inlineStr"/>
    </row>
    <row r="684" ht="15" customHeight="1">
      <c r="A684" t="inlineStr">
        <is>
          <t>A 41038-2023</t>
        </is>
      </c>
      <c r="B684" s="1" t="n">
        <v>45173</v>
      </c>
      <c r="C684" s="1" t="n">
        <v>45784</v>
      </c>
      <c r="D684" t="inlineStr">
        <is>
          <t>GOTLANDS LÄN</t>
        </is>
      </c>
      <c r="E684" t="inlineStr">
        <is>
          <t>GOTLAND</t>
        </is>
      </c>
      <c r="G684" t="n">
        <v>2.7</v>
      </c>
      <c r="H684" t="n">
        <v>0</v>
      </c>
      <c r="I684" t="n">
        <v>0</v>
      </c>
      <c r="J684" t="n">
        <v>0</v>
      </c>
      <c r="K684" t="n">
        <v>0</v>
      </c>
      <c r="L684" t="n">
        <v>0</v>
      </c>
      <c r="M684" t="n">
        <v>0</v>
      </c>
      <c r="N684" t="n">
        <v>0</v>
      </c>
      <c r="O684" t="n">
        <v>0</v>
      </c>
      <c r="P684" t="n">
        <v>0</v>
      </c>
      <c r="Q684" t="n">
        <v>0</v>
      </c>
      <c r="R684" s="2" t="inlineStr"/>
    </row>
    <row r="685" ht="15" customHeight="1">
      <c r="A685" t="inlineStr">
        <is>
          <t>A 41378-2023</t>
        </is>
      </c>
      <c r="B685" s="1" t="n">
        <v>45174</v>
      </c>
      <c r="C685" s="1" t="n">
        <v>45784</v>
      </c>
      <c r="D685" t="inlineStr">
        <is>
          <t>GOTLANDS LÄN</t>
        </is>
      </c>
      <c r="E685" t="inlineStr">
        <is>
          <t>GOTLAND</t>
        </is>
      </c>
      <c r="G685" t="n">
        <v>1.6</v>
      </c>
      <c r="H685" t="n">
        <v>0</v>
      </c>
      <c r="I685" t="n">
        <v>0</v>
      </c>
      <c r="J685" t="n">
        <v>0</v>
      </c>
      <c r="K685" t="n">
        <v>0</v>
      </c>
      <c r="L685" t="n">
        <v>0</v>
      </c>
      <c r="M685" t="n">
        <v>0</v>
      </c>
      <c r="N685" t="n">
        <v>0</v>
      </c>
      <c r="O685" t="n">
        <v>0</v>
      </c>
      <c r="P685" t="n">
        <v>0</v>
      </c>
      <c r="Q685" t="n">
        <v>0</v>
      </c>
      <c r="R685" s="2" t="inlineStr"/>
    </row>
    <row r="686" ht="15" customHeight="1">
      <c r="A686" t="inlineStr">
        <is>
          <t>A 41336-2023</t>
        </is>
      </c>
      <c r="B686" s="1" t="n">
        <v>45174</v>
      </c>
      <c r="C686" s="1" t="n">
        <v>45784</v>
      </c>
      <c r="D686" t="inlineStr">
        <is>
          <t>GOTLANDS LÄN</t>
        </is>
      </c>
      <c r="E686" t="inlineStr">
        <is>
          <t>GOTLAND</t>
        </is>
      </c>
      <c r="G686" t="n">
        <v>2.1</v>
      </c>
      <c r="H686" t="n">
        <v>0</v>
      </c>
      <c r="I686" t="n">
        <v>0</v>
      </c>
      <c r="J686" t="n">
        <v>0</v>
      </c>
      <c r="K686" t="n">
        <v>0</v>
      </c>
      <c r="L686" t="n">
        <v>0</v>
      </c>
      <c r="M686" t="n">
        <v>0</v>
      </c>
      <c r="N686" t="n">
        <v>0</v>
      </c>
      <c r="O686" t="n">
        <v>0</v>
      </c>
      <c r="P686" t="n">
        <v>0</v>
      </c>
      <c r="Q686" t="n">
        <v>0</v>
      </c>
      <c r="R686" s="2" t="inlineStr"/>
    </row>
    <row r="687" ht="15" customHeight="1">
      <c r="A687" t="inlineStr">
        <is>
          <t>A 41697-2023</t>
        </is>
      </c>
      <c r="B687" s="1" t="n">
        <v>45176</v>
      </c>
      <c r="C687" s="1" t="n">
        <v>45784</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41893-2023</t>
        </is>
      </c>
      <c r="B688" s="1" t="n">
        <v>45176</v>
      </c>
      <c r="C688" s="1" t="n">
        <v>45784</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42007-2023</t>
        </is>
      </c>
      <c r="B689" s="1" t="n">
        <v>45177</v>
      </c>
      <c r="C689" s="1" t="n">
        <v>45784</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42097-2023</t>
        </is>
      </c>
      <c r="B690" s="1" t="n">
        <v>45177</v>
      </c>
      <c r="C690" s="1" t="n">
        <v>45784</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42201-2023</t>
        </is>
      </c>
      <c r="B691" s="1" t="n">
        <v>45179</v>
      </c>
      <c r="C691" s="1" t="n">
        <v>45784</v>
      </c>
      <c r="D691" t="inlineStr">
        <is>
          <t>GOTLANDS LÄN</t>
        </is>
      </c>
      <c r="E691" t="inlineStr">
        <is>
          <t>GOTLAND</t>
        </is>
      </c>
      <c r="G691" t="n">
        <v>11.9</v>
      </c>
      <c r="H691" t="n">
        <v>0</v>
      </c>
      <c r="I691" t="n">
        <v>0</v>
      </c>
      <c r="J691" t="n">
        <v>0</v>
      </c>
      <c r="K691" t="n">
        <v>0</v>
      </c>
      <c r="L691" t="n">
        <v>0</v>
      </c>
      <c r="M691" t="n">
        <v>0</v>
      </c>
      <c r="N691" t="n">
        <v>0</v>
      </c>
      <c r="O691" t="n">
        <v>0</v>
      </c>
      <c r="P691" t="n">
        <v>0</v>
      </c>
      <c r="Q691" t="n">
        <v>0</v>
      </c>
      <c r="R691" s="2" t="inlineStr"/>
    </row>
    <row r="692" ht="15" customHeight="1">
      <c r="A692" t="inlineStr">
        <is>
          <t>A 42338-2023</t>
        </is>
      </c>
      <c r="B692" s="1" t="n">
        <v>45180</v>
      </c>
      <c r="C692" s="1" t="n">
        <v>45784</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42465-2023</t>
        </is>
      </c>
      <c r="B693" s="1" t="n">
        <v>45180</v>
      </c>
      <c r="C693" s="1" t="n">
        <v>45784</v>
      </c>
      <c r="D693" t="inlineStr">
        <is>
          <t>GOTLANDS LÄN</t>
        </is>
      </c>
      <c r="E693" t="inlineStr">
        <is>
          <t>GOTLAND</t>
        </is>
      </c>
      <c r="G693" t="n">
        <v>0.9</v>
      </c>
      <c r="H693" t="n">
        <v>0</v>
      </c>
      <c r="I693" t="n">
        <v>0</v>
      </c>
      <c r="J693" t="n">
        <v>0</v>
      </c>
      <c r="K693" t="n">
        <v>0</v>
      </c>
      <c r="L693" t="n">
        <v>0</v>
      </c>
      <c r="M693" t="n">
        <v>0</v>
      </c>
      <c r="N693" t="n">
        <v>0</v>
      </c>
      <c r="O693" t="n">
        <v>0</v>
      </c>
      <c r="P693" t="n">
        <v>0</v>
      </c>
      <c r="Q693" t="n">
        <v>0</v>
      </c>
      <c r="R693" s="2" t="inlineStr"/>
    </row>
    <row r="694" ht="15" customHeight="1">
      <c r="A694" t="inlineStr">
        <is>
          <t>A 43223-2023</t>
        </is>
      </c>
      <c r="B694" s="1" t="n">
        <v>45183</v>
      </c>
      <c r="C694" s="1" t="n">
        <v>45784</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43200-2023</t>
        </is>
      </c>
      <c r="B695" s="1" t="n">
        <v>45183</v>
      </c>
      <c r="C695" s="1" t="n">
        <v>45784</v>
      </c>
      <c r="D695" t="inlineStr">
        <is>
          <t>GOTLANDS LÄN</t>
        </is>
      </c>
      <c r="E695" t="inlineStr">
        <is>
          <t>GOTLAND</t>
        </is>
      </c>
      <c r="G695" t="n">
        <v>0.5</v>
      </c>
      <c r="H695" t="n">
        <v>0</v>
      </c>
      <c r="I695" t="n">
        <v>0</v>
      </c>
      <c r="J695" t="n">
        <v>0</v>
      </c>
      <c r="K695" t="n">
        <v>0</v>
      </c>
      <c r="L695" t="n">
        <v>0</v>
      </c>
      <c r="M695" t="n">
        <v>0</v>
      </c>
      <c r="N695" t="n">
        <v>0</v>
      </c>
      <c r="O695" t="n">
        <v>0</v>
      </c>
      <c r="P695" t="n">
        <v>0</v>
      </c>
      <c r="Q695" t="n">
        <v>0</v>
      </c>
      <c r="R695" s="2" t="inlineStr"/>
    </row>
    <row r="696" ht="15" customHeight="1">
      <c r="A696" t="inlineStr">
        <is>
          <t>A 43226-2023</t>
        </is>
      </c>
      <c r="B696" s="1" t="n">
        <v>45183</v>
      </c>
      <c r="C696" s="1" t="n">
        <v>45784</v>
      </c>
      <c r="D696" t="inlineStr">
        <is>
          <t>GOTLANDS LÄN</t>
        </is>
      </c>
      <c r="E696" t="inlineStr">
        <is>
          <t>GOTLAND</t>
        </is>
      </c>
      <c r="G696" t="n">
        <v>1.5</v>
      </c>
      <c r="H696" t="n">
        <v>0</v>
      </c>
      <c r="I696" t="n">
        <v>0</v>
      </c>
      <c r="J696" t="n">
        <v>0</v>
      </c>
      <c r="K696" t="n">
        <v>0</v>
      </c>
      <c r="L696" t="n">
        <v>0</v>
      </c>
      <c r="M696" t="n">
        <v>0</v>
      </c>
      <c r="N696" t="n">
        <v>0</v>
      </c>
      <c r="O696" t="n">
        <v>0</v>
      </c>
      <c r="P696" t="n">
        <v>0</v>
      </c>
      <c r="Q696" t="n">
        <v>0</v>
      </c>
      <c r="R696" s="2" t="inlineStr"/>
    </row>
    <row r="697" ht="15" customHeight="1">
      <c r="A697" t="inlineStr">
        <is>
          <t>A 43231-2023</t>
        </is>
      </c>
      <c r="B697" s="1" t="n">
        <v>45183</v>
      </c>
      <c r="C697" s="1" t="n">
        <v>45784</v>
      </c>
      <c r="D697" t="inlineStr">
        <is>
          <t>GOTLANDS LÄN</t>
        </is>
      </c>
      <c r="E697" t="inlineStr">
        <is>
          <t>GOTLAND</t>
        </is>
      </c>
      <c r="G697" t="n">
        <v>3.6</v>
      </c>
      <c r="H697" t="n">
        <v>0</v>
      </c>
      <c r="I697" t="n">
        <v>0</v>
      </c>
      <c r="J697" t="n">
        <v>0</v>
      </c>
      <c r="K697" t="n">
        <v>0</v>
      </c>
      <c r="L697" t="n">
        <v>0</v>
      </c>
      <c r="M697" t="n">
        <v>0</v>
      </c>
      <c r="N697" t="n">
        <v>0</v>
      </c>
      <c r="O697" t="n">
        <v>0</v>
      </c>
      <c r="P697" t="n">
        <v>0</v>
      </c>
      <c r="Q697" t="n">
        <v>0</v>
      </c>
      <c r="R697" s="2" t="inlineStr"/>
    </row>
    <row r="698" ht="15" customHeight="1">
      <c r="A698" t="inlineStr">
        <is>
          <t>A 43220-2023</t>
        </is>
      </c>
      <c r="B698" s="1" t="n">
        <v>45183</v>
      </c>
      <c r="C698" s="1" t="n">
        <v>45784</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43224-2023</t>
        </is>
      </c>
      <c r="B699" s="1" t="n">
        <v>45183</v>
      </c>
      <c r="C699" s="1" t="n">
        <v>45784</v>
      </c>
      <c r="D699" t="inlineStr">
        <is>
          <t>GOTLANDS LÄN</t>
        </is>
      </c>
      <c r="E699" t="inlineStr">
        <is>
          <t>GOTLAND</t>
        </is>
      </c>
      <c r="G699" t="n">
        <v>1.1</v>
      </c>
      <c r="H699" t="n">
        <v>0</v>
      </c>
      <c r="I699" t="n">
        <v>0</v>
      </c>
      <c r="J699" t="n">
        <v>0</v>
      </c>
      <c r="K699" t="n">
        <v>0</v>
      </c>
      <c r="L699" t="n">
        <v>0</v>
      </c>
      <c r="M699" t="n">
        <v>0</v>
      </c>
      <c r="N699" t="n">
        <v>0</v>
      </c>
      <c r="O699" t="n">
        <v>0</v>
      </c>
      <c r="P699" t="n">
        <v>0</v>
      </c>
      <c r="Q699" t="n">
        <v>0</v>
      </c>
      <c r="R699" s="2" t="inlineStr"/>
    </row>
    <row r="700" ht="15" customHeight="1">
      <c r="A700" t="inlineStr">
        <is>
          <t>A 43229-2023</t>
        </is>
      </c>
      <c r="B700" s="1" t="n">
        <v>45183</v>
      </c>
      <c r="C700" s="1" t="n">
        <v>45784</v>
      </c>
      <c r="D700" t="inlineStr">
        <is>
          <t>GOTLANDS LÄN</t>
        </is>
      </c>
      <c r="E700" t="inlineStr">
        <is>
          <t>GOTLAND</t>
        </is>
      </c>
      <c r="G700" t="n">
        <v>7.1</v>
      </c>
      <c r="H700" t="n">
        <v>0</v>
      </c>
      <c r="I700" t="n">
        <v>0</v>
      </c>
      <c r="J700" t="n">
        <v>0</v>
      </c>
      <c r="K700" t="n">
        <v>0</v>
      </c>
      <c r="L700" t="n">
        <v>0</v>
      </c>
      <c r="M700" t="n">
        <v>0</v>
      </c>
      <c r="N700" t="n">
        <v>0</v>
      </c>
      <c r="O700" t="n">
        <v>0</v>
      </c>
      <c r="P700" t="n">
        <v>0</v>
      </c>
      <c r="Q700" t="n">
        <v>0</v>
      </c>
      <c r="R700" s="2" t="inlineStr"/>
    </row>
    <row r="701" ht="15" customHeight="1">
      <c r="A701" t="inlineStr">
        <is>
          <t>A 43901-2023</t>
        </is>
      </c>
      <c r="B701" s="1" t="n">
        <v>45187</v>
      </c>
      <c r="C701" s="1" t="n">
        <v>45784</v>
      </c>
      <c r="D701" t="inlineStr">
        <is>
          <t>GOTLANDS LÄN</t>
        </is>
      </c>
      <c r="E701" t="inlineStr">
        <is>
          <t>GOTLAND</t>
        </is>
      </c>
      <c r="G701" t="n">
        <v>5.4</v>
      </c>
      <c r="H701" t="n">
        <v>0</v>
      </c>
      <c r="I701" t="n">
        <v>0</v>
      </c>
      <c r="J701" t="n">
        <v>0</v>
      </c>
      <c r="K701" t="n">
        <v>0</v>
      </c>
      <c r="L701" t="n">
        <v>0</v>
      </c>
      <c r="M701" t="n">
        <v>0</v>
      </c>
      <c r="N701" t="n">
        <v>0</v>
      </c>
      <c r="O701" t="n">
        <v>0</v>
      </c>
      <c r="P701" t="n">
        <v>0</v>
      </c>
      <c r="Q701" t="n">
        <v>0</v>
      </c>
      <c r="R701" s="2" t="inlineStr"/>
    </row>
    <row r="702" ht="15" customHeight="1">
      <c r="A702" t="inlineStr">
        <is>
          <t>A 44189-2023</t>
        </is>
      </c>
      <c r="B702" s="1" t="n">
        <v>45188</v>
      </c>
      <c r="C702" s="1" t="n">
        <v>45784</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44888-2023</t>
        </is>
      </c>
      <c r="B703" s="1" t="n">
        <v>45190</v>
      </c>
      <c r="C703" s="1" t="n">
        <v>45784</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44941-2023</t>
        </is>
      </c>
      <c r="B704" s="1" t="n">
        <v>45190</v>
      </c>
      <c r="C704" s="1" t="n">
        <v>45784</v>
      </c>
      <c r="D704" t="inlineStr">
        <is>
          <t>GOTLANDS LÄN</t>
        </is>
      </c>
      <c r="E704" t="inlineStr">
        <is>
          <t>GOTLAND</t>
        </is>
      </c>
      <c r="G704" t="n">
        <v>2.7</v>
      </c>
      <c r="H704" t="n">
        <v>0</v>
      </c>
      <c r="I704" t="n">
        <v>0</v>
      </c>
      <c r="J704" t="n">
        <v>0</v>
      </c>
      <c r="K704" t="n">
        <v>0</v>
      </c>
      <c r="L704" t="n">
        <v>0</v>
      </c>
      <c r="M704" t="n">
        <v>0</v>
      </c>
      <c r="N704" t="n">
        <v>0</v>
      </c>
      <c r="O704" t="n">
        <v>0</v>
      </c>
      <c r="P704" t="n">
        <v>0</v>
      </c>
      <c r="Q704" t="n">
        <v>0</v>
      </c>
      <c r="R704" s="2" t="inlineStr"/>
    </row>
    <row r="705" ht="15" customHeight="1">
      <c r="A705" t="inlineStr">
        <is>
          <t>A 44953-2023</t>
        </is>
      </c>
      <c r="B705" s="1" t="n">
        <v>45190</v>
      </c>
      <c r="C705" s="1" t="n">
        <v>45784</v>
      </c>
      <c r="D705" t="inlineStr">
        <is>
          <t>GOTLANDS LÄN</t>
        </is>
      </c>
      <c r="E705" t="inlineStr">
        <is>
          <t>GOTLAND</t>
        </is>
      </c>
      <c r="G705" t="n">
        <v>3.7</v>
      </c>
      <c r="H705" t="n">
        <v>0</v>
      </c>
      <c r="I705" t="n">
        <v>0</v>
      </c>
      <c r="J705" t="n">
        <v>0</v>
      </c>
      <c r="K705" t="n">
        <v>0</v>
      </c>
      <c r="L705" t="n">
        <v>0</v>
      </c>
      <c r="M705" t="n">
        <v>0</v>
      </c>
      <c r="N705" t="n">
        <v>0</v>
      </c>
      <c r="O705" t="n">
        <v>0</v>
      </c>
      <c r="P705" t="n">
        <v>0</v>
      </c>
      <c r="Q705" t="n">
        <v>0</v>
      </c>
      <c r="R705" s="2" t="inlineStr"/>
    </row>
    <row r="706" ht="15" customHeight="1">
      <c r="A706" t="inlineStr">
        <is>
          <t>A 44918-2023</t>
        </is>
      </c>
      <c r="B706" s="1" t="n">
        <v>45190</v>
      </c>
      <c r="C706" s="1" t="n">
        <v>45784</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44949-2023</t>
        </is>
      </c>
      <c r="B707" s="1" t="n">
        <v>45190</v>
      </c>
      <c r="C707" s="1" t="n">
        <v>45784</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45168-2023</t>
        </is>
      </c>
      <c r="B708" s="1" t="n">
        <v>45191</v>
      </c>
      <c r="C708" s="1" t="n">
        <v>45784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45600-2023</t>
        </is>
      </c>
      <c r="B709" s="1" t="n">
        <v>45194</v>
      </c>
      <c r="C709" s="1" t="n">
        <v>45784</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45692-2023</t>
        </is>
      </c>
      <c r="B710" s="1" t="n">
        <v>45195</v>
      </c>
      <c r="C710" s="1" t="n">
        <v>45784</v>
      </c>
      <c r="D710" t="inlineStr">
        <is>
          <t>GOTLANDS LÄN</t>
        </is>
      </c>
      <c r="E710" t="inlineStr">
        <is>
          <t>GOTLAND</t>
        </is>
      </c>
      <c r="G710" t="n">
        <v>5.3</v>
      </c>
      <c r="H710" t="n">
        <v>0</v>
      </c>
      <c r="I710" t="n">
        <v>0</v>
      </c>
      <c r="J710" t="n">
        <v>0</v>
      </c>
      <c r="K710" t="n">
        <v>0</v>
      </c>
      <c r="L710" t="n">
        <v>0</v>
      </c>
      <c r="M710" t="n">
        <v>0</v>
      </c>
      <c r="N710" t="n">
        <v>0</v>
      </c>
      <c r="O710" t="n">
        <v>0</v>
      </c>
      <c r="P710" t="n">
        <v>0</v>
      </c>
      <c r="Q710" t="n">
        <v>0</v>
      </c>
      <c r="R710" s="2" t="inlineStr"/>
    </row>
    <row r="711" ht="15" customHeight="1">
      <c r="A711" t="inlineStr">
        <is>
          <t>A 46402-2023</t>
        </is>
      </c>
      <c r="B711" s="1" t="n">
        <v>45197</v>
      </c>
      <c r="C711" s="1" t="n">
        <v>45784</v>
      </c>
      <c r="D711" t="inlineStr">
        <is>
          <t>GOTLANDS LÄN</t>
        </is>
      </c>
      <c r="E711" t="inlineStr">
        <is>
          <t>GOTLAND</t>
        </is>
      </c>
      <c r="G711" t="n">
        <v>2.5</v>
      </c>
      <c r="H711" t="n">
        <v>0</v>
      </c>
      <c r="I711" t="n">
        <v>0</v>
      </c>
      <c r="J711" t="n">
        <v>0</v>
      </c>
      <c r="K711" t="n">
        <v>0</v>
      </c>
      <c r="L711" t="n">
        <v>0</v>
      </c>
      <c r="M711" t="n">
        <v>0</v>
      </c>
      <c r="N711" t="n">
        <v>0</v>
      </c>
      <c r="O711" t="n">
        <v>0</v>
      </c>
      <c r="P711" t="n">
        <v>0</v>
      </c>
      <c r="Q711" t="n">
        <v>0</v>
      </c>
      <c r="R711" s="2" t="inlineStr"/>
    </row>
    <row r="712" ht="15" customHeight="1">
      <c r="A712" t="inlineStr">
        <is>
          <t>A 46396-2023</t>
        </is>
      </c>
      <c r="B712" s="1" t="n">
        <v>45197</v>
      </c>
      <c r="C712" s="1" t="n">
        <v>45784</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46400-2023</t>
        </is>
      </c>
      <c r="B713" s="1" t="n">
        <v>45197</v>
      </c>
      <c r="C713" s="1" t="n">
        <v>45784</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47322-2023</t>
        </is>
      </c>
      <c r="B714" s="1" t="n">
        <v>45202</v>
      </c>
      <c r="C714" s="1" t="n">
        <v>45784</v>
      </c>
      <c r="D714" t="inlineStr">
        <is>
          <t>GOTLANDS LÄN</t>
        </is>
      </c>
      <c r="E714" t="inlineStr">
        <is>
          <t>GOTLAND</t>
        </is>
      </c>
      <c r="G714" t="n">
        <v>3.9</v>
      </c>
      <c r="H714" t="n">
        <v>0</v>
      </c>
      <c r="I714" t="n">
        <v>0</v>
      </c>
      <c r="J714" t="n">
        <v>0</v>
      </c>
      <c r="K714" t="n">
        <v>0</v>
      </c>
      <c r="L714" t="n">
        <v>0</v>
      </c>
      <c r="M714" t="n">
        <v>0</v>
      </c>
      <c r="N714" t="n">
        <v>0</v>
      </c>
      <c r="O714" t="n">
        <v>0</v>
      </c>
      <c r="P714" t="n">
        <v>0</v>
      </c>
      <c r="Q714" t="n">
        <v>0</v>
      </c>
      <c r="R714" s="2" t="inlineStr"/>
    </row>
    <row r="715" ht="15" customHeight="1">
      <c r="A715" t="inlineStr">
        <is>
          <t>A 47762-2023</t>
        </is>
      </c>
      <c r="B715" s="1" t="n">
        <v>45203</v>
      </c>
      <c r="C715" s="1" t="n">
        <v>45784</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49411-2023</t>
        </is>
      </c>
      <c r="B716" s="1" t="n">
        <v>45205</v>
      </c>
      <c r="C716" s="1" t="n">
        <v>45784</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48503-2023</t>
        </is>
      </c>
      <c r="B717" s="1" t="n">
        <v>45207</v>
      </c>
      <c r="C717" s="1" t="n">
        <v>45784</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48504-2023</t>
        </is>
      </c>
      <c r="B718" s="1" t="n">
        <v>45207</v>
      </c>
      <c r="C718" s="1" t="n">
        <v>45784</v>
      </c>
      <c r="D718" t="inlineStr">
        <is>
          <t>GOTLANDS LÄN</t>
        </is>
      </c>
      <c r="E718" t="inlineStr">
        <is>
          <t>GOTLAND</t>
        </is>
      </c>
      <c r="G718" t="n">
        <v>2.3</v>
      </c>
      <c r="H718" t="n">
        <v>0</v>
      </c>
      <c r="I718" t="n">
        <v>0</v>
      </c>
      <c r="J718" t="n">
        <v>0</v>
      </c>
      <c r="K718" t="n">
        <v>0</v>
      </c>
      <c r="L718" t="n">
        <v>0</v>
      </c>
      <c r="M718" t="n">
        <v>0</v>
      </c>
      <c r="N718" t="n">
        <v>0</v>
      </c>
      <c r="O718" t="n">
        <v>0</v>
      </c>
      <c r="P718" t="n">
        <v>0</v>
      </c>
      <c r="Q718" t="n">
        <v>0</v>
      </c>
      <c r="R718" s="2" t="inlineStr"/>
    </row>
    <row r="719" ht="15" customHeight="1">
      <c r="A719" t="inlineStr">
        <is>
          <t>A 48745-2023</t>
        </is>
      </c>
      <c r="B719" s="1" t="n">
        <v>45208</v>
      </c>
      <c r="C719" s="1" t="n">
        <v>45784</v>
      </c>
      <c r="D719" t="inlineStr">
        <is>
          <t>GOTLANDS LÄN</t>
        </is>
      </c>
      <c r="E719" t="inlineStr">
        <is>
          <t>GOTLAND</t>
        </is>
      </c>
      <c r="G719" t="n">
        <v>3.6</v>
      </c>
      <c r="H719" t="n">
        <v>0</v>
      </c>
      <c r="I719" t="n">
        <v>0</v>
      </c>
      <c r="J719" t="n">
        <v>0</v>
      </c>
      <c r="K719" t="n">
        <v>0</v>
      </c>
      <c r="L719" t="n">
        <v>0</v>
      </c>
      <c r="M719" t="n">
        <v>0</v>
      </c>
      <c r="N719" t="n">
        <v>0</v>
      </c>
      <c r="O719" t="n">
        <v>0</v>
      </c>
      <c r="P719" t="n">
        <v>0</v>
      </c>
      <c r="Q719" t="n">
        <v>0</v>
      </c>
      <c r="R719" s="2" t="inlineStr"/>
    </row>
    <row r="720" ht="15" customHeight="1">
      <c r="A720" t="inlineStr">
        <is>
          <t>A 49693-2023</t>
        </is>
      </c>
      <c r="B720" s="1" t="n">
        <v>45212</v>
      </c>
      <c r="C720" s="1" t="n">
        <v>45784</v>
      </c>
      <c r="D720" t="inlineStr">
        <is>
          <t>GOTLANDS LÄN</t>
        </is>
      </c>
      <c r="E720" t="inlineStr">
        <is>
          <t>GOTLAND</t>
        </is>
      </c>
      <c r="G720" t="n">
        <v>2.4</v>
      </c>
      <c r="H720" t="n">
        <v>0</v>
      </c>
      <c r="I720" t="n">
        <v>0</v>
      </c>
      <c r="J720" t="n">
        <v>0</v>
      </c>
      <c r="K720" t="n">
        <v>0</v>
      </c>
      <c r="L720" t="n">
        <v>0</v>
      </c>
      <c r="M720" t="n">
        <v>0</v>
      </c>
      <c r="N720" t="n">
        <v>0</v>
      </c>
      <c r="O720" t="n">
        <v>0</v>
      </c>
      <c r="P720" t="n">
        <v>0</v>
      </c>
      <c r="Q720" t="n">
        <v>0</v>
      </c>
      <c r="R720" s="2" t="inlineStr"/>
    </row>
    <row r="721" ht="15" customHeight="1">
      <c r="A721" t="inlineStr">
        <is>
          <t>A 49697-2023</t>
        </is>
      </c>
      <c r="B721" s="1" t="n">
        <v>45212</v>
      </c>
      <c r="C721" s="1" t="n">
        <v>45784</v>
      </c>
      <c r="D721" t="inlineStr">
        <is>
          <t>GOTLANDS LÄN</t>
        </is>
      </c>
      <c r="E721" t="inlineStr">
        <is>
          <t>GOTLAND</t>
        </is>
      </c>
      <c r="G721" t="n">
        <v>4.4</v>
      </c>
      <c r="H721" t="n">
        <v>0</v>
      </c>
      <c r="I721" t="n">
        <v>0</v>
      </c>
      <c r="J721" t="n">
        <v>0</v>
      </c>
      <c r="K721" t="n">
        <v>0</v>
      </c>
      <c r="L721" t="n">
        <v>0</v>
      </c>
      <c r="M721" t="n">
        <v>0</v>
      </c>
      <c r="N721" t="n">
        <v>0</v>
      </c>
      <c r="O721" t="n">
        <v>0</v>
      </c>
      <c r="P721" t="n">
        <v>0</v>
      </c>
      <c r="Q721" t="n">
        <v>0</v>
      </c>
      <c r="R721" s="2" t="inlineStr"/>
    </row>
    <row r="722" ht="15" customHeight="1">
      <c r="A722" t="inlineStr">
        <is>
          <t>A 49846-2023</t>
        </is>
      </c>
      <c r="B722" s="1" t="n">
        <v>45212</v>
      </c>
      <c r="C722" s="1" t="n">
        <v>45784</v>
      </c>
      <c r="D722" t="inlineStr">
        <is>
          <t>GOTLANDS LÄN</t>
        </is>
      </c>
      <c r="E722" t="inlineStr">
        <is>
          <t>GOTLAND</t>
        </is>
      </c>
      <c r="G722" t="n">
        <v>16.9</v>
      </c>
      <c r="H722" t="n">
        <v>0</v>
      </c>
      <c r="I722" t="n">
        <v>0</v>
      </c>
      <c r="J722" t="n">
        <v>0</v>
      </c>
      <c r="K722" t="n">
        <v>0</v>
      </c>
      <c r="L722" t="n">
        <v>0</v>
      </c>
      <c r="M722" t="n">
        <v>0</v>
      </c>
      <c r="N722" t="n">
        <v>0</v>
      </c>
      <c r="O722" t="n">
        <v>0</v>
      </c>
      <c r="P722" t="n">
        <v>0</v>
      </c>
      <c r="Q722" t="n">
        <v>0</v>
      </c>
      <c r="R722" s="2" t="inlineStr"/>
    </row>
    <row r="723" ht="15" customHeight="1">
      <c r="A723" t="inlineStr">
        <is>
          <t>A 49884-2023</t>
        </is>
      </c>
      <c r="B723" s="1" t="n">
        <v>45213</v>
      </c>
      <c r="C723" s="1" t="n">
        <v>45784</v>
      </c>
      <c r="D723" t="inlineStr">
        <is>
          <t>GOTLANDS LÄN</t>
        </is>
      </c>
      <c r="E723" t="inlineStr">
        <is>
          <t>GOTLAND</t>
        </is>
      </c>
      <c r="G723" t="n">
        <v>8.9</v>
      </c>
      <c r="H723" t="n">
        <v>0</v>
      </c>
      <c r="I723" t="n">
        <v>0</v>
      </c>
      <c r="J723" t="n">
        <v>0</v>
      </c>
      <c r="K723" t="n">
        <v>0</v>
      </c>
      <c r="L723" t="n">
        <v>0</v>
      </c>
      <c r="M723" t="n">
        <v>0</v>
      </c>
      <c r="N723" t="n">
        <v>0</v>
      </c>
      <c r="O723" t="n">
        <v>0</v>
      </c>
      <c r="P723" t="n">
        <v>0</v>
      </c>
      <c r="Q723" t="n">
        <v>0</v>
      </c>
      <c r="R723" s="2" t="inlineStr"/>
    </row>
    <row r="724" ht="15" customHeight="1">
      <c r="A724" t="inlineStr">
        <is>
          <t>A 49962-2023</t>
        </is>
      </c>
      <c r="B724" s="1" t="n">
        <v>45215</v>
      </c>
      <c r="C724" s="1" t="n">
        <v>45784</v>
      </c>
      <c r="D724" t="inlineStr">
        <is>
          <t>GOTLANDS LÄN</t>
        </is>
      </c>
      <c r="E724" t="inlineStr">
        <is>
          <t>GOTLAND</t>
        </is>
      </c>
      <c r="G724" t="n">
        <v>1.4</v>
      </c>
      <c r="H724" t="n">
        <v>0</v>
      </c>
      <c r="I724" t="n">
        <v>0</v>
      </c>
      <c r="J724" t="n">
        <v>0</v>
      </c>
      <c r="K724" t="n">
        <v>0</v>
      </c>
      <c r="L724" t="n">
        <v>0</v>
      </c>
      <c r="M724" t="n">
        <v>0</v>
      </c>
      <c r="N724" t="n">
        <v>0</v>
      </c>
      <c r="O724" t="n">
        <v>0</v>
      </c>
      <c r="P724" t="n">
        <v>0</v>
      </c>
      <c r="Q724" t="n">
        <v>0</v>
      </c>
      <c r="R724" s="2" t="inlineStr"/>
    </row>
    <row r="725" ht="15" customHeight="1">
      <c r="A725" t="inlineStr">
        <is>
          <t>A 49966-2023</t>
        </is>
      </c>
      <c r="B725" s="1" t="n">
        <v>45215</v>
      </c>
      <c r="C725" s="1" t="n">
        <v>45784</v>
      </c>
      <c r="D725" t="inlineStr">
        <is>
          <t>GOTLANDS LÄN</t>
        </is>
      </c>
      <c r="E725" t="inlineStr">
        <is>
          <t>GOTLAND</t>
        </is>
      </c>
      <c r="G725" t="n">
        <v>5</v>
      </c>
      <c r="H725" t="n">
        <v>0</v>
      </c>
      <c r="I725" t="n">
        <v>0</v>
      </c>
      <c r="J725" t="n">
        <v>0</v>
      </c>
      <c r="K725" t="n">
        <v>0</v>
      </c>
      <c r="L725" t="n">
        <v>0</v>
      </c>
      <c r="M725" t="n">
        <v>0</v>
      </c>
      <c r="N725" t="n">
        <v>0</v>
      </c>
      <c r="O725" t="n">
        <v>0</v>
      </c>
      <c r="P725" t="n">
        <v>0</v>
      </c>
      <c r="Q725" t="n">
        <v>0</v>
      </c>
      <c r="R725" s="2" t="inlineStr"/>
    </row>
    <row r="726" ht="15" customHeight="1">
      <c r="A726" t="inlineStr">
        <is>
          <t>A 49964-2023</t>
        </is>
      </c>
      <c r="B726" s="1" t="n">
        <v>45215</v>
      </c>
      <c r="C726" s="1" t="n">
        <v>45784</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49968-2023</t>
        </is>
      </c>
      <c r="B727" s="1" t="n">
        <v>45215</v>
      </c>
      <c r="C727" s="1" t="n">
        <v>45784</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50566-2023</t>
        </is>
      </c>
      <c r="B728" s="1" t="n">
        <v>45217</v>
      </c>
      <c r="C728" s="1" t="n">
        <v>45784</v>
      </c>
      <c r="D728" t="inlineStr">
        <is>
          <t>GOTLANDS LÄN</t>
        </is>
      </c>
      <c r="E728" t="inlineStr">
        <is>
          <t>GOTLAND</t>
        </is>
      </c>
      <c r="G728" t="n">
        <v>5.8</v>
      </c>
      <c r="H728" t="n">
        <v>0</v>
      </c>
      <c r="I728" t="n">
        <v>0</v>
      </c>
      <c r="J728" t="n">
        <v>0</v>
      </c>
      <c r="K728" t="n">
        <v>0</v>
      </c>
      <c r="L728" t="n">
        <v>0</v>
      </c>
      <c r="M728" t="n">
        <v>0</v>
      </c>
      <c r="N728" t="n">
        <v>0</v>
      </c>
      <c r="O728" t="n">
        <v>0</v>
      </c>
      <c r="P728" t="n">
        <v>0</v>
      </c>
      <c r="Q728" t="n">
        <v>0</v>
      </c>
      <c r="R728" s="2" t="inlineStr"/>
    </row>
    <row r="729" ht="15" customHeight="1">
      <c r="A729" t="inlineStr">
        <is>
          <t>A 51035-2023</t>
        </is>
      </c>
      <c r="B729" s="1" t="n">
        <v>45218</v>
      </c>
      <c r="C729" s="1" t="n">
        <v>45784</v>
      </c>
      <c r="D729" t="inlineStr">
        <is>
          <t>GOTLANDS LÄN</t>
        </is>
      </c>
      <c r="E729" t="inlineStr">
        <is>
          <t>GOTLAND</t>
        </is>
      </c>
      <c r="G729" t="n">
        <v>1.3</v>
      </c>
      <c r="H729" t="n">
        <v>0</v>
      </c>
      <c r="I729" t="n">
        <v>0</v>
      </c>
      <c r="J729" t="n">
        <v>0</v>
      </c>
      <c r="K729" t="n">
        <v>0</v>
      </c>
      <c r="L729" t="n">
        <v>0</v>
      </c>
      <c r="M729" t="n">
        <v>0</v>
      </c>
      <c r="N729" t="n">
        <v>0</v>
      </c>
      <c r="O729" t="n">
        <v>0</v>
      </c>
      <c r="P729" t="n">
        <v>0</v>
      </c>
      <c r="Q729" t="n">
        <v>0</v>
      </c>
      <c r="R729" s="2" t="inlineStr"/>
    </row>
    <row r="730" ht="15" customHeight="1">
      <c r="A730" t="inlineStr">
        <is>
          <t>A 51782-2023</t>
        </is>
      </c>
      <c r="B730" s="1" t="n">
        <v>45222</v>
      </c>
      <c r="C730" s="1" t="n">
        <v>45784</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52684-2023</t>
        </is>
      </c>
      <c r="B731" s="1" t="n">
        <v>45225</v>
      </c>
      <c r="C731" s="1" t="n">
        <v>45784</v>
      </c>
      <c r="D731" t="inlineStr">
        <is>
          <t>GOTLANDS LÄN</t>
        </is>
      </c>
      <c r="E731" t="inlineStr">
        <is>
          <t>GOTLAND</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53913-2023</t>
        </is>
      </c>
      <c r="B732" s="1" t="n">
        <v>45231</v>
      </c>
      <c r="C732" s="1" t="n">
        <v>45784</v>
      </c>
      <c r="D732" t="inlineStr">
        <is>
          <t>GOTLANDS LÄN</t>
        </is>
      </c>
      <c r="E732" t="inlineStr">
        <is>
          <t>GOTLAND</t>
        </is>
      </c>
      <c r="G732" t="n">
        <v>6.2</v>
      </c>
      <c r="H732" t="n">
        <v>0</v>
      </c>
      <c r="I732" t="n">
        <v>0</v>
      </c>
      <c r="J732" t="n">
        <v>0</v>
      </c>
      <c r="K732" t="n">
        <v>0</v>
      </c>
      <c r="L732" t="n">
        <v>0</v>
      </c>
      <c r="M732" t="n">
        <v>0</v>
      </c>
      <c r="N732" t="n">
        <v>0</v>
      </c>
      <c r="O732" t="n">
        <v>0</v>
      </c>
      <c r="P732" t="n">
        <v>0</v>
      </c>
      <c r="Q732" t="n">
        <v>0</v>
      </c>
      <c r="R732" s="2" t="inlineStr"/>
    </row>
    <row r="733" ht="15" customHeight="1">
      <c r="A733" t="inlineStr">
        <is>
          <t>A 56115-2023</t>
        </is>
      </c>
      <c r="B733" s="1" t="n">
        <v>45236</v>
      </c>
      <c r="C733" s="1" t="n">
        <v>45784</v>
      </c>
      <c r="D733" t="inlineStr">
        <is>
          <t>GOTLANDS LÄN</t>
        </is>
      </c>
      <c r="E733" t="inlineStr">
        <is>
          <t>GOTLAND</t>
        </is>
      </c>
      <c r="G733" t="n">
        <v>2</v>
      </c>
      <c r="H733" t="n">
        <v>0</v>
      </c>
      <c r="I733" t="n">
        <v>0</v>
      </c>
      <c r="J733" t="n">
        <v>0</v>
      </c>
      <c r="K733" t="n">
        <v>0</v>
      </c>
      <c r="L733" t="n">
        <v>0</v>
      </c>
      <c r="M733" t="n">
        <v>0</v>
      </c>
      <c r="N733" t="n">
        <v>0</v>
      </c>
      <c r="O733" t="n">
        <v>0</v>
      </c>
      <c r="P733" t="n">
        <v>0</v>
      </c>
      <c r="Q733" t="n">
        <v>0</v>
      </c>
      <c r="R733" s="2" t="inlineStr"/>
    </row>
    <row r="734" ht="15" customHeight="1">
      <c r="A734" t="inlineStr">
        <is>
          <t>A 57356-2023</t>
        </is>
      </c>
      <c r="B734" s="1" t="n">
        <v>45240</v>
      </c>
      <c r="C734" s="1" t="n">
        <v>45784</v>
      </c>
      <c r="D734" t="inlineStr">
        <is>
          <t>GOTLANDS LÄN</t>
        </is>
      </c>
      <c r="E734" t="inlineStr">
        <is>
          <t>GOTLAND</t>
        </is>
      </c>
      <c r="G734" t="n">
        <v>6.4</v>
      </c>
      <c r="H734" t="n">
        <v>0</v>
      </c>
      <c r="I734" t="n">
        <v>0</v>
      </c>
      <c r="J734" t="n">
        <v>0</v>
      </c>
      <c r="K734" t="n">
        <v>0</v>
      </c>
      <c r="L734" t="n">
        <v>0</v>
      </c>
      <c r="M734" t="n">
        <v>0</v>
      </c>
      <c r="N734" t="n">
        <v>0</v>
      </c>
      <c r="O734" t="n">
        <v>0</v>
      </c>
      <c r="P734" t="n">
        <v>0</v>
      </c>
      <c r="Q734" t="n">
        <v>0</v>
      </c>
      <c r="R734" s="2" t="inlineStr"/>
    </row>
    <row r="735" ht="15" customHeight="1">
      <c r="A735" t="inlineStr">
        <is>
          <t>A 56303-2023</t>
        </is>
      </c>
      <c r="B735" s="1" t="n">
        <v>45242</v>
      </c>
      <c r="C735" s="1" t="n">
        <v>45784</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56568-2023</t>
        </is>
      </c>
      <c r="B736" s="1" t="n">
        <v>45243</v>
      </c>
      <c r="C736" s="1" t="n">
        <v>45784</v>
      </c>
      <c r="D736" t="inlineStr">
        <is>
          <t>GOTLANDS LÄN</t>
        </is>
      </c>
      <c r="E736" t="inlineStr">
        <is>
          <t>GOTLAND</t>
        </is>
      </c>
      <c r="G736" t="n">
        <v>3.3</v>
      </c>
      <c r="H736" t="n">
        <v>0</v>
      </c>
      <c r="I736" t="n">
        <v>0</v>
      </c>
      <c r="J736" t="n">
        <v>0</v>
      </c>
      <c r="K736" t="n">
        <v>0</v>
      </c>
      <c r="L736" t="n">
        <v>0</v>
      </c>
      <c r="M736" t="n">
        <v>0</v>
      </c>
      <c r="N736" t="n">
        <v>0</v>
      </c>
      <c r="O736" t="n">
        <v>0</v>
      </c>
      <c r="P736" t="n">
        <v>0</v>
      </c>
      <c r="Q736" t="n">
        <v>0</v>
      </c>
      <c r="R736" s="2" t="inlineStr"/>
    </row>
    <row r="737" ht="15" customHeight="1">
      <c r="A737" t="inlineStr">
        <is>
          <t>A 56877-2023</t>
        </is>
      </c>
      <c r="B737" s="1" t="n">
        <v>45244</v>
      </c>
      <c r="C737" s="1" t="n">
        <v>45784</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57573-2023</t>
        </is>
      </c>
      <c r="B738" s="1" t="n">
        <v>45246</v>
      </c>
      <c r="C738" s="1" t="n">
        <v>45784</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57652-2023</t>
        </is>
      </c>
      <c r="B739" s="1" t="n">
        <v>45246</v>
      </c>
      <c r="C739" s="1" t="n">
        <v>45784</v>
      </c>
      <c r="D739" t="inlineStr">
        <is>
          <t>GOTLANDS LÄN</t>
        </is>
      </c>
      <c r="E739" t="inlineStr">
        <is>
          <t>GOTLAND</t>
        </is>
      </c>
      <c r="G739" t="n">
        <v>7.2</v>
      </c>
      <c r="H739" t="n">
        <v>0</v>
      </c>
      <c r="I739" t="n">
        <v>0</v>
      </c>
      <c r="J739" t="n">
        <v>0</v>
      </c>
      <c r="K739" t="n">
        <v>0</v>
      </c>
      <c r="L739" t="n">
        <v>0</v>
      </c>
      <c r="M739" t="n">
        <v>0</v>
      </c>
      <c r="N739" t="n">
        <v>0</v>
      </c>
      <c r="O739" t="n">
        <v>0</v>
      </c>
      <c r="P739" t="n">
        <v>0</v>
      </c>
      <c r="Q739" t="n">
        <v>0</v>
      </c>
      <c r="R739" s="2" t="inlineStr"/>
    </row>
    <row r="740" ht="15" customHeight="1">
      <c r="A740" t="inlineStr">
        <is>
          <t>A 57765-2023</t>
        </is>
      </c>
      <c r="B740" s="1" t="n">
        <v>45246</v>
      </c>
      <c r="C740" s="1" t="n">
        <v>45784</v>
      </c>
      <c r="D740" t="inlineStr">
        <is>
          <t>GOTLANDS LÄN</t>
        </is>
      </c>
      <c r="E740" t="inlineStr">
        <is>
          <t>GOTLAND</t>
        </is>
      </c>
      <c r="G740" t="n">
        <v>1.8</v>
      </c>
      <c r="H740" t="n">
        <v>0</v>
      </c>
      <c r="I740" t="n">
        <v>0</v>
      </c>
      <c r="J740" t="n">
        <v>0</v>
      </c>
      <c r="K740" t="n">
        <v>0</v>
      </c>
      <c r="L740" t="n">
        <v>0</v>
      </c>
      <c r="M740" t="n">
        <v>0</v>
      </c>
      <c r="N740" t="n">
        <v>0</v>
      </c>
      <c r="O740" t="n">
        <v>0</v>
      </c>
      <c r="P740" t="n">
        <v>0</v>
      </c>
      <c r="Q740" t="n">
        <v>0</v>
      </c>
      <c r="R740" s="2" t="inlineStr"/>
    </row>
    <row r="741" ht="15" customHeight="1">
      <c r="A741" t="inlineStr">
        <is>
          <t>A 58132-2023</t>
        </is>
      </c>
      <c r="B741" s="1" t="n">
        <v>45250</v>
      </c>
      <c r="C741" s="1" t="n">
        <v>45784</v>
      </c>
      <c r="D741" t="inlineStr">
        <is>
          <t>GOTLANDS LÄN</t>
        </is>
      </c>
      <c r="E741" t="inlineStr">
        <is>
          <t>GOTLAND</t>
        </is>
      </c>
      <c r="G741" t="n">
        <v>3.1</v>
      </c>
      <c r="H741" t="n">
        <v>0</v>
      </c>
      <c r="I741" t="n">
        <v>0</v>
      </c>
      <c r="J741" t="n">
        <v>0</v>
      </c>
      <c r="K741" t="n">
        <v>0</v>
      </c>
      <c r="L741" t="n">
        <v>0</v>
      </c>
      <c r="M741" t="n">
        <v>0</v>
      </c>
      <c r="N741" t="n">
        <v>0</v>
      </c>
      <c r="O741" t="n">
        <v>0</v>
      </c>
      <c r="P741" t="n">
        <v>0</v>
      </c>
      <c r="Q741" t="n">
        <v>0</v>
      </c>
      <c r="R741" s="2" t="inlineStr"/>
    </row>
    <row r="742" ht="15" customHeight="1">
      <c r="A742" t="inlineStr">
        <is>
          <t>A 59559-2023</t>
        </is>
      </c>
      <c r="B742" s="1" t="n">
        <v>45254</v>
      </c>
      <c r="C742" s="1" t="n">
        <v>45784</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59554-2023</t>
        </is>
      </c>
      <c r="B743" s="1" t="n">
        <v>45254</v>
      </c>
      <c r="C743" s="1" t="n">
        <v>45784</v>
      </c>
      <c r="D743" t="inlineStr">
        <is>
          <t>GOTLANDS LÄN</t>
        </is>
      </c>
      <c r="E743" t="inlineStr">
        <is>
          <t>GOTLAND</t>
        </is>
      </c>
      <c r="G743" t="n">
        <v>2.4</v>
      </c>
      <c r="H743" t="n">
        <v>0</v>
      </c>
      <c r="I743" t="n">
        <v>0</v>
      </c>
      <c r="J743" t="n">
        <v>0</v>
      </c>
      <c r="K743" t="n">
        <v>0</v>
      </c>
      <c r="L743" t="n">
        <v>0</v>
      </c>
      <c r="M743" t="n">
        <v>0</v>
      </c>
      <c r="N743" t="n">
        <v>0</v>
      </c>
      <c r="O743" t="n">
        <v>0</v>
      </c>
      <c r="P743" t="n">
        <v>0</v>
      </c>
      <c r="Q743" t="n">
        <v>0</v>
      </c>
      <c r="R743" s="2" t="inlineStr"/>
    </row>
    <row r="744" ht="15" customHeight="1">
      <c r="A744" t="inlineStr">
        <is>
          <t>A 60269-2023</t>
        </is>
      </c>
      <c r="B744" s="1" t="n">
        <v>45258</v>
      </c>
      <c r="C744" s="1" t="n">
        <v>45784</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60273-2023</t>
        </is>
      </c>
      <c r="B745" s="1" t="n">
        <v>45258</v>
      </c>
      <c r="C745" s="1" t="n">
        <v>45784</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60709-2023</t>
        </is>
      </c>
      <c r="B746" s="1" t="n">
        <v>45260</v>
      </c>
      <c r="C746" s="1" t="n">
        <v>45784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61175-2023</t>
        </is>
      </c>
      <c r="B747" s="1" t="n">
        <v>45263</v>
      </c>
      <c r="C747" s="1" t="n">
        <v>45784</v>
      </c>
      <c r="D747" t="inlineStr">
        <is>
          <t>GOTLANDS LÄN</t>
        </is>
      </c>
      <c r="E747" t="inlineStr">
        <is>
          <t>GOTLAND</t>
        </is>
      </c>
      <c r="G747" t="n">
        <v>0.9</v>
      </c>
      <c r="H747" t="n">
        <v>0</v>
      </c>
      <c r="I747" t="n">
        <v>0</v>
      </c>
      <c r="J747" t="n">
        <v>0</v>
      </c>
      <c r="K747" t="n">
        <v>0</v>
      </c>
      <c r="L747" t="n">
        <v>0</v>
      </c>
      <c r="M747" t="n">
        <v>0</v>
      </c>
      <c r="N747" t="n">
        <v>0</v>
      </c>
      <c r="O747" t="n">
        <v>0</v>
      </c>
      <c r="P747" t="n">
        <v>0</v>
      </c>
      <c r="Q747" t="n">
        <v>0</v>
      </c>
      <c r="R747" s="2" t="inlineStr"/>
    </row>
    <row r="748" ht="15" customHeight="1">
      <c r="A748" t="inlineStr">
        <is>
          <t>A 61386-2023</t>
        </is>
      </c>
      <c r="B748" s="1" t="n">
        <v>45264</v>
      </c>
      <c r="C748" s="1" t="n">
        <v>45784</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61694-2023</t>
        </is>
      </c>
      <c r="B749" s="1" t="n">
        <v>45264</v>
      </c>
      <c r="C749" s="1" t="n">
        <v>45784</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61596-2023</t>
        </is>
      </c>
      <c r="B750" s="1" t="n">
        <v>45265</v>
      </c>
      <c r="C750" s="1" t="n">
        <v>45784</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61634-2023</t>
        </is>
      </c>
      <c r="B751" s="1" t="n">
        <v>45265</v>
      </c>
      <c r="C751" s="1" t="n">
        <v>45784</v>
      </c>
      <c r="D751" t="inlineStr">
        <is>
          <t>GOTLANDS LÄN</t>
        </is>
      </c>
      <c r="E751" t="inlineStr">
        <is>
          <t>GOTLAND</t>
        </is>
      </c>
      <c r="G751" t="n">
        <v>7.4</v>
      </c>
      <c r="H751" t="n">
        <v>0</v>
      </c>
      <c r="I751" t="n">
        <v>0</v>
      </c>
      <c r="J751" t="n">
        <v>0</v>
      </c>
      <c r="K751" t="n">
        <v>0</v>
      </c>
      <c r="L751" t="n">
        <v>0</v>
      </c>
      <c r="M751" t="n">
        <v>0</v>
      </c>
      <c r="N751" t="n">
        <v>0</v>
      </c>
      <c r="O751" t="n">
        <v>0</v>
      </c>
      <c r="P751" t="n">
        <v>0</v>
      </c>
      <c r="Q751" t="n">
        <v>0</v>
      </c>
      <c r="R751" s="2" t="inlineStr"/>
    </row>
    <row r="752" ht="15" customHeight="1">
      <c r="A752" t="inlineStr">
        <is>
          <t>A 63246-2023</t>
        </is>
      </c>
      <c r="B752" s="1" t="n">
        <v>45273</v>
      </c>
      <c r="C752" s="1" t="n">
        <v>45784</v>
      </c>
      <c r="D752" t="inlineStr">
        <is>
          <t>GOTLANDS LÄN</t>
        </is>
      </c>
      <c r="E752" t="inlineStr">
        <is>
          <t>GOTLAND</t>
        </is>
      </c>
      <c r="G752" t="n">
        <v>1.1</v>
      </c>
      <c r="H752" t="n">
        <v>0</v>
      </c>
      <c r="I752" t="n">
        <v>0</v>
      </c>
      <c r="J752" t="n">
        <v>0</v>
      </c>
      <c r="K752" t="n">
        <v>0</v>
      </c>
      <c r="L752" t="n">
        <v>0</v>
      </c>
      <c r="M752" t="n">
        <v>0</v>
      </c>
      <c r="N752" t="n">
        <v>0</v>
      </c>
      <c r="O752" t="n">
        <v>0</v>
      </c>
      <c r="P752" t="n">
        <v>0</v>
      </c>
      <c r="Q752" t="n">
        <v>0</v>
      </c>
      <c r="R752" s="2" t="inlineStr"/>
    </row>
    <row r="753" ht="15" customHeight="1">
      <c r="A753" t="inlineStr">
        <is>
          <t>A 63303-2023</t>
        </is>
      </c>
      <c r="B753" s="1" t="n">
        <v>45274</v>
      </c>
      <c r="C753" s="1" t="n">
        <v>45784</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63516-2023</t>
        </is>
      </c>
      <c r="B754" s="1" t="n">
        <v>45274</v>
      </c>
      <c r="C754" s="1" t="n">
        <v>45784</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63773-2023</t>
        </is>
      </c>
      <c r="B755" s="1" t="n">
        <v>45278</v>
      </c>
      <c r="C755" s="1" t="n">
        <v>45784</v>
      </c>
      <c r="D755" t="inlineStr">
        <is>
          <t>GOTLANDS LÄN</t>
        </is>
      </c>
      <c r="E755" t="inlineStr">
        <is>
          <t>GOTLAND</t>
        </is>
      </c>
      <c r="G755" t="n">
        <v>8.5</v>
      </c>
      <c r="H755" t="n">
        <v>0</v>
      </c>
      <c r="I755" t="n">
        <v>0</v>
      </c>
      <c r="J755" t="n">
        <v>0</v>
      </c>
      <c r="K755" t="n">
        <v>0</v>
      </c>
      <c r="L755" t="n">
        <v>0</v>
      </c>
      <c r="M755" t="n">
        <v>0</v>
      </c>
      <c r="N755" t="n">
        <v>0</v>
      </c>
      <c r="O755" t="n">
        <v>0</v>
      </c>
      <c r="P755" t="n">
        <v>0</v>
      </c>
      <c r="Q755" t="n">
        <v>0</v>
      </c>
      <c r="R755" s="2" t="inlineStr"/>
    </row>
    <row r="756" ht="15" customHeight="1">
      <c r="A756" t="inlineStr">
        <is>
          <t>A 63763-2023</t>
        </is>
      </c>
      <c r="B756" s="1" t="n">
        <v>45278</v>
      </c>
      <c r="C756" s="1" t="n">
        <v>45784</v>
      </c>
      <c r="D756" t="inlineStr">
        <is>
          <t>GOTLANDS LÄN</t>
        </is>
      </c>
      <c r="E756" t="inlineStr">
        <is>
          <t>GOTLAND</t>
        </is>
      </c>
      <c r="G756" t="n">
        <v>0.5</v>
      </c>
      <c r="H756" t="n">
        <v>0</v>
      </c>
      <c r="I756" t="n">
        <v>0</v>
      </c>
      <c r="J756" t="n">
        <v>0</v>
      </c>
      <c r="K756" t="n">
        <v>0</v>
      </c>
      <c r="L756" t="n">
        <v>0</v>
      </c>
      <c r="M756" t="n">
        <v>0</v>
      </c>
      <c r="N756" t="n">
        <v>0</v>
      </c>
      <c r="O756" t="n">
        <v>0</v>
      </c>
      <c r="P756" t="n">
        <v>0</v>
      </c>
      <c r="Q756" t="n">
        <v>0</v>
      </c>
      <c r="R756" s="2" t="inlineStr"/>
    </row>
    <row r="757" ht="15" customHeight="1">
      <c r="A757" t="inlineStr">
        <is>
          <t>A 63996-2023</t>
        </is>
      </c>
      <c r="B757" s="1" t="n">
        <v>45278</v>
      </c>
      <c r="C757" s="1" t="n">
        <v>45784</v>
      </c>
      <c r="D757" t="inlineStr">
        <is>
          <t>GOTLANDS LÄN</t>
        </is>
      </c>
      <c r="E757" t="inlineStr">
        <is>
          <t>GOTLAND</t>
        </is>
      </c>
      <c r="G757" t="n">
        <v>3.8</v>
      </c>
      <c r="H757" t="n">
        <v>0</v>
      </c>
      <c r="I757" t="n">
        <v>0</v>
      </c>
      <c r="J757" t="n">
        <v>0</v>
      </c>
      <c r="K757" t="n">
        <v>0</v>
      </c>
      <c r="L757" t="n">
        <v>0</v>
      </c>
      <c r="M757" t="n">
        <v>0</v>
      </c>
      <c r="N757" t="n">
        <v>0</v>
      </c>
      <c r="O757" t="n">
        <v>0</v>
      </c>
      <c r="P757" t="n">
        <v>0</v>
      </c>
      <c r="Q757" t="n">
        <v>0</v>
      </c>
      <c r="R757" s="2" t="inlineStr"/>
    </row>
    <row r="758" ht="15" customHeight="1">
      <c r="A758" t="inlineStr">
        <is>
          <t>A 64555-2023</t>
        </is>
      </c>
      <c r="B758" s="1" t="n">
        <v>45281</v>
      </c>
      <c r="C758" s="1" t="n">
        <v>45784</v>
      </c>
      <c r="D758" t="inlineStr">
        <is>
          <t>GOTLANDS LÄN</t>
        </is>
      </c>
      <c r="E758" t="inlineStr">
        <is>
          <t>GOTLAND</t>
        </is>
      </c>
      <c r="G758" t="n">
        <v>3.5</v>
      </c>
      <c r="H758" t="n">
        <v>0</v>
      </c>
      <c r="I758" t="n">
        <v>0</v>
      </c>
      <c r="J758" t="n">
        <v>0</v>
      </c>
      <c r="K758" t="n">
        <v>0</v>
      </c>
      <c r="L758" t="n">
        <v>0</v>
      </c>
      <c r="M758" t="n">
        <v>0</v>
      </c>
      <c r="N758" t="n">
        <v>0</v>
      </c>
      <c r="O758" t="n">
        <v>0</v>
      </c>
      <c r="P758" t="n">
        <v>0</v>
      </c>
      <c r="Q758" t="n">
        <v>0</v>
      </c>
      <c r="R758" s="2" t="inlineStr"/>
    </row>
    <row r="759" ht="15" customHeight="1">
      <c r="A759" t="inlineStr">
        <is>
          <t>A 64660-2023</t>
        </is>
      </c>
      <c r="B759" s="1" t="n">
        <v>45281</v>
      </c>
      <c r="C759" s="1" t="n">
        <v>45784</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64831-2023</t>
        </is>
      </c>
      <c r="B760" s="1" t="n">
        <v>45282</v>
      </c>
      <c r="C760" s="1" t="n">
        <v>45784</v>
      </c>
      <c r="D760" t="inlineStr">
        <is>
          <t>GOTLANDS LÄN</t>
        </is>
      </c>
      <c r="E760" t="inlineStr">
        <is>
          <t>GOTLAND</t>
        </is>
      </c>
      <c r="G760" t="n">
        <v>1.9</v>
      </c>
      <c r="H760" t="n">
        <v>0</v>
      </c>
      <c r="I760" t="n">
        <v>0</v>
      </c>
      <c r="J760" t="n">
        <v>0</v>
      </c>
      <c r="K760" t="n">
        <v>0</v>
      </c>
      <c r="L760" t="n">
        <v>0</v>
      </c>
      <c r="M760" t="n">
        <v>0</v>
      </c>
      <c r="N760" t="n">
        <v>0</v>
      </c>
      <c r="O760" t="n">
        <v>0</v>
      </c>
      <c r="P760" t="n">
        <v>0</v>
      </c>
      <c r="Q760" t="n">
        <v>0</v>
      </c>
      <c r="R760" s="2" t="inlineStr"/>
    </row>
    <row r="761" ht="15" customHeight="1">
      <c r="A761" t="inlineStr">
        <is>
          <t>A 64838-2023</t>
        </is>
      </c>
      <c r="B761" s="1" t="n">
        <v>45282</v>
      </c>
      <c r="C761" s="1" t="n">
        <v>45784</v>
      </c>
      <c r="D761" t="inlineStr">
        <is>
          <t>GOTLANDS LÄN</t>
        </is>
      </c>
      <c r="E761" t="inlineStr">
        <is>
          <t>GOTLAND</t>
        </is>
      </c>
      <c r="G761" t="n">
        <v>7.5</v>
      </c>
      <c r="H761" t="n">
        <v>0</v>
      </c>
      <c r="I761" t="n">
        <v>0</v>
      </c>
      <c r="J761" t="n">
        <v>0</v>
      </c>
      <c r="K761" t="n">
        <v>0</v>
      </c>
      <c r="L761" t="n">
        <v>0</v>
      </c>
      <c r="M761" t="n">
        <v>0</v>
      </c>
      <c r="N761" t="n">
        <v>0</v>
      </c>
      <c r="O761" t="n">
        <v>0</v>
      </c>
      <c r="P761" t="n">
        <v>0</v>
      </c>
      <c r="Q761" t="n">
        <v>0</v>
      </c>
      <c r="R761" s="2" t="inlineStr"/>
    </row>
    <row r="762" ht="15" customHeight="1">
      <c r="A762" t="inlineStr">
        <is>
          <t>A 64969-2023</t>
        </is>
      </c>
      <c r="B762" s="1" t="n">
        <v>45284</v>
      </c>
      <c r="C762" s="1" t="n">
        <v>45784</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65088-2023</t>
        </is>
      </c>
      <c r="B763" s="1" t="n">
        <v>45287</v>
      </c>
      <c r="C763" s="1" t="n">
        <v>45784</v>
      </c>
      <c r="D763" t="inlineStr">
        <is>
          <t>GOTLANDS LÄN</t>
        </is>
      </c>
      <c r="E763" t="inlineStr">
        <is>
          <t>GOTLAND</t>
        </is>
      </c>
      <c r="G763" t="n">
        <v>2.5</v>
      </c>
      <c r="H763" t="n">
        <v>0</v>
      </c>
      <c r="I763" t="n">
        <v>0</v>
      </c>
      <c r="J763" t="n">
        <v>0</v>
      </c>
      <c r="K763" t="n">
        <v>0</v>
      </c>
      <c r="L763" t="n">
        <v>0</v>
      </c>
      <c r="M763" t="n">
        <v>0</v>
      </c>
      <c r="N763" t="n">
        <v>0</v>
      </c>
      <c r="O763" t="n">
        <v>0</v>
      </c>
      <c r="P763" t="n">
        <v>0</v>
      </c>
      <c r="Q763" t="n">
        <v>0</v>
      </c>
      <c r="R763" s="2" t="inlineStr"/>
    </row>
    <row r="764" ht="15" customHeight="1">
      <c r="A764" t="inlineStr">
        <is>
          <t>A 65097-2023</t>
        </is>
      </c>
      <c r="B764" s="1" t="n">
        <v>45287</v>
      </c>
      <c r="C764" s="1" t="n">
        <v>45784</v>
      </c>
      <c r="D764" t="inlineStr">
        <is>
          <t>GOTLANDS LÄN</t>
        </is>
      </c>
      <c r="E764" t="inlineStr">
        <is>
          <t>GOTLAND</t>
        </is>
      </c>
      <c r="G764" t="n">
        <v>15.4</v>
      </c>
      <c r="H764" t="n">
        <v>0</v>
      </c>
      <c r="I764" t="n">
        <v>0</v>
      </c>
      <c r="J764" t="n">
        <v>0</v>
      </c>
      <c r="K764" t="n">
        <v>0</v>
      </c>
      <c r="L764" t="n">
        <v>0</v>
      </c>
      <c r="M764" t="n">
        <v>0</v>
      </c>
      <c r="N764" t="n">
        <v>0</v>
      </c>
      <c r="O764" t="n">
        <v>0</v>
      </c>
      <c r="P764" t="n">
        <v>0</v>
      </c>
      <c r="Q764" t="n">
        <v>0</v>
      </c>
      <c r="R764" s="2" t="inlineStr"/>
    </row>
    <row r="765" ht="15" customHeight="1">
      <c r="A765" t="inlineStr">
        <is>
          <t>A 65249-2023</t>
        </is>
      </c>
      <c r="B765" s="1" t="n">
        <v>45290</v>
      </c>
      <c r="C765" s="1" t="n">
        <v>45784</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98-2024</t>
        </is>
      </c>
      <c r="B766" s="1" t="n">
        <v>45293</v>
      </c>
      <c r="C766" s="1" t="n">
        <v>45784</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450-2024</t>
        </is>
      </c>
      <c r="B767" s="1" t="n">
        <v>45296</v>
      </c>
      <c r="C767" s="1" t="n">
        <v>45784</v>
      </c>
      <c r="D767" t="inlineStr">
        <is>
          <t>GOTLANDS LÄN</t>
        </is>
      </c>
      <c r="E767" t="inlineStr">
        <is>
          <t>GOTLAND</t>
        </is>
      </c>
      <c r="G767" t="n">
        <v>10.1</v>
      </c>
      <c r="H767" t="n">
        <v>0</v>
      </c>
      <c r="I767" t="n">
        <v>0</v>
      </c>
      <c r="J767" t="n">
        <v>0</v>
      </c>
      <c r="K767" t="n">
        <v>0</v>
      </c>
      <c r="L767" t="n">
        <v>0</v>
      </c>
      <c r="M767" t="n">
        <v>0</v>
      </c>
      <c r="N767" t="n">
        <v>0</v>
      </c>
      <c r="O767" t="n">
        <v>0</v>
      </c>
      <c r="P767" t="n">
        <v>0</v>
      </c>
      <c r="Q767" t="n">
        <v>0</v>
      </c>
      <c r="R767" s="2" t="inlineStr"/>
    </row>
    <row r="768" ht="15" customHeight="1">
      <c r="A768" t="inlineStr">
        <is>
          <t>A 533-2024</t>
        </is>
      </c>
      <c r="B768" s="1" t="n">
        <v>45299</v>
      </c>
      <c r="C768" s="1" t="n">
        <v>45784</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796-2024</t>
        </is>
      </c>
      <c r="B769" s="1" t="n">
        <v>45300</v>
      </c>
      <c r="C769" s="1" t="n">
        <v>45784</v>
      </c>
      <c r="D769" t="inlineStr">
        <is>
          <t>GOTLANDS LÄN</t>
        </is>
      </c>
      <c r="E769" t="inlineStr">
        <is>
          <t>GOTLAND</t>
        </is>
      </c>
      <c r="G769" t="n">
        <v>0.8</v>
      </c>
      <c r="H769" t="n">
        <v>0</v>
      </c>
      <c r="I769" t="n">
        <v>0</v>
      </c>
      <c r="J769" t="n">
        <v>0</v>
      </c>
      <c r="K769" t="n">
        <v>0</v>
      </c>
      <c r="L769" t="n">
        <v>0</v>
      </c>
      <c r="M769" t="n">
        <v>0</v>
      </c>
      <c r="N769" t="n">
        <v>0</v>
      </c>
      <c r="O769" t="n">
        <v>0</v>
      </c>
      <c r="P769" t="n">
        <v>0</v>
      </c>
      <c r="Q769" t="n">
        <v>0</v>
      </c>
      <c r="R769" s="2" t="inlineStr"/>
    </row>
    <row r="770" ht="15" customHeight="1">
      <c r="A770" t="inlineStr">
        <is>
          <t>A 873-2024</t>
        </is>
      </c>
      <c r="B770" s="1" t="n">
        <v>45301</v>
      </c>
      <c r="C770" s="1" t="n">
        <v>45784</v>
      </c>
      <c r="D770" t="inlineStr">
        <is>
          <t>GOTLANDS LÄN</t>
        </is>
      </c>
      <c r="E770" t="inlineStr">
        <is>
          <t>GOTLAND</t>
        </is>
      </c>
      <c r="G770" t="n">
        <v>2.7</v>
      </c>
      <c r="H770" t="n">
        <v>0</v>
      </c>
      <c r="I770" t="n">
        <v>0</v>
      </c>
      <c r="J770" t="n">
        <v>0</v>
      </c>
      <c r="K770" t="n">
        <v>0</v>
      </c>
      <c r="L770" t="n">
        <v>0</v>
      </c>
      <c r="M770" t="n">
        <v>0</v>
      </c>
      <c r="N770" t="n">
        <v>0</v>
      </c>
      <c r="O770" t="n">
        <v>0</v>
      </c>
      <c r="P770" t="n">
        <v>0</v>
      </c>
      <c r="Q770" t="n">
        <v>0</v>
      </c>
      <c r="R770" s="2" t="inlineStr"/>
    </row>
    <row r="771" ht="15" customHeight="1">
      <c r="A771" t="inlineStr">
        <is>
          <t>A 876-2024</t>
        </is>
      </c>
      <c r="B771" s="1" t="n">
        <v>45301</v>
      </c>
      <c r="C771" s="1" t="n">
        <v>45784</v>
      </c>
      <c r="D771" t="inlineStr">
        <is>
          <t>GOTLANDS LÄN</t>
        </is>
      </c>
      <c r="E771" t="inlineStr">
        <is>
          <t>GOTLAND</t>
        </is>
      </c>
      <c r="G771" t="n">
        <v>5.3</v>
      </c>
      <c r="H771" t="n">
        <v>0</v>
      </c>
      <c r="I771" t="n">
        <v>0</v>
      </c>
      <c r="J771" t="n">
        <v>0</v>
      </c>
      <c r="K771" t="n">
        <v>0</v>
      </c>
      <c r="L771" t="n">
        <v>0</v>
      </c>
      <c r="M771" t="n">
        <v>0</v>
      </c>
      <c r="N771" t="n">
        <v>0</v>
      </c>
      <c r="O771" t="n">
        <v>0</v>
      </c>
      <c r="P771" t="n">
        <v>0</v>
      </c>
      <c r="Q771" t="n">
        <v>0</v>
      </c>
      <c r="R771" s="2" t="inlineStr"/>
    </row>
    <row r="772" ht="15" customHeight="1">
      <c r="A772" t="inlineStr">
        <is>
          <t>A 999-2024</t>
        </is>
      </c>
      <c r="B772" s="1" t="n">
        <v>45301</v>
      </c>
      <c r="C772" s="1" t="n">
        <v>45784</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1010-2024</t>
        </is>
      </c>
      <c r="B773" s="1" t="n">
        <v>45301</v>
      </c>
      <c r="C773" s="1" t="n">
        <v>45784</v>
      </c>
      <c r="D773" t="inlineStr">
        <is>
          <t>GOTLANDS LÄN</t>
        </is>
      </c>
      <c r="E773" t="inlineStr">
        <is>
          <t>GOTLAND</t>
        </is>
      </c>
      <c r="G773" t="n">
        <v>2.4</v>
      </c>
      <c r="H773" t="n">
        <v>0</v>
      </c>
      <c r="I773" t="n">
        <v>0</v>
      </c>
      <c r="J773" t="n">
        <v>0</v>
      </c>
      <c r="K773" t="n">
        <v>0</v>
      </c>
      <c r="L773" t="n">
        <v>0</v>
      </c>
      <c r="M773" t="n">
        <v>0</v>
      </c>
      <c r="N773" t="n">
        <v>0</v>
      </c>
      <c r="O773" t="n">
        <v>0</v>
      </c>
      <c r="P773" t="n">
        <v>0</v>
      </c>
      <c r="Q773" t="n">
        <v>0</v>
      </c>
      <c r="R773" s="2" t="inlineStr"/>
    </row>
    <row r="774" ht="15" customHeight="1">
      <c r="A774" t="inlineStr">
        <is>
          <t>A 1000-2024</t>
        </is>
      </c>
      <c r="B774" s="1" t="n">
        <v>45301</v>
      </c>
      <c r="C774" s="1" t="n">
        <v>45784</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1008-2024</t>
        </is>
      </c>
      <c r="B775" s="1" t="n">
        <v>45301</v>
      </c>
      <c r="C775" s="1" t="n">
        <v>45784</v>
      </c>
      <c r="D775" t="inlineStr">
        <is>
          <t>GOTLANDS LÄN</t>
        </is>
      </c>
      <c r="E775" t="inlineStr">
        <is>
          <t>GOTLAND</t>
        </is>
      </c>
      <c r="G775" t="n">
        <v>2.3</v>
      </c>
      <c r="H775" t="n">
        <v>0</v>
      </c>
      <c r="I775" t="n">
        <v>0</v>
      </c>
      <c r="J775" t="n">
        <v>0</v>
      </c>
      <c r="K775" t="n">
        <v>0</v>
      </c>
      <c r="L775" t="n">
        <v>0</v>
      </c>
      <c r="M775" t="n">
        <v>0</v>
      </c>
      <c r="N775" t="n">
        <v>0</v>
      </c>
      <c r="O775" t="n">
        <v>0</v>
      </c>
      <c r="P775" t="n">
        <v>0</v>
      </c>
      <c r="Q775" t="n">
        <v>0</v>
      </c>
      <c r="R775" s="2" t="inlineStr"/>
    </row>
    <row r="776" ht="15" customHeight="1">
      <c r="A776" t="inlineStr">
        <is>
          <t>A 1066-2024</t>
        </is>
      </c>
      <c r="B776" s="1" t="n">
        <v>45302</v>
      </c>
      <c r="C776" s="1" t="n">
        <v>45784</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1321-2024</t>
        </is>
      </c>
      <c r="B777" s="1" t="n">
        <v>45303</v>
      </c>
      <c r="C777" s="1" t="n">
        <v>45784</v>
      </c>
      <c r="D777" t="inlineStr">
        <is>
          <t>GOTLANDS LÄN</t>
        </is>
      </c>
      <c r="E777" t="inlineStr">
        <is>
          <t>GOTLAND</t>
        </is>
      </c>
      <c r="G777" t="n">
        <v>5.5</v>
      </c>
      <c r="H777" t="n">
        <v>0</v>
      </c>
      <c r="I777" t="n">
        <v>0</v>
      </c>
      <c r="J777" t="n">
        <v>0</v>
      </c>
      <c r="K777" t="n">
        <v>0</v>
      </c>
      <c r="L777" t="n">
        <v>0</v>
      </c>
      <c r="M777" t="n">
        <v>0</v>
      </c>
      <c r="N777" t="n">
        <v>0</v>
      </c>
      <c r="O777" t="n">
        <v>0</v>
      </c>
      <c r="P777" t="n">
        <v>0</v>
      </c>
      <c r="Q777" t="n">
        <v>0</v>
      </c>
      <c r="R777" s="2" t="inlineStr"/>
    </row>
    <row r="778" ht="15" customHeight="1">
      <c r="A778" t="inlineStr">
        <is>
          <t>A 1477-2024</t>
        </is>
      </c>
      <c r="B778" s="1" t="n">
        <v>45305</v>
      </c>
      <c r="C778" s="1" t="n">
        <v>45784</v>
      </c>
      <c r="D778" t="inlineStr">
        <is>
          <t>GOTLANDS LÄN</t>
        </is>
      </c>
      <c r="E778" t="inlineStr">
        <is>
          <t>GOTLAND</t>
        </is>
      </c>
      <c r="G778" t="n">
        <v>6.9</v>
      </c>
      <c r="H778" t="n">
        <v>0</v>
      </c>
      <c r="I778" t="n">
        <v>0</v>
      </c>
      <c r="J778" t="n">
        <v>0</v>
      </c>
      <c r="K778" t="n">
        <v>0</v>
      </c>
      <c r="L778" t="n">
        <v>0</v>
      </c>
      <c r="M778" t="n">
        <v>0</v>
      </c>
      <c r="N778" t="n">
        <v>0</v>
      </c>
      <c r="O778" t="n">
        <v>0</v>
      </c>
      <c r="P778" t="n">
        <v>0</v>
      </c>
      <c r="Q778" t="n">
        <v>0</v>
      </c>
      <c r="R778" s="2" t="inlineStr"/>
    </row>
    <row r="779" ht="15" customHeight="1">
      <c r="A779" t="inlineStr">
        <is>
          <t>A 2010-2024</t>
        </is>
      </c>
      <c r="B779" s="1" t="n">
        <v>45308</v>
      </c>
      <c r="C779" s="1" t="n">
        <v>45784</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2774-2024</t>
        </is>
      </c>
      <c r="B780" s="1" t="n">
        <v>45314</v>
      </c>
      <c r="C780" s="1" t="n">
        <v>45784</v>
      </c>
      <c r="D780" t="inlineStr">
        <is>
          <t>GOTLANDS LÄN</t>
        </is>
      </c>
      <c r="E780" t="inlineStr">
        <is>
          <t>GOTLAND</t>
        </is>
      </c>
      <c r="G780" t="n">
        <v>1</v>
      </c>
      <c r="H780" t="n">
        <v>0</v>
      </c>
      <c r="I780" t="n">
        <v>0</v>
      </c>
      <c r="J780" t="n">
        <v>0</v>
      </c>
      <c r="K780" t="n">
        <v>0</v>
      </c>
      <c r="L780" t="n">
        <v>0</v>
      </c>
      <c r="M780" t="n">
        <v>0</v>
      </c>
      <c r="N780" t="n">
        <v>0</v>
      </c>
      <c r="O780" t="n">
        <v>0</v>
      </c>
      <c r="P780" t="n">
        <v>0</v>
      </c>
      <c r="Q780" t="n">
        <v>0</v>
      </c>
      <c r="R780" s="2" t="inlineStr"/>
    </row>
    <row r="781" ht="15" customHeight="1">
      <c r="A781" t="inlineStr">
        <is>
          <t>A 2821-2024</t>
        </is>
      </c>
      <c r="B781" s="1" t="n">
        <v>45314</v>
      </c>
      <c r="C781" s="1" t="n">
        <v>45784</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2825-2024</t>
        </is>
      </c>
      <c r="B782" s="1" t="n">
        <v>45314</v>
      </c>
      <c r="C782" s="1" t="n">
        <v>45784</v>
      </c>
      <c r="D782" t="inlineStr">
        <is>
          <t>GOTLANDS LÄN</t>
        </is>
      </c>
      <c r="E782" t="inlineStr">
        <is>
          <t>GOTLAND</t>
        </is>
      </c>
      <c r="G782" t="n">
        <v>4.8</v>
      </c>
      <c r="H782" t="n">
        <v>0</v>
      </c>
      <c r="I782" t="n">
        <v>0</v>
      </c>
      <c r="J782" t="n">
        <v>0</v>
      </c>
      <c r="K782" t="n">
        <v>0</v>
      </c>
      <c r="L782" t="n">
        <v>0</v>
      </c>
      <c r="M782" t="n">
        <v>0</v>
      </c>
      <c r="N782" t="n">
        <v>0</v>
      </c>
      <c r="O782" t="n">
        <v>0</v>
      </c>
      <c r="P782" t="n">
        <v>0</v>
      </c>
      <c r="Q782" t="n">
        <v>0</v>
      </c>
      <c r="R782" s="2" t="inlineStr"/>
    </row>
    <row r="783" ht="15" customHeight="1">
      <c r="A783" t="inlineStr">
        <is>
          <t>A 2819-2024</t>
        </is>
      </c>
      <c r="B783" s="1" t="n">
        <v>45314</v>
      </c>
      <c r="C783" s="1" t="n">
        <v>45784</v>
      </c>
      <c r="D783" t="inlineStr">
        <is>
          <t>GOTLANDS LÄN</t>
        </is>
      </c>
      <c r="E783" t="inlineStr">
        <is>
          <t>GOTLAND</t>
        </is>
      </c>
      <c r="G783" t="n">
        <v>6.3</v>
      </c>
      <c r="H783" t="n">
        <v>0</v>
      </c>
      <c r="I783" t="n">
        <v>0</v>
      </c>
      <c r="J783" t="n">
        <v>0</v>
      </c>
      <c r="K783" t="n">
        <v>0</v>
      </c>
      <c r="L783" t="n">
        <v>0</v>
      </c>
      <c r="M783" t="n">
        <v>0</v>
      </c>
      <c r="N783" t="n">
        <v>0</v>
      </c>
      <c r="O783" t="n">
        <v>0</v>
      </c>
      <c r="P783" t="n">
        <v>0</v>
      </c>
      <c r="Q783" t="n">
        <v>0</v>
      </c>
      <c r="R783" s="2" t="inlineStr"/>
    </row>
    <row r="784" ht="15" customHeight="1">
      <c r="A784" t="inlineStr">
        <is>
          <t>A 3004-2024</t>
        </is>
      </c>
      <c r="B784" s="1" t="n">
        <v>45315</v>
      </c>
      <c r="C784" s="1" t="n">
        <v>45784</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3689-2024</t>
        </is>
      </c>
      <c r="B785" s="1" t="n">
        <v>45321</v>
      </c>
      <c r="C785" s="1" t="n">
        <v>45784</v>
      </c>
      <c r="D785" t="inlineStr">
        <is>
          <t>GOTLANDS LÄN</t>
        </is>
      </c>
      <c r="E785" t="inlineStr">
        <is>
          <t>GOTLAND</t>
        </is>
      </c>
      <c r="G785" t="n">
        <v>4.5</v>
      </c>
      <c r="H785" t="n">
        <v>0</v>
      </c>
      <c r="I785" t="n">
        <v>0</v>
      </c>
      <c r="J785" t="n">
        <v>0</v>
      </c>
      <c r="K785" t="n">
        <v>0</v>
      </c>
      <c r="L785" t="n">
        <v>0</v>
      </c>
      <c r="M785" t="n">
        <v>0</v>
      </c>
      <c r="N785" t="n">
        <v>0</v>
      </c>
      <c r="O785" t="n">
        <v>0</v>
      </c>
      <c r="P785" t="n">
        <v>0</v>
      </c>
      <c r="Q785" t="n">
        <v>0</v>
      </c>
      <c r="R785" s="2" t="inlineStr"/>
    </row>
    <row r="786" ht="15" customHeight="1">
      <c r="A786" t="inlineStr">
        <is>
          <t>A 3707-2024</t>
        </is>
      </c>
      <c r="B786" s="1" t="n">
        <v>45321</v>
      </c>
      <c r="C786" s="1" t="n">
        <v>45784</v>
      </c>
      <c r="D786" t="inlineStr">
        <is>
          <t>GOTLANDS LÄN</t>
        </is>
      </c>
      <c r="E786" t="inlineStr">
        <is>
          <t>GOTLAND</t>
        </is>
      </c>
      <c r="G786" t="n">
        <v>12.2</v>
      </c>
      <c r="H786" t="n">
        <v>0</v>
      </c>
      <c r="I786" t="n">
        <v>0</v>
      </c>
      <c r="J786" t="n">
        <v>0</v>
      </c>
      <c r="K786" t="n">
        <v>0</v>
      </c>
      <c r="L786" t="n">
        <v>0</v>
      </c>
      <c r="M786" t="n">
        <v>0</v>
      </c>
      <c r="N786" t="n">
        <v>0</v>
      </c>
      <c r="O786" t="n">
        <v>0</v>
      </c>
      <c r="P786" t="n">
        <v>0</v>
      </c>
      <c r="Q786" t="n">
        <v>0</v>
      </c>
      <c r="R786" s="2" t="inlineStr"/>
    </row>
    <row r="787" ht="15" customHeight="1">
      <c r="A787" t="inlineStr">
        <is>
          <t>A 3964-2024</t>
        </is>
      </c>
      <c r="B787" s="1" t="n">
        <v>45322</v>
      </c>
      <c r="C787" s="1" t="n">
        <v>45784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4259-2024</t>
        </is>
      </c>
      <c r="B788" s="1" t="n">
        <v>45324</v>
      </c>
      <c r="C788" s="1" t="n">
        <v>45784</v>
      </c>
      <c r="D788" t="inlineStr">
        <is>
          <t>GOTLANDS LÄN</t>
        </is>
      </c>
      <c r="E788" t="inlineStr">
        <is>
          <t>GOTLAND</t>
        </is>
      </c>
      <c r="G788" t="n">
        <v>1.2</v>
      </c>
      <c r="H788" t="n">
        <v>0</v>
      </c>
      <c r="I788" t="n">
        <v>0</v>
      </c>
      <c r="J788" t="n">
        <v>0</v>
      </c>
      <c r="K788" t="n">
        <v>0</v>
      </c>
      <c r="L788" t="n">
        <v>0</v>
      </c>
      <c r="M788" t="n">
        <v>0</v>
      </c>
      <c r="N788" t="n">
        <v>0</v>
      </c>
      <c r="O788" t="n">
        <v>0</v>
      </c>
      <c r="P788" t="n">
        <v>0</v>
      </c>
      <c r="Q788" t="n">
        <v>0</v>
      </c>
      <c r="R788" s="2" t="inlineStr"/>
    </row>
    <row r="789" ht="15" customHeight="1">
      <c r="A789" t="inlineStr">
        <is>
          <t>A 4421-2024</t>
        </is>
      </c>
      <c r="B789" s="1" t="n">
        <v>45327</v>
      </c>
      <c r="C789" s="1" t="n">
        <v>45784</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4483-2024</t>
        </is>
      </c>
      <c r="B790" s="1" t="n">
        <v>45327</v>
      </c>
      <c r="C790" s="1" t="n">
        <v>45784</v>
      </c>
      <c r="D790" t="inlineStr">
        <is>
          <t>GOTLANDS LÄN</t>
        </is>
      </c>
      <c r="E790" t="inlineStr">
        <is>
          <t>GOTLAND</t>
        </is>
      </c>
      <c r="G790" t="n">
        <v>4.6</v>
      </c>
      <c r="H790" t="n">
        <v>0</v>
      </c>
      <c r="I790" t="n">
        <v>0</v>
      </c>
      <c r="J790" t="n">
        <v>0</v>
      </c>
      <c r="K790" t="n">
        <v>0</v>
      </c>
      <c r="L790" t="n">
        <v>0</v>
      </c>
      <c r="M790" t="n">
        <v>0</v>
      </c>
      <c r="N790" t="n">
        <v>0</v>
      </c>
      <c r="O790" t="n">
        <v>0</v>
      </c>
      <c r="P790" t="n">
        <v>0</v>
      </c>
      <c r="Q790" t="n">
        <v>0</v>
      </c>
      <c r="R790" s="2" t="inlineStr"/>
    </row>
    <row r="791" ht="15" customHeight="1">
      <c r="A791" t="inlineStr">
        <is>
          <t>A 4689-2024</t>
        </is>
      </c>
      <c r="B791" s="1" t="n">
        <v>45328</v>
      </c>
      <c r="C791" s="1" t="n">
        <v>45784</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4868-2024</t>
        </is>
      </c>
      <c r="B792" s="1" t="n">
        <v>45329</v>
      </c>
      <c r="C792" s="1" t="n">
        <v>45784</v>
      </c>
      <c r="D792" t="inlineStr">
        <is>
          <t>GOTLANDS LÄN</t>
        </is>
      </c>
      <c r="E792" t="inlineStr">
        <is>
          <t>GOTLAND</t>
        </is>
      </c>
      <c r="G792" t="n">
        <v>7.1</v>
      </c>
      <c r="H792" t="n">
        <v>0</v>
      </c>
      <c r="I792" t="n">
        <v>0</v>
      </c>
      <c r="J792" t="n">
        <v>0</v>
      </c>
      <c r="K792" t="n">
        <v>0</v>
      </c>
      <c r="L792" t="n">
        <v>0</v>
      </c>
      <c r="M792" t="n">
        <v>0</v>
      </c>
      <c r="N792" t="n">
        <v>0</v>
      </c>
      <c r="O792" t="n">
        <v>0</v>
      </c>
      <c r="P792" t="n">
        <v>0</v>
      </c>
      <c r="Q792" t="n">
        <v>0</v>
      </c>
      <c r="R792" s="2" t="inlineStr"/>
    </row>
    <row r="793" ht="15" customHeight="1">
      <c r="A793" t="inlineStr">
        <is>
          <t>A 5413-2024</t>
        </is>
      </c>
      <c r="B793" s="1" t="n">
        <v>45331</v>
      </c>
      <c r="C793" s="1" t="n">
        <v>45784</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5751-2024</t>
        </is>
      </c>
      <c r="B794" s="1" t="n">
        <v>45335</v>
      </c>
      <c r="C794" s="1" t="n">
        <v>45784</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5905-2024</t>
        </is>
      </c>
      <c r="B795" s="1" t="n">
        <v>45335</v>
      </c>
      <c r="C795" s="1" t="n">
        <v>45784</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5943-2024</t>
        </is>
      </c>
      <c r="B796" s="1" t="n">
        <v>45336</v>
      </c>
      <c r="C796" s="1" t="n">
        <v>45784</v>
      </c>
      <c r="D796" t="inlineStr">
        <is>
          <t>GOTLANDS LÄN</t>
        </is>
      </c>
      <c r="E796" t="inlineStr">
        <is>
          <t>GOTLAND</t>
        </is>
      </c>
      <c r="G796" t="n">
        <v>4.3</v>
      </c>
      <c r="H796" t="n">
        <v>0</v>
      </c>
      <c r="I796" t="n">
        <v>0</v>
      </c>
      <c r="J796" t="n">
        <v>0</v>
      </c>
      <c r="K796" t="n">
        <v>0</v>
      </c>
      <c r="L796" t="n">
        <v>0</v>
      </c>
      <c r="M796" t="n">
        <v>0</v>
      </c>
      <c r="N796" t="n">
        <v>0</v>
      </c>
      <c r="O796" t="n">
        <v>0</v>
      </c>
      <c r="P796" t="n">
        <v>0</v>
      </c>
      <c r="Q796" t="n">
        <v>0</v>
      </c>
      <c r="R796" s="2" t="inlineStr"/>
    </row>
    <row r="797" ht="15" customHeight="1">
      <c r="A797" t="inlineStr">
        <is>
          <t>A 6099-2024</t>
        </is>
      </c>
      <c r="B797" s="1" t="n">
        <v>45337</v>
      </c>
      <c r="C797" s="1" t="n">
        <v>45784</v>
      </c>
      <c r="D797" t="inlineStr">
        <is>
          <t>GOTLANDS LÄN</t>
        </is>
      </c>
      <c r="E797" t="inlineStr">
        <is>
          <t>GOTLAND</t>
        </is>
      </c>
      <c r="G797" t="n">
        <v>12.6</v>
      </c>
      <c r="H797" t="n">
        <v>0</v>
      </c>
      <c r="I797" t="n">
        <v>0</v>
      </c>
      <c r="J797" t="n">
        <v>0</v>
      </c>
      <c r="K797" t="n">
        <v>0</v>
      </c>
      <c r="L797" t="n">
        <v>0</v>
      </c>
      <c r="M797" t="n">
        <v>0</v>
      </c>
      <c r="N797" t="n">
        <v>0</v>
      </c>
      <c r="O797" t="n">
        <v>0</v>
      </c>
      <c r="P797" t="n">
        <v>0</v>
      </c>
      <c r="Q797" t="n">
        <v>0</v>
      </c>
      <c r="R797" s="2" t="inlineStr"/>
    </row>
    <row r="798" ht="15" customHeight="1">
      <c r="A798" t="inlineStr">
        <is>
          <t>A 6141-2024</t>
        </is>
      </c>
      <c r="B798" s="1" t="n">
        <v>45337</v>
      </c>
      <c r="C798" s="1" t="n">
        <v>45784</v>
      </c>
      <c r="D798" t="inlineStr">
        <is>
          <t>GOTLANDS LÄN</t>
        </is>
      </c>
      <c r="E798" t="inlineStr">
        <is>
          <t>GOTLAND</t>
        </is>
      </c>
      <c r="G798" t="n">
        <v>6.1</v>
      </c>
      <c r="H798" t="n">
        <v>0</v>
      </c>
      <c r="I798" t="n">
        <v>0</v>
      </c>
      <c r="J798" t="n">
        <v>0</v>
      </c>
      <c r="K798" t="n">
        <v>0</v>
      </c>
      <c r="L798" t="n">
        <v>0</v>
      </c>
      <c r="M798" t="n">
        <v>0</v>
      </c>
      <c r="N798" t="n">
        <v>0</v>
      </c>
      <c r="O798" t="n">
        <v>0</v>
      </c>
      <c r="P798" t="n">
        <v>0</v>
      </c>
      <c r="Q798" t="n">
        <v>0</v>
      </c>
      <c r="R798" s="2" t="inlineStr"/>
    </row>
    <row r="799" ht="15" customHeight="1">
      <c r="A799" t="inlineStr">
        <is>
          <t>A 6153-2024</t>
        </is>
      </c>
      <c r="B799" s="1" t="n">
        <v>45337</v>
      </c>
      <c r="C799" s="1" t="n">
        <v>45784</v>
      </c>
      <c r="D799" t="inlineStr">
        <is>
          <t>GOTLANDS LÄN</t>
        </is>
      </c>
      <c r="E799" t="inlineStr">
        <is>
          <t>GOTLAND</t>
        </is>
      </c>
      <c r="G799" t="n">
        <v>14.2</v>
      </c>
      <c r="H799" t="n">
        <v>0</v>
      </c>
      <c r="I799" t="n">
        <v>0</v>
      </c>
      <c r="J799" t="n">
        <v>0</v>
      </c>
      <c r="K799" t="n">
        <v>0</v>
      </c>
      <c r="L799" t="n">
        <v>0</v>
      </c>
      <c r="M799" t="n">
        <v>0</v>
      </c>
      <c r="N799" t="n">
        <v>0</v>
      </c>
      <c r="O799" t="n">
        <v>0</v>
      </c>
      <c r="P799" t="n">
        <v>0</v>
      </c>
      <c r="Q799" t="n">
        <v>0</v>
      </c>
      <c r="R799" s="2" t="inlineStr"/>
    </row>
    <row r="800" ht="15" customHeight="1">
      <c r="A800" t="inlineStr">
        <is>
          <t>A 6138-2024</t>
        </is>
      </c>
      <c r="B800" s="1" t="n">
        <v>45337</v>
      </c>
      <c r="C800" s="1" t="n">
        <v>45784</v>
      </c>
      <c r="D800" t="inlineStr">
        <is>
          <t>GOTLANDS LÄN</t>
        </is>
      </c>
      <c r="E800" t="inlineStr">
        <is>
          <t>GOTLAND</t>
        </is>
      </c>
      <c r="G800" t="n">
        <v>24.8</v>
      </c>
      <c r="H800" t="n">
        <v>0</v>
      </c>
      <c r="I800" t="n">
        <v>0</v>
      </c>
      <c r="J800" t="n">
        <v>0</v>
      </c>
      <c r="K800" t="n">
        <v>0</v>
      </c>
      <c r="L800" t="n">
        <v>0</v>
      </c>
      <c r="M800" t="n">
        <v>0</v>
      </c>
      <c r="N800" t="n">
        <v>0</v>
      </c>
      <c r="O800" t="n">
        <v>0</v>
      </c>
      <c r="P800" t="n">
        <v>0</v>
      </c>
      <c r="Q800" t="n">
        <v>0</v>
      </c>
      <c r="R800" s="2" t="inlineStr"/>
    </row>
    <row r="801" ht="15" customHeight="1">
      <c r="A801" t="inlineStr">
        <is>
          <t>A 7497-2024</t>
        </is>
      </c>
      <c r="B801" s="1" t="n">
        <v>45347</v>
      </c>
      <c r="C801" s="1" t="n">
        <v>45784</v>
      </c>
      <c r="D801" t="inlineStr">
        <is>
          <t>GOTLANDS LÄN</t>
        </is>
      </c>
      <c r="E801" t="inlineStr">
        <is>
          <t>GOTLAND</t>
        </is>
      </c>
      <c r="G801" t="n">
        <v>18.5</v>
      </c>
      <c r="H801" t="n">
        <v>0</v>
      </c>
      <c r="I801" t="n">
        <v>0</v>
      </c>
      <c r="J801" t="n">
        <v>0</v>
      </c>
      <c r="K801" t="n">
        <v>0</v>
      </c>
      <c r="L801" t="n">
        <v>0</v>
      </c>
      <c r="M801" t="n">
        <v>0</v>
      </c>
      <c r="N801" t="n">
        <v>0</v>
      </c>
      <c r="O801" t="n">
        <v>0</v>
      </c>
      <c r="P801" t="n">
        <v>0</v>
      </c>
      <c r="Q801" t="n">
        <v>0</v>
      </c>
      <c r="R801" s="2" t="inlineStr"/>
    </row>
    <row r="802" ht="15" customHeight="1">
      <c r="A802" t="inlineStr">
        <is>
          <t>A 7837-2024</t>
        </is>
      </c>
      <c r="B802" s="1" t="n">
        <v>45349</v>
      </c>
      <c r="C802" s="1" t="n">
        <v>45784</v>
      </c>
      <c r="D802" t="inlineStr">
        <is>
          <t>GOTLANDS LÄN</t>
        </is>
      </c>
      <c r="E802" t="inlineStr">
        <is>
          <t>GOTLAND</t>
        </is>
      </c>
      <c r="G802" t="n">
        <v>5</v>
      </c>
      <c r="H802" t="n">
        <v>0</v>
      </c>
      <c r="I802" t="n">
        <v>0</v>
      </c>
      <c r="J802" t="n">
        <v>0</v>
      </c>
      <c r="K802" t="n">
        <v>0</v>
      </c>
      <c r="L802" t="n">
        <v>0</v>
      </c>
      <c r="M802" t="n">
        <v>0</v>
      </c>
      <c r="N802" t="n">
        <v>0</v>
      </c>
      <c r="O802" t="n">
        <v>0</v>
      </c>
      <c r="P802" t="n">
        <v>0</v>
      </c>
      <c r="Q802" t="n">
        <v>0</v>
      </c>
      <c r="R802" s="2" t="inlineStr"/>
    </row>
    <row r="803" ht="15" customHeight="1">
      <c r="A803" t="inlineStr">
        <is>
          <t>A 7835-2024</t>
        </is>
      </c>
      <c r="B803" s="1" t="n">
        <v>45349</v>
      </c>
      <c r="C803" s="1" t="n">
        <v>45784</v>
      </c>
      <c r="D803" t="inlineStr">
        <is>
          <t>GOTLANDS LÄN</t>
        </is>
      </c>
      <c r="E803" t="inlineStr">
        <is>
          <t>GOTLAND</t>
        </is>
      </c>
      <c r="G803" t="n">
        <v>3.8</v>
      </c>
      <c r="H803" t="n">
        <v>0</v>
      </c>
      <c r="I803" t="n">
        <v>0</v>
      </c>
      <c r="J803" t="n">
        <v>0</v>
      </c>
      <c r="K803" t="n">
        <v>0</v>
      </c>
      <c r="L803" t="n">
        <v>0</v>
      </c>
      <c r="M803" t="n">
        <v>0</v>
      </c>
      <c r="N803" t="n">
        <v>0</v>
      </c>
      <c r="O803" t="n">
        <v>0</v>
      </c>
      <c r="P803" t="n">
        <v>0</v>
      </c>
      <c r="Q803" t="n">
        <v>0</v>
      </c>
      <c r="R803" s="2" t="inlineStr"/>
    </row>
    <row r="804" ht="15" customHeight="1">
      <c r="A804" t="inlineStr">
        <is>
          <t>A 8460-2024</t>
        </is>
      </c>
      <c r="B804" s="1" t="n">
        <v>45355</v>
      </c>
      <c r="C804" s="1" t="n">
        <v>45784</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9947-2024</t>
        </is>
      </c>
      <c r="B805" s="1" t="n">
        <v>45363</v>
      </c>
      <c r="C805" s="1" t="n">
        <v>45784</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10051-2024</t>
        </is>
      </c>
      <c r="B806" s="1" t="n">
        <v>45364</v>
      </c>
      <c r="C806" s="1" t="n">
        <v>45784</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10503-2024</t>
        </is>
      </c>
      <c r="B807" s="1" t="n">
        <v>45366</v>
      </c>
      <c r="C807" s="1" t="n">
        <v>45784</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10656-2024</t>
        </is>
      </c>
      <c r="B808" s="1" t="n">
        <v>45368</v>
      </c>
      <c r="C808" s="1" t="n">
        <v>45784</v>
      </c>
      <c r="D808" t="inlineStr">
        <is>
          <t>GOTLANDS LÄN</t>
        </is>
      </c>
      <c r="E808" t="inlineStr">
        <is>
          <t>GOTLAND</t>
        </is>
      </c>
      <c r="G808" t="n">
        <v>1.5</v>
      </c>
      <c r="H808" t="n">
        <v>0</v>
      </c>
      <c r="I808" t="n">
        <v>0</v>
      </c>
      <c r="J808" t="n">
        <v>0</v>
      </c>
      <c r="K808" t="n">
        <v>0</v>
      </c>
      <c r="L808" t="n">
        <v>0</v>
      </c>
      <c r="M808" t="n">
        <v>0</v>
      </c>
      <c r="N808" t="n">
        <v>0</v>
      </c>
      <c r="O808" t="n">
        <v>0</v>
      </c>
      <c r="P808" t="n">
        <v>0</v>
      </c>
      <c r="Q808" t="n">
        <v>0</v>
      </c>
      <c r="R808" s="2" t="inlineStr"/>
    </row>
    <row r="809" ht="15" customHeight="1">
      <c r="A809" t="inlineStr">
        <is>
          <t>A 11013-2024</t>
        </is>
      </c>
      <c r="B809" s="1" t="n">
        <v>45370</v>
      </c>
      <c r="C809" s="1" t="n">
        <v>45784</v>
      </c>
      <c r="D809" t="inlineStr">
        <is>
          <t>GOTLANDS LÄN</t>
        </is>
      </c>
      <c r="E809" t="inlineStr">
        <is>
          <t>GOTLAND</t>
        </is>
      </c>
      <c r="G809" t="n">
        <v>0.7</v>
      </c>
      <c r="H809" t="n">
        <v>0</v>
      </c>
      <c r="I809" t="n">
        <v>0</v>
      </c>
      <c r="J809" t="n">
        <v>0</v>
      </c>
      <c r="K809" t="n">
        <v>0</v>
      </c>
      <c r="L809" t="n">
        <v>0</v>
      </c>
      <c r="M809" t="n">
        <v>0</v>
      </c>
      <c r="N809" t="n">
        <v>0</v>
      </c>
      <c r="O809" t="n">
        <v>0</v>
      </c>
      <c r="P809" t="n">
        <v>0</v>
      </c>
      <c r="Q809" t="n">
        <v>0</v>
      </c>
      <c r="R809" s="2" t="inlineStr"/>
    </row>
    <row r="810" ht="15" customHeight="1">
      <c r="A810" t="inlineStr">
        <is>
          <t>A 11254-2024</t>
        </is>
      </c>
      <c r="B810" s="1" t="n">
        <v>45371</v>
      </c>
      <c r="C810" s="1" t="n">
        <v>45784</v>
      </c>
      <c r="D810" t="inlineStr">
        <is>
          <t>GOTLANDS LÄN</t>
        </is>
      </c>
      <c r="E810" t="inlineStr">
        <is>
          <t>GOTLAND</t>
        </is>
      </c>
      <c r="G810" t="n">
        <v>5.6</v>
      </c>
      <c r="H810" t="n">
        <v>0</v>
      </c>
      <c r="I810" t="n">
        <v>0</v>
      </c>
      <c r="J810" t="n">
        <v>0</v>
      </c>
      <c r="K810" t="n">
        <v>0</v>
      </c>
      <c r="L810" t="n">
        <v>0</v>
      </c>
      <c r="M810" t="n">
        <v>0</v>
      </c>
      <c r="N810" t="n">
        <v>0</v>
      </c>
      <c r="O810" t="n">
        <v>0</v>
      </c>
      <c r="P810" t="n">
        <v>0</v>
      </c>
      <c r="Q810" t="n">
        <v>0</v>
      </c>
      <c r="R810" s="2" t="inlineStr"/>
    </row>
    <row r="811" ht="15" customHeight="1">
      <c r="A811" t="inlineStr">
        <is>
          <t>A 11634-2024</t>
        </is>
      </c>
      <c r="B811" s="1" t="n">
        <v>45373</v>
      </c>
      <c r="C811" s="1" t="n">
        <v>45784</v>
      </c>
      <c r="D811" t="inlineStr">
        <is>
          <t>GOTLANDS LÄN</t>
        </is>
      </c>
      <c r="E811" t="inlineStr">
        <is>
          <t>GOTLAND</t>
        </is>
      </c>
      <c r="G811" t="n">
        <v>3</v>
      </c>
      <c r="H811" t="n">
        <v>0</v>
      </c>
      <c r="I811" t="n">
        <v>0</v>
      </c>
      <c r="J811" t="n">
        <v>0</v>
      </c>
      <c r="K811" t="n">
        <v>0</v>
      </c>
      <c r="L811" t="n">
        <v>0</v>
      </c>
      <c r="M811" t="n">
        <v>0</v>
      </c>
      <c r="N811" t="n">
        <v>0</v>
      </c>
      <c r="O811" t="n">
        <v>0</v>
      </c>
      <c r="P811" t="n">
        <v>0</v>
      </c>
      <c r="Q811" t="n">
        <v>0</v>
      </c>
      <c r="R811" s="2" t="inlineStr"/>
    </row>
    <row r="812" ht="15" customHeight="1">
      <c r="A812" t="inlineStr">
        <is>
          <t>A 11722-2024</t>
        </is>
      </c>
      <c r="B812" s="1" t="n">
        <v>45373</v>
      </c>
      <c r="C812" s="1" t="n">
        <v>45784</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11590-2024</t>
        </is>
      </c>
      <c r="B813" s="1" t="n">
        <v>45373</v>
      </c>
      <c r="C813" s="1" t="n">
        <v>45784</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11598-2024</t>
        </is>
      </c>
      <c r="B814" s="1" t="n">
        <v>45373</v>
      </c>
      <c r="C814" s="1" t="n">
        <v>45784</v>
      </c>
      <c r="D814" t="inlineStr">
        <is>
          <t>GOTLANDS LÄN</t>
        </is>
      </c>
      <c r="E814" t="inlineStr">
        <is>
          <t>GOTLAND</t>
        </is>
      </c>
      <c r="G814" t="n">
        <v>0.3</v>
      </c>
      <c r="H814" t="n">
        <v>0</v>
      </c>
      <c r="I814" t="n">
        <v>0</v>
      </c>
      <c r="J814" t="n">
        <v>0</v>
      </c>
      <c r="K814" t="n">
        <v>0</v>
      </c>
      <c r="L814" t="n">
        <v>0</v>
      </c>
      <c r="M814" t="n">
        <v>0</v>
      </c>
      <c r="N814" t="n">
        <v>0</v>
      </c>
      <c r="O814" t="n">
        <v>0</v>
      </c>
      <c r="P814" t="n">
        <v>0</v>
      </c>
      <c r="Q814" t="n">
        <v>0</v>
      </c>
      <c r="R814" s="2" t="inlineStr"/>
    </row>
    <row r="815" ht="15" customHeight="1">
      <c r="A815" t="inlineStr">
        <is>
          <t>A 11863-2024</t>
        </is>
      </c>
      <c r="B815" s="1" t="n">
        <v>45376</v>
      </c>
      <c r="C815" s="1" t="n">
        <v>45784</v>
      </c>
      <c r="D815" t="inlineStr">
        <is>
          <t>GOTLANDS LÄN</t>
        </is>
      </c>
      <c r="E815" t="inlineStr">
        <is>
          <t>GOTLAND</t>
        </is>
      </c>
      <c r="G815" t="n">
        <v>3.2</v>
      </c>
      <c r="H815" t="n">
        <v>0</v>
      </c>
      <c r="I815" t="n">
        <v>0</v>
      </c>
      <c r="J815" t="n">
        <v>0</v>
      </c>
      <c r="K815" t="n">
        <v>0</v>
      </c>
      <c r="L815" t="n">
        <v>0</v>
      </c>
      <c r="M815" t="n">
        <v>0</v>
      </c>
      <c r="N815" t="n">
        <v>0</v>
      </c>
      <c r="O815" t="n">
        <v>0</v>
      </c>
      <c r="P815" t="n">
        <v>0</v>
      </c>
      <c r="Q815" t="n">
        <v>0</v>
      </c>
      <c r="R815" s="2" t="inlineStr"/>
    </row>
    <row r="816" ht="15" customHeight="1">
      <c r="A816" t="inlineStr">
        <is>
          <t>A 11868-2024</t>
        </is>
      </c>
      <c r="B816" s="1" t="n">
        <v>45376</v>
      </c>
      <c r="C816" s="1" t="n">
        <v>45784</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11874-2024</t>
        </is>
      </c>
      <c r="B817" s="1" t="n">
        <v>45376</v>
      </c>
      <c r="C817" s="1" t="n">
        <v>45784</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12208-2024</t>
        </is>
      </c>
      <c r="B818" s="1" t="n">
        <v>45378</v>
      </c>
      <c r="C818" s="1" t="n">
        <v>45784</v>
      </c>
      <c r="D818" t="inlineStr">
        <is>
          <t>GOTLANDS LÄN</t>
        </is>
      </c>
      <c r="E818" t="inlineStr">
        <is>
          <t>GOTLAND</t>
        </is>
      </c>
      <c r="G818" t="n">
        <v>4.5</v>
      </c>
      <c r="H818" t="n">
        <v>0</v>
      </c>
      <c r="I818" t="n">
        <v>0</v>
      </c>
      <c r="J818" t="n">
        <v>0</v>
      </c>
      <c r="K818" t="n">
        <v>0</v>
      </c>
      <c r="L818" t="n">
        <v>0</v>
      </c>
      <c r="M818" t="n">
        <v>0</v>
      </c>
      <c r="N818" t="n">
        <v>0</v>
      </c>
      <c r="O818" t="n">
        <v>0</v>
      </c>
      <c r="P818" t="n">
        <v>0</v>
      </c>
      <c r="Q818" t="n">
        <v>0</v>
      </c>
      <c r="R818" s="2" t="inlineStr"/>
    </row>
    <row r="819" ht="15" customHeight="1">
      <c r="A819" t="inlineStr">
        <is>
          <t>A 12210-2024</t>
        </is>
      </c>
      <c r="B819" s="1" t="n">
        <v>45378</v>
      </c>
      <c r="C819" s="1" t="n">
        <v>45784</v>
      </c>
      <c r="D819" t="inlineStr">
        <is>
          <t>GOTLANDS LÄN</t>
        </is>
      </c>
      <c r="E819" t="inlineStr">
        <is>
          <t>GOTLAND</t>
        </is>
      </c>
      <c r="G819" t="n">
        <v>4.1</v>
      </c>
      <c r="H819" t="n">
        <v>0</v>
      </c>
      <c r="I819" t="n">
        <v>0</v>
      </c>
      <c r="J819" t="n">
        <v>0</v>
      </c>
      <c r="K819" t="n">
        <v>0</v>
      </c>
      <c r="L819" t="n">
        <v>0</v>
      </c>
      <c r="M819" t="n">
        <v>0</v>
      </c>
      <c r="N819" t="n">
        <v>0</v>
      </c>
      <c r="O819" t="n">
        <v>0</v>
      </c>
      <c r="P819" t="n">
        <v>0</v>
      </c>
      <c r="Q819" t="n">
        <v>0</v>
      </c>
      <c r="R819" s="2" t="inlineStr"/>
    </row>
    <row r="820" ht="15" customHeight="1">
      <c r="A820" t="inlineStr">
        <is>
          <t>A 12207-2024</t>
        </is>
      </c>
      <c r="B820" s="1" t="n">
        <v>45378</v>
      </c>
      <c r="C820" s="1" t="n">
        <v>45784</v>
      </c>
      <c r="D820" t="inlineStr">
        <is>
          <t>GOTLANDS LÄN</t>
        </is>
      </c>
      <c r="E820" t="inlineStr">
        <is>
          <t>GOTLAND</t>
        </is>
      </c>
      <c r="G820" t="n">
        <v>3.9</v>
      </c>
      <c r="H820" t="n">
        <v>0</v>
      </c>
      <c r="I820" t="n">
        <v>0</v>
      </c>
      <c r="J820" t="n">
        <v>0</v>
      </c>
      <c r="K820" t="n">
        <v>0</v>
      </c>
      <c r="L820" t="n">
        <v>0</v>
      </c>
      <c r="M820" t="n">
        <v>0</v>
      </c>
      <c r="N820" t="n">
        <v>0</v>
      </c>
      <c r="O820" t="n">
        <v>0</v>
      </c>
      <c r="P820" t="n">
        <v>0</v>
      </c>
      <c r="Q820" t="n">
        <v>0</v>
      </c>
      <c r="R820" s="2" t="inlineStr"/>
    </row>
    <row r="821" ht="15" customHeight="1">
      <c r="A821" t="inlineStr">
        <is>
          <t>A 12209-2024</t>
        </is>
      </c>
      <c r="B821" s="1" t="n">
        <v>45378</v>
      </c>
      <c r="C821" s="1" t="n">
        <v>45784</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12312-2024</t>
        </is>
      </c>
      <c r="B822" s="1" t="n">
        <v>45378</v>
      </c>
      <c r="C822" s="1" t="n">
        <v>45784</v>
      </c>
      <c r="D822" t="inlineStr">
        <is>
          <t>GOTLANDS LÄN</t>
        </is>
      </c>
      <c r="E822" t="inlineStr">
        <is>
          <t>GOTLAND</t>
        </is>
      </c>
      <c r="G822" t="n">
        <v>1.8</v>
      </c>
      <c r="H822" t="n">
        <v>0</v>
      </c>
      <c r="I822" t="n">
        <v>0</v>
      </c>
      <c r="J822" t="n">
        <v>0</v>
      </c>
      <c r="K822" t="n">
        <v>0</v>
      </c>
      <c r="L822" t="n">
        <v>0</v>
      </c>
      <c r="M822" t="n">
        <v>0</v>
      </c>
      <c r="N822" t="n">
        <v>0</v>
      </c>
      <c r="O822" t="n">
        <v>0</v>
      </c>
      <c r="P822" t="n">
        <v>0</v>
      </c>
      <c r="Q822" t="n">
        <v>0</v>
      </c>
      <c r="R822" s="2" t="inlineStr"/>
    </row>
    <row r="823" ht="15" customHeight="1">
      <c r="A823" t="inlineStr">
        <is>
          <t>A 12389-2024</t>
        </is>
      </c>
      <c r="B823" s="1" t="n">
        <v>45379</v>
      </c>
      <c r="C823" s="1" t="n">
        <v>45784</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12390-2024</t>
        </is>
      </c>
      <c r="B824" s="1" t="n">
        <v>45379</v>
      </c>
      <c r="C824" s="1" t="n">
        <v>45784</v>
      </c>
      <c r="D824" t="inlineStr">
        <is>
          <t>GOTLANDS LÄN</t>
        </is>
      </c>
      <c r="E824" t="inlineStr">
        <is>
          <t>GOTLAND</t>
        </is>
      </c>
      <c r="G824" t="n">
        <v>5.5</v>
      </c>
      <c r="H824" t="n">
        <v>0</v>
      </c>
      <c r="I824" t="n">
        <v>0</v>
      </c>
      <c r="J824" t="n">
        <v>0</v>
      </c>
      <c r="K824" t="n">
        <v>0</v>
      </c>
      <c r="L824" t="n">
        <v>0</v>
      </c>
      <c r="M824" t="n">
        <v>0</v>
      </c>
      <c r="N824" t="n">
        <v>0</v>
      </c>
      <c r="O824" t="n">
        <v>0</v>
      </c>
      <c r="P824" t="n">
        <v>0</v>
      </c>
      <c r="Q824" t="n">
        <v>0</v>
      </c>
      <c r="R824" s="2" t="inlineStr"/>
    </row>
    <row r="825" ht="15" customHeight="1">
      <c r="A825" t="inlineStr">
        <is>
          <t>A 13531-2024</t>
        </is>
      </c>
      <c r="B825" s="1" t="n">
        <v>45387</v>
      </c>
      <c r="C825" s="1" t="n">
        <v>45784</v>
      </c>
      <c r="D825" t="inlineStr">
        <is>
          <t>GOTLANDS LÄN</t>
        </is>
      </c>
      <c r="E825" t="inlineStr">
        <is>
          <t>GOTLAND</t>
        </is>
      </c>
      <c r="G825" t="n">
        <v>17.7</v>
      </c>
      <c r="H825" t="n">
        <v>0</v>
      </c>
      <c r="I825" t="n">
        <v>0</v>
      </c>
      <c r="J825" t="n">
        <v>0</v>
      </c>
      <c r="K825" t="n">
        <v>0</v>
      </c>
      <c r="L825" t="n">
        <v>0</v>
      </c>
      <c r="M825" t="n">
        <v>0</v>
      </c>
      <c r="N825" t="n">
        <v>0</v>
      </c>
      <c r="O825" t="n">
        <v>0</v>
      </c>
      <c r="P825" t="n">
        <v>0</v>
      </c>
      <c r="Q825" t="n">
        <v>0</v>
      </c>
      <c r="R825" s="2" t="inlineStr"/>
    </row>
    <row r="826" ht="15" customHeight="1">
      <c r="A826" t="inlineStr">
        <is>
          <t>A 13655-2024</t>
        </is>
      </c>
      <c r="B826" s="1" t="n">
        <v>45390</v>
      </c>
      <c r="C826" s="1" t="n">
        <v>45784</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14139-2024</t>
        </is>
      </c>
      <c r="B827" s="1" t="n">
        <v>45392</v>
      </c>
      <c r="C827" s="1" t="n">
        <v>45784</v>
      </c>
      <c r="D827" t="inlineStr">
        <is>
          <t>GOTLANDS LÄN</t>
        </is>
      </c>
      <c r="E827" t="inlineStr">
        <is>
          <t>GOTLAND</t>
        </is>
      </c>
      <c r="G827" t="n">
        <v>3.1</v>
      </c>
      <c r="H827" t="n">
        <v>0</v>
      </c>
      <c r="I827" t="n">
        <v>0</v>
      </c>
      <c r="J827" t="n">
        <v>0</v>
      </c>
      <c r="K827" t="n">
        <v>0</v>
      </c>
      <c r="L827" t="n">
        <v>0</v>
      </c>
      <c r="M827" t="n">
        <v>0</v>
      </c>
      <c r="N827" t="n">
        <v>0</v>
      </c>
      <c r="O827" t="n">
        <v>0</v>
      </c>
      <c r="P827" t="n">
        <v>0</v>
      </c>
      <c r="Q827" t="n">
        <v>0</v>
      </c>
      <c r="R827" s="2" t="inlineStr"/>
    </row>
    <row r="828" ht="15" customHeight="1">
      <c r="A828" t="inlineStr">
        <is>
          <t>A 14141-2024</t>
        </is>
      </c>
      <c r="B828" s="1" t="n">
        <v>45392</v>
      </c>
      <c r="C828" s="1" t="n">
        <v>45784</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14427-2024</t>
        </is>
      </c>
      <c r="B829" s="1" t="n">
        <v>45394</v>
      </c>
      <c r="C829" s="1" t="n">
        <v>45784</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14593-2024</t>
        </is>
      </c>
      <c r="B830" s="1" t="n">
        <v>45395</v>
      </c>
      <c r="C830" s="1" t="n">
        <v>45784</v>
      </c>
      <c r="D830" t="inlineStr">
        <is>
          <t>GOTLANDS LÄN</t>
        </is>
      </c>
      <c r="E830" t="inlineStr">
        <is>
          <t>GOTLAND</t>
        </is>
      </c>
      <c r="G830" t="n">
        <v>5.4</v>
      </c>
      <c r="H830" t="n">
        <v>0</v>
      </c>
      <c r="I830" t="n">
        <v>0</v>
      </c>
      <c r="J830" t="n">
        <v>0</v>
      </c>
      <c r="K830" t="n">
        <v>0</v>
      </c>
      <c r="L830" t="n">
        <v>0</v>
      </c>
      <c r="M830" t="n">
        <v>0</v>
      </c>
      <c r="N830" t="n">
        <v>0</v>
      </c>
      <c r="O830" t="n">
        <v>0</v>
      </c>
      <c r="P830" t="n">
        <v>0</v>
      </c>
      <c r="Q830" t="n">
        <v>0</v>
      </c>
      <c r="R830" s="2" t="inlineStr"/>
    </row>
    <row r="831" ht="15" customHeight="1">
      <c r="A831" t="inlineStr">
        <is>
          <t>A 14797-2024</t>
        </is>
      </c>
      <c r="B831" s="1" t="n">
        <v>45397</v>
      </c>
      <c r="C831" s="1" t="n">
        <v>45784</v>
      </c>
      <c r="D831" t="inlineStr">
        <is>
          <t>GOTLANDS LÄN</t>
        </is>
      </c>
      <c r="E831" t="inlineStr">
        <is>
          <t>GOTLAND</t>
        </is>
      </c>
      <c r="G831" t="n">
        <v>8.1</v>
      </c>
      <c r="H831" t="n">
        <v>0</v>
      </c>
      <c r="I831" t="n">
        <v>0</v>
      </c>
      <c r="J831" t="n">
        <v>0</v>
      </c>
      <c r="K831" t="n">
        <v>0</v>
      </c>
      <c r="L831" t="n">
        <v>0</v>
      </c>
      <c r="M831" t="n">
        <v>0</v>
      </c>
      <c r="N831" t="n">
        <v>0</v>
      </c>
      <c r="O831" t="n">
        <v>0</v>
      </c>
      <c r="P831" t="n">
        <v>0</v>
      </c>
      <c r="Q831" t="n">
        <v>0</v>
      </c>
      <c r="R831" s="2" t="inlineStr"/>
    </row>
    <row r="832" ht="15" customHeight="1">
      <c r="A832" t="inlineStr">
        <is>
          <t>A 15595-2024</t>
        </is>
      </c>
      <c r="B832" s="1" t="n">
        <v>45401</v>
      </c>
      <c r="C832" s="1" t="n">
        <v>45784</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15434-2024</t>
        </is>
      </c>
      <c r="B833" s="1" t="n">
        <v>45401</v>
      </c>
      <c r="C833" s="1" t="n">
        <v>45784</v>
      </c>
      <c r="D833" t="inlineStr">
        <is>
          <t>GOTLANDS LÄN</t>
        </is>
      </c>
      <c r="E833" t="inlineStr">
        <is>
          <t>GOTLAND</t>
        </is>
      </c>
      <c r="G833" t="n">
        <v>2.5</v>
      </c>
      <c r="H833" t="n">
        <v>0</v>
      </c>
      <c r="I833" t="n">
        <v>0</v>
      </c>
      <c r="J833" t="n">
        <v>0</v>
      </c>
      <c r="K833" t="n">
        <v>0</v>
      </c>
      <c r="L833" t="n">
        <v>0</v>
      </c>
      <c r="M833" t="n">
        <v>0</v>
      </c>
      <c r="N833" t="n">
        <v>0</v>
      </c>
      <c r="O833" t="n">
        <v>0</v>
      </c>
      <c r="P833" t="n">
        <v>0</v>
      </c>
      <c r="Q833" t="n">
        <v>0</v>
      </c>
      <c r="R833" s="2" t="inlineStr"/>
    </row>
    <row r="834" ht="15" customHeight="1">
      <c r="A834" t="inlineStr">
        <is>
          <t>A 15885-2024</t>
        </is>
      </c>
      <c r="B834" s="1" t="n">
        <v>45405</v>
      </c>
      <c r="C834" s="1" t="n">
        <v>45784</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16322-2024</t>
        </is>
      </c>
      <c r="B835" s="1" t="n">
        <v>45407</v>
      </c>
      <c r="C835" s="1" t="n">
        <v>45784</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16361-2024</t>
        </is>
      </c>
      <c r="B836" s="1" t="n">
        <v>45407</v>
      </c>
      <c r="C836" s="1" t="n">
        <v>45784</v>
      </c>
      <c r="D836" t="inlineStr">
        <is>
          <t>GOTLANDS LÄN</t>
        </is>
      </c>
      <c r="E836" t="inlineStr">
        <is>
          <t>GOTLAND</t>
        </is>
      </c>
      <c r="G836" t="n">
        <v>6</v>
      </c>
      <c r="H836" t="n">
        <v>0</v>
      </c>
      <c r="I836" t="n">
        <v>0</v>
      </c>
      <c r="J836" t="n">
        <v>0</v>
      </c>
      <c r="K836" t="n">
        <v>0</v>
      </c>
      <c r="L836" t="n">
        <v>0</v>
      </c>
      <c r="M836" t="n">
        <v>0</v>
      </c>
      <c r="N836" t="n">
        <v>0</v>
      </c>
      <c r="O836" t="n">
        <v>0</v>
      </c>
      <c r="P836" t="n">
        <v>0</v>
      </c>
      <c r="Q836" t="n">
        <v>0</v>
      </c>
      <c r="R836" s="2" t="inlineStr"/>
    </row>
    <row r="837" ht="15" customHeight="1">
      <c r="A837" t="inlineStr">
        <is>
          <t>A 16328-2024</t>
        </is>
      </c>
      <c r="B837" s="1" t="n">
        <v>45407</v>
      </c>
      <c r="C837" s="1" t="n">
        <v>45784</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17087-2024</t>
        </is>
      </c>
      <c r="B838" s="1" t="n">
        <v>45412</v>
      </c>
      <c r="C838" s="1" t="n">
        <v>45784</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17089-2024</t>
        </is>
      </c>
      <c r="B839" s="1" t="n">
        <v>45412</v>
      </c>
      <c r="C839" s="1" t="n">
        <v>45784</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17085-2024</t>
        </is>
      </c>
      <c r="B840" s="1" t="n">
        <v>45412</v>
      </c>
      <c r="C840" s="1" t="n">
        <v>45784</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17532-2024</t>
        </is>
      </c>
      <c r="B841" s="1" t="n">
        <v>45415</v>
      </c>
      <c r="C841" s="1" t="n">
        <v>45784</v>
      </c>
      <c r="D841" t="inlineStr">
        <is>
          <t>GOTLANDS LÄN</t>
        </is>
      </c>
      <c r="E841" t="inlineStr">
        <is>
          <t>GOTLAND</t>
        </is>
      </c>
      <c r="G841" t="n">
        <v>4.3</v>
      </c>
      <c r="H841" t="n">
        <v>0</v>
      </c>
      <c r="I841" t="n">
        <v>0</v>
      </c>
      <c r="J841" t="n">
        <v>0</v>
      </c>
      <c r="K841" t="n">
        <v>0</v>
      </c>
      <c r="L841" t="n">
        <v>0</v>
      </c>
      <c r="M841" t="n">
        <v>0</v>
      </c>
      <c r="N841" t="n">
        <v>0</v>
      </c>
      <c r="O841" t="n">
        <v>0</v>
      </c>
      <c r="P841" t="n">
        <v>0</v>
      </c>
      <c r="Q841" t="n">
        <v>0</v>
      </c>
      <c r="R841" s="2" t="inlineStr"/>
    </row>
    <row r="842" ht="15" customHeight="1">
      <c r="A842" t="inlineStr">
        <is>
          <t>A 17541-2024</t>
        </is>
      </c>
      <c r="B842" s="1" t="n">
        <v>45415</v>
      </c>
      <c r="C842" s="1" t="n">
        <v>45784</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17616-2024</t>
        </is>
      </c>
      <c r="B843" s="1" t="n">
        <v>45416</v>
      </c>
      <c r="C843" s="1" t="n">
        <v>45784</v>
      </c>
      <c r="D843" t="inlineStr">
        <is>
          <t>GOTLANDS LÄN</t>
        </is>
      </c>
      <c r="E843" t="inlineStr">
        <is>
          <t>GOTLAND</t>
        </is>
      </c>
      <c r="G843" t="n">
        <v>2.7</v>
      </c>
      <c r="H843" t="n">
        <v>0</v>
      </c>
      <c r="I843" t="n">
        <v>0</v>
      </c>
      <c r="J843" t="n">
        <v>0</v>
      </c>
      <c r="K843" t="n">
        <v>0</v>
      </c>
      <c r="L843" t="n">
        <v>0</v>
      </c>
      <c r="M843" t="n">
        <v>0</v>
      </c>
      <c r="N843" t="n">
        <v>0</v>
      </c>
      <c r="O843" t="n">
        <v>0</v>
      </c>
      <c r="P843" t="n">
        <v>0</v>
      </c>
      <c r="Q843" t="n">
        <v>0</v>
      </c>
      <c r="R843" s="2" t="inlineStr"/>
    </row>
    <row r="844" ht="15" customHeight="1">
      <c r="A844" t="inlineStr">
        <is>
          <t>A 17617-2024</t>
        </is>
      </c>
      <c r="B844" s="1" t="n">
        <v>45416</v>
      </c>
      <c r="C844" s="1" t="n">
        <v>45784</v>
      </c>
      <c r="D844" t="inlineStr">
        <is>
          <t>GOTLANDS LÄN</t>
        </is>
      </c>
      <c r="E844" t="inlineStr">
        <is>
          <t>GOTLAND</t>
        </is>
      </c>
      <c r="G844" t="n">
        <v>1.6</v>
      </c>
      <c r="H844" t="n">
        <v>0</v>
      </c>
      <c r="I844" t="n">
        <v>0</v>
      </c>
      <c r="J844" t="n">
        <v>0</v>
      </c>
      <c r="K844" t="n">
        <v>0</v>
      </c>
      <c r="L844" t="n">
        <v>0</v>
      </c>
      <c r="M844" t="n">
        <v>0</v>
      </c>
      <c r="N844" t="n">
        <v>0</v>
      </c>
      <c r="O844" t="n">
        <v>0</v>
      </c>
      <c r="P844" t="n">
        <v>0</v>
      </c>
      <c r="Q844" t="n">
        <v>0</v>
      </c>
      <c r="R844" s="2" t="inlineStr"/>
    </row>
    <row r="845" ht="15" customHeight="1">
      <c r="A845" t="inlineStr">
        <is>
          <t>A 17688-2024</t>
        </is>
      </c>
      <c r="B845" s="1" t="n">
        <v>45418</v>
      </c>
      <c r="C845" s="1" t="n">
        <v>45784</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17691-2024</t>
        </is>
      </c>
      <c r="B846" s="1" t="n">
        <v>45418</v>
      </c>
      <c r="C846" s="1" t="n">
        <v>45784</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17743-2024</t>
        </is>
      </c>
      <c r="B847" s="1" t="n">
        <v>45418</v>
      </c>
      <c r="C847" s="1" t="n">
        <v>45784</v>
      </c>
      <c r="D847" t="inlineStr">
        <is>
          <t>GOTLANDS LÄN</t>
        </is>
      </c>
      <c r="E847" t="inlineStr">
        <is>
          <t>GOTLAND</t>
        </is>
      </c>
      <c r="G847" t="n">
        <v>0.6</v>
      </c>
      <c r="H847" t="n">
        <v>0</v>
      </c>
      <c r="I847" t="n">
        <v>0</v>
      </c>
      <c r="J847" t="n">
        <v>0</v>
      </c>
      <c r="K847" t="n">
        <v>0</v>
      </c>
      <c r="L847" t="n">
        <v>0</v>
      </c>
      <c r="M847" t="n">
        <v>0</v>
      </c>
      <c r="N847" t="n">
        <v>0</v>
      </c>
      <c r="O847" t="n">
        <v>0</v>
      </c>
      <c r="P847" t="n">
        <v>0</v>
      </c>
      <c r="Q847" t="n">
        <v>0</v>
      </c>
      <c r="R847" s="2" t="inlineStr"/>
    </row>
    <row r="848" ht="15" customHeight="1">
      <c r="A848" t="inlineStr">
        <is>
          <t>A 17786-2024</t>
        </is>
      </c>
      <c r="B848" s="1" t="n">
        <v>45418</v>
      </c>
      <c r="C848" s="1" t="n">
        <v>45784</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17682-2024</t>
        </is>
      </c>
      <c r="B849" s="1" t="n">
        <v>45418</v>
      </c>
      <c r="C849" s="1" t="n">
        <v>45784</v>
      </c>
      <c r="D849" t="inlineStr">
        <is>
          <t>GOTLANDS LÄN</t>
        </is>
      </c>
      <c r="E849" t="inlineStr">
        <is>
          <t>GOTLAND</t>
        </is>
      </c>
      <c r="G849" t="n">
        <v>2.9</v>
      </c>
      <c r="H849" t="n">
        <v>0</v>
      </c>
      <c r="I849" t="n">
        <v>0</v>
      </c>
      <c r="J849" t="n">
        <v>0</v>
      </c>
      <c r="K849" t="n">
        <v>0</v>
      </c>
      <c r="L849" t="n">
        <v>0</v>
      </c>
      <c r="M849" t="n">
        <v>0</v>
      </c>
      <c r="N849" t="n">
        <v>0</v>
      </c>
      <c r="O849" t="n">
        <v>0</v>
      </c>
      <c r="P849" t="n">
        <v>0</v>
      </c>
      <c r="Q849" t="n">
        <v>0</v>
      </c>
      <c r="R849" s="2" t="inlineStr"/>
    </row>
    <row r="850" ht="15" customHeight="1">
      <c r="A850" t="inlineStr">
        <is>
          <t>A 17686-2024</t>
        </is>
      </c>
      <c r="B850" s="1" t="n">
        <v>45418</v>
      </c>
      <c r="C850" s="1" t="n">
        <v>45784</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17724-2024</t>
        </is>
      </c>
      <c r="B851" s="1" t="n">
        <v>45418</v>
      </c>
      <c r="C851" s="1" t="n">
        <v>45784</v>
      </c>
      <c r="D851" t="inlineStr">
        <is>
          <t>GOTLANDS LÄN</t>
        </is>
      </c>
      <c r="E851" t="inlineStr">
        <is>
          <t>GOTLAND</t>
        </is>
      </c>
      <c r="G851" t="n">
        <v>2</v>
      </c>
      <c r="H851" t="n">
        <v>0</v>
      </c>
      <c r="I851" t="n">
        <v>0</v>
      </c>
      <c r="J851" t="n">
        <v>0</v>
      </c>
      <c r="K851" t="n">
        <v>0</v>
      </c>
      <c r="L851" t="n">
        <v>0</v>
      </c>
      <c r="M851" t="n">
        <v>0</v>
      </c>
      <c r="N851" t="n">
        <v>0</v>
      </c>
      <c r="O851" t="n">
        <v>0</v>
      </c>
      <c r="P851" t="n">
        <v>0</v>
      </c>
      <c r="Q851" t="n">
        <v>0</v>
      </c>
      <c r="R851" s="2" t="inlineStr"/>
    </row>
    <row r="852" ht="15" customHeight="1">
      <c r="A852" t="inlineStr">
        <is>
          <t>A 17742-2024</t>
        </is>
      </c>
      <c r="B852" s="1" t="n">
        <v>45418</v>
      </c>
      <c r="C852" s="1" t="n">
        <v>45784</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18056-2024</t>
        </is>
      </c>
      <c r="B853" s="1" t="n">
        <v>45420</v>
      </c>
      <c r="C853" s="1" t="n">
        <v>45784</v>
      </c>
      <c r="D853" t="inlineStr">
        <is>
          <t>GOTLANDS LÄN</t>
        </is>
      </c>
      <c r="E853" t="inlineStr">
        <is>
          <t>GOTLAND</t>
        </is>
      </c>
      <c r="G853" t="n">
        <v>1.4</v>
      </c>
      <c r="H853" t="n">
        <v>0</v>
      </c>
      <c r="I853" t="n">
        <v>0</v>
      </c>
      <c r="J853" t="n">
        <v>0</v>
      </c>
      <c r="K853" t="n">
        <v>0</v>
      </c>
      <c r="L853" t="n">
        <v>0</v>
      </c>
      <c r="M853" t="n">
        <v>0</v>
      </c>
      <c r="N853" t="n">
        <v>0</v>
      </c>
      <c r="O853" t="n">
        <v>0</v>
      </c>
      <c r="P853" t="n">
        <v>0</v>
      </c>
      <c r="Q853" t="n">
        <v>0</v>
      </c>
      <c r="R853" s="2" t="inlineStr"/>
    </row>
    <row r="854" ht="15" customHeight="1">
      <c r="A854" t="inlineStr">
        <is>
          <t>A 18380-2024</t>
        </is>
      </c>
      <c r="B854" s="1" t="n">
        <v>45424</v>
      </c>
      <c r="C854" s="1" t="n">
        <v>45784</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18896-2024</t>
        </is>
      </c>
      <c r="B855" s="1" t="n">
        <v>45427</v>
      </c>
      <c r="C855" s="1" t="n">
        <v>45784</v>
      </c>
      <c r="D855" t="inlineStr">
        <is>
          <t>GOTLANDS LÄN</t>
        </is>
      </c>
      <c r="E855" t="inlineStr">
        <is>
          <t>GOTLAND</t>
        </is>
      </c>
      <c r="G855" t="n">
        <v>5.1</v>
      </c>
      <c r="H855" t="n">
        <v>0</v>
      </c>
      <c r="I855" t="n">
        <v>0</v>
      </c>
      <c r="J855" t="n">
        <v>0</v>
      </c>
      <c r="K855" t="n">
        <v>0</v>
      </c>
      <c r="L855" t="n">
        <v>0</v>
      </c>
      <c r="M855" t="n">
        <v>0</v>
      </c>
      <c r="N855" t="n">
        <v>0</v>
      </c>
      <c r="O855" t="n">
        <v>0</v>
      </c>
      <c r="P855" t="n">
        <v>0</v>
      </c>
      <c r="Q855" t="n">
        <v>0</v>
      </c>
      <c r="R855" s="2" t="inlineStr"/>
    </row>
    <row r="856" ht="15" customHeight="1">
      <c r="A856" t="inlineStr">
        <is>
          <t>A 20290-2024</t>
        </is>
      </c>
      <c r="B856" s="1" t="n">
        <v>45435</v>
      </c>
      <c r="C856" s="1" t="n">
        <v>45784</v>
      </c>
      <c r="D856" t="inlineStr">
        <is>
          <t>GOTLANDS LÄN</t>
        </is>
      </c>
      <c r="E856" t="inlineStr">
        <is>
          <t>GOTLAND</t>
        </is>
      </c>
      <c r="G856" t="n">
        <v>10.9</v>
      </c>
      <c r="H856" t="n">
        <v>0</v>
      </c>
      <c r="I856" t="n">
        <v>0</v>
      </c>
      <c r="J856" t="n">
        <v>0</v>
      </c>
      <c r="K856" t="n">
        <v>0</v>
      </c>
      <c r="L856" t="n">
        <v>0</v>
      </c>
      <c r="M856" t="n">
        <v>0</v>
      </c>
      <c r="N856" t="n">
        <v>0</v>
      </c>
      <c r="O856" t="n">
        <v>0</v>
      </c>
      <c r="P856" t="n">
        <v>0</v>
      </c>
      <c r="Q856" t="n">
        <v>0</v>
      </c>
      <c r="R856" s="2" t="inlineStr"/>
    </row>
    <row r="857" ht="15" customHeight="1">
      <c r="A857" t="inlineStr">
        <is>
          <t>A 20292-2024</t>
        </is>
      </c>
      <c r="B857" s="1" t="n">
        <v>45435</v>
      </c>
      <c r="C857" s="1" t="n">
        <v>45784</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21164-2024</t>
        </is>
      </c>
      <c r="B858" s="1" t="n">
        <v>45440</v>
      </c>
      <c r="C858" s="1" t="n">
        <v>45784</v>
      </c>
      <c r="D858" t="inlineStr">
        <is>
          <t>GOTLANDS LÄN</t>
        </is>
      </c>
      <c r="E858" t="inlineStr">
        <is>
          <t>GOTLAND</t>
        </is>
      </c>
      <c r="G858" t="n">
        <v>6.3</v>
      </c>
      <c r="H858" t="n">
        <v>0</v>
      </c>
      <c r="I858" t="n">
        <v>0</v>
      </c>
      <c r="J858" t="n">
        <v>0</v>
      </c>
      <c r="K858" t="n">
        <v>0</v>
      </c>
      <c r="L858" t="n">
        <v>0</v>
      </c>
      <c r="M858" t="n">
        <v>0</v>
      </c>
      <c r="N858" t="n">
        <v>0</v>
      </c>
      <c r="O858" t="n">
        <v>0</v>
      </c>
      <c r="P858" t="n">
        <v>0</v>
      </c>
      <c r="Q858" t="n">
        <v>0</v>
      </c>
      <c r="R858" s="2" t="inlineStr"/>
    </row>
    <row r="859" ht="15" customHeight="1">
      <c r="A859" t="inlineStr">
        <is>
          <t>A 21154-2024</t>
        </is>
      </c>
      <c r="B859" s="1" t="n">
        <v>45440</v>
      </c>
      <c r="C859" s="1" t="n">
        <v>45784</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21420-2024</t>
        </is>
      </c>
      <c r="B860" s="1" t="n">
        <v>45441</v>
      </c>
      <c r="C860" s="1" t="n">
        <v>45784</v>
      </c>
      <c r="D860" t="inlineStr">
        <is>
          <t>GOTLANDS LÄN</t>
        </is>
      </c>
      <c r="E860" t="inlineStr">
        <is>
          <t>GOTLAND</t>
        </is>
      </c>
      <c r="G860" t="n">
        <v>4.1</v>
      </c>
      <c r="H860" t="n">
        <v>0</v>
      </c>
      <c r="I860" t="n">
        <v>0</v>
      </c>
      <c r="J860" t="n">
        <v>0</v>
      </c>
      <c r="K860" t="n">
        <v>0</v>
      </c>
      <c r="L860" t="n">
        <v>0</v>
      </c>
      <c r="M860" t="n">
        <v>0</v>
      </c>
      <c r="N860" t="n">
        <v>0</v>
      </c>
      <c r="O860" t="n">
        <v>0</v>
      </c>
      <c r="P860" t="n">
        <v>0</v>
      </c>
      <c r="Q860" t="n">
        <v>0</v>
      </c>
      <c r="R860" s="2" t="inlineStr"/>
    </row>
    <row r="861" ht="15" customHeight="1">
      <c r="A861" t="inlineStr">
        <is>
          <t>A 21493-2024</t>
        </is>
      </c>
      <c r="B861" s="1" t="n">
        <v>45441</v>
      </c>
      <c r="C861" s="1" t="n">
        <v>45784</v>
      </c>
      <c r="D861" t="inlineStr">
        <is>
          <t>GOTLANDS LÄN</t>
        </is>
      </c>
      <c r="E861" t="inlineStr">
        <is>
          <t>GOTLAND</t>
        </is>
      </c>
      <c r="G861" t="n">
        <v>6.4</v>
      </c>
      <c r="H861" t="n">
        <v>0</v>
      </c>
      <c r="I861" t="n">
        <v>0</v>
      </c>
      <c r="J861" t="n">
        <v>0</v>
      </c>
      <c r="K861" t="n">
        <v>0</v>
      </c>
      <c r="L861" t="n">
        <v>0</v>
      </c>
      <c r="M861" t="n">
        <v>0</v>
      </c>
      <c r="N861" t="n">
        <v>0</v>
      </c>
      <c r="O861" t="n">
        <v>0</v>
      </c>
      <c r="P861" t="n">
        <v>0</v>
      </c>
      <c r="Q861" t="n">
        <v>0</v>
      </c>
      <c r="R861" s="2" t="inlineStr"/>
    </row>
    <row r="862" ht="15" customHeight="1">
      <c r="A862" t="inlineStr">
        <is>
          <t>A 21500-2024</t>
        </is>
      </c>
      <c r="B862" s="1" t="n">
        <v>45441</v>
      </c>
      <c r="C862" s="1" t="n">
        <v>45784</v>
      </c>
      <c r="D862" t="inlineStr">
        <is>
          <t>GOTLANDS LÄN</t>
        </is>
      </c>
      <c r="E862" t="inlineStr">
        <is>
          <t>GOTLAND</t>
        </is>
      </c>
      <c r="G862" t="n">
        <v>0.9</v>
      </c>
      <c r="H862" t="n">
        <v>0</v>
      </c>
      <c r="I862" t="n">
        <v>0</v>
      </c>
      <c r="J862" t="n">
        <v>0</v>
      </c>
      <c r="K862" t="n">
        <v>0</v>
      </c>
      <c r="L862" t="n">
        <v>0</v>
      </c>
      <c r="M862" t="n">
        <v>0</v>
      </c>
      <c r="N862" t="n">
        <v>0</v>
      </c>
      <c r="O862" t="n">
        <v>0</v>
      </c>
      <c r="P862" t="n">
        <v>0</v>
      </c>
      <c r="Q862" t="n">
        <v>0</v>
      </c>
      <c r="R862" s="2" t="inlineStr"/>
    </row>
    <row r="863" ht="15" customHeight="1">
      <c r="A863" t="inlineStr">
        <is>
          <t>A 21817-2024</t>
        </is>
      </c>
      <c r="B863" s="1" t="n">
        <v>45442</v>
      </c>
      <c r="C863" s="1" t="n">
        <v>45784</v>
      </c>
      <c r="D863" t="inlineStr">
        <is>
          <t>GOTLANDS LÄN</t>
        </is>
      </c>
      <c r="E863" t="inlineStr">
        <is>
          <t>GOTLAND</t>
        </is>
      </c>
      <c r="G863" t="n">
        <v>3.7</v>
      </c>
      <c r="H863" t="n">
        <v>0</v>
      </c>
      <c r="I863" t="n">
        <v>0</v>
      </c>
      <c r="J863" t="n">
        <v>0</v>
      </c>
      <c r="K863" t="n">
        <v>0</v>
      </c>
      <c r="L863" t="n">
        <v>0</v>
      </c>
      <c r="M863" t="n">
        <v>0</v>
      </c>
      <c r="N863" t="n">
        <v>0</v>
      </c>
      <c r="O863" t="n">
        <v>0</v>
      </c>
      <c r="P863" t="n">
        <v>0</v>
      </c>
      <c r="Q863" t="n">
        <v>0</v>
      </c>
      <c r="R863" s="2" t="inlineStr"/>
    </row>
    <row r="864" ht="15" customHeight="1">
      <c r="A864" t="inlineStr">
        <is>
          <t>A 21792-2024</t>
        </is>
      </c>
      <c r="B864" s="1" t="n">
        <v>45442</v>
      </c>
      <c r="C864" s="1" t="n">
        <v>45784</v>
      </c>
      <c r="D864" t="inlineStr">
        <is>
          <t>GOTLANDS LÄN</t>
        </is>
      </c>
      <c r="E864" t="inlineStr">
        <is>
          <t>GOTLAND</t>
        </is>
      </c>
      <c r="G864" t="n">
        <v>1</v>
      </c>
      <c r="H864" t="n">
        <v>0</v>
      </c>
      <c r="I864" t="n">
        <v>0</v>
      </c>
      <c r="J864" t="n">
        <v>0</v>
      </c>
      <c r="K864" t="n">
        <v>0</v>
      </c>
      <c r="L864" t="n">
        <v>0</v>
      </c>
      <c r="M864" t="n">
        <v>0</v>
      </c>
      <c r="N864" t="n">
        <v>0</v>
      </c>
      <c r="O864" t="n">
        <v>0</v>
      </c>
      <c r="P864" t="n">
        <v>0</v>
      </c>
      <c r="Q864" t="n">
        <v>0</v>
      </c>
      <c r="R864" s="2" t="inlineStr"/>
    </row>
    <row r="865" ht="15" customHeight="1">
      <c r="A865" t="inlineStr">
        <is>
          <t>A 22031-2024</t>
        </is>
      </c>
      <c r="B865" s="1" t="n">
        <v>45443</v>
      </c>
      <c r="C865" s="1" t="n">
        <v>45784</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22860-2024</t>
        </is>
      </c>
      <c r="B866" s="1" t="n">
        <v>45448</v>
      </c>
      <c r="C866" s="1" t="n">
        <v>45784</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22851-2024</t>
        </is>
      </c>
      <c r="B867" s="1" t="n">
        <v>45448</v>
      </c>
      <c r="C867" s="1" t="n">
        <v>45784</v>
      </c>
      <c r="D867" t="inlineStr">
        <is>
          <t>GOTLANDS LÄN</t>
        </is>
      </c>
      <c r="E867" t="inlineStr">
        <is>
          <t>GOTLAND</t>
        </is>
      </c>
      <c r="G867" t="n">
        <v>5.2</v>
      </c>
      <c r="H867" t="n">
        <v>0</v>
      </c>
      <c r="I867" t="n">
        <v>0</v>
      </c>
      <c r="J867" t="n">
        <v>0</v>
      </c>
      <c r="K867" t="n">
        <v>0</v>
      </c>
      <c r="L867" t="n">
        <v>0</v>
      </c>
      <c r="M867" t="n">
        <v>0</v>
      </c>
      <c r="N867" t="n">
        <v>0</v>
      </c>
      <c r="O867" t="n">
        <v>0</v>
      </c>
      <c r="P867" t="n">
        <v>0</v>
      </c>
      <c r="Q867" t="n">
        <v>0</v>
      </c>
      <c r="R867" s="2" t="inlineStr"/>
    </row>
    <row r="868" ht="15" customHeight="1">
      <c r="A868" t="inlineStr">
        <is>
          <t>A 22883-2024</t>
        </is>
      </c>
      <c r="B868" s="1" t="n">
        <v>45448</v>
      </c>
      <c r="C868" s="1" t="n">
        <v>45784</v>
      </c>
      <c r="D868" t="inlineStr">
        <is>
          <t>GOTLANDS LÄN</t>
        </is>
      </c>
      <c r="E868" t="inlineStr">
        <is>
          <t>GOTLAND</t>
        </is>
      </c>
      <c r="G868" t="n">
        <v>0.5</v>
      </c>
      <c r="H868" t="n">
        <v>0</v>
      </c>
      <c r="I868" t="n">
        <v>0</v>
      </c>
      <c r="J868" t="n">
        <v>0</v>
      </c>
      <c r="K868" t="n">
        <v>0</v>
      </c>
      <c r="L868" t="n">
        <v>0</v>
      </c>
      <c r="M868" t="n">
        <v>0</v>
      </c>
      <c r="N868" t="n">
        <v>0</v>
      </c>
      <c r="O868" t="n">
        <v>0</v>
      </c>
      <c r="P868" t="n">
        <v>0</v>
      </c>
      <c r="Q868" t="n">
        <v>0</v>
      </c>
      <c r="R868" s="2" t="inlineStr"/>
    </row>
    <row r="869" ht="15" customHeight="1">
      <c r="A869" t="inlineStr">
        <is>
          <t>A 23518-2024</t>
        </is>
      </c>
      <c r="B869" s="1" t="n">
        <v>45453</v>
      </c>
      <c r="C869" s="1" t="n">
        <v>45784</v>
      </c>
      <c r="D869" t="inlineStr">
        <is>
          <t>GOTLANDS LÄN</t>
        </is>
      </c>
      <c r="E869" t="inlineStr">
        <is>
          <t>GOTLAND</t>
        </is>
      </c>
      <c r="G869" t="n">
        <v>1.9</v>
      </c>
      <c r="H869" t="n">
        <v>0</v>
      </c>
      <c r="I869" t="n">
        <v>0</v>
      </c>
      <c r="J869" t="n">
        <v>0</v>
      </c>
      <c r="K869" t="n">
        <v>0</v>
      </c>
      <c r="L869" t="n">
        <v>0</v>
      </c>
      <c r="M869" t="n">
        <v>0</v>
      </c>
      <c r="N869" t="n">
        <v>0</v>
      </c>
      <c r="O869" t="n">
        <v>0</v>
      </c>
      <c r="P869" t="n">
        <v>0</v>
      </c>
      <c r="Q869" t="n">
        <v>0</v>
      </c>
      <c r="R869" s="2" t="inlineStr"/>
    </row>
    <row r="870" ht="15" customHeight="1">
      <c r="A870" t="inlineStr">
        <is>
          <t>A 23658-2024</t>
        </is>
      </c>
      <c r="B870" s="1" t="n">
        <v>45454</v>
      </c>
      <c r="C870" s="1" t="n">
        <v>45784</v>
      </c>
      <c r="D870" t="inlineStr">
        <is>
          <t>GOTLANDS LÄN</t>
        </is>
      </c>
      <c r="E870" t="inlineStr">
        <is>
          <t>GOTLAND</t>
        </is>
      </c>
      <c r="G870" t="n">
        <v>4.8</v>
      </c>
      <c r="H870" t="n">
        <v>0</v>
      </c>
      <c r="I870" t="n">
        <v>0</v>
      </c>
      <c r="J870" t="n">
        <v>0</v>
      </c>
      <c r="K870" t="n">
        <v>0</v>
      </c>
      <c r="L870" t="n">
        <v>0</v>
      </c>
      <c r="M870" t="n">
        <v>0</v>
      </c>
      <c r="N870" t="n">
        <v>0</v>
      </c>
      <c r="O870" t="n">
        <v>0</v>
      </c>
      <c r="P870" t="n">
        <v>0</v>
      </c>
      <c r="Q870" t="n">
        <v>0</v>
      </c>
      <c r="R870" s="2" t="inlineStr"/>
    </row>
    <row r="871" ht="15" customHeight="1">
      <c r="A871" t="inlineStr">
        <is>
          <t>A 23617-2024</t>
        </is>
      </c>
      <c r="B871" s="1" t="n">
        <v>45454</v>
      </c>
      <c r="C871" s="1" t="n">
        <v>45784</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24358-2024</t>
        </is>
      </c>
      <c r="B872" s="1" t="n">
        <v>45457</v>
      </c>
      <c r="C872" s="1" t="n">
        <v>45784</v>
      </c>
      <c r="D872" t="inlineStr">
        <is>
          <t>GOTLANDS LÄN</t>
        </is>
      </c>
      <c r="E872" t="inlineStr">
        <is>
          <t>GOTLAND</t>
        </is>
      </c>
      <c r="G872" t="n">
        <v>1.1</v>
      </c>
      <c r="H872" t="n">
        <v>0</v>
      </c>
      <c r="I872" t="n">
        <v>0</v>
      </c>
      <c r="J872" t="n">
        <v>0</v>
      </c>
      <c r="K872" t="n">
        <v>0</v>
      </c>
      <c r="L872" t="n">
        <v>0</v>
      </c>
      <c r="M872" t="n">
        <v>0</v>
      </c>
      <c r="N872" t="n">
        <v>0</v>
      </c>
      <c r="O872" t="n">
        <v>0</v>
      </c>
      <c r="P872" t="n">
        <v>0</v>
      </c>
      <c r="Q872" t="n">
        <v>0</v>
      </c>
      <c r="R872" s="2" t="inlineStr"/>
    </row>
    <row r="873" ht="15" customHeight="1">
      <c r="A873" t="inlineStr">
        <is>
          <t>A 24746-2024</t>
        </is>
      </c>
      <c r="B873" s="1" t="n">
        <v>45460</v>
      </c>
      <c r="C873" s="1" t="n">
        <v>45784</v>
      </c>
      <c r="D873" t="inlineStr">
        <is>
          <t>GOTLANDS LÄN</t>
        </is>
      </c>
      <c r="E873" t="inlineStr">
        <is>
          <t>GOTLAND</t>
        </is>
      </c>
      <c r="G873" t="n">
        <v>1.4</v>
      </c>
      <c r="H873" t="n">
        <v>0</v>
      </c>
      <c r="I873" t="n">
        <v>0</v>
      </c>
      <c r="J873" t="n">
        <v>0</v>
      </c>
      <c r="K873" t="n">
        <v>0</v>
      </c>
      <c r="L873" t="n">
        <v>0</v>
      </c>
      <c r="M873" t="n">
        <v>0</v>
      </c>
      <c r="N873" t="n">
        <v>0</v>
      </c>
      <c r="O873" t="n">
        <v>0</v>
      </c>
      <c r="P873" t="n">
        <v>0</v>
      </c>
      <c r="Q873" t="n">
        <v>0</v>
      </c>
      <c r="R873" s="2" t="inlineStr"/>
    </row>
    <row r="874" ht="15" customHeight="1">
      <c r="A874" t="inlineStr">
        <is>
          <t>A 24825-2024</t>
        </is>
      </c>
      <c r="B874" s="1" t="n">
        <v>45461</v>
      </c>
      <c r="C874" s="1" t="n">
        <v>45784</v>
      </c>
      <c r="D874" t="inlineStr">
        <is>
          <t>GOTLANDS LÄN</t>
        </is>
      </c>
      <c r="E874" t="inlineStr">
        <is>
          <t>GOTLAND</t>
        </is>
      </c>
      <c r="G874" t="n">
        <v>1.3</v>
      </c>
      <c r="H874" t="n">
        <v>0</v>
      </c>
      <c r="I874" t="n">
        <v>0</v>
      </c>
      <c r="J874" t="n">
        <v>0</v>
      </c>
      <c r="K874" t="n">
        <v>0</v>
      </c>
      <c r="L874" t="n">
        <v>0</v>
      </c>
      <c r="M874" t="n">
        <v>0</v>
      </c>
      <c r="N874" t="n">
        <v>0</v>
      </c>
      <c r="O874" t="n">
        <v>0</v>
      </c>
      <c r="P874" t="n">
        <v>0</v>
      </c>
      <c r="Q874" t="n">
        <v>0</v>
      </c>
      <c r="R874" s="2" t="inlineStr"/>
    </row>
    <row r="875" ht="15" customHeight="1">
      <c r="A875" t="inlineStr">
        <is>
          <t>A 25463-2024</t>
        </is>
      </c>
      <c r="B875" s="1" t="n">
        <v>45463</v>
      </c>
      <c r="C875" s="1" t="n">
        <v>45784</v>
      </c>
      <c r="D875" t="inlineStr">
        <is>
          <t>GOTLANDS LÄN</t>
        </is>
      </c>
      <c r="E875" t="inlineStr">
        <is>
          <t>GOTLAND</t>
        </is>
      </c>
      <c r="G875" t="n">
        <v>17.3</v>
      </c>
      <c r="H875" t="n">
        <v>0</v>
      </c>
      <c r="I875" t="n">
        <v>0</v>
      </c>
      <c r="J875" t="n">
        <v>0</v>
      </c>
      <c r="K875" t="n">
        <v>0</v>
      </c>
      <c r="L875" t="n">
        <v>0</v>
      </c>
      <c r="M875" t="n">
        <v>0</v>
      </c>
      <c r="N875" t="n">
        <v>0</v>
      </c>
      <c r="O875" t="n">
        <v>0</v>
      </c>
      <c r="P875" t="n">
        <v>0</v>
      </c>
      <c r="Q875" t="n">
        <v>0</v>
      </c>
      <c r="R875" s="2" t="inlineStr"/>
    </row>
    <row r="876" ht="15" customHeight="1">
      <c r="A876" t="inlineStr">
        <is>
          <t>A 25739-2024</t>
        </is>
      </c>
      <c r="B876" s="1" t="n">
        <v>45465</v>
      </c>
      <c r="C876" s="1" t="n">
        <v>45784</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25740-2024</t>
        </is>
      </c>
      <c r="B877" s="1" t="n">
        <v>45465</v>
      </c>
      <c r="C877" s="1" t="n">
        <v>45784</v>
      </c>
      <c r="D877" t="inlineStr">
        <is>
          <t>GOTLANDS LÄN</t>
        </is>
      </c>
      <c r="E877" t="inlineStr">
        <is>
          <t>GOTLAND</t>
        </is>
      </c>
      <c r="G877" t="n">
        <v>2.7</v>
      </c>
      <c r="H877" t="n">
        <v>0</v>
      </c>
      <c r="I877" t="n">
        <v>0</v>
      </c>
      <c r="J877" t="n">
        <v>0</v>
      </c>
      <c r="K877" t="n">
        <v>0</v>
      </c>
      <c r="L877" t="n">
        <v>0</v>
      </c>
      <c r="M877" t="n">
        <v>0</v>
      </c>
      <c r="N877" t="n">
        <v>0</v>
      </c>
      <c r="O877" t="n">
        <v>0</v>
      </c>
      <c r="P877" t="n">
        <v>0</v>
      </c>
      <c r="Q877" t="n">
        <v>0</v>
      </c>
      <c r="R877" s="2" t="inlineStr"/>
    </row>
    <row r="878" ht="15" customHeight="1">
      <c r="A878" t="inlineStr">
        <is>
          <t>A 26221-2024</t>
        </is>
      </c>
      <c r="B878" s="1" t="n">
        <v>45468</v>
      </c>
      <c r="C878" s="1" t="n">
        <v>45784</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26194-2024</t>
        </is>
      </c>
      <c r="B879" s="1" t="n">
        <v>45468</v>
      </c>
      <c r="C879" s="1" t="n">
        <v>45784</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26206-2024</t>
        </is>
      </c>
      <c r="B880" s="1" t="n">
        <v>45468</v>
      </c>
      <c r="C880" s="1" t="n">
        <v>45784</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26110-2024</t>
        </is>
      </c>
      <c r="B881" s="1" t="n">
        <v>45468</v>
      </c>
      <c r="C881" s="1" t="n">
        <v>45784</v>
      </c>
      <c r="D881" t="inlineStr">
        <is>
          <t>GOTLANDS LÄN</t>
        </is>
      </c>
      <c r="E881" t="inlineStr">
        <is>
          <t>GOTLAND</t>
        </is>
      </c>
      <c r="G881" t="n">
        <v>6.6</v>
      </c>
      <c r="H881" t="n">
        <v>0</v>
      </c>
      <c r="I881" t="n">
        <v>0</v>
      </c>
      <c r="J881" t="n">
        <v>0</v>
      </c>
      <c r="K881" t="n">
        <v>0</v>
      </c>
      <c r="L881" t="n">
        <v>0</v>
      </c>
      <c r="M881" t="n">
        <v>0</v>
      </c>
      <c r="N881" t="n">
        <v>0</v>
      </c>
      <c r="O881" t="n">
        <v>0</v>
      </c>
      <c r="P881" t="n">
        <v>0</v>
      </c>
      <c r="Q881" t="n">
        <v>0</v>
      </c>
      <c r="R881" s="2" t="inlineStr"/>
    </row>
    <row r="882" ht="15" customHeight="1">
      <c r="A882" t="inlineStr">
        <is>
          <t>A 26891-2024</t>
        </is>
      </c>
      <c r="B882" s="1" t="n">
        <v>45470</v>
      </c>
      <c r="C882" s="1" t="n">
        <v>45784</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27850-2024</t>
        </is>
      </c>
      <c r="B883" s="1" t="n">
        <v>45475</v>
      </c>
      <c r="C883" s="1" t="n">
        <v>45784</v>
      </c>
      <c r="D883" t="inlineStr">
        <is>
          <t>GOTLANDS LÄN</t>
        </is>
      </c>
      <c r="E883" t="inlineStr">
        <is>
          <t>GOTLAND</t>
        </is>
      </c>
      <c r="G883" t="n">
        <v>4.1</v>
      </c>
      <c r="H883" t="n">
        <v>0</v>
      </c>
      <c r="I883" t="n">
        <v>0</v>
      </c>
      <c r="J883" t="n">
        <v>0</v>
      </c>
      <c r="K883" t="n">
        <v>0</v>
      </c>
      <c r="L883" t="n">
        <v>0</v>
      </c>
      <c r="M883" t="n">
        <v>0</v>
      </c>
      <c r="N883" t="n">
        <v>0</v>
      </c>
      <c r="O883" t="n">
        <v>0</v>
      </c>
      <c r="P883" t="n">
        <v>0</v>
      </c>
      <c r="Q883" t="n">
        <v>0</v>
      </c>
      <c r="R883" s="2" t="inlineStr"/>
    </row>
    <row r="884" ht="15" customHeight="1">
      <c r="A884" t="inlineStr">
        <is>
          <t>A 27694-2024</t>
        </is>
      </c>
      <c r="B884" s="1" t="n">
        <v>45475</v>
      </c>
      <c r="C884" s="1" t="n">
        <v>45784</v>
      </c>
      <c r="D884" t="inlineStr">
        <is>
          <t>GOTLANDS LÄN</t>
        </is>
      </c>
      <c r="E884" t="inlineStr">
        <is>
          <t>GOTLAND</t>
        </is>
      </c>
      <c r="G884" t="n">
        <v>1.2</v>
      </c>
      <c r="H884" t="n">
        <v>0</v>
      </c>
      <c r="I884" t="n">
        <v>0</v>
      </c>
      <c r="J884" t="n">
        <v>0</v>
      </c>
      <c r="K884" t="n">
        <v>0</v>
      </c>
      <c r="L884" t="n">
        <v>0</v>
      </c>
      <c r="M884" t="n">
        <v>0</v>
      </c>
      <c r="N884" t="n">
        <v>0</v>
      </c>
      <c r="O884" t="n">
        <v>0</v>
      </c>
      <c r="P884" t="n">
        <v>0</v>
      </c>
      <c r="Q884" t="n">
        <v>0</v>
      </c>
      <c r="R884" s="2" t="inlineStr"/>
    </row>
    <row r="885" ht="15" customHeight="1">
      <c r="A885" t="inlineStr">
        <is>
          <t>A 27696-2024</t>
        </is>
      </c>
      <c r="B885" s="1" t="n">
        <v>45475</v>
      </c>
      <c r="C885" s="1" t="n">
        <v>45784</v>
      </c>
      <c r="D885" t="inlineStr">
        <is>
          <t>GOTLANDS LÄN</t>
        </is>
      </c>
      <c r="E885" t="inlineStr">
        <is>
          <t>GOTLAND</t>
        </is>
      </c>
      <c r="G885" t="n">
        <v>2.1</v>
      </c>
      <c r="H885" t="n">
        <v>0</v>
      </c>
      <c r="I885" t="n">
        <v>0</v>
      </c>
      <c r="J885" t="n">
        <v>0</v>
      </c>
      <c r="K885" t="n">
        <v>0</v>
      </c>
      <c r="L885" t="n">
        <v>0</v>
      </c>
      <c r="M885" t="n">
        <v>0</v>
      </c>
      <c r="N885" t="n">
        <v>0</v>
      </c>
      <c r="O885" t="n">
        <v>0</v>
      </c>
      <c r="P885" t="n">
        <v>0</v>
      </c>
      <c r="Q885" t="n">
        <v>0</v>
      </c>
      <c r="R885" s="2" t="inlineStr"/>
    </row>
    <row r="886" ht="15" customHeight="1">
      <c r="A886" t="inlineStr">
        <is>
          <t>A 28285-2024</t>
        </is>
      </c>
      <c r="B886" s="1" t="n">
        <v>45477</v>
      </c>
      <c r="C886" s="1" t="n">
        <v>45784</v>
      </c>
      <c r="D886" t="inlineStr">
        <is>
          <t>GOTLANDS LÄN</t>
        </is>
      </c>
      <c r="E886" t="inlineStr">
        <is>
          <t>GOTLAND</t>
        </is>
      </c>
      <c r="G886" t="n">
        <v>1.6</v>
      </c>
      <c r="H886" t="n">
        <v>0</v>
      </c>
      <c r="I886" t="n">
        <v>0</v>
      </c>
      <c r="J886" t="n">
        <v>0</v>
      </c>
      <c r="K886" t="n">
        <v>0</v>
      </c>
      <c r="L886" t="n">
        <v>0</v>
      </c>
      <c r="M886" t="n">
        <v>0</v>
      </c>
      <c r="N886" t="n">
        <v>0</v>
      </c>
      <c r="O886" t="n">
        <v>0</v>
      </c>
      <c r="P886" t="n">
        <v>0</v>
      </c>
      <c r="Q886" t="n">
        <v>0</v>
      </c>
      <c r="R886" s="2" t="inlineStr"/>
    </row>
    <row r="887" ht="15" customHeight="1">
      <c r="A887" t="inlineStr">
        <is>
          <t>A 28309-2024</t>
        </is>
      </c>
      <c r="B887" s="1" t="n">
        <v>45477</v>
      </c>
      <c r="C887" s="1" t="n">
        <v>45784</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28328-2024</t>
        </is>
      </c>
      <c r="B888" s="1" t="n">
        <v>45477</v>
      </c>
      <c r="C888" s="1" t="n">
        <v>45784</v>
      </c>
      <c r="D888" t="inlineStr">
        <is>
          <t>GOTLANDS LÄN</t>
        </is>
      </c>
      <c r="E888" t="inlineStr">
        <is>
          <t>GOTLAND</t>
        </is>
      </c>
      <c r="G888" t="n">
        <v>1.7</v>
      </c>
      <c r="H888" t="n">
        <v>0</v>
      </c>
      <c r="I888" t="n">
        <v>0</v>
      </c>
      <c r="J888" t="n">
        <v>0</v>
      </c>
      <c r="K888" t="n">
        <v>0</v>
      </c>
      <c r="L888" t="n">
        <v>0</v>
      </c>
      <c r="M888" t="n">
        <v>0</v>
      </c>
      <c r="N888" t="n">
        <v>0</v>
      </c>
      <c r="O888" t="n">
        <v>0</v>
      </c>
      <c r="P888" t="n">
        <v>0</v>
      </c>
      <c r="Q888" t="n">
        <v>0</v>
      </c>
      <c r="R888" s="2" t="inlineStr"/>
    </row>
    <row r="889" ht="15" customHeight="1">
      <c r="A889" t="inlineStr">
        <is>
          <t>A 30365-2024</t>
        </is>
      </c>
      <c r="B889" s="1" t="n">
        <v>45491</v>
      </c>
      <c r="C889" s="1" t="n">
        <v>45784</v>
      </c>
      <c r="D889" t="inlineStr">
        <is>
          <t>GOTLANDS LÄN</t>
        </is>
      </c>
      <c r="E889" t="inlineStr">
        <is>
          <t>GOTLAND</t>
        </is>
      </c>
      <c r="G889" t="n">
        <v>0.5</v>
      </c>
      <c r="H889" t="n">
        <v>0</v>
      </c>
      <c r="I889" t="n">
        <v>0</v>
      </c>
      <c r="J889" t="n">
        <v>0</v>
      </c>
      <c r="K889" t="n">
        <v>0</v>
      </c>
      <c r="L889" t="n">
        <v>0</v>
      </c>
      <c r="M889" t="n">
        <v>0</v>
      </c>
      <c r="N889" t="n">
        <v>0</v>
      </c>
      <c r="O889" t="n">
        <v>0</v>
      </c>
      <c r="P889" t="n">
        <v>0</v>
      </c>
      <c r="Q889" t="n">
        <v>0</v>
      </c>
      <c r="R889" s="2" t="inlineStr"/>
    </row>
    <row r="890" ht="15" customHeight="1">
      <c r="A890" t="inlineStr">
        <is>
          <t>A 30595-2024</t>
        </is>
      </c>
      <c r="B890" s="1" t="n">
        <v>45493</v>
      </c>
      <c r="C890" s="1" t="n">
        <v>45784</v>
      </c>
      <c r="D890" t="inlineStr">
        <is>
          <t>GOTLANDS LÄN</t>
        </is>
      </c>
      <c r="E890" t="inlineStr">
        <is>
          <t>GOTLAND</t>
        </is>
      </c>
      <c r="G890" t="n">
        <v>2.5</v>
      </c>
      <c r="H890" t="n">
        <v>0</v>
      </c>
      <c r="I890" t="n">
        <v>0</v>
      </c>
      <c r="J890" t="n">
        <v>0</v>
      </c>
      <c r="K890" t="n">
        <v>0</v>
      </c>
      <c r="L890" t="n">
        <v>0</v>
      </c>
      <c r="M890" t="n">
        <v>0</v>
      </c>
      <c r="N890" t="n">
        <v>0</v>
      </c>
      <c r="O890" t="n">
        <v>0</v>
      </c>
      <c r="P890" t="n">
        <v>0</v>
      </c>
      <c r="Q890" t="n">
        <v>0</v>
      </c>
      <c r="R890" s="2" t="inlineStr"/>
    </row>
    <row r="891" ht="15" customHeight="1">
      <c r="A891" t="inlineStr">
        <is>
          <t>A 30596-2024</t>
        </is>
      </c>
      <c r="B891" s="1" t="n">
        <v>45493</v>
      </c>
      <c r="C891" s="1" t="n">
        <v>45784</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30597-2024</t>
        </is>
      </c>
      <c r="B892" s="1" t="n">
        <v>45493</v>
      </c>
      <c r="C892" s="1" t="n">
        <v>45784</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30956-2024</t>
        </is>
      </c>
      <c r="B893" s="1" t="n">
        <v>45499</v>
      </c>
      <c r="C893" s="1" t="n">
        <v>45784</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30954-2024</t>
        </is>
      </c>
      <c r="B894" s="1" t="n">
        <v>45499</v>
      </c>
      <c r="C894" s="1" t="n">
        <v>45784</v>
      </c>
      <c r="D894" t="inlineStr">
        <is>
          <t>GOTLANDS LÄN</t>
        </is>
      </c>
      <c r="E894" t="inlineStr">
        <is>
          <t>GOTLAND</t>
        </is>
      </c>
      <c r="G894" t="n">
        <v>3.6</v>
      </c>
      <c r="H894" t="n">
        <v>0</v>
      </c>
      <c r="I894" t="n">
        <v>0</v>
      </c>
      <c r="J894" t="n">
        <v>0</v>
      </c>
      <c r="K894" t="n">
        <v>0</v>
      </c>
      <c r="L894" t="n">
        <v>0</v>
      </c>
      <c r="M894" t="n">
        <v>0</v>
      </c>
      <c r="N894" t="n">
        <v>0</v>
      </c>
      <c r="O894" t="n">
        <v>0</v>
      </c>
      <c r="P894" t="n">
        <v>0</v>
      </c>
      <c r="Q894" t="n">
        <v>0</v>
      </c>
      <c r="R894" s="2" t="inlineStr"/>
    </row>
    <row r="895" ht="15" customHeight="1">
      <c r="A895" t="inlineStr">
        <is>
          <t>A 31352-2024</t>
        </is>
      </c>
      <c r="B895" s="1" t="n">
        <v>45505</v>
      </c>
      <c r="C895" s="1" t="n">
        <v>45784</v>
      </c>
      <c r="D895" t="inlineStr">
        <is>
          <t>GOTLANDS LÄN</t>
        </is>
      </c>
      <c r="E895" t="inlineStr">
        <is>
          <t>GOTLAND</t>
        </is>
      </c>
      <c r="G895" t="n">
        <v>5.4</v>
      </c>
      <c r="H895" t="n">
        <v>0</v>
      </c>
      <c r="I895" t="n">
        <v>0</v>
      </c>
      <c r="J895" t="n">
        <v>0</v>
      </c>
      <c r="K895" t="n">
        <v>0</v>
      </c>
      <c r="L895" t="n">
        <v>0</v>
      </c>
      <c r="M895" t="n">
        <v>0</v>
      </c>
      <c r="N895" t="n">
        <v>0</v>
      </c>
      <c r="O895" t="n">
        <v>0</v>
      </c>
      <c r="P895" t="n">
        <v>0</v>
      </c>
      <c r="Q895" t="n">
        <v>0</v>
      </c>
      <c r="R895" s="2" t="inlineStr"/>
    </row>
    <row r="896" ht="15" customHeight="1">
      <c r="A896" t="inlineStr">
        <is>
          <t>A 31401-2024</t>
        </is>
      </c>
      <c r="B896" s="1" t="n">
        <v>45505</v>
      </c>
      <c r="C896" s="1" t="n">
        <v>45784</v>
      </c>
      <c r="D896" t="inlineStr">
        <is>
          <t>GOTLANDS LÄN</t>
        </is>
      </c>
      <c r="E896" t="inlineStr">
        <is>
          <t>GOTLAND</t>
        </is>
      </c>
      <c r="G896" t="n">
        <v>4.9</v>
      </c>
      <c r="H896" t="n">
        <v>0</v>
      </c>
      <c r="I896" t="n">
        <v>0</v>
      </c>
      <c r="J896" t="n">
        <v>0</v>
      </c>
      <c r="K896" t="n">
        <v>0</v>
      </c>
      <c r="L896" t="n">
        <v>0</v>
      </c>
      <c r="M896" t="n">
        <v>0</v>
      </c>
      <c r="N896" t="n">
        <v>0</v>
      </c>
      <c r="O896" t="n">
        <v>0</v>
      </c>
      <c r="P896" t="n">
        <v>0</v>
      </c>
      <c r="Q896" t="n">
        <v>0</v>
      </c>
      <c r="R896" s="2" t="inlineStr"/>
    </row>
    <row r="897" ht="15" customHeight="1">
      <c r="A897" t="inlineStr">
        <is>
          <t>A 31802-2024</t>
        </is>
      </c>
      <c r="B897" s="1" t="n">
        <v>45509</v>
      </c>
      <c r="C897" s="1" t="n">
        <v>45784</v>
      </c>
      <c r="D897" t="inlineStr">
        <is>
          <t>GOTLANDS LÄN</t>
        </is>
      </c>
      <c r="E897" t="inlineStr">
        <is>
          <t>GOTLAND</t>
        </is>
      </c>
      <c r="G897" t="n">
        <v>2.8</v>
      </c>
      <c r="H897" t="n">
        <v>0</v>
      </c>
      <c r="I897" t="n">
        <v>0</v>
      </c>
      <c r="J897" t="n">
        <v>0</v>
      </c>
      <c r="K897" t="n">
        <v>0</v>
      </c>
      <c r="L897" t="n">
        <v>0</v>
      </c>
      <c r="M897" t="n">
        <v>0</v>
      </c>
      <c r="N897" t="n">
        <v>0</v>
      </c>
      <c r="O897" t="n">
        <v>0</v>
      </c>
      <c r="P897" t="n">
        <v>0</v>
      </c>
      <c r="Q897" t="n">
        <v>0</v>
      </c>
      <c r="R897" s="2" t="inlineStr"/>
    </row>
    <row r="898" ht="15" customHeight="1">
      <c r="A898" t="inlineStr">
        <is>
          <t>A 32322-2024</t>
        </is>
      </c>
      <c r="B898" s="1" t="n">
        <v>45512</v>
      </c>
      <c r="C898" s="1" t="n">
        <v>45784</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32330-2024</t>
        </is>
      </c>
      <c r="B899" s="1" t="n">
        <v>45512</v>
      </c>
      <c r="C899" s="1" t="n">
        <v>45784</v>
      </c>
      <c r="D899" t="inlineStr">
        <is>
          <t>GOTLANDS LÄN</t>
        </is>
      </c>
      <c r="E899" t="inlineStr">
        <is>
          <t>GOTLAND</t>
        </is>
      </c>
      <c r="G899" t="n">
        <v>2.6</v>
      </c>
      <c r="H899" t="n">
        <v>0</v>
      </c>
      <c r="I899" t="n">
        <v>0</v>
      </c>
      <c r="J899" t="n">
        <v>0</v>
      </c>
      <c r="K899" t="n">
        <v>0</v>
      </c>
      <c r="L899" t="n">
        <v>0</v>
      </c>
      <c r="M899" t="n">
        <v>0</v>
      </c>
      <c r="N899" t="n">
        <v>0</v>
      </c>
      <c r="O899" t="n">
        <v>0</v>
      </c>
      <c r="P899" t="n">
        <v>0</v>
      </c>
      <c r="Q899" t="n">
        <v>0</v>
      </c>
      <c r="R899" s="2" t="inlineStr"/>
    </row>
    <row r="900" ht="15" customHeight="1">
      <c r="A900" t="inlineStr">
        <is>
          <t>A 32669-2024</t>
        </is>
      </c>
      <c r="B900" s="1" t="n">
        <v>45514</v>
      </c>
      <c r="C900" s="1" t="n">
        <v>45784</v>
      </c>
      <c r="D900" t="inlineStr">
        <is>
          <t>GOTLANDS LÄN</t>
        </is>
      </c>
      <c r="E900" t="inlineStr">
        <is>
          <t>GOTLAND</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33518-2024</t>
        </is>
      </c>
      <c r="B901" s="1" t="n">
        <v>45519</v>
      </c>
      <c r="C901" s="1" t="n">
        <v>45784</v>
      </c>
      <c r="D901" t="inlineStr">
        <is>
          <t>GOTLANDS LÄN</t>
        </is>
      </c>
      <c r="E901" t="inlineStr">
        <is>
          <t>GOTLAND</t>
        </is>
      </c>
      <c r="G901" t="n">
        <v>7.2</v>
      </c>
      <c r="H901" t="n">
        <v>0</v>
      </c>
      <c r="I901" t="n">
        <v>0</v>
      </c>
      <c r="J901" t="n">
        <v>0</v>
      </c>
      <c r="K901" t="n">
        <v>0</v>
      </c>
      <c r="L901" t="n">
        <v>0</v>
      </c>
      <c r="M901" t="n">
        <v>0</v>
      </c>
      <c r="N901" t="n">
        <v>0</v>
      </c>
      <c r="O901" t="n">
        <v>0</v>
      </c>
      <c r="P901" t="n">
        <v>0</v>
      </c>
      <c r="Q901" t="n">
        <v>0</v>
      </c>
      <c r="R901" s="2" t="inlineStr"/>
    </row>
    <row r="902" ht="15" customHeight="1">
      <c r="A902" t="inlineStr">
        <is>
          <t>A 33853-2024</t>
        </is>
      </c>
      <c r="B902" s="1" t="n">
        <v>45520</v>
      </c>
      <c r="C902" s="1" t="n">
        <v>45784</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33876-2024</t>
        </is>
      </c>
      <c r="B903" s="1" t="n">
        <v>45521</v>
      </c>
      <c r="C903" s="1" t="n">
        <v>45784</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33928-2024</t>
        </is>
      </c>
      <c r="B904" s="1" t="n">
        <v>45523</v>
      </c>
      <c r="C904" s="1" t="n">
        <v>45784</v>
      </c>
      <c r="D904" t="inlineStr">
        <is>
          <t>GOTLANDS LÄN</t>
        </is>
      </c>
      <c r="E904" t="inlineStr">
        <is>
          <t>GOTLAND</t>
        </is>
      </c>
      <c r="G904" t="n">
        <v>0.7</v>
      </c>
      <c r="H904" t="n">
        <v>0</v>
      </c>
      <c r="I904" t="n">
        <v>0</v>
      </c>
      <c r="J904" t="n">
        <v>0</v>
      </c>
      <c r="K904" t="n">
        <v>0</v>
      </c>
      <c r="L904" t="n">
        <v>0</v>
      </c>
      <c r="M904" t="n">
        <v>0</v>
      </c>
      <c r="N904" t="n">
        <v>0</v>
      </c>
      <c r="O904" t="n">
        <v>0</v>
      </c>
      <c r="P904" t="n">
        <v>0</v>
      </c>
      <c r="Q904" t="n">
        <v>0</v>
      </c>
      <c r="R904" s="2" t="inlineStr"/>
    </row>
    <row r="905" ht="15" customHeight="1">
      <c r="A905" t="inlineStr">
        <is>
          <t>A 34167-2024</t>
        </is>
      </c>
      <c r="B905" s="1" t="n">
        <v>45524</v>
      </c>
      <c r="C905" s="1" t="n">
        <v>45784</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34157-2024</t>
        </is>
      </c>
      <c r="B906" s="1" t="n">
        <v>45524</v>
      </c>
      <c r="C906" s="1" t="n">
        <v>45784</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34142-2024</t>
        </is>
      </c>
      <c r="B907" s="1" t="n">
        <v>45524</v>
      </c>
      <c r="C907" s="1" t="n">
        <v>45784</v>
      </c>
      <c r="D907" t="inlineStr">
        <is>
          <t>GOTLANDS LÄN</t>
        </is>
      </c>
      <c r="E907" t="inlineStr">
        <is>
          <t>GOTLAND</t>
        </is>
      </c>
      <c r="G907" t="n">
        <v>6</v>
      </c>
      <c r="H907" t="n">
        <v>0</v>
      </c>
      <c r="I907" t="n">
        <v>0</v>
      </c>
      <c r="J907" t="n">
        <v>0</v>
      </c>
      <c r="K907" t="n">
        <v>0</v>
      </c>
      <c r="L907" t="n">
        <v>0</v>
      </c>
      <c r="M907" t="n">
        <v>0</v>
      </c>
      <c r="N907" t="n">
        <v>0</v>
      </c>
      <c r="O907" t="n">
        <v>0</v>
      </c>
      <c r="P907" t="n">
        <v>0</v>
      </c>
      <c r="Q907" t="n">
        <v>0</v>
      </c>
      <c r="R907" s="2" t="inlineStr"/>
    </row>
    <row r="908" ht="15" customHeight="1">
      <c r="A908" t="inlineStr">
        <is>
          <t>A 34154-2024</t>
        </is>
      </c>
      <c r="B908" s="1" t="n">
        <v>45524</v>
      </c>
      <c r="C908" s="1" t="n">
        <v>45784</v>
      </c>
      <c r="D908" t="inlineStr">
        <is>
          <t>GOTLANDS LÄN</t>
        </is>
      </c>
      <c r="E908" t="inlineStr">
        <is>
          <t>GOTLAND</t>
        </is>
      </c>
      <c r="G908" t="n">
        <v>9.9</v>
      </c>
      <c r="H908" t="n">
        <v>0</v>
      </c>
      <c r="I908" t="n">
        <v>0</v>
      </c>
      <c r="J908" t="n">
        <v>0</v>
      </c>
      <c r="K908" t="n">
        <v>0</v>
      </c>
      <c r="L908" t="n">
        <v>0</v>
      </c>
      <c r="M908" t="n">
        <v>0</v>
      </c>
      <c r="N908" t="n">
        <v>0</v>
      </c>
      <c r="O908" t="n">
        <v>0</v>
      </c>
      <c r="P908" t="n">
        <v>0</v>
      </c>
      <c r="Q908" t="n">
        <v>0</v>
      </c>
      <c r="R908" s="2" t="inlineStr"/>
    </row>
    <row r="909" ht="15" customHeight="1">
      <c r="A909" t="inlineStr">
        <is>
          <t>A 34170-2024</t>
        </is>
      </c>
      <c r="B909" s="1" t="n">
        <v>45524</v>
      </c>
      <c r="C909" s="1" t="n">
        <v>45784</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34312-2024</t>
        </is>
      </c>
      <c r="B910" s="1" t="n">
        <v>45524</v>
      </c>
      <c r="C910" s="1" t="n">
        <v>45784</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35093-2024</t>
        </is>
      </c>
      <c r="B911" s="1" t="n">
        <v>45527</v>
      </c>
      <c r="C911" s="1" t="n">
        <v>45784</v>
      </c>
      <c r="D911" t="inlineStr">
        <is>
          <t>GOTLANDS LÄN</t>
        </is>
      </c>
      <c r="E911" t="inlineStr">
        <is>
          <t>GOTLAND</t>
        </is>
      </c>
      <c r="G911" t="n">
        <v>2.4</v>
      </c>
      <c r="H911" t="n">
        <v>0</v>
      </c>
      <c r="I911" t="n">
        <v>0</v>
      </c>
      <c r="J911" t="n">
        <v>0</v>
      </c>
      <c r="K911" t="n">
        <v>0</v>
      </c>
      <c r="L911" t="n">
        <v>0</v>
      </c>
      <c r="M911" t="n">
        <v>0</v>
      </c>
      <c r="N911" t="n">
        <v>0</v>
      </c>
      <c r="O911" t="n">
        <v>0</v>
      </c>
      <c r="P911" t="n">
        <v>0</v>
      </c>
      <c r="Q911" t="n">
        <v>0</v>
      </c>
      <c r="R911" s="2" t="inlineStr"/>
    </row>
    <row r="912" ht="15" customHeight="1">
      <c r="A912" t="inlineStr">
        <is>
          <t>A 36539-2024</t>
        </is>
      </c>
      <c r="B912" s="1" t="n">
        <v>45537</v>
      </c>
      <c r="C912" s="1" t="n">
        <v>45784</v>
      </c>
      <c r="D912" t="inlineStr">
        <is>
          <t>GOTLANDS LÄN</t>
        </is>
      </c>
      <c r="E912" t="inlineStr">
        <is>
          <t>GOTLAND</t>
        </is>
      </c>
      <c r="G912" t="n">
        <v>5.9</v>
      </c>
      <c r="H912" t="n">
        <v>0</v>
      </c>
      <c r="I912" t="n">
        <v>0</v>
      </c>
      <c r="J912" t="n">
        <v>0</v>
      </c>
      <c r="K912" t="n">
        <v>0</v>
      </c>
      <c r="L912" t="n">
        <v>0</v>
      </c>
      <c r="M912" t="n">
        <v>0</v>
      </c>
      <c r="N912" t="n">
        <v>0</v>
      </c>
      <c r="O912" t="n">
        <v>0</v>
      </c>
      <c r="P912" t="n">
        <v>0</v>
      </c>
      <c r="Q912" t="n">
        <v>0</v>
      </c>
      <c r="R912" s="2" t="inlineStr"/>
    </row>
    <row r="913" ht="15" customHeight="1">
      <c r="A913" t="inlineStr">
        <is>
          <t>A 37225-2024</t>
        </is>
      </c>
      <c r="B913" s="1" t="n">
        <v>45539</v>
      </c>
      <c r="C913" s="1" t="n">
        <v>45784</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37202-2024</t>
        </is>
      </c>
      <c r="B914" s="1" t="n">
        <v>45539</v>
      </c>
      <c r="C914" s="1" t="n">
        <v>45784</v>
      </c>
      <c r="D914" t="inlineStr">
        <is>
          <t>GOTLANDS LÄN</t>
        </is>
      </c>
      <c r="E914" t="inlineStr">
        <is>
          <t>GOTLAND</t>
        </is>
      </c>
      <c r="G914" t="n">
        <v>0.3</v>
      </c>
      <c r="H914" t="n">
        <v>0</v>
      </c>
      <c r="I914" t="n">
        <v>0</v>
      </c>
      <c r="J914" t="n">
        <v>0</v>
      </c>
      <c r="K914" t="n">
        <v>0</v>
      </c>
      <c r="L914" t="n">
        <v>0</v>
      </c>
      <c r="M914" t="n">
        <v>0</v>
      </c>
      <c r="N914" t="n">
        <v>0</v>
      </c>
      <c r="O914" t="n">
        <v>0</v>
      </c>
      <c r="P914" t="n">
        <v>0</v>
      </c>
      <c r="Q914" t="n">
        <v>0</v>
      </c>
      <c r="R914" s="2" t="inlineStr"/>
    </row>
    <row r="915" ht="15" customHeight="1">
      <c r="A915" t="inlineStr">
        <is>
          <t>A 37376-2024</t>
        </is>
      </c>
      <c r="B915" s="1" t="n">
        <v>45540</v>
      </c>
      <c r="C915" s="1" t="n">
        <v>45784</v>
      </c>
      <c r="D915" t="inlineStr">
        <is>
          <t>GOTLANDS LÄN</t>
        </is>
      </c>
      <c r="E915" t="inlineStr">
        <is>
          <t>GOTLAND</t>
        </is>
      </c>
      <c r="G915" t="n">
        <v>4.9</v>
      </c>
      <c r="H915" t="n">
        <v>0</v>
      </c>
      <c r="I915" t="n">
        <v>0</v>
      </c>
      <c r="J915" t="n">
        <v>0</v>
      </c>
      <c r="K915" t="n">
        <v>0</v>
      </c>
      <c r="L915" t="n">
        <v>0</v>
      </c>
      <c r="M915" t="n">
        <v>0</v>
      </c>
      <c r="N915" t="n">
        <v>0</v>
      </c>
      <c r="O915" t="n">
        <v>0</v>
      </c>
      <c r="P915" t="n">
        <v>0</v>
      </c>
      <c r="Q915" t="n">
        <v>0</v>
      </c>
      <c r="R915" s="2" t="inlineStr"/>
    </row>
    <row r="916" ht="15" customHeight="1">
      <c r="A916" t="inlineStr">
        <is>
          <t>A 37442-2024</t>
        </is>
      </c>
      <c r="B916" s="1" t="n">
        <v>45540</v>
      </c>
      <c r="C916" s="1" t="n">
        <v>45784</v>
      </c>
      <c r="D916" t="inlineStr">
        <is>
          <t>GOTLANDS LÄN</t>
        </is>
      </c>
      <c r="E916" t="inlineStr">
        <is>
          <t>GOTLAND</t>
        </is>
      </c>
      <c r="G916" t="n">
        <v>4.3</v>
      </c>
      <c r="H916" t="n">
        <v>0</v>
      </c>
      <c r="I916" t="n">
        <v>0</v>
      </c>
      <c r="J916" t="n">
        <v>0</v>
      </c>
      <c r="K916" t="n">
        <v>0</v>
      </c>
      <c r="L916" t="n">
        <v>0</v>
      </c>
      <c r="M916" t="n">
        <v>0</v>
      </c>
      <c r="N916" t="n">
        <v>0</v>
      </c>
      <c r="O916" t="n">
        <v>0</v>
      </c>
      <c r="P916" t="n">
        <v>0</v>
      </c>
      <c r="Q916" t="n">
        <v>0</v>
      </c>
      <c r="R916" s="2" t="inlineStr"/>
    </row>
    <row r="917" ht="15" customHeight="1">
      <c r="A917" t="inlineStr">
        <is>
          <t>A 37440-2024</t>
        </is>
      </c>
      <c r="B917" s="1" t="n">
        <v>45540</v>
      </c>
      <c r="C917" s="1" t="n">
        <v>45784</v>
      </c>
      <c r="D917" t="inlineStr">
        <is>
          <t>GOTLANDS LÄN</t>
        </is>
      </c>
      <c r="E917" t="inlineStr">
        <is>
          <t>GOTLAND</t>
        </is>
      </c>
      <c r="G917" t="n">
        <v>1</v>
      </c>
      <c r="H917" t="n">
        <v>0</v>
      </c>
      <c r="I917" t="n">
        <v>0</v>
      </c>
      <c r="J917" t="n">
        <v>0</v>
      </c>
      <c r="K917" t="n">
        <v>0</v>
      </c>
      <c r="L917" t="n">
        <v>0</v>
      </c>
      <c r="M917" t="n">
        <v>0</v>
      </c>
      <c r="N917" t="n">
        <v>0</v>
      </c>
      <c r="O917" t="n">
        <v>0</v>
      </c>
      <c r="P917" t="n">
        <v>0</v>
      </c>
      <c r="Q917" t="n">
        <v>0</v>
      </c>
      <c r="R917" s="2" t="inlineStr"/>
    </row>
    <row r="918" ht="15" customHeight="1">
      <c r="A918" t="inlineStr">
        <is>
          <t>A 37728-2024</t>
        </is>
      </c>
      <c r="B918" s="1" t="n">
        <v>45541</v>
      </c>
      <c r="C918" s="1" t="n">
        <v>45784</v>
      </c>
      <c r="D918" t="inlineStr">
        <is>
          <t>GOTLANDS LÄN</t>
        </is>
      </c>
      <c r="E918" t="inlineStr">
        <is>
          <t>GOTLAND</t>
        </is>
      </c>
      <c r="G918" t="n">
        <v>0.4</v>
      </c>
      <c r="H918" t="n">
        <v>0</v>
      </c>
      <c r="I918" t="n">
        <v>0</v>
      </c>
      <c r="J918" t="n">
        <v>0</v>
      </c>
      <c r="K918" t="n">
        <v>0</v>
      </c>
      <c r="L918" t="n">
        <v>0</v>
      </c>
      <c r="M918" t="n">
        <v>0</v>
      </c>
      <c r="N918" t="n">
        <v>0</v>
      </c>
      <c r="O918" t="n">
        <v>0</v>
      </c>
      <c r="P918" t="n">
        <v>0</v>
      </c>
      <c r="Q918" t="n">
        <v>0</v>
      </c>
      <c r="R918" s="2" t="inlineStr"/>
    </row>
    <row r="919" ht="15" customHeight="1">
      <c r="A919" t="inlineStr">
        <is>
          <t>A 37808-2024</t>
        </is>
      </c>
      <c r="B919" s="1" t="n">
        <v>45543</v>
      </c>
      <c r="C919" s="1" t="n">
        <v>45784</v>
      </c>
      <c r="D919" t="inlineStr">
        <is>
          <t>GOTLANDS LÄN</t>
        </is>
      </c>
      <c r="E919" t="inlineStr">
        <is>
          <t>GOTLAND</t>
        </is>
      </c>
      <c r="G919" t="n">
        <v>2.3</v>
      </c>
      <c r="H919" t="n">
        <v>0</v>
      </c>
      <c r="I919" t="n">
        <v>0</v>
      </c>
      <c r="J919" t="n">
        <v>0</v>
      </c>
      <c r="K919" t="n">
        <v>0</v>
      </c>
      <c r="L919" t="n">
        <v>0</v>
      </c>
      <c r="M919" t="n">
        <v>0</v>
      </c>
      <c r="N919" t="n">
        <v>0</v>
      </c>
      <c r="O919" t="n">
        <v>0</v>
      </c>
      <c r="P919" t="n">
        <v>0</v>
      </c>
      <c r="Q919" t="n">
        <v>0</v>
      </c>
      <c r="R919" s="2" t="inlineStr"/>
    </row>
    <row r="920" ht="15" customHeight="1">
      <c r="A920" t="inlineStr">
        <is>
          <t>A 39311-2024</t>
        </is>
      </c>
      <c r="B920" s="1" t="n">
        <v>45551</v>
      </c>
      <c r="C920" s="1" t="n">
        <v>45784</v>
      </c>
      <c r="D920" t="inlineStr">
        <is>
          <t>GOTLANDS LÄN</t>
        </is>
      </c>
      <c r="E920" t="inlineStr">
        <is>
          <t>GOTLAND</t>
        </is>
      </c>
      <c r="G920" t="n">
        <v>2.8</v>
      </c>
      <c r="H920" t="n">
        <v>0</v>
      </c>
      <c r="I920" t="n">
        <v>0</v>
      </c>
      <c r="J920" t="n">
        <v>0</v>
      </c>
      <c r="K920" t="n">
        <v>0</v>
      </c>
      <c r="L920" t="n">
        <v>0</v>
      </c>
      <c r="M920" t="n">
        <v>0</v>
      </c>
      <c r="N920" t="n">
        <v>0</v>
      </c>
      <c r="O920" t="n">
        <v>0</v>
      </c>
      <c r="P920" t="n">
        <v>0</v>
      </c>
      <c r="Q920" t="n">
        <v>0</v>
      </c>
      <c r="R920" s="2" t="inlineStr"/>
    </row>
    <row r="921" ht="15" customHeight="1">
      <c r="A921" t="inlineStr">
        <is>
          <t>A 41373-2024</t>
        </is>
      </c>
      <c r="B921" s="1" t="n">
        <v>45559</v>
      </c>
      <c r="C921" s="1" t="n">
        <v>45784</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41372-2024</t>
        </is>
      </c>
      <c r="B922" s="1" t="n">
        <v>45559</v>
      </c>
      <c r="C922" s="1" t="n">
        <v>45784</v>
      </c>
      <c r="D922" t="inlineStr">
        <is>
          <t>GOTLANDS LÄN</t>
        </is>
      </c>
      <c r="E922" t="inlineStr">
        <is>
          <t>GOTLAND</t>
        </is>
      </c>
      <c r="G922" t="n">
        <v>3.3</v>
      </c>
      <c r="H922" t="n">
        <v>0</v>
      </c>
      <c r="I922" t="n">
        <v>0</v>
      </c>
      <c r="J922" t="n">
        <v>0</v>
      </c>
      <c r="K922" t="n">
        <v>0</v>
      </c>
      <c r="L922" t="n">
        <v>0</v>
      </c>
      <c r="M922" t="n">
        <v>0</v>
      </c>
      <c r="N922" t="n">
        <v>0</v>
      </c>
      <c r="O922" t="n">
        <v>0</v>
      </c>
      <c r="P922" t="n">
        <v>0</v>
      </c>
      <c r="Q922" t="n">
        <v>0</v>
      </c>
      <c r="R922" s="2" t="inlineStr"/>
    </row>
    <row r="923" ht="15" customHeight="1">
      <c r="A923" t="inlineStr">
        <is>
          <t>A 41467-2024</t>
        </is>
      </c>
      <c r="B923" s="1" t="n">
        <v>45560</v>
      </c>
      <c r="C923" s="1" t="n">
        <v>45784</v>
      </c>
      <c r="D923" t="inlineStr">
        <is>
          <t>GOTLANDS LÄN</t>
        </is>
      </c>
      <c r="E923" t="inlineStr">
        <is>
          <t>GOTLAND</t>
        </is>
      </c>
      <c r="G923" t="n">
        <v>9</v>
      </c>
      <c r="H923" t="n">
        <v>0</v>
      </c>
      <c r="I923" t="n">
        <v>0</v>
      </c>
      <c r="J923" t="n">
        <v>0</v>
      </c>
      <c r="K923" t="n">
        <v>0</v>
      </c>
      <c r="L923" t="n">
        <v>0</v>
      </c>
      <c r="M923" t="n">
        <v>0</v>
      </c>
      <c r="N923" t="n">
        <v>0</v>
      </c>
      <c r="O923" t="n">
        <v>0</v>
      </c>
      <c r="P923" t="n">
        <v>0</v>
      </c>
      <c r="Q923" t="n">
        <v>0</v>
      </c>
      <c r="R923" s="2" t="inlineStr"/>
    </row>
    <row r="924" ht="15" customHeight="1">
      <c r="A924" t="inlineStr">
        <is>
          <t>A 42041-2024</t>
        </is>
      </c>
      <c r="B924" s="1" t="n">
        <v>45561</v>
      </c>
      <c r="C924" s="1" t="n">
        <v>45784</v>
      </c>
      <c r="D924" t="inlineStr">
        <is>
          <t>GOTLANDS LÄN</t>
        </is>
      </c>
      <c r="E924" t="inlineStr">
        <is>
          <t>GOTLAND</t>
        </is>
      </c>
      <c r="G924" t="n">
        <v>3.2</v>
      </c>
      <c r="H924" t="n">
        <v>0</v>
      </c>
      <c r="I924" t="n">
        <v>0</v>
      </c>
      <c r="J924" t="n">
        <v>0</v>
      </c>
      <c r="K924" t="n">
        <v>0</v>
      </c>
      <c r="L924" t="n">
        <v>0</v>
      </c>
      <c r="M924" t="n">
        <v>0</v>
      </c>
      <c r="N924" t="n">
        <v>0</v>
      </c>
      <c r="O924" t="n">
        <v>0</v>
      </c>
      <c r="P924" t="n">
        <v>0</v>
      </c>
      <c r="Q924" t="n">
        <v>0</v>
      </c>
      <c r="R924" s="2" t="inlineStr"/>
    </row>
    <row r="925" ht="15" customHeight="1">
      <c r="A925" t="inlineStr">
        <is>
          <t>A 42340-2024</t>
        </is>
      </c>
      <c r="B925" s="1" t="n">
        <v>45562</v>
      </c>
      <c r="C925" s="1" t="n">
        <v>45784</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42348-2024</t>
        </is>
      </c>
      <c r="B926" s="1" t="n">
        <v>45562</v>
      </c>
      <c r="C926" s="1" t="n">
        <v>45784</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42346-2024</t>
        </is>
      </c>
      <c r="B927" s="1" t="n">
        <v>45562</v>
      </c>
      <c r="C927" s="1" t="n">
        <v>45784</v>
      </c>
      <c r="D927" t="inlineStr">
        <is>
          <t>GOTLANDS LÄN</t>
        </is>
      </c>
      <c r="E927" t="inlineStr">
        <is>
          <t>GOTLAND</t>
        </is>
      </c>
      <c r="G927" t="n">
        <v>1.3</v>
      </c>
      <c r="H927" t="n">
        <v>0</v>
      </c>
      <c r="I927" t="n">
        <v>0</v>
      </c>
      <c r="J927" t="n">
        <v>0</v>
      </c>
      <c r="K927" t="n">
        <v>0</v>
      </c>
      <c r="L927" t="n">
        <v>0</v>
      </c>
      <c r="M927" t="n">
        <v>0</v>
      </c>
      <c r="N927" t="n">
        <v>0</v>
      </c>
      <c r="O927" t="n">
        <v>0</v>
      </c>
      <c r="P927" t="n">
        <v>0</v>
      </c>
      <c r="Q927" t="n">
        <v>0</v>
      </c>
      <c r="R927" s="2" t="inlineStr"/>
    </row>
    <row r="928" ht="15" customHeight="1">
      <c r="A928" t="inlineStr">
        <is>
          <t>A 43785-2024</t>
        </is>
      </c>
      <c r="B928" s="1" t="n">
        <v>45570</v>
      </c>
      <c r="C928" s="1" t="n">
        <v>45784</v>
      </c>
      <c r="D928" t="inlineStr">
        <is>
          <t>GOTLANDS LÄN</t>
        </is>
      </c>
      <c r="E928" t="inlineStr">
        <is>
          <t>GOTLAND</t>
        </is>
      </c>
      <c r="G928" t="n">
        <v>12.6</v>
      </c>
      <c r="H928" t="n">
        <v>0</v>
      </c>
      <c r="I928" t="n">
        <v>0</v>
      </c>
      <c r="J928" t="n">
        <v>0</v>
      </c>
      <c r="K928" t="n">
        <v>0</v>
      </c>
      <c r="L928" t="n">
        <v>0</v>
      </c>
      <c r="M928" t="n">
        <v>0</v>
      </c>
      <c r="N928" t="n">
        <v>0</v>
      </c>
      <c r="O928" t="n">
        <v>0</v>
      </c>
      <c r="P928" t="n">
        <v>0</v>
      </c>
      <c r="Q928" t="n">
        <v>0</v>
      </c>
      <c r="R928" s="2" t="inlineStr"/>
    </row>
    <row r="929" ht="15" customHeight="1">
      <c r="A929" t="inlineStr">
        <is>
          <t>A 43784-2024</t>
        </is>
      </c>
      <c r="B929" s="1" t="n">
        <v>45570</v>
      </c>
      <c r="C929" s="1" t="n">
        <v>45784</v>
      </c>
      <c r="D929" t="inlineStr">
        <is>
          <t>GOTLANDS LÄN</t>
        </is>
      </c>
      <c r="E929" t="inlineStr">
        <is>
          <t>GOTLAND</t>
        </is>
      </c>
      <c r="G929" t="n">
        <v>9.1</v>
      </c>
      <c r="H929" t="n">
        <v>0</v>
      </c>
      <c r="I929" t="n">
        <v>0</v>
      </c>
      <c r="J929" t="n">
        <v>0</v>
      </c>
      <c r="K929" t="n">
        <v>0</v>
      </c>
      <c r="L929" t="n">
        <v>0</v>
      </c>
      <c r="M929" t="n">
        <v>0</v>
      </c>
      <c r="N929" t="n">
        <v>0</v>
      </c>
      <c r="O929" t="n">
        <v>0</v>
      </c>
      <c r="P929" t="n">
        <v>0</v>
      </c>
      <c r="Q929" t="n">
        <v>0</v>
      </c>
      <c r="R929" s="2" t="inlineStr"/>
    </row>
    <row r="930" ht="15" customHeight="1">
      <c r="A930" t="inlineStr">
        <is>
          <t>A 43787-2024</t>
        </is>
      </c>
      <c r="B930" s="1" t="n">
        <v>45571</v>
      </c>
      <c r="C930" s="1" t="n">
        <v>45784</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43790-2024</t>
        </is>
      </c>
      <c r="B931" s="1" t="n">
        <v>45571</v>
      </c>
      <c r="C931" s="1" t="n">
        <v>45784</v>
      </c>
      <c r="D931" t="inlineStr">
        <is>
          <t>GOTLANDS LÄN</t>
        </is>
      </c>
      <c r="E931" t="inlineStr">
        <is>
          <t>GOTLAND</t>
        </is>
      </c>
      <c r="G931" t="n">
        <v>3.5</v>
      </c>
      <c r="H931" t="n">
        <v>0</v>
      </c>
      <c r="I931" t="n">
        <v>0</v>
      </c>
      <c r="J931" t="n">
        <v>0</v>
      </c>
      <c r="K931" t="n">
        <v>0</v>
      </c>
      <c r="L931" t="n">
        <v>0</v>
      </c>
      <c r="M931" t="n">
        <v>0</v>
      </c>
      <c r="N931" t="n">
        <v>0</v>
      </c>
      <c r="O931" t="n">
        <v>0</v>
      </c>
      <c r="P931" t="n">
        <v>0</v>
      </c>
      <c r="Q931" t="n">
        <v>0</v>
      </c>
      <c r="R931" s="2" t="inlineStr"/>
    </row>
    <row r="932" ht="15" customHeight="1">
      <c r="A932" t="inlineStr">
        <is>
          <t>A 43788-2024</t>
        </is>
      </c>
      <c r="B932" s="1" t="n">
        <v>45571</v>
      </c>
      <c r="C932" s="1" t="n">
        <v>45784</v>
      </c>
      <c r="D932" t="inlineStr">
        <is>
          <t>GOTLANDS LÄN</t>
        </is>
      </c>
      <c r="E932" t="inlineStr">
        <is>
          <t>GOTLAND</t>
        </is>
      </c>
      <c r="G932" t="n">
        <v>4.1</v>
      </c>
      <c r="H932" t="n">
        <v>0</v>
      </c>
      <c r="I932" t="n">
        <v>0</v>
      </c>
      <c r="J932" t="n">
        <v>0</v>
      </c>
      <c r="K932" t="n">
        <v>0</v>
      </c>
      <c r="L932" t="n">
        <v>0</v>
      </c>
      <c r="M932" t="n">
        <v>0</v>
      </c>
      <c r="N932" t="n">
        <v>0</v>
      </c>
      <c r="O932" t="n">
        <v>0</v>
      </c>
      <c r="P932" t="n">
        <v>0</v>
      </c>
      <c r="Q932" t="n">
        <v>0</v>
      </c>
      <c r="R932" s="2" t="inlineStr"/>
    </row>
    <row r="933" ht="15" customHeight="1">
      <c r="A933" t="inlineStr">
        <is>
          <t>A 44416-2024</t>
        </is>
      </c>
      <c r="B933" s="1" t="n">
        <v>45573</v>
      </c>
      <c r="C933" s="1" t="n">
        <v>45784</v>
      </c>
      <c r="D933" t="inlineStr">
        <is>
          <t>GOTLANDS LÄN</t>
        </is>
      </c>
      <c r="E933" t="inlineStr">
        <is>
          <t>GOTLAND</t>
        </is>
      </c>
      <c r="G933" t="n">
        <v>0.8</v>
      </c>
      <c r="H933" t="n">
        <v>0</v>
      </c>
      <c r="I933" t="n">
        <v>0</v>
      </c>
      <c r="J933" t="n">
        <v>0</v>
      </c>
      <c r="K933" t="n">
        <v>0</v>
      </c>
      <c r="L933" t="n">
        <v>0</v>
      </c>
      <c r="M933" t="n">
        <v>0</v>
      </c>
      <c r="N933" t="n">
        <v>0</v>
      </c>
      <c r="O933" t="n">
        <v>0</v>
      </c>
      <c r="P933" t="n">
        <v>0</v>
      </c>
      <c r="Q933" t="n">
        <v>0</v>
      </c>
      <c r="R933" s="2" t="inlineStr"/>
    </row>
    <row r="934" ht="15" customHeight="1">
      <c r="A934" t="inlineStr">
        <is>
          <t>A 44513-2024</t>
        </is>
      </c>
      <c r="B934" s="1" t="n">
        <v>45574</v>
      </c>
      <c r="C934" s="1" t="n">
        <v>45784</v>
      </c>
      <c r="D934" t="inlineStr">
        <is>
          <t>GOTLANDS LÄN</t>
        </is>
      </c>
      <c r="E934" t="inlineStr">
        <is>
          <t>GOTLAND</t>
        </is>
      </c>
      <c r="G934" t="n">
        <v>6.1</v>
      </c>
      <c r="H934" t="n">
        <v>0</v>
      </c>
      <c r="I934" t="n">
        <v>0</v>
      </c>
      <c r="J934" t="n">
        <v>0</v>
      </c>
      <c r="K934" t="n">
        <v>0</v>
      </c>
      <c r="L934" t="n">
        <v>0</v>
      </c>
      <c r="M934" t="n">
        <v>0</v>
      </c>
      <c r="N934" t="n">
        <v>0</v>
      </c>
      <c r="O934" t="n">
        <v>0</v>
      </c>
      <c r="P934" t="n">
        <v>0</v>
      </c>
      <c r="Q934" t="n">
        <v>0</v>
      </c>
      <c r="R934" s="2" t="inlineStr"/>
    </row>
    <row r="935" ht="15" customHeight="1">
      <c r="A935" t="inlineStr">
        <is>
          <t>A 45112-2024</t>
        </is>
      </c>
      <c r="B935" s="1" t="n">
        <v>45575</v>
      </c>
      <c r="C935" s="1" t="n">
        <v>45784</v>
      </c>
      <c r="D935" t="inlineStr">
        <is>
          <t>GOTLANDS LÄN</t>
        </is>
      </c>
      <c r="E935" t="inlineStr">
        <is>
          <t>GOTLAND</t>
        </is>
      </c>
      <c r="G935" t="n">
        <v>5.1</v>
      </c>
      <c r="H935" t="n">
        <v>0</v>
      </c>
      <c r="I935" t="n">
        <v>0</v>
      </c>
      <c r="J935" t="n">
        <v>0</v>
      </c>
      <c r="K935" t="n">
        <v>0</v>
      </c>
      <c r="L935" t="n">
        <v>0</v>
      </c>
      <c r="M935" t="n">
        <v>0</v>
      </c>
      <c r="N935" t="n">
        <v>0</v>
      </c>
      <c r="O935" t="n">
        <v>0</v>
      </c>
      <c r="P935" t="n">
        <v>0</v>
      </c>
      <c r="Q935" t="n">
        <v>0</v>
      </c>
      <c r="R935" s="2" t="inlineStr"/>
    </row>
    <row r="936" ht="15" customHeight="1">
      <c r="A936" t="inlineStr">
        <is>
          <t>A 45101-2024</t>
        </is>
      </c>
      <c r="B936" s="1" t="n">
        <v>45575</v>
      </c>
      <c r="C936" s="1" t="n">
        <v>45784</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45106-2024</t>
        </is>
      </c>
      <c r="B937" s="1" t="n">
        <v>45575</v>
      </c>
      <c r="C937" s="1" t="n">
        <v>45784</v>
      </c>
      <c r="D937" t="inlineStr">
        <is>
          <t>GOTLANDS LÄN</t>
        </is>
      </c>
      <c r="E937" t="inlineStr">
        <is>
          <t>GOTLAND</t>
        </is>
      </c>
      <c r="G937" t="n">
        <v>10</v>
      </c>
      <c r="H937" t="n">
        <v>0</v>
      </c>
      <c r="I937" t="n">
        <v>0</v>
      </c>
      <c r="J937" t="n">
        <v>0</v>
      </c>
      <c r="K937" t="n">
        <v>0</v>
      </c>
      <c r="L937" t="n">
        <v>0</v>
      </c>
      <c r="M937" t="n">
        <v>0</v>
      </c>
      <c r="N937" t="n">
        <v>0</v>
      </c>
      <c r="O937" t="n">
        <v>0</v>
      </c>
      <c r="P937" t="n">
        <v>0</v>
      </c>
      <c r="Q937" t="n">
        <v>0</v>
      </c>
      <c r="R937" s="2" t="inlineStr"/>
    </row>
    <row r="938" ht="15" customHeight="1">
      <c r="A938" t="inlineStr">
        <is>
          <t>A 44892-2024</t>
        </is>
      </c>
      <c r="B938" s="1" t="n">
        <v>45575</v>
      </c>
      <c r="C938" s="1" t="n">
        <v>45784</v>
      </c>
      <c r="D938" t="inlineStr">
        <is>
          <t>GOTLANDS LÄN</t>
        </is>
      </c>
      <c r="E938" t="inlineStr">
        <is>
          <t>GOTLAND</t>
        </is>
      </c>
      <c r="G938" t="n">
        <v>2.9</v>
      </c>
      <c r="H938" t="n">
        <v>0</v>
      </c>
      <c r="I938" t="n">
        <v>0</v>
      </c>
      <c r="J938" t="n">
        <v>0</v>
      </c>
      <c r="K938" t="n">
        <v>0</v>
      </c>
      <c r="L938" t="n">
        <v>0</v>
      </c>
      <c r="M938" t="n">
        <v>0</v>
      </c>
      <c r="N938" t="n">
        <v>0</v>
      </c>
      <c r="O938" t="n">
        <v>0</v>
      </c>
      <c r="P938" t="n">
        <v>0</v>
      </c>
      <c r="Q938" t="n">
        <v>0</v>
      </c>
      <c r="R938" s="2" t="inlineStr"/>
    </row>
    <row r="939" ht="15" customHeight="1">
      <c r="A939" t="inlineStr">
        <is>
          <t>A 45079-2024</t>
        </is>
      </c>
      <c r="B939" s="1" t="n">
        <v>45575</v>
      </c>
      <c r="C939" s="1" t="n">
        <v>45784</v>
      </c>
      <c r="D939" t="inlineStr">
        <is>
          <t>GOTLANDS LÄN</t>
        </is>
      </c>
      <c r="E939" t="inlineStr">
        <is>
          <t>GOTLAND</t>
        </is>
      </c>
      <c r="G939" t="n">
        <v>3.9</v>
      </c>
      <c r="H939" t="n">
        <v>0</v>
      </c>
      <c r="I939" t="n">
        <v>0</v>
      </c>
      <c r="J939" t="n">
        <v>0</v>
      </c>
      <c r="K939" t="n">
        <v>0</v>
      </c>
      <c r="L939" t="n">
        <v>0</v>
      </c>
      <c r="M939" t="n">
        <v>0</v>
      </c>
      <c r="N939" t="n">
        <v>0</v>
      </c>
      <c r="O939" t="n">
        <v>0</v>
      </c>
      <c r="P939" t="n">
        <v>0</v>
      </c>
      <c r="Q939" t="n">
        <v>0</v>
      </c>
      <c r="R939" s="2" t="inlineStr"/>
    </row>
    <row r="940" ht="15" customHeight="1">
      <c r="A940" t="inlineStr">
        <is>
          <t>A 45084-2024</t>
        </is>
      </c>
      <c r="B940" s="1" t="n">
        <v>45575</v>
      </c>
      <c r="C940" s="1" t="n">
        <v>45784</v>
      </c>
      <c r="D940" t="inlineStr">
        <is>
          <t>GOTLANDS LÄN</t>
        </is>
      </c>
      <c r="E940" t="inlineStr">
        <is>
          <t>GOTLAND</t>
        </is>
      </c>
      <c r="G940" t="n">
        <v>6.8</v>
      </c>
      <c r="H940" t="n">
        <v>0</v>
      </c>
      <c r="I940" t="n">
        <v>0</v>
      </c>
      <c r="J940" t="n">
        <v>0</v>
      </c>
      <c r="K940" t="n">
        <v>0</v>
      </c>
      <c r="L940" t="n">
        <v>0</v>
      </c>
      <c r="M940" t="n">
        <v>0</v>
      </c>
      <c r="N940" t="n">
        <v>0</v>
      </c>
      <c r="O940" t="n">
        <v>0</v>
      </c>
      <c r="P940" t="n">
        <v>0</v>
      </c>
      <c r="Q940" t="n">
        <v>0</v>
      </c>
      <c r="R940" s="2" t="inlineStr"/>
    </row>
    <row r="941" ht="15" customHeight="1">
      <c r="A941" t="inlineStr">
        <is>
          <t>A 44879-2024</t>
        </is>
      </c>
      <c r="B941" s="1" t="n">
        <v>45575</v>
      </c>
      <c r="C941" s="1" t="n">
        <v>45784</v>
      </c>
      <c r="D941" t="inlineStr">
        <is>
          <t>GOTLANDS LÄN</t>
        </is>
      </c>
      <c r="E941" t="inlineStr">
        <is>
          <t>GOTLAND</t>
        </is>
      </c>
      <c r="G941" t="n">
        <v>18.9</v>
      </c>
      <c r="H941" t="n">
        <v>0</v>
      </c>
      <c r="I941" t="n">
        <v>0</v>
      </c>
      <c r="J941" t="n">
        <v>0</v>
      </c>
      <c r="K941" t="n">
        <v>0</v>
      </c>
      <c r="L941" t="n">
        <v>0</v>
      </c>
      <c r="M941" t="n">
        <v>0</v>
      </c>
      <c r="N941" t="n">
        <v>0</v>
      </c>
      <c r="O941" t="n">
        <v>0</v>
      </c>
      <c r="P941" t="n">
        <v>0</v>
      </c>
      <c r="Q941" t="n">
        <v>0</v>
      </c>
      <c r="R941" s="2" t="inlineStr"/>
    </row>
    <row r="942" ht="15" customHeight="1">
      <c r="A942" t="inlineStr">
        <is>
          <t>A 45244-2024</t>
        </is>
      </c>
      <c r="B942" s="1" t="n">
        <v>45576</v>
      </c>
      <c r="C942" s="1" t="n">
        <v>45784</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46540-2024</t>
        </is>
      </c>
      <c r="B943" s="1" t="n">
        <v>45582</v>
      </c>
      <c r="C943" s="1" t="n">
        <v>45784</v>
      </c>
      <c r="D943" t="inlineStr">
        <is>
          <t>GOTLANDS LÄN</t>
        </is>
      </c>
      <c r="E943" t="inlineStr">
        <is>
          <t>GOTLAND</t>
        </is>
      </c>
      <c r="G943" t="n">
        <v>2.7</v>
      </c>
      <c r="H943" t="n">
        <v>0</v>
      </c>
      <c r="I943" t="n">
        <v>0</v>
      </c>
      <c r="J943" t="n">
        <v>0</v>
      </c>
      <c r="K943" t="n">
        <v>0</v>
      </c>
      <c r="L943" t="n">
        <v>0</v>
      </c>
      <c r="M943" t="n">
        <v>0</v>
      </c>
      <c r="N943" t="n">
        <v>0</v>
      </c>
      <c r="O943" t="n">
        <v>0</v>
      </c>
      <c r="P943" t="n">
        <v>0</v>
      </c>
      <c r="Q943" t="n">
        <v>0</v>
      </c>
      <c r="R943" s="2" t="inlineStr"/>
    </row>
    <row r="944" ht="15" customHeight="1">
      <c r="A944" t="inlineStr">
        <is>
          <t>A 46548-2024</t>
        </is>
      </c>
      <c r="B944" s="1" t="n">
        <v>45582</v>
      </c>
      <c r="C944" s="1" t="n">
        <v>45784</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46560-2024</t>
        </is>
      </c>
      <c r="B945" s="1" t="n">
        <v>45582</v>
      </c>
      <c r="C945" s="1" t="n">
        <v>45784</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46555-2024</t>
        </is>
      </c>
      <c r="B946" s="1" t="n">
        <v>45582</v>
      </c>
      <c r="C946" s="1" t="n">
        <v>45784</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46375-2024</t>
        </is>
      </c>
      <c r="B947" s="1" t="n">
        <v>45582</v>
      </c>
      <c r="C947" s="1" t="n">
        <v>45784</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46545-2024</t>
        </is>
      </c>
      <c r="B948" s="1" t="n">
        <v>45582</v>
      </c>
      <c r="C948" s="1" t="n">
        <v>45784</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46929-2024</t>
        </is>
      </c>
      <c r="B949" s="1" t="n">
        <v>45584</v>
      </c>
      <c r="C949" s="1" t="n">
        <v>45784</v>
      </c>
      <c r="D949" t="inlineStr">
        <is>
          <t>GOTLANDS LÄN</t>
        </is>
      </c>
      <c r="E949" t="inlineStr">
        <is>
          <t>GOTLAND</t>
        </is>
      </c>
      <c r="G949" t="n">
        <v>2.5</v>
      </c>
      <c r="H949" t="n">
        <v>0</v>
      </c>
      <c r="I949" t="n">
        <v>0</v>
      </c>
      <c r="J949" t="n">
        <v>0</v>
      </c>
      <c r="K949" t="n">
        <v>0</v>
      </c>
      <c r="L949" t="n">
        <v>0</v>
      </c>
      <c r="M949" t="n">
        <v>0</v>
      </c>
      <c r="N949" t="n">
        <v>0</v>
      </c>
      <c r="O949" t="n">
        <v>0</v>
      </c>
      <c r="P949" t="n">
        <v>0</v>
      </c>
      <c r="Q949" t="n">
        <v>0</v>
      </c>
      <c r="R949" s="2" t="inlineStr"/>
    </row>
    <row r="950" ht="15" customHeight="1">
      <c r="A950" t="inlineStr">
        <is>
          <t>A 46928-2024</t>
        </is>
      </c>
      <c r="B950" s="1" t="n">
        <v>45584</v>
      </c>
      <c r="C950" s="1" t="n">
        <v>45784</v>
      </c>
      <c r="D950" t="inlineStr">
        <is>
          <t>GOTLANDS LÄN</t>
        </is>
      </c>
      <c r="E950" t="inlineStr">
        <is>
          <t>GOTLAND</t>
        </is>
      </c>
      <c r="G950" t="n">
        <v>1.7</v>
      </c>
      <c r="H950" t="n">
        <v>0</v>
      </c>
      <c r="I950" t="n">
        <v>0</v>
      </c>
      <c r="J950" t="n">
        <v>0</v>
      </c>
      <c r="K950" t="n">
        <v>0</v>
      </c>
      <c r="L950" t="n">
        <v>0</v>
      </c>
      <c r="M950" t="n">
        <v>0</v>
      </c>
      <c r="N950" t="n">
        <v>0</v>
      </c>
      <c r="O950" t="n">
        <v>0</v>
      </c>
      <c r="P950" t="n">
        <v>0</v>
      </c>
      <c r="Q950" t="n">
        <v>0</v>
      </c>
      <c r="R950" s="2" t="inlineStr"/>
    </row>
    <row r="951" ht="15" customHeight="1">
      <c r="A951" t="inlineStr">
        <is>
          <t>A 46930-2024</t>
        </is>
      </c>
      <c r="B951" s="1" t="n">
        <v>45584</v>
      </c>
      <c r="C951" s="1" t="n">
        <v>45784</v>
      </c>
      <c r="D951" t="inlineStr">
        <is>
          <t>GOTLANDS LÄN</t>
        </is>
      </c>
      <c r="E951" t="inlineStr">
        <is>
          <t>GOTLAND</t>
        </is>
      </c>
      <c r="G951" t="n">
        <v>1.8</v>
      </c>
      <c r="H951" t="n">
        <v>0</v>
      </c>
      <c r="I951" t="n">
        <v>0</v>
      </c>
      <c r="J951" t="n">
        <v>0</v>
      </c>
      <c r="K951" t="n">
        <v>0</v>
      </c>
      <c r="L951" t="n">
        <v>0</v>
      </c>
      <c r="M951" t="n">
        <v>0</v>
      </c>
      <c r="N951" t="n">
        <v>0</v>
      </c>
      <c r="O951" t="n">
        <v>0</v>
      </c>
      <c r="P951" t="n">
        <v>0</v>
      </c>
      <c r="Q951" t="n">
        <v>0</v>
      </c>
      <c r="R951" s="2" t="inlineStr"/>
    </row>
    <row r="952" ht="15" customHeight="1">
      <c r="A952" t="inlineStr">
        <is>
          <t>A 46949-2024</t>
        </is>
      </c>
      <c r="B952" s="1" t="n">
        <v>45585</v>
      </c>
      <c r="C952" s="1" t="n">
        <v>45784</v>
      </c>
      <c r="D952" t="inlineStr">
        <is>
          <t>GOTLANDS LÄN</t>
        </is>
      </c>
      <c r="E952" t="inlineStr">
        <is>
          <t>GOTLAND</t>
        </is>
      </c>
      <c r="G952" t="n">
        <v>0.6</v>
      </c>
      <c r="H952" t="n">
        <v>0</v>
      </c>
      <c r="I952" t="n">
        <v>0</v>
      </c>
      <c r="J952" t="n">
        <v>0</v>
      </c>
      <c r="K952" t="n">
        <v>0</v>
      </c>
      <c r="L952" t="n">
        <v>0</v>
      </c>
      <c r="M952" t="n">
        <v>0</v>
      </c>
      <c r="N952" t="n">
        <v>0</v>
      </c>
      <c r="O952" t="n">
        <v>0</v>
      </c>
      <c r="P952" t="n">
        <v>0</v>
      </c>
      <c r="Q952" t="n">
        <v>0</v>
      </c>
      <c r="R952" s="2" t="inlineStr"/>
    </row>
    <row r="953" ht="15" customHeight="1">
      <c r="A953" t="inlineStr">
        <is>
          <t>A 47292-2024</t>
        </is>
      </c>
      <c r="B953" s="1" t="n">
        <v>45586</v>
      </c>
      <c r="C953" s="1" t="n">
        <v>45784</v>
      </c>
      <c r="D953" t="inlineStr">
        <is>
          <t>GOTLANDS LÄN</t>
        </is>
      </c>
      <c r="E953" t="inlineStr">
        <is>
          <t>GOTLAND</t>
        </is>
      </c>
      <c r="G953" t="n">
        <v>5.9</v>
      </c>
      <c r="H953" t="n">
        <v>0</v>
      </c>
      <c r="I953" t="n">
        <v>0</v>
      </c>
      <c r="J953" t="n">
        <v>0</v>
      </c>
      <c r="K953" t="n">
        <v>0</v>
      </c>
      <c r="L953" t="n">
        <v>0</v>
      </c>
      <c r="M953" t="n">
        <v>0</v>
      </c>
      <c r="N953" t="n">
        <v>0</v>
      </c>
      <c r="O953" t="n">
        <v>0</v>
      </c>
      <c r="P953" t="n">
        <v>0</v>
      </c>
      <c r="Q953" t="n">
        <v>0</v>
      </c>
      <c r="R953" s="2" t="inlineStr"/>
    </row>
    <row r="954" ht="15" customHeight="1">
      <c r="A954" t="inlineStr">
        <is>
          <t>A 48032-2024</t>
        </is>
      </c>
      <c r="B954" s="1" t="n">
        <v>45589</v>
      </c>
      <c r="C954" s="1" t="n">
        <v>45784</v>
      </c>
      <c r="D954" t="inlineStr">
        <is>
          <t>GOTLANDS LÄN</t>
        </is>
      </c>
      <c r="E954" t="inlineStr">
        <is>
          <t>GOTLAND</t>
        </is>
      </c>
      <c r="G954" t="n">
        <v>11.5</v>
      </c>
      <c r="H954" t="n">
        <v>0</v>
      </c>
      <c r="I954" t="n">
        <v>0</v>
      </c>
      <c r="J954" t="n">
        <v>0</v>
      </c>
      <c r="K954" t="n">
        <v>0</v>
      </c>
      <c r="L954" t="n">
        <v>0</v>
      </c>
      <c r="M954" t="n">
        <v>0</v>
      </c>
      <c r="N954" t="n">
        <v>0</v>
      </c>
      <c r="O954" t="n">
        <v>0</v>
      </c>
      <c r="P954" t="n">
        <v>0</v>
      </c>
      <c r="Q954" t="n">
        <v>0</v>
      </c>
      <c r="R954" s="2" t="inlineStr"/>
    </row>
    <row r="955" ht="15" customHeight="1">
      <c r="A955" t="inlineStr">
        <is>
          <t>A 48843-2024</t>
        </is>
      </c>
      <c r="B955" s="1" t="n">
        <v>45593</v>
      </c>
      <c r="C955" s="1" t="n">
        <v>45784</v>
      </c>
      <c r="D955" t="inlineStr">
        <is>
          <t>GOTLANDS LÄN</t>
        </is>
      </c>
      <c r="E955" t="inlineStr">
        <is>
          <t>GOTLAND</t>
        </is>
      </c>
      <c r="G955" t="n">
        <v>0.5</v>
      </c>
      <c r="H955" t="n">
        <v>0</v>
      </c>
      <c r="I955" t="n">
        <v>0</v>
      </c>
      <c r="J955" t="n">
        <v>0</v>
      </c>
      <c r="K955" t="n">
        <v>0</v>
      </c>
      <c r="L955" t="n">
        <v>0</v>
      </c>
      <c r="M955" t="n">
        <v>0</v>
      </c>
      <c r="N955" t="n">
        <v>0</v>
      </c>
      <c r="O955" t="n">
        <v>0</v>
      </c>
      <c r="P955" t="n">
        <v>0</v>
      </c>
      <c r="Q955" t="n">
        <v>0</v>
      </c>
      <c r="R955" s="2" t="inlineStr"/>
    </row>
    <row r="956" ht="15" customHeight="1">
      <c r="A956" t="inlineStr">
        <is>
          <t>A 49201-2024</t>
        </is>
      </c>
      <c r="B956" s="1" t="n">
        <v>45595</v>
      </c>
      <c r="C956" s="1" t="n">
        <v>45784</v>
      </c>
      <c r="D956" t="inlineStr">
        <is>
          <t>GOTLANDS LÄN</t>
        </is>
      </c>
      <c r="E956" t="inlineStr">
        <is>
          <t>GOTLAND</t>
        </is>
      </c>
      <c r="G956" t="n">
        <v>5.8</v>
      </c>
      <c r="H956" t="n">
        <v>0</v>
      </c>
      <c r="I956" t="n">
        <v>0</v>
      </c>
      <c r="J956" t="n">
        <v>0</v>
      </c>
      <c r="K956" t="n">
        <v>0</v>
      </c>
      <c r="L956" t="n">
        <v>0</v>
      </c>
      <c r="M956" t="n">
        <v>0</v>
      </c>
      <c r="N956" t="n">
        <v>0</v>
      </c>
      <c r="O956" t="n">
        <v>0</v>
      </c>
      <c r="P956" t="n">
        <v>0</v>
      </c>
      <c r="Q956" t="n">
        <v>0</v>
      </c>
      <c r="R956" s="2" t="inlineStr"/>
    </row>
    <row r="957" ht="15" customHeight="1">
      <c r="A957" t="inlineStr">
        <is>
          <t>A 49314-2024</t>
        </is>
      </c>
      <c r="B957" s="1" t="n">
        <v>45595</v>
      </c>
      <c r="C957" s="1" t="n">
        <v>45784</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49167-2024</t>
        </is>
      </c>
      <c r="B958" s="1" t="n">
        <v>45595</v>
      </c>
      <c r="C958" s="1" t="n">
        <v>45784</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49315-2024</t>
        </is>
      </c>
      <c r="B959" s="1" t="n">
        <v>45595</v>
      </c>
      <c r="C959" s="1" t="n">
        <v>45784</v>
      </c>
      <c r="D959" t="inlineStr">
        <is>
          <t>GOTLANDS LÄN</t>
        </is>
      </c>
      <c r="E959" t="inlineStr">
        <is>
          <t>GOTLAND</t>
        </is>
      </c>
      <c r="G959" t="n">
        <v>1.5</v>
      </c>
      <c r="H959" t="n">
        <v>0</v>
      </c>
      <c r="I959" t="n">
        <v>0</v>
      </c>
      <c r="J959" t="n">
        <v>0</v>
      </c>
      <c r="K959" t="n">
        <v>0</v>
      </c>
      <c r="L959" t="n">
        <v>0</v>
      </c>
      <c r="M959" t="n">
        <v>0</v>
      </c>
      <c r="N959" t="n">
        <v>0</v>
      </c>
      <c r="O959" t="n">
        <v>0</v>
      </c>
      <c r="P959" t="n">
        <v>0</v>
      </c>
      <c r="Q959" t="n">
        <v>0</v>
      </c>
      <c r="R959" s="2" t="inlineStr"/>
    </row>
    <row r="960" ht="15" customHeight="1">
      <c r="A960" t="inlineStr">
        <is>
          <t>A 49257-2024</t>
        </is>
      </c>
      <c r="B960" s="1" t="n">
        <v>45595</v>
      </c>
      <c r="C960" s="1" t="n">
        <v>45784</v>
      </c>
      <c r="D960" t="inlineStr">
        <is>
          <t>GOTLANDS LÄN</t>
        </is>
      </c>
      <c r="E960" t="inlineStr">
        <is>
          <t>GOTLAND</t>
        </is>
      </c>
      <c r="G960" t="n">
        <v>6.3</v>
      </c>
      <c r="H960" t="n">
        <v>0</v>
      </c>
      <c r="I960" t="n">
        <v>0</v>
      </c>
      <c r="J960" t="n">
        <v>0</v>
      </c>
      <c r="K960" t="n">
        <v>0</v>
      </c>
      <c r="L960" t="n">
        <v>0</v>
      </c>
      <c r="M960" t="n">
        <v>0</v>
      </c>
      <c r="N960" t="n">
        <v>0</v>
      </c>
      <c r="O960" t="n">
        <v>0</v>
      </c>
      <c r="P960" t="n">
        <v>0</v>
      </c>
      <c r="Q960" t="n">
        <v>0</v>
      </c>
      <c r="R960" s="2" t="inlineStr"/>
    </row>
    <row r="961" ht="15" customHeight="1">
      <c r="A961" t="inlineStr">
        <is>
          <t>A 49874-2024</t>
        </is>
      </c>
      <c r="B961" s="1" t="n">
        <v>45597</v>
      </c>
      <c r="C961" s="1" t="n">
        <v>45784</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50021-2024</t>
        </is>
      </c>
      <c r="B962" s="1" t="n">
        <v>45599</v>
      </c>
      <c r="C962" s="1" t="n">
        <v>45784</v>
      </c>
      <c r="D962" t="inlineStr">
        <is>
          <t>GOTLANDS LÄN</t>
        </is>
      </c>
      <c r="E962" t="inlineStr">
        <is>
          <t>GOTLAND</t>
        </is>
      </c>
      <c r="G962" t="n">
        <v>2.1</v>
      </c>
      <c r="H962" t="n">
        <v>0</v>
      </c>
      <c r="I962" t="n">
        <v>0</v>
      </c>
      <c r="J962" t="n">
        <v>0</v>
      </c>
      <c r="K962" t="n">
        <v>0</v>
      </c>
      <c r="L962" t="n">
        <v>0</v>
      </c>
      <c r="M962" t="n">
        <v>0</v>
      </c>
      <c r="N962" t="n">
        <v>0</v>
      </c>
      <c r="O962" t="n">
        <v>0</v>
      </c>
      <c r="P962" t="n">
        <v>0</v>
      </c>
      <c r="Q962" t="n">
        <v>0</v>
      </c>
      <c r="R962" s="2" t="inlineStr"/>
    </row>
    <row r="963" ht="15" customHeight="1">
      <c r="A963" t="inlineStr">
        <is>
          <t>A 50023-2024</t>
        </is>
      </c>
      <c r="B963" s="1" t="n">
        <v>45599</v>
      </c>
      <c r="C963" s="1" t="n">
        <v>45784</v>
      </c>
      <c r="D963" t="inlineStr">
        <is>
          <t>GOTLANDS LÄN</t>
        </is>
      </c>
      <c r="E963" t="inlineStr">
        <is>
          <t>GOTLAND</t>
        </is>
      </c>
      <c r="G963" t="n">
        <v>2</v>
      </c>
      <c r="H963" t="n">
        <v>0</v>
      </c>
      <c r="I963" t="n">
        <v>0</v>
      </c>
      <c r="J963" t="n">
        <v>0</v>
      </c>
      <c r="K963" t="n">
        <v>0</v>
      </c>
      <c r="L963" t="n">
        <v>0</v>
      </c>
      <c r="M963" t="n">
        <v>0</v>
      </c>
      <c r="N963" t="n">
        <v>0</v>
      </c>
      <c r="O963" t="n">
        <v>0</v>
      </c>
      <c r="P963" t="n">
        <v>0</v>
      </c>
      <c r="Q963" t="n">
        <v>0</v>
      </c>
      <c r="R963" s="2" t="inlineStr"/>
    </row>
    <row r="964" ht="15" customHeight="1">
      <c r="A964" t="inlineStr">
        <is>
          <t>A 50022-2024</t>
        </is>
      </c>
      <c r="B964" s="1" t="n">
        <v>45599</v>
      </c>
      <c r="C964" s="1" t="n">
        <v>45784</v>
      </c>
      <c r="D964" t="inlineStr">
        <is>
          <t>GOTLANDS LÄN</t>
        </is>
      </c>
      <c r="E964" t="inlineStr">
        <is>
          <t>GOTLAND</t>
        </is>
      </c>
      <c r="G964" t="n">
        <v>4</v>
      </c>
      <c r="H964" t="n">
        <v>0</v>
      </c>
      <c r="I964" t="n">
        <v>0</v>
      </c>
      <c r="J964" t="n">
        <v>0</v>
      </c>
      <c r="K964" t="n">
        <v>0</v>
      </c>
      <c r="L964" t="n">
        <v>0</v>
      </c>
      <c r="M964" t="n">
        <v>0</v>
      </c>
      <c r="N964" t="n">
        <v>0</v>
      </c>
      <c r="O964" t="n">
        <v>0</v>
      </c>
      <c r="P964" t="n">
        <v>0</v>
      </c>
      <c r="Q964" t="n">
        <v>0</v>
      </c>
      <c r="R964" s="2" t="inlineStr"/>
    </row>
    <row r="965" ht="15" customHeight="1">
      <c r="A965" t="inlineStr">
        <is>
          <t>A 50482-2024</t>
        </is>
      </c>
      <c r="B965" s="1" t="n">
        <v>45601</v>
      </c>
      <c r="C965" s="1" t="n">
        <v>45784</v>
      </c>
      <c r="D965" t="inlineStr">
        <is>
          <t>GOTLANDS LÄN</t>
        </is>
      </c>
      <c r="E965" t="inlineStr">
        <is>
          <t>GOTLAND</t>
        </is>
      </c>
      <c r="G965" t="n">
        <v>2.3</v>
      </c>
      <c r="H965" t="n">
        <v>0</v>
      </c>
      <c r="I965" t="n">
        <v>0</v>
      </c>
      <c r="J965" t="n">
        <v>0</v>
      </c>
      <c r="K965" t="n">
        <v>0</v>
      </c>
      <c r="L965" t="n">
        <v>0</v>
      </c>
      <c r="M965" t="n">
        <v>0</v>
      </c>
      <c r="N965" t="n">
        <v>0</v>
      </c>
      <c r="O965" t="n">
        <v>0</v>
      </c>
      <c r="P965" t="n">
        <v>0</v>
      </c>
      <c r="Q965" t="n">
        <v>0</v>
      </c>
      <c r="R965" s="2" t="inlineStr"/>
    </row>
    <row r="966" ht="15" customHeight="1">
      <c r="A966" t="inlineStr">
        <is>
          <t>A 50470-2024</t>
        </is>
      </c>
      <c r="B966" s="1" t="n">
        <v>45601</v>
      </c>
      <c r="C966" s="1" t="n">
        <v>45784</v>
      </c>
      <c r="D966" t="inlineStr">
        <is>
          <t>GOTLANDS LÄN</t>
        </is>
      </c>
      <c r="E966" t="inlineStr">
        <is>
          <t>GOTLAND</t>
        </is>
      </c>
      <c r="G966" t="n">
        <v>3.4</v>
      </c>
      <c r="H966" t="n">
        <v>0</v>
      </c>
      <c r="I966" t="n">
        <v>0</v>
      </c>
      <c r="J966" t="n">
        <v>0</v>
      </c>
      <c r="K966" t="n">
        <v>0</v>
      </c>
      <c r="L966" t="n">
        <v>0</v>
      </c>
      <c r="M966" t="n">
        <v>0</v>
      </c>
      <c r="N966" t="n">
        <v>0</v>
      </c>
      <c r="O966" t="n">
        <v>0</v>
      </c>
      <c r="P966" t="n">
        <v>0</v>
      </c>
      <c r="Q966" t="n">
        <v>0</v>
      </c>
      <c r="R966" s="2" t="inlineStr"/>
    </row>
    <row r="967" ht="15" customHeight="1">
      <c r="A967" t="inlineStr">
        <is>
          <t>A 50744-2024</t>
        </is>
      </c>
      <c r="B967" s="1" t="n">
        <v>45602</v>
      </c>
      <c r="C967" s="1" t="n">
        <v>45784</v>
      </c>
      <c r="D967" t="inlineStr">
        <is>
          <t>GOTLANDS LÄN</t>
        </is>
      </c>
      <c r="E967" t="inlineStr">
        <is>
          <t>GOTLAND</t>
        </is>
      </c>
      <c r="G967" t="n">
        <v>3.2</v>
      </c>
      <c r="H967" t="n">
        <v>0</v>
      </c>
      <c r="I967" t="n">
        <v>0</v>
      </c>
      <c r="J967" t="n">
        <v>0</v>
      </c>
      <c r="K967" t="n">
        <v>0</v>
      </c>
      <c r="L967" t="n">
        <v>0</v>
      </c>
      <c r="M967" t="n">
        <v>0</v>
      </c>
      <c r="N967" t="n">
        <v>0</v>
      </c>
      <c r="O967" t="n">
        <v>0</v>
      </c>
      <c r="P967" t="n">
        <v>0</v>
      </c>
      <c r="Q967" t="n">
        <v>0</v>
      </c>
      <c r="R967" s="2" t="inlineStr"/>
    </row>
    <row r="968" ht="15" customHeight="1">
      <c r="A968" t="inlineStr">
        <is>
          <t>A 50958-2024</t>
        </is>
      </c>
      <c r="B968" s="1" t="n">
        <v>45603</v>
      </c>
      <c r="C968" s="1" t="n">
        <v>45784</v>
      </c>
      <c r="D968" t="inlineStr">
        <is>
          <t>GOTLANDS LÄN</t>
        </is>
      </c>
      <c r="E968" t="inlineStr">
        <is>
          <t>GOTLAND</t>
        </is>
      </c>
      <c r="G968" t="n">
        <v>1.7</v>
      </c>
      <c r="H968" t="n">
        <v>0</v>
      </c>
      <c r="I968" t="n">
        <v>0</v>
      </c>
      <c r="J968" t="n">
        <v>0</v>
      </c>
      <c r="K968" t="n">
        <v>0</v>
      </c>
      <c r="L968" t="n">
        <v>0</v>
      </c>
      <c r="M968" t="n">
        <v>0</v>
      </c>
      <c r="N968" t="n">
        <v>0</v>
      </c>
      <c r="O968" t="n">
        <v>0</v>
      </c>
      <c r="P968" t="n">
        <v>0</v>
      </c>
      <c r="Q968" t="n">
        <v>0</v>
      </c>
      <c r="R968" s="2" t="inlineStr"/>
    </row>
    <row r="969" ht="15" customHeight="1">
      <c r="A969" t="inlineStr">
        <is>
          <t>A 50962-2024</t>
        </is>
      </c>
      <c r="B969" s="1" t="n">
        <v>45603</v>
      </c>
      <c r="C969" s="1" t="n">
        <v>45784</v>
      </c>
      <c r="D969" t="inlineStr">
        <is>
          <t>GOTLANDS LÄN</t>
        </is>
      </c>
      <c r="E969" t="inlineStr">
        <is>
          <t>GOTLAND</t>
        </is>
      </c>
      <c r="G969" t="n">
        <v>1.4</v>
      </c>
      <c r="H969" t="n">
        <v>0</v>
      </c>
      <c r="I969" t="n">
        <v>0</v>
      </c>
      <c r="J969" t="n">
        <v>0</v>
      </c>
      <c r="K969" t="n">
        <v>0</v>
      </c>
      <c r="L969" t="n">
        <v>0</v>
      </c>
      <c r="M969" t="n">
        <v>0</v>
      </c>
      <c r="N969" t="n">
        <v>0</v>
      </c>
      <c r="O969" t="n">
        <v>0</v>
      </c>
      <c r="P969" t="n">
        <v>0</v>
      </c>
      <c r="Q969" t="n">
        <v>0</v>
      </c>
      <c r="R969" s="2" t="inlineStr"/>
    </row>
    <row r="970" ht="15" customHeight="1">
      <c r="A970" t="inlineStr">
        <is>
          <t>A 51321-2024</t>
        </is>
      </c>
      <c r="B970" s="1" t="n">
        <v>45604</v>
      </c>
      <c r="C970" s="1" t="n">
        <v>45784</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51963-2024</t>
        </is>
      </c>
      <c r="B971" s="1" t="n">
        <v>45607</v>
      </c>
      <c r="C971" s="1" t="n">
        <v>45784</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52831-2024</t>
        </is>
      </c>
      <c r="B972" s="1" t="n">
        <v>45610</v>
      </c>
      <c r="C972" s="1" t="n">
        <v>45784</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53129-2024</t>
        </is>
      </c>
      <c r="B973" s="1" t="n">
        <v>45611</v>
      </c>
      <c r="C973" s="1" t="n">
        <v>45784</v>
      </c>
      <c r="D973" t="inlineStr">
        <is>
          <t>GOTLANDS LÄN</t>
        </is>
      </c>
      <c r="E973" t="inlineStr">
        <is>
          <t>GOTLAND</t>
        </is>
      </c>
      <c r="G973" t="n">
        <v>4.2</v>
      </c>
      <c r="H973" t="n">
        <v>0</v>
      </c>
      <c r="I973" t="n">
        <v>0</v>
      </c>
      <c r="J973" t="n">
        <v>0</v>
      </c>
      <c r="K973" t="n">
        <v>0</v>
      </c>
      <c r="L973" t="n">
        <v>0</v>
      </c>
      <c r="M973" t="n">
        <v>0</v>
      </c>
      <c r="N973" t="n">
        <v>0</v>
      </c>
      <c r="O973" t="n">
        <v>0</v>
      </c>
      <c r="P973" t="n">
        <v>0</v>
      </c>
      <c r="Q973" t="n">
        <v>0</v>
      </c>
      <c r="R973" s="2" t="inlineStr"/>
    </row>
    <row r="974" ht="15" customHeight="1">
      <c r="A974" t="inlineStr">
        <is>
          <t>A 53935-2024</t>
        </is>
      </c>
      <c r="B974" s="1" t="n">
        <v>45615</v>
      </c>
      <c r="C974" s="1" t="n">
        <v>45784</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53934-2024</t>
        </is>
      </c>
      <c r="B975" s="1" t="n">
        <v>45615</v>
      </c>
      <c r="C975" s="1" t="n">
        <v>45784</v>
      </c>
      <c r="D975" t="inlineStr">
        <is>
          <t>GOTLANDS LÄN</t>
        </is>
      </c>
      <c r="E975" t="inlineStr">
        <is>
          <t>GOTLAND</t>
        </is>
      </c>
      <c r="G975" t="n">
        <v>5</v>
      </c>
      <c r="H975" t="n">
        <v>0</v>
      </c>
      <c r="I975" t="n">
        <v>0</v>
      </c>
      <c r="J975" t="n">
        <v>0</v>
      </c>
      <c r="K975" t="n">
        <v>0</v>
      </c>
      <c r="L975" t="n">
        <v>0</v>
      </c>
      <c r="M975" t="n">
        <v>0</v>
      </c>
      <c r="N975" t="n">
        <v>0</v>
      </c>
      <c r="O975" t="n">
        <v>0</v>
      </c>
      <c r="P975" t="n">
        <v>0</v>
      </c>
      <c r="Q975" t="n">
        <v>0</v>
      </c>
      <c r="R975" s="2" t="inlineStr"/>
    </row>
    <row r="976" ht="15" customHeight="1">
      <c r="A976" t="inlineStr">
        <is>
          <t>A 54081-2024</t>
        </is>
      </c>
      <c r="B976" s="1" t="n">
        <v>45616</v>
      </c>
      <c r="C976" s="1" t="n">
        <v>45784</v>
      </c>
      <c r="D976" t="inlineStr">
        <is>
          <t>GOTLANDS LÄN</t>
        </is>
      </c>
      <c r="E976" t="inlineStr">
        <is>
          <t>GOTLAND</t>
        </is>
      </c>
      <c r="G976" t="n">
        <v>3.5</v>
      </c>
      <c r="H976" t="n">
        <v>0</v>
      </c>
      <c r="I976" t="n">
        <v>0</v>
      </c>
      <c r="J976" t="n">
        <v>0</v>
      </c>
      <c r="K976" t="n">
        <v>0</v>
      </c>
      <c r="L976" t="n">
        <v>0</v>
      </c>
      <c r="M976" t="n">
        <v>0</v>
      </c>
      <c r="N976" t="n">
        <v>0</v>
      </c>
      <c r="O976" t="n">
        <v>0</v>
      </c>
      <c r="P976" t="n">
        <v>0</v>
      </c>
      <c r="Q976" t="n">
        <v>0</v>
      </c>
      <c r="R976" s="2" t="inlineStr"/>
    </row>
    <row r="977" ht="15" customHeight="1">
      <c r="A977" t="inlineStr">
        <is>
          <t>A 54438-2024</t>
        </is>
      </c>
      <c r="B977" s="1" t="n">
        <v>45617</v>
      </c>
      <c r="C977" s="1" t="n">
        <v>45784</v>
      </c>
      <c r="D977" t="inlineStr">
        <is>
          <t>GOTLANDS LÄN</t>
        </is>
      </c>
      <c r="E977" t="inlineStr">
        <is>
          <t>GOTLAND</t>
        </is>
      </c>
      <c r="G977" t="n">
        <v>2.4</v>
      </c>
      <c r="H977" t="n">
        <v>0</v>
      </c>
      <c r="I977" t="n">
        <v>0</v>
      </c>
      <c r="J977" t="n">
        <v>0</v>
      </c>
      <c r="K977" t="n">
        <v>0</v>
      </c>
      <c r="L977" t="n">
        <v>0</v>
      </c>
      <c r="M977" t="n">
        <v>0</v>
      </c>
      <c r="N977" t="n">
        <v>0</v>
      </c>
      <c r="O977" t="n">
        <v>0</v>
      </c>
      <c r="P977" t="n">
        <v>0</v>
      </c>
      <c r="Q977" t="n">
        <v>0</v>
      </c>
      <c r="R977" s="2" t="inlineStr"/>
    </row>
    <row r="978" ht="15" customHeight="1">
      <c r="A978" t="inlineStr">
        <is>
          <t>A 54355-2024</t>
        </is>
      </c>
      <c r="B978" s="1" t="n">
        <v>45617</v>
      </c>
      <c r="C978" s="1" t="n">
        <v>45784</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54645-2024</t>
        </is>
      </c>
      <c r="B979" s="1" t="n">
        <v>45617</v>
      </c>
      <c r="C979" s="1" t="n">
        <v>45784</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55102-2024</t>
        </is>
      </c>
      <c r="B980" s="1" t="n">
        <v>45621</v>
      </c>
      <c r="C980" s="1" t="n">
        <v>45784</v>
      </c>
      <c r="D980" t="inlineStr">
        <is>
          <t>GOTLANDS LÄN</t>
        </is>
      </c>
      <c r="E980" t="inlineStr">
        <is>
          <t>GOTLAND</t>
        </is>
      </c>
      <c r="G980" t="n">
        <v>0.8</v>
      </c>
      <c r="H980" t="n">
        <v>0</v>
      </c>
      <c r="I980" t="n">
        <v>0</v>
      </c>
      <c r="J980" t="n">
        <v>0</v>
      </c>
      <c r="K980" t="n">
        <v>0</v>
      </c>
      <c r="L980" t="n">
        <v>0</v>
      </c>
      <c r="M980" t="n">
        <v>0</v>
      </c>
      <c r="N980" t="n">
        <v>0</v>
      </c>
      <c r="O980" t="n">
        <v>0</v>
      </c>
      <c r="P980" t="n">
        <v>0</v>
      </c>
      <c r="Q980" t="n">
        <v>0</v>
      </c>
      <c r="R980" s="2" t="inlineStr"/>
    </row>
    <row r="981" ht="15" customHeight="1">
      <c r="A981" t="inlineStr">
        <is>
          <t>A 55334-2024</t>
        </is>
      </c>
      <c r="B981" s="1" t="n">
        <v>45621</v>
      </c>
      <c r="C981" s="1" t="n">
        <v>45784</v>
      </c>
      <c r="D981" t="inlineStr">
        <is>
          <t>GOTLANDS LÄN</t>
        </is>
      </c>
      <c r="E981" t="inlineStr">
        <is>
          <t>GOTLAND</t>
        </is>
      </c>
      <c r="G981" t="n">
        <v>21.7</v>
      </c>
      <c r="H981" t="n">
        <v>0</v>
      </c>
      <c r="I981" t="n">
        <v>0</v>
      </c>
      <c r="J981" t="n">
        <v>0</v>
      </c>
      <c r="K981" t="n">
        <v>0</v>
      </c>
      <c r="L981" t="n">
        <v>0</v>
      </c>
      <c r="M981" t="n">
        <v>0</v>
      </c>
      <c r="N981" t="n">
        <v>0</v>
      </c>
      <c r="O981" t="n">
        <v>0</v>
      </c>
      <c r="P981" t="n">
        <v>0</v>
      </c>
      <c r="Q981" t="n">
        <v>0</v>
      </c>
      <c r="R981" s="2" t="inlineStr"/>
    </row>
    <row r="982" ht="15" customHeight="1">
      <c r="A982" t="inlineStr">
        <is>
          <t>A 55438-2024</t>
        </is>
      </c>
      <c r="B982" s="1" t="n">
        <v>45621</v>
      </c>
      <c r="C982" s="1" t="n">
        <v>45784</v>
      </c>
      <c r="D982" t="inlineStr">
        <is>
          <t>GOTLANDS LÄN</t>
        </is>
      </c>
      <c r="E982" t="inlineStr">
        <is>
          <t>GOTLAND</t>
        </is>
      </c>
      <c r="G982" t="n">
        <v>1.1</v>
      </c>
      <c r="H982" t="n">
        <v>0</v>
      </c>
      <c r="I982" t="n">
        <v>0</v>
      </c>
      <c r="J982" t="n">
        <v>0</v>
      </c>
      <c r="K982" t="n">
        <v>0</v>
      </c>
      <c r="L982" t="n">
        <v>0</v>
      </c>
      <c r="M982" t="n">
        <v>0</v>
      </c>
      <c r="N982" t="n">
        <v>0</v>
      </c>
      <c r="O982" t="n">
        <v>0</v>
      </c>
      <c r="P982" t="n">
        <v>0</v>
      </c>
      <c r="Q982" t="n">
        <v>0</v>
      </c>
      <c r="R982" s="2" t="inlineStr"/>
    </row>
    <row r="983" ht="15" customHeight="1">
      <c r="A983" t="inlineStr">
        <is>
          <t>A 55435-2024</t>
        </is>
      </c>
      <c r="B983" s="1" t="n">
        <v>45621</v>
      </c>
      <c r="C983" s="1" t="n">
        <v>45784</v>
      </c>
      <c r="D983" t="inlineStr">
        <is>
          <t>GOTLANDS LÄN</t>
        </is>
      </c>
      <c r="E983" t="inlineStr">
        <is>
          <t>GOTLAND</t>
        </is>
      </c>
      <c r="G983" t="n">
        <v>3.1</v>
      </c>
      <c r="H983" t="n">
        <v>0</v>
      </c>
      <c r="I983" t="n">
        <v>0</v>
      </c>
      <c r="J983" t="n">
        <v>0</v>
      </c>
      <c r="K983" t="n">
        <v>0</v>
      </c>
      <c r="L983" t="n">
        <v>0</v>
      </c>
      <c r="M983" t="n">
        <v>0</v>
      </c>
      <c r="N983" t="n">
        <v>0</v>
      </c>
      <c r="O983" t="n">
        <v>0</v>
      </c>
      <c r="P983" t="n">
        <v>0</v>
      </c>
      <c r="Q983" t="n">
        <v>0</v>
      </c>
      <c r="R983" s="2" t="inlineStr"/>
    </row>
    <row r="984" ht="15" customHeight="1">
      <c r="A984" t="inlineStr">
        <is>
          <t>A 55653-2024</t>
        </is>
      </c>
      <c r="B984" s="1" t="n">
        <v>45622</v>
      </c>
      <c r="C984" s="1" t="n">
        <v>45784</v>
      </c>
      <c r="D984" t="inlineStr">
        <is>
          <t>GOTLANDS LÄN</t>
        </is>
      </c>
      <c r="E984" t="inlineStr">
        <is>
          <t>GOTLAND</t>
        </is>
      </c>
      <c r="G984" t="n">
        <v>2</v>
      </c>
      <c r="H984" t="n">
        <v>0</v>
      </c>
      <c r="I984" t="n">
        <v>0</v>
      </c>
      <c r="J984" t="n">
        <v>0</v>
      </c>
      <c r="K984" t="n">
        <v>0</v>
      </c>
      <c r="L984" t="n">
        <v>0</v>
      </c>
      <c r="M984" t="n">
        <v>0</v>
      </c>
      <c r="N984" t="n">
        <v>0</v>
      </c>
      <c r="O984" t="n">
        <v>0</v>
      </c>
      <c r="P984" t="n">
        <v>0</v>
      </c>
      <c r="Q984" t="n">
        <v>0</v>
      </c>
      <c r="R984" s="2" t="inlineStr"/>
    </row>
    <row r="985" ht="15" customHeight="1">
      <c r="A985" t="inlineStr">
        <is>
          <t>A 56009-2024</t>
        </is>
      </c>
      <c r="B985" s="1" t="n">
        <v>45623</v>
      </c>
      <c r="C985" s="1" t="n">
        <v>45784</v>
      </c>
      <c r="D985" t="inlineStr">
        <is>
          <t>GOTLANDS LÄN</t>
        </is>
      </c>
      <c r="E985" t="inlineStr">
        <is>
          <t>GOTLAND</t>
        </is>
      </c>
      <c r="G985" t="n">
        <v>2.8</v>
      </c>
      <c r="H985" t="n">
        <v>0</v>
      </c>
      <c r="I985" t="n">
        <v>0</v>
      </c>
      <c r="J985" t="n">
        <v>0</v>
      </c>
      <c r="K985" t="n">
        <v>0</v>
      </c>
      <c r="L985" t="n">
        <v>0</v>
      </c>
      <c r="M985" t="n">
        <v>0</v>
      </c>
      <c r="N985" t="n">
        <v>0</v>
      </c>
      <c r="O985" t="n">
        <v>0</v>
      </c>
      <c r="P985" t="n">
        <v>0</v>
      </c>
      <c r="Q985" t="n">
        <v>0</v>
      </c>
      <c r="R985" s="2" t="inlineStr"/>
    </row>
    <row r="986" ht="15" customHeight="1">
      <c r="A986" t="inlineStr">
        <is>
          <t>A 57374-2024</t>
        </is>
      </c>
      <c r="B986" s="1" t="n">
        <v>45629</v>
      </c>
      <c r="C986" s="1" t="n">
        <v>45784</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58230-2024</t>
        </is>
      </c>
      <c r="B987" s="1" t="n">
        <v>45632</v>
      </c>
      <c r="C987" s="1" t="n">
        <v>45784</v>
      </c>
      <c r="D987" t="inlineStr">
        <is>
          <t>GOTLANDS LÄN</t>
        </is>
      </c>
      <c r="E987" t="inlineStr">
        <is>
          <t>GOTLAND</t>
        </is>
      </c>
      <c r="G987" t="n">
        <v>7.3</v>
      </c>
      <c r="H987" t="n">
        <v>0</v>
      </c>
      <c r="I987" t="n">
        <v>0</v>
      </c>
      <c r="J987" t="n">
        <v>0</v>
      </c>
      <c r="K987" t="n">
        <v>0</v>
      </c>
      <c r="L987" t="n">
        <v>0</v>
      </c>
      <c r="M987" t="n">
        <v>0</v>
      </c>
      <c r="N987" t="n">
        <v>0</v>
      </c>
      <c r="O987" t="n">
        <v>0</v>
      </c>
      <c r="P987" t="n">
        <v>0</v>
      </c>
      <c r="Q987" t="n">
        <v>0</v>
      </c>
      <c r="R987" s="2" t="inlineStr"/>
    </row>
    <row r="988" ht="15" customHeight="1">
      <c r="A988" t="inlineStr">
        <is>
          <t>A 58211-2024</t>
        </is>
      </c>
      <c r="B988" s="1" t="n">
        <v>45632</v>
      </c>
      <c r="C988" s="1" t="n">
        <v>45784</v>
      </c>
      <c r="D988" t="inlineStr">
        <is>
          <t>GOTLANDS LÄN</t>
        </is>
      </c>
      <c r="E988" t="inlineStr">
        <is>
          <t>GOTLAND</t>
        </is>
      </c>
      <c r="G988" t="n">
        <v>5.4</v>
      </c>
      <c r="H988" t="n">
        <v>0</v>
      </c>
      <c r="I988" t="n">
        <v>0</v>
      </c>
      <c r="J988" t="n">
        <v>0</v>
      </c>
      <c r="K988" t="n">
        <v>0</v>
      </c>
      <c r="L988" t="n">
        <v>0</v>
      </c>
      <c r="M988" t="n">
        <v>0</v>
      </c>
      <c r="N988" t="n">
        <v>0</v>
      </c>
      <c r="O988" t="n">
        <v>0</v>
      </c>
      <c r="P988" t="n">
        <v>0</v>
      </c>
      <c r="Q988" t="n">
        <v>0</v>
      </c>
      <c r="R988" s="2" t="inlineStr"/>
    </row>
    <row r="989" ht="15" customHeight="1">
      <c r="A989" t="inlineStr">
        <is>
          <t>A 58160-2024</t>
        </is>
      </c>
      <c r="B989" s="1" t="n">
        <v>45632</v>
      </c>
      <c r="C989" s="1" t="n">
        <v>45784</v>
      </c>
      <c r="D989" t="inlineStr">
        <is>
          <t>GOTLANDS LÄN</t>
        </is>
      </c>
      <c r="E989" t="inlineStr">
        <is>
          <t>GOTLAND</t>
        </is>
      </c>
      <c r="G989" t="n">
        <v>5.6</v>
      </c>
      <c r="H989" t="n">
        <v>0</v>
      </c>
      <c r="I989" t="n">
        <v>0</v>
      </c>
      <c r="J989" t="n">
        <v>0</v>
      </c>
      <c r="K989" t="n">
        <v>0</v>
      </c>
      <c r="L989" t="n">
        <v>0</v>
      </c>
      <c r="M989" t="n">
        <v>0</v>
      </c>
      <c r="N989" t="n">
        <v>0</v>
      </c>
      <c r="O989" t="n">
        <v>0</v>
      </c>
      <c r="P989" t="n">
        <v>0</v>
      </c>
      <c r="Q989" t="n">
        <v>0</v>
      </c>
      <c r="R989" s="2" t="inlineStr"/>
    </row>
    <row r="990" ht="15" customHeight="1">
      <c r="A990" t="inlineStr">
        <is>
          <t>A 58780-2024</t>
        </is>
      </c>
      <c r="B990" s="1" t="n">
        <v>45635</v>
      </c>
      <c r="C990" s="1" t="n">
        <v>45784</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59469-2024</t>
        </is>
      </c>
      <c r="B991" s="1" t="n">
        <v>45638</v>
      </c>
      <c r="C991" s="1" t="n">
        <v>45784</v>
      </c>
      <c r="D991" t="inlineStr">
        <is>
          <t>GOTLANDS LÄN</t>
        </is>
      </c>
      <c r="E991" t="inlineStr">
        <is>
          <t>GOTLAND</t>
        </is>
      </c>
      <c r="G991" t="n">
        <v>0.4</v>
      </c>
      <c r="H991" t="n">
        <v>0</v>
      </c>
      <c r="I991" t="n">
        <v>0</v>
      </c>
      <c r="J991" t="n">
        <v>0</v>
      </c>
      <c r="K991" t="n">
        <v>0</v>
      </c>
      <c r="L991" t="n">
        <v>0</v>
      </c>
      <c r="M991" t="n">
        <v>0</v>
      </c>
      <c r="N991" t="n">
        <v>0</v>
      </c>
      <c r="O991" t="n">
        <v>0</v>
      </c>
      <c r="P991" t="n">
        <v>0</v>
      </c>
      <c r="Q991" t="n">
        <v>0</v>
      </c>
      <c r="R991" s="2" t="inlineStr"/>
    </row>
    <row r="992" ht="15" customHeight="1">
      <c r="A992" t="inlineStr">
        <is>
          <t>A 60910-2024</t>
        </is>
      </c>
      <c r="B992" s="1" t="n">
        <v>45645</v>
      </c>
      <c r="C992" s="1" t="n">
        <v>45784</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60903-2024</t>
        </is>
      </c>
      <c r="B993" s="1" t="n">
        <v>45645</v>
      </c>
      <c r="C993" s="1" t="n">
        <v>45784</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60908-2024</t>
        </is>
      </c>
      <c r="B994" s="1" t="n">
        <v>45645</v>
      </c>
      <c r="C994" s="1" t="n">
        <v>45784</v>
      </c>
      <c r="D994" t="inlineStr">
        <is>
          <t>GOTLANDS LÄN</t>
        </is>
      </c>
      <c r="E994" t="inlineStr">
        <is>
          <t>GOTLAND</t>
        </is>
      </c>
      <c r="G994" t="n">
        <v>7.1</v>
      </c>
      <c r="H994" t="n">
        <v>0</v>
      </c>
      <c r="I994" t="n">
        <v>0</v>
      </c>
      <c r="J994" t="n">
        <v>0</v>
      </c>
      <c r="K994" t="n">
        <v>0</v>
      </c>
      <c r="L994" t="n">
        <v>0</v>
      </c>
      <c r="M994" t="n">
        <v>0</v>
      </c>
      <c r="N994" t="n">
        <v>0</v>
      </c>
      <c r="O994" t="n">
        <v>0</v>
      </c>
      <c r="P994" t="n">
        <v>0</v>
      </c>
      <c r="Q994" t="n">
        <v>0</v>
      </c>
      <c r="R994" s="2" t="inlineStr"/>
    </row>
    <row r="995" ht="15" customHeight="1">
      <c r="A995" t="inlineStr">
        <is>
          <t>A 61664-2024</t>
        </is>
      </c>
      <c r="B995" s="1" t="n">
        <v>45646</v>
      </c>
      <c r="C995" s="1" t="n">
        <v>45784</v>
      </c>
      <c r="D995" t="inlineStr">
        <is>
          <t>GOTLANDS LÄN</t>
        </is>
      </c>
      <c r="E995" t="inlineStr">
        <is>
          <t>GOTLAND</t>
        </is>
      </c>
      <c r="G995" t="n">
        <v>3.8</v>
      </c>
      <c r="H995" t="n">
        <v>0</v>
      </c>
      <c r="I995" t="n">
        <v>0</v>
      </c>
      <c r="J995" t="n">
        <v>0</v>
      </c>
      <c r="K995" t="n">
        <v>0</v>
      </c>
      <c r="L995" t="n">
        <v>0</v>
      </c>
      <c r="M995" t="n">
        <v>0</v>
      </c>
      <c r="N995" t="n">
        <v>0</v>
      </c>
      <c r="O995" t="n">
        <v>0</v>
      </c>
      <c r="P995" t="n">
        <v>0</v>
      </c>
      <c r="Q995" t="n">
        <v>0</v>
      </c>
      <c r="R995" s="2" t="inlineStr"/>
    </row>
    <row r="996" ht="15" customHeight="1">
      <c r="A996" t="inlineStr">
        <is>
          <t>A 61682-2024</t>
        </is>
      </c>
      <c r="B996" s="1" t="n">
        <v>45647</v>
      </c>
      <c r="C996" s="1" t="n">
        <v>45784</v>
      </c>
      <c r="D996" t="inlineStr">
        <is>
          <t>GOTLANDS LÄN</t>
        </is>
      </c>
      <c r="E996" t="inlineStr">
        <is>
          <t>GOTLAND</t>
        </is>
      </c>
      <c r="G996" t="n">
        <v>1.9</v>
      </c>
      <c r="H996" t="n">
        <v>0</v>
      </c>
      <c r="I996" t="n">
        <v>0</v>
      </c>
      <c r="J996" t="n">
        <v>0</v>
      </c>
      <c r="K996" t="n">
        <v>0</v>
      </c>
      <c r="L996" t="n">
        <v>0</v>
      </c>
      <c r="M996" t="n">
        <v>0</v>
      </c>
      <c r="N996" t="n">
        <v>0</v>
      </c>
      <c r="O996" t="n">
        <v>0</v>
      </c>
      <c r="P996" t="n">
        <v>0</v>
      </c>
      <c r="Q996" t="n">
        <v>0</v>
      </c>
      <c r="R996" s="2" t="inlineStr"/>
    </row>
    <row r="997" ht="15" customHeight="1">
      <c r="A997" t="inlineStr">
        <is>
          <t>A 61897-2024</t>
        </is>
      </c>
      <c r="B997" s="1" t="n">
        <v>45652</v>
      </c>
      <c r="C997" s="1" t="n">
        <v>45784</v>
      </c>
      <c r="D997" t="inlineStr">
        <is>
          <t>GOTLANDS LÄN</t>
        </is>
      </c>
      <c r="E997" t="inlineStr">
        <is>
          <t>GOTLAND</t>
        </is>
      </c>
      <c r="G997" t="n">
        <v>6.4</v>
      </c>
      <c r="H997" t="n">
        <v>0</v>
      </c>
      <c r="I997" t="n">
        <v>0</v>
      </c>
      <c r="J997" t="n">
        <v>0</v>
      </c>
      <c r="K997" t="n">
        <v>0</v>
      </c>
      <c r="L997" t="n">
        <v>0</v>
      </c>
      <c r="M997" t="n">
        <v>0</v>
      </c>
      <c r="N997" t="n">
        <v>0</v>
      </c>
      <c r="O997" t="n">
        <v>0</v>
      </c>
      <c r="P997" t="n">
        <v>0</v>
      </c>
      <c r="Q997" t="n">
        <v>0</v>
      </c>
      <c r="R997" s="2" t="inlineStr"/>
    </row>
    <row r="998" ht="15" customHeight="1">
      <c r="A998" t="inlineStr">
        <is>
          <t>A 251-2025</t>
        </is>
      </c>
      <c r="B998" s="1" t="n">
        <v>45653</v>
      </c>
      <c r="C998" s="1" t="n">
        <v>45784</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61964-2024</t>
        </is>
      </c>
      <c r="B999" s="1" t="n">
        <v>45653</v>
      </c>
      <c r="C999" s="1" t="n">
        <v>45784</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61962-2024</t>
        </is>
      </c>
      <c r="B1000" s="1" t="n">
        <v>45653</v>
      </c>
      <c r="C1000" s="1" t="n">
        <v>45784</v>
      </c>
      <c r="D1000" t="inlineStr">
        <is>
          <t>GOTLANDS LÄN</t>
        </is>
      </c>
      <c r="E1000" t="inlineStr">
        <is>
          <t>GOTLAND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62127-2024</t>
        </is>
      </c>
      <c r="B1001" s="1" t="n">
        <v>45656</v>
      </c>
      <c r="C1001" s="1" t="n">
        <v>45784</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883-2025</t>
        </is>
      </c>
      <c r="B1002" s="1" t="n">
        <v>45665</v>
      </c>
      <c r="C1002" s="1" t="n">
        <v>45784</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717-2025</t>
        </is>
      </c>
      <c r="B1003" s="1" t="n">
        <v>45665</v>
      </c>
      <c r="C1003" s="1" t="n">
        <v>45784</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1175-2025</t>
        </is>
      </c>
      <c r="B1004" s="1" t="n">
        <v>45667</v>
      </c>
      <c r="C1004" s="1" t="n">
        <v>45784</v>
      </c>
      <c r="D1004" t="inlineStr">
        <is>
          <t>GOTLANDS LÄN</t>
        </is>
      </c>
      <c r="E1004" t="inlineStr">
        <is>
          <t>GOTLAND</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1364-2025</t>
        </is>
      </c>
      <c r="B1005" s="1" t="n">
        <v>45667</v>
      </c>
      <c r="C1005" s="1" t="n">
        <v>45784</v>
      </c>
      <c r="D1005" t="inlineStr">
        <is>
          <t>GOTLANDS LÄN</t>
        </is>
      </c>
      <c r="E1005" t="inlineStr">
        <is>
          <t>GOTLAND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1351-2025</t>
        </is>
      </c>
      <c r="B1006" s="1" t="n">
        <v>45667</v>
      </c>
      <c r="C1006" s="1" t="n">
        <v>45784</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1345-2025</t>
        </is>
      </c>
      <c r="B1007" s="1" t="n">
        <v>45667</v>
      </c>
      <c r="C1007" s="1" t="n">
        <v>45784</v>
      </c>
      <c r="D1007" t="inlineStr">
        <is>
          <t>GOTLANDS LÄN</t>
        </is>
      </c>
      <c r="E1007" t="inlineStr">
        <is>
          <t>GOTLAND</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1446-2025</t>
        </is>
      </c>
      <c r="B1008" s="1" t="n">
        <v>45669</v>
      </c>
      <c r="C1008" s="1" t="n">
        <v>45784</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1803-2025</t>
        </is>
      </c>
      <c r="B1009" s="1" t="n">
        <v>45670</v>
      </c>
      <c r="C1009" s="1" t="n">
        <v>45784</v>
      </c>
      <c r="D1009" t="inlineStr">
        <is>
          <t>GOTLANDS LÄN</t>
        </is>
      </c>
      <c r="E1009" t="inlineStr">
        <is>
          <t>GOTLAND</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1462-2025</t>
        </is>
      </c>
      <c r="B1010" s="1" t="n">
        <v>45670</v>
      </c>
      <c r="C1010" s="1" t="n">
        <v>45784</v>
      </c>
      <c r="D1010" t="inlineStr">
        <is>
          <t>GOTLANDS LÄN</t>
        </is>
      </c>
      <c r="E1010" t="inlineStr">
        <is>
          <t>GOTLAND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1731-2025</t>
        </is>
      </c>
      <c r="B1011" s="1" t="n">
        <v>45671</v>
      </c>
      <c r="C1011" s="1" t="n">
        <v>45784</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1734-2025</t>
        </is>
      </c>
      <c r="B1012" s="1" t="n">
        <v>45671</v>
      </c>
      <c r="C1012" s="1" t="n">
        <v>45784</v>
      </c>
      <c r="D1012" t="inlineStr">
        <is>
          <t>GOTLANDS LÄN</t>
        </is>
      </c>
      <c r="E1012" t="inlineStr">
        <is>
          <t>GOTLAND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1729-2025</t>
        </is>
      </c>
      <c r="B1013" s="1" t="n">
        <v>45671</v>
      </c>
      <c r="C1013" s="1" t="n">
        <v>45784</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1713-2025</t>
        </is>
      </c>
      <c r="B1014" s="1" t="n">
        <v>45671</v>
      </c>
      <c r="C1014" s="1" t="n">
        <v>45784</v>
      </c>
      <c r="D1014" t="inlineStr">
        <is>
          <t>GOTLANDS LÄN</t>
        </is>
      </c>
      <c r="E1014" t="inlineStr">
        <is>
          <t>GOTLAND</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1728-2025</t>
        </is>
      </c>
      <c r="B1015" s="1" t="n">
        <v>45671</v>
      </c>
      <c r="C1015" s="1" t="n">
        <v>45784</v>
      </c>
      <c r="D1015" t="inlineStr">
        <is>
          <t>GOTLANDS LÄN</t>
        </is>
      </c>
      <c r="E1015" t="inlineStr">
        <is>
          <t>GOTLAND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2125-2025</t>
        </is>
      </c>
      <c r="B1016" s="1" t="n">
        <v>45672</v>
      </c>
      <c r="C1016" s="1" t="n">
        <v>45784</v>
      </c>
      <c r="D1016" t="inlineStr">
        <is>
          <t>GOTLANDS LÄN</t>
        </is>
      </c>
      <c r="E1016" t="inlineStr">
        <is>
          <t>GOTLAND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2161-2025</t>
        </is>
      </c>
      <c r="B1017" s="1" t="n">
        <v>45672</v>
      </c>
      <c r="C1017" s="1" t="n">
        <v>45784</v>
      </c>
      <c r="D1017" t="inlineStr">
        <is>
          <t>GOTLANDS LÄN</t>
        </is>
      </c>
      <c r="E1017" t="inlineStr">
        <is>
          <t>GOTLAND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2050-2025</t>
        </is>
      </c>
      <c r="B1018" s="1" t="n">
        <v>45672</v>
      </c>
      <c r="C1018" s="1" t="n">
        <v>45784</v>
      </c>
      <c r="D1018" t="inlineStr">
        <is>
          <t>GOTLANDS LÄN</t>
        </is>
      </c>
      <c r="E1018" t="inlineStr">
        <is>
          <t>GOTLAND</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2052-2025</t>
        </is>
      </c>
      <c r="B1019" s="1" t="n">
        <v>45672</v>
      </c>
      <c r="C1019" s="1" t="n">
        <v>45784</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2054-2025</t>
        </is>
      </c>
      <c r="B1020" s="1" t="n">
        <v>45672</v>
      </c>
      <c r="C1020" s="1" t="n">
        <v>45784</v>
      </c>
      <c r="D1020" t="inlineStr">
        <is>
          <t>GOTLANDS LÄN</t>
        </is>
      </c>
      <c r="E1020" t="inlineStr">
        <is>
          <t>GOTLAND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2035-2025</t>
        </is>
      </c>
      <c r="B1021" s="1" t="n">
        <v>45672</v>
      </c>
      <c r="C1021" s="1" t="n">
        <v>45784</v>
      </c>
      <c r="D1021" t="inlineStr">
        <is>
          <t>GOTLANDS LÄN</t>
        </is>
      </c>
      <c r="E1021" t="inlineStr">
        <is>
          <t>GOTLAND</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2120-2025</t>
        </is>
      </c>
      <c r="B1022" s="1" t="n">
        <v>45672</v>
      </c>
      <c r="C1022" s="1" t="n">
        <v>45784</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2033-2025</t>
        </is>
      </c>
      <c r="B1023" s="1" t="n">
        <v>45672</v>
      </c>
      <c r="C1023" s="1" t="n">
        <v>45784</v>
      </c>
      <c r="D1023" t="inlineStr">
        <is>
          <t>GOTLANDS LÄN</t>
        </is>
      </c>
      <c r="E1023" t="inlineStr">
        <is>
          <t>GOTLAND</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2180-2025</t>
        </is>
      </c>
      <c r="B1024" s="1" t="n">
        <v>45673</v>
      </c>
      <c r="C1024" s="1" t="n">
        <v>45784</v>
      </c>
      <c r="D1024" t="inlineStr">
        <is>
          <t>GOTLANDS LÄN</t>
        </is>
      </c>
      <c r="E1024" t="inlineStr">
        <is>
          <t>GOTLAND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2241-2025</t>
        </is>
      </c>
      <c r="B1025" s="1" t="n">
        <v>45673</v>
      </c>
      <c r="C1025" s="1" t="n">
        <v>45784</v>
      </c>
      <c r="D1025" t="inlineStr">
        <is>
          <t>GOTLANDS LÄN</t>
        </is>
      </c>
      <c r="E1025" t="inlineStr">
        <is>
          <t>GOTLAND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2772-2025</t>
        </is>
      </c>
      <c r="B1026" s="1" t="n">
        <v>45677</v>
      </c>
      <c r="C1026" s="1" t="n">
        <v>45784</v>
      </c>
      <c r="D1026" t="inlineStr">
        <is>
          <t>GOTLANDS LÄN</t>
        </is>
      </c>
      <c r="E1026" t="inlineStr">
        <is>
          <t>GOTLAND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2721-2025</t>
        </is>
      </c>
      <c r="B1027" s="1" t="n">
        <v>45677</v>
      </c>
      <c r="C1027" s="1" t="n">
        <v>45784</v>
      </c>
      <c r="D1027" t="inlineStr">
        <is>
          <t>GOTLANDS LÄN</t>
        </is>
      </c>
      <c r="E1027" t="inlineStr">
        <is>
          <t>GOTLAND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3061-2025</t>
        </is>
      </c>
      <c r="B1028" s="1" t="n">
        <v>45678</v>
      </c>
      <c r="C1028" s="1" t="n">
        <v>45784</v>
      </c>
      <c r="D1028" t="inlineStr">
        <is>
          <t>GOTLANDS LÄN</t>
        </is>
      </c>
      <c r="E1028" t="inlineStr">
        <is>
          <t>GOTLAND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3274-2025</t>
        </is>
      </c>
      <c r="B1029" s="1" t="n">
        <v>45679</v>
      </c>
      <c r="C1029" s="1" t="n">
        <v>45784</v>
      </c>
      <c r="D1029" t="inlineStr">
        <is>
          <t>GOTLANDS LÄN</t>
        </is>
      </c>
      <c r="E1029" t="inlineStr">
        <is>
          <t>GOTLAND</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3150-2025</t>
        </is>
      </c>
      <c r="B1030" s="1" t="n">
        <v>45679</v>
      </c>
      <c r="C1030" s="1" t="n">
        <v>45784</v>
      </c>
      <c r="D1030" t="inlineStr">
        <is>
          <t>GOTLANDS LÄN</t>
        </is>
      </c>
      <c r="E1030" t="inlineStr">
        <is>
          <t>GOTLAND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3431-2025</t>
        </is>
      </c>
      <c r="B1031" s="1" t="n">
        <v>45680</v>
      </c>
      <c r="C1031" s="1" t="n">
        <v>45784</v>
      </c>
      <c r="D1031" t="inlineStr">
        <is>
          <t>GOTLANDS LÄN</t>
        </is>
      </c>
      <c r="E1031" t="inlineStr">
        <is>
          <t>GOTLAND</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3416-2025</t>
        </is>
      </c>
      <c r="B1032" s="1" t="n">
        <v>45680</v>
      </c>
      <c r="C1032" s="1" t="n">
        <v>45784</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3935-2025</t>
        </is>
      </c>
      <c r="B1033" s="1" t="n">
        <v>45684</v>
      </c>
      <c r="C1033" s="1" t="n">
        <v>45784</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3930-2025</t>
        </is>
      </c>
      <c r="B1034" s="1" t="n">
        <v>45684</v>
      </c>
      <c r="C1034" s="1" t="n">
        <v>45784</v>
      </c>
      <c r="D1034" t="inlineStr">
        <is>
          <t>GOTLANDS LÄN</t>
        </is>
      </c>
      <c r="E1034" t="inlineStr">
        <is>
          <t>GOTLAND</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4191-2025</t>
        </is>
      </c>
      <c r="B1035" s="1" t="n">
        <v>45685</v>
      </c>
      <c r="C1035" s="1" t="n">
        <v>45784</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4420-2025</t>
        </is>
      </c>
      <c r="B1036" s="1" t="n">
        <v>45686</v>
      </c>
      <c r="C1036" s="1" t="n">
        <v>45784</v>
      </c>
      <c r="D1036" t="inlineStr">
        <is>
          <t>GOTLANDS LÄN</t>
        </is>
      </c>
      <c r="E1036" t="inlineStr">
        <is>
          <t>GOTLAND</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4568-2025</t>
        </is>
      </c>
      <c r="B1037" s="1" t="n">
        <v>45687</v>
      </c>
      <c r="C1037" s="1" t="n">
        <v>45784</v>
      </c>
      <c r="D1037" t="inlineStr">
        <is>
          <t>GOTLANDS LÄN</t>
        </is>
      </c>
      <c r="E1037" t="inlineStr">
        <is>
          <t>GOTLAND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4677-2025</t>
        </is>
      </c>
      <c r="B1038" s="1" t="n">
        <v>45687</v>
      </c>
      <c r="C1038" s="1" t="n">
        <v>45784</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4990-2025</t>
        </is>
      </c>
      <c r="B1039" s="1" t="n">
        <v>45691</v>
      </c>
      <c r="C1039" s="1" t="n">
        <v>45784</v>
      </c>
      <c r="D1039" t="inlineStr">
        <is>
          <t>GOTLANDS LÄN</t>
        </is>
      </c>
      <c r="E1039" t="inlineStr">
        <is>
          <t>GOTLAND</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5270-2025</t>
        </is>
      </c>
      <c r="B1040" s="1" t="n">
        <v>45692</v>
      </c>
      <c r="C1040" s="1" t="n">
        <v>45784</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5235-2025</t>
        </is>
      </c>
      <c r="B1041" s="1" t="n">
        <v>45692</v>
      </c>
      <c r="C1041" s="1" t="n">
        <v>45784</v>
      </c>
      <c r="D1041" t="inlineStr">
        <is>
          <t>GOTLANDS LÄN</t>
        </is>
      </c>
      <c r="E1041" t="inlineStr">
        <is>
          <t>GOTLAND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5462-2025</t>
        </is>
      </c>
      <c r="B1042" s="1" t="n">
        <v>45693</v>
      </c>
      <c r="C1042" s="1" t="n">
        <v>45784</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5676-2025</t>
        </is>
      </c>
      <c r="B1043" s="1" t="n">
        <v>45694</v>
      </c>
      <c r="C1043" s="1" t="n">
        <v>45784</v>
      </c>
      <c r="D1043" t="inlineStr">
        <is>
          <t>GOTLANDS LÄN</t>
        </is>
      </c>
      <c r="E1043" t="inlineStr">
        <is>
          <t>GOTLAND</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5757-2025</t>
        </is>
      </c>
      <c r="B1044" s="1" t="n">
        <v>45694</v>
      </c>
      <c r="C1044" s="1" t="n">
        <v>45784</v>
      </c>
      <c r="D1044" t="inlineStr">
        <is>
          <t>GOTLANDS LÄN</t>
        </is>
      </c>
      <c r="E1044" t="inlineStr">
        <is>
          <t>GOTLAND</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5674-2025</t>
        </is>
      </c>
      <c r="B1045" s="1" t="n">
        <v>45694</v>
      </c>
      <c r="C1045" s="1" t="n">
        <v>45784</v>
      </c>
      <c r="D1045" t="inlineStr">
        <is>
          <t>GOTLANDS LÄN</t>
        </is>
      </c>
      <c r="E1045" t="inlineStr">
        <is>
          <t>GOTLAND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5897-2025</t>
        </is>
      </c>
      <c r="B1046" s="1" t="n">
        <v>45695</v>
      </c>
      <c r="C1046" s="1" t="n">
        <v>45784</v>
      </c>
      <c r="D1046" t="inlineStr">
        <is>
          <t>GOTLANDS LÄN</t>
        </is>
      </c>
      <c r="E1046" t="inlineStr">
        <is>
          <t>GOTLAND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5909-2025</t>
        </is>
      </c>
      <c r="B1047" s="1" t="n">
        <v>45695</v>
      </c>
      <c r="C1047" s="1" t="n">
        <v>45784</v>
      </c>
      <c r="D1047" t="inlineStr">
        <is>
          <t>GOTLANDS LÄN</t>
        </is>
      </c>
      <c r="E1047" t="inlineStr">
        <is>
          <t>GOTLAND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5891-2025</t>
        </is>
      </c>
      <c r="B1048" s="1" t="n">
        <v>45695</v>
      </c>
      <c r="C1048" s="1" t="n">
        <v>45784</v>
      </c>
      <c r="D1048" t="inlineStr">
        <is>
          <t>GOTLANDS LÄN</t>
        </is>
      </c>
      <c r="E1048" t="inlineStr">
        <is>
          <t>GOTLAND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5884-2025</t>
        </is>
      </c>
      <c r="B1049" s="1" t="n">
        <v>45695</v>
      </c>
      <c r="C1049" s="1" t="n">
        <v>45784</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6108-2025</t>
        </is>
      </c>
      <c r="B1050" s="1" t="n">
        <v>45698</v>
      </c>
      <c r="C1050" s="1" t="n">
        <v>45784</v>
      </c>
      <c r="D1050" t="inlineStr">
        <is>
          <t>GOTLANDS LÄN</t>
        </is>
      </c>
      <c r="E1050" t="inlineStr">
        <is>
          <t>GOTLAND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6792-2025</t>
        </is>
      </c>
      <c r="B1051" s="1" t="n">
        <v>45700</v>
      </c>
      <c r="C1051" s="1" t="n">
        <v>45784</v>
      </c>
      <c r="D1051" t="inlineStr">
        <is>
          <t>GOTLANDS LÄN</t>
        </is>
      </c>
      <c r="E1051" t="inlineStr">
        <is>
          <t>GOTLAND</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6749-2025</t>
        </is>
      </c>
      <c r="B1052" s="1" t="n">
        <v>45700</v>
      </c>
      <c r="C1052" s="1" t="n">
        <v>45784</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6688-2025</t>
        </is>
      </c>
      <c r="B1053" s="1" t="n">
        <v>45700</v>
      </c>
      <c r="C1053" s="1" t="n">
        <v>45784</v>
      </c>
      <c r="D1053" t="inlineStr">
        <is>
          <t>GOTLANDS LÄN</t>
        </is>
      </c>
      <c r="E1053" t="inlineStr">
        <is>
          <t>GOTLAND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6796-2025</t>
        </is>
      </c>
      <c r="B1054" s="1" t="n">
        <v>45700</v>
      </c>
      <c r="C1054" s="1" t="n">
        <v>45784</v>
      </c>
      <c r="D1054" t="inlineStr">
        <is>
          <t>GOTLANDS LÄN</t>
        </is>
      </c>
      <c r="E1054" t="inlineStr">
        <is>
          <t>GOTLAND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6739-2025</t>
        </is>
      </c>
      <c r="B1055" s="1" t="n">
        <v>45700</v>
      </c>
      <c r="C1055" s="1" t="n">
        <v>45784</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6960-2025</t>
        </is>
      </c>
      <c r="B1056" s="1" t="n">
        <v>45701</v>
      </c>
      <c r="C1056" s="1" t="n">
        <v>45784</v>
      </c>
      <c r="D1056" t="inlineStr">
        <is>
          <t>GOTLANDS LÄN</t>
        </is>
      </c>
      <c r="E1056" t="inlineStr">
        <is>
          <t>GOTLAND</t>
        </is>
      </c>
      <c r="G1056" t="n">
        <v>4</v>
      </c>
      <c r="H1056" t="n">
        <v>0</v>
      </c>
      <c r="I1056" t="n">
        <v>0</v>
      </c>
      <c r="J1056" t="n">
        <v>0</v>
      </c>
      <c r="K1056" t="n">
        <v>0</v>
      </c>
      <c r="L1056" t="n">
        <v>0</v>
      </c>
      <c r="M1056" t="n">
        <v>0</v>
      </c>
      <c r="N1056" t="n">
        <v>0</v>
      </c>
      <c r="O1056" t="n">
        <v>0</v>
      </c>
      <c r="P1056" t="n">
        <v>0</v>
      </c>
      <c r="Q1056" t="n">
        <v>0</v>
      </c>
      <c r="R1056" s="2" t="inlineStr"/>
      <c r="U1056">
        <f>HYPERLINK("https://klasma.github.io/Logging_0980/knärot/A 6960-2025 karta knärot.png", "A 6960-2025")</f>
        <v/>
      </c>
      <c r="V1056">
        <f>HYPERLINK("https://klasma.github.io/Logging_0980/klagomål/A 6960-2025 FSC-klagomål.docx", "A 6960-2025")</f>
        <v/>
      </c>
      <c r="W1056">
        <f>HYPERLINK("https://klasma.github.io/Logging_0980/klagomålsmail/A 6960-2025 FSC-klagomål mail.docx", "A 6960-2025")</f>
        <v/>
      </c>
      <c r="X1056">
        <f>HYPERLINK("https://klasma.github.io/Logging_0980/tillsyn/A 6960-2025 tillsynsbegäran.docx", "A 6960-2025")</f>
        <v/>
      </c>
      <c r="Y1056">
        <f>HYPERLINK("https://klasma.github.io/Logging_0980/tillsynsmail/A 6960-2025 tillsynsbegäran mail.docx", "A 6960-2025")</f>
        <v/>
      </c>
    </row>
    <row r="1057" ht="15" customHeight="1">
      <c r="A1057" t="inlineStr">
        <is>
          <t>A 6913-2025</t>
        </is>
      </c>
      <c r="B1057" s="1" t="n">
        <v>45701</v>
      </c>
      <c r="C1057" s="1" t="n">
        <v>45784</v>
      </c>
      <c r="D1057" t="inlineStr">
        <is>
          <t>GOTLANDS LÄN</t>
        </is>
      </c>
      <c r="E1057" t="inlineStr">
        <is>
          <t>GOTLAND</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7636-2025</t>
        </is>
      </c>
      <c r="B1058" s="1" t="n">
        <v>45705</v>
      </c>
      <c r="C1058" s="1" t="n">
        <v>45784</v>
      </c>
      <c r="D1058" t="inlineStr">
        <is>
          <t>GOTLANDS LÄN</t>
        </is>
      </c>
      <c r="E1058" t="inlineStr">
        <is>
          <t>GOTLAND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7639-2025</t>
        </is>
      </c>
      <c r="B1059" s="1" t="n">
        <v>45705</v>
      </c>
      <c r="C1059" s="1" t="n">
        <v>45784</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7635-2025</t>
        </is>
      </c>
      <c r="B1060" s="1" t="n">
        <v>45705</v>
      </c>
      <c r="C1060" s="1" t="n">
        <v>45784</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7638-2025</t>
        </is>
      </c>
      <c r="B1061" s="1" t="n">
        <v>45705</v>
      </c>
      <c r="C1061" s="1" t="n">
        <v>45784</v>
      </c>
      <c r="D1061" t="inlineStr">
        <is>
          <t>GOTLANDS LÄN</t>
        </is>
      </c>
      <c r="E1061" t="inlineStr">
        <is>
          <t>GOTLAND</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7455-2025</t>
        </is>
      </c>
      <c r="B1062" s="1" t="n">
        <v>45705</v>
      </c>
      <c r="C1062" s="1" t="n">
        <v>45784</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7426-2025</t>
        </is>
      </c>
      <c r="B1063" s="1" t="n">
        <v>45705</v>
      </c>
      <c r="C1063" s="1" t="n">
        <v>45784</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7850-2025</t>
        </is>
      </c>
      <c r="B1064" s="1" t="n">
        <v>45706</v>
      </c>
      <c r="C1064" s="1" t="n">
        <v>45784</v>
      </c>
      <c r="D1064" t="inlineStr">
        <is>
          <t>GOTLANDS LÄN</t>
        </is>
      </c>
      <c r="E1064" t="inlineStr">
        <is>
          <t>GOTLAND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7858-2025</t>
        </is>
      </c>
      <c r="B1065" s="1" t="n">
        <v>45706</v>
      </c>
      <c r="C1065" s="1" t="n">
        <v>45784</v>
      </c>
      <c r="D1065" t="inlineStr">
        <is>
          <t>GOTLANDS LÄN</t>
        </is>
      </c>
      <c r="E1065" t="inlineStr">
        <is>
          <t>GOTLAND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7910-2025</t>
        </is>
      </c>
      <c r="B1066" s="1" t="n">
        <v>45707</v>
      </c>
      <c r="C1066" s="1" t="n">
        <v>45784</v>
      </c>
      <c r="D1066" t="inlineStr">
        <is>
          <t>GOTLANDS LÄN</t>
        </is>
      </c>
      <c r="E1066" t="inlineStr">
        <is>
          <t>GOTLAND</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8444-2025</t>
        </is>
      </c>
      <c r="B1067" s="1" t="n">
        <v>45709</v>
      </c>
      <c r="C1067" s="1" t="n">
        <v>45784</v>
      </c>
      <c r="D1067" t="inlineStr">
        <is>
          <t>GOTLANDS LÄN</t>
        </is>
      </c>
      <c r="E1067" t="inlineStr">
        <is>
          <t>GOTLAND</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8484-2025</t>
        </is>
      </c>
      <c r="B1068" s="1" t="n">
        <v>45709</v>
      </c>
      <c r="C1068" s="1" t="n">
        <v>45784</v>
      </c>
      <c r="D1068" t="inlineStr">
        <is>
          <t>GOTLANDS LÄN</t>
        </is>
      </c>
      <c r="E1068" t="inlineStr">
        <is>
          <t>GOTLAND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8690-2025</t>
        </is>
      </c>
      <c r="B1069" s="1" t="n">
        <v>45712</v>
      </c>
      <c r="C1069" s="1" t="n">
        <v>45784</v>
      </c>
      <c r="D1069" t="inlineStr">
        <is>
          <t>GOTLANDS LÄN</t>
        </is>
      </c>
      <c r="E1069" t="inlineStr">
        <is>
          <t>GOTLAND</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8701-2025</t>
        </is>
      </c>
      <c r="B1070" s="1" t="n">
        <v>45712</v>
      </c>
      <c r="C1070" s="1" t="n">
        <v>45784</v>
      </c>
      <c r="D1070" t="inlineStr">
        <is>
          <t>GOTLANDS LÄN</t>
        </is>
      </c>
      <c r="E1070" t="inlineStr">
        <is>
          <t>GOTLAND</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8684-2025</t>
        </is>
      </c>
      <c r="B1071" s="1" t="n">
        <v>45712</v>
      </c>
      <c r="C1071" s="1" t="n">
        <v>45784</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8683-2025</t>
        </is>
      </c>
      <c r="B1072" s="1" t="n">
        <v>45712</v>
      </c>
      <c r="C1072" s="1" t="n">
        <v>45784</v>
      </c>
      <c r="D1072" t="inlineStr">
        <is>
          <t>GOTLANDS LÄN</t>
        </is>
      </c>
      <c r="E1072" t="inlineStr">
        <is>
          <t>GOTLAND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9236-2025</t>
        </is>
      </c>
      <c r="B1073" s="1" t="n">
        <v>45714</v>
      </c>
      <c r="C1073" s="1" t="n">
        <v>45784</v>
      </c>
      <c r="D1073" t="inlineStr">
        <is>
          <t>GOTLANDS LÄN</t>
        </is>
      </c>
      <c r="E1073" t="inlineStr">
        <is>
          <t>GOTLAND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9503-2025</t>
        </is>
      </c>
      <c r="B1074" s="1" t="n">
        <v>45715</v>
      </c>
      <c r="C1074" s="1" t="n">
        <v>45784</v>
      </c>
      <c r="D1074" t="inlineStr">
        <is>
          <t>GOTLANDS LÄN</t>
        </is>
      </c>
      <c r="E1074" t="inlineStr">
        <is>
          <t>GOTLAND</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9481-2025</t>
        </is>
      </c>
      <c r="B1075" s="1" t="n">
        <v>45715</v>
      </c>
      <c r="C1075" s="1" t="n">
        <v>45784</v>
      </c>
      <c r="D1075" t="inlineStr">
        <is>
          <t>GOTLANDS LÄN</t>
        </is>
      </c>
      <c r="E1075" t="inlineStr">
        <is>
          <t>GOTLAND</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9613-2025</t>
        </is>
      </c>
      <c r="B1076" s="1" t="n">
        <v>45715</v>
      </c>
      <c r="C1076" s="1" t="n">
        <v>45784</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9887-2025</t>
        </is>
      </c>
      <c r="B1077" s="1" t="n">
        <v>45716</v>
      </c>
      <c r="C1077" s="1" t="n">
        <v>45784</v>
      </c>
      <c r="D1077" t="inlineStr">
        <is>
          <t>GOTLANDS LÄN</t>
        </is>
      </c>
      <c r="E1077" t="inlineStr">
        <is>
          <t>GOTLAND</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9875-2025</t>
        </is>
      </c>
      <c r="B1078" s="1" t="n">
        <v>45716</v>
      </c>
      <c r="C1078" s="1" t="n">
        <v>45784</v>
      </c>
      <c r="D1078" t="inlineStr">
        <is>
          <t>GOTLANDS LÄN</t>
        </is>
      </c>
      <c r="E1078" t="inlineStr">
        <is>
          <t>GOTLAND</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10158-2025</t>
        </is>
      </c>
      <c r="B1079" s="1" t="n">
        <v>45719</v>
      </c>
      <c r="C1079" s="1" t="n">
        <v>45784</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10497-2025</t>
        </is>
      </c>
      <c r="B1080" s="1" t="n">
        <v>45721</v>
      </c>
      <c r="C1080" s="1" t="n">
        <v>45784</v>
      </c>
      <c r="D1080" t="inlineStr">
        <is>
          <t>GOTLANDS LÄN</t>
        </is>
      </c>
      <c r="E1080" t="inlineStr">
        <is>
          <t>GOTLAND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10652-2025</t>
        </is>
      </c>
      <c r="B1081" s="1" t="n">
        <v>45721</v>
      </c>
      <c r="C1081" s="1" t="n">
        <v>45784</v>
      </c>
      <c r="D1081" t="inlineStr">
        <is>
          <t>GOTLANDS LÄN</t>
        </is>
      </c>
      <c r="E1081" t="inlineStr">
        <is>
          <t>GOTLAND</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10813-2025</t>
        </is>
      </c>
      <c r="B1082" s="1" t="n">
        <v>45722</v>
      </c>
      <c r="C1082" s="1" t="n">
        <v>45784</v>
      </c>
      <c r="D1082" t="inlineStr">
        <is>
          <t>GOTLANDS LÄN</t>
        </is>
      </c>
      <c r="E1082" t="inlineStr">
        <is>
          <t>GOTLAND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10746-2025</t>
        </is>
      </c>
      <c r="B1083" s="1" t="n">
        <v>45722</v>
      </c>
      <c r="C1083" s="1" t="n">
        <v>45784</v>
      </c>
      <c r="D1083" t="inlineStr">
        <is>
          <t>GOTLANDS LÄN</t>
        </is>
      </c>
      <c r="E1083" t="inlineStr">
        <is>
          <t>GOTLAND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12032-2025</t>
        </is>
      </c>
      <c r="B1084" s="1" t="n">
        <v>45728</v>
      </c>
      <c r="C1084" s="1" t="n">
        <v>45784</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12123-2025</t>
        </is>
      </c>
      <c r="B1085" s="1" t="n">
        <v>45729</v>
      </c>
      <c r="C1085" s="1" t="n">
        <v>45784</v>
      </c>
      <c r="D1085" t="inlineStr">
        <is>
          <t>GOTLANDS LÄN</t>
        </is>
      </c>
      <c r="E1085" t="inlineStr">
        <is>
          <t>GOTLAND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12322-2025</t>
        </is>
      </c>
      <c r="B1086" s="1" t="n">
        <v>45730</v>
      </c>
      <c r="C1086" s="1" t="n">
        <v>45784</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12327-2025</t>
        </is>
      </c>
      <c r="B1087" s="1" t="n">
        <v>45730</v>
      </c>
      <c r="C1087" s="1" t="n">
        <v>45784</v>
      </c>
      <c r="D1087" t="inlineStr">
        <is>
          <t>GOTLANDS LÄN</t>
        </is>
      </c>
      <c r="E1087" t="inlineStr">
        <is>
          <t>GOTLAND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12330-2025</t>
        </is>
      </c>
      <c r="B1088" s="1" t="n">
        <v>45730</v>
      </c>
      <c r="C1088" s="1" t="n">
        <v>45784</v>
      </c>
      <c r="D1088" t="inlineStr">
        <is>
          <t>GOTLANDS LÄN</t>
        </is>
      </c>
      <c r="E1088" t="inlineStr">
        <is>
          <t>GOTLAND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12846-2025</t>
        </is>
      </c>
      <c r="B1089" s="1" t="n">
        <v>45733</v>
      </c>
      <c r="C1089" s="1" t="n">
        <v>45784</v>
      </c>
      <c r="D1089" t="inlineStr">
        <is>
          <t>GOTLANDS LÄN</t>
        </is>
      </c>
      <c r="E1089" t="inlineStr">
        <is>
          <t>GOTLAND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12599-2025</t>
        </is>
      </c>
      <c r="B1090" s="1" t="n">
        <v>45733</v>
      </c>
      <c r="C1090" s="1" t="n">
        <v>45784</v>
      </c>
      <c r="D1090" t="inlineStr">
        <is>
          <t>GOTLANDS LÄN</t>
        </is>
      </c>
      <c r="E1090" t="inlineStr">
        <is>
          <t>GOTLAND</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13037-2025</t>
        </is>
      </c>
      <c r="B1091" s="1" t="n">
        <v>45734</v>
      </c>
      <c r="C1091" s="1" t="n">
        <v>45784</v>
      </c>
      <c r="D1091" t="inlineStr">
        <is>
          <t>GOTLANDS LÄN</t>
        </is>
      </c>
      <c r="E1091" t="inlineStr">
        <is>
          <t>GOTLAND</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13910-2025</t>
        </is>
      </c>
      <c r="B1092" s="1" t="n">
        <v>45737</v>
      </c>
      <c r="C1092" s="1" t="n">
        <v>45784</v>
      </c>
      <c r="D1092" t="inlineStr">
        <is>
          <t>GOTLANDS LÄN</t>
        </is>
      </c>
      <c r="E1092" t="inlineStr">
        <is>
          <t>GOTLAND</t>
        </is>
      </c>
      <c r="F1092" t="inlineStr">
        <is>
          <t>Kommuner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14570-2025</t>
        </is>
      </c>
      <c r="B1093" s="1" t="n">
        <v>45741</v>
      </c>
      <c r="C1093" s="1" t="n">
        <v>45784</v>
      </c>
      <c r="D1093" t="inlineStr">
        <is>
          <t>GOTLANDS LÄN</t>
        </is>
      </c>
      <c r="E1093" t="inlineStr">
        <is>
          <t>GOTLAND</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14723-2025</t>
        </is>
      </c>
      <c r="B1094" s="1" t="n">
        <v>45742</v>
      </c>
      <c r="C1094" s="1" t="n">
        <v>45784</v>
      </c>
      <c r="D1094" t="inlineStr">
        <is>
          <t>GOTLANDS LÄN</t>
        </is>
      </c>
      <c r="E1094" t="inlineStr">
        <is>
          <t>GOTLAND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14638-2025</t>
        </is>
      </c>
      <c r="B1095" s="1" t="n">
        <v>45742</v>
      </c>
      <c r="C1095" s="1" t="n">
        <v>45784</v>
      </c>
      <c r="D1095" t="inlineStr">
        <is>
          <t>GOTLANDS LÄN</t>
        </is>
      </c>
      <c r="E1095" t="inlineStr">
        <is>
          <t>GOTLAND</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15001-2025</t>
        </is>
      </c>
      <c r="B1096" s="1" t="n">
        <v>45743</v>
      </c>
      <c r="C1096" s="1" t="n">
        <v>45784</v>
      </c>
      <c r="D1096" t="inlineStr">
        <is>
          <t>GOTLANDS LÄN</t>
        </is>
      </c>
      <c r="E1096" t="inlineStr">
        <is>
          <t>GOTLAND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45784</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45784</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14915-2025</t>
        </is>
      </c>
      <c r="B1099" s="1" t="n">
        <v>45743</v>
      </c>
      <c r="C1099" s="1" t="n">
        <v>45784</v>
      </c>
      <c r="D1099" t="inlineStr">
        <is>
          <t>GOTLANDS LÄN</t>
        </is>
      </c>
      <c r="E1099" t="inlineStr">
        <is>
          <t>GOTLAND</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15042-2025</t>
        </is>
      </c>
      <c r="B1100" s="1" t="n">
        <v>45743</v>
      </c>
      <c r="C1100" s="1" t="n">
        <v>45784</v>
      </c>
      <c r="D1100" t="inlineStr">
        <is>
          <t>GOTLANDS LÄN</t>
        </is>
      </c>
      <c r="E1100" t="inlineStr">
        <is>
          <t>GOTLAND</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15073-2025</t>
        </is>
      </c>
      <c r="B1101" s="1" t="n">
        <v>45743</v>
      </c>
      <c r="C1101" s="1" t="n">
        <v>45784</v>
      </c>
      <c r="D1101" t="inlineStr">
        <is>
          <t>GOTLANDS LÄN</t>
        </is>
      </c>
      <c r="E1101" t="inlineStr">
        <is>
          <t>GOTLAND</t>
        </is>
      </c>
      <c r="G1101" t="n">
        <v>12.1</v>
      </c>
      <c r="H1101" t="n">
        <v>0</v>
      </c>
      <c r="I1101" t="n">
        <v>0</v>
      </c>
      <c r="J1101" t="n">
        <v>0</v>
      </c>
      <c r="K1101" t="n">
        <v>0</v>
      </c>
      <c r="L1101" t="n">
        <v>0</v>
      </c>
      <c r="M1101" t="n">
        <v>0</v>
      </c>
      <c r="N1101" t="n">
        <v>0</v>
      </c>
      <c r="O1101" t="n">
        <v>0</v>
      </c>
      <c r="P1101" t="n">
        <v>0</v>
      </c>
      <c r="Q1101" t="n">
        <v>0</v>
      </c>
      <c r="R1101" s="2" t="inlineStr"/>
    </row>
    <row r="1102" ht="15" customHeight="1">
      <c r="A1102" t="inlineStr">
        <is>
          <t>A 15216-2025</t>
        </is>
      </c>
      <c r="B1102" s="1" t="n">
        <v>45744</v>
      </c>
      <c r="C1102" s="1" t="n">
        <v>45784</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15436-2025</t>
        </is>
      </c>
      <c r="B1103" s="1" t="n">
        <v>45747</v>
      </c>
      <c r="C1103" s="1" t="n">
        <v>45784</v>
      </c>
      <c r="D1103" t="inlineStr">
        <is>
          <t>GOTLANDS LÄN</t>
        </is>
      </c>
      <c r="E1103" t="inlineStr">
        <is>
          <t>GOTLAND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15413-2025</t>
        </is>
      </c>
      <c r="B1104" s="1" t="n">
        <v>45747</v>
      </c>
      <c r="C1104" s="1" t="n">
        <v>45784</v>
      </c>
      <c r="D1104" t="inlineStr">
        <is>
          <t>GOTLANDS LÄN</t>
        </is>
      </c>
      <c r="E1104" t="inlineStr">
        <is>
          <t>GOTLAND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16109-2025</t>
        </is>
      </c>
      <c r="B1105" s="1" t="n">
        <v>45750</v>
      </c>
      <c r="C1105" s="1" t="n">
        <v>45784</v>
      </c>
      <c r="D1105" t="inlineStr">
        <is>
          <t>GOTLANDS LÄN</t>
        </is>
      </c>
      <c r="E1105" t="inlineStr">
        <is>
          <t>GOTLAND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16375-2025</t>
        </is>
      </c>
      <c r="B1106" s="1" t="n">
        <v>45751</v>
      </c>
      <c r="C1106" s="1" t="n">
        <v>45784</v>
      </c>
      <c r="D1106" t="inlineStr">
        <is>
          <t>GOTLANDS LÄN</t>
        </is>
      </c>
      <c r="E1106" t="inlineStr">
        <is>
          <t>GOTLAND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16373-2025</t>
        </is>
      </c>
      <c r="B1107" s="1" t="n">
        <v>45751</v>
      </c>
      <c r="C1107" s="1" t="n">
        <v>45784</v>
      </c>
      <c r="D1107" t="inlineStr">
        <is>
          <t>GOTLANDS LÄN</t>
        </is>
      </c>
      <c r="E1107" t="inlineStr">
        <is>
          <t>GOTLAND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17144-2025</t>
        </is>
      </c>
      <c r="B1108" s="1" t="n">
        <v>45756</v>
      </c>
      <c r="C1108" s="1" t="n">
        <v>45784</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17343-2025</t>
        </is>
      </c>
      <c r="B1109" s="1" t="n">
        <v>45756</v>
      </c>
      <c r="C1109" s="1" t="n">
        <v>45784</v>
      </c>
      <c r="D1109" t="inlineStr">
        <is>
          <t>GOTLANDS LÄN</t>
        </is>
      </c>
      <c r="E1109" t="inlineStr">
        <is>
          <t>GOTLAND</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17847-2025</t>
        </is>
      </c>
      <c r="B1110" s="1" t="n">
        <v>45758</v>
      </c>
      <c r="C1110" s="1" t="n">
        <v>45784</v>
      </c>
      <c r="D1110" t="inlineStr">
        <is>
          <t>GOTLANDS LÄN</t>
        </is>
      </c>
      <c r="E1110" t="inlineStr">
        <is>
          <t>GOTLAND</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18223-2025</t>
        </is>
      </c>
      <c r="B1111" s="1" t="n">
        <v>45761</v>
      </c>
      <c r="C1111" s="1" t="n">
        <v>45784</v>
      </c>
      <c r="D1111" t="inlineStr">
        <is>
          <t>GOTLANDS LÄN</t>
        </is>
      </c>
      <c r="E1111" t="inlineStr">
        <is>
          <t>GOTLAND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18742-2025</t>
        </is>
      </c>
      <c r="B1112" s="1" t="n">
        <v>45763</v>
      </c>
      <c r="C1112" s="1" t="n">
        <v>45784</v>
      </c>
      <c r="D1112" t="inlineStr">
        <is>
          <t>GOTLANDS LÄN</t>
        </is>
      </c>
      <c r="E1112" t="inlineStr">
        <is>
          <t>GOTLAND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19002-2025</t>
        </is>
      </c>
      <c r="B1113" s="1" t="n">
        <v>45764</v>
      </c>
      <c r="C1113" s="1" t="n">
        <v>45784</v>
      </c>
      <c r="D1113" t="inlineStr">
        <is>
          <t>GOTLANDS LÄN</t>
        </is>
      </c>
      <c r="E1113" t="inlineStr">
        <is>
          <t>GOTLAND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18918-2025</t>
        </is>
      </c>
      <c r="B1114" s="1" t="n">
        <v>45764</v>
      </c>
      <c r="C1114" s="1" t="n">
        <v>45784</v>
      </c>
      <c r="D1114" t="inlineStr">
        <is>
          <t>GOTLANDS LÄN</t>
        </is>
      </c>
      <c r="E1114" t="inlineStr">
        <is>
          <t>GOTLAND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45784</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45784</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45784</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19905-2025</t>
        </is>
      </c>
      <c r="B1118" s="1" t="n">
        <v>45771</v>
      </c>
      <c r="C1118" s="1" t="n">
        <v>45784</v>
      </c>
      <c r="D1118" t="inlineStr">
        <is>
          <t>GOTLANDS LÄN</t>
        </is>
      </c>
      <c r="E1118" t="inlineStr">
        <is>
          <t>GOTLAND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20225-2025</t>
        </is>
      </c>
      <c r="B1119" s="1" t="n">
        <v>45772</v>
      </c>
      <c r="C1119" s="1" t="n">
        <v>45784</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20307-2025</t>
        </is>
      </c>
      <c r="B1120" s="1" t="n">
        <v>45775</v>
      </c>
      <c r="C1120" s="1" t="n">
        <v>45784</v>
      </c>
      <c r="D1120" t="inlineStr">
        <is>
          <t>GOTLANDS LÄN</t>
        </is>
      </c>
      <c r="E1120" t="inlineStr">
        <is>
          <t>GOTLAND</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20805-2025</t>
        </is>
      </c>
      <c r="B1121" s="1" t="n">
        <v>45776</v>
      </c>
      <c r="C1121" s="1" t="n">
        <v>45784</v>
      </c>
      <c r="D1121" t="inlineStr">
        <is>
          <t>GOTLANDS LÄN</t>
        </is>
      </c>
      <c r="E1121" t="inlineStr">
        <is>
          <t>GOTLAND</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45784</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45784</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45784</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21142-2025</t>
        </is>
      </c>
      <c r="B1125" s="1" t="n">
        <v>45779</v>
      </c>
      <c r="C1125" s="1" t="n">
        <v>45784</v>
      </c>
      <c r="D1125" t="inlineStr">
        <is>
          <t>GOTLANDS LÄN</t>
        </is>
      </c>
      <c r="E1125" t="inlineStr">
        <is>
          <t>GOTLAND</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21389-2025</t>
        </is>
      </c>
      <c r="B1126" s="1" t="n">
        <v>45782</v>
      </c>
      <c r="C1126" s="1" t="n">
        <v>45784</v>
      </c>
      <c r="D1126" t="inlineStr">
        <is>
          <t>GOTLANDS LÄN</t>
        </is>
      </c>
      <c r="E1126" t="inlineStr">
        <is>
          <t>GOTLAND</t>
        </is>
      </c>
      <c r="G1126" t="n">
        <v>4.1</v>
      </c>
      <c r="H1126" t="n">
        <v>0</v>
      </c>
      <c r="I1126" t="n">
        <v>0</v>
      </c>
      <c r="J1126" t="n">
        <v>0</v>
      </c>
      <c r="K1126" t="n">
        <v>0</v>
      </c>
      <c r="L1126" t="n">
        <v>0</v>
      </c>
      <c r="M1126" t="n">
        <v>0</v>
      </c>
      <c r="N1126" t="n">
        <v>0</v>
      </c>
      <c r="O1126" t="n">
        <v>0</v>
      </c>
      <c r="P1126" t="n">
        <v>0</v>
      </c>
      <c r="Q1126" t="n">
        <v>0</v>
      </c>
      <c r="R1126" s="2" t="inlineStr"/>
    </row>
    <row r="1127">
      <c r="A1127" t="inlineStr">
        <is>
          <t>A 21651-2025</t>
        </is>
      </c>
      <c r="B1127" s="1" t="n">
        <v>45783</v>
      </c>
      <c r="C1127" s="1" t="n">
        <v>45784</v>
      </c>
      <c r="D1127" t="inlineStr">
        <is>
          <t>GOTLANDS LÄN</t>
        </is>
      </c>
      <c r="E1127" t="inlineStr">
        <is>
          <t>GOTLAND</t>
        </is>
      </c>
      <c r="G1127" t="n">
        <v>4.2</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2025-05-07T17:24:00Z</dcterms:created>
  <dcterms:modified xmlns:dcterms="http://purl.org/dc/terms/" xmlns:xsi="http://www.w3.org/2001/XMLSchema-instance" xsi:type="dcterms:W3CDTF">2025-05-07T17:24:01Z</dcterms:modified>
</cp:coreProperties>
</file>