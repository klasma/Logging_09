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46177</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46177</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46177</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46177</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46177</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46177</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46177</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46177</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46177</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46177</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46177</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46177</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46177</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46177</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46177</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46177</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46177</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46177</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46177</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46177</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46177</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46177</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46177</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35141-2022</t>
        </is>
      </c>
      <c r="B31" s="1" t="n">
        <v>44797.53318287037</v>
      </c>
      <c r="C31" s="1" t="n">
        <v>46177</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2804-2023</t>
        </is>
      </c>
      <c r="B32" s="1" t="n">
        <v>44944</v>
      </c>
      <c r="C32" s="1" t="n">
        <v>46177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46177</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46177</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46177</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46177</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46177</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46177</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46177</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43201-2023</t>
        </is>
      </c>
      <c r="B42" s="1" t="n">
        <v>45183</v>
      </c>
      <c r="C42" s="1" t="n">
        <v>46177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52223-2025</t>
        </is>
      </c>
      <c r="B43" s="1" t="n">
        <v>45953.44509259259</v>
      </c>
      <c r="C43" s="1" t="n">
        <v>46177</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46177</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27280-2023</t>
        </is>
      </c>
      <c r="B45" s="1" t="n">
        <v>45096</v>
      </c>
      <c r="C45" s="1" t="n">
        <v>46177</v>
      </c>
      <c r="D45" t="inlineStr">
        <is>
          <t>GOTLANDS LÄN</t>
        </is>
      </c>
      <c r="E45" t="inlineStr">
        <is>
          <t>GOTLAND</t>
        </is>
      </c>
      <c r="G45" t="n">
        <v>2.7</v>
      </c>
      <c r="H45" t="n">
        <v>10</v>
      </c>
      <c r="I45" t="n">
        <v>2</v>
      </c>
      <c r="J45" t="n">
        <v>3</v>
      </c>
      <c r="K45" t="n">
        <v>1</v>
      </c>
      <c r="L45" t="n">
        <v>0</v>
      </c>
      <c r="M45" t="n">
        <v>0</v>
      </c>
      <c r="N45" t="n">
        <v>0</v>
      </c>
      <c r="O45" t="n">
        <v>4</v>
      </c>
      <c r="P45" t="n">
        <v>1</v>
      </c>
      <c r="Q45" t="n">
        <v>10</v>
      </c>
      <c r="R45" s="2" t="inlineStr">
        <is>
          <t>Stare
Björktrast
Mindre hackspett
Spillkråka
Skogsknipprot
Tvåblad
Brudsporre
Fläcknycklar
Grönvit nattviol
Nattviol</t>
        </is>
      </c>
      <c r="S45">
        <f>HYPERLINK("https://klasma.github.io/Logging_0980/artfynd/A 27280-2023 artfynd.xlsx", "A 27280-2023")</f>
        <v/>
      </c>
      <c r="T45">
        <f>HYPERLINK("https://klasma.github.io/Logging_0980/kartor/A 27280-2023 karta.png", "A 27280-2023")</f>
        <v/>
      </c>
      <c r="V45">
        <f>HYPERLINK("https://klasma.github.io/Logging_0980/klagomål/A 27280-2023 FSC-klagomål.docx", "A 27280-2023")</f>
        <v/>
      </c>
      <c r="W45">
        <f>HYPERLINK("https://klasma.github.io/Logging_0980/klagomålsmail/A 27280-2023 FSC-klagomål mail.docx", "A 27280-2023")</f>
        <v/>
      </c>
      <c r="X45">
        <f>HYPERLINK("https://klasma.github.io/Logging_0980/tillsyn/A 27280-2023 tillsynsbegäran.docx", "A 27280-2023")</f>
        <v/>
      </c>
      <c r="Y45">
        <f>HYPERLINK("https://klasma.github.io/Logging_0980/tillsynsmail/A 27280-2023 tillsynsbegäran mail.docx", "A 27280-2023")</f>
        <v/>
      </c>
      <c r="Z45">
        <f>HYPERLINK("https://klasma.github.io/Logging_0980/fåglar/A 27280-2023 prioriterade fågelarter.docx", "A 27280-2023")</f>
        <v/>
      </c>
    </row>
    <row r="46" ht="15" customHeight="1">
      <c r="A46" t="inlineStr">
        <is>
          <t>A 22404-2024</t>
        </is>
      </c>
      <c r="B46" s="1" t="n">
        <v>45446</v>
      </c>
      <c r="C46" s="1" t="n">
        <v>46177</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46177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46177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46177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45248-2024</t>
        </is>
      </c>
      <c r="B50" s="1" t="n">
        <v>45576</v>
      </c>
      <c r="C50" s="1" t="n">
        <v>46177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46177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46177</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46177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27168-2022</t>
        </is>
      </c>
      <c r="B58" s="1" t="n">
        <v>44741</v>
      </c>
      <c r="C58" s="1" t="n">
        <v>46177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21467-2024</t>
        </is>
      </c>
      <c r="B59" s="1" t="n">
        <v>45441</v>
      </c>
      <c r="C59" s="1" t="n">
        <v>46177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46177</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46177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46177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46177</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46177</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46177</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46177</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7038-2023</t>
        </is>
      </c>
      <c r="B69" s="1" t="n">
        <v>44968</v>
      </c>
      <c r="C69" s="1" t="n">
        <v>46177</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54527-2023</t>
        </is>
      </c>
      <c r="B70" s="1" t="n">
        <v>45233</v>
      </c>
      <c r="C70" s="1" t="n">
        <v>46177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46177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46177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46177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46177</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46177</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46177</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46177</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46177</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16375-2025</t>
        </is>
      </c>
      <c r="B79" s="1" t="n">
        <v>45751.41064814815</v>
      </c>
      <c r="C79" s="1" t="n">
        <v>46177</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46177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35293-2025</t>
        </is>
      </c>
      <c r="B82" s="1" t="n">
        <v>45854.39438657407</v>
      </c>
      <c r="C82" s="1" t="n">
        <v>46177</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32326-2024</t>
        </is>
      </c>
      <c r="B83" s="1" t="n">
        <v>45512</v>
      </c>
      <c r="C83" s="1" t="n">
        <v>46177</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52245-2025</t>
        </is>
      </c>
      <c r="B84" s="1" t="n">
        <v>45953.47115740741</v>
      </c>
      <c r="C84" s="1" t="n">
        <v>46177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46177</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29331-2021</t>
        </is>
      </c>
      <c r="B86" s="1" t="n">
        <v>44361</v>
      </c>
      <c r="C86" s="1" t="n">
        <v>46177</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44933-2022</t>
        </is>
      </c>
      <c r="B87" s="1" t="n">
        <v>44841</v>
      </c>
      <c r="C87" s="1" t="n">
        <v>46177</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46177</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46177</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46177</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2485-2025</t>
        </is>
      </c>
      <c r="B91" s="1" t="n">
        <v>45673</v>
      </c>
      <c r="C91" s="1" t="n">
        <v>46177</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46177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46177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8265-2023</t>
        </is>
      </c>
      <c r="B94" s="1" t="n">
        <v>44974</v>
      </c>
      <c r="C94" s="1" t="n">
        <v>46177</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46177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46177</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54523-2023</t>
        </is>
      </c>
      <c r="B97" s="1" t="n">
        <v>45233</v>
      </c>
      <c r="C97" s="1" t="n">
        <v>46177</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52250-2025</t>
        </is>
      </c>
      <c r="B98" s="1" t="n">
        <v>45953.48998842593</v>
      </c>
      <c r="C98" s="1" t="n">
        <v>46177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46177</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20833-2024</t>
        </is>
      </c>
      <c r="B100" s="1" t="n">
        <v>45439</v>
      </c>
      <c r="C100" s="1" t="n">
        <v>46177</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57463-2025</t>
        </is>
      </c>
      <c r="B101" s="1" t="n">
        <v>45980</v>
      </c>
      <c r="C101" s="1" t="n">
        <v>46177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6836-2026</t>
        </is>
      </c>
      <c r="B102" s="1" t="n">
        <v>46057</v>
      </c>
      <c r="C102" s="1" t="n">
        <v>46177</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44323-2021</t>
        </is>
      </c>
      <c r="B103" s="1" t="n">
        <v>44434</v>
      </c>
      <c r="C103" s="1" t="n">
        <v>46177</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46177</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46177</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46177</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46177</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46177</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46177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46177</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43013-2022</t>
        </is>
      </c>
      <c r="B111" s="1" t="n">
        <v>44833</v>
      </c>
      <c r="C111" s="1" t="n">
        <v>46177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46177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46177</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53552-2021</t>
        </is>
      </c>
      <c r="B114" s="1" t="n">
        <v>44468</v>
      </c>
      <c r="C114" s="1" t="n">
        <v>46177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49709-2025</t>
        </is>
      </c>
      <c r="B115" s="1" t="n">
        <v>45939.68228009259</v>
      </c>
      <c r="C115" s="1" t="n">
        <v>46177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30490-2025</t>
        </is>
      </c>
      <c r="B116" s="1" t="n">
        <v>45830</v>
      </c>
      <c r="C116" s="1" t="n">
        <v>46177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73144-2021</t>
        </is>
      </c>
      <c r="B117" s="1" t="n">
        <v>44550</v>
      </c>
      <c r="C117" s="1" t="n">
        <v>46177</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1520-2026</t>
        </is>
      </c>
      <c r="B118" s="1" t="n">
        <v>46034.35891203704</v>
      </c>
      <c r="C118" s="1" t="n">
        <v>46177</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46177</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60665-2021</t>
        </is>
      </c>
      <c r="B121" s="1" t="n">
        <v>44496</v>
      </c>
      <c r="C121" s="1" t="n">
        <v>46177</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46177</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26077-2024</t>
        </is>
      </c>
      <c r="B123" s="1" t="n">
        <v>45467</v>
      </c>
      <c r="C123" s="1" t="n">
        <v>46177</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54357-2024</t>
        </is>
      </c>
      <c r="B124" s="1" t="n">
        <v>45617.40662037037</v>
      </c>
      <c r="C124" s="1" t="n">
        <v>46177</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7070-2022</t>
        </is>
      </c>
      <c r="B125" s="1" t="n">
        <v>44603</v>
      </c>
      <c r="C125" s="1" t="n">
        <v>46177</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21879-2025</t>
        </is>
      </c>
      <c r="B126" s="1" t="n">
        <v>45784.40533564815</v>
      </c>
      <c r="C126" s="1" t="n">
        <v>46177</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43219-2023</t>
        </is>
      </c>
      <c r="B127" s="1" t="n">
        <v>45183</v>
      </c>
      <c r="C127" s="1" t="n">
        <v>46177</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12914-2025</t>
        </is>
      </c>
      <c r="B128" s="1" t="n">
        <v>45733</v>
      </c>
      <c r="C128" s="1" t="n">
        <v>46177</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28261-2024</t>
        </is>
      </c>
      <c r="B129" s="1" t="n">
        <v>45477</v>
      </c>
      <c r="C129" s="1" t="n">
        <v>46177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46177</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20429-2025</t>
        </is>
      </c>
      <c r="B131" s="1" t="n">
        <v>45775.47728009259</v>
      </c>
      <c r="C131" s="1" t="n">
        <v>46177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20838-2024</t>
        </is>
      </c>
      <c r="B132" s="1" t="n">
        <v>45439</v>
      </c>
      <c r="C132" s="1" t="n">
        <v>46177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62760-2025</t>
        </is>
      </c>
      <c r="B134" s="1" t="n">
        <v>46008</v>
      </c>
      <c r="C134" s="1" t="n">
        <v>46177</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46177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46177</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17328-2026</t>
        </is>
      </c>
      <c r="B137" s="1" t="n">
        <v>46119</v>
      </c>
      <c r="C137" s="1" t="n">
        <v>46177</v>
      </c>
      <c r="D137" t="inlineStr">
        <is>
          <t>GOTLANDS LÄN</t>
        </is>
      </c>
      <c r="E137" t="inlineStr">
        <is>
          <t>GOTLAND</t>
        </is>
      </c>
      <c r="F137" t="inlineStr">
        <is>
          <t>Kyrkan</t>
        </is>
      </c>
      <c r="G137" t="n">
        <v>4</v>
      </c>
      <c r="H137" t="n">
        <v>1</v>
      </c>
      <c r="I137" t="n">
        <v>0</v>
      </c>
      <c r="J137" t="n">
        <v>2</v>
      </c>
      <c r="K137" t="n">
        <v>0</v>
      </c>
      <c r="L137" t="n">
        <v>0</v>
      </c>
      <c r="M137" t="n">
        <v>0</v>
      </c>
      <c r="N137" t="n">
        <v>0</v>
      </c>
      <c r="O137" t="n">
        <v>2</v>
      </c>
      <c r="P137" t="n">
        <v>0</v>
      </c>
      <c r="Q137" t="n">
        <v>2</v>
      </c>
      <c r="R137" s="2" t="inlineStr">
        <is>
          <t>Backtimjan
Spillkråka</t>
        </is>
      </c>
      <c r="S137">
        <f>HYPERLINK("https://klasma.github.io/Logging_0980/artfynd/A 17328-2026 artfynd.xlsx", "A 17328-2026")</f>
        <v/>
      </c>
      <c r="T137">
        <f>HYPERLINK("https://klasma.github.io/Logging_0980/kartor/A 17328-2026 karta.png", "A 17328-2026")</f>
        <v/>
      </c>
      <c r="V137">
        <f>HYPERLINK("https://klasma.github.io/Logging_0980/klagomål/A 17328-2026 FSC-klagomål.docx", "A 17328-2026")</f>
        <v/>
      </c>
      <c r="W137">
        <f>HYPERLINK("https://klasma.github.io/Logging_0980/klagomålsmail/A 17328-2026 FSC-klagomål mail.docx", "A 17328-2026")</f>
        <v/>
      </c>
      <c r="X137">
        <f>HYPERLINK("https://klasma.github.io/Logging_0980/tillsyn/A 17328-2026 tillsynsbegäran.docx", "A 17328-2026")</f>
        <v/>
      </c>
      <c r="Y137">
        <f>HYPERLINK("https://klasma.github.io/Logging_0980/tillsynsmail/A 17328-2026 tillsynsbegäran mail.docx", "A 17328-2026")</f>
        <v/>
      </c>
      <c r="Z137">
        <f>HYPERLINK("https://klasma.github.io/Logging_0980/fåglar/A 17328-2026 prioriterade fågelarter.docx", "A 17328-2026")</f>
        <v/>
      </c>
    </row>
    <row r="138" ht="15" customHeight="1">
      <c r="A138" t="inlineStr">
        <is>
          <t>A 46362-2021</t>
        </is>
      </c>
      <c r="B138" s="1" t="n">
        <v>44442</v>
      </c>
      <c r="C138" s="1" t="n">
        <v>46177</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1477-2024</t>
        </is>
      </c>
      <c r="B139" s="1" t="n">
        <v>45305.37987268518</v>
      </c>
      <c r="C139" s="1" t="n">
        <v>46177</v>
      </c>
      <c r="D139" t="inlineStr">
        <is>
          <t>GOTLANDS LÄN</t>
        </is>
      </c>
      <c r="E139" t="inlineStr">
        <is>
          <t>GOTLAND</t>
        </is>
      </c>
      <c r="G139" t="n">
        <v>6.9</v>
      </c>
      <c r="H139" t="n">
        <v>0</v>
      </c>
      <c r="I139" t="n">
        <v>0</v>
      </c>
      <c r="J139" t="n">
        <v>1</v>
      </c>
      <c r="K139" t="n">
        <v>0</v>
      </c>
      <c r="L139" t="n">
        <v>0</v>
      </c>
      <c r="M139" t="n">
        <v>0</v>
      </c>
      <c r="N139" t="n">
        <v>0</v>
      </c>
      <c r="O139" t="n">
        <v>1</v>
      </c>
      <c r="P139" t="n">
        <v>0</v>
      </c>
      <c r="Q139" t="n">
        <v>1</v>
      </c>
      <c r="R139" s="2" t="inlineStr">
        <is>
          <t>Igelkott</t>
        </is>
      </c>
      <c r="S139">
        <f>HYPERLINK("https://klasma.github.io/Logging_0980/artfynd/A 1477-2024 artfynd.xlsx", "A 1477-2024")</f>
        <v/>
      </c>
      <c r="T139">
        <f>HYPERLINK("https://klasma.github.io/Logging_0980/kartor/A 1477-2024 karta.png", "A 1477-2024")</f>
        <v/>
      </c>
      <c r="V139">
        <f>HYPERLINK("https://klasma.github.io/Logging_0980/klagomål/A 1477-2024 FSC-klagomål.docx", "A 1477-2024")</f>
        <v/>
      </c>
      <c r="W139">
        <f>HYPERLINK("https://klasma.github.io/Logging_0980/klagomålsmail/A 1477-2024 FSC-klagomål mail.docx", "A 1477-2024")</f>
        <v/>
      </c>
      <c r="X139">
        <f>HYPERLINK("https://klasma.github.io/Logging_0980/tillsyn/A 1477-2024 tillsynsbegäran.docx", "A 1477-2024")</f>
        <v/>
      </c>
      <c r="Y139">
        <f>HYPERLINK("https://klasma.github.io/Logging_0980/tillsynsmail/A 1477-2024 tillsynsbegäran mail.docx", "A 1477-2024")</f>
        <v/>
      </c>
    </row>
    <row r="140" ht="15" customHeight="1">
      <c r="A140" t="inlineStr">
        <is>
          <t>A 37591-2023</t>
        </is>
      </c>
      <c r="B140" s="1" t="n">
        <v>45159</v>
      </c>
      <c r="C140" s="1" t="n">
        <v>46177</v>
      </c>
      <c r="D140" t="inlineStr">
        <is>
          <t>GOTLANDS LÄN</t>
        </is>
      </c>
      <c r="E140" t="inlineStr">
        <is>
          <t>GOTLAND</t>
        </is>
      </c>
      <c r="G140" t="n">
        <v>8.300000000000001</v>
      </c>
      <c r="H140" t="n">
        <v>0</v>
      </c>
      <c r="I140" t="n">
        <v>0</v>
      </c>
      <c r="J140" t="n">
        <v>1</v>
      </c>
      <c r="K140" t="n">
        <v>0</v>
      </c>
      <c r="L140" t="n">
        <v>0</v>
      </c>
      <c r="M140" t="n">
        <v>0</v>
      </c>
      <c r="N140" t="n">
        <v>0</v>
      </c>
      <c r="O140" t="n">
        <v>1</v>
      </c>
      <c r="P140" t="n">
        <v>0</v>
      </c>
      <c r="Q140" t="n">
        <v>1</v>
      </c>
      <c r="R140" s="2" t="inlineStr">
        <is>
          <t>Ängsstarr</t>
        </is>
      </c>
      <c r="S140">
        <f>HYPERLINK("https://klasma.github.io/Logging_0980/artfynd/A 37591-2023 artfynd.xlsx", "A 37591-2023")</f>
        <v/>
      </c>
      <c r="T140">
        <f>HYPERLINK("https://klasma.github.io/Logging_0980/kartor/A 37591-2023 karta.png", "A 37591-2023")</f>
        <v/>
      </c>
      <c r="V140">
        <f>HYPERLINK("https://klasma.github.io/Logging_0980/klagomål/A 37591-2023 FSC-klagomål.docx", "A 37591-2023")</f>
        <v/>
      </c>
      <c r="W140">
        <f>HYPERLINK("https://klasma.github.io/Logging_0980/klagomålsmail/A 37591-2023 FSC-klagomål mail.docx", "A 37591-2023")</f>
        <v/>
      </c>
      <c r="X140">
        <f>HYPERLINK("https://klasma.github.io/Logging_0980/tillsyn/A 37591-2023 tillsynsbegäran.docx", "A 37591-2023")</f>
        <v/>
      </c>
      <c r="Y140">
        <f>HYPERLINK("https://klasma.github.io/Logging_0980/tillsynsmail/A 37591-2023 tillsynsbegäran mail.docx", "A 37591-2023")</f>
        <v/>
      </c>
    </row>
    <row r="141" ht="15" customHeight="1">
      <c r="A141" t="inlineStr">
        <is>
          <t>A 10218-2025</t>
        </is>
      </c>
      <c r="B141" s="1" t="n">
        <v>45720</v>
      </c>
      <c r="C141" s="1" t="n">
        <v>46177</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35574-2024</t>
        </is>
      </c>
      <c r="B142" s="1" t="n">
        <v>45531</v>
      </c>
      <c r="C142" s="1" t="n">
        <v>46177</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46177</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25977-2024</t>
        </is>
      </c>
      <c r="B144" s="1" t="n">
        <v>45467.69356481481</v>
      </c>
      <c r="C144" s="1" t="n">
        <v>46177</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12379-2024</t>
        </is>
      </c>
      <c r="B145" s="1" t="n">
        <v>45379.28155092592</v>
      </c>
      <c r="C145" s="1" t="n">
        <v>46177</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65927-2021</t>
        </is>
      </c>
      <c r="B146" s="1" t="n">
        <v>44516</v>
      </c>
      <c r="C146" s="1" t="n">
        <v>46177</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6303-2024</t>
        </is>
      </c>
      <c r="B147" s="1" t="n">
        <v>45338.35376157407</v>
      </c>
      <c r="C147" s="1" t="n">
        <v>46177</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61796-2022</t>
        </is>
      </c>
      <c r="B148" s="1" t="n">
        <v>44917</v>
      </c>
      <c r="C148" s="1" t="n">
        <v>46177</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44304-2021</t>
        </is>
      </c>
      <c r="B149" s="1" t="n">
        <v>44434</v>
      </c>
      <c r="C149" s="1" t="n">
        <v>46177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21466-2025</t>
        </is>
      </c>
      <c r="B150" s="1" t="n">
        <v>45782</v>
      </c>
      <c r="C150" s="1" t="n">
        <v>46177</v>
      </c>
      <c r="D150" t="inlineStr">
        <is>
          <t>GOTLANDS LÄN</t>
        </is>
      </c>
      <c r="E150" t="inlineStr">
        <is>
          <t>GOTLAND</t>
        </is>
      </c>
      <c r="F150" t="inlineStr">
        <is>
          <t>Övriga statliga verk och myndigheter</t>
        </is>
      </c>
      <c r="G150" t="n">
        <v>1.7</v>
      </c>
      <c r="H150" t="n">
        <v>1</v>
      </c>
      <c r="I150" t="n">
        <v>0</v>
      </c>
      <c r="J150" t="n">
        <v>0</v>
      </c>
      <c r="K150" t="n">
        <v>0</v>
      </c>
      <c r="L150" t="n">
        <v>0</v>
      </c>
      <c r="M150" t="n">
        <v>0</v>
      </c>
      <c r="N150" t="n">
        <v>0</v>
      </c>
      <c r="O150" t="n">
        <v>0</v>
      </c>
      <c r="P150" t="n">
        <v>0</v>
      </c>
      <c r="Q150" t="n">
        <v>1</v>
      </c>
      <c r="R150" s="2" t="inlineStr">
        <is>
          <t>Blåsippa</t>
        </is>
      </c>
      <c r="S150">
        <f>HYPERLINK("https://klasma.github.io/Logging_0980/artfynd/A 21466-2025 artfynd.xlsx", "A 21466-2025")</f>
        <v/>
      </c>
      <c r="T150">
        <f>HYPERLINK("https://klasma.github.io/Logging_0980/kartor/A 21466-2025 karta.png", "A 21466-2025")</f>
        <v/>
      </c>
      <c r="V150">
        <f>HYPERLINK("https://klasma.github.io/Logging_0980/klagomål/A 21466-2025 FSC-klagomål.docx", "A 21466-2025")</f>
        <v/>
      </c>
      <c r="W150">
        <f>HYPERLINK("https://klasma.github.io/Logging_0980/klagomålsmail/A 21466-2025 FSC-klagomål mail.docx", "A 21466-2025")</f>
        <v/>
      </c>
      <c r="X150">
        <f>HYPERLINK("https://klasma.github.io/Logging_0980/tillsyn/A 21466-2025 tillsynsbegäran.docx", "A 21466-2025")</f>
        <v/>
      </c>
      <c r="Y150">
        <f>HYPERLINK("https://klasma.github.io/Logging_0980/tillsynsmail/A 21466-2025 tillsynsbegäran mail.docx", "A 21466-2025")</f>
        <v/>
      </c>
    </row>
    <row r="151" ht="15" customHeight="1">
      <c r="A151" t="inlineStr">
        <is>
          <t>A 15637-2024</t>
        </is>
      </c>
      <c r="B151" s="1" t="n">
        <v>45403.6684837963</v>
      </c>
      <c r="C151" s="1" t="n">
        <v>46177</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34809-2024</t>
        </is>
      </c>
      <c r="B152" s="1" t="n">
        <v>45526</v>
      </c>
      <c r="C152" s="1" t="n">
        <v>46177</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39812-2025</t>
        </is>
      </c>
      <c r="B153" s="1" t="n">
        <v>45891</v>
      </c>
      <c r="C153" s="1" t="n">
        <v>46177</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10440-2024</t>
        </is>
      </c>
      <c r="B154" s="1" t="n">
        <v>45366.32818287037</v>
      </c>
      <c r="C154" s="1" t="n">
        <v>46177</v>
      </c>
      <c r="D154" t="inlineStr">
        <is>
          <t>GOTLANDS LÄN</t>
        </is>
      </c>
      <c r="E154" t="inlineStr">
        <is>
          <t>GOTLAND</t>
        </is>
      </c>
      <c r="G154" t="n">
        <v>2.5</v>
      </c>
      <c r="H154" t="n">
        <v>1</v>
      </c>
      <c r="I154" t="n">
        <v>0</v>
      </c>
      <c r="J154" t="n">
        <v>1</v>
      </c>
      <c r="K154" t="n">
        <v>0</v>
      </c>
      <c r="L154" t="n">
        <v>0</v>
      </c>
      <c r="M154" t="n">
        <v>0</v>
      </c>
      <c r="N154" t="n">
        <v>0</v>
      </c>
      <c r="O154" t="n">
        <v>1</v>
      </c>
      <c r="P154" t="n">
        <v>0</v>
      </c>
      <c r="Q154" t="n">
        <v>1</v>
      </c>
      <c r="R154" s="2" t="inlineStr">
        <is>
          <t>Mindre hackspett</t>
        </is>
      </c>
      <c r="S154">
        <f>HYPERLINK("https://klasma.github.io/Logging_0980/artfynd/A 10440-2024 artfynd.xlsx", "A 10440-2024")</f>
        <v/>
      </c>
      <c r="T154">
        <f>HYPERLINK("https://klasma.github.io/Logging_0980/kartor/A 10440-2024 karta.png", "A 10440-2024")</f>
        <v/>
      </c>
      <c r="V154">
        <f>HYPERLINK("https://klasma.github.io/Logging_0980/klagomål/A 10440-2024 FSC-klagomål.docx", "A 10440-2024")</f>
        <v/>
      </c>
      <c r="W154">
        <f>HYPERLINK("https://klasma.github.io/Logging_0980/klagomålsmail/A 10440-2024 FSC-klagomål mail.docx", "A 10440-2024")</f>
        <v/>
      </c>
      <c r="X154">
        <f>HYPERLINK("https://klasma.github.io/Logging_0980/tillsyn/A 10440-2024 tillsynsbegäran.docx", "A 10440-2024")</f>
        <v/>
      </c>
      <c r="Y154">
        <f>HYPERLINK("https://klasma.github.io/Logging_0980/tillsynsmail/A 10440-2024 tillsynsbegäran mail.docx", "A 10440-2024")</f>
        <v/>
      </c>
      <c r="Z154">
        <f>HYPERLINK("https://klasma.github.io/Logging_0980/fåglar/A 10440-2024 prioriterade fågelarter.docx", "A 10440-2024")</f>
        <v/>
      </c>
    </row>
    <row r="155" ht="15" customHeight="1">
      <c r="A155" t="inlineStr">
        <is>
          <t>A 2476-2025</t>
        </is>
      </c>
      <c r="B155" s="1" t="n">
        <v>45673</v>
      </c>
      <c r="C155" s="1" t="n">
        <v>46177</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46177</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46177</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44619-2025</t>
        </is>
      </c>
      <c r="B158" s="1" t="n">
        <v>45917</v>
      </c>
      <c r="C158" s="1" t="n">
        <v>46177</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46177</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62552-2022</t>
        </is>
      </c>
      <c r="B160" s="1" t="n">
        <v>44924</v>
      </c>
      <c r="C160" s="1" t="n">
        <v>46177</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26461-2025</t>
        </is>
      </c>
      <c r="B161" s="1" t="n">
        <v>45807.43337962963</v>
      </c>
      <c r="C161" s="1" t="n">
        <v>46177</v>
      </c>
      <c r="D161" t="inlineStr">
        <is>
          <t>GOTLANDS LÄN</t>
        </is>
      </c>
      <c r="E161" t="inlineStr">
        <is>
          <t>GOTLAND</t>
        </is>
      </c>
      <c r="G161" t="n">
        <v>4.1</v>
      </c>
      <c r="H161" t="n">
        <v>0</v>
      </c>
      <c r="I161" t="n">
        <v>0</v>
      </c>
      <c r="J161" t="n">
        <v>0</v>
      </c>
      <c r="K161" t="n">
        <v>1</v>
      </c>
      <c r="L161" t="n">
        <v>0</v>
      </c>
      <c r="M161" t="n">
        <v>0</v>
      </c>
      <c r="N161" t="n">
        <v>0</v>
      </c>
      <c r="O161" t="n">
        <v>1</v>
      </c>
      <c r="P161" t="n">
        <v>1</v>
      </c>
      <c r="Q161" t="n">
        <v>1</v>
      </c>
      <c r="R161" s="2" t="inlineStr">
        <is>
          <t>Gotlandsmåra</t>
        </is>
      </c>
      <c r="S161">
        <f>HYPERLINK("https://klasma.github.io/Logging_0980/artfynd/A 26461-2025 artfynd.xlsx", "A 26461-2025")</f>
        <v/>
      </c>
      <c r="T161">
        <f>HYPERLINK("https://klasma.github.io/Logging_0980/kartor/A 26461-2025 karta.png", "A 26461-2025")</f>
        <v/>
      </c>
      <c r="V161">
        <f>HYPERLINK("https://klasma.github.io/Logging_0980/klagomål/A 26461-2025 FSC-klagomål.docx", "A 26461-2025")</f>
        <v/>
      </c>
      <c r="W161">
        <f>HYPERLINK("https://klasma.github.io/Logging_0980/klagomålsmail/A 26461-2025 FSC-klagomål mail.docx", "A 26461-2025")</f>
        <v/>
      </c>
      <c r="X161">
        <f>HYPERLINK("https://klasma.github.io/Logging_0980/tillsyn/A 26461-2025 tillsynsbegäran.docx", "A 26461-2025")</f>
        <v/>
      </c>
      <c r="Y161">
        <f>HYPERLINK("https://klasma.github.io/Logging_0980/tillsynsmail/A 26461-2025 tillsynsbegäran mail.docx", "A 26461-2025")</f>
        <v/>
      </c>
    </row>
    <row r="162" ht="15" customHeight="1">
      <c r="A162" t="inlineStr">
        <is>
          <t>A 6739-2025</t>
        </is>
      </c>
      <c r="B162" s="1" t="n">
        <v>45700</v>
      </c>
      <c r="C162" s="1" t="n">
        <v>46177</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44088-2022</t>
        </is>
      </c>
      <c r="B163" s="1" t="n">
        <v>44839</v>
      </c>
      <c r="C163" s="1" t="n">
        <v>46177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46177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22782-2023</t>
        </is>
      </c>
      <c r="B165" s="1" t="n">
        <v>45072</v>
      </c>
      <c r="C165" s="1" t="n">
        <v>46177</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49726-2025</t>
        </is>
      </c>
      <c r="B166" s="1" t="n">
        <v>45939.84466435185</v>
      </c>
      <c r="C166" s="1" t="n">
        <v>46177</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447-2023</t>
        </is>
      </c>
      <c r="B167" s="1" t="n">
        <v>44929</v>
      </c>
      <c r="C167" s="1" t="n">
        <v>46177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22883-2024</t>
        </is>
      </c>
      <c r="B168" s="1" t="n">
        <v>45448.66368055555</v>
      </c>
      <c r="C168" s="1" t="n">
        <v>46177</v>
      </c>
      <c r="D168" t="inlineStr">
        <is>
          <t>GOTLANDS LÄN</t>
        </is>
      </c>
      <c r="E168" t="inlineStr">
        <is>
          <t>GOTLAND</t>
        </is>
      </c>
      <c r="G168" t="n">
        <v>0.5</v>
      </c>
      <c r="H168" t="n">
        <v>0</v>
      </c>
      <c r="I168" t="n">
        <v>0</v>
      </c>
      <c r="J168" t="n">
        <v>0</v>
      </c>
      <c r="K168" t="n">
        <v>1</v>
      </c>
      <c r="L168" t="n">
        <v>0</v>
      </c>
      <c r="M168" t="n">
        <v>0</v>
      </c>
      <c r="N168" t="n">
        <v>0</v>
      </c>
      <c r="O168" t="n">
        <v>1</v>
      </c>
      <c r="P168" t="n">
        <v>1</v>
      </c>
      <c r="Q168" t="n">
        <v>1</v>
      </c>
      <c r="R168" s="2" t="inlineStr">
        <is>
          <t>Gotlandsmåra</t>
        </is>
      </c>
      <c r="S168">
        <f>HYPERLINK("https://klasma.github.io/Logging_0980/artfynd/A 22883-2024 artfynd.xlsx", "A 22883-2024")</f>
        <v/>
      </c>
      <c r="T168">
        <f>HYPERLINK("https://klasma.github.io/Logging_0980/kartor/A 22883-2024 karta.png", "A 22883-2024")</f>
        <v/>
      </c>
      <c r="V168">
        <f>HYPERLINK("https://klasma.github.io/Logging_0980/klagomål/A 22883-2024 FSC-klagomål.docx", "A 22883-2024")</f>
        <v/>
      </c>
      <c r="W168">
        <f>HYPERLINK("https://klasma.github.io/Logging_0980/klagomålsmail/A 22883-2024 FSC-klagomål mail.docx", "A 22883-2024")</f>
        <v/>
      </c>
      <c r="X168">
        <f>HYPERLINK("https://klasma.github.io/Logging_0980/tillsyn/A 22883-2024 tillsynsbegäran.docx", "A 22883-2024")</f>
        <v/>
      </c>
      <c r="Y168">
        <f>HYPERLINK("https://klasma.github.io/Logging_0980/tillsynsmail/A 22883-2024 tillsynsbegäran mail.docx", "A 22883-2024")</f>
        <v/>
      </c>
    </row>
    <row r="169" ht="15" customHeight="1">
      <c r="A169" t="inlineStr">
        <is>
          <t>A 947-2023</t>
        </is>
      </c>
      <c r="B169" s="1" t="n">
        <v>44934</v>
      </c>
      <c r="C169" s="1" t="n">
        <v>46177</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46177</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46177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46177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46177</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24245-2022</t>
        </is>
      </c>
      <c r="B174" s="1" t="n">
        <v>44725</v>
      </c>
      <c r="C174" s="1" t="n">
        <v>46177</v>
      </c>
      <c r="D174" t="inlineStr">
        <is>
          <t>GOTLANDS LÄN</t>
        </is>
      </c>
      <c r="E174" t="inlineStr">
        <is>
          <t>GOTLAND</t>
        </is>
      </c>
      <c r="G174" t="n">
        <v>4.9</v>
      </c>
      <c r="H174" t="n">
        <v>0</v>
      </c>
      <c r="I174" t="n">
        <v>0</v>
      </c>
      <c r="J174" t="n">
        <v>0</v>
      </c>
      <c r="K174" t="n">
        <v>0</v>
      </c>
      <c r="L174" t="n">
        <v>1</v>
      </c>
      <c r="M174" t="n">
        <v>0</v>
      </c>
      <c r="N174" t="n">
        <v>0</v>
      </c>
      <c r="O174" t="n">
        <v>1</v>
      </c>
      <c r="P174" t="n">
        <v>1</v>
      </c>
      <c r="Q174" t="n">
        <v>1</v>
      </c>
      <c r="R174" s="2" t="inlineStr">
        <is>
          <t>Slät taggsvamp</t>
        </is>
      </c>
      <c r="S174">
        <f>HYPERLINK("https://klasma.github.io/Logging_0980/artfynd/A 24245-2022 artfynd.xlsx", "A 24245-2022")</f>
        <v/>
      </c>
      <c r="T174">
        <f>HYPERLINK("https://klasma.github.io/Logging_0980/kartor/A 24245-2022 karta.png", "A 24245-2022")</f>
        <v/>
      </c>
      <c r="V174">
        <f>HYPERLINK("https://klasma.github.io/Logging_0980/klagomål/A 24245-2022 FSC-klagomål.docx", "A 24245-2022")</f>
        <v/>
      </c>
      <c r="W174">
        <f>HYPERLINK("https://klasma.github.io/Logging_0980/klagomålsmail/A 24245-2022 FSC-klagomål mail.docx", "A 24245-2022")</f>
        <v/>
      </c>
      <c r="X174">
        <f>HYPERLINK("https://klasma.github.io/Logging_0980/tillsyn/A 24245-2022 tillsynsbegäran.docx", "A 24245-2022")</f>
        <v/>
      </c>
      <c r="Y174">
        <f>HYPERLINK("https://klasma.github.io/Logging_0980/tillsynsmail/A 24245-2022 tillsynsbegäran mail.docx", "A 24245-2022")</f>
        <v/>
      </c>
    </row>
    <row r="175" ht="15" customHeight="1">
      <c r="A175" t="inlineStr">
        <is>
          <t>A 49847-2023</t>
        </is>
      </c>
      <c r="B175" s="1" t="n">
        <v>45212</v>
      </c>
      <c r="C175" s="1" t="n">
        <v>46177</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34141-2024</t>
        </is>
      </c>
      <c r="B176" s="1" t="n">
        <v>45524.36229166666</v>
      </c>
      <c r="C176" s="1" t="n">
        <v>46177</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9862-2024</t>
        </is>
      </c>
      <c r="B177" s="1" t="n">
        <v>45363</v>
      </c>
      <c r="C177" s="1" t="n">
        <v>46177</v>
      </c>
      <c r="D177" t="inlineStr">
        <is>
          <t>GOTLANDS LÄN</t>
        </is>
      </c>
      <c r="E177" t="inlineStr">
        <is>
          <t>GOTLAND</t>
        </is>
      </c>
      <c r="G177" t="n">
        <v>3.5</v>
      </c>
      <c r="H177" t="n">
        <v>1</v>
      </c>
      <c r="I177" t="n">
        <v>0</v>
      </c>
      <c r="J177" t="n">
        <v>0</v>
      </c>
      <c r="K177" t="n">
        <v>0</v>
      </c>
      <c r="L177" t="n">
        <v>0</v>
      </c>
      <c r="M177" t="n">
        <v>0</v>
      </c>
      <c r="N177" t="n">
        <v>0</v>
      </c>
      <c r="O177" t="n">
        <v>0</v>
      </c>
      <c r="P177" t="n">
        <v>0</v>
      </c>
      <c r="Q177" t="n">
        <v>1</v>
      </c>
      <c r="R177" s="2" t="inlineStr">
        <is>
          <t>Nattviol</t>
        </is>
      </c>
      <c r="S177">
        <f>HYPERLINK("https://klasma.github.io/Logging_0980/artfynd/A 9862-2024 artfynd.xlsx", "A 9862-2024")</f>
        <v/>
      </c>
      <c r="T177">
        <f>HYPERLINK("https://klasma.github.io/Logging_0980/kartor/A 9862-2024 karta.png", "A 9862-2024")</f>
        <v/>
      </c>
      <c r="V177">
        <f>HYPERLINK("https://klasma.github.io/Logging_0980/klagomål/A 9862-2024 FSC-klagomål.docx", "A 9862-2024")</f>
        <v/>
      </c>
      <c r="W177">
        <f>HYPERLINK("https://klasma.github.io/Logging_0980/klagomålsmail/A 9862-2024 FSC-klagomål mail.docx", "A 9862-2024")</f>
        <v/>
      </c>
      <c r="X177">
        <f>HYPERLINK("https://klasma.github.io/Logging_0980/tillsyn/A 9862-2024 tillsynsbegäran.docx", "A 9862-2024")</f>
        <v/>
      </c>
      <c r="Y177">
        <f>HYPERLINK("https://klasma.github.io/Logging_0980/tillsynsmail/A 9862-2024 tillsynsbegäran mail.docx", "A 9862-2024")</f>
        <v/>
      </c>
    </row>
    <row r="178" ht="15" customHeight="1">
      <c r="A178" t="inlineStr">
        <is>
          <t>A 46527-2023</t>
        </is>
      </c>
      <c r="B178" s="1" t="n">
        <v>45197</v>
      </c>
      <c r="C178" s="1" t="n">
        <v>46177</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46177</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12924-2025</t>
        </is>
      </c>
      <c r="B180" s="1" t="n">
        <v>45734</v>
      </c>
      <c r="C180" s="1" t="n">
        <v>46177</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11708-2026</t>
        </is>
      </c>
      <c r="B181" s="1" t="n">
        <v>46084</v>
      </c>
      <c r="C181" s="1" t="n">
        <v>46177</v>
      </c>
      <c r="D181" t="inlineStr">
        <is>
          <t>GOTLANDS LÄN</t>
        </is>
      </c>
      <c r="E181" t="inlineStr">
        <is>
          <t>GOTLAND</t>
        </is>
      </c>
      <c r="G181" t="n">
        <v>8.4</v>
      </c>
      <c r="H181" t="n">
        <v>1</v>
      </c>
      <c r="I181" t="n">
        <v>0</v>
      </c>
      <c r="J181" t="n">
        <v>1</v>
      </c>
      <c r="K181" t="n">
        <v>0</v>
      </c>
      <c r="L181" t="n">
        <v>0</v>
      </c>
      <c r="M181" t="n">
        <v>0</v>
      </c>
      <c r="N181" t="n">
        <v>0</v>
      </c>
      <c r="O181" t="n">
        <v>1</v>
      </c>
      <c r="P181" t="n">
        <v>0</v>
      </c>
      <c r="Q181" t="n">
        <v>1</v>
      </c>
      <c r="R181" s="2" t="inlineStr">
        <is>
          <t>Bredarun</t>
        </is>
      </c>
      <c r="S181">
        <f>HYPERLINK("https://klasma.github.io/Logging_0980/artfynd/A 11708-2026 artfynd.xlsx", "A 11708-2026")</f>
        <v/>
      </c>
      <c r="T181">
        <f>HYPERLINK("https://klasma.github.io/Logging_0980/kartor/A 11708-2026 karta.png", "A 11708-2026")</f>
        <v/>
      </c>
      <c r="V181">
        <f>HYPERLINK("https://klasma.github.io/Logging_0980/klagomål/A 11708-2026 FSC-klagomål.docx", "A 11708-2026")</f>
        <v/>
      </c>
      <c r="W181">
        <f>HYPERLINK("https://klasma.github.io/Logging_0980/klagomålsmail/A 11708-2026 FSC-klagomål mail.docx", "A 11708-2026")</f>
        <v/>
      </c>
      <c r="X181">
        <f>HYPERLINK("https://klasma.github.io/Logging_0980/tillsyn/A 11708-2026 tillsynsbegäran.docx", "A 11708-2026")</f>
        <v/>
      </c>
      <c r="Y181">
        <f>HYPERLINK("https://klasma.github.io/Logging_0980/tillsynsmail/A 11708-2026 tillsynsbegäran mail.docx", "A 11708-2026")</f>
        <v/>
      </c>
    </row>
    <row r="182" ht="15" customHeight="1">
      <c r="A182" t="inlineStr">
        <is>
          <t>A 13482-2026</t>
        </is>
      </c>
      <c r="B182" s="1" t="n">
        <v>46094</v>
      </c>
      <c r="C182" s="1" t="n">
        <v>46177</v>
      </c>
      <c r="D182" t="inlineStr">
        <is>
          <t>GOTLANDS LÄN</t>
        </is>
      </c>
      <c r="E182" t="inlineStr">
        <is>
          <t>GOTLAND</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HYPERLINK("https://klasma.github.io/Logging_0980/artfynd/A 13482-2026 artfynd.xlsx", "A 13482-2026")</f>
        <v/>
      </c>
      <c r="T182">
        <f>HYPERLINK("https://klasma.github.io/Logging_0980/kartor/A 13482-2026 karta.png", "A 13482-2026")</f>
        <v/>
      </c>
      <c r="V182">
        <f>HYPERLINK("https://klasma.github.io/Logging_0980/klagomål/A 13482-2026 FSC-klagomål.docx", "A 13482-2026")</f>
        <v/>
      </c>
      <c r="W182">
        <f>HYPERLINK("https://klasma.github.io/Logging_0980/klagomålsmail/A 13482-2026 FSC-klagomål mail.docx", "A 13482-2026")</f>
        <v/>
      </c>
      <c r="X182">
        <f>HYPERLINK("https://klasma.github.io/Logging_0980/tillsyn/A 13482-2026 tillsynsbegäran.docx", "A 13482-2026")</f>
        <v/>
      </c>
      <c r="Y182">
        <f>HYPERLINK("https://klasma.github.io/Logging_0980/tillsynsmail/A 13482-2026 tillsynsbegäran mail.docx", "A 13482-2026")</f>
        <v/>
      </c>
      <c r="Z182">
        <f>HYPERLINK("https://klasma.github.io/Logging_0980/fåglar/A 13482-2026 prioriterade fågelarter.docx", "A 13482-2026")</f>
        <v/>
      </c>
    </row>
    <row r="183" ht="15" customHeight="1">
      <c r="A183" t="inlineStr">
        <is>
          <t>A 22281-2026</t>
        </is>
      </c>
      <c r="B183" s="1" t="n">
        <v>46154</v>
      </c>
      <c r="C183" s="1" t="n">
        <v>46177</v>
      </c>
      <c r="D183" t="inlineStr">
        <is>
          <t>GOTLANDS LÄN</t>
        </is>
      </c>
      <c r="E183" t="inlineStr">
        <is>
          <t>GOTLAND</t>
        </is>
      </c>
      <c r="G183" t="n">
        <v>8.1</v>
      </c>
      <c r="H183" t="n">
        <v>0</v>
      </c>
      <c r="I183" t="n">
        <v>0</v>
      </c>
      <c r="J183" t="n">
        <v>1</v>
      </c>
      <c r="K183" t="n">
        <v>0</v>
      </c>
      <c r="L183" t="n">
        <v>0</v>
      </c>
      <c r="M183" t="n">
        <v>0</v>
      </c>
      <c r="N183" t="n">
        <v>0</v>
      </c>
      <c r="O183" t="n">
        <v>1</v>
      </c>
      <c r="P183" t="n">
        <v>0</v>
      </c>
      <c r="Q183" t="n">
        <v>1</v>
      </c>
      <c r="R183" s="2" t="inlineStr">
        <is>
          <t>Vasstandad trädbasbagge</t>
        </is>
      </c>
      <c r="S183">
        <f>HYPERLINK("https://klasma.github.io/Logging_0980/artfynd/A 22281-2026 artfynd.xlsx", "A 22281-2026")</f>
        <v/>
      </c>
      <c r="T183">
        <f>HYPERLINK("https://klasma.github.io/Logging_0980/kartor/A 22281-2026 karta.png", "A 22281-2026")</f>
        <v/>
      </c>
      <c r="V183">
        <f>HYPERLINK("https://klasma.github.io/Logging_0980/klagomål/A 22281-2026 FSC-klagomål.docx", "A 22281-2026")</f>
        <v/>
      </c>
      <c r="W183">
        <f>HYPERLINK("https://klasma.github.io/Logging_0980/klagomålsmail/A 22281-2026 FSC-klagomål mail.docx", "A 22281-2026")</f>
        <v/>
      </c>
      <c r="X183">
        <f>HYPERLINK("https://klasma.github.io/Logging_0980/tillsyn/A 22281-2026 tillsynsbegäran.docx", "A 22281-2026")</f>
        <v/>
      </c>
      <c r="Y183">
        <f>HYPERLINK("https://klasma.github.io/Logging_0980/tillsynsmail/A 22281-2026 tillsynsbegäran mail.docx", "A 22281-2026")</f>
        <v/>
      </c>
    </row>
    <row r="184" ht="15" customHeight="1">
      <c r="A184" t="inlineStr">
        <is>
          <t>A 17854-2026</t>
        </is>
      </c>
      <c r="B184" s="1" t="n">
        <v>46121</v>
      </c>
      <c r="C184" s="1" t="n">
        <v>46177</v>
      </c>
      <c r="D184" t="inlineStr">
        <is>
          <t>GOTLANDS LÄN</t>
        </is>
      </c>
      <c r="E184" t="inlineStr">
        <is>
          <t>GOTLAND</t>
        </is>
      </c>
      <c r="G184" t="n">
        <v>6.6</v>
      </c>
      <c r="H184" t="n">
        <v>0</v>
      </c>
      <c r="I184" t="n">
        <v>1</v>
      </c>
      <c r="J184" t="n">
        <v>0</v>
      </c>
      <c r="K184" t="n">
        <v>0</v>
      </c>
      <c r="L184" t="n">
        <v>0</v>
      </c>
      <c r="M184" t="n">
        <v>0</v>
      </c>
      <c r="N184" t="n">
        <v>0</v>
      </c>
      <c r="O184" t="n">
        <v>0</v>
      </c>
      <c r="P184" t="n">
        <v>0</v>
      </c>
      <c r="Q184" t="n">
        <v>1</v>
      </c>
      <c r="R184" s="2" t="inlineStr">
        <is>
          <t>Blå slemspindling</t>
        </is>
      </c>
      <c r="S184">
        <f>HYPERLINK("https://klasma.github.io/Logging_0980/artfynd/A 17854-2026 artfynd.xlsx", "A 17854-2026")</f>
        <v/>
      </c>
      <c r="T184">
        <f>HYPERLINK("https://klasma.github.io/Logging_0980/kartor/A 17854-2026 karta.png", "A 17854-2026")</f>
        <v/>
      </c>
      <c r="V184">
        <f>HYPERLINK("https://klasma.github.io/Logging_0980/klagomål/A 17854-2026 FSC-klagomål.docx", "A 17854-2026")</f>
        <v/>
      </c>
      <c r="W184">
        <f>HYPERLINK("https://klasma.github.io/Logging_0980/klagomålsmail/A 17854-2026 FSC-klagomål mail.docx", "A 17854-2026")</f>
        <v/>
      </c>
      <c r="X184">
        <f>HYPERLINK("https://klasma.github.io/Logging_0980/tillsyn/A 17854-2026 tillsynsbegäran.docx", "A 17854-2026")</f>
        <v/>
      </c>
      <c r="Y184">
        <f>HYPERLINK("https://klasma.github.io/Logging_0980/tillsynsmail/A 17854-2026 tillsynsbegäran mail.docx", "A 17854-2026")</f>
        <v/>
      </c>
    </row>
    <row r="185" ht="15" customHeight="1">
      <c r="A185" t="inlineStr">
        <is>
          <t>A 18036-2026</t>
        </is>
      </c>
      <c r="B185" s="1" t="n">
        <v>46125.39576388889</v>
      </c>
      <c r="C185" s="1" t="n">
        <v>46177</v>
      </c>
      <c r="D185" t="inlineStr">
        <is>
          <t>GOTLANDS LÄN</t>
        </is>
      </c>
      <c r="E185" t="inlineStr">
        <is>
          <t>GOTLAND</t>
        </is>
      </c>
      <c r="G185" t="n">
        <v>1.8</v>
      </c>
      <c r="H185" t="n">
        <v>0</v>
      </c>
      <c r="I185" t="n">
        <v>0</v>
      </c>
      <c r="J185" t="n">
        <v>1</v>
      </c>
      <c r="K185" t="n">
        <v>0</v>
      </c>
      <c r="L185" t="n">
        <v>0</v>
      </c>
      <c r="M185" t="n">
        <v>0</v>
      </c>
      <c r="N185" t="n">
        <v>0</v>
      </c>
      <c r="O185" t="n">
        <v>1</v>
      </c>
      <c r="P185" t="n">
        <v>0</v>
      </c>
      <c r="Q185" t="n">
        <v>1</v>
      </c>
      <c r="R185" s="2" t="inlineStr">
        <is>
          <t>Sommarfibbla</t>
        </is>
      </c>
      <c r="S185">
        <f>HYPERLINK("https://klasma.github.io/Logging_0980/artfynd/A 18036-2026 artfynd.xlsx", "A 18036-2026")</f>
        <v/>
      </c>
      <c r="T185">
        <f>HYPERLINK("https://klasma.github.io/Logging_0980/kartor/A 18036-2026 karta.png", "A 18036-2026")</f>
        <v/>
      </c>
      <c r="V185">
        <f>HYPERLINK("https://klasma.github.io/Logging_0980/klagomål/A 18036-2026 FSC-klagomål.docx", "A 18036-2026")</f>
        <v/>
      </c>
      <c r="W185">
        <f>HYPERLINK("https://klasma.github.io/Logging_0980/klagomålsmail/A 18036-2026 FSC-klagomål mail.docx", "A 18036-2026")</f>
        <v/>
      </c>
      <c r="X185">
        <f>HYPERLINK("https://klasma.github.io/Logging_0980/tillsyn/A 18036-2026 tillsynsbegäran.docx", "A 18036-2026")</f>
        <v/>
      </c>
      <c r="Y185">
        <f>HYPERLINK("https://klasma.github.io/Logging_0980/tillsynsmail/A 18036-2026 tillsynsbegäran mail.docx", "A 18036-2026")</f>
        <v/>
      </c>
    </row>
    <row r="186" ht="15" customHeight="1">
      <c r="A186" t="inlineStr">
        <is>
          <t>A 10013-2026</t>
        </is>
      </c>
      <c r="B186" s="1" t="n">
        <v>46073</v>
      </c>
      <c r="C186" s="1" t="n">
        <v>46177</v>
      </c>
      <c r="D186" t="inlineStr">
        <is>
          <t>GOTLANDS LÄN</t>
        </is>
      </c>
      <c r="E186" t="inlineStr">
        <is>
          <t>GOTLAND</t>
        </is>
      </c>
      <c r="G186" t="n">
        <v>10.5</v>
      </c>
      <c r="H186" t="n">
        <v>0</v>
      </c>
      <c r="I186" t="n">
        <v>0</v>
      </c>
      <c r="J186" t="n">
        <v>0</v>
      </c>
      <c r="K186" t="n">
        <v>1</v>
      </c>
      <c r="L186" t="n">
        <v>0</v>
      </c>
      <c r="M186" t="n">
        <v>0</v>
      </c>
      <c r="N186" t="n">
        <v>0</v>
      </c>
      <c r="O186" t="n">
        <v>1</v>
      </c>
      <c r="P186" t="n">
        <v>1</v>
      </c>
      <c r="Q186" t="n">
        <v>1</v>
      </c>
      <c r="R186" s="2" t="inlineStr">
        <is>
          <t>Skogskorn</t>
        </is>
      </c>
      <c r="S186">
        <f>HYPERLINK("https://klasma.github.io/Logging_0980/artfynd/A 10013-2026 artfynd.xlsx", "A 10013-2026")</f>
        <v/>
      </c>
      <c r="T186">
        <f>HYPERLINK("https://klasma.github.io/Logging_0980/kartor/A 10013-2026 karta.png", "A 10013-2026")</f>
        <v/>
      </c>
      <c r="V186">
        <f>HYPERLINK("https://klasma.github.io/Logging_0980/klagomål/A 10013-2026 FSC-klagomål.docx", "A 10013-2026")</f>
        <v/>
      </c>
      <c r="W186">
        <f>HYPERLINK("https://klasma.github.io/Logging_0980/klagomålsmail/A 10013-2026 FSC-klagomål mail.docx", "A 10013-2026")</f>
        <v/>
      </c>
      <c r="X186">
        <f>HYPERLINK("https://klasma.github.io/Logging_0980/tillsyn/A 10013-2026 tillsynsbegäran.docx", "A 10013-2026")</f>
        <v/>
      </c>
      <c r="Y186">
        <f>HYPERLINK("https://klasma.github.io/Logging_0980/tillsynsmail/A 10013-2026 tillsynsbegäran mail.docx", "A 10013-2026")</f>
        <v/>
      </c>
    </row>
    <row r="187" ht="15" customHeight="1">
      <c r="A187" t="inlineStr">
        <is>
          <t>A 36313-2021</t>
        </is>
      </c>
      <c r="B187" s="1" t="n">
        <v>44390</v>
      </c>
      <c r="C187" s="1" t="n">
        <v>46177</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46177</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46177</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46177</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46177</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46177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46177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39909-2021</t>
        </is>
      </c>
      <c r="B194" s="1" t="n">
        <v>44417.82444444444</v>
      </c>
      <c r="C194" s="1" t="n">
        <v>46177</v>
      </c>
      <c r="D194" t="inlineStr">
        <is>
          <t>GOTLANDS LÄN</t>
        </is>
      </c>
      <c r="E194" t="inlineStr">
        <is>
          <t>GOTLAND</t>
        </is>
      </c>
      <c r="G194" t="n">
        <v>1.1</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46177</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42688-2021</t>
        </is>
      </c>
      <c r="B196" s="1" t="n">
        <v>44428</v>
      </c>
      <c r="C196" s="1" t="n">
        <v>46177</v>
      </c>
      <c r="D196" t="inlineStr">
        <is>
          <t>GOTLANDS LÄN</t>
        </is>
      </c>
      <c r="E196" t="inlineStr">
        <is>
          <t>GOTLAND</t>
        </is>
      </c>
      <c r="G196" t="n">
        <v>0.6</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46177</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46177</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32691-2021</t>
        </is>
      </c>
      <c r="B199" s="1" t="n">
        <v>44375</v>
      </c>
      <c r="C199" s="1" t="n">
        <v>46177</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17354-2022</t>
        </is>
      </c>
      <c r="B200" s="1" t="n">
        <v>44678</v>
      </c>
      <c r="C200" s="1" t="n">
        <v>46177</v>
      </c>
      <c r="D200" t="inlineStr">
        <is>
          <t>GOTLANDS LÄN</t>
        </is>
      </c>
      <c r="E200" t="inlineStr">
        <is>
          <t>GOTLAND</t>
        </is>
      </c>
      <c r="G200" t="n">
        <v>7.1</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46177</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46177</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47369-2021</t>
        </is>
      </c>
      <c r="B203" s="1" t="n">
        <v>44447</v>
      </c>
      <c r="C203" s="1" t="n">
        <v>46177</v>
      </c>
      <c r="D203" t="inlineStr">
        <is>
          <t>GOTLANDS LÄN</t>
        </is>
      </c>
      <c r="E203" t="inlineStr">
        <is>
          <t>GOTLAND</t>
        </is>
      </c>
      <c r="G203" t="n">
        <v>2.3</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46177</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46177</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44942-2022</t>
        </is>
      </c>
      <c r="B206" s="1" t="n">
        <v>44841</v>
      </c>
      <c r="C206" s="1" t="n">
        <v>46177</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46177</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53225-2022</t>
        </is>
      </c>
      <c r="B208" s="1" t="n">
        <v>44876</v>
      </c>
      <c r="C208" s="1" t="n">
        <v>46177</v>
      </c>
      <c r="D208" t="inlineStr">
        <is>
          <t>GOTLANDS LÄN</t>
        </is>
      </c>
      <c r="E208" t="inlineStr">
        <is>
          <t>GOTLAND</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46177</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46177</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46177</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46177</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46177</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13498-2022</t>
        </is>
      </c>
      <c r="B215" s="1" t="n">
        <v>44647.78866898148</v>
      </c>
      <c r="C215" s="1" t="n">
        <v>46177</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13500-2022</t>
        </is>
      </c>
      <c r="B216" s="1" t="n">
        <v>44647.79513888889</v>
      </c>
      <c r="C216" s="1" t="n">
        <v>46177</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46177</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46177</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1677-2023</t>
        </is>
      </c>
      <c r="B219" s="1" t="n">
        <v>44938</v>
      </c>
      <c r="C219" s="1" t="n">
        <v>46177</v>
      </c>
      <c r="D219" t="inlineStr">
        <is>
          <t>GOTLANDS LÄN</t>
        </is>
      </c>
      <c r="E219" t="inlineStr">
        <is>
          <t>GOTLAND</t>
        </is>
      </c>
      <c r="G219" t="n">
        <v>1.6</v>
      </c>
      <c r="H219" t="n">
        <v>0</v>
      </c>
      <c r="I219" t="n">
        <v>0</v>
      </c>
      <c r="J219" t="n">
        <v>0</v>
      </c>
      <c r="K219" t="n">
        <v>0</v>
      </c>
      <c r="L219" t="n">
        <v>0</v>
      </c>
      <c r="M219" t="n">
        <v>0</v>
      </c>
      <c r="N219" t="n">
        <v>0</v>
      </c>
      <c r="O219" t="n">
        <v>0</v>
      </c>
      <c r="P219" t="n">
        <v>0</v>
      </c>
      <c r="Q219" t="n">
        <v>0</v>
      </c>
      <c r="R219" s="2" t="inlineStr"/>
    </row>
    <row r="220" ht="15" customHeight="1">
      <c r="A220" t="inlineStr">
        <is>
          <t>A 63516-2023</t>
        </is>
      </c>
      <c r="B220" s="1" t="n">
        <v>45274</v>
      </c>
      <c r="C220" s="1" t="n">
        <v>46177</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53935-2024</t>
        </is>
      </c>
      <c r="B221" s="1" t="n">
        <v>45615</v>
      </c>
      <c r="C221" s="1" t="n">
        <v>46177</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45244-2024</t>
        </is>
      </c>
      <c r="B222" s="1" t="n">
        <v>45576</v>
      </c>
      <c r="C222" s="1" t="n">
        <v>46177</v>
      </c>
      <c r="D222" t="inlineStr">
        <is>
          <t>GOTLANDS LÄN</t>
        </is>
      </c>
      <c r="E222" t="inlineStr">
        <is>
          <t>GOTLAND</t>
        </is>
      </c>
      <c r="G222" t="n">
        <v>2.4</v>
      </c>
      <c r="H222" t="n">
        <v>0</v>
      </c>
      <c r="I222" t="n">
        <v>0</v>
      </c>
      <c r="J222" t="n">
        <v>0</v>
      </c>
      <c r="K222" t="n">
        <v>0</v>
      </c>
      <c r="L222" t="n">
        <v>0</v>
      </c>
      <c r="M222" t="n">
        <v>0</v>
      </c>
      <c r="N222" t="n">
        <v>0</v>
      </c>
      <c r="O222" t="n">
        <v>0</v>
      </c>
      <c r="P222" t="n">
        <v>0</v>
      </c>
      <c r="Q222" t="n">
        <v>0</v>
      </c>
      <c r="R222" s="2" t="inlineStr"/>
    </row>
    <row r="223" ht="15" customHeight="1">
      <c r="A223" t="inlineStr">
        <is>
          <t>A 18223-2025</t>
        </is>
      </c>
      <c r="B223" s="1" t="n">
        <v>45761</v>
      </c>
      <c r="C223" s="1" t="n">
        <v>46177</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4420-2025</t>
        </is>
      </c>
      <c r="B224" s="1" t="n">
        <v>45686.47157407407</v>
      </c>
      <c r="C224" s="1" t="n">
        <v>46177</v>
      </c>
      <c r="D224" t="inlineStr">
        <is>
          <t>GOTLANDS LÄN</t>
        </is>
      </c>
      <c r="E224" t="inlineStr">
        <is>
          <t>GOTLAND</t>
        </is>
      </c>
      <c r="G224" t="n">
        <v>1.6</v>
      </c>
      <c r="H224" t="n">
        <v>0</v>
      </c>
      <c r="I224" t="n">
        <v>0</v>
      </c>
      <c r="J224" t="n">
        <v>0</v>
      </c>
      <c r="K224" t="n">
        <v>0</v>
      </c>
      <c r="L224" t="n">
        <v>0</v>
      </c>
      <c r="M224" t="n">
        <v>0</v>
      </c>
      <c r="N224" t="n">
        <v>0</v>
      </c>
      <c r="O224" t="n">
        <v>0</v>
      </c>
      <c r="P224" t="n">
        <v>0</v>
      </c>
      <c r="Q224" t="n">
        <v>0</v>
      </c>
      <c r="R224" s="2" t="inlineStr"/>
    </row>
    <row r="225" ht="15" customHeight="1">
      <c r="A225" t="inlineStr">
        <is>
          <t>A 8260-2023</t>
        </is>
      </c>
      <c r="B225" s="1" t="n">
        <v>44974.61608796296</v>
      </c>
      <c r="C225" s="1" t="n">
        <v>46177</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46177</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4868-2024</t>
        </is>
      </c>
      <c r="B227" s="1" t="n">
        <v>45329</v>
      </c>
      <c r="C227" s="1" t="n">
        <v>46177</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64969-2023</t>
        </is>
      </c>
      <c r="B228" s="1" t="n">
        <v>45284.54009259259</v>
      </c>
      <c r="C228" s="1" t="n">
        <v>46177</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48843-2024</t>
        </is>
      </c>
      <c r="B229" s="1" t="n">
        <v>45593</v>
      </c>
      <c r="C229" s="1" t="n">
        <v>46177</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17541-2024</t>
        </is>
      </c>
      <c r="B230" s="1" t="n">
        <v>45415</v>
      </c>
      <c r="C230" s="1" t="n">
        <v>46177</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30365-2024</t>
        </is>
      </c>
      <c r="B231" s="1" t="n">
        <v>45491.3716087963</v>
      </c>
      <c r="C231" s="1" t="n">
        <v>46177</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2241-2025</t>
        </is>
      </c>
      <c r="B232" s="1" t="n">
        <v>45673.48710648148</v>
      </c>
      <c r="C232" s="1" t="n">
        <v>46177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1681-2023</t>
        </is>
      </c>
      <c r="B233" s="1" t="n">
        <v>44938.39715277778</v>
      </c>
      <c r="C233" s="1" t="n">
        <v>46177</v>
      </c>
      <c r="D233" t="inlineStr">
        <is>
          <t>GOTLANDS LÄN</t>
        </is>
      </c>
      <c r="E233" t="inlineStr">
        <is>
          <t>GOTLAND</t>
        </is>
      </c>
      <c r="G233" t="n">
        <v>2.4</v>
      </c>
      <c r="H233" t="n">
        <v>0</v>
      </c>
      <c r="I233" t="n">
        <v>0</v>
      </c>
      <c r="J233" t="n">
        <v>0</v>
      </c>
      <c r="K233" t="n">
        <v>0</v>
      </c>
      <c r="L233" t="n">
        <v>0</v>
      </c>
      <c r="M233" t="n">
        <v>0</v>
      </c>
      <c r="N233" t="n">
        <v>0</v>
      </c>
      <c r="O233" t="n">
        <v>0</v>
      </c>
      <c r="P233" t="n">
        <v>0</v>
      </c>
      <c r="Q233" t="n">
        <v>0</v>
      </c>
      <c r="R233" s="2" t="inlineStr"/>
    </row>
    <row r="234" ht="15" customHeight="1">
      <c r="A234" t="inlineStr">
        <is>
          <t>A 5891-2025</t>
        </is>
      </c>
      <c r="B234" s="1" t="n">
        <v>45695.38327546296</v>
      </c>
      <c r="C234" s="1" t="n">
        <v>46177</v>
      </c>
      <c r="D234" t="inlineStr">
        <is>
          <t>GOTLANDS LÄN</t>
        </is>
      </c>
      <c r="E234" t="inlineStr">
        <is>
          <t>GOTLAND</t>
        </is>
      </c>
      <c r="G234" t="n">
        <v>0.8</v>
      </c>
      <c r="H234" t="n">
        <v>0</v>
      </c>
      <c r="I234" t="n">
        <v>0</v>
      </c>
      <c r="J234" t="n">
        <v>0</v>
      </c>
      <c r="K234" t="n">
        <v>0</v>
      </c>
      <c r="L234" t="n">
        <v>0</v>
      </c>
      <c r="M234" t="n">
        <v>0</v>
      </c>
      <c r="N234" t="n">
        <v>0</v>
      </c>
      <c r="O234" t="n">
        <v>0</v>
      </c>
      <c r="P234" t="n">
        <v>0</v>
      </c>
      <c r="Q234" t="n">
        <v>0</v>
      </c>
      <c r="R234" s="2" t="inlineStr"/>
    </row>
    <row r="235" ht="15" customHeight="1">
      <c r="A235" t="inlineStr">
        <is>
          <t>A 6099-2024</t>
        </is>
      </c>
      <c r="B235" s="1" t="n">
        <v>45337</v>
      </c>
      <c r="C235" s="1" t="n">
        <v>46177</v>
      </c>
      <c r="D235" t="inlineStr">
        <is>
          <t>GOTLANDS LÄN</t>
        </is>
      </c>
      <c r="E235" t="inlineStr">
        <is>
          <t>GOTLAND</t>
        </is>
      </c>
      <c r="G235" t="n">
        <v>12.6</v>
      </c>
      <c r="H235" t="n">
        <v>0</v>
      </c>
      <c r="I235" t="n">
        <v>0</v>
      </c>
      <c r="J235" t="n">
        <v>0</v>
      </c>
      <c r="K235" t="n">
        <v>0</v>
      </c>
      <c r="L235" t="n">
        <v>0</v>
      </c>
      <c r="M235" t="n">
        <v>0</v>
      </c>
      <c r="N235" t="n">
        <v>0</v>
      </c>
      <c r="O235" t="n">
        <v>0</v>
      </c>
      <c r="P235" t="n">
        <v>0</v>
      </c>
      <c r="Q235" t="n">
        <v>0</v>
      </c>
      <c r="R235" s="2" t="inlineStr"/>
    </row>
    <row r="236" ht="15" customHeight="1">
      <c r="A236" t="inlineStr">
        <is>
          <t>A 15434-2024</t>
        </is>
      </c>
      <c r="B236" s="1" t="n">
        <v>45401.38836805556</v>
      </c>
      <c r="C236" s="1" t="n">
        <v>46177</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1273-2023</t>
        </is>
      </c>
      <c r="B237" s="1" t="n">
        <v>44936</v>
      </c>
      <c r="C237" s="1" t="n">
        <v>46177</v>
      </c>
      <c r="D237" t="inlineStr">
        <is>
          <t>GOTLANDS LÄN</t>
        </is>
      </c>
      <c r="E237" t="inlineStr">
        <is>
          <t>GOTLAND</t>
        </is>
      </c>
      <c r="G237" t="n">
        <v>4.5</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46177</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5943-2024</t>
        </is>
      </c>
      <c r="B239" s="1" t="n">
        <v>45336</v>
      </c>
      <c r="C239" s="1" t="n">
        <v>46177</v>
      </c>
      <c r="D239" t="inlineStr">
        <is>
          <t>GOTLANDS LÄN</t>
        </is>
      </c>
      <c r="E239" t="inlineStr">
        <is>
          <t>GOTLAND</t>
        </is>
      </c>
      <c r="G239" t="n">
        <v>4.3</v>
      </c>
      <c r="H239" t="n">
        <v>0</v>
      </c>
      <c r="I239" t="n">
        <v>0</v>
      </c>
      <c r="J239" t="n">
        <v>0</v>
      </c>
      <c r="K239" t="n">
        <v>0</v>
      </c>
      <c r="L239" t="n">
        <v>0</v>
      </c>
      <c r="M239" t="n">
        <v>0</v>
      </c>
      <c r="N239" t="n">
        <v>0</v>
      </c>
      <c r="O239" t="n">
        <v>0</v>
      </c>
      <c r="P239" t="n">
        <v>0</v>
      </c>
      <c r="Q239" t="n">
        <v>0</v>
      </c>
      <c r="R239" s="2" t="inlineStr"/>
    </row>
    <row r="240" ht="15" customHeight="1">
      <c r="A240" t="inlineStr">
        <is>
          <t>A 9613-2025</t>
        </is>
      </c>
      <c r="B240" s="1" t="n">
        <v>45715</v>
      </c>
      <c r="C240" s="1" t="n">
        <v>46177</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54073-2022</t>
        </is>
      </c>
      <c r="B241" s="1" t="n">
        <v>44881.50380787037</v>
      </c>
      <c r="C241" s="1" t="n">
        <v>46177</v>
      </c>
      <c r="D241" t="inlineStr">
        <is>
          <t>GOTLANDS LÄN</t>
        </is>
      </c>
      <c r="E241" t="inlineStr">
        <is>
          <t>GOTLAND</t>
        </is>
      </c>
      <c r="G241" t="n">
        <v>3.8</v>
      </c>
      <c r="H241" t="n">
        <v>0</v>
      </c>
      <c r="I241" t="n">
        <v>0</v>
      </c>
      <c r="J241" t="n">
        <v>0</v>
      </c>
      <c r="K241" t="n">
        <v>0</v>
      </c>
      <c r="L241" t="n">
        <v>0</v>
      </c>
      <c r="M241" t="n">
        <v>0</v>
      </c>
      <c r="N241" t="n">
        <v>0</v>
      </c>
      <c r="O241" t="n">
        <v>0</v>
      </c>
      <c r="P241" t="n">
        <v>0</v>
      </c>
      <c r="Q241" t="n">
        <v>0</v>
      </c>
      <c r="R241" s="2" t="inlineStr"/>
    </row>
    <row r="242" ht="15" customHeight="1">
      <c r="A242" t="inlineStr">
        <is>
          <t>A 16361-2024</t>
        </is>
      </c>
      <c r="B242" s="1" t="n">
        <v>45407</v>
      </c>
      <c r="C242" s="1" t="n">
        <v>46177</v>
      </c>
      <c r="D242" t="inlineStr">
        <is>
          <t>GOTLANDS LÄN</t>
        </is>
      </c>
      <c r="E242" t="inlineStr">
        <is>
          <t>GOTLAND</t>
        </is>
      </c>
      <c r="G242" t="n">
        <v>6</v>
      </c>
      <c r="H242" t="n">
        <v>0</v>
      </c>
      <c r="I242" t="n">
        <v>0</v>
      </c>
      <c r="J242" t="n">
        <v>0</v>
      </c>
      <c r="K242" t="n">
        <v>0</v>
      </c>
      <c r="L242" t="n">
        <v>0</v>
      </c>
      <c r="M242" t="n">
        <v>0</v>
      </c>
      <c r="N242" t="n">
        <v>0</v>
      </c>
      <c r="O242" t="n">
        <v>0</v>
      </c>
      <c r="P242" t="n">
        <v>0</v>
      </c>
      <c r="Q242" t="n">
        <v>0</v>
      </c>
      <c r="R242" s="2" t="inlineStr"/>
    </row>
    <row r="243" ht="15" customHeight="1">
      <c r="A243" t="inlineStr">
        <is>
          <t>A 58780-2024</t>
        </is>
      </c>
      <c r="B243" s="1" t="n">
        <v>45635.84113425926</v>
      </c>
      <c r="C243" s="1" t="n">
        <v>46177</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41038-2023</t>
        </is>
      </c>
      <c r="B244" s="1" t="n">
        <v>45173.60959490741</v>
      </c>
      <c r="C244" s="1" t="n">
        <v>46177</v>
      </c>
      <c r="D244" t="inlineStr">
        <is>
          <t>GOTLANDS LÄN</t>
        </is>
      </c>
      <c r="E244" t="inlineStr">
        <is>
          <t>GOTLAND</t>
        </is>
      </c>
      <c r="G244" t="n">
        <v>2.7</v>
      </c>
      <c r="H244" t="n">
        <v>0</v>
      </c>
      <c r="I244" t="n">
        <v>0</v>
      </c>
      <c r="J244" t="n">
        <v>0</v>
      </c>
      <c r="K244" t="n">
        <v>0</v>
      </c>
      <c r="L244" t="n">
        <v>0</v>
      </c>
      <c r="M244" t="n">
        <v>0</v>
      </c>
      <c r="N244" t="n">
        <v>0</v>
      </c>
      <c r="O244" t="n">
        <v>0</v>
      </c>
      <c r="P244" t="n">
        <v>0</v>
      </c>
      <c r="Q244" t="n">
        <v>0</v>
      </c>
      <c r="R244" s="2" t="inlineStr"/>
    </row>
    <row r="245" ht="15" customHeight="1">
      <c r="A245" t="inlineStr">
        <is>
          <t>A 15595-2024</t>
        </is>
      </c>
      <c r="B245" s="1" t="n">
        <v>45401.81480324074</v>
      </c>
      <c r="C245" s="1" t="n">
        <v>46177</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45692-2023</t>
        </is>
      </c>
      <c r="B246" s="1" t="n">
        <v>45195</v>
      </c>
      <c r="C246" s="1" t="n">
        <v>46177</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5751-2024</t>
        </is>
      </c>
      <c r="B247" s="1" t="n">
        <v>45335.32702546296</v>
      </c>
      <c r="C247" s="1" t="n">
        <v>46177</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46177</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28285-2024</t>
        </is>
      </c>
      <c r="B249" s="1" t="n">
        <v>45477</v>
      </c>
      <c r="C249" s="1" t="n">
        <v>46177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61100-2022</t>
        </is>
      </c>
      <c r="B250" s="1" t="n">
        <v>44915</v>
      </c>
      <c r="C250" s="1" t="n">
        <v>46177</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46177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14427-2024</t>
        </is>
      </c>
      <c r="B252" s="1" t="n">
        <v>45394</v>
      </c>
      <c r="C252" s="1" t="n">
        <v>46177</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31802-2024</t>
        </is>
      </c>
      <c r="B253" s="1" t="n">
        <v>45509</v>
      </c>
      <c r="C253" s="1" t="n">
        <v>46177</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24966-2023</t>
        </is>
      </c>
      <c r="B254" s="1" t="n">
        <v>45085</v>
      </c>
      <c r="C254" s="1" t="n">
        <v>46177</v>
      </c>
      <c r="D254" t="inlineStr">
        <is>
          <t>GOTLANDS LÄN</t>
        </is>
      </c>
      <c r="E254" t="inlineStr">
        <is>
          <t>GOTLAND</t>
        </is>
      </c>
      <c r="G254" t="n">
        <v>7</v>
      </c>
      <c r="H254" t="n">
        <v>0</v>
      </c>
      <c r="I254" t="n">
        <v>0</v>
      </c>
      <c r="J254" t="n">
        <v>0</v>
      </c>
      <c r="K254" t="n">
        <v>0</v>
      </c>
      <c r="L254" t="n">
        <v>0</v>
      </c>
      <c r="M254" t="n">
        <v>0</v>
      </c>
      <c r="N254" t="n">
        <v>0</v>
      </c>
      <c r="O254" t="n">
        <v>0</v>
      </c>
      <c r="P254" t="n">
        <v>0</v>
      </c>
      <c r="Q254" t="n">
        <v>0</v>
      </c>
      <c r="R254" s="2" t="inlineStr"/>
    </row>
    <row r="255" ht="15" customHeight="1">
      <c r="A255" t="inlineStr">
        <is>
          <t>A 46189-2022</t>
        </is>
      </c>
      <c r="B255" s="1" t="n">
        <v>44847</v>
      </c>
      <c r="C255" s="1" t="n">
        <v>46177</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8036-2022</t>
        </is>
      </c>
      <c r="B256" s="1" t="n">
        <v>44609.44362268518</v>
      </c>
      <c r="C256" s="1" t="n">
        <v>46177</v>
      </c>
      <c r="D256" t="inlineStr">
        <is>
          <t>GOTLANDS LÄN</t>
        </is>
      </c>
      <c r="E256" t="inlineStr">
        <is>
          <t>GOTLAND</t>
        </is>
      </c>
      <c r="G256" t="n">
        <v>6.1</v>
      </c>
      <c r="H256" t="n">
        <v>0</v>
      </c>
      <c r="I256" t="n">
        <v>0</v>
      </c>
      <c r="J256" t="n">
        <v>0</v>
      </c>
      <c r="K256" t="n">
        <v>0</v>
      </c>
      <c r="L256" t="n">
        <v>0</v>
      </c>
      <c r="M256" t="n">
        <v>0</v>
      </c>
      <c r="N256" t="n">
        <v>0</v>
      </c>
      <c r="O256" t="n">
        <v>0</v>
      </c>
      <c r="P256" t="n">
        <v>0</v>
      </c>
      <c r="Q256" t="n">
        <v>0</v>
      </c>
      <c r="R256" s="2" t="inlineStr"/>
    </row>
    <row r="257" ht="15" customHeight="1">
      <c r="A257" t="inlineStr">
        <is>
          <t>A 12846-2025</t>
        </is>
      </c>
      <c r="B257" s="1" t="n">
        <v>45733.65049768519</v>
      </c>
      <c r="C257" s="1" t="n">
        <v>46177</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46177</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45443.60075231481</v>
      </c>
      <c r="C259" s="1" t="n">
        <v>46177</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21792-2024</t>
        </is>
      </c>
      <c r="B260" s="1" t="n">
        <v>45442.64326388889</v>
      </c>
      <c r="C260" s="1" t="n">
        <v>46177</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46177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46949-2024</t>
        </is>
      </c>
      <c r="B262" s="1" t="n">
        <v>45585</v>
      </c>
      <c r="C262" s="1" t="n">
        <v>46177</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46177</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10650-2022</t>
        </is>
      </c>
      <c r="B264" s="1" t="n">
        <v>44624.57945601852</v>
      </c>
      <c r="C264" s="1" t="n">
        <v>46177</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17688-2024</t>
        </is>
      </c>
      <c r="B265" s="1" t="n">
        <v>45418.43575231481</v>
      </c>
      <c r="C265" s="1" t="n">
        <v>46177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7837-2024</t>
        </is>
      </c>
      <c r="B266" s="1" t="n">
        <v>45349.83787037037</v>
      </c>
      <c r="C266" s="1" t="n">
        <v>46177</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48503-2023</t>
        </is>
      </c>
      <c r="B267" s="1" t="n">
        <v>45207</v>
      </c>
      <c r="C267" s="1" t="n">
        <v>46177</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7835-2024</t>
        </is>
      </c>
      <c r="B268" s="1" t="n">
        <v>45349.83138888889</v>
      </c>
      <c r="C268" s="1" t="n">
        <v>46177</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65901-2021</t>
        </is>
      </c>
      <c r="B269" s="1" t="n">
        <v>44516</v>
      </c>
      <c r="C269" s="1" t="n">
        <v>46177</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20794-2025</t>
        </is>
      </c>
      <c r="B270" s="1" t="n">
        <v>45776</v>
      </c>
      <c r="C270" s="1" t="n">
        <v>46177</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4568-2025</t>
        </is>
      </c>
      <c r="B271" s="1" t="n">
        <v>45687</v>
      </c>
      <c r="C271" s="1" t="n">
        <v>46177</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44649-2021</t>
        </is>
      </c>
      <c r="B272" s="1" t="n">
        <v>44437</v>
      </c>
      <c r="C272" s="1" t="n">
        <v>46177</v>
      </c>
      <c r="D272" t="inlineStr">
        <is>
          <t>GOTLANDS LÄN</t>
        </is>
      </c>
      <c r="E272" t="inlineStr">
        <is>
          <t>GOTLAND</t>
        </is>
      </c>
      <c r="G272" t="n">
        <v>8.1</v>
      </c>
      <c r="H272" t="n">
        <v>0</v>
      </c>
      <c r="I272" t="n">
        <v>0</v>
      </c>
      <c r="J272" t="n">
        <v>0</v>
      </c>
      <c r="K272" t="n">
        <v>0</v>
      </c>
      <c r="L272" t="n">
        <v>0</v>
      </c>
      <c r="M272" t="n">
        <v>0</v>
      </c>
      <c r="N272" t="n">
        <v>0</v>
      </c>
      <c r="O272" t="n">
        <v>0</v>
      </c>
      <c r="P272" t="n">
        <v>0</v>
      </c>
      <c r="Q272" t="n">
        <v>0</v>
      </c>
      <c r="R272" s="2" t="inlineStr"/>
    </row>
    <row r="273" ht="15" customHeight="1">
      <c r="A273" t="inlineStr">
        <is>
          <t>A 20805-2025</t>
        </is>
      </c>
      <c r="B273" s="1" t="n">
        <v>45776</v>
      </c>
      <c r="C273" s="1" t="n">
        <v>46177</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9947-2024</t>
        </is>
      </c>
      <c r="B274" s="1" t="n">
        <v>45363</v>
      </c>
      <c r="C274" s="1" t="n">
        <v>46177</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11634-2024</t>
        </is>
      </c>
      <c r="B275" s="1" t="n">
        <v>45373</v>
      </c>
      <c r="C275" s="1" t="n">
        <v>46177</v>
      </c>
      <c r="D275" t="inlineStr">
        <is>
          <t>GOTLANDS LÄN</t>
        </is>
      </c>
      <c r="E275" t="inlineStr">
        <is>
          <t>GOTLAND</t>
        </is>
      </c>
      <c r="G275" t="n">
        <v>3</v>
      </c>
      <c r="H275" t="n">
        <v>0</v>
      </c>
      <c r="I275" t="n">
        <v>0</v>
      </c>
      <c r="J275" t="n">
        <v>0</v>
      </c>
      <c r="K275" t="n">
        <v>0</v>
      </c>
      <c r="L275" t="n">
        <v>0</v>
      </c>
      <c r="M275" t="n">
        <v>0</v>
      </c>
      <c r="N275" t="n">
        <v>0</v>
      </c>
      <c r="O275" t="n">
        <v>0</v>
      </c>
      <c r="P275" t="n">
        <v>0</v>
      </c>
      <c r="Q275" t="n">
        <v>0</v>
      </c>
      <c r="R275" s="2" t="inlineStr"/>
    </row>
    <row r="276" ht="15" customHeight="1">
      <c r="A276" t="inlineStr">
        <is>
          <t>A 1351-2025</t>
        </is>
      </c>
      <c r="B276" s="1" t="n">
        <v>45667.62246527777</v>
      </c>
      <c r="C276" s="1" t="n">
        <v>46177</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46177</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46177</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39496-2022</t>
        </is>
      </c>
      <c r="B279" s="1" t="n">
        <v>44818</v>
      </c>
      <c r="C279" s="1" t="n">
        <v>46177</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17682-2024</t>
        </is>
      </c>
      <c r="B280" s="1" t="n">
        <v>45418.42966435185</v>
      </c>
      <c r="C280" s="1" t="n">
        <v>46177</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57522-2022</t>
        </is>
      </c>
      <c r="B281" s="1" t="n">
        <v>44896</v>
      </c>
      <c r="C281" s="1" t="n">
        <v>46177</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49874-2024</t>
        </is>
      </c>
      <c r="B282" s="1" t="n">
        <v>45597.49274305555</v>
      </c>
      <c r="C282" s="1" t="n">
        <v>46177</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1291-2023</t>
        </is>
      </c>
      <c r="B283" s="1" t="n">
        <v>44936.47561342592</v>
      </c>
      <c r="C283" s="1" t="n">
        <v>46177</v>
      </c>
      <c r="D283" t="inlineStr">
        <is>
          <t>GOTLANDS LÄN</t>
        </is>
      </c>
      <c r="E283" t="inlineStr">
        <is>
          <t>GOTLAND</t>
        </is>
      </c>
      <c r="G283" t="n">
        <v>7.4</v>
      </c>
      <c r="H283" t="n">
        <v>0</v>
      </c>
      <c r="I283" t="n">
        <v>0</v>
      </c>
      <c r="J283" t="n">
        <v>0</v>
      </c>
      <c r="K283" t="n">
        <v>0</v>
      </c>
      <c r="L283" t="n">
        <v>0</v>
      </c>
      <c r="M283" t="n">
        <v>0</v>
      </c>
      <c r="N283" t="n">
        <v>0</v>
      </c>
      <c r="O283" t="n">
        <v>0</v>
      </c>
      <c r="P283" t="n">
        <v>0</v>
      </c>
      <c r="Q283" t="n">
        <v>0</v>
      </c>
      <c r="R283" s="2" t="inlineStr"/>
    </row>
    <row r="284" ht="15" customHeight="1">
      <c r="A284" t="inlineStr">
        <is>
          <t>A 57652-2023</t>
        </is>
      </c>
      <c r="B284" s="1" t="n">
        <v>45246</v>
      </c>
      <c r="C284" s="1" t="n">
        <v>46177</v>
      </c>
      <c r="D284" t="inlineStr">
        <is>
          <t>GOTLANDS LÄN</t>
        </is>
      </c>
      <c r="E284" t="inlineStr">
        <is>
          <t>GOTLAND</t>
        </is>
      </c>
      <c r="G284" t="n">
        <v>7.2</v>
      </c>
      <c r="H284" t="n">
        <v>0</v>
      </c>
      <c r="I284" t="n">
        <v>0</v>
      </c>
      <c r="J284" t="n">
        <v>0</v>
      </c>
      <c r="K284" t="n">
        <v>0</v>
      </c>
      <c r="L284" t="n">
        <v>0</v>
      </c>
      <c r="M284" t="n">
        <v>0</v>
      </c>
      <c r="N284" t="n">
        <v>0</v>
      </c>
      <c r="O284" t="n">
        <v>0</v>
      </c>
      <c r="P284" t="n">
        <v>0</v>
      </c>
      <c r="Q284" t="n">
        <v>0</v>
      </c>
      <c r="R284" s="2" t="inlineStr"/>
    </row>
    <row r="285" ht="15" customHeight="1">
      <c r="A285" t="inlineStr">
        <is>
          <t>A 21389-2025</t>
        </is>
      </c>
      <c r="B285" s="1" t="n">
        <v>45782</v>
      </c>
      <c r="C285" s="1" t="n">
        <v>46177</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46400-2023</t>
        </is>
      </c>
      <c r="B286" s="1" t="n">
        <v>45197.49290509259</v>
      </c>
      <c r="C286" s="1" t="n">
        <v>46177</v>
      </c>
      <c r="D286" t="inlineStr">
        <is>
          <t>GOTLANDS LÄN</t>
        </is>
      </c>
      <c r="E286" t="inlineStr">
        <is>
          <t>GOTLAND</t>
        </is>
      </c>
      <c r="G286" t="n">
        <v>0.8</v>
      </c>
      <c r="H286" t="n">
        <v>0</v>
      </c>
      <c r="I286" t="n">
        <v>0</v>
      </c>
      <c r="J286" t="n">
        <v>0</v>
      </c>
      <c r="K286" t="n">
        <v>0</v>
      </c>
      <c r="L286" t="n">
        <v>0</v>
      </c>
      <c r="M286" t="n">
        <v>0</v>
      </c>
      <c r="N286" t="n">
        <v>0</v>
      </c>
      <c r="O286" t="n">
        <v>0</v>
      </c>
      <c r="P286" t="n">
        <v>0</v>
      </c>
      <c r="Q286" t="n">
        <v>0</v>
      </c>
      <c r="R286" s="2" t="inlineStr"/>
    </row>
    <row r="287" ht="15" customHeight="1">
      <c r="A287" t="inlineStr">
        <is>
          <t>A 9875-2025</t>
        </is>
      </c>
      <c r="B287" s="1" t="n">
        <v>45716</v>
      </c>
      <c r="C287" s="1" t="n">
        <v>46177</v>
      </c>
      <c r="D287" t="inlineStr">
        <is>
          <t>GOTLANDS LÄN</t>
        </is>
      </c>
      <c r="E287" t="inlineStr">
        <is>
          <t>GOTLAND</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21651-2025</t>
        </is>
      </c>
      <c r="B288" s="1" t="n">
        <v>45783</v>
      </c>
      <c r="C288" s="1" t="n">
        <v>46177</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46177</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46177</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45106-2024</t>
        </is>
      </c>
      <c r="B291" s="1" t="n">
        <v>45575</v>
      </c>
      <c r="C291" s="1" t="n">
        <v>46177</v>
      </c>
      <c r="D291" t="inlineStr">
        <is>
          <t>GOTLANDS LÄN</t>
        </is>
      </c>
      <c r="E291" t="inlineStr">
        <is>
          <t>GOTLAND</t>
        </is>
      </c>
      <c r="G291" t="n">
        <v>10</v>
      </c>
      <c r="H291" t="n">
        <v>0</v>
      </c>
      <c r="I291" t="n">
        <v>0</v>
      </c>
      <c r="J291" t="n">
        <v>0</v>
      </c>
      <c r="K291" t="n">
        <v>0</v>
      </c>
      <c r="L291" t="n">
        <v>0</v>
      </c>
      <c r="M291" t="n">
        <v>0</v>
      </c>
      <c r="N291" t="n">
        <v>0</v>
      </c>
      <c r="O291" t="n">
        <v>0</v>
      </c>
      <c r="P291" t="n">
        <v>0</v>
      </c>
      <c r="Q291" t="n">
        <v>0</v>
      </c>
      <c r="R291" s="2" t="inlineStr"/>
    </row>
    <row r="292" ht="15" customHeight="1">
      <c r="A292" t="inlineStr">
        <is>
          <t>A 45112-2024</t>
        </is>
      </c>
      <c r="B292" s="1" t="n">
        <v>45575</v>
      </c>
      <c r="C292" s="1" t="n">
        <v>46177</v>
      </c>
      <c r="D292" t="inlineStr">
        <is>
          <t>GOTLANDS LÄN</t>
        </is>
      </c>
      <c r="E292" t="inlineStr">
        <is>
          <t>GOTLAND</t>
        </is>
      </c>
      <c r="G292" t="n">
        <v>5.1</v>
      </c>
      <c r="H292" t="n">
        <v>0</v>
      </c>
      <c r="I292" t="n">
        <v>0</v>
      </c>
      <c r="J292" t="n">
        <v>0</v>
      </c>
      <c r="K292" t="n">
        <v>0</v>
      </c>
      <c r="L292" t="n">
        <v>0</v>
      </c>
      <c r="M292" t="n">
        <v>0</v>
      </c>
      <c r="N292" t="n">
        <v>0</v>
      </c>
      <c r="O292" t="n">
        <v>0</v>
      </c>
      <c r="P292" t="n">
        <v>0</v>
      </c>
      <c r="Q292" t="n">
        <v>0</v>
      </c>
      <c r="R292" s="2" t="inlineStr"/>
    </row>
    <row r="293" ht="15" customHeight="1">
      <c r="A293" t="inlineStr">
        <is>
          <t>A 21164-2024</t>
        </is>
      </c>
      <c r="B293" s="1" t="n">
        <v>45440</v>
      </c>
      <c r="C293" s="1" t="n">
        <v>46177</v>
      </c>
      <c r="D293" t="inlineStr">
        <is>
          <t>GOTLANDS LÄN</t>
        </is>
      </c>
      <c r="E293" t="inlineStr">
        <is>
          <t>GOTLAND</t>
        </is>
      </c>
      <c r="G293" t="n">
        <v>6.3</v>
      </c>
      <c r="H293" t="n">
        <v>0</v>
      </c>
      <c r="I293" t="n">
        <v>0</v>
      </c>
      <c r="J293" t="n">
        <v>0</v>
      </c>
      <c r="K293" t="n">
        <v>0</v>
      </c>
      <c r="L293" t="n">
        <v>0</v>
      </c>
      <c r="M293" t="n">
        <v>0</v>
      </c>
      <c r="N293" t="n">
        <v>0</v>
      </c>
      <c r="O293" t="n">
        <v>0</v>
      </c>
      <c r="P293" t="n">
        <v>0</v>
      </c>
      <c r="Q293" t="n">
        <v>0</v>
      </c>
      <c r="R293" s="2" t="inlineStr"/>
    </row>
    <row r="294" ht="15" customHeight="1">
      <c r="A294" t="inlineStr">
        <is>
          <t>A 2676-2023</t>
        </is>
      </c>
      <c r="B294" s="1" t="n">
        <v>44944</v>
      </c>
      <c r="C294" s="1" t="n">
        <v>46177</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46177</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46177</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46177</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22897-2023</t>
        </is>
      </c>
      <c r="B298" s="1" t="n">
        <v>45072.55239583334</v>
      </c>
      <c r="C298" s="1" t="n">
        <v>46177</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7635-2025</t>
        </is>
      </c>
      <c r="B299" s="1" t="n">
        <v>45705</v>
      </c>
      <c r="C299" s="1" t="n">
        <v>46177</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7636-2025</t>
        </is>
      </c>
      <c r="B300" s="1" t="n">
        <v>45705.7687962963</v>
      </c>
      <c r="C300" s="1" t="n">
        <v>46177</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7639-2025</t>
        </is>
      </c>
      <c r="B301" s="1" t="n">
        <v>45705.77465277778</v>
      </c>
      <c r="C301" s="1" t="n">
        <v>46177</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61897-2024</t>
        </is>
      </c>
      <c r="B302" s="1" t="n">
        <v>45652.75685185185</v>
      </c>
      <c r="C302" s="1" t="n">
        <v>46177</v>
      </c>
      <c r="D302" t="inlineStr">
        <is>
          <t>GOTLANDS LÄN</t>
        </is>
      </c>
      <c r="E302" t="inlineStr">
        <is>
          <t>GOTLAND</t>
        </is>
      </c>
      <c r="G302" t="n">
        <v>6.4</v>
      </c>
      <c r="H302" t="n">
        <v>0</v>
      </c>
      <c r="I302" t="n">
        <v>0</v>
      </c>
      <c r="J302" t="n">
        <v>0</v>
      </c>
      <c r="K302" t="n">
        <v>0</v>
      </c>
      <c r="L302" t="n">
        <v>0</v>
      </c>
      <c r="M302" t="n">
        <v>0</v>
      </c>
      <c r="N302" t="n">
        <v>0</v>
      </c>
      <c r="O302" t="n">
        <v>0</v>
      </c>
      <c r="P302" t="n">
        <v>0</v>
      </c>
      <c r="Q302" t="n">
        <v>0</v>
      </c>
      <c r="R302" s="2" t="inlineStr"/>
    </row>
    <row r="303" ht="15" customHeight="1">
      <c r="A303" t="inlineStr">
        <is>
          <t>A 20356-2022</t>
        </is>
      </c>
      <c r="B303" s="1" t="n">
        <v>44699</v>
      </c>
      <c r="C303" s="1" t="n">
        <v>46177</v>
      </c>
      <c r="D303" t="inlineStr">
        <is>
          <t>GOTLANDS LÄN</t>
        </is>
      </c>
      <c r="E303" t="inlineStr">
        <is>
          <t>GOTLAND</t>
        </is>
      </c>
      <c r="F303" t="inlineStr">
        <is>
          <t>Övriga Aktiebolag</t>
        </is>
      </c>
      <c r="G303" t="n">
        <v>4.4</v>
      </c>
      <c r="H303" t="n">
        <v>0</v>
      </c>
      <c r="I303" t="n">
        <v>0</v>
      </c>
      <c r="J303" t="n">
        <v>0</v>
      </c>
      <c r="K303" t="n">
        <v>0</v>
      </c>
      <c r="L303" t="n">
        <v>0</v>
      </c>
      <c r="M303" t="n">
        <v>0</v>
      </c>
      <c r="N303" t="n">
        <v>0</v>
      </c>
      <c r="O303" t="n">
        <v>0</v>
      </c>
      <c r="P303" t="n">
        <v>0</v>
      </c>
      <c r="Q303" t="n">
        <v>0</v>
      </c>
      <c r="R303" s="2" t="inlineStr"/>
    </row>
    <row r="304" ht="15" customHeight="1">
      <c r="A304" t="inlineStr">
        <is>
          <t>A 48734-2022</t>
        </is>
      </c>
      <c r="B304" s="1" t="n">
        <v>44855</v>
      </c>
      <c r="C304" s="1" t="n">
        <v>46177</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14141-2024</t>
        </is>
      </c>
      <c r="B305" s="1" t="n">
        <v>45392.85193287037</v>
      </c>
      <c r="C305" s="1" t="n">
        <v>46177</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29809-2022</t>
        </is>
      </c>
      <c r="B306" s="1" t="n">
        <v>44755.8713425926</v>
      </c>
      <c r="C306" s="1" t="n">
        <v>46177</v>
      </c>
      <c r="D306" t="inlineStr">
        <is>
          <t>GOTLANDS LÄN</t>
        </is>
      </c>
      <c r="E306" t="inlineStr">
        <is>
          <t>GOTLAND</t>
        </is>
      </c>
      <c r="G306" t="n">
        <v>11.5</v>
      </c>
      <c r="H306" t="n">
        <v>0</v>
      </c>
      <c r="I306" t="n">
        <v>0</v>
      </c>
      <c r="J306" t="n">
        <v>0</v>
      </c>
      <c r="K306" t="n">
        <v>0</v>
      </c>
      <c r="L306" t="n">
        <v>0</v>
      </c>
      <c r="M306" t="n">
        <v>0</v>
      </c>
      <c r="N306" t="n">
        <v>0</v>
      </c>
      <c r="O306" t="n">
        <v>0</v>
      </c>
      <c r="P306" t="n">
        <v>0</v>
      </c>
      <c r="Q306" t="n">
        <v>0</v>
      </c>
      <c r="R306" s="2" t="inlineStr"/>
    </row>
    <row r="307" ht="15" customHeight="1">
      <c r="A307" t="inlineStr">
        <is>
          <t>A 18993-2025</t>
        </is>
      </c>
      <c r="B307" s="1" t="n">
        <v>45764</v>
      </c>
      <c r="C307" s="1" t="n">
        <v>46177</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49962-2023</t>
        </is>
      </c>
      <c r="B308" s="1" t="n">
        <v>45215.38775462963</v>
      </c>
      <c r="C308" s="1" t="n">
        <v>46177</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30135-2025</t>
        </is>
      </c>
      <c r="B309" s="1" t="n">
        <v>45826</v>
      </c>
      <c r="C309" s="1" t="n">
        <v>46177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20165-2022</t>
        </is>
      </c>
      <c r="B310" s="1" t="n">
        <v>44698.49854166667</v>
      </c>
      <c r="C310" s="1" t="n">
        <v>46177</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12599-2025</t>
        </is>
      </c>
      <c r="B311" s="1" t="n">
        <v>45733.29546296296</v>
      </c>
      <c r="C311" s="1" t="n">
        <v>46177</v>
      </c>
      <c r="D311" t="inlineStr">
        <is>
          <t>GOTLANDS LÄN</t>
        </is>
      </c>
      <c r="E311" t="inlineStr">
        <is>
          <t>GOTLAND</t>
        </is>
      </c>
      <c r="G311" t="n">
        <v>4.7</v>
      </c>
      <c r="H311" t="n">
        <v>0</v>
      </c>
      <c r="I311" t="n">
        <v>0</v>
      </c>
      <c r="J311" t="n">
        <v>0</v>
      </c>
      <c r="K311" t="n">
        <v>0</v>
      </c>
      <c r="L311" t="n">
        <v>0</v>
      </c>
      <c r="M311" t="n">
        <v>0</v>
      </c>
      <c r="N311" t="n">
        <v>0</v>
      </c>
      <c r="O311" t="n">
        <v>0</v>
      </c>
      <c r="P311" t="n">
        <v>0</v>
      </c>
      <c r="Q311" t="n">
        <v>0</v>
      </c>
      <c r="R311" s="2" t="inlineStr"/>
    </row>
    <row r="312" ht="15" customHeight="1">
      <c r="A312" t="inlineStr">
        <is>
          <t>A 35141-2025</t>
        </is>
      </c>
      <c r="B312" s="1" t="n">
        <v>45852.65206018519</v>
      </c>
      <c r="C312" s="1" t="n">
        <v>46177</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40294-2022</t>
        </is>
      </c>
      <c r="B313" s="1" t="n">
        <v>44821</v>
      </c>
      <c r="C313" s="1" t="n">
        <v>46177</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35142-2025</t>
        </is>
      </c>
      <c r="B314" s="1" t="n">
        <v>45852.65532407408</v>
      </c>
      <c r="C314" s="1" t="n">
        <v>46177</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12032-2025</t>
        </is>
      </c>
      <c r="B315" s="1" t="n">
        <v>45728.64472222222</v>
      </c>
      <c r="C315" s="1" t="n">
        <v>46177</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44897.4777662037</v>
      </c>
      <c r="C316" s="1" t="n">
        <v>46177</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38787-2023</t>
        </is>
      </c>
      <c r="B317" s="1" t="n">
        <v>45163</v>
      </c>
      <c r="C317" s="1" t="n">
        <v>46177</v>
      </c>
      <c r="D317" t="inlineStr">
        <is>
          <t>GOTLANDS LÄN</t>
        </is>
      </c>
      <c r="E317" t="inlineStr">
        <is>
          <t>GOTLAND</t>
        </is>
      </c>
      <c r="G317" t="n">
        <v>0.4</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46177</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43231-2023</t>
        </is>
      </c>
      <c r="B319" s="1" t="n">
        <v>45183.47025462963</v>
      </c>
      <c r="C319" s="1" t="n">
        <v>46177</v>
      </c>
      <c r="D319" t="inlineStr">
        <is>
          <t>GOTLANDS LÄN</t>
        </is>
      </c>
      <c r="E319" t="inlineStr">
        <is>
          <t>GOTLAND</t>
        </is>
      </c>
      <c r="G319" t="n">
        <v>3.6</v>
      </c>
      <c r="H319" t="n">
        <v>0</v>
      </c>
      <c r="I319" t="n">
        <v>0</v>
      </c>
      <c r="J319" t="n">
        <v>0</v>
      </c>
      <c r="K319" t="n">
        <v>0</v>
      </c>
      <c r="L319" t="n">
        <v>0</v>
      </c>
      <c r="M319" t="n">
        <v>0</v>
      </c>
      <c r="N319" t="n">
        <v>0</v>
      </c>
      <c r="O319" t="n">
        <v>0</v>
      </c>
      <c r="P319" t="n">
        <v>0</v>
      </c>
      <c r="Q319" t="n">
        <v>0</v>
      </c>
      <c r="R319" s="2" t="inlineStr"/>
    </row>
    <row r="320" ht="15" customHeight="1">
      <c r="A320" t="inlineStr">
        <is>
          <t>A 17532-2024</t>
        </is>
      </c>
      <c r="B320" s="1" t="n">
        <v>45415</v>
      </c>
      <c r="C320" s="1" t="n">
        <v>46177</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39819-2025</t>
        </is>
      </c>
      <c r="B321" s="1" t="n">
        <v>45891.53418981482</v>
      </c>
      <c r="C321" s="1" t="n">
        <v>46177</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39814-2025</t>
        </is>
      </c>
      <c r="B322" s="1" t="n">
        <v>45891.52694444444</v>
      </c>
      <c r="C322" s="1" t="n">
        <v>46177</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7034-2023</t>
        </is>
      </c>
      <c r="B323" s="1" t="n">
        <v>44968.32108796296</v>
      </c>
      <c r="C323" s="1" t="n">
        <v>46177</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7042-2023</t>
        </is>
      </c>
      <c r="B324" s="1" t="n">
        <v>44968</v>
      </c>
      <c r="C324" s="1" t="n">
        <v>46177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3935-2025</t>
        </is>
      </c>
      <c r="B325" s="1" t="n">
        <v>45684.46070601852</v>
      </c>
      <c r="C325" s="1" t="n">
        <v>46177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23516-2023</t>
        </is>
      </c>
      <c r="B326" s="1" t="n">
        <v>45076.93391203704</v>
      </c>
      <c r="C326" s="1" t="n">
        <v>46177</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39849-2025</t>
        </is>
      </c>
      <c r="B327" s="1" t="n">
        <v>45891.58502314815</v>
      </c>
      <c r="C327" s="1" t="n">
        <v>46177</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46177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39752-2025</t>
        </is>
      </c>
      <c r="B329" s="1" t="n">
        <v>45891</v>
      </c>
      <c r="C329" s="1" t="n">
        <v>46177</v>
      </c>
      <c r="D329" t="inlineStr">
        <is>
          <t>GOTLANDS LÄN</t>
        </is>
      </c>
      <c r="E329" t="inlineStr">
        <is>
          <t>GOTLAND</t>
        </is>
      </c>
      <c r="G329" t="n">
        <v>5.3</v>
      </c>
      <c r="H329" t="n">
        <v>0</v>
      </c>
      <c r="I329" t="n">
        <v>0</v>
      </c>
      <c r="J329" t="n">
        <v>0</v>
      </c>
      <c r="K329" t="n">
        <v>0</v>
      </c>
      <c r="L329" t="n">
        <v>0</v>
      </c>
      <c r="M329" t="n">
        <v>0</v>
      </c>
      <c r="N329" t="n">
        <v>0</v>
      </c>
      <c r="O329" t="n">
        <v>0</v>
      </c>
      <c r="P329" t="n">
        <v>0</v>
      </c>
      <c r="Q329" t="n">
        <v>0</v>
      </c>
      <c r="R329" s="2" t="inlineStr"/>
    </row>
    <row r="330" ht="15" customHeight="1">
      <c r="A330" t="inlineStr">
        <is>
          <t>A 63763-2023</t>
        </is>
      </c>
      <c r="B330" s="1" t="n">
        <v>45278.33944444444</v>
      </c>
      <c r="C330" s="1" t="n">
        <v>46177</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39816-2025</t>
        </is>
      </c>
      <c r="B331" s="1" t="n">
        <v>45891</v>
      </c>
      <c r="C331" s="1" t="n">
        <v>46177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40103-2025</t>
        </is>
      </c>
      <c r="B332" s="1" t="n">
        <v>45894.4880324074</v>
      </c>
      <c r="C332" s="1" t="n">
        <v>46177</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40373-2025</t>
        </is>
      </c>
      <c r="B333" s="1" t="n">
        <v>45895.51821759259</v>
      </c>
      <c r="C333" s="1" t="n">
        <v>46177</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40499-2025</t>
        </is>
      </c>
      <c r="B334" s="1" t="n">
        <v>45896.32517361111</v>
      </c>
      <c r="C334" s="1" t="n">
        <v>46177</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40372-2025</t>
        </is>
      </c>
      <c r="B335" s="1" t="n">
        <v>45895.5162037037</v>
      </c>
      <c r="C335" s="1" t="n">
        <v>46177</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20225-2025</t>
        </is>
      </c>
      <c r="B336" s="1" t="n">
        <v>45772.65802083333</v>
      </c>
      <c r="C336" s="1" t="n">
        <v>46177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883-2025</t>
        </is>
      </c>
      <c r="B337" s="1" t="n">
        <v>45665</v>
      </c>
      <c r="C337" s="1" t="n">
        <v>46177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63229-2021</t>
        </is>
      </c>
      <c r="B338" s="1" t="n">
        <v>44508.34518518519</v>
      </c>
      <c r="C338" s="1" t="n">
        <v>46177</v>
      </c>
      <c r="D338" t="inlineStr">
        <is>
          <t>GOTLANDS LÄN</t>
        </is>
      </c>
      <c r="E338" t="inlineStr">
        <is>
          <t>GOTLAND</t>
        </is>
      </c>
      <c r="F338" t="inlineStr">
        <is>
          <t>Kyrkan</t>
        </is>
      </c>
      <c r="G338" t="n">
        <v>3.8</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46177</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39278-2025</t>
        </is>
      </c>
      <c r="B340" s="1" t="n">
        <v>45889</v>
      </c>
      <c r="C340" s="1" t="n">
        <v>46177</v>
      </c>
      <c r="D340" t="inlineStr">
        <is>
          <t>GOTLANDS LÄN</t>
        </is>
      </c>
      <c r="E340" t="inlineStr">
        <is>
          <t>GOTLAND</t>
        </is>
      </c>
      <c r="G340" t="n">
        <v>3.7</v>
      </c>
      <c r="H340" t="n">
        <v>0</v>
      </c>
      <c r="I340" t="n">
        <v>0</v>
      </c>
      <c r="J340" t="n">
        <v>0</v>
      </c>
      <c r="K340" t="n">
        <v>0</v>
      </c>
      <c r="L340" t="n">
        <v>0</v>
      </c>
      <c r="M340" t="n">
        <v>0</v>
      </c>
      <c r="N340" t="n">
        <v>0</v>
      </c>
      <c r="O340" t="n">
        <v>0</v>
      </c>
      <c r="P340" t="n">
        <v>0</v>
      </c>
      <c r="Q340" t="n">
        <v>0</v>
      </c>
      <c r="R340" s="2" t="inlineStr"/>
    </row>
    <row r="341" ht="15" customHeight="1">
      <c r="A341" t="inlineStr">
        <is>
          <t>A 1066-2024</t>
        </is>
      </c>
      <c r="B341" s="1" t="n">
        <v>45302.285</v>
      </c>
      <c r="C341" s="1" t="n">
        <v>46177</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17144-2025</t>
        </is>
      </c>
      <c r="B342" s="1" t="n">
        <v>45755.9499537037</v>
      </c>
      <c r="C342" s="1" t="n">
        <v>46177</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41435-2025</t>
        </is>
      </c>
      <c r="B343" s="1" t="n">
        <v>45901.39974537037</v>
      </c>
      <c r="C343" s="1" t="n">
        <v>46177</v>
      </c>
      <c r="D343" t="inlineStr">
        <is>
          <t>GOTLANDS LÄN</t>
        </is>
      </c>
      <c r="E343" t="inlineStr">
        <is>
          <t>GOTLAND</t>
        </is>
      </c>
      <c r="G343" t="n">
        <v>4.9</v>
      </c>
      <c r="H343" t="n">
        <v>0</v>
      </c>
      <c r="I343" t="n">
        <v>0</v>
      </c>
      <c r="J343" t="n">
        <v>0</v>
      </c>
      <c r="K343" t="n">
        <v>0</v>
      </c>
      <c r="L343" t="n">
        <v>0</v>
      </c>
      <c r="M343" t="n">
        <v>0</v>
      </c>
      <c r="N343" t="n">
        <v>0</v>
      </c>
      <c r="O343" t="n">
        <v>0</v>
      </c>
      <c r="P343" t="n">
        <v>0</v>
      </c>
      <c r="Q343" t="n">
        <v>0</v>
      </c>
      <c r="R343" s="2" t="inlineStr"/>
    </row>
    <row r="344" ht="15" customHeight="1">
      <c r="A344" t="inlineStr">
        <is>
          <t>A 57356-2023</t>
        </is>
      </c>
      <c r="B344" s="1" t="n">
        <v>45240</v>
      </c>
      <c r="C344" s="1" t="n">
        <v>46177</v>
      </c>
      <c r="D344" t="inlineStr">
        <is>
          <t>GOTLANDS LÄN</t>
        </is>
      </c>
      <c r="E344" t="inlineStr">
        <is>
          <t>GOTLAND</t>
        </is>
      </c>
      <c r="G344" t="n">
        <v>6.4</v>
      </c>
      <c r="H344" t="n">
        <v>0</v>
      </c>
      <c r="I344" t="n">
        <v>0</v>
      </c>
      <c r="J344" t="n">
        <v>0</v>
      </c>
      <c r="K344" t="n">
        <v>0</v>
      </c>
      <c r="L344" t="n">
        <v>0</v>
      </c>
      <c r="M344" t="n">
        <v>0</v>
      </c>
      <c r="N344" t="n">
        <v>0</v>
      </c>
      <c r="O344" t="n">
        <v>0</v>
      </c>
      <c r="P344" t="n">
        <v>0</v>
      </c>
      <c r="Q344" t="n">
        <v>0</v>
      </c>
      <c r="R344" s="2" t="inlineStr"/>
    </row>
    <row r="345" ht="15" customHeight="1">
      <c r="A345" t="inlineStr">
        <is>
          <t>A 10656-2024</t>
        </is>
      </c>
      <c r="B345" s="1" t="n">
        <v>45368</v>
      </c>
      <c r="C345" s="1" t="n">
        <v>46177</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28506-2023</t>
        </is>
      </c>
      <c r="B346" s="1" t="n">
        <v>45103</v>
      </c>
      <c r="C346" s="1" t="n">
        <v>46177</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21420-2024</t>
        </is>
      </c>
      <c r="B347" s="1" t="n">
        <v>45441.38293981482</v>
      </c>
      <c r="C347" s="1" t="n">
        <v>46177</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23188-2025</t>
        </is>
      </c>
      <c r="B348" s="1" t="n">
        <v>45791</v>
      </c>
      <c r="C348" s="1" t="n">
        <v>46177</v>
      </c>
      <c r="D348" t="inlineStr">
        <is>
          <t>GOTLANDS LÄN</t>
        </is>
      </c>
      <c r="E348" t="inlineStr">
        <is>
          <t>GOTLAND</t>
        </is>
      </c>
      <c r="G348" t="n">
        <v>6.2</v>
      </c>
      <c r="H348" t="n">
        <v>0</v>
      </c>
      <c r="I348" t="n">
        <v>0</v>
      </c>
      <c r="J348" t="n">
        <v>0</v>
      </c>
      <c r="K348" t="n">
        <v>0</v>
      </c>
      <c r="L348" t="n">
        <v>0</v>
      </c>
      <c r="M348" t="n">
        <v>0</v>
      </c>
      <c r="N348" t="n">
        <v>0</v>
      </c>
      <c r="O348" t="n">
        <v>0</v>
      </c>
      <c r="P348" t="n">
        <v>0</v>
      </c>
      <c r="Q348" t="n">
        <v>0</v>
      </c>
      <c r="R348" s="2" t="inlineStr"/>
    </row>
    <row r="349" ht="15" customHeight="1">
      <c r="A349" t="inlineStr">
        <is>
          <t>A 23473-2025</t>
        </is>
      </c>
      <c r="B349" s="1" t="n">
        <v>45792</v>
      </c>
      <c r="C349" s="1" t="n">
        <v>46177</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1734-2025</t>
        </is>
      </c>
      <c r="B350" s="1" t="n">
        <v>45671.3840625</v>
      </c>
      <c r="C350" s="1" t="n">
        <v>46177</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41551-2025</t>
        </is>
      </c>
      <c r="B351" s="1" t="n">
        <v>45901.58854166666</v>
      </c>
      <c r="C351" s="1" t="n">
        <v>46177</v>
      </c>
      <c r="D351" t="inlineStr">
        <is>
          <t>GOTLANDS LÄN</t>
        </is>
      </c>
      <c r="E351" t="inlineStr">
        <is>
          <t>GOTLAND</t>
        </is>
      </c>
      <c r="G351" t="n">
        <v>5.6</v>
      </c>
      <c r="H351" t="n">
        <v>0</v>
      </c>
      <c r="I351" t="n">
        <v>0</v>
      </c>
      <c r="J351" t="n">
        <v>0</v>
      </c>
      <c r="K351" t="n">
        <v>0</v>
      </c>
      <c r="L351" t="n">
        <v>0</v>
      </c>
      <c r="M351" t="n">
        <v>0</v>
      </c>
      <c r="N351" t="n">
        <v>0</v>
      </c>
      <c r="O351" t="n">
        <v>0</v>
      </c>
      <c r="P351" t="n">
        <v>0</v>
      </c>
      <c r="Q351" t="n">
        <v>0</v>
      </c>
      <c r="R351" s="2" t="inlineStr"/>
    </row>
    <row r="352" ht="15" customHeight="1">
      <c r="A352" t="inlineStr">
        <is>
          <t>A 20993-2023</t>
        </is>
      </c>
      <c r="B352" s="1" t="n">
        <v>45056</v>
      </c>
      <c r="C352" s="1" t="n">
        <v>46177</v>
      </c>
      <c r="D352" t="inlineStr">
        <is>
          <t>GOTLANDS LÄN</t>
        </is>
      </c>
      <c r="E352" t="inlineStr">
        <is>
          <t>GOTLAND</t>
        </is>
      </c>
      <c r="G352" t="n">
        <v>7.1</v>
      </c>
      <c r="H352" t="n">
        <v>0</v>
      </c>
      <c r="I352" t="n">
        <v>0</v>
      </c>
      <c r="J352" t="n">
        <v>0</v>
      </c>
      <c r="K352" t="n">
        <v>0</v>
      </c>
      <c r="L352" t="n">
        <v>0</v>
      </c>
      <c r="M352" t="n">
        <v>0</v>
      </c>
      <c r="N352" t="n">
        <v>0</v>
      </c>
      <c r="O352" t="n">
        <v>0</v>
      </c>
      <c r="P352" t="n">
        <v>0</v>
      </c>
      <c r="Q352" t="n">
        <v>0</v>
      </c>
      <c r="R352" s="2" t="inlineStr"/>
    </row>
    <row r="353" ht="15" customHeight="1">
      <c r="A353" t="inlineStr">
        <is>
          <t>A 23856-2025</t>
        </is>
      </c>
      <c r="B353" s="1" t="n">
        <v>45793</v>
      </c>
      <c r="C353" s="1" t="n">
        <v>46177</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15073-2025</t>
        </is>
      </c>
      <c r="B354" s="1" t="n">
        <v>45743</v>
      </c>
      <c r="C354" s="1" t="n">
        <v>46177</v>
      </c>
      <c r="D354" t="inlineStr">
        <is>
          <t>GOTLANDS LÄN</t>
        </is>
      </c>
      <c r="E354" t="inlineStr">
        <is>
          <t>GOTLAND</t>
        </is>
      </c>
      <c r="G354" t="n">
        <v>12.1</v>
      </c>
      <c r="H354" t="n">
        <v>0</v>
      </c>
      <c r="I354" t="n">
        <v>0</v>
      </c>
      <c r="J354" t="n">
        <v>0</v>
      </c>
      <c r="K354" t="n">
        <v>0</v>
      </c>
      <c r="L354" t="n">
        <v>0</v>
      </c>
      <c r="M354" t="n">
        <v>0</v>
      </c>
      <c r="N354" t="n">
        <v>0</v>
      </c>
      <c r="O354" t="n">
        <v>0</v>
      </c>
      <c r="P354" t="n">
        <v>0</v>
      </c>
      <c r="Q354" t="n">
        <v>0</v>
      </c>
      <c r="R354" s="2" t="inlineStr"/>
    </row>
    <row r="355" ht="15" customHeight="1">
      <c r="A355" t="inlineStr">
        <is>
          <t>A 6749-2025</t>
        </is>
      </c>
      <c r="B355" s="1" t="n">
        <v>45700</v>
      </c>
      <c r="C355" s="1" t="n">
        <v>46177</v>
      </c>
      <c r="D355" t="inlineStr">
        <is>
          <t>GOTLANDS LÄN</t>
        </is>
      </c>
      <c r="E355" t="inlineStr">
        <is>
          <t>GOTLAND</t>
        </is>
      </c>
      <c r="G355" t="n">
        <v>4.5</v>
      </c>
      <c r="H355" t="n">
        <v>0</v>
      </c>
      <c r="I355" t="n">
        <v>0</v>
      </c>
      <c r="J355" t="n">
        <v>0</v>
      </c>
      <c r="K355" t="n">
        <v>0</v>
      </c>
      <c r="L355" t="n">
        <v>0</v>
      </c>
      <c r="M355" t="n">
        <v>0</v>
      </c>
      <c r="N355" t="n">
        <v>0</v>
      </c>
      <c r="O355" t="n">
        <v>0</v>
      </c>
      <c r="P355" t="n">
        <v>0</v>
      </c>
      <c r="Q355" t="n">
        <v>0</v>
      </c>
      <c r="R355" s="2" t="inlineStr"/>
    </row>
    <row r="356" ht="15" customHeight="1">
      <c r="A356" t="inlineStr">
        <is>
          <t>A 56009-2024</t>
        </is>
      </c>
      <c r="B356" s="1" t="n">
        <v>45623.80864583333</v>
      </c>
      <c r="C356" s="1" t="n">
        <v>46177</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42338-2023</t>
        </is>
      </c>
      <c r="B357" s="1" t="n">
        <v>45180</v>
      </c>
      <c r="C357" s="1" t="n">
        <v>46177</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46177</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46177</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2125-2025</t>
        </is>
      </c>
      <c r="B360" s="1" t="n">
        <v>45672.64940972222</v>
      </c>
      <c r="C360" s="1" t="n">
        <v>46177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12155-2023</t>
        </is>
      </c>
      <c r="B361" s="1" t="n">
        <v>44998.49106481481</v>
      </c>
      <c r="C361" s="1" t="n">
        <v>46177</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457-2023</t>
        </is>
      </c>
      <c r="B362" s="1" t="n">
        <v>44929.87238425926</v>
      </c>
      <c r="C362" s="1" t="n">
        <v>46177</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459-2023</t>
        </is>
      </c>
      <c r="B363" s="1" t="n">
        <v>44929.87423611111</v>
      </c>
      <c r="C363" s="1" t="n">
        <v>46177</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38234-2023</t>
        </is>
      </c>
      <c r="B364" s="1" t="n">
        <v>45161.56663194444</v>
      </c>
      <c r="C364" s="1" t="n">
        <v>46177</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42608-2025</t>
        </is>
      </c>
      <c r="B365" s="1" t="n">
        <v>45905</v>
      </c>
      <c r="C365" s="1" t="n">
        <v>46177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50744-2024</t>
        </is>
      </c>
      <c r="B366" s="1" t="n">
        <v>45602.4187037037</v>
      </c>
      <c r="C366" s="1" t="n">
        <v>46177</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16373-2025</t>
        </is>
      </c>
      <c r="B367" s="1" t="n">
        <v>45751</v>
      </c>
      <c r="C367" s="1" t="n">
        <v>46177</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53934-2024</t>
        </is>
      </c>
      <c r="B368" s="1" t="n">
        <v>45615</v>
      </c>
      <c r="C368" s="1" t="n">
        <v>46177</v>
      </c>
      <c r="D368" t="inlineStr">
        <is>
          <t>GOTLANDS LÄN</t>
        </is>
      </c>
      <c r="E368" t="inlineStr">
        <is>
          <t>GOTLAND</t>
        </is>
      </c>
      <c r="G368" t="n">
        <v>5</v>
      </c>
      <c r="H368" t="n">
        <v>0</v>
      </c>
      <c r="I368" t="n">
        <v>0</v>
      </c>
      <c r="J368" t="n">
        <v>0</v>
      </c>
      <c r="K368" t="n">
        <v>0</v>
      </c>
      <c r="L368" t="n">
        <v>0</v>
      </c>
      <c r="M368" t="n">
        <v>0</v>
      </c>
      <c r="N368" t="n">
        <v>0</v>
      </c>
      <c r="O368" t="n">
        <v>0</v>
      </c>
      <c r="P368" t="n">
        <v>0</v>
      </c>
      <c r="Q368" t="n">
        <v>0</v>
      </c>
      <c r="R368" s="2" t="inlineStr"/>
    </row>
    <row r="369" ht="15" customHeight="1">
      <c r="A369" t="inlineStr">
        <is>
          <t>A 581-2023</t>
        </is>
      </c>
      <c r="B369" s="1" t="n">
        <v>44930</v>
      </c>
      <c r="C369" s="1" t="n">
        <v>46177</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10158-2025</t>
        </is>
      </c>
      <c r="B370" s="1" t="n">
        <v>45719</v>
      </c>
      <c r="C370" s="1" t="n">
        <v>46177</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61386-2023</t>
        </is>
      </c>
      <c r="B371" s="1" t="n">
        <v>45264</v>
      </c>
      <c r="C371" s="1" t="n">
        <v>46177</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873-2024</t>
        </is>
      </c>
      <c r="B372" s="1" t="n">
        <v>45301</v>
      </c>
      <c r="C372" s="1" t="n">
        <v>46177</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43911-2025</t>
        </is>
      </c>
      <c r="B373" s="1" t="n">
        <v>45914.3881712963</v>
      </c>
      <c r="C373" s="1" t="n">
        <v>46177</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44410-2025</t>
        </is>
      </c>
      <c r="B374" s="1" t="n">
        <v>45916.53699074074</v>
      </c>
      <c r="C374" s="1" t="n">
        <v>46177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49411-2023</t>
        </is>
      </c>
      <c r="B375" s="1" t="n">
        <v>45205</v>
      </c>
      <c r="C375" s="1" t="n">
        <v>46177</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1446-2025</t>
        </is>
      </c>
      <c r="B376" s="1" t="n">
        <v>45669.86035879629</v>
      </c>
      <c r="C376" s="1" t="n">
        <v>46177</v>
      </c>
      <c r="D376" t="inlineStr">
        <is>
          <t>GOTLANDS LÄN</t>
        </is>
      </c>
      <c r="E376" t="inlineStr">
        <is>
          <t>GOTLAND</t>
        </is>
      </c>
      <c r="G376" t="n">
        <v>3.1</v>
      </c>
      <c r="H376" t="n">
        <v>0</v>
      </c>
      <c r="I376" t="n">
        <v>0</v>
      </c>
      <c r="J376" t="n">
        <v>0</v>
      </c>
      <c r="K376" t="n">
        <v>0</v>
      </c>
      <c r="L376" t="n">
        <v>0</v>
      </c>
      <c r="M376" t="n">
        <v>0</v>
      </c>
      <c r="N376" t="n">
        <v>0</v>
      </c>
      <c r="O376" t="n">
        <v>0</v>
      </c>
      <c r="P376" t="n">
        <v>0</v>
      </c>
      <c r="Q376" t="n">
        <v>0</v>
      </c>
      <c r="R376" s="2" t="inlineStr"/>
    </row>
    <row r="377" ht="15" customHeight="1">
      <c r="A377" t="inlineStr">
        <is>
          <t>A 43951-2025</t>
        </is>
      </c>
      <c r="B377" s="1" t="n">
        <v>45915.38119212963</v>
      </c>
      <c r="C377" s="1" t="n">
        <v>46177</v>
      </c>
      <c r="D377" t="inlineStr">
        <is>
          <t>GOTLANDS LÄN</t>
        </is>
      </c>
      <c r="E377" t="inlineStr">
        <is>
          <t>GOTLAND</t>
        </is>
      </c>
      <c r="G377" t="n">
        <v>4.4</v>
      </c>
      <c r="H377" t="n">
        <v>0</v>
      </c>
      <c r="I377" t="n">
        <v>0</v>
      </c>
      <c r="J377" t="n">
        <v>0</v>
      </c>
      <c r="K377" t="n">
        <v>0</v>
      </c>
      <c r="L377" t="n">
        <v>0</v>
      </c>
      <c r="M377" t="n">
        <v>0</v>
      </c>
      <c r="N377" t="n">
        <v>0</v>
      </c>
      <c r="O377" t="n">
        <v>0</v>
      </c>
      <c r="P377" t="n">
        <v>0</v>
      </c>
      <c r="Q377" t="n">
        <v>0</v>
      </c>
      <c r="R377" s="2" t="inlineStr"/>
    </row>
    <row r="378" ht="15" customHeight="1">
      <c r="A378" t="inlineStr">
        <is>
          <t>A 22275-2023</t>
        </is>
      </c>
      <c r="B378" s="1" t="n">
        <v>45070.39875</v>
      </c>
      <c r="C378" s="1" t="n">
        <v>46177</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12322-2025</t>
        </is>
      </c>
      <c r="B379" s="1" t="n">
        <v>45730</v>
      </c>
      <c r="C379" s="1" t="n">
        <v>46177</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44405-2025</t>
        </is>
      </c>
      <c r="B380" s="1" t="n">
        <v>45916.52405092592</v>
      </c>
      <c r="C380" s="1" t="n">
        <v>46177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14797-2024</t>
        </is>
      </c>
      <c r="B381" s="1" t="n">
        <v>45397.87030092593</v>
      </c>
      <c r="C381" s="1" t="n">
        <v>46177</v>
      </c>
      <c r="D381" t="inlineStr">
        <is>
          <t>GOTLANDS LÄN</t>
        </is>
      </c>
      <c r="E381" t="inlineStr">
        <is>
          <t>GOTLAND</t>
        </is>
      </c>
      <c r="G381" t="n">
        <v>8.1</v>
      </c>
      <c r="H381" t="n">
        <v>0</v>
      </c>
      <c r="I381" t="n">
        <v>0</v>
      </c>
      <c r="J381" t="n">
        <v>0</v>
      </c>
      <c r="K381" t="n">
        <v>0</v>
      </c>
      <c r="L381" t="n">
        <v>0</v>
      </c>
      <c r="M381" t="n">
        <v>0</v>
      </c>
      <c r="N381" t="n">
        <v>0</v>
      </c>
      <c r="O381" t="n">
        <v>0</v>
      </c>
      <c r="P381" t="n">
        <v>0</v>
      </c>
      <c r="Q381" t="n">
        <v>0</v>
      </c>
      <c r="R381" s="2" t="inlineStr"/>
    </row>
    <row r="382" ht="15" customHeight="1">
      <c r="A382" t="inlineStr">
        <is>
          <t>A 999-2024</t>
        </is>
      </c>
      <c r="B382" s="1" t="n">
        <v>45301</v>
      </c>
      <c r="C382" s="1" t="n">
        <v>46177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31264-2021</t>
        </is>
      </c>
      <c r="B383" s="1" t="n">
        <v>44368</v>
      </c>
      <c r="C383" s="1" t="n">
        <v>46177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61596-2023</t>
        </is>
      </c>
      <c r="B384" s="1" t="n">
        <v>45265</v>
      </c>
      <c r="C384" s="1" t="n">
        <v>46177</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46177</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14638-2025</t>
        </is>
      </c>
      <c r="B386" s="1" t="n">
        <v>45742</v>
      </c>
      <c r="C386" s="1" t="n">
        <v>46177</v>
      </c>
      <c r="D386" t="inlineStr">
        <is>
          <t>GOTLANDS LÄN</t>
        </is>
      </c>
      <c r="E386" t="inlineStr">
        <is>
          <t>GOTLAND</t>
        </is>
      </c>
      <c r="G386" t="n">
        <v>13.4</v>
      </c>
      <c r="H386" t="n">
        <v>0</v>
      </c>
      <c r="I386" t="n">
        <v>0</v>
      </c>
      <c r="J386" t="n">
        <v>0</v>
      </c>
      <c r="K386" t="n">
        <v>0</v>
      </c>
      <c r="L386" t="n">
        <v>0</v>
      </c>
      <c r="M386" t="n">
        <v>0</v>
      </c>
      <c r="N386" t="n">
        <v>0</v>
      </c>
      <c r="O386" t="n">
        <v>0</v>
      </c>
      <c r="P386" t="n">
        <v>0</v>
      </c>
      <c r="Q386" t="n">
        <v>0</v>
      </c>
      <c r="R386" s="2" t="inlineStr"/>
    </row>
    <row r="387" ht="15" customHeight="1">
      <c r="A387" t="inlineStr">
        <is>
          <t>A 5462-2025</t>
        </is>
      </c>
      <c r="B387" s="1" t="n">
        <v>45693.29331018519</v>
      </c>
      <c r="C387" s="1" t="n">
        <v>46177</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10746-2025</t>
        </is>
      </c>
      <c r="B388" s="1" t="n">
        <v>45722.42766203704</v>
      </c>
      <c r="C388" s="1" t="n">
        <v>46177</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46177</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60675-2021</t>
        </is>
      </c>
      <c r="B390" s="1" t="n">
        <v>44496.64855324074</v>
      </c>
      <c r="C390" s="1" t="n">
        <v>46177</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37728-2024</t>
        </is>
      </c>
      <c r="B391" s="1" t="n">
        <v>45541</v>
      </c>
      <c r="C391" s="1" t="n">
        <v>46177</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27930-2021</t>
        </is>
      </c>
      <c r="B392" s="1" t="n">
        <v>44354</v>
      </c>
      <c r="C392" s="1" t="n">
        <v>46177</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61962-2024</t>
        </is>
      </c>
      <c r="B393" s="1" t="n">
        <v>45653.54340277778</v>
      </c>
      <c r="C393" s="1" t="n">
        <v>46177</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22287-2022</t>
        </is>
      </c>
      <c r="B394" s="1" t="n">
        <v>44712</v>
      </c>
      <c r="C394" s="1" t="n">
        <v>46177</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10492-2023</t>
        </is>
      </c>
      <c r="B395" s="1" t="n">
        <v>44987</v>
      </c>
      <c r="C395" s="1" t="n">
        <v>46177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25796-2025</t>
        </is>
      </c>
      <c r="B396" s="1" t="n">
        <v>45804.39543981481</v>
      </c>
      <c r="C396" s="1" t="n">
        <v>46177</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54074-2022</t>
        </is>
      </c>
      <c r="B397" s="1" t="n">
        <v>44881</v>
      </c>
      <c r="C397" s="1" t="n">
        <v>46177</v>
      </c>
      <c r="D397" t="inlineStr">
        <is>
          <t>GOTLANDS LÄN</t>
        </is>
      </c>
      <c r="E397" t="inlineStr">
        <is>
          <t>GOTLAND</t>
        </is>
      </c>
      <c r="G397" t="n">
        <v>0.9</v>
      </c>
      <c r="H397" t="n">
        <v>0</v>
      </c>
      <c r="I397" t="n">
        <v>0</v>
      </c>
      <c r="J397" t="n">
        <v>0</v>
      </c>
      <c r="K397" t="n">
        <v>0</v>
      </c>
      <c r="L397" t="n">
        <v>0</v>
      </c>
      <c r="M397" t="n">
        <v>0</v>
      </c>
      <c r="N397" t="n">
        <v>0</v>
      </c>
      <c r="O397" t="n">
        <v>0</v>
      </c>
      <c r="P397" t="n">
        <v>0</v>
      </c>
      <c r="Q397" t="n">
        <v>0</v>
      </c>
      <c r="R397" s="2" t="inlineStr"/>
    </row>
    <row r="398" ht="15" customHeight="1">
      <c r="A398" t="inlineStr">
        <is>
          <t>A 5909-2025</t>
        </is>
      </c>
      <c r="B398" s="1" t="n">
        <v>45695.40634259259</v>
      </c>
      <c r="C398" s="1" t="n">
        <v>46177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65249-2023</t>
        </is>
      </c>
      <c r="B399" s="1" t="n">
        <v>45290</v>
      </c>
      <c r="C399" s="1" t="n">
        <v>46177</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26457-2025</t>
        </is>
      </c>
      <c r="B400" s="1" t="n">
        <v>45807.42773148148</v>
      </c>
      <c r="C400" s="1" t="n">
        <v>46177</v>
      </c>
      <c r="D400" t="inlineStr">
        <is>
          <t>GOTLANDS LÄN</t>
        </is>
      </c>
      <c r="E400" t="inlineStr">
        <is>
          <t>GOTLAND</t>
        </is>
      </c>
      <c r="G400" t="n">
        <v>5.7</v>
      </c>
      <c r="H400" t="n">
        <v>0</v>
      </c>
      <c r="I400" t="n">
        <v>0</v>
      </c>
      <c r="J400" t="n">
        <v>0</v>
      </c>
      <c r="K400" t="n">
        <v>0</v>
      </c>
      <c r="L400" t="n">
        <v>0</v>
      </c>
      <c r="M400" t="n">
        <v>0</v>
      </c>
      <c r="N400" t="n">
        <v>0</v>
      </c>
      <c r="O400" t="n">
        <v>0</v>
      </c>
      <c r="P400" t="n">
        <v>0</v>
      </c>
      <c r="Q400" t="n">
        <v>0</v>
      </c>
      <c r="R400" s="2" t="inlineStr"/>
    </row>
    <row r="401" ht="15" customHeight="1">
      <c r="A401" t="inlineStr">
        <is>
          <t>A 26467-2025</t>
        </is>
      </c>
      <c r="B401" s="1" t="n">
        <v>45807.44640046296</v>
      </c>
      <c r="C401" s="1" t="n">
        <v>46177</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26465-2025</t>
        </is>
      </c>
      <c r="B402" s="1" t="n">
        <v>45807.44377314814</v>
      </c>
      <c r="C402" s="1" t="n">
        <v>46177</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10653-2023</t>
        </is>
      </c>
      <c r="B403" s="1" t="n">
        <v>44988.48859953704</v>
      </c>
      <c r="C403" s="1" t="n">
        <v>46177</v>
      </c>
      <c r="D403" t="inlineStr">
        <is>
          <t>GOTLANDS LÄN</t>
        </is>
      </c>
      <c r="E403" t="inlineStr">
        <is>
          <t>GOTLAND</t>
        </is>
      </c>
      <c r="F403" t="inlineStr">
        <is>
          <t>Kyrkan</t>
        </is>
      </c>
      <c r="G403" t="n">
        <v>3</v>
      </c>
      <c r="H403" t="n">
        <v>0</v>
      </c>
      <c r="I403" t="n">
        <v>0</v>
      </c>
      <c r="J403" t="n">
        <v>0</v>
      </c>
      <c r="K403" t="n">
        <v>0</v>
      </c>
      <c r="L403" t="n">
        <v>0</v>
      </c>
      <c r="M403" t="n">
        <v>0</v>
      </c>
      <c r="N403" t="n">
        <v>0</v>
      </c>
      <c r="O403" t="n">
        <v>0</v>
      </c>
      <c r="P403" t="n">
        <v>0</v>
      </c>
      <c r="Q403" t="n">
        <v>0</v>
      </c>
      <c r="R403" s="2" t="inlineStr"/>
    </row>
    <row r="404" ht="15" customHeight="1">
      <c r="A404" t="inlineStr">
        <is>
          <t>A 26660-2025</t>
        </is>
      </c>
      <c r="B404" s="1" t="n">
        <v>45810.39737268518</v>
      </c>
      <c r="C404" s="1" t="n">
        <v>46177</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26391-2025</t>
        </is>
      </c>
      <c r="B405" s="1" t="n">
        <v>45806</v>
      </c>
      <c r="C405" s="1" t="n">
        <v>46177</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27371-2025</t>
        </is>
      </c>
      <c r="B406" s="1" t="n">
        <v>45812</v>
      </c>
      <c r="C406" s="1" t="n">
        <v>46177</v>
      </c>
      <c r="D406" t="inlineStr">
        <is>
          <t>GOTLANDS LÄN</t>
        </is>
      </c>
      <c r="E406" t="inlineStr">
        <is>
          <t>GOTLAND</t>
        </is>
      </c>
      <c r="G406" t="n">
        <v>8</v>
      </c>
      <c r="H406" t="n">
        <v>0</v>
      </c>
      <c r="I406" t="n">
        <v>0</v>
      </c>
      <c r="J406" t="n">
        <v>0</v>
      </c>
      <c r="K406" t="n">
        <v>0</v>
      </c>
      <c r="L406" t="n">
        <v>0</v>
      </c>
      <c r="M406" t="n">
        <v>0</v>
      </c>
      <c r="N406" t="n">
        <v>0</v>
      </c>
      <c r="O406" t="n">
        <v>0</v>
      </c>
      <c r="P406" t="n">
        <v>0</v>
      </c>
      <c r="Q406" t="n">
        <v>0</v>
      </c>
      <c r="R406" s="2" t="inlineStr"/>
    </row>
    <row r="407" ht="15" customHeight="1">
      <c r="A407" t="inlineStr">
        <is>
          <t>A 27355-2025</t>
        </is>
      </c>
      <c r="B407" s="1" t="n">
        <v>45812</v>
      </c>
      <c r="C407" s="1" t="n">
        <v>46177</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7850-2025</t>
        </is>
      </c>
      <c r="B408" s="1" t="n">
        <v>45706</v>
      </c>
      <c r="C408" s="1" t="n">
        <v>46177</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4990-2025</t>
        </is>
      </c>
      <c r="B409" s="1" t="n">
        <v>45691</v>
      </c>
      <c r="C409" s="1" t="n">
        <v>46177</v>
      </c>
      <c r="D409" t="inlineStr">
        <is>
          <t>GOTLANDS LÄN</t>
        </is>
      </c>
      <c r="E409" t="inlineStr">
        <is>
          <t>GOTLAND</t>
        </is>
      </c>
      <c r="G409" t="n">
        <v>7.7</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46177</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46836-2025</t>
        </is>
      </c>
      <c r="B411" s="1" t="n">
        <v>45928.31511574074</v>
      </c>
      <c r="C411" s="1" t="n">
        <v>46177</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13910-2025</t>
        </is>
      </c>
      <c r="B412" s="1" t="n">
        <v>45737</v>
      </c>
      <c r="C412" s="1" t="n">
        <v>46177</v>
      </c>
      <c r="D412" t="inlineStr">
        <is>
          <t>GOTLANDS LÄN</t>
        </is>
      </c>
      <c r="E412" t="inlineStr">
        <is>
          <t>GOTLAND</t>
        </is>
      </c>
      <c r="F412" t="inlineStr">
        <is>
          <t>Kommuner</t>
        </is>
      </c>
      <c r="G412" t="n">
        <v>3.2</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46177</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46177</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46177</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46177</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17780-2022</t>
        </is>
      </c>
      <c r="B417" s="1" t="n">
        <v>44682.82622685185</v>
      </c>
      <c r="C417" s="1" t="n">
        <v>46177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46177</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46177</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59986-2022</t>
        </is>
      </c>
      <c r="B420" s="1" t="n">
        <v>44909</v>
      </c>
      <c r="C420" s="1" t="n">
        <v>46177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47637-2025</t>
        </is>
      </c>
      <c r="B421" s="1" t="n">
        <v>45931.49753472222</v>
      </c>
      <c r="C421" s="1" t="n">
        <v>46177</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17901-2023</t>
        </is>
      </c>
      <c r="B422" s="1" t="n">
        <v>45039</v>
      </c>
      <c r="C422" s="1" t="n">
        <v>46177</v>
      </c>
      <c r="D422" t="inlineStr">
        <is>
          <t>GOTLANDS LÄN</t>
        </is>
      </c>
      <c r="E422" t="inlineStr">
        <is>
          <t>GOTLAND</t>
        </is>
      </c>
      <c r="F422" t="inlineStr">
        <is>
          <t>Kyrkan</t>
        </is>
      </c>
      <c r="G422" t="n">
        <v>0.6</v>
      </c>
      <c r="H422" t="n">
        <v>0</v>
      </c>
      <c r="I422" t="n">
        <v>0</v>
      </c>
      <c r="J422" t="n">
        <v>0</v>
      </c>
      <c r="K422" t="n">
        <v>0</v>
      </c>
      <c r="L422" t="n">
        <v>0</v>
      </c>
      <c r="M422" t="n">
        <v>0</v>
      </c>
      <c r="N422" t="n">
        <v>0</v>
      </c>
      <c r="O422" t="n">
        <v>0</v>
      </c>
      <c r="P422" t="n">
        <v>0</v>
      </c>
      <c r="Q422" t="n">
        <v>0</v>
      </c>
      <c r="R422" s="2" t="inlineStr"/>
    </row>
    <row r="423" ht="15" customHeight="1">
      <c r="A423" t="inlineStr">
        <is>
          <t>A 32378-2025</t>
        </is>
      </c>
      <c r="B423" s="1" t="n">
        <v>45837</v>
      </c>
      <c r="C423" s="1" t="n">
        <v>46177</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52892-2021</t>
        </is>
      </c>
      <c r="B424" s="1" t="n">
        <v>44467.49048611111</v>
      </c>
      <c r="C424" s="1" t="n">
        <v>46177</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11874-2024</t>
        </is>
      </c>
      <c r="B425" s="1" t="n">
        <v>45376.46956018519</v>
      </c>
      <c r="C425" s="1" t="n">
        <v>46177</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35550-2025</t>
        </is>
      </c>
      <c r="B426" s="1" t="n">
        <v>45856.49324074074</v>
      </c>
      <c r="C426" s="1" t="n">
        <v>46177</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42041-2024</t>
        </is>
      </c>
      <c r="B427" s="1" t="n">
        <v>45561</v>
      </c>
      <c r="C427" s="1" t="n">
        <v>46177</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46177</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46396-2023</t>
        </is>
      </c>
      <c r="B429" s="1" t="n">
        <v>45197</v>
      </c>
      <c r="C429" s="1" t="n">
        <v>46177</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47578-2025</t>
        </is>
      </c>
      <c r="B430" s="1" t="n">
        <v>45931</v>
      </c>
      <c r="C430" s="1" t="n">
        <v>46177</v>
      </c>
      <c r="D430" t="inlineStr">
        <is>
          <t>GOTLANDS LÄN</t>
        </is>
      </c>
      <c r="E430" t="inlineStr">
        <is>
          <t>GOTLAND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17724-2024</t>
        </is>
      </c>
      <c r="B431" s="1" t="n">
        <v>45418.55096064815</v>
      </c>
      <c r="C431" s="1" t="n">
        <v>46177</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34312-2024</t>
        </is>
      </c>
      <c r="B432" s="1" t="n">
        <v>45524.69703703704</v>
      </c>
      <c r="C432" s="1" t="n">
        <v>46177</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64555-2023</t>
        </is>
      </c>
      <c r="B433" s="1" t="n">
        <v>45281</v>
      </c>
      <c r="C433" s="1" t="n">
        <v>46177</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64831-2023</t>
        </is>
      </c>
      <c r="B434" s="1" t="n">
        <v>45282.44924768519</v>
      </c>
      <c r="C434" s="1" t="n">
        <v>46177</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49724-2025</t>
        </is>
      </c>
      <c r="B435" s="1" t="n">
        <v>45939.83730324074</v>
      </c>
      <c r="C435" s="1" t="n">
        <v>46177</v>
      </c>
      <c r="D435" t="inlineStr">
        <is>
          <t>GOTLANDS LÄN</t>
        </is>
      </c>
      <c r="E435" t="inlineStr">
        <is>
          <t>GOTLAND</t>
        </is>
      </c>
      <c r="F435" t="inlineStr">
        <is>
          <t>Kyrkan</t>
        </is>
      </c>
      <c r="G435" t="n">
        <v>3.1</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45939.87613425926</v>
      </c>
      <c r="C436" s="1" t="n">
        <v>46177</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46177</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49690-2025</t>
        </is>
      </c>
      <c r="B438" s="1" t="n">
        <v>45939.66730324074</v>
      </c>
      <c r="C438" s="1" t="n">
        <v>46177</v>
      </c>
      <c r="D438" t="inlineStr">
        <is>
          <t>GOTLANDS LÄN</t>
        </is>
      </c>
      <c r="E438" t="inlineStr">
        <is>
          <t>GOTLAND</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46177</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46177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50421-2025</t>
        </is>
      </c>
      <c r="B441" s="1" t="n">
        <v>45944.66049768519</v>
      </c>
      <c r="C441" s="1" t="n">
        <v>46177</v>
      </c>
      <c r="D441" t="inlineStr">
        <is>
          <t>GOTLANDS LÄN</t>
        </is>
      </c>
      <c r="E441" t="inlineStr">
        <is>
          <t>GOTLAND</t>
        </is>
      </c>
      <c r="G441" t="n">
        <v>3.9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46177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7638-2025</t>
        </is>
      </c>
      <c r="B443" s="1" t="n">
        <v>45705.77306712963</v>
      </c>
      <c r="C443" s="1" t="n">
        <v>46177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50431-2025</t>
        </is>
      </c>
      <c r="B444" s="1" t="n">
        <v>45944.68453703704</v>
      </c>
      <c r="C444" s="1" t="n">
        <v>46177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50482-2024</t>
        </is>
      </c>
      <c r="B445" s="1" t="n">
        <v>45601.48114583334</v>
      </c>
      <c r="C445" s="1" t="n">
        <v>46177</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4377-2023</t>
        </is>
      </c>
      <c r="B446" s="1" t="n">
        <v>44955.5502662037</v>
      </c>
      <c r="C446" s="1" t="n">
        <v>46177</v>
      </c>
      <c r="D446" t="inlineStr">
        <is>
          <t>GOTLANDS LÄN</t>
        </is>
      </c>
      <c r="E446" t="inlineStr">
        <is>
          <t>GOTLAND</t>
        </is>
      </c>
      <c r="F446" t="inlineStr">
        <is>
          <t>Kyrkan</t>
        </is>
      </c>
      <c r="G446" t="n">
        <v>0.6</v>
      </c>
      <c r="H446" t="n">
        <v>0</v>
      </c>
      <c r="I446" t="n">
        <v>0</v>
      </c>
      <c r="J446" t="n">
        <v>0</v>
      </c>
      <c r="K446" t="n">
        <v>0</v>
      </c>
      <c r="L446" t="n">
        <v>0</v>
      </c>
      <c r="M446" t="n">
        <v>0</v>
      </c>
      <c r="N446" t="n">
        <v>0</v>
      </c>
      <c r="O446" t="n">
        <v>0</v>
      </c>
      <c r="P446" t="n">
        <v>0</v>
      </c>
      <c r="Q446" t="n">
        <v>0</v>
      </c>
      <c r="R446" s="2" t="inlineStr"/>
    </row>
    <row r="447" ht="15" customHeight="1">
      <c r="A447" t="inlineStr">
        <is>
          <t>A 4387-2023</t>
        </is>
      </c>
      <c r="B447" s="1" t="n">
        <v>44955.73359953704</v>
      </c>
      <c r="C447" s="1" t="n">
        <v>46177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50928-2025</t>
        </is>
      </c>
      <c r="B448" s="1" t="n">
        <v>45946.67896990741</v>
      </c>
      <c r="C448" s="1" t="n">
        <v>46177</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1394-2023</t>
        </is>
      </c>
      <c r="B449" s="1" t="n">
        <v>44936.72997685185</v>
      </c>
      <c r="C449" s="1" t="n">
        <v>46177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39479-2022</t>
        </is>
      </c>
      <c r="B450" s="1" t="n">
        <v>44818</v>
      </c>
      <c r="C450" s="1" t="n">
        <v>46177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51963-2024</t>
        </is>
      </c>
      <c r="B451" s="1" t="n">
        <v>45607.64833333333</v>
      </c>
      <c r="C451" s="1" t="n">
        <v>46177</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58230-2024</t>
        </is>
      </c>
      <c r="B452" s="1" t="n">
        <v>45632.51625</v>
      </c>
      <c r="C452" s="1" t="n">
        <v>46177</v>
      </c>
      <c r="D452" t="inlineStr">
        <is>
          <t>GOTLANDS LÄN</t>
        </is>
      </c>
      <c r="E452" t="inlineStr">
        <is>
          <t>GOTLAND</t>
        </is>
      </c>
      <c r="G452" t="n">
        <v>7.3</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46177</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811-2023</t>
        </is>
      </c>
      <c r="B454" s="1" t="n">
        <v>44931</v>
      </c>
      <c r="C454" s="1" t="n">
        <v>46177</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46177</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25129-2023</t>
        </is>
      </c>
      <c r="B456" s="1" t="n">
        <v>45086.44261574074</v>
      </c>
      <c r="C456" s="1" t="n">
        <v>46177</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24192-2023</t>
        </is>
      </c>
      <c r="B457" s="1" t="n">
        <v>45079</v>
      </c>
      <c r="C457" s="1" t="n">
        <v>46177</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5923-2023</t>
        </is>
      </c>
      <c r="B458" s="1" t="n">
        <v>44963.69503472222</v>
      </c>
      <c r="C458" s="1" t="n">
        <v>46177</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33853-2024</t>
        </is>
      </c>
      <c r="B459" s="1" t="n">
        <v>45520.64298611111</v>
      </c>
      <c r="C459" s="1" t="n">
        <v>46177</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18918-2025</t>
        </is>
      </c>
      <c r="B460" s="1" t="n">
        <v>45764</v>
      </c>
      <c r="C460" s="1" t="n">
        <v>46177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5386-2023</t>
        </is>
      </c>
      <c r="B461" s="1" t="n">
        <v>44959</v>
      </c>
      <c r="C461" s="1" t="n">
        <v>46177</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2674-2023</t>
        </is>
      </c>
      <c r="B462" s="1" t="n">
        <v>44944</v>
      </c>
      <c r="C462" s="1" t="n">
        <v>46177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7026-2023</t>
        </is>
      </c>
      <c r="B463" s="1" t="n">
        <v>44968.30340277778</v>
      </c>
      <c r="C463" s="1" t="n">
        <v>46177</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20855-2023</t>
        </is>
      </c>
      <c r="B464" s="1" t="n">
        <v>45058.82172453704</v>
      </c>
      <c r="C464" s="1" t="n">
        <v>46177</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51262-2025</t>
        </is>
      </c>
      <c r="B465" s="1" t="n">
        <v>45949.49872685185</v>
      </c>
      <c r="C465" s="1" t="n">
        <v>46177</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1000-2024</t>
        </is>
      </c>
      <c r="B466" s="1" t="n">
        <v>45301.63371527778</v>
      </c>
      <c r="C466" s="1" t="n">
        <v>46177</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1010-2024</t>
        </is>
      </c>
      <c r="B467" s="1" t="n">
        <v>45301</v>
      </c>
      <c r="C467" s="1" t="n">
        <v>46177</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10655-2023</t>
        </is>
      </c>
      <c r="B468" s="1" t="n">
        <v>44988.49543981482</v>
      </c>
      <c r="C468" s="1" t="n">
        <v>46177</v>
      </c>
      <c r="D468" t="inlineStr">
        <is>
          <t>GOTLANDS LÄN</t>
        </is>
      </c>
      <c r="E468" t="inlineStr">
        <is>
          <t>GOTLAND</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46177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26891-2024</t>
        </is>
      </c>
      <c r="B470" s="1" t="n">
        <v>45470.65540509259</v>
      </c>
      <c r="C470" s="1" t="n">
        <v>46177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42007-2023</t>
        </is>
      </c>
      <c r="B471" s="1" t="n">
        <v>45177</v>
      </c>
      <c r="C471" s="1" t="n">
        <v>46177</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52249-2025</t>
        </is>
      </c>
      <c r="B472" s="1" t="n">
        <v>45953.48637731482</v>
      </c>
      <c r="C472" s="1" t="n">
        <v>46177</v>
      </c>
      <c r="D472" t="inlineStr">
        <is>
          <t>GOTLANDS LÄN</t>
        </is>
      </c>
      <c r="E472" t="inlineStr">
        <is>
          <t>GOTLAND</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9887-2025</t>
        </is>
      </c>
      <c r="B473" s="1" t="n">
        <v>45716</v>
      </c>
      <c r="C473" s="1" t="n">
        <v>46177</v>
      </c>
      <c r="D473" t="inlineStr">
        <is>
          <t>GOTLANDS LÄN</t>
        </is>
      </c>
      <c r="E473" t="inlineStr">
        <is>
          <t>GOTLAND</t>
        </is>
      </c>
      <c r="G473" t="n">
        <v>7.5</v>
      </c>
      <c r="H473" t="n">
        <v>0</v>
      </c>
      <c r="I473" t="n">
        <v>0</v>
      </c>
      <c r="J473" t="n">
        <v>0</v>
      </c>
      <c r="K473" t="n">
        <v>0</v>
      </c>
      <c r="L473" t="n">
        <v>0</v>
      </c>
      <c r="M473" t="n">
        <v>0</v>
      </c>
      <c r="N473" t="n">
        <v>0</v>
      </c>
      <c r="O473" t="n">
        <v>0</v>
      </c>
      <c r="P473" t="n">
        <v>0</v>
      </c>
      <c r="Q473" t="n">
        <v>0</v>
      </c>
      <c r="R473" s="2" t="inlineStr"/>
    </row>
    <row r="474" ht="15" customHeight="1">
      <c r="A474" t="inlineStr">
        <is>
          <t>A 47762-2023</t>
        </is>
      </c>
      <c r="B474" s="1" t="n">
        <v>45203.86256944444</v>
      </c>
      <c r="C474" s="1" t="n">
        <v>46177</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19905-2025</t>
        </is>
      </c>
      <c r="B475" s="1" t="n">
        <v>45771</v>
      </c>
      <c r="C475" s="1" t="n">
        <v>46177</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38165-2023</t>
        </is>
      </c>
      <c r="B476" s="1" t="n">
        <v>45161</v>
      </c>
      <c r="C476" s="1" t="n">
        <v>46177</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46545-2024</t>
        </is>
      </c>
      <c r="B477" s="1" t="n">
        <v>45582.65831018519</v>
      </c>
      <c r="C477" s="1" t="n">
        <v>46177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27596-2023</t>
        </is>
      </c>
      <c r="B478" s="1" t="n">
        <v>45097</v>
      </c>
      <c r="C478" s="1" t="n">
        <v>46177</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60086-2022</t>
        </is>
      </c>
      <c r="B479" s="1" t="n">
        <v>44909</v>
      </c>
      <c r="C479" s="1" t="n">
        <v>46177</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28480-2023</t>
        </is>
      </c>
      <c r="B480" s="1" t="n">
        <v>45103</v>
      </c>
      <c r="C480" s="1" t="n">
        <v>46177</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28485-2023</t>
        </is>
      </c>
      <c r="B481" s="1" t="n">
        <v>45103.43731481482</v>
      </c>
      <c r="C481" s="1" t="n">
        <v>46177</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52637-2025</t>
        </is>
      </c>
      <c r="B482" s="1" t="n">
        <v>45954.75099537037</v>
      </c>
      <c r="C482" s="1" t="n">
        <v>46177</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24825-2024</t>
        </is>
      </c>
      <c r="B483" s="1" t="n">
        <v>45461</v>
      </c>
      <c r="C483" s="1" t="n">
        <v>46177</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6696-2023</t>
        </is>
      </c>
      <c r="B484" s="1" t="n">
        <v>44966.66425925926</v>
      </c>
      <c r="C484" s="1" t="n">
        <v>46177</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46177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21247-2022</t>
        </is>
      </c>
      <c r="B486" s="1" t="n">
        <v>44705.38832175926</v>
      </c>
      <c r="C486" s="1" t="n">
        <v>46177</v>
      </c>
      <c r="D486" t="inlineStr">
        <is>
          <t>GOTLANDS LÄN</t>
        </is>
      </c>
      <c r="E486" t="inlineStr">
        <is>
          <t>GOTLAND</t>
        </is>
      </c>
      <c r="G486" t="n">
        <v>16.2</v>
      </c>
      <c r="H486" t="n">
        <v>0</v>
      </c>
      <c r="I486" t="n">
        <v>0</v>
      </c>
      <c r="J486" t="n">
        <v>0</v>
      </c>
      <c r="K486" t="n">
        <v>0</v>
      </c>
      <c r="L486" t="n">
        <v>0</v>
      </c>
      <c r="M486" t="n">
        <v>0</v>
      </c>
      <c r="N486" t="n">
        <v>0</v>
      </c>
      <c r="O486" t="n">
        <v>0</v>
      </c>
      <c r="P486" t="n">
        <v>0</v>
      </c>
      <c r="Q486" t="n">
        <v>0</v>
      </c>
      <c r="R486" s="2" t="inlineStr"/>
    </row>
    <row r="487" ht="15" customHeight="1">
      <c r="A487" t="inlineStr">
        <is>
          <t>A 456-2023</t>
        </is>
      </c>
      <c r="B487" s="1" t="n">
        <v>44929.87122685185</v>
      </c>
      <c r="C487" s="1" t="n">
        <v>46177</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44949-2023</t>
        </is>
      </c>
      <c r="B488" s="1" t="n">
        <v>45190.69520833333</v>
      </c>
      <c r="C488" s="1" t="n">
        <v>46177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29196-2025</t>
        </is>
      </c>
      <c r="B489" s="1" t="n">
        <v>45822</v>
      </c>
      <c r="C489" s="1" t="n">
        <v>46177</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2714-2023</t>
        </is>
      </c>
      <c r="B490" s="1" t="n">
        <v>44944.54896990741</v>
      </c>
      <c r="C490" s="1" t="n">
        <v>46177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53569-2025</t>
        </is>
      </c>
      <c r="B491" s="1" t="n">
        <v>45960.41155092593</v>
      </c>
      <c r="C491" s="1" t="n">
        <v>46177</v>
      </c>
      <c r="D491" t="inlineStr">
        <is>
          <t>GOTLANDS LÄN</t>
        </is>
      </c>
      <c r="E491" t="inlineStr">
        <is>
          <t>GOTLAND</t>
        </is>
      </c>
      <c r="F491" t="inlineStr">
        <is>
          <t>Övriga Aktiebolag</t>
        </is>
      </c>
      <c r="G491" t="n">
        <v>11.3</v>
      </c>
      <c r="H491" t="n">
        <v>0</v>
      </c>
      <c r="I491" t="n">
        <v>0</v>
      </c>
      <c r="J491" t="n">
        <v>0</v>
      </c>
      <c r="K491" t="n">
        <v>0</v>
      </c>
      <c r="L491" t="n">
        <v>0</v>
      </c>
      <c r="M491" t="n">
        <v>0</v>
      </c>
      <c r="N491" t="n">
        <v>0</v>
      </c>
      <c r="O491" t="n">
        <v>0</v>
      </c>
      <c r="P491" t="n">
        <v>0</v>
      </c>
      <c r="Q491" t="n">
        <v>0</v>
      </c>
      <c r="R491" s="2" t="inlineStr"/>
    </row>
    <row r="492" ht="15" customHeight="1">
      <c r="A492" t="inlineStr">
        <is>
          <t>A 37222-2021</t>
        </is>
      </c>
      <c r="B492" s="1" t="n">
        <v>44396</v>
      </c>
      <c r="C492" s="1" t="n">
        <v>46177</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4421-2024</t>
        </is>
      </c>
      <c r="B493" s="1" t="n">
        <v>45327.45173611111</v>
      </c>
      <c r="C493" s="1" t="n">
        <v>46177</v>
      </c>
      <c r="D493" t="inlineStr">
        <is>
          <t>GOTLANDS LÄN</t>
        </is>
      </c>
      <c r="E493" t="inlineStr">
        <is>
          <t>GOTLAND</t>
        </is>
      </c>
      <c r="G493" t="n">
        <v>5.1</v>
      </c>
      <c r="H493" t="n">
        <v>0</v>
      </c>
      <c r="I493" t="n">
        <v>0</v>
      </c>
      <c r="J493" t="n">
        <v>0</v>
      </c>
      <c r="K493" t="n">
        <v>0</v>
      </c>
      <c r="L493" t="n">
        <v>0</v>
      </c>
      <c r="M493" t="n">
        <v>0</v>
      </c>
      <c r="N493" t="n">
        <v>0</v>
      </c>
      <c r="O493" t="n">
        <v>0</v>
      </c>
      <c r="P493" t="n">
        <v>0</v>
      </c>
      <c r="Q493" t="n">
        <v>0</v>
      </c>
      <c r="R493" s="2" t="inlineStr"/>
    </row>
    <row r="494" ht="15" customHeight="1">
      <c r="A494" t="inlineStr">
        <is>
          <t>A 53577-2025</t>
        </is>
      </c>
      <c r="B494" s="1" t="n">
        <v>45960.42224537037</v>
      </c>
      <c r="C494" s="1" t="n">
        <v>46177</v>
      </c>
      <c r="D494" t="inlineStr">
        <is>
          <t>GOTLANDS LÄN</t>
        </is>
      </c>
      <c r="E494" t="inlineStr">
        <is>
          <t>GOTLAND</t>
        </is>
      </c>
      <c r="F494" t="inlineStr">
        <is>
          <t>Övriga Aktiebolag</t>
        </is>
      </c>
      <c r="G494" t="n">
        <v>3.3</v>
      </c>
      <c r="H494" t="n">
        <v>0</v>
      </c>
      <c r="I494" t="n">
        <v>0</v>
      </c>
      <c r="J494" t="n">
        <v>0</v>
      </c>
      <c r="K494" t="n">
        <v>0</v>
      </c>
      <c r="L494" t="n">
        <v>0</v>
      </c>
      <c r="M494" t="n">
        <v>0</v>
      </c>
      <c r="N494" t="n">
        <v>0</v>
      </c>
      <c r="O494" t="n">
        <v>0</v>
      </c>
      <c r="P494" t="n">
        <v>0</v>
      </c>
      <c r="Q494" t="n">
        <v>0</v>
      </c>
      <c r="R494" s="2" t="inlineStr"/>
    </row>
    <row r="495" ht="15" customHeight="1">
      <c r="A495" t="inlineStr">
        <is>
          <t>A 51782-2023</t>
        </is>
      </c>
      <c r="B495" s="1" t="n">
        <v>45222.80952546297</v>
      </c>
      <c r="C495" s="1" t="n">
        <v>46177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54268-2022</t>
        </is>
      </c>
      <c r="B496" s="1" t="n">
        <v>44882</v>
      </c>
      <c r="C496" s="1" t="n">
        <v>46177</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57534-2022</t>
        </is>
      </c>
      <c r="B497" s="1" t="n">
        <v>44896</v>
      </c>
      <c r="C497" s="1" t="n">
        <v>46177</v>
      </c>
      <c r="D497" t="inlineStr">
        <is>
          <t>GOTLANDS LÄN</t>
        </is>
      </c>
      <c r="E497" t="inlineStr">
        <is>
          <t>GOTLAND</t>
        </is>
      </c>
      <c r="G497" t="n">
        <v>0.6</v>
      </c>
      <c r="H497" t="n">
        <v>0</v>
      </c>
      <c r="I497" t="n">
        <v>0</v>
      </c>
      <c r="J497" t="n">
        <v>0</v>
      </c>
      <c r="K497" t="n">
        <v>0</v>
      </c>
      <c r="L497" t="n">
        <v>0</v>
      </c>
      <c r="M497" t="n">
        <v>0</v>
      </c>
      <c r="N497" t="n">
        <v>0</v>
      </c>
      <c r="O497" t="n">
        <v>0</v>
      </c>
      <c r="P497" t="n">
        <v>0</v>
      </c>
      <c r="Q497" t="n">
        <v>0</v>
      </c>
      <c r="R497" s="2" t="inlineStr"/>
    </row>
    <row r="498" ht="15" customHeight="1">
      <c r="A498" t="inlineStr">
        <is>
          <t>A 3964-2024</t>
        </is>
      </c>
      <c r="B498" s="1" t="n">
        <v>45322</v>
      </c>
      <c r="C498" s="1" t="n">
        <v>46177</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46177</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45084-2024</t>
        </is>
      </c>
      <c r="B500" s="1" t="n">
        <v>45575</v>
      </c>
      <c r="C500" s="1" t="n">
        <v>46177</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46177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46177</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46177</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46177</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46177</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46177</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46177</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46177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29207-2025</t>
        </is>
      </c>
      <c r="B509" s="1" t="n">
        <v>45823</v>
      </c>
      <c r="C509" s="1" t="n">
        <v>46177</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15083-2025</t>
        </is>
      </c>
      <c r="B510" s="1" t="n">
        <v>45743</v>
      </c>
      <c r="C510" s="1" t="n">
        <v>46177</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13037-2025</t>
        </is>
      </c>
      <c r="B511" s="1" t="n">
        <v>45734</v>
      </c>
      <c r="C511" s="1" t="n">
        <v>46177</v>
      </c>
      <c r="D511" t="inlineStr">
        <is>
          <t>GOTLANDS LÄN</t>
        </is>
      </c>
      <c r="E511" t="inlineStr">
        <is>
          <t>GOTLAND</t>
        </is>
      </c>
      <c r="G511" t="n">
        <v>9.5</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46177</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46177</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44839.51599537037</v>
      </c>
      <c r="C514" s="1" t="n">
        <v>46177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58132-2023</t>
        </is>
      </c>
      <c r="B515" s="1" t="n">
        <v>45250</v>
      </c>
      <c r="C515" s="1" t="n">
        <v>46177</v>
      </c>
      <c r="D515" t="inlineStr">
        <is>
          <t>GOTLANDS LÄN</t>
        </is>
      </c>
      <c r="E515" t="inlineStr">
        <is>
          <t>GOTLAND</t>
        </is>
      </c>
      <c r="G515" t="n">
        <v>3.1</v>
      </c>
      <c r="H515" t="n">
        <v>0</v>
      </c>
      <c r="I515" t="n">
        <v>0</v>
      </c>
      <c r="J515" t="n">
        <v>0</v>
      </c>
      <c r="K515" t="n">
        <v>0</v>
      </c>
      <c r="L515" t="n">
        <v>0</v>
      </c>
      <c r="M515" t="n">
        <v>0</v>
      </c>
      <c r="N515" t="n">
        <v>0</v>
      </c>
      <c r="O515" t="n">
        <v>0</v>
      </c>
      <c r="P515" t="n">
        <v>0</v>
      </c>
      <c r="Q515" t="n">
        <v>0</v>
      </c>
      <c r="R515" s="2" t="inlineStr"/>
    </row>
    <row r="516" ht="15" customHeight="1">
      <c r="A516" t="inlineStr">
        <is>
          <t>A 30061-2025</t>
        </is>
      </c>
      <c r="B516" s="1" t="n">
        <v>45826.61488425926</v>
      </c>
      <c r="C516" s="1" t="n">
        <v>46177</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49884-2023</t>
        </is>
      </c>
      <c r="B517" s="1" t="n">
        <v>45213</v>
      </c>
      <c r="C517" s="1" t="n">
        <v>46177</v>
      </c>
      <c r="D517" t="inlineStr">
        <is>
          <t>GOTLANDS LÄN</t>
        </is>
      </c>
      <c r="E517" t="inlineStr">
        <is>
          <t>GOTLAND</t>
        </is>
      </c>
      <c r="G517" t="n">
        <v>8.9</v>
      </c>
      <c r="H517" t="n">
        <v>0</v>
      </c>
      <c r="I517" t="n">
        <v>0</v>
      </c>
      <c r="J517" t="n">
        <v>0</v>
      </c>
      <c r="K517" t="n">
        <v>0</v>
      </c>
      <c r="L517" t="n">
        <v>0</v>
      </c>
      <c r="M517" t="n">
        <v>0</v>
      </c>
      <c r="N517" t="n">
        <v>0</v>
      </c>
      <c r="O517" t="n">
        <v>0</v>
      </c>
      <c r="P517" t="n">
        <v>0</v>
      </c>
      <c r="Q517" t="n">
        <v>0</v>
      </c>
      <c r="R517" s="2" t="inlineStr"/>
    </row>
    <row r="518" ht="15" customHeight="1">
      <c r="A518" t="inlineStr">
        <is>
          <t>A 58160-2024</t>
        </is>
      </c>
      <c r="B518" s="1" t="n">
        <v>45632.44927083333</v>
      </c>
      <c r="C518" s="1" t="n">
        <v>46177</v>
      </c>
      <c r="D518" t="inlineStr">
        <is>
          <t>GOTLANDS LÄN</t>
        </is>
      </c>
      <c r="E518" t="inlineStr">
        <is>
          <t>GOTLAND</t>
        </is>
      </c>
      <c r="G518" t="n">
        <v>5.6</v>
      </c>
      <c r="H518" t="n">
        <v>0</v>
      </c>
      <c r="I518" t="n">
        <v>0</v>
      </c>
      <c r="J518" t="n">
        <v>0</v>
      </c>
      <c r="K518" t="n">
        <v>0</v>
      </c>
      <c r="L518" t="n">
        <v>0</v>
      </c>
      <c r="M518" t="n">
        <v>0</v>
      </c>
      <c r="N518" t="n">
        <v>0</v>
      </c>
      <c r="O518" t="n">
        <v>0</v>
      </c>
      <c r="P518" t="n">
        <v>0</v>
      </c>
      <c r="Q518" t="n">
        <v>0</v>
      </c>
      <c r="R518" s="2" t="inlineStr"/>
    </row>
    <row r="519" ht="15" customHeight="1">
      <c r="A519" t="inlineStr">
        <is>
          <t>A 876-2024</t>
        </is>
      </c>
      <c r="B519" s="1" t="n">
        <v>45301</v>
      </c>
      <c r="C519" s="1" t="n">
        <v>46177</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56799-2025</t>
        </is>
      </c>
      <c r="B520" s="1" t="n">
        <v>45978.43392361111</v>
      </c>
      <c r="C520" s="1" t="n">
        <v>46177</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56688-2025</t>
        </is>
      </c>
      <c r="B521" s="1" t="n">
        <v>45975.84331018518</v>
      </c>
      <c r="C521" s="1" t="n">
        <v>46177</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22704-2023</t>
        </is>
      </c>
      <c r="B522" s="1" t="n">
        <v>45071</v>
      </c>
      <c r="C522" s="1" t="n">
        <v>46177</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28425-2023</t>
        </is>
      </c>
      <c r="B523" s="1" t="n">
        <v>45102</v>
      </c>
      <c r="C523" s="1" t="n">
        <v>46177</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58476-2022</t>
        </is>
      </c>
      <c r="B524" s="1" t="n">
        <v>44902</v>
      </c>
      <c r="C524" s="1" t="n">
        <v>46177</v>
      </c>
      <c r="D524" t="inlineStr">
        <is>
          <t>GOTLANDS LÄN</t>
        </is>
      </c>
      <c r="E524" t="inlineStr">
        <is>
          <t>GOTLAND</t>
        </is>
      </c>
      <c r="G524" t="n">
        <v>0.9</v>
      </c>
      <c r="H524" t="n">
        <v>0</v>
      </c>
      <c r="I524" t="n">
        <v>0</v>
      </c>
      <c r="J524" t="n">
        <v>0</v>
      </c>
      <c r="K524" t="n">
        <v>0</v>
      </c>
      <c r="L524" t="n">
        <v>0</v>
      </c>
      <c r="M524" t="n">
        <v>0</v>
      </c>
      <c r="N524" t="n">
        <v>0</v>
      </c>
      <c r="O524" t="n">
        <v>0</v>
      </c>
      <c r="P524" t="n">
        <v>0</v>
      </c>
      <c r="Q524" t="n">
        <v>0</v>
      </c>
      <c r="R524" s="2" t="inlineStr"/>
    </row>
    <row r="525" ht="15" customHeight="1">
      <c r="A525" t="inlineStr">
        <is>
          <t>A 43200-2023</t>
        </is>
      </c>
      <c r="B525" s="1" t="n">
        <v>45183</v>
      </c>
      <c r="C525" s="1" t="n">
        <v>46177</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43223-2023</t>
        </is>
      </c>
      <c r="B526" s="1" t="n">
        <v>45183.45642361111</v>
      </c>
      <c r="C526" s="1" t="n">
        <v>46177</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12327-2025</t>
        </is>
      </c>
      <c r="B527" s="1" t="n">
        <v>45730</v>
      </c>
      <c r="C527" s="1" t="n">
        <v>46177</v>
      </c>
      <c r="D527" t="inlineStr">
        <is>
          <t>GOTLANDS LÄN</t>
        </is>
      </c>
      <c r="E527" t="inlineStr">
        <is>
          <t>GOTLAND</t>
        </is>
      </c>
      <c r="G527" t="n">
        <v>1.8</v>
      </c>
      <c r="H527" t="n">
        <v>0</v>
      </c>
      <c r="I527" t="n">
        <v>0</v>
      </c>
      <c r="J527" t="n">
        <v>0</v>
      </c>
      <c r="K527" t="n">
        <v>0</v>
      </c>
      <c r="L527" t="n">
        <v>0</v>
      </c>
      <c r="M527" t="n">
        <v>0</v>
      </c>
      <c r="N527" t="n">
        <v>0</v>
      </c>
      <c r="O527" t="n">
        <v>0</v>
      </c>
      <c r="P527" t="n">
        <v>0</v>
      </c>
      <c r="Q527" t="n">
        <v>0</v>
      </c>
      <c r="R527" s="2" t="inlineStr"/>
    </row>
    <row r="528" ht="15" customHeight="1">
      <c r="A528" t="inlineStr">
        <is>
          <t>A 32379-2025</t>
        </is>
      </c>
      <c r="B528" s="1" t="n">
        <v>45837</v>
      </c>
      <c r="C528" s="1" t="n">
        <v>46177</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3431-2025</t>
        </is>
      </c>
      <c r="B529" s="1" t="n">
        <v>45680.42935185185</v>
      </c>
      <c r="C529" s="1" t="n">
        <v>46177</v>
      </c>
      <c r="D529" t="inlineStr">
        <is>
          <t>GOTLANDS LÄN</t>
        </is>
      </c>
      <c r="E529" t="inlineStr">
        <is>
          <t>GOTLAND</t>
        </is>
      </c>
      <c r="G529" t="n">
        <v>4.8</v>
      </c>
      <c r="H529" t="n">
        <v>0</v>
      </c>
      <c r="I529" t="n">
        <v>0</v>
      </c>
      <c r="J529" t="n">
        <v>0</v>
      </c>
      <c r="K529" t="n">
        <v>0</v>
      </c>
      <c r="L529" t="n">
        <v>0</v>
      </c>
      <c r="M529" t="n">
        <v>0</v>
      </c>
      <c r="N529" t="n">
        <v>0</v>
      </c>
      <c r="O529" t="n">
        <v>0</v>
      </c>
      <c r="P529" t="n">
        <v>0</v>
      </c>
      <c r="Q529" t="n">
        <v>0</v>
      </c>
      <c r="R529" s="2" t="inlineStr"/>
    </row>
    <row r="530" ht="15" customHeight="1">
      <c r="A530" t="inlineStr">
        <is>
          <t>A 32467-2025</t>
        </is>
      </c>
      <c r="B530" s="1" t="n">
        <v>45838.42111111111</v>
      </c>
      <c r="C530" s="1" t="n">
        <v>46177</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16109-2025</t>
        </is>
      </c>
      <c r="B531" s="1" t="n">
        <v>45750</v>
      </c>
      <c r="C531" s="1" t="n">
        <v>46177</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12209-2024</t>
        </is>
      </c>
      <c r="B532" s="1" t="n">
        <v>45378</v>
      </c>
      <c r="C532" s="1" t="n">
        <v>46177</v>
      </c>
      <c r="D532" t="inlineStr">
        <is>
          <t>GOTLANDS LÄN</t>
        </is>
      </c>
      <c r="E532" t="inlineStr">
        <is>
          <t>GOTLAND</t>
        </is>
      </c>
      <c r="G532" t="n">
        <v>5.3</v>
      </c>
      <c r="H532" t="n">
        <v>0</v>
      </c>
      <c r="I532" t="n">
        <v>0</v>
      </c>
      <c r="J532" t="n">
        <v>0</v>
      </c>
      <c r="K532" t="n">
        <v>0</v>
      </c>
      <c r="L532" t="n">
        <v>0</v>
      </c>
      <c r="M532" t="n">
        <v>0</v>
      </c>
      <c r="N532" t="n">
        <v>0</v>
      </c>
      <c r="O532" t="n">
        <v>0</v>
      </c>
      <c r="P532" t="n">
        <v>0</v>
      </c>
      <c r="Q532" t="n">
        <v>0</v>
      </c>
      <c r="R532" s="2" t="inlineStr"/>
    </row>
    <row r="533" ht="15" customHeight="1">
      <c r="A533" t="inlineStr">
        <is>
          <t>A 12210-2024</t>
        </is>
      </c>
      <c r="B533" s="1" t="n">
        <v>45378</v>
      </c>
      <c r="C533" s="1" t="n">
        <v>46177</v>
      </c>
      <c r="D533" t="inlineStr">
        <is>
          <t>GOTLANDS LÄN</t>
        </is>
      </c>
      <c r="E533" t="inlineStr">
        <is>
          <t>GOTLAND</t>
        </is>
      </c>
      <c r="G533" t="n">
        <v>4.1</v>
      </c>
      <c r="H533" t="n">
        <v>0</v>
      </c>
      <c r="I533" t="n">
        <v>0</v>
      </c>
      <c r="J533" t="n">
        <v>0</v>
      </c>
      <c r="K533" t="n">
        <v>0</v>
      </c>
      <c r="L533" t="n">
        <v>0</v>
      </c>
      <c r="M533" t="n">
        <v>0</v>
      </c>
      <c r="N533" t="n">
        <v>0</v>
      </c>
      <c r="O533" t="n">
        <v>0</v>
      </c>
      <c r="P533" t="n">
        <v>0</v>
      </c>
      <c r="Q533" t="n">
        <v>0</v>
      </c>
      <c r="R533" s="2" t="inlineStr"/>
    </row>
    <row r="534" ht="15" customHeight="1">
      <c r="A534" t="inlineStr">
        <is>
          <t>A 1364-2025</t>
        </is>
      </c>
      <c r="B534" s="1" t="n">
        <v>45667.63929398148</v>
      </c>
      <c r="C534" s="1" t="n">
        <v>46177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15042-2025</t>
        </is>
      </c>
      <c r="B535" s="1" t="n">
        <v>45743</v>
      </c>
      <c r="C535" s="1" t="n">
        <v>46177</v>
      </c>
      <c r="D535" t="inlineStr">
        <is>
          <t>GOTLANDS LÄN</t>
        </is>
      </c>
      <c r="E535" t="inlineStr">
        <is>
          <t>GOTLAND</t>
        </is>
      </c>
      <c r="G535" t="n">
        <v>8.5</v>
      </c>
      <c r="H535" t="n">
        <v>0</v>
      </c>
      <c r="I535" t="n">
        <v>0</v>
      </c>
      <c r="J535" t="n">
        <v>0</v>
      </c>
      <c r="K535" t="n">
        <v>0</v>
      </c>
      <c r="L535" t="n">
        <v>0</v>
      </c>
      <c r="M535" t="n">
        <v>0</v>
      </c>
      <c r="N535" t="n">
        <v>0</v>
      </c>
      <c r="O535" t="n">
        <v>0</v>
      </c>
      <c r="P535" t="n">
        <v>0</v>
      </c>
      <c r="Q535" t="n">
        <v>0</v>
      </c>
      <c r="R535" s="2" t="inlineStr"/>
    </row>
    <row r="536" ht="15" customHeight="1">
      <c r="A536" t="inlineStr">
        <is>
          <t>A 33007-2025</t>
        </is>
      </c>
      <c r="B536" s="1" t="n">
        <v>45840</v>
      </c>
      <c r="C536" s="1" t="n">
        <v>46177</v>
      </c>
      <c r="D536" t="inlineStr">
        <is>
          <t>GOTLANDS LÄN</t>
        </is>
      </c>
      <c r="E536" t="inlineStr">
        <is>
          <t>GOTLAND</t>
        </is>
      </c>
      <c r="G536" t="n">
        <v>4.9</v>
      </c>
      <c r="H536" t="n">
        <v>0</v>
      </c>
      <c r="I536" t="n">
        <v>0</v>
      </c>
      <c r="J536" t="n">
        <v>0</v>
      </c>
      <c r="K536" t="n">
        <v>0</v>
      </c>
      <c r="L536" t="n">
        <v>0</v>
      </c>
      <c r="M536" t="n">
        <v>0</v>
      </c>
      <c r="N536" t="n">
        <v>0</v>
      </c>
      <c r="O536" t="n">
        <v>0</v>
      </c>
      <c r="P536" t="n">
        <v>0</v>
      </c>
      <c r="Q536" t="n">
        <v>0</v>
      </c>
      <c r="R536" s="2" t="inlineStr"/>
    </row>
    <row r="537" ht="15" customHeight="1">
      <c r="A537" t="inlineStr">
        <is>
          <t>A 2180-2025</t>
        </is>
      </c>
      <c r="B537" s="1" t="n">
        <v>45673</v>
      </c>
      <c r="C537" s="1" t="n">
        <v>46177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15436-2025</t>
        </is>
      </c>
      <c r="B538" s="1" t="n">
        <v>45747.47462962963</v>
      </c>
      <c r="C538" s="1" t="n">
        <v>46177</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49257-2024</t>
        </is>
      </c>
      <c r="B539" s="1" t="n">
        <v>45595.47627314815</v>
      </c>
      <c r="C539" s="1" t="n">
        <v>46177</v>
      </c>
      <c r="D539" t="inlineStr">
        <is>
          <t>GOTLANDS LÄN</t>
        </is>
      </c>
      <c r="E539" t="inlineStr">
        <is>
          <t>GOTLAND</t>
        </is>
      </c>
      <c r="G539" t="n">
        <v>6.3</v>
      </c>
      <c r="H539" t="n">
        <v>0</v>
      </c>
      <c r="I539" t="n">
        <v>0</v>
      </c>
      <c r="J539" t="n">
        <v>0</v>
      </c>
      <c r="K539" t="n">
        <v>0</v>
      </c>
      <c r="L539" t="n">
        <v>0</v>
      </c>
      <c r="M539" t="n">
        <v>0</v>
      </c>
      <c r="N539" t="n">
        <v>0</v>
      </c>
      <c r="O539" t="n">
        <v>0</v>
      </c>
      <c r="P539" t="n">
        <v>0</v>
      </c>
      <c r="Q539" t="n">
        <v>0</v>
      </c>
      <c r="R539" s="2" t="inlineStr"/>
    </row>
    <row r="540" ht="15" customHeight="1">
      <c r="A540" t="inlineStr">
        <is>
          <t>A 37202-2024</t>
        </is>
      </c>
      <c r="B540" s="1" t="n">
        <v>45539.67310185185</v>
      </c>
      <c r="C540" s="1" t="n">
        <v>46177</v>
      </c>
      <c r="D540" t="inlineStr">
        <is>
          <t>GOTLANDS LÄN</t>
        </is>
      </c>
      <c r="E540" t="inlineStr">
        <is>
          <t>GOTLAND</t>
        </is>
      </c>
      <c r="G540" t="n">
        <v>0.3</v>
      </c>
      <c r="H540" t="n">
        <v>0</v>
      </c>
      <c r="I540" t="n">
        <v>0</v>
      </c>
      <c r="J540" t="n">
        <v>0</v>
      </c>
      <c r="K540" t="n">
        <v>0</v>
      </c>
      <c r="L540" t="n">
        <v>0</v>
      </c>
      <c r="M540" t="n">
        <v>0</v>
      </c>
      <c r="N540" t="n">
        <v>0</v>
      </c>
      <c r="O540" t="n">
        <v>0</v>
      </c>
      <c r="P540" t="n">
        <v>0</v>
      </c>
      <c r="Q540" t="n">
        <v>0</v>
      </c>
      <c r="R540" s="2" t="inlineStr"/>
    </row>
    <row r="541" ht="15" customHeight="1">
      <c r="A541" t="inlineStr">
        <is>
          <t>A 59197-2025</t>
        </is>
      </c>
      <c r="B541" s="1" t="n">
        <v>45988.59846064815</v>
      </c>
      <c r="C541" s="1" t="n">
        <v>46177</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56115-2023</t>
        </is>
      </c>
      <c r="B542" s="1" t="n">
        <v>45236</v>
      </c>
      <c r="C542" s="1" t="n">
        <v>46177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15413-2025</t>
        </is>
      </c>
      <c r="B543" s="1" t="n">
        <v>45747.451875</v>
      </c>
      <c r="C543" s="1" t="n">
        <v>46177</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2774-2024</t>
        </is>
      </c>
      <c r="B544" s="1" t="n">
        <v>45314.62375</v>
      </c>
      <c r="C544" s="1" t="n">
        <v>46177</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36319-2025</t>
        </is>
      </c>
      <c r="B545" s="1" t="n">
        <v>45868</v>
      </c>
      <c r="C545" s="1" t="n">
        <v>46177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35123-2025</t>
        </is>
      </c>
      <c r="B546" s="1" t="n">
        <v>45852.614375</v>
      </c>
      <c r="C546" s="1" t="n">
        <v>46177</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35096-2025</t>
        </is>
      </c>
      <c r="B547" s="1" t="n">
        <v>45852.54356481481</v>
      </c>
      <c r="C547" s="1" t="n">
        <v>46177</v>
      </c>
      <c r="D547" t="inlineStr">
        <is>
          <t>GOTLANDS LÄN</t>
        </is>
      </c>
      <c r="E547" t="inlineStr">
        <is>
          <t>GOTLAND</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60709-2023</t>
        </is>
      </c>
      <c r="B548" s="1" t="n">
        <v>45260</v>
      </c>
      <c r="C548" s="1" t="n">
        <v>46177</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30104-2025</t>
        </is>
      </c>
      <c r="B549" s="1" t="n">
        <v>45826.68806712963</v>
      </c>
      <c r="C549" s="1" t="n">
        <v>46177</v>
      </c>
      <c r="D549" t="inlineStr">
        <is>
          <t>GOTLANDS LÄN</t>
        </is>
      </c>
      <c r="E549" t="inlineStr">
        <is>
          <t>GOTLAND</t>
        </is>
      </c>
      <c r="G549" t="n">
        <v>15.4</v>
      </c>
      <c r="H549" t="n">
        <v>0</v>
      </c>
      <c r="I549" t="n">
        <v>0</v>
      </c>
      <c r="J549" t="n">
        <v>0</v>
      </c>
      <c r="K549" t="n">
        <v>0</v>
      </c>
      <c r="L549" t="n">
        <v>0</v>
      </c>
      <c r="M549" t="n">
        <v>0</v>
      </c>
      <c r="N549" t="n">
        <v>0</v>
      </c>
      <c r="O549" t="n">
        <v>0</v>
      </c>
      <c r="P549" t="n">
        <v>0</v>
      </c>
      <c r="Q549" t="n">
        <v>0</v>
      </c>
      <c r="R549" s="2" t="inlineStr"/>
    </row>
    <row r="550" ht="15" customHeight="1">
      <c r="A550" t="inlineStr">
        <is>
          <t>A 64208-2021</t>
        </is>
      </c>
      <c r="B550" s="1" t="n">
        <v>44510</v>
      </c>
      <c r="C550" s="1" t="n">
        <v>46177</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39764-2022</t>
        </is>
      </c>
      <c r="B551" s="1" t="n">
        <v>44819</v>
      </c>
      <c r="C551" s="1" t="n">
        <v>46177</v>
      </c>
      <c r="D551" t="inlineStr">
        <is>
          <t>GOTLANDS LÄN</t>
        </is>
      </c>
      <c r="E551" t="inlineStr">
        <is>
          <t>GOTLAND</t>
        </is>
      </c>
      <c r="F551" t="inlineStr">
        <is>
          <t>Kyrkan</t>
        </is>
      </c>
      <c r="G551" t="n">
        <v>3.7</v>
      </c>
      <c r="H551" t="n">
        <v>0</v>
      </c>
      <c r="I551" t="n">
        <v>0</v>
      </c>
      <c r="J551" t="n">
        <v>0</v>
      </c>
      <c r="K551" t="n">
        <v>0</v>
      </c>
      <c r="L551" t="n">
        <v>0</v>
      </c>
      <c r="M551" t="n">
        <v>0</v>
      </c>
      <c r="N551" t="n">
        <v>0</v>
      </c>
      <c r="O551" t="n">
        <v>0</v>
      </c>
      <c r="P551" t="n">
        <v>0</v>
      </c>
      <c r="Q551" t="n">
        <v>0</v>
      </c>
      <c r="R551" s="2" t="inlineStr"/>
    </row>
    <row r="552" ht="15" customHeight="1">
      <c r="A552" t="inlineStr">
        <is>
          <t>A 35290-2025</t>
        </is>
      </c>
      <c r="B552" s="1" t="n">
        <v>45854.38502314815</v>
      </c>
      <c r="C552" s="1" t="n">
        <v>46177</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32669-2024</t>
        </is>
      </c>
      <c r="B553" s="1" t="n">
        <v>45514</v>
      </c>
      <c r="C553" s="1" t="n">
        <v>46177</v>
      </c>
      <c r="D553" t="inlineStr">
        <is>
          <t>GOTLANDS LÄN</t>
        </is>
      </c>
      <c r="E553" t="inlineStr">
        <is>
          <t>GOTLAND</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35537-2025</t>
        </is>
      </c>
      <c r="B554" s="1" t="n">
        <v>45856</v>
      </c>
      <c r="C554" s="1" t="n">
        <v>46177</v>
      </c>
      <c r="D554" t="inlineStr">
        <is>
          <t>GOTLANDS LÄN</t>
        </is>
      </c>
      <c r="E554" t="inlineStr">
        <is>
          <t>GOTLAND</t>
        </is>
      </c>
      <c r="G554" t="n">
        <v>16.8</v>
      </c>
      <c r="H554" t="n">
        <v>0</v>
      </c>
      <c r="I554" t="n">
        <v>0</v>
      </c>
      <c r="J554" t="n">
        <v>0</v>
      </c>
      <c r="K554" t="n">
        <v>0</v>
      </c>
      <c r="L554" t="n">
        <v>0</v>
      </c>
      <c r="M554" t="n">
        <v>0</v>
      </c>
      <c r="N554" t="n">
        <v>0</v>
      </c>
      <c r="O554" t="n">
        <v>0</v>
      </c>
      <c r="P554" t="n">
        <v>0</v>
      </c>
      <c r="Q554" t="n">
        <v>0</v>
      </c>
      <c r="R554" s="2" t="inlineStr"/>
    </row>
    <row r="555" ht="15" customHeight="1">
      <c r="A555" t="inlineStr">
        <is>
          <t>A 58211-2024</t>
        </is>
      </c>
      <c r="B555" s="1" t="n">
        <v>45632.49292824074</v>
      </c>
      <c r="C555" s="1" t="n">
        <v>46177</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30956-2024</t>
        </is>
      </c>
      <c r="B556" s="1" t="n">
        <v>45499.42527777778</v>
      </c>
      <c r="C556" s="1" t="n">
        <v>46177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30892-2024</t>
        </is>
      </c>
      <c r="B557" s="1" t="n">
        <v>45491</v>
      </c>
      <c r="C557" s="1" t="n">
        <v>46177</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46177</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59469-2024</t>
        </is>
      </c>
      <c r="B559" s="1" t="n">
        <v>45638</v>
      </c>
      <c r="C559" s="1" t="n">
        <v>46177</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7858-2025</t>
        </is>
      </c>
      <c r="B560" s="1" t="n">
        <v>45706.68633101852</v>
      </c>
      <c r="C560" s="1" t="n">
        <v>46177</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62066-2025</t>
        </is>
      </c>
      <c r="B561" s="1" t="n">
        <v>46006.34738425926</v>
      </c>
      <c r="C561" s="1" t="n">
        <v>46177</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62103-2025</t>
        </is>
      </c>
      <c r="B562" s="1" t="n">
        <v>46006</v>
      </c>
      <c r="C562" s="1" t="n">
        <v>46177</v>
      </c>
      <c r="D562" t="inlineStr">
        <is>
          <t>GOTLANDS LÄN</t>
        </is>
      </c>
      <c r="E562" t="inlineStr">
        <is>
          <t>GOTLAND</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15216-2025</t>
        </is>
      </c>
      <c r="B563" s="1" t="n">
        <v>45744</v>
      </c>
      <c r="C563" s="1" t="n">
        <v>46177</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43790-2024</t>
        </is>
      </c>
      <c r="B564" s="1" t="n">
        <v>45571</v>
      </c>
      <c r="C564" s="1" t="n">
        <v>46177</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15001-2025</t>
        </is>
      </c>
      <c r="B565" s="1" t="n">
        <v>45743</v>
      </c>
      <c r="C565" s="1" t="n">
        <v>46177</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30488-2025</t>
        </is>
      </c>
      <c r="B566" s="1" t="n">
        <v>45830</v>
      </c>
      <c r="C566" s="1" t="n">
        <v>46177</v>
      </c>
      <c r="D566" t="inlineStr">
        <is>
          <t>GOTLANDS LÄN</t>
        </is>
      </c>
      <c r="E566" t="inlineStr">
        <is>
          <t>GOTLAND</t>
        </is>
      </c>
      <c r="F566" t="inlineStr">
        <is>
          <t>Kyrkan</t>
        </is>
      </c>
      <c r="G566" t="n">
        <v>3.9</v>
      </c>
      <c r="H566" t="n">
        <v>0</v>
      </c>
      <c r="I566" t="n">
        <v>0</v>
      </c>
      <c r="J566" t="n">
        <v>0</v>
      </c>
      <c r="K566" t="n">
        <v>0</v>
      </c>
      <c r="L566" t="n">
        <v>0</v>
      </c>
      <c r="M566" t="n">
        <v>0</v>
      </c>
      <c r="N566" t="n">
        <v>0</v>
      </c>
      <c r="O566" t="n">
        <v>0</v>
      </c>
      <c r="P566" t="n">
        <v>0</v>
      </c>
      <c r="Q566" t="n">
        <v>0</v>
      </c>
      <c r="R566" s="2" t="inlineStr"/>
    </row>
    <row r="567" ht="15" customHeight="1">
      <c r="A567" t="inlineStr">
        <is>
          <t>A 17847-2025</t>
        </is>
      </c>
      <c r="B567" s="1" t="n">
        <v>45758</v>
      </c>
      <c r="C567" s="1" t="n">
        <v>46177</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18742-2025</t>
        </is>
      </c>
      <c r="B568" s="1" t="n">
        <v>45763</v>
      </c>
      <c r="C568" s="1" t="n">
        <v>46177</v>
      </c>
      <c r="D568" t="inlineStr">
        <is>
          <t>GOTLANDS LÄN</t>
        </is>
      </c>
      <c r="E568" t="inlineStr">
        <is>
          <t>GOTLAND</t>
        </is>
      </c>
      <c r="G568" t="n">
        <v>3.4</v>
      </c>
      <c r="H568" t="n">
        <v>0</v>
      </c>
      <c r="I568" t="n">
        <v>0</v>
      </c>
      <c r="J568" t="n">
        <v>0</v>
      </c>
      <c r="K568" t="n">
        <v>0</v>
      </c>
      <c r="L568" t="n">
        <v>0</v>
      </c>
      <c r="M568" t="n">
        <v>0</v>
      </c>
      <c r="N568" t="n">
        <v>0</v>
      </c>
      <c r="O568" t="n">
        <v>0</v>
      </c>
      <c r="P568" t="n">
        <v>0</v>
      </c>
      <c r="Q568" t="n">
        <v>0</v>
      </c>
      <c r="R568" s="2" t="inlineStr"/>
    </row>
    <row r="569" ht="15" customHeight="1">
      <c r="A569" t="inlineStr">
        <is>
          <t>A 35129-2025</t>
        </is>
      </c>
      <c r="B569" s="1" t="n">
        <v>45852.63224537037</v>
      </c>
      <c r="C569" s="1" t="n">
        <v>46177</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63002-2025</t>
        </is>
      </c>
      <c r="B570" s="1" t="n">
        <v>46009.56564814815</v>
      </c>
      <c r="C570" s="1" t="n">
        <v>46177</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46177</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61078-2025</t>
        </is>
      </c>
      <c r="B572" s="1" t="n">
        <v>46000</v>
      </c>
      <c r="C572" s="1" t="n">
        <v>46177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36-2026</t>
        </is>
      </c>
      <c r="B573" s="1" t="n">
        <v>46024.38886574074</v>
      </c>
      <c r="C573" s="1" t="n">
        <v>46177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6108-2025</t>
        </is>
      </c>
      <c r="B574" s="1" t="n">
        <v>45698.29880787037</v>
      </c>
      <c r="C574" s="1" t="n">
        <v>46177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21142-2025</t>
        </is>
      </c>
      <c r="B575" s="1" t="n">
        <v>45779</v>
      </c>
      <c r="C575" s="1" t="n">
        <v>46177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1355-2026</t>
        </is>
      </c>
      <c r="B576" s="1" t="n">
        <v>46031.59909722222</v>
      </c>
      <c r="C576" s="1" t="n">
        <v>46177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17343-2025</t>
        </is>
      </c>
      <c r="B577" s="1" t="n">
        <v>45756.6687037037</v>
      </c>
      <c r="C577" s="1" t="n">
        <v>46177</v>
      </c>
      <c r="D577" t="inlineStr">
        <is>
          <t>GOTLANDS LÄN</t>
        </is>
      </c>
      <c r="E577" t="inlineStr">
        <is>
          <t>GOTLAND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18938-2025</t>
        </is>
      </c>
      <c r="B578" s="1" t="n">
        <v>45764.49172453704</v>
      </c>
      <c r="C578" s="1" t="n">
        <v>46177</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1898-2026</t>
        </is>
      </c>
      <c r="B579" s="1" t="n">
        <v>46035.52024305556</v>
      </c>
      <c r="C579" s="1" t="n">
        <v>46177</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30489-2025</t>
        </is>
      </c>
      <c r="B580" s="1" t="n">
        <v>45830</v>
      </c>
      <c r="C580" s="1" t="n">
        <v>46177</v>
      </c>
      <c r="D580" t="inlineStr">
        <is>
          <t>GOTLANDS LÄN</t>
        </is>
      </c>
      <c r="E580" t="inlineStr">
        <is>
          <t>GOTLAND</t>
        </is>
      </c>
      <c r="G580" t="n">
        <v>4.6</v>
      </c>
      <c r="H580" t="n">
        <v>0</v>
      </c>
      <c r="I580" t="n">
        <v>0</v>
      </c>
      <c r="J580" t="n">
        <v>0</v>
      </c>
      <c r="K580" t="n">
        <v>0</v>
      </c>
      <c r="L580" t="n">
        <v>0</v>
      </c>
      <c r="M580" t="n">
        <v>0</v>
      </c>
      <c r="N580" t="n">
        <v>0</v>
      </c>
      <c r="O580" t="n">
        <v>0</v>
      </c>
      <c r="P580" t="n">
        <v>0</v>
      </c>
      <c r="Q580" t="n">
        <v>0</v>
      </c>
      <c r="R580" s="2" t="inlineStr"/>
    </row>
    <row r="581" ht="15" customHeight="1">
      <c r="A581" t="inlineStr">
        <is>
          <t>A 20307-2025</t>
        </is>
      </c>
      <c r="B581" s="1" t="n">
        <v>45774.95546296296</v>
      </c>
      <c r="C581" s="1" t="n">
        <v>46177</v>
      </c>
      <c r="D581" t="inlineStr">
        <is>
          <t>GOTLANDS LÄN</t>
        </is>
      </c>
      <c r="E581" t="inlineStr">
        <is>
          <t>GOTLAND</t>
        </is>
      </c>
      <c r="G581" t="n">
        <v>6.8</v>
      </c>
      <c r="H581" t="n">
        <v>0</v>
      </c>
      <c r="I581" t="n">
        <v>0</v>
      </c>
      <c r="J581" t="n">
        <v>0</v>
      </c>
      <c r="K581" t="n">
        <v>0</v>
      </c>
      <c r="L581" t="n">
        <v>0</v>
      </c>
      <c r="M581" t="n">
        <v>0</v>
      </c>
      <c r="N581" t="n">
        <v>0</v>
      </c>
      <c r="O581" t="n">
        <v>0</v>
      </c>
      <c r="P581" t="n">
        <v>0</v>
      </c>
      <c r="Q581" t="n">
        <v>0</v>
      </c>
      <c r="R581" s="2" t="inlineStr"/>
    </row>
    <row r="582" ht="15" customHeight="1">
      <c r="A582" t="inlineStr">
        <is>
          <t>A 2415-2026</t>
        </is>
      </c>
      <c r="B582" s="1" t="n">
        <v>46036.76203703704</v>
      </c>
      <c r="C582" s="1" t="n">
        <v>46177</v>
      </c>
      <c r="D582" t="inlineStr">
        <is>
          <t>GOTLANDS LÄN</t>
        </is>
      </c>
      <c r="E582" t="inlineStr">
        <is>
          <t>GOTLAND</t>
        </is>
      </c>
      <c r="G582" t="n">
        <v>6.9</v>
      </c>
      <c r="H582" t="n">
        <v>0</v>
      </c>
      <c r="I582" t="n">
        <v>0</v>
      </c>
      <c r="J582" t="n">
        <v>0</v>
      </c>
      <c r="K582" t="n">
        <v>0</v>
      </c>
      <c r="L582" t="n">
        <v>0</v>
      </c>
      <c r="M582" t="n">
        <v>0</v>
      </c>
      <c r="N582" t="n">
        <v>0</v>
      </c>
      <c r="O582" t="n">
        <v>0</v>
      </c>
      <c r="P582" t="n">
        <v>0</v>
      </c>
      <c r="Q582" t="n">
        <v>0</v>
      </c>
      <c r="R582" s="2" t="inlineStr"/>
    </row>
    <row r="583" ht="15" customHeight="1">
      <c r="A583" t="inlineStr">
        <is>
          <t>A 3253-2026</t>
        </is>
      </c>
      <c r="B583" s="1" t="n">
        <v>46041.58902777778</v>
      </c>
      <c r="C583" s="1" t="n">
        <v>46177</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4646-2026</t>
        </is>
      </c>
      <c r="B584" s="1" t="n">
        <v>46048.40357638889</v>
      </c>
      <c r="C584" s="1" t="n">
        <v>46177</v>
      </c>
      <c r="D584" t="inlineStr">
        <is>
          <t>GOTLANDS LÄN</t>
        </is>
      </c>
      <c r="E584" t="inlineStr">
        <is>
          <t>GOTLAND</t>
        </is>
      </c>
      <c r="G584" t="n">
        <v>2.7</v>
      </c>
      <c r="H584" t="n">
        <v>0</v>
      </c>
      <c r="I584" t="n">
        <v>0</v>
      </c>
      <c r="J584" t="n">
        <v>0</v>
      </c>
      <c r="K584" t="n">
        <v>0</v>
      </c>
      <c r="L584" t="n">
        <v>0</v>
      </c>
      <c r="M584" t="n">
        <v>0</v>
      </c>
      <c r="N584" t="n">
        <v>0</v>
      </c>
      <c r="O584" t="n">
        <v>0</v>
      </c>
      <c r="P584" t="n">
        <v>0</v>
      </c>
      <c r="Q584" t="n">
        <v>0</v>
      </c>
      <c r="R584" s="2" t="inlineStr"/>
    </row>
    <row r="585" ht="15" customHeight="1">
      <c r="A585" t="inlineStr">
        <is>
          <t>A 4634-2026</t>
        </is>
      </c>
      <c r="B585" s="1" t="n">
        <v>46048.39304398148</v>
      </c>
      <c r="C585" s="1" t="n">
        <v>46177</v>
      </c>
      <c r="D585" t="inlineStr">
        <is>
          <t>GOTLANDS LÄN</t>
        </is>
      </c>
      <c r="E585" t="inlineStr">
        <is>
          <t>GOTLAND</t>
        </is>
      </c>
      <c r="G585" t="n">
        <v>7.8</v>
      </c>
      <c r="H585" t="n">
        <v>0</v>
      </c>
      <c r="I585" t="n">
        <v>0</v>
      </c>
      <c r="J585" t="n">
        <v>0</v>
      </c>
      <c r="K585" t="n">
        <v>0</v>
      </c>
      <c r="L585" t="n">
        <v>0</v>
      </c>
      <c r="M585" t="n">
        <v>0</v>
      </c>
      <c r="N585" t="n">
        <v>0</v>
      </c>
      <c r="O585" t="n">
        <v>0</v>
      </c>
      <c r="P585" t="n">
        <v>0</v>
      </c>
      <c r="Q585" t="n">
        <v>0</v>
      </c>
      <c r="R585" s="2" t="inlineStr"/>
    </row>
    <row r="586" ht="15" customHeight="1">
      <c r="A586" t="inlineStr">
        <is>
          <t>A 4670-2026</t>
        </is>
      </c>
      <c r="B586" s="1" t="n">
        <v>46048.41733796296</v>
      </c>
      <c r="C586" s="1" t="n">
        <v>46177</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6218-2026</t>
        </is>
      </c>
      <c r="B587" s="1" t="n">
        <v>46055.42859953704</v>
      </c>
      <c r="C587" s="1" t="n">
        <v>46177</v>
      </c>
      <c r="D587" t="inlineStr">
        <is>
          <t>GOTLANDS LÄN</t>
        </is>
      </c>
      <c r="E587" t="inlineStr">
        <is>
          <t>GOTLAND</t>
        </is>
      </c>
      <c r="G587" t="n">
        <v>4.3</v>
      </c>
      <c r="H587" t="n">
        <v>0</v>
      </c>
      <c r="I587" t="n">
        <v>0</v>
      </c>
      <c r="J587" t="n">
        <v>0</v>
      </c>
      <c r="K587" t="n">
        <v>0</v>
      </c>
      <c r="L587" t="n">
        <v>0</v>
      </c>
      <c r="M587" t="n">
        <v>0</v>
      </c>
      <c r="N587" t="n">
        <v>0</v>
      </c>
      <c r="O587" t="n">
        <v>0</v>
      </c>
      <c r="P587" t="n">
        <v>0</v>
      </c>
      <c r="Q587" t="n">
        <v>0</v>
      </c>
      <c r="R587" s="2" t="inlineStr"/>
    </row>
    <row r="588" ht="15" customHeight="1">
      <c r="A588" t="inlineStr">
        <is>
          <t>A 6207-2026</t>
        </is>
      </c>
      <c r="B588" s="1" t="n">
        <v>46055.42083333333</v>
      </c>
      <c r="C588" s="1" t="n">
        <v>46177</v>
      </c>
      <c r="D588" t="inlineStr">
        <is>
          <t>GOTLANDS LÄN</t>
        </is>
      </c>
      <c r="E588" t="inlineStr">
        <is>
          <t>GOTLAND</t>
        </is>
      </c>
      <c r="G588" t="n">
        <v>7.6</v>
      </c>
      <c r="H588" t="n">
        <v>0</v>
      </c>
      <c r="I588" t="n">
        <v>0</v>
      </c>
      <c r="J588" t="n">
        <v>0</v>
      </c>
      <c r="K588" t="n">
        <v>0</v>
      </c>
      <c r="L588" t="n">
        <v>0</v>
      </c>
      <c r="M588" t="n">
        <v>0</v>
      </c>
      <c r="N588" t="n">
        <v>0</v>
      </c>
      <c r="O588" t="n">
        <v>0</v>
      </c>
      <c r="P588" t="n">
        <v>0</v>
      </c>
      <c r="Q588" t="n">
        <v>0</v>
      </c>
      <c r="R588" s="2" t="inlineStr"/>
    </row>
    <row r="589" ht="15" customHeight="1">
      <c r="A589" t="inlineStr">
        <is>
          <t>A 6959-2026</t>
        </is>
      </c>
      <c r="B589" s="1" t="n">
        <v>46057.580625</v>
      </c>
      <c r="C589" s="1" t="n">
        <v>46177</v>
      </c>
      <c r="D589" t="inlineStr">
        <is>
          <t>GOTLANDS LÄN</t>
        </is>
      </c>
      <c r="E589" t="inlineStr">
        <is>
          <t>GOTLAND</t>
        </is>
      </c>
      <c r="F589" t="inlineStr">
        <is>
          <t>Kyrkan</t>
        </is>
      </c>
      <c r="G589" t="n">
        <v>1.2</v>
      </c>
      <c r="H589" t="n">
        <v>0</v>
      </c>
      <c r="I589" t="n">
        <v>0</v>
      </c>
      <c r="J589" t="n">
        <v>0</v>
      </c>
      <c r="K589" t="n">
        <v>0</v>
      </c>
      <c r="L589" t="n">
        <v>0</v>
      </c>
      <c r="M589" t="n">
        <v>0</v>
      </c>
      <c r="N589" t="n">
        <v>0</v>
      </c>
      <c r="O589" t="n">
        <v>0</v>
      </c>
      <c r="P589" t="n">
        <v>0</v>
      </c>
      <c r="Q589" t="n">
        <v>0</v>
      </c>
      <c r="R589" s="2" t="inlineStr"/>
    </row>
    <row r="590" ht="15" customHeight="1">
      <c r="A590" t="inlineStr">
        <is>
          <t>A 6960-2026</t>
        </is>
      </c>
      <c r="B590" s="1" t="n">
        <v>46057.58105324074</v>
      </c>
      <c r="C590" s="1" t="n">
        <v>46177</v>
      </c>
      <c r="D590" t="inlineStr">
        <is>
          <t>GOTLANDS LÄN</t>
        </is>
      </c>
      <c r="E590" t="inlineStr">
        <is>
          <t>GOTLAND</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7627-2026</t>
        </is>
      </c>
      <c r="B591" s="1" t="n">
        <v>46062.35465277778</v>
      </c>
      <c r="C591" s="1" t="n">
        <v>46177</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63105-2025</t>
        </is>
      </c>
      <c r="B592" s="1" t="n">
        <v>46009</v>
      </c>
      <c r="C592" s="1" t="n">
        <v>46177</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2135-2026</t>
        </is>
      </c>
      <c r="B593" s="1" t="n">
        <v>46036</v>
      </c>
      <c r="C593" s="1" t="n">
        <v>46177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2134-2026</t>
        </is>
      </c>
      <c r="B594" s="1" t="n">
        <v>46036</v>
      </c>
      <c r="C594" s="1" t="n">
        <v>46177</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46177</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53587-2025</t>
        </is>
      </c>
      <c r="B596" s="1" t="n">
        <v>45960.43681712963</v>
      </c>
      <c r="C596" s="1" t="n">
        <v>46177</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9504-2026</t>
        </is>
      </c>
      <c r="B597" s="1" t="n">
        <v>46071.57730324074</v>
      </c>
      <c r="C597" s="1" t="n">
        <v>46177</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9518-2026</t>
        </is>
      </c>
      <c r="B598" s="1" t="n">
        <v>46071.59653935185</v>
      </c>
      <c r="C598" s="1" t="n">
        <v>46177</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9519-2026</t>
        </is>
      </c>
      <c r="B599" s="1" t="n">
        <v>46071.59820601852</v>
      </c>
      <c r="C599" s="1" t="n">
        <v>46177</v>
      </c>
      <c r="D599" t="inlineStr">
        <is>
          <t>GOTLANDS LÄN</t>
        </is>
      </c>
      <c r="E599" t="inlineStr">
        <is>
          <t>GOTLAND</t>
        </is>
      </c>
      <c r="G599" t="n">
        <v>4</v>
      </c>
      <c r="H599" t="n">
        <v>0</v>
      </c>
      <c r="I599" t="n">
        <v>0</v>
      </c>
      <c r="J599" t="n">
        <v>0</v>
      </c>
      <c r="K599" t="n">
        <v>0</v>
      </c>
      <c r="L599" t="n">
        <v>0</v>
      </c>
      <c r="M599" t="n">
        <v>0</v>
      </c>
      <c r="N599" t="n">
        <v>0</v>
      </c>
      <c r="O599" t="n">
        <v>0</v>
      </c>
      <c r="P599" t="n">
        <v>0</v>
      </c>
      <c r="Q599" t="n">
        <v>0</v>
      </c>
      <c r="R599" s="2" t="inlineStr"/>
    </row>
    <row r="600" ht="15" customHeight="1">
      <c r="A600" t="inlineStr">
        <is>
          <t>A 9540-2026</t>
        </is>
      </c>
      <c r="B600" s="1" t="n">
        <v>46071.61961805556</v>
      </c>
      <c r="C600" s="1" t="n">
        <v>46177</v>
      </c>
      <c r="D600" t="inlineStr">
        <is>
          <t>GOTLANDS LÄN</t>
        </is>
      </c>
      <c r="E600" t="inlineStr">
        <is>
          <t>GOTLAND</t>
        </is>
      </c>
      <c r="G600" t="n">
        <v>2.8</v>
      </c>
      <c r="H600" t="n">
        <v>0</v>
      </c>
      <c r="I600" t="n">
        <v>0</v>
      </c>
      <c r="J600" t="n">
        <v>0</v>
      </c>
      <c r="K600" t="n">
        <v>0</v>
      </c>
      <c r="L600" t="n">
        <v>0</v>
      </c>
      <c r="M600" t="n">
        <v>0</v>
      </c>
      <c r="N600" t="n">
        <v>0</v>
      </c>
      <c r="O600" t="n">
        <v>0</v>
      </c>
      <c r="P600" t="n">
        <v>0</v>
      </c>
      <c r="Q600" t="n">
        <v>0</v>
      </c>
      <c r="R600" s="2" t="inlineStr"/>
    </row>
    <row r="601" ht="15" customHeight="1">
      <c r="A601" t="inlineStr">
        <is>
          <t>A 9521-2026</t>
        </is>
      </c>
      <c r="B601" s="1" t="n">
        <v>46071.59969907408</v>
      </c>
      <c r="C601" s="1" t="n">
        <v>46177</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9524-2026</t>
        </is>
      </c>
      <c r="B602" s="1" t="n">
        <v>46071.60108796296</v>
      </c>
      <c r="C602" s="1" t="n">
        <v>46177</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9543-2026</t>
        </is>
      </c>
      <c r="B603" s="1" t="n">
        <v>46071.62486111111</v>
      </c>
      <c r="C603" s="1" t="n">
        <v>46177</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10486-2026</t>
        </is>
      </c>
      <c r="B604" s="1" t="n">
        <v>46077.51425925926</v>
      </c>
      <c r="C604" s="1" t="n">
        <v>46177</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9901-2026</t>
        </is>
      </c>
      <c r="B605" s="1" t="n">
        <v>46073.40391203704</v>
      </c>
      <c r="C605" s="1" t="n">
        <v>46177</v>
      </c>
      <c r="D605" t="inlineStr">
        <is>
          <t>GOTLANDS LÄN</t>
        </is>
      </c>
      <c r="E605" t="inlineStr">
        <is>
          <t>GOTLAND</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10284-2026</t>
        </is>
      </c>
      <c r="B606" s="1" t="n">
        <v>46076</v>
      </c>
      <c r="C606" s="1" t="n">
        <v>46177</v>
      </c>
      <c r="D606" t="inlineStr">
        <is>
          <t>GOTLANDS LÄN</t>
        </is>
      </c>
      <c r="E606" t="inlineStr">
        <is>
          <t>GOTLAND</t>
        </is>
      </c>
      <c r="G606" t="n">
        <v>5.2</v>
      </c>
      <c r="H606" t="n">
        <v>0</v>
      </c>
      <c r="I606" t="n">
        <v>0</v>
      </c>
      <c r="J606" t="n">
        <v>0</v>
      </c>
      <c r="K606" t="n">
        <v>0</v>
      </c>
      <c r="L606" t="n">
        <v>0</v>
      </c>
      <c r="M606" t="n">
        <v>0</v>
      </c>
      <c r="N606" t="n">
        <v>0</v>
      </c>
      <c r="O606" t="n">
        <v>0</v>
      </c>
      <c r="P606" t="n">
        <v>0</v>
      </c>
      <c r="Q606" t="n">
        <v>0</v>
      </c>
      <c r="R606" s="2" t="inlineStr"/>
    </row>
    <row r="607" ht="15" customHeight="1">
      <c r="A607" t="inlineStr">
        <is>
          <t>A 60384-2025</t>
        </is>
      </c>
      <c r="B607" s="1" t="n">
        <v>45995</v>
      </c>
      <c r="C607" s="1" t="n">
        <v>46177</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11424-2026</t>
        </is>
      </c>
      <c r="B608" s="1" t="n">
        <v>46083.48068287037</v>
      </c>
      <c r="C608" s="1" t="n">
        <v>46177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11414-2026</t>
        </is>
      </c>
      <c r="B609" s="1" t="n">
        <v>46083.46336805556</v>
      </c>
      <c r="C609" s="1" t="n">
        <v>46177</v>
      </c>
      <c r="D609" t="inlineStr">
        <is>
          <t>GOTLANDS LÄN</t>
        </is>
      </c>
      <c r="E609" t="inlineStr">
        <is>
          <t>GOTLAND</t>
        </is>
      </c>
      <c r="G609" t="n">
        <v>4.9</v>
      </c>
      <c r="H609" t="n">
        <v>0</v>
      </c>
      <c r="I609" t="n">
        <v>0</v>
      </c>
      <c r="J609" t="n">
        <v>0</v>
      </c>
      <c r="K609" t="n">
        <v>0</v>
      </c>
      <c r="L609" t="n">
        <v>0</v>
      </c>
      <c r="M609" t="n">
        <v>0</v>
      </c>
      <c r="N609" t="n">
        <v>0</v>
      </c>
      <c r="O609" t="n">
        <v>0</v>
      </c>
      <c r="P609" t="n">
        <v>0</v>
      </c>
      <c r="Q609" t="n">
        <v>0</v>
      </c>
      <c r="R609" s="2" t="inlineStr"/>
    </row>
    <row r="610" ht="15" customHeight="1">
      <c r="A610" t="inlineStr">
        <is>
          <t>A 54584-2025</t>
        </is>
      </c>
      <c r="B610" s="1" t="n">
        <v>45965.71788194445</v>
      </c>
      <c r="C610" s="1" t="n">
        <v>46177</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46177</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11982-2026</t>
        </is>
      </c>
      <c r="B612" s="1" t="n">
        <v>46085.6434375</v>
      </c>
      <c r="C612" s="1" t="n">
        <v>46177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12135-2026</t>
        </is>
      </c>
      <c r="B613" s="1" t="n">
        <v>46086</v>
      </c>
      <c r="C613" s="1" t="n">
        <v>46177</v>
      </c>
      <c r="D613" t="inlineStr">
        <is>
          <t>GOTLANDS LÄN</t>
        </is>
      </c>
      <c r="E613" t="inlineStr">
        <is>
          <t>GOTLAND</t>
        </is>
      </c>
      <c r="G613" t="n">
        <v>3</v>
      </c>
      <c r="H613" t="n">
        <v>0</v>
      </c>
      <c r="I613" t="n">
        <v>0</v>
      </c>
      <c r="J613" t="n">
        <v>0</v>
      </c>
      <c r="K613" t="n">
        <v>0</v>
      </c>
      <c r="L613" t="n">
        <v>0</v>
      </c>
      <c r="M613" t="n">
        <v>0</v>
      </c>
      <c r="N613" t="n">
        <v>0</v>
      </c>
      <c r="O613" t="n">
        <v>0</v>
      </c>
      <c r="P613" t="n">
        <v>0</v>
      </c>
      <c r="Q613" t="n">
        <v>0</v>
      </c>
      <c r="R613" s="2" t="inlineStr"/>
    </row>
    <row r="614" ht="15" customHeight="1">
      <c r="A614" t="inlineStr">
        <is>
          <t>A 42201-2023</t>
        </is>
      </c>
      <c r="B614" s="1" t="n">
        <v>45179</v>
      </c>
      <c r="C614" s="1" t="n">
        <v>46177</v>
      </c>
      <c r="D614" t="inlineStr">
        <is>
          <t>GOTLANDS LÄN</t>
        </is>
      </c>
      <c r="E614" t="inlineStr">
        <is>
          <t>GOTLAND</t>
        </is>
      </c>
      <c r="G614" t="n">
        <v>11.9</v>
      </c>
      <c r="H614" t="n">
        <v>0</v>
      </c>
      <c r="I614" t="n">
        <v>0</v>
      </c>
      <c r="J614" t="n">
        <v>0</v>
      </c>
      <c r="K614" t="n">
        <v>0</v>
      </c>
      <c r="L614" t="n">
        <v>0</v>
      </c>
      <c r="M614" t="n">
        <v>0</v>
      </c>
      <c r="N614" t="n">
        <v>0</v>
      </c>
      <c r="O614" t="n">
        <v>0</v>
      </c>
      <c r="P614" t="n">
        <v>0</v>
      </c>
      <c r="Q614" t="n">
        <v>0</v>
      </c>
      <c r="R614" s="2" t="inlineStr"/>
    </row>
    <row r="615" ht="15" customHeight="1">
      <c r="A615" t="inlineStr">
        <is>
          <t>A 62754-2025</t>
        </is>
      </c>
      <c r="B615" s="1" t="n">
        <v>46008</v>
      </c>
      <c r="C615" s="1" t="n">
        <v>46177</v>
      </c>
      <c r="D615" t="inlineStr">
        <is>
          <t>GOTLANDS LÄN</t>
        </is>
      </c>
      <c r="E615" t="inlineStr">
        <is>
          <t>GOTLAND</t>
        </is>
      </c>
      <c r="F615" t="inlineStr">
        <is>
          <t>Övriga Aktiebolag</t>
        </is>
      </c>
      <c r="G615" t="n">
        <v>2.9</v>
      </c>
      <c r="H615" t="n">
        <v>0</v>
      </c>
      <c r="I615" t="n">
        <v>0</v>
      </c>
      <c r="J615" t="n">
        <v>0</v>
      </c>
      <c r="K615" t="n">
        <v>0</v>
      </c>
      <c r="L615" t="n">
        <v>0</v>
      </c>
      <c r="M615" t="n">
        <v>0</v>
      </c>
      <c r="N615" t="n">
        <v>0</v>
      </c>
      <c r="O615" t="n">
        <v>0</v>
      </c>
      <c r="P615" t="n">
        <v>0</v>
      </c>
      <c r="Q615" t="n">
        <v>0</v>
      </c>
      <c r="R615" s="2" t="inlineStr"/>
    </row>
    <row r="616" ht="15" customHeight="1">
      <c r="A616" t="inlineStr">
        <is>
          <t>A 63000-2025</t>
        </is>
      </c>
      <c r="B616" s="1" t="n">
        <v>46009</v>
      </c>
      <c r="C616" s="1" t="n">
        <v>46177</v>
      </c>
      <c r="D616" t="inlineStr">
        <is>
          <t>GOTLANDS LÄN</t>
        </is>
      </c>
      <c r="E616" t="inlineStr">
        <is>
          <t>GOTLAND</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13486-2026</t>
        </is>
      </c>
      <c r="B617" s="1" t="n">
        <v>46094</v>
      </c>
      <c r="C617" s="1" t="n">
        <v>46177</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62751-2025</t>
        </is>
      </c>
      <c r="B618" s="1" t="n">
        <v>46008</v>
      </c>
      <c r="C618" s="1" t="n">
        <v>46177</v>
      </c>
      <c r="D618" t="inlineStr">
        <is>
          <t>GOTLANDS LÄN</t>
        </is>
      </c>
      <c r="E618" t="inlineStr">
        <is>
          <t>GOTLAND</t>
        </is>
      </c>
      <c r="F618" t="inlineStr">
        <is>
          <t>Övriga Aktiebolag</t>
        </is>
      </c>
      <c r="G618" t="n">
        <v>7.8</v>
      </c>
      <c r="H618" t="n">
        <v>0</v>
      </c>
      <c r="I618" t="n">
        <v>0</v>
      </c>
      <c r="J618" t="n">
        <v>0</v>
      </c>
      <c r="K618" t="n">
        <v>0</v>
      </c>
      <c r="L618" t="n">
        <v>0</v>
      </c>
      <c r="M618" t="n">
        <v>0</v>
      </c>
      <c r="N618" t="n">
        <v>0</v>
      </c>
      <c r="O618" t="n">
        <v>0</v>
      </c>
      <c r="P618" t="n">
        <v>0</v>
      </c>
      <c r="Q618" t="n">
        <v>0</v>
      </c>
      <c r="R618" s="2" t="inlineStr"/>
    </row>
    <row r="619" ht="15" customHeight="1">
      <c r="A619" t="inlineStr">
        <is>
          <t>A 14840-2026</t>
        </is>
      </c>
      <c r="B619" s="1" t="n">
        <v>46104.39498842593</v>
      </c>
      <c r="C619" s="1" t="n">
        <v>46177</v>
      </c>
      <c r="D619" t="inlineStr">
        <is>
          <t>GOTLANDS LÄN</t>
        </is>
      </c>
      <c r="E619" t="inlineStr">
        <is>
          <t>GOTLAND</t>
        </is>
      </c>
      <c r="G619" t="n">
        <v>2.5</v>
      </c>
      <c r="H619" t="n">
        <v>0</v>
      </c>
      <c r="I619" t="n">
        <v>0</v>
      </c>
      <c r="J619" t="n">
        <v>0</v>
      </c>
      <c r="K619" t="n">
        <v>0</v>
      </c>
      <c r="L619" t="n">
        <v>0</v>
      </c>
      <c r="M619" t="n">
        <v>0</v>
      </c>
      <c r="N619" t="n">
        <v>0</v>
      </c>
      <c r="O619" t="n">
        <v>0</v>
      </c>
      <c r="P619" t="n">
        <v>0</v>
      </c>
      <c r="Q619" t="n">
        <v>0</v>
      </c>
      <c r="R619" s="2" t="inlineStr"/>
    </row>
    <row r="620" ht="15" customHeight="1">
      <c r="A620" t="inlineStr">
        <is>
          <t>A 21396-2026</t>
        </is>
      </c>
      <c r="B620" s="1" t="n">
        <v>46148.30710648148</v>
      </c>
      <c r="C620" s="1" t="n">
        <v>46177</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4662-2026</t>
        </is>
      </c>
      <c r="B621" s="1" t="n">
        <v>46048.40949074074</v>
      </c>
      <c r="C621" s="1" t="n">
        <v>46177</v>
      </c>
      <c r="D621" t="inlineStr">
        <is>
          <t>GOTLANDS LÄN</t>
        </is>
      </c>
      <c r="E621" t="inlineStr">
        <is>
          <t>GOTLAND</t>
        </is>
      </c>
      <c r="G621" t="n">
        <v>7.6</v>
      </c>
      <c r="H621" t="n">
        <v>0</v>
      </c>
      <c r="I621" t="n">
        <v>0</v>
      </c>
      <c r="J621" t="n">
        <v>0</v>
      </c>
      <c r="K621" t="n">
        <v>0</v>
      </c>
      <c r="L621" t="n">
        <v>0</v>
      </c>
      <c r="M621" t="n">
        <v>0</v>
      </c>
      <c r="N621" t="n">
        <v>0</v>
      </c>
      <c r="O621" t="n">
        <v>0</v>
      </c>
      <c r="P621" t="n">
        <v>0</v>
      </c>
      <c r="Q621" t="n">
        <v>0</v>
      </c>
      <c r="R621" s="2" t="inlineStr"/>
    </row>
    <row r="622" ht="15" customHeight="1">
      <c r="A622" t="inlineStr">
        <is>
          <t>A 1854-2026</t>
        </is>
      </c>
      <c r="B622" s="1" t="n">
        <v>46035.4171875</v>
      </c>
      <c r="C622" s="1" t="n">
        <v>46177</v>
      </c>
      <c r="D622" t="inlineStr">
        <is>
          <t>GOTLANDS LÄN</t>
        </is>
      </c>
      <c r="E622" t="inlineStr">
        <is>
          <t>GOTLAND</t>
        </is>
      </c>
      <c r="G622" t="n">
        <v>3</v>
      </c>
      <c r="H622" t="n">
        <v>0</v>
      </c>
      <c r="I622" t="n">
        <v>0</v>
      </c>
      <c r="J622" t="n">
        <v>0</v>
      </c>
      <c r="K622" t="n">
        <v>0</v>
      </c>
      <c r="L622" t="n">
        <v>0</v>
      </c>
      <c r="M622" t="n">
        <v>0</v>
      </c>
      <c r="N622" t="n">
        <v>0</v>
      </c>
      <c r="O622" t="n">
        <v>0</v>
      </c>
      <c r="P622" t="n">
        <v>0</v>
      </c>
      <c r="Q622" t="n">
        <v>0</v>
      </c>
      <c r="R622" s="2" t="inlineStr"/>
    </row>
    <row r="623" ht="15" customHeight="1">
      <c r="A623" t="inlineStr">
        <is>
          <t>A 22351-2026</t>
        </is>
      </c>
      <c r="B623" s="1" t="n">
        <v>46154.58350694444</v>
      </c>
      <c r="C623" s="1" t="n">
        <v>46177</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22275-2026</t>
        </is>
      </c>
      <c r="B624" s="1" t="n">
        <v>46154.41924768518</v>
      </c>
      <c r="C624" s="1" t="n">
        <v>46177</v>
      </c>
      <c r="D624" t="inlineStr">
        <is>
          <t>GOTLANDS LÄN</t>
        </is>
      </c>
      <c r="E624" t="inlineStr">
        <is>
          <t>GOTLAND</t>
        </is>
      </c>
      <c r="G624" t="n">
        <v>3.7</v>
      </c>
      <c r="H624" t="n">
        <v>0</v>
      </c>
      <c r="I624" t="n">
        <v>0</v>
      </c>
      <c r="J624" t="n">
        <v>0</v>
      </c>
      <c r="K624" t="n">
        <v>0</v>
      </c>
      <c r="L624" t="n">
        <v>0</v>
      </c>
      <c r="M624" t="n">
        <v>0</v>
      </c>
      <c r="N624" t="n">
        <v>0</v>
      </c>
      <c r="O624" t="n">
        <v>0</v>
      </c>
      <c r="P624" t="n">
        <v>0</v>
      </c>
      <c r="Q624" t="n">
        <v>0</v>
      </c>
      <c r="R624" s="2" t="inlineStr"/>
    </row>
    <row r="625" ht="15" customHeight="1">
      <c r="A625" t="inlineStr">
        <is>
          <t>A 22348-2026</t>
        </is>
      </c>
      <c r="B625" s="1" t="n">
        <v>46154.58071759259</v>
      </c>
      <c r="C625" s="1" t="n">
        <v>46177</v>
      </c>
      <c r="D625" t="inlineStr">
        <is>
          <t>GOTLANDS LÄN</t>
        </is>
      </c>
      <c r="E625" t="inlineStr">
        <is>
          <t>GOTLAND</t>
        </is>
      </c>
      <c r="G625" t="n">
        <v>3.3</v>
      </c>
      <c r="H625" t="n">
        <v>0</v>
      </c>
      <c r="I625" t="n">
        <v>0</v>
      </c>
      <c r="J625" t="n">
        <v>0</v>
      </c>
      <c r="K625" t="n">
        <v>0</v>
      </c>
      <c r="L625" t="n">
        <v>0</v>
      </c>
      <c r="M625" t="n">
        <v>0</v>
      </c>
      <c r="N625" t="n">
        <v>0</v>
      </c>
      <c r="O625" t="n">
        <v>0</v>
      </c>
      <c r="P625" t="n">
        <v>0</v>
      </c>
      <c r="Q625" t="n">
        <v>0</v>
      </c>
      <c r="R625" s="2" t="inlineStr"/>
    </row>
    <row r="626" ht="15" customHeight="1">
      <c r="A626" t="inlineStr">
        <is>
          <t>A 16993-2026</t>
        </is>
      </c>
      <c r="B626" s="1" t="n">
        <v>46114.41918981481</v>
      </c>
      <c r="C626" s="1" t="n">
        <v>46177</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17000-2026</t>
        </is>
      </c>
      <c r="B627" s="1" t="n">
        <v>46114.42690972222</v>
      </c>
      <c r="C627" s="1" t="n">
        <v>46177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22887-2026</t>
        </is>
      </c>
      <c r="B628" s="1" t="n">
        <v>46160.47591435185</v>
      </c>
      <c r="C628" s="1" t="n">
        <v>46177</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23103-2026</t>
        </is>
      </c>
      <c r="B629" s="1" t="n">
        <v>46161.57108796296</v>
      </c>
      <c r="C629" s="1" t="n">
        <v>46177</v>
      </c>
      <c r="D629" t="inlineStr">
        <is>
          <t>GOTLANDS LÄN</t>
        </is>
      </c>
      <c r="E629" t="inlineStr">
        <is>
          <t>GOTLAND</t>
        </is>
      </c>
      <c r="G629" t="n">
        <v>2.3</v>
      </c>
      <c r="H629" t="n">
        <v>0</v>
      </c>
      <c r="I629" t="n">
        <v>0</v>
      </c>
      <c r="J629" t="n">
        <v>0</v>
      </c>
      <c r="K629" t="n">
        <v>0</v>
      </c>
      <c r="L629" t="n">
        <v>0</v>
      </c>
      <c r="M629" t="n">
        <v>0</v>
      </c>
      <c r="N629" t="n">
        <v>0</v>
      </c>
      <c r="O629" t="n">
        <v>0</v>
      </c>
      <c r="P629" t="n">
        <v>0</v>
      </c>
      <c r="Q629" t="n">
        <v>0</v>
      </c>
      <c r="R629" s="2" t="inlineStr"/>
    </row>
    <row r="630" ht="15" customHeight="1">
      <c r="A630" t="inlineStr">
        <is>
          <t>A 63152-2025</t>
        </is>
      </c>
      <c r="B630" s="1" t="n">
        <v>46010</v>
      </c>
      <c r="C630" s="1" t="n">
        <v>46177</v>
      </c>
      <c r="D630" t="inlineStr">
        <is>
          <t>GOTLANDS LÄN</t>
        </is>
      </c>
      <c r="E630" t="inlineStr">
        <is>
          <t>GOTLAND</t>
        </is>
      </c>
      <c r="G630" t="n">
        <v>1.5</v>
      </c>
      <c r="H630" t="n">
        <v>0</v>
      </c>
      <c r="I630" t="n">
        <v>0</v>
      </c>
      <c r="J630" t="n">
        <v>0</v>
      </c>
      <c r="K630" t="n">
        <v>0</v>
      </c>
      <c r="L630" t="n">
        <v>0</v>
      </c>
      <c r="M630" t="n">
        <v>0</v>
      </c>
      <c r="N630" t="n">
        <v>0</v>
      </c>
      <c r="O630" t="n">
        <v>0</v>
      </c>
      <c r="P630" t="n">
        <v>0</v>
      </c>
      <c r="Q630" t="n">
        <v>0</v>
      </c>
      <c r="R630" s="2" t="inlineStr"/>
    </row>
    <row r="631" ht="15" customHeight="1">
      <c r="A631" t="inlineStr">
        <is>
          <t>A 23504-2026</t>
        </is>
      </c>
      <c r="B631" s="1" t="n">
        <v>46163.45875</v>
      </c>
      <c r="C631" s="1" t="n">
        <v>46177</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62674-2025</t>
        </is>
      </c>
      <c r="B632" s="1" t="n">
        <v>46008</v>
      </c>
      <c r="C632" s="1" t="n">
        <v>46177</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17935-2026</t>
        </is>
      </c>
      <c r="B633" s="1" t="n">
        <v>46122</v>
      </c>
      <c r="C633" s="1" t="n">
        <v>46177</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62836-2025</t>
        </is>
      </c>
      <c r="B634" s="1" t="n">
        <v>46008</v>
      </c>
      <c r="C634" s="1" t="n">
        <v>46177</v>
      </c>
      <c r="D634" t="inlineStr">
        <is>
          <t>GOTLANDS LÄN</t>
        </is>
      </c>
      <c r="E634" t="inlineStr">
        <is>
          <t>GOTLAND</t>
        </is>
      </c>
      <c r="G634" t="n">
        <v>6.5</v>
      </c>
      <c r="H634" t="n">
        <v>0</v>
      </c>
      <c r="I634" t="n">
        <v>0</v>
      </c>
      <c r="J634" t="n">
        <v>0</v>
      </c>
      <c r="K634" t="n">
        <v>0</v>
      </c>
      <c r="L634" t="n">
        <v>0</v>
      </c>
      <c r="M634" t="n">
        <v>0</v>
      </c>
      <c r="N634" t="n">
        <v>0</v>
      </c>
      <c r="O634" t="n">
        <v>0</v>
      </c>
      <c r="P634" t="n">
        <v>0</v>
      </c>
      <c r="Q634" t="n">
        <v>0</v>
      </c>
      <c r="R634" s="2" t="inlineStr"/>
    </row>
    <row r="635" ht="15" customHeight="1">
      <c r="A635" t="inlineStr">
        <is>
          <t>A 7625-2026</t>
        </is>
      </c>
      <c r="B635" s="1" t="n">
        <v>46062.35135416667</v>
      </c>
      <c r="C635" s="1" t="n">
        <v>46177</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4639-2026</t>
        </is>
      </c>
      <c r="B636" s="1" t="n">
        <v>46048.39880787037</v>
      </c>
      <c r="C636" s="1" t="n">
        <v>46177</v>
      </c>
      <c r="D636" t="inlineStr">
        <is>
          <t>GOTLANDS LÄN</t>
        </is>
      </c>
      <c r="E636" t="inlineStr">
        <is>
          <t>GOTLAND</t>
        </is>
      </c>
      <c r="G636" t="n">
        <v>0.8</v>
      </c>
      <c r="H636" t="n">
        <v>0</v>
      </c>
      <c r="I636" t="n">
        <v>0</v>
      </c>
      <c r="J636" t="n">
        <v>0</v>
      </c>
      <c r="K636" t="n">
        <v>0</v>
      </c>
      <c r="L636" t="n">
        <v>0</v>
      </c>
      <c r="M636" t="n">
        <v>0</v>
      </c>
      <c r="N636" t="n">
        <v>0</v>
      </c>
      <c r="O636" t="n">
        <v>0</v>
      </c>
      <c r="P636" t="n">
        <v>0</v>
      </c>
      <c r="Q636" t="n">
        <v>0</v>
      </c>
      <c r="R636" s="2" t="inlineStr"/>
    </row>
    <row r="637" ht="15" customHeight="1">
      <c r="A637" t="inlineStr">
        <is>
          <t>A 19322-2026</t>
        </is>
      </c>
      <c r="B637" s="1" t="n">
        <v>46129</v>
      </c>
      <c r="C637" s="1" t="n">
        <v>46177</v>
      </c>
      <c r="D637" t="inlineStr">
        <is>
          <t>GOTLANDS LÄN</t>
        </is>
      </c>
      <c r="E637" t="inlineStr">
        <is>
          <t>GOTLAND</t>
        </is>
      </c>
      <c r="G637" t="n">
        <v>1</v>
      </c>
      <c r="H637" t="n">
        <v>0</v>
      </c>
      <c r="I637" t="n">
        <v>0</v>
      </c>
      <c r="J637" t="n">
        <v>0</v>
      </c>
      <c r="K637" t="n">
        <v>0</v>
      </c>
      <c r="L637" t="n">
        <v>0</v>
      </c>
      <c r="M637" t="n">
        <v>0</v>
      </c>
      <c r="N637" t="n">
        <v>0</v>
      </c>
      <c r="O637" t="n">
        <v>0</v>
      </c>
      <c r="P637" t="n">
        <v>0</v>
      </c>
      <c r="Q637" t="n">
        <v>0</v>
      </c>
      <c r="R637" s="2" t="inlineStr"/>
    </row>
    <row r="638" ht="15" customHeight="1">
      <c r="A638" t="inlineStr">
        <is>
          <t>A 5863-2026</t>
        </is>
      </c>
      <c r="B638" s="1" t="n">
        <v>46052</v>
      </c>
      <c r="C638" s="1" t="n">
        <v>46177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18804-2026</t>
        </is>
      </c>
      <c r="B639" s="1" t="n">
        <v>46128.62366898148</v>
      </c>
      <c r="C639" s="1" t="n">
        <v>46177</v>
      </c>
      <c r="D639" t="inlineStr">
        <is>
          <t>GOTLANDS LÄN</t>
        </is>
      </c>
      <c r="E639" t="inlineStr">
        <is>
          <t>GOTLAND</t>
        </is>
      </c>
      <c r="F639" t="inlineStr">
        <is>
          <t>Kyrkan</t>
        </is>
      </c>
      <c r="G639" t="n">
        <v>2.6</v>
      </c>
      <c r="H639" t="n">
        <v>0</v>
      </c>
      <c r="I639" t="n">
        <v>0</v>
      </c>
      <c r="J639" t="n">
        <v>0</v>
      </c>
      <c r="K639" t="n">
        <v>0</v>
      </c>
      <c r="L639" t="n">
        <v>0</v>
      </c>
      <c r="M639" t="n">
        <v>0</v>
      </c>
      <c r="N639" t="n">
        <v>0</v>
      </c>
      <c r="O639" t="n">
        <v>0</v>
      </c>
      <c r="P639" t="n">
        <v>0</v>
      </c>
      <c r="Q639" t="n">
        <v>0</v>
      </c>
      <c r="R639" s="2" t="inlineStr"/>
    </row>
    <row r="640" ht="15" customHeight="1">
      <c r="A640" t="inlineStr">
        <is>
          <t>A 17943-2026</t>
        </is>
      </c>
      <c r="B640" s="1" t="n">
        <v>46122</v>
      </c>
      <c r="C640" s="1" t="n">
        <v>46177</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24448-2026</t>
        </is>
      </c>
      <c r="B641" s="1" t="n">
        <v>46170.35354166666</v>
      </c>
      <c r="C641" s="1" t="n">
        <v>46177</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c r="A642" t="inlineStr">
        <is>
          <t>A 1839-2026</t>
        </is>
      </c>
      <c r="B642" s="1" t="n">
        <v>46035.3942824074</v>
      </c>
      <c r="C642" s="1" t="n">
        <v>46177</v>
      </c>
      <c r="D642" t="inlineStr">
        <is>
          <t>GOTLANDS LÄN</t>
        </is>
      </c>
      <c r="E642" t="inlineStr">
        <is>
          <t>GOTLAND</t>
        </is>
      </c>
      <c r="G642" t="n">
        <v>3.5</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2026-06-04T11:06:19Z</dcterms:created>
  <dcterms:modified xmlns:dcterms="http://purl.org/dc/terms/" xmlns:xsi="http://www.w3.org/2001/XMLSchema-instance" xsi:type="dcterms:W3CDTF">2026-06-04T11:06:20Z</dcterms:modified>
</cp:coreProperties>
</file>