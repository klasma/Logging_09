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46035</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46035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46035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6153-2024</t>
        </is>
      </c>
      <c r="B26" s="1" t="n">
        <v>45337</v>
      </c>
      <c r="C26" s="1" t="n">
        <v>46035</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46035</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46035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46035</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46035</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46035</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46035</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46035</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46035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46035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46035</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46035</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46035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46035</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46035</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46035</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46035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46035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46035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46035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46035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46035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46035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46035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46035</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46035</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56687-2025</t>
        </is>
      </c>
      <c r="B66" s="1" t="n">
        <v>45975.84065972222</v>
      </c>
      <c r="C66" s="1" t="n">
        <v>46035</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27280-2023</t>
        </is>
      </c>
      <c r="B67" s="1" t="n">
        <v>45096</v>
      </c>
      <c r="C67" s="1" t="n">
        <v>46035</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46035</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46035</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46035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46035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46035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46035</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46035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46035</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46035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46035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46035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46035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16375-2025</t>
        </is>
      </c>
      <c r="B82" s="1" t="n">
        <v>45751.41064814815</v>
      </c>
      <c r="C82" s="1" t="n">
        <v>46035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46035</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46035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52245-2025</t>
        </is>
      </c>
      <c r="B85" s="1" t="n">
        <v>45953.47115740741</v>
      </c>
      <c r="C85" s="1" t="n">
        <v>46035</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46035</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46035</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46035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46035</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46035</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6159-2023</t>
        </is>
      </c>
      <c r="B92" s="1" t="n">
        <v>44964</v>
      </c>
      <c r="C92" s="1" t="n">
        <v>46035</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46035</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46035</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46035</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46035</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44933-2022</t>
        </is>
      </c>
      <c r="B97" s="1" t="n">
        <v>44841</v>
      </c>
      <c r="C97" s="1" t="n">
        <v>46035</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52250-2025</t>
        </is>
      </c>
      <c r="B98" s="1" t="n">
        <v>45953.48998842593</v>
      </c>
      <c r="C98" s="1" t="n">
        <v>46035</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46035</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2485-2025</t>
        </is>
      </c>
      <c r="B100" s="1" t="n">
        <v>45673</v>
      </c>
      <c r="C100" s="1" t="n">
        <v>46035</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46035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46035</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46035</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46035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49709-2025</t>
        </is>
      </c>
      <c r="B110" s="1" t="n">
        <v>45939.68228009259</v>
      </c>
      <c r="C110" s="1" t="n">
        <v>46035</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55334-2024</t>
        </is>
      </c>
      <c r="B111" s="1" t="n">
        <v>45621</v>
      </c>
      <c r="C111" s="1" t="n">
        <v>46035</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30490-2025</t>
        </is>
      </c>
      <c r="B112" s="1" t="n">
        <v>45830</v>
      </c>
      <c r="C112" s="1" t="n">
        <v>46035</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46035</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46035</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46035</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46035</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46035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46035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46035</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13499-2022</t>
        </is>
      </c>
      <c r="B120" s="1" t="n">
        <v>44647.79203703703</v>
      </c>
      <c r="C120" s="1" t="n">
        <v>46035</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46035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46035</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46035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46035</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21879-2025</t>
        </is>
      </c>
      <c r="B129" s="1" t="n">
        <v>45784.40533564815</v>
      </c>
      <c r="C129" s="1" t="n">
        <v>46035</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26077-2024</t>
        </is>
      </c>
      <c r="B130" s="1" t="n">
        <v>45467</v>
      </c>
      <c r="C130" s="1" t="n">
        <v>46035</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46035</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63162-2025</t>
        </is>
      </c>
      <c r="B132" s="1" t="n">
        <v>46010.37629629629</v>
      </c>
      <c r="C132" s="1" t="n">
        <v>46035</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62760-2025</t>
        </is>
      </c>
      <c r="B133" s="1" t="n">
        <v>46008.59275462963</v>
      </c>
      <c r="C133" s="1" t="n">
        <v>46035</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54357-2024</t>
        </is>
      </c>
      <c r="B134" s="1" t="n">
        <v>45617.40662037037</v>
      </c>
      <c r="C134" s="1" t="n">
        <v>46035</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46035</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46035</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46035</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46035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46035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46035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46035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46035</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46035</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46035</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37591-2023</t>
        </is>
      </c>
      <c r="B145" s="1" t="n">
        <v>45159</v>
      </c>
      <c r="C145" s="1" t="n">
        <v>46035</v>
      </c>
      <c r="D145" t="inlineStr">
        <is>
          <t>GOTLANDS LÄN</t>
        </is>
      </c>
      <c r="E145" t="inlineStr">
        <is>
          <t>GOTLAND</t>
        </is>
      </c>
      <c r="G145" t="n">
        <v>8.300000000000001</v>
      </c>
      <c r="H145" t="n">
        <v>0</v>
      </c>
      <c r="I145" t="n">
        <v>0</v>
      </c>
      <c r="J145" t="n">
        <v>1</v>
      </c>
      <c r="K145" t="n">
        <v>0</v>
      </c>
      <c r="L145" t="n">
        <v>0</v>
      </c>
      <c r="M145" t="n">
        <v>0</v>
      </c>
      <c r="N145" t="n">
        <v>0</v>
      </c>
      <c r="O145" t="n">
        <v>1</v>
      </c>
      <c r="P145" t="n">
        <v>0</v>
      </c>
      <c r="Q145" t="n">
        <v>1</v>
      </c>
      <c r="R145" s="2" t="inlineStr">
        <is>
          <t>Ängsstarr</t>
        </is>
      </c>
      <c r="S145">
        <f>HYPERLINK("https://klasma.github.io/Logging_0980/artfynd/A 37591-2023 artfynd.xlsx", "A 37591-2023")</f>
        <v/>
      </c>
      <c r="T145">
        <f>HYPERLINK("https://klasma.github.io/Logging_0980/kartor/A 37591-2023 karta.png", "A 37591-2023")</f>
        <v/>
      </c>
      <c r="V145">
        <f>HYPERLINK("https://klasma.github.io/Logging_0980/klagomål/A 37591-2023 FSC-klagomål.docx", "A 37591-2023")</f>
        <v/>
      </c>
      <c r="W145">
        <f>HYPERLINK("https://klasma.github.io/Logging_0980/klagomålsmail/A 37591-2023 FSC-klagomål mail.docx", "A 37591-2023")</f>
        <v/>
      </c>
      <c r="X145">
        <f>HYPERLINK("https://klasma.github.io/Logging_0980/tillsyn/A 37591-2023 tillsynsbegäran.docx", "A 37591-2023")</f>
        <v/>
      </c>
      <c r="Y145">
        <f>HYPERLINK("https://klasma.github.io/Logging_0980/tillsynsmail/A 37591-2023 tillsynsbegäran mail.docx", "A 37591-2023")</f>
        <v/>
      </c>
    </row>
    <row r="146" ht="15" customHeight="1">
      <c r="A146" t="inlineStr">
        <is>
          <t>A 12379-2024</t>
        </is>
      </c>
      <c r="B146" s="1" t="n">
        <v>45379.28155092592</v>
      </c>
      <c r="C146" s="1" t="n">
        <v>46035</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46035</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21466-2025</t>
        </is>
      </c>
      <c r="B148" s="1" t="n">
        <v>45782</v>
      </c>
      <c r="C148" s="1" t="n">
        <v>46035</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39812-2025</t>
        </is>
      </c>
      <c r="B149" s="1" t="n">
        <v>45891</v>
      </c>
      <c r="C149" s="1" t="n">
        <v>46035</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44304-2021</t>
        </is>
      </c>
      <c r="B150" s="1" t="n">
        <v>44434</v>
      </c>
      <c r="C150" s="1" t="n">
        <v>46035</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10440-2024</t>
        </is>
      </c>
      <c r="B151" s="1" t="n">
        <v>45366.32818287037</v>
      </c>
      <c r="C151" s="1" t="n">
        <v>46035</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25977-2024</t>
        </is>
      </c>
      <c r="B152" s="1" t="n">
        <v>45467.69356481481</v>
      </c>
      <c r="C152" s="1" t="n">
        <v>46035</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35467-2021</t>
        </is>
      </c>
      <c r="B153" s="1" t="n">
        <v>44385</v>
      </c>
      <c r="C153" s="1" t="n">
        <v>46035</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46035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65927-2021</t>
        </is>
      </c>
      <c r="B155" s="1" t="n">
        <v>44516</v>
      </c>
      <c r="C155" s="1" t="n">
        <v>46035</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26461-2025</t>
        </is>
      </c>
      <c r="B156" s="1" t="n">
        <v>45807.43337962963</v>
      </c>
      <c r="C156" s="1" t="n">
        <v>46035</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61796-2022</t>
        </is>
      </c>
      <c r="B157" s="1" t="n">
        <v>44917</v>
      </c>
      <c r="C157" s="1" t="n">
        <v>46035</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49726-2025</t>
        </is>
      </c>
      <c r="B158" s="1" t="n">
        <v>45939.84466435185</v>
      </c>
      <c r="C158" s="1" t="n">
        <v>46035</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20429-2025</t>
        </is>
      </c>
      <c r="B159" s="1" t="n">
        <v>45775.47728009259</v>
      </c>
      <c r="C159" s="1" t="n">
        <v>46035</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15637-2024</t>
        </is>
      </c>
      <c r="B160" s="1" t="n">
        <v>45403.6684837963</v>
      </c>
      <c r="C160" s="1" t="n">
        <v>46035</v>
      </c>
      <c r="D160" t="inlineStr">
        <is>
          <t>GOTLANDS LÄN</t>
        </is>
      </c>
      <c r="E160" t="inlineStr">
        <is>
          <t>GOTLAND</t>
        </is>
      </c>
      <c r="G160" t="n">
        <v>4.1</v>
      </c>
      <c r="H160" t="n">
        <v>1</v>
      </c>
      <c r="I160" t="n">
        <v>0</v>
      </c>
      <c r="J160" t="n">
        <v>0</v>
      </c>
      <c r="K160" t="n">
        <v>0</v>
      </c>
      <c r="L160" t="n">
        <v>0</v>
      </c>
      <c r="M160" t="n">
        <v>0</v>
      </c>
      <c r="N160" t="n">
        <v>0</v>
      </c>
      <c r="O160" t="n">
        <v>0</v>
      </c>
      <c r="P160" t="n">
        <v>0</v>
      </c>
      <c r="Q160" t="n">
        <v>1</v>
      </c>
      <c r="R160" s="2" t="inlineStr">
        <is>
          <t>Blåsippa</t>
        </is>
      </c>
      <c r="S160">
        <f>HYPERLINK("https://klasma.github.io/Logging_0980/artfynd/A 15637-2024 artfynd.xlsx", "A 15637-2024")</f>
        <v/>
      </c>
      <c r="T160">
        <f>HYPERLINK("https://klasma.github.io/Logging_0980/kartor/A 15637-2024 karta.png", "A 15637-2024")</f>
        <v/>
      </c>
      <c r="V160">
        <f>HYPERLINK("https://klasma.github.io/Logging_0980/klagomål/A 15637-2024 FSC-klagomål.docx", "A 15637-2024")</f>
        <v/>
      </c>
      <c r="W160">
        <f>HYPERLINK("https://klasma.github.io/Logging_0980/klagomålsmail/A 15637-2024 FSC-klagomål mail.docx", "A 15637-2024")</f>
        <v/>
      </c>
      <c r="X160">
        <f>HYPERLINK("https://klasma.github.io/Logging_0980/tillsyn/A 15637-2024 tillsynsbegäran.docx", "A 15637-2024")</f>
        <v/>
      </c>
      <c r="Y160">
        <f>HYPERLINK("https://klasma.github.io/Logging_0980/tillsynsmail/A 15637-2024 tillsynsbegäran mail.docx", "A 15637-2024")</f>
        <v/>
      </c>
    </row>
    <row r="161" ht="15" customHeight="1">
      <c r="A161" t="inlineStr">
        <is>
          <t>A 34141-2024</t>
        </is>
      </c>
      <c r="B161" s="1" t="n">
        <v>45524.36229166666</v>
      </c>
      <c r="C161" s="1" t="n">
        <v>46035</v>
      </c>
      <c r="D161" t="inlineStr">
        <is>
          <t>GOTLANDS LÄN</t>
        </is>
      </c>
      <c r="E161" t="inlineStr">
        <is>
          <t>GOTLAND</t>
        </is>
      </c>
      <c r="G161" t="n">
        <v>0.9</v>
      </c>
      <c r="H161" t="n">
        <v>0</v>
      </c>
      <c r="I161" t="n">
        <v>1</v>
      </c>
      <c r="J161" t="n">
        <v>0</v>
      </c>
      <c r="K161" t="n">
        <v>0</v>
      </c>
      <c r="L161" t="n">
        <v>0</v>
      </c>
      <c r="M161" t="n">
        <v>0</v>
      </c>
      <c r="N161" t="n">
        <v>0</v>
      </c>
      <c r="O161" t="n">
        <v>0</v>
      </c>
      <c r="P161" t="n">
        <v>0</v>
      </c>
      <c r="Q161" t="n">
        <v>1</v>
      </c>
      <c r="R161" s="2" t="inlineStr">
        <is>
          <t>Strävlosta</t>
        </is>
      </c>
      <c r="S161">
        <f>HYPERLINK("https://klasma.github.io/Logging_0980/artfynd/A 34141-2024 artfynd.xlsx", "A 34141-2024")</f>
        <v/>
      </c>
      <c r="T161">
        <f>HYPERLINK("https://klasma.github.io/Logging_0980/kartor/A 34141-2024 karta.png", "A 34141-2024")</f>
        <v/>
      </c>
      <c r="V161">
        <f>HYPERLINK("https://klasma.github.io/Logging_0980/klagomål/A 34141-2024 FSC-klagomål.docx", "A 34141-2024")</f>
        <v/>
      </c>
      <c r="W161">
        <f>HYPERLINK("https://klasma.github.io/Logging_0980/klagomålsmail/A 34141-2024 FSC-klagomål mail.docx", "A 34141-2024")</f>
        <v/>
      </c>
      <c r="X161">
        <f>HYPERLINK("https://klasma.github.io/Logging_0980/tillsyn/A 34141-2024 tillsynsbegäran.docx", "A 34141-2024")</f>
        <v/>
      </c>
      <c r="Y161">
        <f>HYPERLINK("https://klasma.github.io/Logging_0980/tillsynsmail/A 34141-2024 tillsynsbegäran mail.docx", "A 34141-2024")</f>
        <v/>
      </c>
    </row>
    <row r="162" ht="15" customHeight="1">
      <c r="A162" t="inlineStr">
        <is>
          <t>A 9862-2024</t>
        </is>
      </c>
      <c r="B162" s="1" t="n">
        <v>45363</v>
      </c>
      <c r="C162" s="1" t="n">
        <v>46035</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2476-2025</t>
        </is>
      </c>
      <c r="B163" s="1" t="n">
        <v>45673</v>
      </c>
      <c r="C163" s="1" t="n">
        <v>46035</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10995-2023</t>
        </is>
      </c>
      <c r="B164" s="1" t="n">
        <v>44986</v>
      </c>
      <c r="C164" s="1" t="n">
        <v>46035</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62552-2022</t>
        </is>
      </c>
      <c r="B165" s="1" t="n">
        <v>44924</v>
      </c>
      <c r="C165" s="1" t="n">
        <v>46035</v>
      </c>
      <c r="D165" t="inlineStr">
        <is>
          <t>GOTLANDS LÄN</t>
        </is>
      </c>
      <c r="E165" t="inlineStr">
        <is>
          <t>GOTLAND</t>
        </is>
      </c>
      <c r="G165" t="n">
        <v>1.6</v>
      </c>
      <c r="H165" t="n">
        <v>0</v>
      </c>
      <c r="I165" t="n">
        <v>0</v>
      </c>
      <c r="J165" t="n">
        <v>1</v>
      </c>
      <c r="K165" t="n">
        <v>0</v>
      </c>
      <c r="L165" t="n">
        <v>0</v>
      </c>
      <c r="M165" t="n">
        <v>0</v>
      </c>
      <c r="N165" t="n">
        <v>0</v>
      </c>
      <c r="O165" t="n">
        <v>1</v>
      </c>
      <c r="P165" t="n">
        <v>0</v>
      </c>
      <c r="Q165" t="n">
        <v>1</v>
      </c>
      <c r="R165" s="2" t="inlineStr">
        <is>
          <t>Äggspindling</t>
        </is>
      </c>
      <c r="S165">
        <f>HYPERLINK("https://klasma.github.io/Logging_0980/artfynd/A 62552-2022 artfynd.xlsx", "A 62552-2022")</f>
        <v/>
      </c>
      <c r="T165">
        <f>HYPERLINK("https://klasma.github.io/Logging_0980/kartor/A 62552-2022 karta.png", "A 62552-2022")</f>
        <v/>
      </c>
      <c r="V165">
        <f>HYPERLINK("https://klasma.github.io/Logging_0980/klagomål/A 62552-2022 FSC-klagomål.docx", "A 62552-2022")</f>
        <v/>
      </c>
      <c r="W165">
        <f>HYPERLINK("https://klasma.github.io/Logging_0980/klagomålsmail/A 62552-2022 FSC-klagomål mail.docx", "A 62552-2022")</f>
        <v/>
      </c>
      <c r="X165">
        <f>HYPERLINK("https://klasma.github.io/Logging_0980/tillsyn/A 62552-2022 tillsynsbegäran.docx", "A 62552-2022")</f>
        <v/>
      </c>
      <c r="Y165">
        <f>HYPERLINK("https://klasma.github.io/Logging_0980/tillsynsmail/A 62552-2022 tillsynsbegäran mail.docx", "A 62552-2022")</f>
        <v/>
      </c>
    </row>
    <row r="166" ht="15" customHeight="1">
      <c r="A166" t="inlineStr">
        <is>
          <t>A 12924-2025</t>
        </is>
      </c>
      <c r="B166" s="1" t="n">
        <v>45734</v>
      </c>
      <c r="C166" s="1" t="n">
        <v>46035</v>
      </c>
      <c r="D166" t="inlineStr">
        <is>
          <t>GOTLANDS LÄN</t>
        </is>
      </c>
      <c r="E166" t="inlineStr">
        <is>
          <t>GOTLAND</t>
        </is>
      </c>
      <c r="G166" t="n">
        <v>11.7</v>
      </c>
      <c r="H166" t="n">
        <v>0</v>
      </c>
      <c r="I166" t="n">
        <v>0</v>
      </c>
      <c r="J166" t="n">
        <v>0</v>
      </c>
      <c r="K166" t="n">
        <v>1</v>
      </c>
      <c r="L166" t="n">
        <v>0</v>
      </c>
      <c r="M166" t="n">
        <v>0</v>
      </c>
      <c r="N166" t="n">
        <v>0</v>
      </c>
      <c r="O166" t="n">
        <v>1</v>
      </c>
      <c r="P166" t="n">
        <v>1</v>
      </c>
      <c r="Q166" t="n">
        <v>1</v>
      </c>
      <c r="R166" s="2" t="inlineStr">
        <is>
          <t>Gotlandsmåra</t>
        </is>
      </c>
      <c r="S166">
        <f>HYPERLINK("https://klasma.github.io/Logging_0980/artfynd/A 12924-2025 artfynd.xlsx", "A 12924-2025")</f>
        <v/>
      </c>
      <c r="T166">
        <f>HYPERLINK("https://klasma.github.io/Logging_0980/kartor/A 12924-2025 karta.png", "A 12924-2025")</f>
        <v/>
      </c>
      <c r="V166">
        <f>HYPERLINK("https://klasma.github.io/Logging_0980/klagomål/A 12924-2025 FSC-klagomål.docx", "A 12924-2025")</f>
        <v/>
      </c>
      <c r="W166">
        <f>HYPERLINK("https://klasma.github.io/Logging_0980/klagomålsmail/A 12924-2025 FSC-klagomål mail.docx", "A 12924-2025")</f>
        <v/>
      </c>
      <c r="X166">
        <f>HYPERLINK("https://klasma.github.io/Logging_0980/tillsyn/A 12924-2025 tillsynsbegäran.docx", "A 12924-2025")</f>
        <v/>
      </c>
      <c r="Y166">
        <f>HYPERLINK("https://klasma.github.io/Logging_0980/tillsynsmail/A 12924-2025 tillsynsbegäran mail.docx", "A 12924-2025")</f>
        <v/>
      </c>
    </row>
    <row r="167" ht="15" customHeight="1">
      <c r="A167" t="inlineStr">
        <is>
          <t>A 44088-2022</t>
        </is>
      </c>
      <c r="B167" s="1" t="n">
        <v>44839</v>
      </c>
      <c r="C167" s="1" t="n">
        <v>46035</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13939-2021</t>
        </is>
      </c>
      <c r="B168" s="1" t="n">
        <v>44277</v>
      </c>
      <c r="C168" s="1" t="n">
        <v>46035</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44308-2021</t>
        </is>
      </c>
      <c r="B169" s="1" t="n">
        <v>44434</v>
      </c>
      <c r="C169" s="1" t="n">
        <v>46035</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447-2023</t>
        </is>
      </c>
      <c r="B170" s="1" t="n">
        <v>44929</v>
      </c>
      <c r="C170" s="1" t="n">
        <v>46035</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947-2023</t>
        </is>
      </c>
      <c r="B171" s="1" t="n">
        <v>44934</v>
      </c>
      <c r="C171" s="1" t="n">
        <v>46035</v>
      </c>
      <c r="D171" t="inlineStr">
        <is>
          <t>GOTLANDS LÄN</t>
        </is>
      </c>
      <c r="E171" t="inlineStr">
        <is>
          <t>GOTLAND</t>
        </is>
      </c>
      <c r="G171" t="n">
        <v>0.7</v>
      </c>
      <c r="H171" t="n">
        <v>1</v>
      </c>
      <c r="I171" t="n">
        <v>0</v>
      </c>
      <c r="J171" t="n">
        <v>0</v>
      </c>
      <c r="K171" t="n">
        <v>1</v>
      </c>
      <c r="L171" t="n">
        <v>0</v>
      </c>
      <c r="M171" t="n">
        <v>0</v>
      </c>
      <c r="N171" t="n">
        <v>0</v>
      </c>
      <c r="O171" t="n">
        <v>1</v>
      </c>
      <c r="P171" t="n">
        <v>1</v>
      </c>
      <c r="Q171" t="n">
        <v>1</v>
      </c>
      <c r="R171" s="2" t="inlineStr">
        <is>
          <t>Garderönn</t>
        </is>
      </c>
      <c r="S171">
        <f>HYPERLINK("https://klasma.github.io/Logging_0980/artfynd/A 947-2023 artfynd.xlsx", "A 947-2023")</f>
        <v/>
      </c>
      <c r="T171">
        <f>HYPERLINK("https://klasma.github.io/Logging_0980/kartor/A 947-2023 karta.png", "A 947-2023")</f>
        <v/>
      </c>
      <c r="V171">
        <f>HYPERLINK("https://klasma.github.io/Logging_0980/klagomål/A 947-2023 FSC-klagomål.docx", "A 947-2023")</f>
        <v/>
      </c>
      <c r="W171">
        <f>HYPERLINK("https://klasma.github.io/Logging_0980/klagomålsmail/A 947-2023 FSC-klagomål mail.docx", "A 947-2023")</f>
        <v/>
      </c>
      <c r="X171">
        <f>HYPERLINK("https://klasma.github.io/Logging_0980/tillsyn/A 947-2023 tillsynsbegäran.docx", "A 947-2023")</f>
        <v/>
      </c>
      <c r="Y171">
        <f>HYPERLINK("https://klasma.github.io/Logging_0980/tillsynsmail/A 947-2023 tillsynsbegäran mail.docx", "A 947-2023")</f>
        <v/>
      </c>
    </row>
    <row r="172" ht="15" customHeight="1">
      <c r="A172" t="inlineStr">
        <is>
          <t>A 49304-2024</t>
        </is>
      </c>
      <c r="B172" s="1" t="n">
        <v>45595.54996527778</v>
      </c>
      <c r="C172" s="1" t="n">
        <v>46035</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63576-2021</t>
        </is>
      </c>
      <c r="B173" s="1" t="n">
        <v>44508</v>
      </c>
      <c r="C173" s="1" t="n">
        <v>46035</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46035</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63149-2025</t>
        </is>
      </c>
      <c r="B175" s="1" t="n">
        <v>46010.35664351852</v>
      </c>
      <c r="C175" s="1" t="n">
        <v>46035</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27589-2023</t>
        </is>
      </c>
      <c r="B176" s="1" t="n">
        <v>45097</v>
      </c>
      <c r="C176" s="1" t="n">
        <v>46035</v>
      </c>
      <c r="D176" t="inlineStr">
        <is>
          <t>GOTLANDS LÄN</t>
        </is>
      </c>
      <c r="E176" t="inlineStr">
        <is>
          <t>GOTLAND</t>
        </is>
      </c>
      <c r="G176" t="n">
        <v>5.4</v>
      </c>
      <c r="H176" t="n">
        <v>0</v>
      </c>
      <c r="I176" t="n">
        <v>0</v>
      </c>
      <c r="J176" t="n">
        <v>0</v>
      </c>
      <c r="K176" t="n">
        <v>0</v>
      </c>
      <c r="L176" t="n">
        <v>0</v>
      </c>
      <c r="M176" t="n">
        <v>1</v>
      </c>
      <c r="N176" t="n">
        <v>0</v>
      </c>
      <c r="O176" t="n">
        <v>1</v>
      </c>
      <c r="P176" t="n">
        <v>1</v>
      </c>
      <c r="Q176" t="n">
        <v>1</v>
      </c>
      <c r="R176" s="2" t="inlineStr">
        <is>
          <t>Skogsalm</t>
        </is>
      </c>
      <c r="S176">
        <f>HYPERLINK("https://klasma.github.io/Logging_0980/artfynd/A 27589-2023 artfynd.xlsx", "A 27589-2023")</f>
        <v/>
      </c>
      <c r="T176">
        <f>HYPERLINK("https://klasma.github.io/Logging_0980/kartor/A 27589-2023 karta.png", "A 27589-2023")</f>
        <v/>
      </c>
      <c r="V176">
        <f>HYPERLINK("https://klasma.github.io/Logging_0980/klagomål/A 27589-2023 FSC-klagomål.docx", "A 27589-2023")</f>
        <v/>
      </c>
      <c r="W176">
        <f>HYPERLINK("https://klasma.github.io/Logging_0980/klagomålsmail/A 27589-2023 FSC-klagomål mail.docx", "A 27589-2023")</f>
        <v/>
      </c>
      <c r="X176">
        <f>HYPERLINK("https://klasma.github.io/Logging_0980/tillsyn/A 27589-2023 tillsynsbegäran.docx", "A 27589-2023")</f>
        <v/>
      </c>
      <c r="Y176">
        <f>HYPERLINK("https://klasma.github.io/Logging_0980/tillsynsmail/A 27589-2023 tillsynsbegäran mail.docx", "A 27589-2023")</f>
        <v/>
      </c>
    </row>
    <row r="177" ht="15" customHeight="1">
      <c r="A177" t="inlineStr">
        <is>
          <t>A 1477-2024</t>
        </is>
      </c>
      <c r="B177" s="1" t="n">
        <v>45305.37987268518</v>
      </c>
      <c r="C177" s="1" t="n">
        <v>46035</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35574-2024</t>
        </is>
      </c>
      <c r="B178" s="1" t="n">
        <v>45531</v>
      </c>
      <c r="C178" s="1" t="n">
        <v>46035</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7637-2025</t>
        </is>
      </c>
      <c r="B179" s="1" t="n">
        <v>45705.77181712963</v>
      </c>
      <c r="C179" s="1" t="n">
        <v>46035</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6303-2024</t>
        </is>
      </c>
      <c r="B180" s="1" t="n">
        <v>45338.35376157407</v>
      </c>
      <c r="C180" s="1" t="n">
        <v>46035</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34809-2024</t>
        </is>
      </c>
      <c r="B181" s="1" t="n">
        <v>45526</v>
      </c>
      <c r="C181" s="1" t="n">
        <v>46035</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61561-2023</t>
        </is>
      </c>
      <c r="B182" s="1" t="n">
        <v>45265</v>
      </c>
      <c r="C182" s="1" t="n">
        <v>46035</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22782-2023</t>
        </is>
      </c>
      <c r="B183" s="1" t="n">
        <v>45072</v>
      </c>
      <c r="C183" s="1" t="n">
        <v>46035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46035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46035</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46035</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46035</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46035</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19901-2021</t>
        </is>
      </c>
      <c r="B189" s="1" t="n">
        <v>44312</v>
      </c>
      <c r="C189" s="1" t="n">
        <v>46035</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46035</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46035</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46035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46035</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46035</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46035</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46035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46035</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46035</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46035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46035</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46035</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46035</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46035</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46035</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46035</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46035</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46035</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46035</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46035</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46035</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46035</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46035</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46035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46035</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46035</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46035</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46035</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46035</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46035</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46035</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46035</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46035</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46035</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46035</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46035</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46035</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46035</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46035</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46035</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46035</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46035</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46035</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53935-2024</t>
        </is>
      </c>
      <c r="B241" s="1" t="n">
        <v>45615</v>
      </c>
      <c r="C241" s="1" t="n">
        <v>46035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46035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18223-2025</t>
        </is>
      </c>
      <c r="B243" s="1" t="n">
        <v>45761</v>
      </c>
      <c r="C243" s="1" t="n">
        <v>46035</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4420-2025</t>
        </is>
      </c>
      <c r="B244" s="1" t="n">
        <v>45686.47157407407</v>
      </c>
      <c r="C244" s="1" t="n">
        <v>46035</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46035</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5891-2025</t>
        </is>
      </c>
      <c r="B246" s="1" t="n">
        <v>45695.38327546296</v>
      </c>
      <c r="C246" s="1" t="n">
        <v>46035</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15595-2024</t>
        </is>
      </c>
      <c r="B247" s="1" t="n">
        <v>45401.81480324074</v>
      </c>
      <c r="C247" s="1" t="n">
        <v>46035</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20356-2022</t>
        </is>
      </c>
      <c r="B248" s="1" t="n">
        <v>44699</v>
      </c>
      <c r="C248" s="1" t="n">
        <v>46035</v>
      </c>
      <c r="D248" t="inlineStr">
        <is>
          <t>GOTLANDS LÄN</t>
        </is>
      </c>
      <c r="E248" t="inlineStr">
        <is>
          <t>GOTLAND</t>
        </is>
      </c>
      <c r="F248" t="inlineStr">
        <is>
          <t>Övriga Aktiebolag</t>
        </is>
      </c>
      <c r="G248" t="n">
        <v>4.4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46035</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47637-2025</t>
        </is>
      </c>
      <c r="B250" s="1" t="n">
        <v>45931.49753472222</v>
      </c>
      <c r="C250" s="1" t="n">
        <v>46035</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7835-2024</t>
        </is>
      </c>
      <c r="B251" s="1" t="n">
        <v>45349.83138888889</v>
      </c>
      <c r="C251" s="1" t="n">
        <v>46035</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20794-2025</t>
        </is>
      </c>
      <c r="B252" s="1" t="n">
        <v>45776</v>
      </c>
      <c r="C252" s="1" t="n">
        <v>46035</v>
      </c>
      <c r="D252" t="inlineStr">
        <is>
          <t>GOTLANDS LÄN</t>
        </is>
      </c>
      <c r="E252" t="inlineStr">
        <is>
          <t>GOTLAND</t>
        </is>
      </c>
      <c r="G252" t="n">
        <v>6</v>
      </c>
      <c r="H252" t="n">
        <v>0</v>
      </c>
      <c r="I252" t="n">
        <v>0</v>
      </c>
      <c r="J252" t="n">
        <v>0</v>
      </c>
      <c r="K252" t="n">
        <v>0</v>
      </c>
      <c r="L252" t="n">
        <v>0</v>
      </c>
      <c r="M252" t="n">
        <v>0</v>
      </c>
      <c r="N252" t="n">
        <v>0</v>
      </c>
      <c r="O252" t="n">
        <v>0</v>
      </c>
      <c r="P252" t="n">
        <v>0</v>
      </c>
      <c r="Q252" t="n">
        <v>0</v>
      </c>
      <c r="R252" s="2" t="inlineStr"/>
    </row>
    <row r="253" ht="15" customHeight="1">
      <c r="A253" t="inlineStr">
        <is>
          <t>A 20805-2025</t>
        </is>
      </c>
      <c r="B253" s="1" t="n">
        <v>45776</v>
      </c>
      <c r="C253" s="1" t="n">
        <v>46035</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24966-2023</t>
        </is>
      </c>
      <c r="B254" s="1" t="n">
        <v>45085</v>
      </c>
      <c r="C254" s="1" t="n">
        <v>46035</v>
      </c>
      <c r="D254" t="inlineStr">
        <is>
          <t>GOTLANDS LÄN</t>
        </is>
      </c>
      <c r="E254" t="inlineStr">
        <is>
          <t>GOTLAND</t>
        </is>
      </c>
      <c r="G254" t="n">
        <v>7</v>
      </c>
      <c r="H254" t="n">
        <v>0</v>
      </c>
      <c r="I254" t="n">
        <v>0</v>
      </c>
      <c r="J254" t="n">
        <v>0</v>
      </c>
      <c r="K254" t="n">
        <v>0</v>
      </c>
      <c r="L254" t="n">
        <v>0</v>
      </c>
      <c r="M254" t="n">
        <v>0</v>
      </c>
      <c r="N254" t="n">
        <v>0</v>
      </c>
      <c r="O254" t="n">
        <v>0</v>
      </c>
      <c r="P254" t="n">
        <v>0</v>
      </c>
      <c r="Q254" t="n">
        <v>0</v>
      </c>
      <c r="R254" s="2" t="inlineStr"/>
    </row>
    <row r="255" ht="15" customHeight="1">
      <c r="A255" t="inlineStr">
        <is>
          <t>A 46189-2022</t>
        </is>
      </c>
      <c r="B255" s="1" t="n">
        <v>44847</v>
      </c>
      <c r="C255" s="1" t="n">
        <v>46035</v>
      </c>
      <c r="D255" t="inlineStr">
        <is>
          <t>GOTLANDS LÄN</t>
        </is>
      </c>
      <c r="E255" t="inlineStr">
        <is>
          <t>GOTLAND</t>
        </is>
      </c>
      <c r="G255" t="n">
        <v>0.4</v>
      </c>
      <c r="H255" t="n">
        <v>0</v>
      </c>
      <c r="I255" t="n">
        <v>0</v>
      </c>
      <c r="J255" t="n">
        <v>0</v>
      </c>
      <c r="K255" t="n">
        <v>0</v>
      </c>
      <c r="L255" t="n">
        <v>0</v>
      </c>
      <c r="M255" t="n">
        <v>0</v>
      </c>
      <c r="N255" t="n">
        <v>0</v>
      </c>
      <c r="O255" t="n">
        <v>0</v>
      </c>
      <c r="P255" t="n">
        <v>0</v>
      </c>
      <c r="Q255" t="n">
        <v>0</v>
      </c>
      <c r="R255" s="2" t="inlineStr"/>
    </row>
    <row r="256" ht="15" customHeight="1">
      <c r="A256" t="inlineStr">
        <is>
          <t>A 32378-2025</t>
        </is>
      </c>
      <c r="B256" s="1" t="n">
        <v>45837</v>
      </c>
      <c r="C256" s="1" t="n">
        <v>46035</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21389-2025</t>
        </is>
      </c>
      <c r="B257" s="1" t="n">
        <v>45782</v>
      </c>
      <c r="C257" s="1" t="n">
        <v>46035</v>
      </c>
      <c r="D257" t="inlineStr">
        <is>
          <t>GOTLANDS LÄN</t>
        </is>
      </c>
      <c r="E257" t="inlineStr">
        <is>
          <t>GOTLAND</t>
        </is>
      </c>
      <c r="G257" t="n">
        <v>4.1</v>
      </c>
      <c r="H257" t="n">
        <v>0</v>
      </c>
      <c r="I257" t="n">
        <v>0</v>
      </c>
      <c r="J257" t="n">
        <v>0</v>
      </c>
      <c r="K257" t="n">
        <v>0</v>
      </c>
      <c r="L257" t="n">
        <v>0</v>
      </c>
      <c r="M257" t="n">
        <v>0</v>
      </c>
      <c r="N257" t="n">
        <v>0</v>
      </c>
      <c r="O257" t="n">
        <v>0</v>
      </c>
      <c r="P257" t="n">
        <v>0</v>
      </c>
      <c r="Q257" t="n">
        <v>0</v>
      </c>
      <c r="R257" s="2" t="inlineStr"/>
    </row>
    <row r="258" ht="15" customHeight="1">
      <c r="A258" t="inlineStr">
        <is>
          <t>A 22031-2024</t>
        </is>
      </c>
      <c r="B258" s="1" t="n">
        <v>45443.60075231481</v>
      </c>
      <c r="C258" s="1" t="n">
        <v>46035</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18993-2025</t>
        </is>
      </c>
      <c r="B259" s="1" t="n">
        <v>45764</v>
      </c>
      <c r="C259" s="1" t="n">
        <v>46035</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35550-2025</t>
        </is>
      </c>
      <c r="B260" s="1" t="n">
        <v>45856.49324074074</v>
      </c>
      <c r="C260" s="1" t="n">
        <v>46035</v>
      </c>
      <c r="D260" t="inlineStr">
        <is>
          <t>GOTLANDS LÄN</t>
        </is>
      </c>
      <c r="E260" t="inlineStr">
        <is>
          <t>GOTLAND</t>
        </is>
      </c>
      <c r="G260" t="n">
        <v>3.2</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46035</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21651-2025</t>
        </is>
      </c>
      <c r="B262" s="1" t="n">
        <v>45783</v>
      </c>
      <c r="C262" s="1" t="n">
        <v>46035</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46035</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30135-2025</t>
        </is>
      </c>
      <c r="B264" s="1" t="n">
        <v>45826</v>
      </c>
      <c r="C264" s="1" t="n">
        <v>46035</v>
      </c>
      <c r="D264" t="inlineStr">
        <is>
          <t>GOTLANDS LÄN</t>
        </is>
      </c>
      <c r="E264" t="inlineStr">
        <is>
          <t>GOTLAND</t>
        </is>
      </c>
      <c r="G264" t="n">
        <v>2.7</v>
      </c>
      <c r="H264" t="n">
        <v>0</v>
      </c>
      <c r="I264" t="n">
        <v>0</v>
      </c>
      <c r="J264" t="n">
        <v>0</v>
      </c>
      <c r="K264" t="n">
        <v>0</v>
      </c>
      <c r="L264" t="n">
        <v>0</v>
      </c>
      <c r="M264" t="n">
        <v>0</v>
      </c>
      <c r="N264" t="n">
        <v>0</v>
      </c>
      <c r="O264" t="n">
        <v>0</v>
      </c>
      <c r="P264" t="n">
        <v>0</v>
      </c>
      <c r="Q264" t="n">
        <v>0</v>
      </c>
      <c r="R264" s="2" t="inlineStr"/>
    </row>
    <row r="265" ht="15" customHeight="1">
      <c r="A265" t="inlineStr">
        <is>
          <t>A 12599-2025</t>
        </is>
      </c>
      <c r="B265" s="1" t="n">
        <v>45733.29546296296</v>
      </c>
      <c r="C265" s="1" t="n">
        <v>46035</v>
      </c>
      <c r="D265" t="inlineStr">
        <is>
          <t>GOTLANDS LÄN</t>
        </is>
      </c>
      <c r="E265" t="inlineStr">
        <is>
          <t>GOTLAND</t>
        </is>
      </c>
      <c r="G265" t="n">
        <v>4.7</v>
      </c>
      <c r="H265" t="n">
        <v>0</v>
      </c>
      <c r="I265" t="n">
        <v>0</v>
      </c>
      <c r="J265" t="n">
        <v>0</v>
      </c>
      <c r="K265" t="n">
        <v>0</v>
      </c>
      <c r="L265" t="n">
        <v>0</v>
      </c>
      <c r="M265" t="n">
        <v>0</v>
      </c>
      <c r="N265" t="n">
        <v>0</v>
      </c>
      <c r="O265" t="n">
        <v>0</v>
      </c>
      <c r="P265" t="n">
        <v>0</v>
      </c>
      <c r="Q265" t="n">
        <v>0</v>
      </c>
      <c r="R265" s="2" t="inlineStr"/>
    </row>
    <row r="266" ht="15" customHeight="1">
      <c r="A266" t="inlineStr">
        <is>
          <t>A 35141-2025</t>
        </is>
      </c>
      <c r="B266" s="1" t="n">
        <v>45852.65206018519</v>
      </c>
      <c r="C266" s="1" t="n">
        <v>46035</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46035</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48503-2023</t>
        </is>
      </c>
      <c r="B268" s="1" t="n">
        <v>45207</v>
      </c>
      <c r="C268" s="1" t="n">
        <v>46035</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65901-2021</t>
        </is>
      </c>
      <c r="B269" s="1" t="n">
        <v>44516</v>
      </c>
      <c r="C269" s="1" t="n">
        <v>46035</v>
      </c>
      <c r="D269" t="inlineStr">
        <is>
          <t>GOTLANDS LÄN</t>
        </is>
      </c>
      <c r="E269" t="inlineStr">
        <is>
          <t>GOTLAND</t>
        </is>
      </c>
      <c r="G269" t="n">
        <v>4.9</v>
      </c>
      <c r="H269" t="n">
        <v>0</v>
      </c>
      <c r="I269" t="n">
        <v>0</v>
      </c>
      <c r="J269" t="n">
        <v>0</v>
      </c>
      <c r="K269" t="n">
        <v>0</v>
      </c>
      <c r="L269" t="n">
        <v>0</v>
      </c>
      <c r="M269" t="n">
        <v>0</v>
      </c>
      <c r="N269" t="n">
        <v>0</v>
      </c>
      <c r="O269" t="n">
        <v>0</v>
      </c>
      <c r="P269" t="n">
        <v>0</v>
      </c>
      <c r="Q269" t="n">
        <v>0</v>
      </c>
      <c r="R269" s="2" t="inlineStr"/>
    </row>
    <row r="270" ht="15" customHeight="1">
      <c r="A270" t="inlineStr">
        <is>
          <t>A 39819-2025</t>
        </is>
      </c>
      <c r="B270" s="1" t="n">
        <v>45891.53418981482</v>
      </c>
      <c r="C270" s="1" t="n">
        <v>46035</v>
      </c>
      <c r="D270" t="inlineStr">
        <is>
          <t>GOTLANDS LÄN</t>
        </is>
      </c>
      <c r="E270" t="inlineStr">
        <is>
          <t>GOTLAND</t>
        </is>
      </c>
      <c r="G270" t="n">
        <v>3.1</v>
      </c>
      <c r="H270" t="n">
        <v>0</v>
      </c>
      <c r="I270" t="n">
        <v>0</v>
      </c>
      <c r="J270" t="n">
        <v>0</v>
      </c>
      <c r="K270" t="n">
        <v>0</v>
      </c>
      <c r="L270" t="n">
        <v>0</v>
      </c>
      <c r="M270" t="n">
        <v>0</v>
      </c>
      <c r="N270" t="n">
        <v>0</v>
      </c>
      <c r="O270" t="n">
        <v>0</v>
      </c>
      <c r="P270" t="n">
        <v>0</v>
      </c>
      <c r="Q270" t="n">
        <v>0</v>
      </c>
      <c r="R270" s="2" t="inlineStr"/>
    </row>
    <row r="271" ht="15" customHeight="1">
      <c r="A271" t="inlineStr">
        <is>
          <t>A 44649-2021</t>
        </is>
      </c>
      <c r="B271" s="1" t="n">
        <v>44437</v>
      </c>
      <c r="C271" s="1" t="n">
        <v>46035</v>
      </c>
      <c r="D271" t="inlineStr">
        <is>
          <t>GOTLANDS LÄN</t>
        </is>
      </c>
      <c r="E271" t="inlineStr">
        <is>
          <t>GOTLAND</t>
        </is>
      </c>
      <c r="G271" t="n">
        <v>8.1</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46035</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39849-2025</t>
        </is>
      </c>
      <c r="B273" s="1" t="n">
        <v>45891.58502314815</v>
      </c>
      <c r="C273" s="1" t="n">
        <v>46035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9947-2024</t>
        </is>
      </c>
      <c r="B274" s="1" t="n">
        <v>45363</v>
      </c>
      <c r="C274" s="1" t="n">
        <v>46035</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46035</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46035</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40103-2025</t>
        </is>
      </c>
      <c r="B277" s="1" t="n">
        <v>45894.4880324074</v>
      </c>
      <c r="C277" s="1" t="n">
        <v>46035</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40373-2025</t>
        </is>
      </c>
      <c r="B278" s="1" t="n">
        <v>45895.51821759259</v>
      </c>
      <c r="C278" s="1" t="n">
        <v>46035</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40499-2025</t>
        </is>
      </c>
      <c r="B279" s="1" t="n">
        <v>45896.32517361111</v>
      </c>
      <c r="C279" s="1" t="n">
        <v>46035</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46035</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17682-2024</t>
        </is>
      </c>
      <c r="B281" s="1" t="n">
        <v>45418.42966435185</v>
      </c>
      <c r="C281" s="1" t="n">
        <v>46035</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57522-2022</t>
        </is>
      </c>
      <c r="B282" s="1" t="n">
        <v>44896</v>
      </c>
      <c r="C282" s="1" t="n">
        <v>46035</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46035</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46035</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46035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39278-2025</t>
        </is>
      </c>
      <c r="B286" s="1" t="n">
        <v>45889</v>
      </c>
      <c r="C286" s="1" t="n">
        <v>46035</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28506-2023</t>
        </is>
      </c>
      <c r="B287" s="1" t="n">
        <v>45103</v>
      </c>
      <c r="C287" s="1" t="n">
        <v>46035</v>
      </c>
      <c r="D287" t="inlineStr">
        <is>
          <t>GOTLANDS LÄN</t>
        </is>
      </c>
      <c r="E287" t="inlineStr">
        <is>
          <t>GOTLAND</t>
        </is>
      </c>
      <c r="G287" t="n">
        <v>3.2</v>
      </c>
      <c r="H287" t="n">
        <v>0</v>
      </c>
      <c r="I287" t="n">
        <v>0</v>
      </c>
      <c r="J287" t="n">
        <v>0</v>
      </c>
      <c r="K287" t="n">
        <v>0</v>
      </c>
      <c r="L287" t="n">
        <v>0</v>
      </c>
      <c r="M287" t="n">
        <v>0</v>
      </c>
      <c r="N287" t="n">
        <v>0</v>
      </c>
      <c r="O287" t="n">
        <v>0</v>
      </c>
      <c r="P287" t="n">
        <v>0</v>
      </c>
      <c r="Q287" t="n">
        <v>0</v>
      </c>
      <c r="R287" s="2" t="inlineStr"/>
    </row>
    <row r="288" ht="15" customHeight="1">
      <c r="A288" t="inlineStr">
        <is>
          <t>A 21420-2024</t>
        </is>
      </c>
      <c r="B288" s="1" t="n">
        <v>45441.38293981482</v>
      </c>
      <c r="C288" s="1" t="n">
        <v>46035</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23188-2025</t>
        </is>
      </c>
      <c r="B289" s="1" t="n">
        <v>45791</v>
      </c>
      <c r="C289" s="1" t="n">
        <v>46035</v>
      </c>
      <c r="D289" t="inlineStr">
        <is>
          <t>GOTLANDS LÄN</t>
        </is>
      </c>
      <c r="E289" t="inlineStr">
        <is>
          <t>GOTLAND</t>
        </is>
      </c>
      <c r="G289" t="n">
        <v>6.2</v>
      </c>
      <c r="H289" t="n">
        <v>0</v>
      </c>
      <c r="I289" t="n">
        <v>0</v>
      </c>
      <c r="J289" t="n">
        <v>0</v>
      </c>
      <c r="K289" t="n">
        <v>0</v>
      </c>
      <c r="L289" t="n">
        <v>0</v>
      </c>
      <c r="M289" t="n">
        <v>0</v>
      </c>
      <c r="N289" t="n">
        <v>0</v>
      </c>
      <c r="O289" t="n">
        <v>0</v>
      </c>
      <c r="P289" t="n">
        <v>0</v>
      </c>
      <c r="Q289" t="n">
        <v>0</v>
      </c>
      <c r="R289" s="2" t="inlineStr"/>
    </row>
    <row r="290" ht="15" customHeight="1">
      <c r="A290" t="inlineStr">
        <is>
          <t>A 63516-2023</t>
        </is>
      </c>
      <c r="B290" s="1" t="n">
        <v>45274</v>
      </c>
      <c r="C290" s="1" t="n">
        <v>46035</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41435-2025</t>
        </is>
      </c>
      <c r="B291" s="1" t="n">
        <v>45901.39974537037</v>
      </c>
      <c r="C291" s="1" t="n">
        <v>46035</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23473-2025</t>
        </is>
      </c>
      <c r="B292" s="1" t="n">
        <v>45792</v>
      </c>
      <c r="C292" s="1" t="n">
        <v>46035</v>
      </c>
      <c r="D292" t="inlineStr">
        <is>
          <t>GOTLANDS LÄN</t>
        </is>
      </c>
      <c r="E292" t="inlineStr">
        <is>
          <t>GOTLAND</t>
        </is>
      </c>
      <c r="G292" t="n">
        <v>3.6</v>
      </c>
      <c r="H292" t="n">
        <v>0</v>
      </c>
      <c r="I292" t="n">
        <v>0</v>
      </c>
      <c r="J292" t="n">
        <v>0</v>
      </c>
      <c r="K292" t="n">
        <v>0</v>
      </c>
      <c r="L292" t="n">
        <v>0</v>
      </c>
      <c r="M292" t="n">
        <v>0</v>
      </c>
      <c r="N292" t="n">
        <v>0</v>
      </c>
      <c r="O292" t="n">
        <v>0</v>
      </c>
      <c r="P292" t="n">
        <v>0</v>
      </c>
      <c r="Q292" t="n">
        <v>0</v>
      </c>
      <c r="R292" s="2" t="inlineStr"/>
    </row>
    <row r="293" ht="15" customHeight="1">
      <c r="A293" t="inlineStr">
        <is>
          <t>A 24001-2021</t>
        </is>
      </c>
      <c r="B293" s="1" t="n">
        <v>44335</v>
      </c>
      <c r="C293" s="1" t="n">
        <v>46035</v>
      </c>
      <c r="D293" t="inlineStr">
        <is>
          <t>GOTLANDS LÄN</t>
        </is>
      </c>
      <c r="E293" t="inlineStr">
        <is>
          <t>GOTLAND</t>
        </is>
      </c>
      <c r="G293" t="n">
        <v>3.4</v>
      </c>
      <c r="H293" t="n">
        <v>0</v>
      </c>
      <c r="I293" t="n">
        <v>0</v>
      </c>
      <c r="J293" t="n">
        <v>0</v>
      </c>
      <c r="K293" t="n">
        <v>0</v>
      </c>
      <c r="L293" t="n">
        <v>0</v>
      </c>
      <c r="M293" t="n">
        <v>0</v>
      </c>
      <c r="N293" t="n">
        <v>0</v>
      </c>
      <c r="O293" t="n">
        <v>0</v>
      </c>
      <c r="P293" t="n">
        <v>0</v>
      </c>
      <c r="Q293" t="n">
        <v>0</v>
      </c>
      <c r="R293" s="2" t="inlineStr"/>
    </row>
    <row r="294" ht="15" customHeight="1">
      <c r="A294" t="inlineStr">
        <is>
          <t>A 41551-2025</t>
        </is>
      </c>
      <c r="B294" s="1" t="n">
        <v>45901.58854166666</v>
      </c>
      <c r="C294" s="1" t="n">
        <v>46035</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23856-2025</t>
        </is>
      </c>
      <c r="B295" s="1" t="n">
        <v>45793</v>
      </c>
      <c r="C295" s="1" t="n">
        <v>46035</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15073-2025</t>
        </is>
      </c>
      <c r="B296" s="1" t="n">
        <v>45743</v>
      </c>
      <c r="C296" s="1" t="n">
        <v>46035</v>
      </c>
      <c r="D296" t="inlineStr">
        <is>
          <t>GOTLANDS LÄN</t>
        </is>
      </c>
      <c r="E296" t="inlineStr">
        <is>
          <t>GOTLAND</t>
        </is>
      </c>
      <c r="G296" t="n">
        <v>12.1</v>
      </c>
      <c r="H296" t="n">
        <v>0</v>
      </c>
      <c r="I296" t="n">
        <v>0</v>
      </c>
      <c r="J296" t="n">
        <v>0</v>
      </c>
      <c r="K296" t="n">
        <v>0</v>
      </c>
      <c r="L296" t="n">
        <v>0</v>
      </c>
      <c r="M296" t="n">
        <v>0</v>
      </c>
      <c r="N296" t="n">
        <v>0</v>
      </c>
      <c r="O296" t="n">
        <v>0</v>
      </c>
      <c r="P296" t="n">
        <v>0</v>
      </c>
      <c r="Q296" t="n">
        <v>0</v>
      </c>
      <c r="R296" s="2" t="inlineStr"/>
    </row>
    <row r="297" ht="15" customHeight="1">
      <c r="A297" t="inlineStr">
        <is>
          <t>A 30365-2024</t>
        </is>
      </c>
      <c r="B297" s="1" t="n">
        <v>45491.3716087963</v>
      </c>
      <c r="C297" s="1" t="n">
        <v>46035</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47578-2025</t>
        </is>
      </c>
      <c r="B298" s="1" t="n">
        <v>45931</v>
      </c>
      <c r="C298" s="1" t="n">
        <v>46035</v>
      </c>
      <c r="D298" t="inlineStr">
        <is>
          <t>GOTLANDS LÄN</t>
        </is>
      </c>
      <c r="E298" t="inlineStr">
        <is>
          <t>GOTLAND</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1681-2023</t>
        </is>
      </c>
      <c r="B299" s="1" t="n">
        <v>44938.39715277778</v>
      </c>
      <c r="C299" s="1" t="n">
        <v>46035</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6749-2025</t>
        </is>
      </c>
      <c r="B300" s="1" t="n">
        <v>45700</v>
      </c>
      <c r="C300" s="1" t="n">
        <v>46035</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23698-2025</t>
        </is>
      </c>
      <c r="B301" s="1" t="n">
        <v>45793</v>
      </c>
      <c r="C301" s="1" t="n">
        <v>46035</v>
      </c>
      <c r="D301" t="inlineStr">
        <is>
          <t>GOTLANDS LÄN</t>
        </is>
      </c>
      <c r="E301" t="inlineStr">
        <is>
          <t>GOTLAND</t>
        </is>
      </c>
      <c r="G301" t="n">
        <v>0.8</v>
      </c>
      <c r="H301" t="n">
        <v>0</v>
      </c>
      <c r="I301" t="n">
        <v>0</v>
      </c>
      <c r="J301" t="n">
        <v>0</v>
      </c>
      <c r="K301" t="n">
        <v>0</v>
      </c>
      <c r="L301" t="n">
        <v>0</v>
      </c>
      <c r="M301" t="n">
        <v>0</v>
      </c>
      <c r="N301" t="n">
        <v>0</v>
      </c>
      <c r="O301" t="n">
        <v>0</v>
      </c>
      <c r="P301" t="n">
        <v>0</v>
      </c>
      <c r="Q301" t="n">
        <v>0</v>
      </c>
      <c r="R301" s="2" t="inlineStr"/>
    </row>
    <row r="302" ht="15" customHeight="1">
      <c r="A302" t="inlineStr">
        <is>
          <t>A 6099-2024</t>
        </is>
      </c>
      <c r="B302" s="1" t="n">
        <v>45337</v>
      </c>
      <c r="C302" s="1" t="n">
        <v>46035</v>
      </c>
      <c r="D302" t="inlineStr">
        <is>
          <t>GOTLANDS LÄN</t>
        </is>
      </c>
      <c r="E302" t="inlineStr">
        <is>
          <t>GOTLAND</t>
        </is>
      </c>
      <c r="G302" t="n">
        <v>12.6</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46035</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46035</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58780-2024</t>
        </is>
      </c>
      <c r="B305" s="1" t="n">
        <v>45635.84113425926</v>
      </c>
      <c r="C305" s="1" t="n">
        <v>46035</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46035</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45692-2023</t>
        </is>
      </c>
      <c r="B307" s="1" t="n">
        <v>45195</v>
      </c>
      <c r="C307" s="1" t="n">
        <v>46035</v>
      </c>
      <c r="D307" t="inlineStr">
        <is>
          <t>GOTLANDS LÄN</t>
        </is>
      </c>
      <c r="E307" t="inlineStr">
        <is>
          <t>GOTLAND</t>
        </is>
      </c>
      <c r="G307" t="n">
        <v>5.3</v>
      </c>
      <c r="H307" t="n">
        <v>0</v>
      </c>
      <c r="I307" t="n">
        <v>0</v>
      </c>
      <c r="J307" t="n">
        <v>0</v>
      </c>
      <c r="K307" t="n">
        <v>0</v>
      </c>
      <c r="L307" t="n">
        <v>0</v>
      </c>
      <c r="M307" t="n">
        <v>0</v>
      </c>
      <c r="N307" t="n">
        <v>0</v>
      </c>
      <c r="O307" t="n">
        <v>0</v>
      </c>
      <c r="P307" t="n">
        <v>0</v>
      </c>
      <c r="Q307" t="n">
        <v>0</v>
      </c>
      <c r="R307" s="2" t="inlineStr"/>
    </row>
    <row r="308" ht="15" customHeight="1">
      <c r="A308" t="inlineStr">
        <is>
          <t>A 33876-2024</t>
        </is>
      </c>
      <c r="B308" s="1" t="n">
        <v>45521.87988425926</v>
      </c>
      <c r="C308" s="1" t="n">
        <v>46035</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28285-2024</t>
        </is>
      </c>
      <c r="B309" s="1" t="n">
        <v>45477</v>
      </c>
      <c r="C309" s="1" t="n">
        <v>46035</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61100-2022</t>
        </is>
      </c>
      <c r="B310" s="1" t="n">
        <v>44915</v>
      </c>
      <c r="C310" s="1" t="n">
        <v>46035</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10158-2025</t>
        </is>
      </c>
      <c r="B311" s="1" t="n">
        <v>45719</v>
      </c>
      <c r="C311" s="1" t="n">
        <v>46035</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61682-2024</t>
        </is>
      </c>
      <c r="B312" s="1" t="n">
        <v>45647.48824074074</v>
      </c>
      <c r="C312" s="1" t="n">
        <v>46035</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5462-2025</t>
        </is>
      </c>
      <c r="B313" s="1" t="n">
        <v>45693.29331018519</v>
      </c>
      <c r="C313" s="1" t="n">
        <v>46035</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43911-2025</t>
        </is>
      </c>
      <c r="B314" s="1" t="n">
        <v>45914.3881712963</v>
      </c>
      <c r="C314" s="1" t="n">
        <v>46035</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44410-2025</t>
        </is>
      </c>
      <c r="B315" s="1" t="n">
        <v>45916.53699074074</v>
      </c>
      <c r="C315" s="1" t="n">
        <v>46035</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46035</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46035</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25796-2025</t>
        </is>
      </c>
      <c r="B318" s="1" t="n">
        <v>45804.39543981481</v>
      </c>
      <c r="C318" s="1" t="n">
        <v>46035</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58388-2022</t>
        </is>
      </c>
      <c r="B319" s="1" t="n">
        <v>44894</v>
      </c>
      <c r="C319" s="1" t="n">
        <v>46035</v>
      </c>
      <c r="D319" t="inlineStr">
        <is>
          <t>GOTLANDS LÄN</t>
        </is>
      </c>
      <c r="E319" t="inlineStr">
        <is>
          <t>GOTLAND</t>
        </is>
      </c>
      <c r="F319" t="inlineStr">
        <is>
          <t>Övriga statliga verk och myndigheter</t>
        </is>
      </c>
      <c r="G319" t="n">
        <v>3.1</v>
      </c>
      <c r="H319" t="n">
        <v>0</v>
      </c>
      <c r="I319" t="n">
        <v>0</v>
      </c>
      <c r="J319" t="n">
        <v>0</v>
      </c>
      <c r="K319" t="n">
        <v>0</v>
      </c>
      <c r="L319" t="n">
        <v>0</v>
      </c>
      <c r="M319" t="n">
        <v>0</v>
      </c>
      <c r="N319" t="n">
        <v>0</v>
      </c>
      <c r="O319" t="n">
        <v>0</v>
      </c>
      <c r="P319" t="n">
        <v>0</v>
      </c>
      <c r="Q319" t="n">
        <v>0</v>
      </c>
      <c r="R319" s="2" t="inlineStr"/>
    </row>
    <row r="320" ht="15" customHeight="1">
      <c r="A320" t="inlineStr">
        <is>
          <t>A 21792-2024</t>
        </is>
      </c>
      <c r="B320" s="1" t="n">
        <v>45442.64326388889</v>
      </c>
      <c r="C320" s="1" t="n">
        <v>46035</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49724-2025</t>
        </is>
      </c>
      <c r="B321" s="1" t="n">
        <v>45939.83730324074</v>
      </c>
      <c r="C321" s="1" t="n">
        <v>46035</v>
      </c>
      <c r="D321" t="inlineStr">
        <is>
          <t>GOTLANDS LÄN</t>
        </is>
      </c>
      <c r="E321" t="inlineStr">
        <is>
          <t>GOTLAND</t>
        </is>
      </c>
      <c r="F321" t="inlineStr">
        <is>
          <t>Kyrkan</t>
        </is>
      </c>
      <c r="G321" t="n">
        <v>3.1</v>
      </c>
      <c r="H321" t="n">
        <v>0</v>
      </c>
      <c r="I321" t="n">
        <v>0</v>
      </c>
      <c r="J321" t="n">
        <v>0</v>
      </c>
      <c r="K321" t="n">
        <v>0</v>
      </c>
      <c r="L321" t="n">
        <v>0</v>
      </c>
      <c r="M321" t="n">
        <v>0</v>
      </c>
      <c r="N321" t="n">
        <v>0</v>
      </c>
      <c r="O321" t="n">
        <v>0</v>
      </c>
      <c r="P321" t="n">
        <v>0</v>
      </c>
      <c r="Q321" t="n">
        <v>0</v>
      </c>
      <c r="R321" s="2" t="inlineStr"/>
    </row>
    <row r="322" ht="15" customHeight="1">
      <c r="A322" t="inlineStr">
        <is>
          <t>A 49730-2025</t>
        </is>
      </c>
      <c r="B322" s="1" t="n">
        <v>45939.87613425926</v>
      </c>
      <c r="C322" s="1" t="n">
        <v>46035</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26457-2025</t>
        </is>
      </c>
      <c r="B323" s="1" t="n">
        <v>45807.42773148148</v>
      </c>
      <c r="C323" s="1" t="n">
        <v>46035</v>
      </c>
      <c r="D323" t="inlineStr">
        <is>
          <t>GOTLANDS LÄN</t>
        </is>
      </c>
      <c r="E323" t="inlineStr">
        <is>
          <t>GOTLAND</t>
        </is>
      </c>
      <c r="G323" t="n">
        <v>5.7</v>
      </c>
      <c r="H323" t="n">
        <v>0</v>
      </c>
      <c r="I323" t="n">
        <v>0</v>
      </c>
      <c r="J323" t="n">
        <v>0</v>
      </c>
      <c r="K323" t="n">
        <v>0</v>
      </c>
      <c r="L323" t="n">
        <v>0</v>
      </c>
      <c r="M323" t="n">
        <v>0</v>
      </c>
      <c r="N323" t="n">
        <v>0</v>
      </c>
      <c r="O323" t="n">
        <v>0</v>
      </c>
      <c r="P323" t="n">
        <v>0</v>
      </c>
      <c r="Q323" t="n">
        <v>0</v>
      </c>
      <c r="R323" s="2" t="inlineStr"/>
    </row>
    <row r="324" ht="15" customHeight="1">
      <c r="A324" t="inlineStr">
        <is>
          <t>A 26467-2025</t>
        </is>
      </c>
      <c r="B324" s="1" t="n">
        <v>45807.44640046296</v>
      </c>
      <c r="C324" s="1" t="n">
        <v>46035</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17688-2024</t>
        </is>
      </c>
      <c r="B325" s="1" t="n">
        <v>45418.43575231481</v>
      </c>
      <c r="C325" s="1" t="n">
        <v>46035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7837-2024</t>
        </is>
      </c>
      <c r="B326" s="1" t="n">
        <v>45349.83787037037</v>
      </c>
      <c r="C326" s="1" t="n">
        <v>46035</v>
      </c>
      <c r="D326" t="inlineStr">
        <is>
          <t>GOTLANDS LÄN</t>
        </is>
      </c>
      <c r="E326" t="inlineStr">
        <is>
          <t>GOTLAND</t>
        </is>
      </c>
      <c r="G326" t="n">
        <v>5</v>
      </c>
      <c r="H326" t="n">
        <v>0</v>
      </c>
      <c r="I326" t="n">
        <v>0</v>
      </c>
      <c r="J326" t="n">
        <v>0</v>
      </c>
      <c r="K326" t="n">
        <v>0</v>
      </c>
      <c r="L326" t="n">
        <v>0</v>
      </c>
      <c r="M326" t="n">
        <v>0</v>
      </c>
      <c r="N326" t="n">
        <v>0</v>
      </c>
      <c r="O326" t="n">
        <v>0</v>
      </c>
      <c r="P326" t="n">
        <v>0</v>
      </c>
      <c r="Q326" t="n">
        <v>0</v>
      </c>
      <c r="R326" s="2" t="inlineStr"/>
    </row>
    <row r="327" ht="15" customHeight="1">
      <c r="A327" t="inlineStr">
        <is>
          <t>A 26465-2025</t>
        </is>
      </c>
      <c r="B327" s="1" t="n">
        <v>45807.44377314814</v>
      </c>
      <c r="C327" s="1" t="n">
        <v>46035</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46035</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26660-2025</t>
        </is>
      </c>
      <c r="B329" s="1" t="n">
        <v>45810.39737268518</v>
      </c>
      <c r="C329" s="1" t="n">
        <v>46035</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4568-2025</t>
        </is>
      </c>
      <c r="B330" s="1" t="n">
        <v>45687</v>
      </c>
      <c r="C330" s="1" t="n">
        <v>46035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46836-2025</t>
        </is>
      </c>
      <c r="B331" s="1" t="n">
        <v>45928.31511574074</v>
      </c>
      <c r="C331" s="1" t="n">
        <v>46035</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27371-2025</t>
        </is>
      </c>
      <c r="B332" s="1" t="n">
        <v>45812</v>
      </c>
      <c r="C332" s="1" t="n">
        <v>46035</v>
      </c>
      <c r="D332" t="inlineStr">
        <is>
          <t>GOTLANDS LÄN</t>
        </is>
      </c>
      <c r="E332" t="inlineStr">
        <is>
          <t>GOTLAND</t>
        </is>
      </c>
      <c r="G332" t="n">
        <v>8</v>
      </c>
      <c r="H332" t="n">
        <v>0</v>
      </c>
      <c r="I332" t="n">
        <v>0</v>
      </c>
      <c r="J332" t="n">
        <v>0</v>
      </c>
      <c r="K332" t="n">
        <v>0</v>
      </c>
      <c r="L332" t="n">
        <v>0</v>
      </c>
      <c r="M332" t="n">
        <v>0</v>
      </c>
      <c r="N332" t="n">
        <v>0</v>
      </c>
      <c r="O332" t="n">
        <v>0</v>
      </c>
      <c r="P332" t="n">
        <v>0</v>
      </c>
      <c r="Q332" t="n">
        <v>0</v>
      </c>
      <c r="R332" s="2" t="inlineStr"/>
    </row>
    <row r="333" ht="15" customHeight="1">
      <c r="A333" t="inlineStr">
        <is>
          <t>A 27355-2025</t>
        </is>
      </c>
      <c r="B333" s="1" t="n">
        <v>45812</v>
      </c>
      <c r="C333" s="1" t="n">
        <v>46035</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49690-2025</t>
        </is>
      </c>
      <c r="B334" s="1" t="n">
        <v>45939.66730324074</v>
      </c>
      <c r="C334" s="1" t="n">
        <v>46035</v>
      </c>
      <c r="D334" t="inlineStr">
        <is>
          <t>GOTLANDS LÄN</t>
        </is>
      </c>
      <c r="E334" t="inlineStr">
        <is>
          <t>GOTLAND</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6739-2025</t>
        </is>
      </c>
      <c r="B335" s="1" t="n">
        <v>45700</v>
      </c>
      <c r="C335" s="1" t="n">
        <v>46035</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7850-2025</t>
        </is>
      </c>
      <c r="B336" s="1" t="n">
        <v>45706</v>
      </c>
      <c r="C336" s="1" t="n">
        <v>46035</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33011-2025</t>
        </is>
      </c>
      <c r="B337" s="1" t="n">
        <v>45840</v>
      </c>
      <c r="C337" s="1" t="n">
        <v>46035</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46035</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5905-2024</t>
        </is>
      </c>
      <c r="B339" s="1" t="n">
        <v>45335.88993055555</v>
      </c>
      <c r="C339" s="1" t="n">
        <v>46035</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8444-2025</t>
        </is>
      </c>
      <c r="B340" s="1" t="n">
        <v>45709</v>
      </c>
      <c r="C340" s="1" t="n">
        <v>46035</v>
      </c>
      <c r="D340" t="inlineStr">
        <is>
          <t>GOTLANDS LÄN</t>
        </is>
      </c>
      <c r="E340" t="inlineStr">
        <is>
          <t>GOTLAND</t>
        </is>
      </c>
      <c r="G340" t="n">
        <v>5.2</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46035</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50421-2025</t>
        </is>
      </c>
      <c r="B342" s="1" t="n">
        <v>45944.66049768519</v>
      </c>
      <c r="C342" s="1" t="n">
        <v>46035</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57652-2023</t>
        </is>
      </c>
      <c r="B343" s="1" t="n">
        <v>45246</v>
      </c>
      <c r="C343" s="1" t="n">
        <v>46035</v>
      </c>
      <c r="D343" t="inlineStr">
        <is>
          <t>GOTLANDS LÄN</t>
        </is>
      </c>
      <c r="E343" t="inlineStr">
        <is>
          <t>GOTLAND</t>
        </is>
      </c>
      <c r="G343" t="n">
        <v>7.2</v>
      </c>
      <c r="H343" t="n">
        <v>0</v>
      </c>
      <c r="I343" t="n">
        <v>0</v>
      </c>
      <c r="J343" t="n">
        <v>0</v>
      </c>
      <c r="K343" t="n">
        <v>0</v>
      </c>
      <c r="L343" t="n">
        <v>0</v>
      </c>
      <c r="M343" t="n">
        <v>0</v>
      </c>
      <c r="N343" t="n">
        <v>0</v>
      </c>
      <c r="O343" t="n">
        <v>0</v>
      </c>
      <c r="P343" t="n">
        <v>0</v>
      </c>
      <c r="Q343" t="n">
        <v>0</v>
      </c>
      <c r="R343" s="2" t="inlineStr"/>
    </row>
    <row r="344" ht="15" customHeight="1">
      <c r="A344" t="inlineStr">
        <is>
          <t>A 49315-2024</t>
        </is>
      </c>
      <c r="B344" s="1" t="n">
        <v>45595</v>
      </c>
      <c r="C344" s="1" t="n">
        <v>46035</v>
      </c>
      <c r="D344" t="inlineStr">
        <is>
          <t>GOTLANDS LÄN</t>
        </is>
      </c>
      <c r="E344" t="inlineStr">
        <is>
          <t>GOTLAND</t>
        </is>
      </c>
      <c r="G344" t="n">
        <v>1.5</v>
      </c>
      <c r="H344" t="n">
        <v>0</v>
      </c>
      <c r="I344" t="n">
        <v>0</v>
      </c>
      <c r="J344" t="n">
        <v>0</v>
      </c>
      <c r="K344" t="n">
        <v>0</v>
      </c>
      <c r="L344" t="n">
        <v>0</v>
      </c>
      <c r="M344" t="n">
        <v>0</v>
      </c>
      <c r="N344" t="n">
        <v>0</v>
      </c>
      <c r="O344" t="n">
        <v>0</v>
      </c>
      <c r="P344" t="n">
        <v>0</v>
      </c>
      <c r="Q344" t="n">
        <v>0</v>
      </c>
      <c r="R344" s="2" t="inlineStr"/>
    </row>
    <row r="345" ht="15" customHeight="1">
      <c r="A345" t="inlineStr">
        <is>
          <t>A 19905-2025</t>
        </is>
      </c>
      <c r="B345" s="1" t="n">
        <v>45771</v>
      </c>
      <c r="C345" s="1" t="n">
        <v>46035</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45106-2024</t>
        </is>
      </c>
      <c r="B346" s="1" t="n">
        <v>45575</v>
      </c>
      <c r="C346" s="1" t="n">
        <v>46035</v>
      </c>
      <c r="D346" t="inlineStr">
        <is>
          <t>GOTLANDS LÄN</t>
        </is>
      </c>
      <c r="E346" t="inlineStr">
        <is>
          <t>GOTLAND</t>
        </is>
      </c>
      <c r="G346" t="n">
        <v>10</v>
      </c>
      <c r="H346" t="n">
        <v>0</v>
      </c>
      <c r="I346" t="n">
        <v>0</v>
      </c>
      <c r="J346" t="n">
        <v>0</v>
      </c>
      <c r="K346" t="n">
        <v>0</v>
      </c>
      <c r="L346" t="n">
        <v>0</v>
      </c>
      <c r="M346" t="n">
        <v>0</v>
      </c>
      <c r="N346" t="n">
        <v>0</v>
      </c>
      <c r="O346" t="n">
        <v>0</v>
      </c>
      <c r="P346" t="n">
        <v>0</v>
      </c>
      <c r="Q346" t="n">
        <v>0</v>
      </c>
      <c r="R346" s="2" t="inlineStr"/>
    </row>
    <row r="347" ht="15" customHeight="1">
      <c r="A347" t="inlineStr">
        <is>
          <t>A 45112-2024</t>
        </is>
      </c>
      <c r="B347" s="1" t="n">
        <v>45575</v>
      </c>
      <c r="C347" s="1" t="n">
        <v>46035</v>
      </c>
      <c r="D347" t="inlineStr">
        <is>
          <t>GOTLANDS LÄN</t>
        </is>
      </c>
      <c r="E347" t="inlineStr">
        <is>
          <t>GOTLAND</t>
        </is>
      </c>
      <c r="G347" t="n">
        <v>5.1</v>
      </c>
      <c r="H347" t="n">
        <v>0</v>
      </c>
      <c r="I347" t="n">
        <v>0</v>
      </c>
      <c r="J347" t="n">
        <v>0</v>
      </c>
      <c r="K347" t="n">
        <v>0</v>
      </c>
      <c r="L347" t="n">
        <v>0</v>
      </c>
      <c r="M347" t="n">
        <v>0</v>
      </c>
      <c r="N347" t="n">
        <v>0</v>
      </c>
      <c r="O347" t="n">
        <v>0</v>
      </c>
      <c r="P347" t="n">
        <v>0</v>
      </c>
      <c r="Q347" t="n">
        <v>0</v>
      </c>
      <c r="R347" s="2" t="inlineStr"/>
    </row>
    <row r="348" ht="15" customHeight="1">
      <c r="A348" t="inlineStr">
        <is>
          <t>A 29196-2025</t>
        </is>
      </c>
      <c r="B348" s="1" t="n">
        <v>45822</v>
      </c>
      <c r="C348" s="1" t="n">
        <v>46035</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2676-2023</t>
        </is>
      </c>
      <c r="B349" s="1" t="n">
        <v>44944</v>
      </c>
      <c r="C349" s="1" t="n">
        <v>46035</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50431-2025</t>
        </is>
      </c>
      <c r="B350" s="1" t="n">
        <v>45944.68453703704</v>
      </c>
      <c r="C350" s="1" t="n">
        <v>46035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29207-2025</t>
        </is>
      </c>
      <c r="B351" s="1" t="n">
        <v>45823</v>
      </c>
      <c r="C351" s="1" t="n">
        <v>46035</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3150-2025</t>
        </is>
      </c>
      <c r="B352" s="1" t="n">
        <v>45679.28974537037</v>
      </c>
      <c r="C352" s="1" t="n">
        <v>46035</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8484-2025</t>
        </is>
      </c>
      <c r="B353" s="1" t="n">
        <v>45709</v>
      </c>
      <c r="C353" s="1" t="n">
        <v>46035</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7635-2025</t>
        </is>
      </c>
      <c r="B354" s="1" t="n">
        <v>45705</v>
      </c>
      <c r="C354" s="1" t="n">
        <v>46035</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7636-2025</t>
        </is>
      </c>
      <c r="B355" s="1" t="n">
        <v>45705.7687962963</v>
      </c>
      <c r="C355" s="1" t="n">
        <v>46035</v>
      </c>
      <c r="D355" t="inlineStr">
        <is>
          <t>GOTLANDS LÄN</t>
        </is>
      </c>
      <c r="E355" t="inlineStr">
        <is>
          <t>GOTLAND</t>
        </is>
      </c>
      <c r="G355" t="n">
        <v>0.6</v>
      </c>
      <c r="H355" t="n">
        <v>0</v>
      </c>
      <c r="I355" t="n">
        <v>0</v>
      </c>
      <c r="J355" t="n">
        <v>0</v>
      </c>
      <c r="K355" t="n">
        <v>0</v>
      </c>
      <c r="L355" t="n">
        <v>0</v>
      </c>
      <c r="M355" t="n">
        <v>0</v>
      </c>
      <c r="N355" t="n">
        <v>0</v>
      </c>
      <c r="O355" t="n">
        <v>0</v>
      </c>
      <c r="P355" t="n">
        <v>0</v>
      </c>
      <c r="Q355" t="n">
        <v>0</v>
      </c>
      <c r="R355" s="2" t="inlineStr"/>
    </row>
    <row r="356" ht="15" customHeight="1">
      <c r="A356" t="inlineStr">
        <is>
          <t>A 7639-2025</t>
        </is>
      </c>
      <c r="B356" s="1" t="n">
        <v>45705.77465277778</v>
      </c>
      <c r="C356" s="1" t="n">
        <v>46035</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30061-2025</t>
        </is>
      </c>
      <c r="B357" s="1" t="n">
        <v>45826.61488425926</v>
      </c>
      <c r="C357" s="1" t="n">
        <v>46035</v>
      </c>
      <c r="D357" t="inlineStr">
        <is>
          <t>GOTLANDS LÄN</t>
        </is>
      </c>
      <c r="E357" t="inlineStr">
        <is>
          <t>GOTLAND</t>
        </is>
      </c>
      <c r="G357" t="n">
        <v>4.1</v>
      </c>
      <c r="H357" t="n">
        <v>0</v>
      </c>
      <c r="I357" t="n">
        <v>0</v>
      </c>
      <c r="J357" t="n">
        <v>0</v>
      </c>
      <c r="K357" t="n">
        <v>0</v>
      </c>
      <c r="L357" t="n">
        <v>0</v>
      </c>
      <c r="M357" t="n">
        <v>0</v>
      </c>
      <c r="N357" t="n">
        <v>0</v>
      </c>
      <c r="O357" t="n">
        <v>0</v>
      </c>
      <c r="P357" t="n">
        <v>0</v>
      </c>
      <c r="Q357" t="n">
        <v>0</v>
      </c>
      <c r="R357" s="2" t="inlineStr"/>
    </row>
    <row r="358" ht="15" customHeight="1">
      <c r="A358" t="inlineStr">
        <is>
          <t>A 20356-2022</t>
        </is>
      </c>
      <c r="B358" s="1" t="n">
        <v>44699</v>
      </c>
      <c r="C358" s="1" t="n">
        <v>46035</v>
      </c>
      <c r="D358" t="inlineStr">
        <is>
          <t>GOTLANDS LÄN</t>
        </is>
      </c>
      <c r="E358" t="inlineStr">
        <is>
          <t>GOTLAND</t>
        </is>
      </c>
      <c r="F358" t="inlineStr">
        <is>
          <t>Övriga Aktiebolag</t>
        </is>
      </c>
      <c r="G358" t="n">
        <v>4.4</v>
      </c>
      <c r="H358" t="n">
        <v>0</v>
      </c>
      <c r="I358" t="n">
        <v>0</v>
      </c>
      <c r="J358" t="n">
        <v>0</v>
      </c>
      <c r="K358" t="n">
        <v>0</v>
      </c>
      <c r="L358" t="n">
        <v>0</v>
      </c>
      <c r="M358" t="n">
        <v>0</v>
      </c>
      <c r="N358" t="n">
        <v>0</v>
      </c>
      <c r="O358" t="n">
        <v>0</v>
      </c>
      <c r="P358" t="n">
        <v>0</v>
      </c>
      <c r="Q358" t="n">
        <v>0</v>
      </c>
      <c r="R358" s="2" t="inlineStr"/>
    </row>
    <row r="359" ht="15" customHeight="1">
      <c r="A359" t="inlineStr">
        <is>
          <t>A 48734-2022</t>
        </is>
      </c>
      <c r="B359" s="1" t="n">
        <v>44855</v>
      </c>
      <c r="C359" s="1" t="n">
        <v>46035</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14141-2024</t>
        </is>
      </c>
      <c r="B360" s="1" t="n">
        <v>45392.85193287037</v>
      </c>
      <c r="C360" s="1" t="n">
        <v>46035</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29809-2022</t>
        </is>
      </c>
      <c r="B361" s="1" t="n">
        <v>44755.8713425926</v>
      </c>
      <c r="C361" s="1" t="n">
        <v>46035</v>
      </c>
      <c r="D361" t="inlineStr">
        <is>
          <t>GOTLANDS LÄN</t>
        </is>
      </c>
      <c r="E361" t="inlineStr">
        <is>
          <t>GOTLAND</t>
        </is>
      </c>
      <c r="G361" t="n">
        <v>11.5</v>
      </c>
      <c r="H361" t="n">
        <v>0</v>
      </c>
      <c r="I361" t="n">
        <v>0</v>
      </c>
      <c r="J361" t="n">
        <v>0</v>
      </c>
      <c r="K361" t="n">
        <v>0</v>
      </c>
      <c r="L361" t="n">
        <v>0</v>
      </c>
      <c r="M361" t="n">
        <v>0</v>
      </c>
      <c r="N361" t="n">
        <v>0</v>
      </c>
      <c r="O361" t="n">
        <v>0</v>
      </c>
      <c r="P361" t="n">
        <v>0</v>
      </c>
      <c r="Q361" t="n">
        <v>0</v>
      </c>
      <c r="R361" s="2" t="inlineStr"/>
    </row>
    <row r="362" ht="15" customHeight="1">
      <c r="A362" t="inlineStr">
        <is>
          <t>A 58160-2024</t>
        </is>
      </c>
      <c r="B362" s="1" t="n">
        <v>45632.44927083333</v>
      </c>
      <c r="C362" s="1" t="n">
        <v>46035</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50928-2025</t>
        </is>
      </c>
      <c r="B363" s="1" t="n">
        <v>45946.67896990741</v>
      </c>
      <c r="C363" s="1" t="n">
        <v>46035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57685-2022</t>
        </is>
      </c>
      <c r="B364" s="1" t="n">
        <v>44897.4777662037</v>
      </c>
      <c r="C364" s="1" t="n">
        <v>46035</v>
      </c>
      <c r="D364" t="inlineStr">
        <is>
          <t>GOTLANDS LÄN</t>
        </is>
      </c>
      <c r="E364" t="inlineStr">
        <is>
          <t>GOTLAND</t>
        </is>
      </c>
      <c r="G364" t="n">
        <v>3.7</v>
      </c>
      <c r="H364" t="n">
        <v>0</v>
      </c>
      <c r="I364" t="n">
        <v>0</v>
      </c>
      <c r="J364" t="n">
        <v>0</v>
      </c>
      <c r="K364" t="n">
        <v>0</v>
      </c>
      <c r="L364" t="n">
        <v>0</v>
      </c>
      <c r="M364" t="n">
        <v>0</v>
      </c>
      <c r="N364" t="n">
        <v>0</v>
      </c>
      <c r="O364" t="n">
        <v>0</v>
      </c>
      <c r="P364" t="n">
        <v>0</v>
      </c>
      <c r="Q364" t="n">
        <v>0</v>
      </c>
      <c r="R364" s="2" t="inlineStr"/>
    </row>
    <row r="365" ht="15" customHeight="1">
      <c r="A365" t="inlineStr">
        <is>
          <t>A 30815-2023</t>
        </is>
      </c>
      <c r="B365" s="1" t="n">
        <v>45112</v>
      </c>
      <c r="C365" s="1" t="n">
        <v>46035</v>
      </c>
      <c r="D365" t="inlineStr">
        <is>
          <t>GOTLANDS LÄN</t>
        </is>
      </c>
      <c r="E365" t="inlineStr">
        <is>
          <t>GOTLAND</t>
        </is>
      </c>
      <c r="G365" t="n">
        <v>6</v>
      </c>
      <c r="H365" t="n">
        <v>0</v>
      </c>
      <c r="I365" t="n">
        <v>0</v>
      </c>
      <c r="J365" t="n">
        <v>0</v>
      </c>
      <c r="K365" t="n">
        <v>0</v>
      </c>
      <c r="L365" t="n">
        <v>0</v>
      </c>
      <c r="M365" t="n">
        <v>0</v>
      </c>
      <c r="N365" t="n">
        <v>0</v>
      </c>
      <c r="O365" t="n">
        <v>0</v>
      </c>
      <c r="P365" t="n">
        <v>0</v>
      </c>
      <c r="Q365" t="n">
        <v>0</v>
      </c>
      <c r="R365" s="2" t="inlineStr"/>
    </row>
    <row r="366" ht="15" customHeight="1">
      <c r="A366" t="inlineStr">
        <is>
          <t>A 7034-2023</t>
        </is>
      </c>
      <c r="B366" s="1" t="n">
        <v>44968.32108796296</v>
      </c>
      <c r="C366" s="1" t="n">
        <v>46035</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7042-2023</t>
        </is>
      </c>
      <c r="B367" s="1" t="n">
        <v>44968</v>
      </c>
      <c r="C367" s="1" t="n">
        <v>46035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23516-2023</t>
        </is>
      </c>
      <c r="B368" s="1" t="n">
        <v>45076.93391203704</v>
      </c>
      <c r="C368" s="1" t="n">
        <v>46035</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46035</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32379-2025</t>
        </is>
      </c>
      <c r="B370" s="1" t="n">
        <v>45837</v>
      </c>
      <c r="C370" s="1" t="n">
        <v>46035</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63763-2023</t>
        </is>
      </c>
      <c r="B371" s="1" t="n">
        <v>45278.33944444444</v>
      </c>
      <c r="C371" s="1" t="n">
        <v>46035</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51262-2025</t>
        </is>
      </c>
      <c r="B372" s="1" t="n">
        <v>45949.49872685185</v>
      </c>
      <c r="C372" s="1" t="n">
        <v>46035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32467-2025</t>
        </is>
      </c>
      <c r="B373" s="1" t="n">
        <v>45838.42111111111</v>
      </c>
      <c r="C373" s="1" t="n">
        <v>46035</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16109-2025</t>
        </is>
      </c>
      <c r="B374" s="1" t="n">
        <v>45750</v>
      </c>
      <c r="C374" s="1" t="n">
        <v>46035</v>
      </c>
      <c r="D374" t="inlineStr">
        <is>
          <t>GOTLANDS LÄN</t>
        </is>
      </c>
      <c r="E374" t="inlineStr">
        <is>
          <t>GOTLAND</t>
        </is>
      </c>
      <c r="G374" t="n">
        <v>4.9</v>
      </c>
      <c r="H374" t="n">
        <v>0</v>
      </c>
      <c r="I374" t="n">
        <v>0</v>
      </c>
      <c r="J374" t="n">
        <v>0</v>
      </c>
      <c r="K374" t="n">
        <v>0</v>
      </c>
      <c r="L374" t="n">
        <v>0</v>
      </c>
      <c r="M374" t="n">
        <v>0</v>
      </c>
      <c r="N374" t="n">
        <v>0</v>
      </c>
      <c r="O374" t="n">
        <v>0</v>
      </c>
      <c r="P374" t="n">
        <v>0</v>
      </c>
      <c r="Q374" t="n">
        <v>0</v>
      </c>
      <c r="R374" s="2" t="inlineStr"/>
    </row>
    <row r="375" ht="15" customHeight="1">
      <c r="A375" t="inlineStr">
        <is>
          <t>A 63229-2021</t>
        </is>
      </c>
      <c r="B375" s="1" t="n">
        <v>44508.34518518519</v>
      </c>
      <c r="C375" s="1" t="n">
        <v>46035</v>
      </c>
      <c r="D375" t="inlineStr">
        <is>
          <t>GOTLANDS LÄN</t>
        </is>
      </c>
      <c r="E375" t="inlineStr">
        <is>
          <t>GOTLAND</t>
        </is>
      </c>
      <c r="F375" t="inlineStr">
        <is>
          <t>Kyrkan</t>
        </is>
      </c>
      <c r="G375" t="n">
        <v>3.8</v>
      </c>
      <c r="H375" t="n">
        <v>0</v>
      </c>
      <c r="I375" t="n">
        <v>0</v>
      </c>
      <c r="J375" t="n">
        <v>0</v>
      </c>
      <c r="K375" t="n">
        <v>0</v>
      </c>
      <c r="L375" t="n">
        <v>0</v>
      </c>
      <c r="M375" t="n">
        <v>0</v>
      </c>
      <c r="N375" t="n">
        <v>0</v>
      </c>
      <c r="O375" t="n">
        <v>0</v>
      </c>
      <c r="P375" t="n">
        <v>0</v>
      </c>
      <c r="Q375" t="n">
        <v>0</v>
      </c>
      <c r="R375" s="2" t="inlineStr"/>
    </row>
    <row r="376" ht="15" customHeight="1">
      <c r="A376" t="inlineStr">
        <is>
          <t>A 46375-2024</t>
        </is>
      </c>
      <c r="B376" s="1" t="n">
        <v>45582</v>
      </c>
      <c r="C376" s="1" t="n">
        <v>46035</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33007-2025</t>
        </is>
      </c>
      <c r="B377" s="1" t="n">
        <v>45840</v>
      </c>
      <c r="C377" s="1" t="n">
        <v>46035</v>
      </c>
      <c r="D377" t="inlineStr">
        <is>
          <t>GOTLANDS LÄN</t>
        </is>
      </c>
      <c r="E377" t="inlineStr">
        <is>
          <t>GOTLAND</t>
        </is>
      </c>
      <c r="G377" t="n">
        <v>4.9</v>
      </c>
      <c r="H377" t="n">
        <v>0</v>
      </c>
      <c r="I377" t="n">
        <v>0</v>
      </c>
      <c r="J377" t="n">
        <v>0</v>
      </c>
      <c r="K377" t="n">
        <v>0</v>
      </c>
      <c r="L377" t="n">
        <v>0</v>
      </c>
      <c r="M377" t="n">
        <v>0</v>
      </c>
      <c r="N377" t="n">
        <v>0</v>
      </c>
      <c r="O377" t="n">
        <v>0</v>
      </c>
      <c r="P377" t="n">
        <v>0</v>
      </c>
      <c r="Q377" t="n">
        <v>0</v>
      </c>
      <c r="R377" s="2" t="inlineStr"/>
    </row>
    <row r="378" ht="15" customHeight="1">
      <c r="A378" t="inlineStr">
        <is>
          <t>A 1734-2025</t>
        </is>
      </c>
      <c r="B378" s="1" t="n">
        <v>45671.3840625</v>
      </c>
      <c r="C378" s="1" t="n">
        <v>46035</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20993-2023</t>
        </is>
      </c>
      <c r="B379" s="1" t="n">
        <v>45056</v>
      </c>
      <c r="C379" s="1" t="n">
        <v>46035</v>
      </c>
      <c r="D379" t="inlineStr">
        <is>
          <t>GOTLANDS LÄN</t>
        </is>
      </c>
      <c r="E379" t="inlineStr">
        <is>
          <t>GOTLAND</t>
        </is>
      </c>
      <c r="G379" t="n">
        <v>7.1</v>
      </c>
      <c r="H379" t="n">
        <v>0</v>
      </c>
      <c r="I379" t="n">
        <v>0</v>
      </c>
      <c r="J379" t="n">
        <v>0</v>
      </c>
      <c r="K379" t="n">
        <v>0</v>
      </c>
      <c r="L379" t="n">
        <v>0</v>
      </c>
      <c r="M379" t="n">
        <v>0</v>
      </c>
      <c r="N379" t="n">
        <v>0</v>
      </c>
      <c r="O379" t="n">
        <v>0</v>
      </c>
      <c r="P379" t="n">
        <v>0</v>
      </c>
      <c r="Q379" t="n">
        <v>0</v>
      </c>
      <c r="R379" s="2" t="inlineStr"/>
    </row>
    <row r="380" ht="15" customHeight="1">
      <c r="A380" t="inlineStr">
        <is>
          <t>A 12596-2023</t>
        </is>
      </c>
      <c r="B380" s="1" t="n">
        <v>45000.43310185185</v>
      </c>
      <c r="C380" s="1" t="n">
        <v>46035</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46035</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12155-2023</t>
        </is>
      </c>
      <c r="B382" s="1" t="n">
        <v>44998.49106481481</v>
      </c>
      <c r="C382" s="1" t="n">
        <v>46035</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457-2023</t>
        </is>
      </c>
      <c r="B383" s="1" t="n">
        <v>44929.87238425926</v>
      </c>
      <c r="C383" s="1" t="n">
        <v>46035</v>
      </c>
      <c r="D383" t="inlineStr">
        <is>
          <t>GOTLANDS LÄN</t>
        </is>
      </c>
      <c r="E383" t="inlineStr">
        <is>
          <t>GOTLAND</t>
        </is>
      </c>
      <c r="G383" t="n">
        <v>2.4</v>
      </c>
      <c r="H383" t="n">
        <v>0</v>
      </c>
      <c r="I383" t="n">
        <v>0</v>
      </c>
      <c r="J383" t="n">
        <v>0</v>
      </c>
      <c r="K383" t="n">
        <v>0</v>
      </c>
      <c r="L383" t="n">
        <v>0</v>
      </c>
      <c r="M383" t="n">
        <v>0</v>
      </c>
      <c r="N383" t="n">
        <v>0</v>
      </c>
      <c r="O383" t="n">
        <v>0</v>
      </c>
      <c r="P383" t="n">
        <v>0</v>
      </c>
      <c r="Q383" t="n">
        <v>0</v>
      </c>
      <c r="R383" s="2" t="inlineStr"/>
    </row>
    <row r="384" ht="15" customHeight="1">
      <c r="A384" t="inlineStr">
        <is>
          <t>A 459-2023</t>
        </is>
      </c>
      <c r="B384" s="1" t="n">
        <v>44929.87423611111</v>
      </c>
      <c r="C384" s="1" t="n">
        <v>46035</v>
      </c>
      <c r="D384" t="inlineStr">
        <is>
          <t>GOTLANDS LÄN</t>
        </is>
      </c>
      <c r="E384" t="inlineStr">
        <is>
          <t>GOTLAND</t>
        </is>
      </c>
      <c r="G384" t="n">
        <v>4.2</v>
      </c>
      <c r="H384" t="n">
        <v>0</v>
      </c>
      <c r="I384" t="n">
        <v>0</v>
      </c>
      <c r="J384" t="n">
        <v>0</v>
      </c>
      <c r="K384" t="n">
        <v>0</v>
      </c>
      <c r="L384" t="n">
        <v>0</v>
      </c>
      <c r="M384" t="n">
        <v>0</v>
      </c>
      <c r="N384" t="n">
        <v>0</v>
      </c>
      <c r="O384" t="n">
        <v>0</v>
      </c>
      <c r="P384" t="n">
        <v>0</v>
      </c>
      <c r="Q384" t="n">
        <v>0</v>
      </c>
      <c r="R384" s="2" t="inlineStr"/>
    </row>
    <row r="385" ht="15" customHeight="1">
      <c r="A385" t="inlineStr">
        <is>
          <t>A 38234-2023</t>
        </is>
      </c>
      <c r="B385" s="1" t="n">
        <v>45161.56663194444</v>
      </c>
      <c r="C385" s="1" t="n">
        <v>46035</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15413-2025</t>
        </is>
      </c>
      <c r="B386" s="1" t="n">
        <v>45747.451875</v>
      </c>
      <c r="C386" s="1" t="n">
        <v>46035</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50744-2024</t>
        </is>
      </c>
      <c r="B387" s="1" t="n">
        <v>45602.4187037037</v>
      </c>
      <c r="C387" s="1" t="n">
        <v>46035</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35123-2025</t>
        </is>
      </c>
      <c r="B388" s="1" t="n">
        <v>45852.614375</v>
      </c>
      <c r="C388" s="1" t="n">
        <v>46035</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35096-2025</t>
        </is>
      </c>
      <c r="B389" s="1" t="n">
        <v>45852.54356481481</v>
      </c>
      <c r="C389" s="1" t="n">
        <v>46035</v>
      </c>
      <c r="D389" t="inlineStr">
        <is>
          <t>GOTLANDS LÄN</t>
        </is>
      </c>
      <c r="E389" t="inlineStr">
        <is>
          <t>GOTLAND</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53934-2024</t>
        </is>
      </c>
      <c r="B390" s="1" t="n">
        <v>45615</v>
      </c>
      <c r="C390" s="1" t="n">
        <v>46035</v>
      </c>
      <c r="D390" t="inlineStr">
        <is>
          <t>GOTLANDS LÄN</t>
        </is>
      </c>
      <c r="E390" t="inlineStr">
        <is>
          <t>GOTLAND</t>
        </is>
      </c>
      <c r="G390" t="n">
        <v>5</v>
      </c>
      <c r="H390" t="n">
        <v>0</v>
      </c>
      <c r="I390" t="n">
        <v>0</v>
      </c>
      <c r="J390" t="n">
        <v>0</v>
      </c>
      <c r="K390" t="n">
        <v>0</v>
      </c>
      <c r="L390" t="n">
        <v>0</v>
      </c>
      <c r="M390" t="n">
        <v>0</v>
      </c>
      <c r="N390" t="n">
        <v>0</v>
      </c>
      <c r="O390" t="n">
        <v>0</v>
      </c>
      <c r="P390" t="n">
        <v>0</v>
      </c>
      <c r="Q390" t="n">
        <v>0</v>
      </c>
      <c r="R390" s="2" t="inlineStr"/>
    </row>
    <row r="391" ht="15" customHeight="1">
      <c r="A391" t="inlineStr">
        <is>
          <t>A 30104-2025</t>
        </is>
      </c>
      <c r="B391" s="1" t="n">
        <v>45826.68806712963</v>
      </c>
      <c r="C391" s="1" t="n">
        <v>46035</v>
      </c>
      <c r="D391" t="inlineStr">
        <is>
          <t>GOTLANDS LÄN</t>
        </is>
      </c>
      <c r="E391" t="inlineStr">
        <is>
          <t>GOTLAND</t>
        </is>
      </c>
      <c r="G391" t="n">
        <v>15.4</v>
      </c>
      <c r="H391" t="n">
        <v>0</v>
      </c>
      <c r="I391" t="n">
        <v>0</v>
      </c>
      <c r="J391" t="n">
        <v>0</v>
      </c>
      <c r="K391" t="n">
        <v>0</v>
      </c>
      <c r="L391" t="n">
        <v>0</v>
      </c>
      <c r="M391" t="n">
        <v>0</v>
      </c>
      <c r="N391" t="n">
        <v>0</v>
      </c>
      <c r="O391" t="n">
        <v>0</v>
      </c>
      <c r="P391" t="n">
        <v>0</v>
      </c>
      <c r="Q391" t="n">
        <v>0</v>
      </c>
      <c r="R391" s="2" t="inlineStr"/>
    </row>
    <row r="392" ht="15" customHeight="1">
      <c r="A392" t="inlineStr">
        <is>
          <t>A 52249-2025</t>
        </is>
      </c>
      <c r="B392" s="1" t="n">
        <v>45953.48637731482</v>
      </c>
      <c r="C392" s="1" t="n">
        <v>46035</v>
      </c>
      <c r="D392" t="inlineStr">
        <is>
          <t>GOTLANDS LÄN</t>
        </is>
      </c>
      <c r="E392" t="inlineStr">
        <is>
          <t>GOTLAND</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35290-2025</t>
        </is>
      </c>
      <c r="B393" s="1" t="n">
        <v>45854.38502314815</v>
      </c>
      <c r="C393" s="1" t="n">
        <v>46035</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32669-2024</t>
        </is>
      </c>
      <c r="B394" s="1" t="n">
        <v>45514</v>
      </c>
      <c r="C394" s="1" t="n">
        <v>46035</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35537-2025</t>
        </is>
      </c>
      <c r="B395" s="1" t="n">
        <v>45856</v>
      </c>
      <c r="C395" s="1" t="n">
        <v>46035</v>
      </c>
      <c r="D395" t="inlineStr">
        <is>
          <t>GOTLANDS LÄN</t>
        </is>
      </c>
      <c r="E395" t="inlineStr">
        <is>
          <t>GOTLAND</t>
        </is>
      </c>
      <c r="G395" t="n">
        <v>16.8</v>
      </c>
      <c r="H395" t="n">
        <v>0</v>
      </c>
      <c r="I395" t="n">
        <v>0</v>
      </c>
      <c r="J395" t="n">
        <v>0</v>
      </c>
      <c r="K395" t="n">
        <v>0</v>
      </c>
      <c r="L395" t="n">
        <v>0</v>
      </c>
      <c r="M395" t="n">
        <v>0</v>
      </c>
      <c r="N395" t="n">
        <v>0</v>
      </c>
      <c r="O395" t="n">
        <v>0</v>
      </c>
      <c r="P395" t="n">
        <v>0</v>
      </c>
      <c r="Q395" t="n">
        <v>0</v>
      </c>
      <c r="R395" s="2" t="inlineStr"/>
    </row>
    <row r="396" ht="15" customHeight="1">
      <c r="A396" t="inlineStr">
        <is>
          <t>A 15216-2025</t>
        </is>
      </c>
      <c r="B396" s="1" t="n">
        <v>45744</v>
      </c>
      <c r="C396" s="1" t="n">
        <v>46035</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43790-2024</t>
        </is>
      </c>
      <c r="B397" s="1" t="n">
        <v>45571</v>
      </c>
      <c r="C397" s="1" t="n">
        <v>46035</v>
      </c>
      <c r="D397" t="inlineStr">
        <is>
          <t>GOTLANDS LÄN</t>
        </is>
      </c>
      <c r="E397" t="inlineStr">
        <is>
          <t>GOTLAND</t>
        </is>
      </c>
      <c r="G397" t="n">
        <v>3.5</v>
      </c>
      <c r="H397" t="n">
        <v>0</v>
      </c>
      <c r="I397" t="n">
        <v>0</v>
      </c>
      <c r="J397" t="n">
        <v>0</v>
      </c>
      <c r="K397" t="n">
        <v>0</v>
      </c>
      <c r="L397" t="n">
        <v>0</v>
      </c>
      <c r="M397" t="n">
        <v>0</v>
      </c>
      <c r="N397" t="n">
        <v>0</v>
      </c>
      <c r="O397" t="n">
        <v>0</v>
      </c>
      <c r="P397" t="n">
        <v>0</v>
      </c>
      <c r="Q397" t="n">
        <v>0</v>
      </c>
      <c r="R397" s="2" t="inlineStr"/>
    </row>
    <row r="398" ht="15" customHeight="1">
      <c r="A398" t="inlineStr">
        <is>
          <t>A 1446-2025</t>
        </is>
      </c>
      <c r="B398" s="1" t="n">
        <v>45669.86035879629</v>
      </c>
      <c r="C398" s="1" t="n">
        <v>46035</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15001-2025</t>
        </is>
      </c>
      <c r="B399" s="1" t="n">
        <v>45743</v>
      </c>
      <c r="C399" s="1" t="n">
        <v>46035</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30488-2025</t>
        </is>
      </c>
      <c r="B400" s="1" t="n">
        <v>45830</v>
      </c>
      <c r="C400" s="1" t="n">
        <v>46035</v>
      </c>
      <c r="D400" t="inlineStr">
        <is>
          <t>GOTLANDS LÄN</t>
        </is>
      </c>
      <c r="E400" t="inlineStr">
        <is>
          <t>GOTLAND</t>
        </is>
      </c>
      <c r="F400" t="inlineStr">
        <is>
          <t>Kyrkan</t>
        </is>
      </c>
      <c r="G400" t="n">
        <v>3.9</v>
      </c>
      <c r="H400" t="n">
        <v>0</v>
      </c>
      <c r="I400" t="n">
        <v>0</v>
      </c>
      <c r="J400" t="n">
        <v>0</v>
      </c>
      <c r="K400" t="n">
        <v>0</v>
      </c>
      <c r="L400" t="n">
        <v>0</v>
      </c>
      <c r="M400" t="n">
        <v>0</v>
      </c>
      <c r="N400" t="n">
        <v>0</v>
      </c>
      <c r="O400" t="n">
        <v>0</v>
      </c>
      <c r="P400" t="n">
        <v>0</v>
      </c>
      <c r="Q400" t="n">
        <v>0</v>
      </c>
      <c r="R400" s="2" t="inlineStr"/>
    </row>
    <row r="401" ht="15" customHeight="1">
      <c r="A401" t="inlineStr">
        <is>
          <t>A 17847-2025</t>
        </is>
      </c>
      <c r="B401" s="1" t="n">
        <v>45758</v>
      </c>
      <c r="C401" s="1" t="n">
        <v>46035</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18742-2025</t>
        </is>
      </c>
      <c r="B402" s="1" t="n">
        <v>45763</v>
      </c>
      <c r="C402" s="1" t="n">
        <v>46035</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36319-2025</t>
        </is>
      </c>
      <c r="B403" s="1" t="n">
        <v>45868</v>
      </c>
      <c r="C403" s="1" t="n">
        <v>46035</v>
      </c>
      <c r="D403" t="inlineStr">
        <is>
          <t>GOTLANDS LÄN</t>
        </is>
      </c>
      <c r="E403" t="inlineStr">
        <is>
          <t>GOTLAND</t>
        </is>
      </c>
      <c r="G403" t="n">
        <v>2.9</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46035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35129-2025</t>
        </is>
      </c>
      <c r="B405" s="1" t="n">
        <v>45852.63224537037</v>
      </c>
      <c r="C405" s="1" t="n">
        <v>46035</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43901-2023</t>
        </is>
      </c>
      <c r="B406" s="1" t="n">
        <v>45187</v>
      </c>
      <c r="C406" s="1" t="n">
        <v>46035</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10746-2025</t>
        </is>
      </c>
      <c r="B407" s="1" t="n">
        <v>45722.42766203704</v>
      </c>
      <c r="C407" s="1" t="n">
        <v>46035</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16501-2023</t>
        </is>
      </c>
      <c r="B408" s="1" t="n">
        <v>45029</v>
      </c>
      <c r="C408" s="1" t="n">
        <v>46035</v>
      </c>
      <c r="D408" t="inlineStr">
        <is>
          <t>GOTLANDS LÄN</t>
        </is>
      </c>
      <c r="E408" t="inlineStr">
        <is>
          <t>GOTLAND</t>
        </is>
      </c>
      <c r="G408" t="n">
        <v>3.1</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46035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61962-2024</t>
        </is>
      </c>
      <c r="B410" s="1" t="n">
        <v>45653.54340277778</v>
      </c>
      <c r="C410" s="1" t="n">
        <v>46035</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10492-2023</t>
        </is>
      </c>
      <c r="B411" s="1" t="n">
        <v>44987</v>
      </c>
      <c r="C411" s="1" t="n">
        <v>46035</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46035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5909-2025</t>
        </is>
      </c>
      <c r="B413" s="1" t="n">
        <v>45695.40634259259</v>
      </c>
      <c r="C413" s="1" t="n">
        <v>46035</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10653-2023</t>
        </is>
      </c>
      <c r="B414" s="1" t="n">
        <v>44988.48859953704</v>
      </c>
      <c r="C414" s="1" t="n">
        <v>46035</v>
      </c>
      <c r="D414" t="inlineStr">
        <is>
          <t>GOTLANDS LÄN</t>
        </is>
      </c>
      <c r="E414" t="inlineStr">
        <is>
          <t>GOTLAND</t>
        </is>
      </c>
      <c r="F414" t="inlineStr">
        <is>
          <t>Kyrkan</t>
        </is>
      </c>
      <c r="G414" t="n">
        <v>3</v>
      </c>
      <c r="H414" t="n">
        <v>0</v>
      </c>
      <c r="I414" t="n">
        <v>0</v>
      </c>
      <c r="J414" t="n">
        <v>0</v>
      </c>
      <c r="K414" t="n">
        <v>0</v>
      </c>
      <c r="L414" t="n">
        <v>0</v>
      </c>
      <c r="M414" t="n">
        <v>0</v>
      </c>
      <c r="N414" t="n">
        <v>0</v>
      </c>
      <c r="O414" t="n">
        <v>0</v>
      </c>
      <c r="P414" t="n">
        <v>0</v>
      </c>
      <c r="Q414" t="n">
        <v>0</v>
      </c>
      <c r="R414" s="2" t="inlineStr"/>
    </row>
    <row r="415" ht="15" customHeight="1">
      <c r="A415" t="inlineStr">
        <is>
          <t>A 4990-2025</t>
        </is>
      </c>
      <c r="B415" s="1" t="n">
        <v>45691</v>
      </c>
      <c r="C415" s="1" t="n">
        <v>46035</v>
      </c>
      <c r="D415" t="inlineStr">
        <is>
          <t>GOTLANDS LÄN</t>
        </is>
      </c>
      <c r="E415" t="inlineStr">
        <is>
          <t>GOTLAND</t>
        </is>
      </c>
      <c r="G415" t="n">
        <v>7.7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46035</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21142-2025</t>
        </is>
      </c>
      <c r="B417" s="1" t="n">
        <v>45779</v>
      </c>
      <c r="C417" s="1" t="n">
        <v>46035</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17343-2025</t>
        </is>
      </c>
      <c r="B418" s="1" t="n">
        <v>45756.6687037037</v>
      </c>
      <c r="C418" s="1" t="n">
        <v>46035</v>
      </c>
      <c r="D418" t="inlineStr">
        <is>
          <t>GOTLANDS LÄN</t>
        </is>
      </c>
      <c r="E418" t="inlineStr">
        <is>
          <t>GOTLAND</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18938-2025</t>
        </is>
      </c>
      <c r="B419" s="1" t="n">
        <v>45764.49172453704</v>
      </c>
      <c r="C419" s="1" t="n">
        <v>46035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43081-2022</t>
        </is>
      </c>
      <c r="B420" s="1" t="n">
        <v>44833</v>
      </c>
      <c r="C420" s="1" t="n">
        <v>46035</v>
      </c>
      <c r="D420" t="inlineStr">
        <is>
          <t>GOTLANDS LÄN</t>
        </is>
      </c>
      <c r="E420" t="inlineStr">
        <is>
          <t>GOTLAND</t>
        </is>
      </c>
      <c r="G420" t="n">
        <v>6.8</v>
      </c>
      <c r="H420" t="n">
        <v>0</v>
      </c>
      <c r="I420" t="n">
        <v>0</v>
      </c>
      <c r="J420" t="n">
        <v>0</v>
      </c>
      <c r="K420" t="n">
        <v>0</v>
      </c>
      <c r="L420" t="n">
        <v>0</v>
      </c>
      <c r="M420" t="n">
        <v>0</v>
      </c>
      <c r="N420" t="n">
        <v>0</v>
      </c>
      <c r="O420" t="n">
        <v>0</v>
      </c>
      <c r="P420" t="n">
        <v>0</v>
      </c>
      <c r="Q420" t="n">
        <v>0</v>
      </c>
      <c r="R420" s="2" t="inlineStr"/>
    </row>
    <row r="421" ht="15" customHeight="1">
      <c r="A421" t="inlineStr">
        <is>
          <t>A 32958-2021</t>
        </is>
      </c>
      <c r="B421" s="1" t="n">
        <v>44376</v>
      </c>
      <c r="C421" s="1" t="n">
        <v>46035</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30489-2025</t>
        </is>
      </c>
      <c r="B422" s="1" t="n">
        <v>45830</v>
      </c>
      <c r="C422" s="1" t="n">
        <v>46035</v>
      </c>
      <c r="D422" t="inlineStr">
        <is>
          <t>GOTLANDS LÄN</t>
        </is>
      </c>
      <c r="E422" t="inlineStr">
        <is>
          <t>GOTLAND</t>
        </is>
      </c>
      <c r="G422" t="n">
        <v>4.6</v>
      </c>
      <c r="H422" t="n">
        <v>0</v>
      </c>
      <c r="I422" t="n">
        <v>0</v>
      </c>
      <c r="J422" t="n">
        <v>0</v>
      </c>
      <c r="K422" t="n">
        <v>0</v>
      </c>
      <c r="L422" t="n">
        <v>0</v>
      </c>
      <c r="M422" t="n">
        <v>0</v>
      </c>
      <c r="N422" t="n">
        <v>0</v>
      </c>
      <c r="O422" t="n">
        <v>0</v>
      </c>
      <c r="P422" t="n">
        <v>0</v>
      </c>
      <c r="Q422" t="n">
        <v>0</v>
      </c>
      <c r="R422" s="2" t="inlineStr"/>
    </row>
    <row r="423" ht="15" customHeight="1">
      <c r="A423" t="inlineStr">
        <is>
          <t>A 5884-2025</t>
        </is>
      </c>
      <c r="B423" s="1" t="n">
        <v>45695.37482638889</v>
      </c>
      <c r="C423" s="1" t="n">
        <v>46035</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5897-2025</t>
        </is>
      </c>
      <c r="B424" s="1" t="n">
        <v>45695.39273148148</v>
      </c>
      <c r="C424" s="1" t="n">
        <v>46035</v>
      </c>
      <c r="D424" t="inlineStr">
        <is>
          <t>GOTLANDS LÄN</t>
        </is>
      </c>
      <c r="E424" t="inlineStr">
        <is>
          <t>GOTLAND</t>
        </is>
      </c>
      <c r="G424" t="n">
        <v>3.7</v>
      </c>
      <c r="H424" t="n">
        <v>0</v>
      </c>
      <c r="I424" t="n">
        <v>0</v>
      </c>
      <c r="J424" t="n">
        <v>0</v>
      </c>
      <c r="K424" t="n">
        <v>0</v>
      </c>
      <c r="L424" t="n">
        <v>0</v>
      </c>
      <c r="M424" t="n">
        <v>0</v>
      </c>
      <c r="N424" t="n">
        <v>0</v>
      </c>
      <c r="O424" t="n">
        <v>0</v>
      </c>
      <c r="P424" t="n">
        <v>0</v>
      </c>
      <c r="Q424" t="n">
        <v>0</v>
      </c>
      <c r="R424" s="2" t="inlineStr"/>
    </row>
    <row r="425" ht="15" customHeight="1">
      <c r="A425" t="inlineStr">
        <is>
          <t>A 20307-2025</t>
        </is>
      </c>
      <c r="B425" s="1" t="n">
        <v>45774.95546296296</v>
      </c>
      <c r="C425" s="1" t="n">
        <v>46035</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49693-2023</t>
        </is>
      </c>
      <c r="B426" s="1" t="n">
        <v>45212.38138888889</v>
      </c>
      <c r="C426" s="1" t="n">
        <v>46035</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49697-2023</t>
        </is>
      </c>
      <c r="B427" s="1" t="n">
        <v>45212.38909722222</v>
      </c>
      <c r="C427" s="1" t="n">
        <v>46035</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17901-2023</t>
        </is>
      </c>
      <c r="B428" s="1" t="n">
        <v>45039</v>
      </c>
      <c r="C428" s="1" t="n">
        <v>46035</v>
      </c>
      <c r="D428" t="inlineStr">
        <is>
          <t>GOTLANDS LÄN</t>
        </is>
      </c>
      <c r="E428" t="inlineStr">
        <is>
          <t>GOTLAND</t>
        </is>
      </c>
      <c r="F428" t="inlineStr">
        <is>
          <t>Kyrkan</t>
        </is>
      </c>
      <c r="G428" t="n">
        <v>0.6</v>
      </c>
      <c r="H428" t="n">
        <v>0</v>
      </c>
      <c r="I428" t="n">
        <v>0</v>
      </c>
      <c r="J428" t="n">
        <v>0</v>
      </c>
      <c r="K428" t="n">
        <v>0</v>
      </c>
      <c r="L428" t="n">
        <v>0</v>
      </c>
      <c r="M428" t="n">
        <v>0</v>
      </c>
      <c r="N428" t="n">
        <v>0</v>
      </c>
      <c r="O428" t="n">
        <v>0</v>
      </c>
      <c r="P428" t="n">
        <v>0</v>
      </c>
      <c r="Q428" t="n">
        <v>0</v>
      </c>
      <c r="R428" s="2" t="inlineStr"/>
    </row>
    <row r="429" ht="15" customHeight="1">
      <c r="A429" t="inlineStr">
        <is>
          <t>A 53569-2025</t>
        </is>
      </c>
      <c r="B429" s="1" t="n">
        <v>45960.41155092593</v>
      </c>
      <c r="C429" s="1" t="n">
        <v>46035</v>
      </c>
      <c r="D429" t="inlineStr">
        <is>
          <t>GOTLANDS LÄN</t>
        </is>
      </c>
      <c r="E429" t="inlineStr">
        <is>
          <t>GOTLAND</t>
        </is>
      </c>
      <c r="F429" t="inlineStr">
        <is>
          <t>Övriga Aktiebolag</t>
        </is>
      </c>
      <c r="G429" t="n">
        <v>11.3</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44467.49048611111</v>
      </c>
      <c r="C430" s="1" t="n">
        <v>46035</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2292-2021</t>
        </is>
      </c>
      <c r="B431" s="1" t="n">
        <v>44212</v>
      </c>
      <c r="C431" s="1" t="n">
        <v>46035</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46035</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46035</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46396-2023</t>
        </is>
      </c>
      <c r="B434" s="1" t="n">
        <v>45197</v>
      </c>
      <c r="C434" s="1" t="n">
        <v>46035</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17724-2024</t>
        </is>
      </c>
      <c r="B435" s="1" t="n">
        <v>45418.55096064815</v>
      </c>
      <c r="C435" s="1" t="n">
        <v>46035</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34312-2024</t>
        </is>
      </c>
      <c r="B436" s="1" t="n">
        <v>45524.69703703704</v>
      </c>
      <c r="C436" s="1" t="n">
        <v>46035</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62066-2025</t>
        </is>
      </c>
      <c r="B437" s="1" t="n">
        <v>46006.34738425926</v>
      </c>
      <c r="C437" s="1" t="n">
        <v>46035</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53561-2025</t>
        </is>
      </c>
      <c r="B438" s="1" t="n">
        <v>45960.4059375</v>
      </c>
      <c r="C438" s="1" t="n">
        <v>46035</v>
      </c>
      <c r="D438" t="inlineStr">
        <is>
          <t>GOTLANDS LÄN</t>
        </is>
      </c>
      <c r="E438" t="inlineStr">
        <is>
          <t>GOTLAND</t>
        </is>
      </c>
      <c r="F438" t="inlineStr">
        <is>
          <t>Övriga Aktiebolag</t>
        </is>
      </c>
      <c r="G438" t="n">
        <v>2.4</v>
      </c>
      <c r="H438" t="n">
        <v>0</v>
      </c>
      <c r="I438" t="n">
        <v>0</v>
      </c>
      <c r="J438" t="n">
        <v>0</v>
      </c>
      <c r="K438" t="n">
        <v>0</v>
      </c>
      <c r="L438" t="n">
        <v>0</v>
      </c>
      <c r="M438" t="n">
        <v>0</v>
      </c>
      <c r="N438" t="n">
        <v>0</v>
      </c>
      <c r="O438" t="n">
        <v>0</v>
      </c>
      <c r="P438" t="n">
        <v>0</v>
      </c>
      <c r="Q438" t="n">
        <v>0</v>
      </c>
      <c r="R438" s="2" t="inlineStr"/>
    </row>
    <row r="439" ht="15" customHeight="1">
      <c r="A439" t="inlineStr">
        <is>
          <t>A 60384-2025</t>
        </is>
      </c>
      <c r="B439" s="1" t="n">
        <v>45995.37947916667</v>
      </c>
      <c r="C439" s="1" t="n">
        <v>46035</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46035</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46006.41638888889</v>
      </c>
      <c r="C441" s="1" t="n">
        <v>46035</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7638-2025</t>
        </is>
      </c>
      <c r="B442" s="1" t="n">
        <v>45705.77306712963</v>
      </c>
      <c r="C442" s="1" t="n">
        <v>46035</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50482-2024</t>
        </is>
      </c>
      <c r="B443" s="1" t="n">
        <v>45601.48114583334</v>
      </c>
      <c r="C443" s="1" t="n">
        <v>46035</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1394-2023</t>
        </is>
      </c>
      <c r="B444" s="1" t="n">
        <v>44936.72997685185</v>
      </c>
      <c r="C444" s="1" t="n">
        <v>46035</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58230-2024</t>
        </is>
      </c>
      <c r="B445" s="1" t="n">
        <v>45632.51625</v>
      </c>
      <c r="C445" s="1" t="n">
        <v>46035</v>
      </c>
      <c r="D445" t="inlineStr">
        <is>
          <t>GOTLANDS LÄN</t>
        </is>
      </c>
      <c r="E445" t="inlineStr">
        <is>
          <t>GOTLAND</t>
        </is>
      </c>
      <c r="G445" t="n">
        <v>7.3</v>
      </c>
      <c r="H445" t="n">
        <v>0</v>
      </c>
      <c r="I445" t="n">
        <v>0</v>
      </c>
      <c r="J445" t="n">
        <v>0</v>
      </c>
      <c r="K445" t="n">
        <v>0</v>
      </c>
      <c r="L445" t="n">
        <v>0</v>
      </c>
      <c r="M445" t="n">
        <v>0</v>
      </c>
      <c r="N445" t="n">
        <v>0</v>
      </c>
      <c r="O445" t="n">
        <v>0</v>
      </c>
      <c r="P445" t="n">
        <v>0</v>
      </c>
      <c r="Q445" t="n">
        <v>0</v>
      </c>
      <c r="R445" s="2" t="inlineStr"/>
    </row>
    <row r="446" ht="15" customHeight="1">
      <c r="A446" t="inlineStr">
        <is>
          <t>A 1462-2025</t>
        </is>
      </c>
      <c r="B446" s="1" t="n">
        <v>45670.36319444444</v>
      </c>
      <c r="C446" s="1" t="n">
        <v>46035</v>
      </c>
      <c r="D446" t="inlineStr">
        <is>
          <t>GOTLANDS LÄN</t>
        </is>
      </c>
      <c r="E446" t="inlineStr">
        <is>
          <t>GOTLAND</t>
        </is>
      </c>
      <c r="G446" t="n">
        <v>2.8</v>
      </c>
      <c r="H446" t="n">
        <v>0</v>
      </c>
      <c r="I446" t="n">
        <v>0</v>
      </c>
      <c r="J446" t="n">
        <v>0</v>
      </c>
      <c r="K446" t="n">
        <v>0</v>
      </c>
      <c r="L446" t="n">
        <v>0</v>
      </c>
      <c r="M446" t="n">
        <v>0</v>
      </c>
      <c r="N446" t="n">
        <v>0</v>
      </c>
      <c r="O446" t="n">
        <v>0</v>
      </c>
      <c r="P446" t="n">
        <v>0</v>
      </c>
      <c r="Q446" t="n">
        <v>0</v>
      </c>
      <c r="R446" s="2" t="inlineStr"/>
    </row>
    <row r="447" ht="15" customHeight="1">
      <c r="A447" t="inlineStr">
        <is>
          <t>A 25129-2023</t>
        </is>
      </c>
      <c r="B447" s="1" t="n">
        <v>45086.44261574074</v>
      </c>
      <c r="C447" s="1" t="n">
        <v>46035</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24192-2023</t>
        </is>
      </c>
      <c r="B448" s="1" t="n">
        <v>45079</v>
      </c>
      <c r="C448" s="1" t="n">
        <v>46035</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54584-2025</t>
        </is>
      </c>
      <c r="B449" s="1" t="n">
        <v>45965.71788194445</v>
      </c>
      <c r="C449" s="1" t="n">
        <v>46035</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5386-2023</t>
        </is>
      </c>
      <c r="B450" s="1" t="n">
        <v>44959</v>
      </c>
      <c r="C450" s="1" t="n">
        <v>46035</v>
      </c>
      <c r="D450" t="inlineStr">
        <is>
          <t>GOTLANDS LÄN</t>
        </is>
      </c>
      <c r="E450" t="inlineStr">
        <is>
          <t>GOTLAND</t>
        </is>
      </c>
      <c r="G450" t="n">
        <v>5.4</v>
      </c>
      <c r="H450" t="n">
        <v>0</v>
      </c>
      <c r="I450" t="n">
        <v>0</v>
      </c>
      <c r="J450" t="n">
        <v>0</v>
      </c>
      <c r="K450" t="n">
        <v>0</v>
      </c>
      <c r="L450" t="n">
        <v>0</v>
      </c>
      <c r="M450" t="n">
        <v>0</v>
      </c>
      <c r="N450" t="n">
        <v>0</v>
      </c>
      <c r="O450" t="n">
        <v>0</v>
      </c>
      <c r="P450" t="n">
        <v>0</v>
      </c>
      <c r="Q450" t="n">
        <v>0</v>
      </c>
      <c r="R450" s="2" t="inlineStr"/>
    </row>
    <row r="451" ht="15" customHeight="1">
      <c r="A451" t="inlineStr">
        <is>
          <t>A 7026-2023</t>
        </is>
      </c>
      <c r="B451" s="1" t="n">
        <v>44968.30340277778</v>
      </c>
      <c r="C451" s="1" t="n">
        <v>46035</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20855-2023</t>
        </is>
      </c>
      <c r="B452" s="1" t="n">
        <v>45058.82172453704</v>
      </c>
      <c r="C452" s="1" t="n">
        <v>46035</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46035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1000-2024</t>
        </is>
      </c>
      <c r="B454" s="1" t="n">
        <v>45301.63371527778</v>
      </c>
      <c r="C454" s="1" t="n">
        <v>46035</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1010-2024</t>
        </is>
      </c>
      <c r="B455" s="1" t="n">
        <v>45301</v>
      </c>
      <c r="C455" s="1" t="n">
        <v>46035</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46009.56564814815</v>
      </c>
      <c r="C456" s="1" t="n">
        <v>46035</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47762-2023</t>
        </is>
      </c>
      <c r="B457" s="1" t="n">
        <v>45203.86256944444</v>
      </c>
      <c r="C457" s="1" t="n">
        <v>46035</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46545-2024</t>
        </is>
      </c>
      <c r="B458" s="1" t="n">
        <v>45582.65831018519</v>
      </c>
      <c r="C458" s="1" t="n">
        <v>46035</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60086-2022</t>
        </is>
      </c>
      <c r="B459" s="1" t="n">
        <v>44909</v>
      </c>
      <c r="C459" s="1" t="n">
        <v>46035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28480-2023</t>
        </is>
      </c>
      <c r="B460" s="1" t="n">
        <v>45103</v>
      </c>
      <c r="C460" s="1" t="n">
        <v>46035</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28485-2023</t>
        </is>
      </c>
      <c r="B461" s="1" t="n">
        <v>45103.43731481482</v>
      </c>
      <c r="C461" s="1" t="n">
        <v>46035</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61080-2025</t>
        </is>
      </c>
      <c r="B462" s="1" t="n">
        <v>46000</v>
      </c>
      <c r="C462" s="1" t="n">
        <v>46035</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62915-2021</t>
        </is>
      </c>
      <c r="B463" s="1" t="n">
        <v>44504</v>
      </c>
      <c r="C463" s="1" t="n">
        <v>46035</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44949-2023</t>
        </is>
      </c>
      <c r="B464" s="1" t="n">
        <v>45190.69520833333</v>
      </c>
      <c r="C464" s="1" t="n">
        <v>46035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46035</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3964-2024</t>
        </is>
      </c>
      <c r="B466" s="1" t="n">
        <v>45322</v>
      </c>
      <c r="C466" s="1" t="n">
        <v>46035</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63152-2025</t>
        </is>
      </c>
      <c r="B467" s="1" t="n">
        <v>46010.35789351852</v>
      </c>
      <c r="C467" s="1" t="n">
        <v>46035</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45084-2024</t>
        </is>
      </c>
      <c r="B468" s="1" t="n">
        <v>45575</v>
      </c>
      <c r="C468" s="1" t="n">
        <v>46035</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62751-2025</t>
        </is>
      </c>
      <c r="B469" s="1" t="n">
        <v>46008.58076388889</v>
      </c>
      <c r="C469" s="1" t="n">
        <v>46035</v>
      </c>
      <c r="D469" t="inlineStr">
        <is>
          <t>GOTLANDS LÄN</t>
        </is>
      </c>
      <c r="E469" t="inlineStr">
        <is>
          <t>GOTLAND</t>
        </is>
      </c>
      <c r="F469" t="inlineStr">
        <is>
          <t>Övriga Aktiebolag</t>
        </is>
      </c>
      <c r="G469" t="n">
        <v>7.8</v>
      </c>
      <c r="H469" t="n">
        <v>0</v>
      </c>
      <c r="I469" t="n">
        <v>0</v>
      </c>
      <c r="J469" t="n">
        <v>0</v>
      </c>
      <c r="K469" t="n">
        <v>0</v>
      </c>
      <c r="L469" t="n">
        <v>0</v>
      </c>
      <c r="M469" t="n">
        <v>0</v>
      </c>
      <c r="N469" t="n">
        <v>0</v>
      </c>
      <c r="O469" t="n">
        <v>0</v>
      </c>
      <c r="P469" t="n">
        <v>0</v>
      </c>
      <c r="Q469" t="n">
        <v>0</v>
      </c>
      <c r="R469" s="2" t="inlineStr"/>
    </row>
    <row r="470" ht="15" customHeight="1">
      <c r="A470" t="inlineStr">
        <is>
          <t>A 56799-2025</t>
        </is>
      </c>
      <c r="B470" s="1" t="n">
        <v>45978.43392361111</v>
      </c>
      <c r="C470" s="1" t="n">
        <v>46035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62754-2025</t>
        </is>
      </c>
      <c r="B471" s="1" t="n">
        <v>46008.58765046296</v>
      </c>
      <c r="C471" s="1" t="n">
        <v>46035</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63000-2025</t>
        </is>
      </c>
      <c r="B472" s="1" t="n">
        <v>46009.56434027778</v>
      </c>
      <c r="C472" s="1" t="n">
        <v>46035</v>
      </c>
      <c r="D472" t="inlineStr">
        <is>
          <t>GOTLANDS LÄN</t>
        </is>
      </c>
      <c r="E472" t="inlineStr">
        <is>
          <t>GOTLAND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56688-2025</t>
        </is>
      </c>
      <c r="B473" s="1" t="n">
        <v>45975.84331018518</v>
      </c>
      <c r="C473" s="1" t="n">
        <v>46035</v>
      </c>
      <c r="D473" t="inlineStr">
        <is>
          <t>GOTLANDS LÄN</t>
        </is>
      </c>
      <c r="E473" t="inlineStr">
        <is>
          <t>GOTLAND</t>
        </is>
      </c>
      <c r="G473" t="n">
        <v>1.3</v>
      </c>
      <c r="H473" t="n">
        <v>0</v>
      </c>
      <c r="I473" t="n">
        <v>0</v>
      </c>
      <c r="J473" t="n">
        <v>0</v>
      </c>
      <c r="K473" t="n">
        <v>0</v>
      </c>
      <c r="L473" t="n">
        <v>0</v>
      </c>
      <c r="M473" t="n">
        <v>0</v>
      </c>
      <c r="N473" t="n">
        <v>0</v>
      </c>
      <c r="O473" t="n">
        <v>0</v>
      </c>
      <c r="P473" t="n">
        <v>0</v>
      </c>
      <c r="Q473" t="n">
        <v>0</v>
      </c>
      <c r="R473" s="2" t="inlineStr"/>
    </row>
    <row r="474" ht="15" customHeight="1">
      <c r="A474" t="inlineStr">
        <is>
          <t>A 5217-2023</t>
        </is>
      </c>
      <c r="B474" s="1" t="n">
        <v>44959.39582175926</v>
      </c>
      <c r="C474" s="1" t="n">
        <v>46035</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46035</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45244-2024</t>
        </is>
      </c>
      <c r="B476" s="1" t="n">
        <v>45576</v>
      </c>
      <c r="C476" s="1" t="n">
        <v>46035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8260-2023</t>
        </is>
      </c>
      <c r="B477" s="1" t="n">
        <v>44974.61608796296</v>
      </c>
      <c r="C477" s="1" t="n">
        <v>46035</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46024.38886574074</v>
      </c>
      <c r="C478" s="1" t="n">
        <v>46035</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64969-2023</t>
        </is>
      </c>
      <c r="B479" s="1" t="n">
        <v>45284.54009259259</v>
      </c>
      <c r="C479" s="1" t="n">
        <v>46035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48843-2024</t>
        </is>
      </c>
      <c r="B480" s="1" t="n">
        <v>45593</v>
      </c>
      <c r="C480" s="1" t="n">
        <v>46035</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17541-2024</t>
        </is>
      </c>
      <c r="B481" s="1" t="n">
        <v>45415</v>
      </c>
      <c r="C481" s="1" t="n">
        <v>46035</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2241-2025</t>
        </is>
      </c>
      <c r="B482" s="1" t="n">
        <v>45673.48710648148</v>
      </c>
      <c r="C482" s="1" t="n">
        <v>46035</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15434-2024</t>
        </is>
      </c>
      <c r="B483" s="1" t="n">
        <v>45401.38836805556</v>
      </c>
      <c r="C483" s="1" t="n">
        <v>46035</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5943-2024</t>
        </is>
      </c>
      <c r="B484" s="1" t="n">
        <v>45336</v>
      </c>
      <c r="C484" s="1" t="n">
        <v>46035</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54073-2022</t>
        </is>
      </c>
      <c r="B485" s="1" t="n">
        <v>44881.50380787037</v>
      </c>
      <c r="C485" s="1" t="n">
        <v>46035</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46035</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41038-2023</t>
        </is>
      </c>
      <c r="B487" s="1" t="n">
        <v>45173.60959490741</v>
      </c>
      <c r="C487" s="1" t="n">
        <v>46035</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14427-2024</t>
        </is>
      </c>
      <c r="B488" s="1" t="n">
        <v>45394</v>
      </c>
      <c r="C488" s="1" t="n">
        <v>46035</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46035</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59197-2025</t>
        </is>
      </c>
      <c r="B490" s="1" t="n">
        <v>45988.59846064815</v>
      </c>
      <c r="C490" s="1" t="n">
        <v>46035</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47147-2025</t>
        </is>
      </c>
      <c r="B491" s="1" t="n">
        <v>45929</v>
      </c>
      <c r="C491" s="1" t="n">
        <v>46035</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44609.44362268518</v>
      </c>
      <c r="C492" s="1" t="n">
        <v>46035</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12846-2025</t>
        </is>
      </c>
      <c r="B493" s="1" t="n">
        <v>45733.65049768519</v>
      </c>
      <c r="C493" s="1" t="n">
        <v>46035</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1355-2026</t>
        </is>
      </c>
      <c r="B494" s="1" t="n">
        <v>46031.59909722222</v>
      </c>
      <c r="C494" s="1" t="n">
        <v>46035</v>
      </c>
      <c r="D494" t="inlineStr">
        <is>
          <t>GOTLANDS LÄN</t>
        </is>
      </c>
      <c r="E494" t="inlineStr">
        <is>
          <t>GOTLAND</t>
        </is>
      </c>
      <c r="G494" t="n">
        <v>3.1</v>
      </c>
      <c r="H494" t="n">
        <v>0</v>
      </c>
      <c r="I494" t="n">
        <v>0</v>
      </c>
      <c r="J494" t="n">
        <v>0</v>
      </c>
      <c r="K494" t="n">
        <v>0</v>
      </c>
      <c r="L494" t="n">
        <v>0</v>
      </c>
      <c r="M494" t="n">
        <v>0</v>
      </c>
      <c r="N494" t="n">
        <v>0</v>
      </c>
      <c r="O494" t="n">
        <v>0</v>
      </c>
      <c r="P494" t="n">
        <v>0</v>
      </c>
      <c r="Q494" t="n">
        <v>0</v>
      </c>
      <c r="R494" s="2" t="inlineStr"/>
    </row>
    <row r="495" ht="15" customHeight="1">
      <c r="A495" t="inlineStr">
        <is>
          <t>A 62836-2025</t>
        </is>
      </c>
      <c r="B495" s="1" t="n">
        <v>46008</v>
      </c>
      <c r="C495" s="1" t="n">
        <v>46035</v>
      </c>
      <c r="D495" t="inlineStr">
        <is>
          <t>GOTLANDS LÄN</t>
        </is>
      </c>
      <c r="E495" t="inlineStr">
        <is>
          <t>GOTLAND</t>
        </is>
      </c>
      <c r="G495" t="n">
        <v>6.5</v>
      </c>
      <c r="H495" t="n">
        <v>0</v>
      </c>
      <c r="I495" t="n">
        <v>0</v>
      </c>
      <c r="J495" t="n">
        <v>0</v>
      </c>
      <c r="K495" t="n">
        <v>0</v>
      </c>
      <c r="L495" t="n">
        <v>0</v>
      </c>
      <c r="M495" t="n">
        <v>0</v>
      </c>
      <c r="N495" t="n">
        <v>0</v>
      </c>
      <c r="O495" t="n">
        <v>0</v>
      </c>
      <c r="P495" t="n">
        <v>0</v>
      </c>
      <c r="Q495" t="n">
        <v>0</v>
      </c>
      <c r="R495" s="2" t="inlineStr"/>
    </row>
    <row r="496" ht="15" customHeight="1">
      <c r="A496" t="inlineStr">
        <is>
          <t>A 46949-2024</t>
        </is>
      </c>
      <c r="B496" s="1" t="n">
        <v>45585</v>
      </c>
      <c r="C496" s="1" t="n">
        <v>46035</v>
      </c>
      <c r="D496" t="inlineStr">
        <is>
          <t>GOTLANDS LÄN</t>
        </is>
      </c>
      <c r="E496" t="inlineStr">
        <is>
          <t>GOTLAND</t>
        </is>
      </c>
      <c r="G496" t="n">
        <v>0.6</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44624.57945601852</v>
      </c>
      <c r="C497" s="1" t="n">
        <v>46035</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63105-2025</t>
        </is>
      </c>
      <c r="B498" s="1" t="n">
        <v>46009</v>
      </c>
      <c r="C498" s="1" t="n">
        <v>46035</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62674-2025</t>
        </is>
      </c>
      <c r="B499" s="1" t="n">
        <v>46008</v>
      </c>
      <c r="C499" s="1" t="n">
        <v>46035</v>
      </c>
      <c r="D499" t="inlineStr">
        <is>
          <t>GOTLANDS LÄN</t>
        </is>
      </c>
      <c r="E499" t="inlineStr">
        <is>
          <t>GOTLAND</t>
        </is>
      </c>
      <c r="G499" t="n">
        <v>5</v>
      </c>
      <c r="H499" t="n">
        <v>0</v>
      </c>
      <c r="I499" t="n">
        <v>0</v>
      </c>
      <c r="J499" t="n">
        <v>0</v>
      </c>
      <c r="K499" t="n">
        <v>0</v>
      </c>
      <c r="L499" t="n">
        <v>0</v>
      </c>
      <c r="M499" t="n">
        <v>0</v>
      </c>
      <c r="N499" t="n">
        <v>0</v>
      </c>
      <c r="O499" t="n">
        <v>0</v>
      </c>
      <c r="P499" t="n">
        <v>0</v>
      </c>
      <c r="Q499" t="n">
        <v>0</v>
      </c>
      <c r="R499" s="2" t="inlineStr"/>
    </row>
    <row r="500" ht="15" customHeight="1">
      <c r="A500" t="inlineStr">
        <is>
          <t>A 38649-2025</t>
        </is>
      </c>
      <c r="B500" s="1" t="n">
        <v>45884</v>
      </c>
      <c r="C500" s="1" t="n">
        <v>46035</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11634-2024</t>
        </is>
      </c>
      <c r="B501" s="1" t="n">
        <v>45373</v>
      </c>
      <c r="C501" s="1" t="n">
        <v>46035</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1351-2025</t>
        </is>
      </c>
      <c r="B502" s="1" t="n">
        <v>45667.62246527777</v>
      </c>
      <c r="C502" s="1" t="n">
        <v>46035</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46035</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49874-2024</t>
        </is>
      </c>
      <c r="B504" s="1" t="n">
        <v>45597.49274305555</v>
      </c>
      <c r="C504" s="1" t="n">
        <v>46035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42201-2023</t>
        </is>
      </c>
      <c r="B505" s="1" t="n">
        <v>45179</v>
      </c>
      <c r="C505" s="1" t="n">
        <v>46035</v>
      </c>
      <c r="D505" t="inlineStr">
        <is>
          <t>GOTLANDS LÄN</t>
        </is>
      </c>
      <c r="E505" t="inlineStr">
        <is>
          <t>GOTLAND</t>
        </is>
      </c>
      <c r="G505" t="n">
        <v>11.9</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46035</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46035</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21164-2024</t>
        </is>
      </c>
      <c r="B508" s="1" t="n">
        <v>45440</v>
      </c>
      <c r="C508" s="1" t="n">
        <v>46035</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8045-2022</t>
        </is>
      </c>
      <c r="B509" s="1" t="n">
        <v>44609</v>
      </c>
      <c r="C509" s="1" t="n">
        <v>46035</v>
      </c>
      <c r="D509" t="inlineStr">
        <is>
          <t>GOTLANDS LÄN</t>
        </is>
      </c>
      <c r="E509" t="inlineStr">
        <is>
          <t>GOTLAND</t>
        </is>
      </c>
      <c r="G509" t="n">
        <v>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46035</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61897-2024</t>
        </is>
      </c>
      <c r="B511" s="1" t="n">
        <v>45652.75685185185</v>
      </c>
      <c r="C511" s="1" t="n">
        <v>46035</v>
      </c>
      <c r="D511" t="inlineStr">
        <is>
          <t>GOTLANDS LÄN</t>
        </is>
      </c>
      <c r="E511" t="inlineStr">
        <is>
          <t>GOTLAND</t>
        </is>
      </c>
      <c r="G511" t="n">
        <v>6.4</v>
      </c>
      <c r="H511" t="n">
        <v>0</v>
      </c>
      <c r="I511" t="n">
        <v>0</v>
      </c>
      <c r="J511" t="n">
        <v>0</v>
      </c>
      <c r="K511" t="n">
        <v>0</v>
      </c>
      <c r="L511" t="n">
        <v>0</v>
      </c>
      <c r="M511" t="n">
        <v>0</v>
      </c>
      <c r="N511" t="n">
        <v>0</v>
      </c>
      <c r="O511" t="n">
        <v>0</v>
      </c>
      <c r="P511" t="n">
        <v>0</v>
      </c>
      <c r="Q511" t="n">
        <v>0</v>
      </c>
      <c r="R511" s="2" t="inlineStr"/>
    </row>
    <row r="512" ht="15" customHeight="1">
      <c r="A512" t="inlineStr">
        <is>
          <t>A 49962-2023</t>
        </is>
      </c>
      <c r="B512" s="1" t="n">
        <v>45215.38775462963</v>
      </c>
      <c r="C512" s="1" t="n">
        <v>46035</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20165-2022</t>
        </is>
      </c>
      <c r="B513" s="1" t="n">
        <v>44698.49854166667</v>
      </c>
      <c r="C513" s="1" t="n">
        <v>46035</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46035</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12032-2025</t>
        </is>
      </c>
      <c r="B515" s="1" t="n">
        <v>45728.64472222222</v>
      </c>
      <c r="C515" s="1" t="n">
        <v>46035</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38787-2023</t>
        </is>
      </c>
      <c r="B516" s="1" t="n">
        <v>45163</v>
      </c>
      <c r="C516" s="1" t="n">
        <v>46035</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43231-2023</t>
        </is>
      </c>
      <c r="B517" s="1" t="n">
        <v>45183.47025462963</v>
      </c>
      <c r="C517" s="1" t="n">
        <v>46035</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17532-2024</t>
        </is>
      </c>
      <c r="B518" s="1" t="n">
        <v>45415</v>
      </c>
      <c r="C518" s="1" t="n">
        <v>46035</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3935-2025</t>
        </is>
      </c>
      <c r="B519" s="1" t="n">
        <v>45684.46070601852</v>
      </c>
      <c r="C519" s="1" t="n">
        <v>46035</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20225-2025</t>
        </is>
      </c>
      <c r="B520" s="1" t="n">
        <v>45772.65802083333</v>
      </c>
      <c r="C520" s="1" t="n">
        <v>46035</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883-2025</t>
        </is>
      </c>
      <c r="B521" s="1" t="n">
        <v>45665</v>
      </c>
      <c r="C521" s="1" t="n">
        <v>46035</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1066-2024</t>
        </is>
      </c>
      <c r="B522" s="1" t="n">
        <v>45302.285</v>
      </c>
      <c r="C522" s="1" t="n">
        <v>46035</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17144-2025</t>
        </is>
      </c>
      <c r="B523" s="1" t="n">
        <v>45755.9499537037</v>
      </c>
      <c r="C523" s="1" t="n">
        <v>46035</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56009-2024</t>
        </is>
      </c>
      <c r="B524" s="1" t="n">
        <v>45623.80864583333</v>
      </c>
      <c r="C524" s="1" t="n">
        <v>46035</v>
      </c>
      <c r="D524" t="inlineStr">
        <is>
          <t>GOTLANDS LÄN</t>
        </is>
      </c>
      <c r="E524" t="inlineStr">
        <is>
          <t>GOTLAND</t>
        </is>
      </c>
      <c r="G524" t="n">
        <v>2.8</v>
      </c>
      <c r="H524" t="n">
        <v>0</v>
      </c>
      <c r="I524" t="n">
        <v>0</v>
      </c>
      <c r="J524" t="n">
        <v>0</v>
      </c>
      <c r="K524" t="n">
        <v>0</v>
      </c>
      <c r="L524" t="n">
        <v>0</v>
      </c>
      <c r="M524" t="n">
        <v>0</v>
      </c>
      <c r="N524" t="n">
        <v>0</v>
      </c>
      <c r="O524" t="n">
        <v>0</v>
      </c>
      <c r="P524" t="n">
        <v>0</v>
      </c>
      <c r="Q524" t="n">
        <v>0</v>
      </c>
      <c r="R524" s="2" t="inlineStr"/>
    </row>
    <row r="525" ht="15" customHeight="1">
      <c r="A525" t="inlineStr">
        <is>
          <t>A 42338-2023</t>
        </is>
      </c>
      <c r="B525" s="1" t="n">
        <v>45180</v>
      </c>
      <c r="C525" s="1" t="n">
        <v>46035</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581-2023</t>
        </is>
      </c>
      <c r="B526" s="1" t="n">
        <v>44930</v>
      </c>
      <c r="C526" s="1" t="n">
        <v>46035</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61386-2023</t>
        </is>
      </c>
      <c r="B527" s="1" t="n">
        <v>45264</v>
      </c>
      <c r="C527" s="1" t="n">
        <v>46035</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873-2024</t>
        </is>
      </c>
      <c r="B528" s="1" t="n">
        <v>45301</v>
      </c>
      <c r="C528" s="1" t="n">
        <v>46035</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49411-2023</t>
        </is>
      </c>
      <c r="B529" s="1" t="n">
        <v>45205</v>
      </c>
      <c r="C529" s="1" t="n">
        <v>46035</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22275-2023</t>
        </is>
      </c>
      <c r="B530" s="1" t="n">
        <v>45070.39875</v>
      </c>
      <c r="C530" s="1" t="n">
        <v>46035</v>
      </c>
      <c r="D530" t="inlineStr">
        <is>
          <t>GOTLANDS LÄN</t>
        </is>
      </c>
      <c r="E530" t="inlineStr">
        <is>
          <t>GOTLAND</t>
        </is>
      </c>
      <c r="G530" t="n">
        <v>7.2</v>
      </c>
      <c r="H530" t="n">
        <v>0</v>
      </c>
      <c r="I530" t="n">
        <v>0</v>
      </c>
      <c r="J530" t="n">
        <v>0</v>
      </c>
      <c r="K530" t="n">
        <v>0</v>
      </c>
      <c r="L530" t="n">
        <v>0</v>
      </c>
      <c r="M530" t="n">
        <v>0</v>
      </c>
      <c r="N530" t="n">
        <v>0</v>
      </c>
      <c r="O530" t="n">
        <v>0</v>
      </c>
      <c r="P530" t="n">
        <v>0</v>
      </c>
      <c r="Q530" t="n">
        <v>0</v>
      </c>
      <c r="R530" s="2" t="inlineStr"/>
    </row>
    <row r="531" ht="15" customHeight="1">
      <c r="A531" t="inlineStr">
        <is>
          <t>A 12322-2025</t>
        </is>
      </c>
      <c r="B531" s="1" t="n">
        <v>45730</v>
      </c>
      <c r="C531" s="1" t="n">
        <v>46035</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14797-2024</t>
        </is>
      </c>
      <c r="B532" s="1" t="n">
        <v>45397.87030092593</v>
      </c>
      <c r="C532" s="1" t="n">
        <v>46035</v>
      </c>
      <c r="D532" t="inlineStr">
        <is>
          <t>GOTLANDS LÄN</t>
        </is>
      </c>
      <c r="E532" t="inlineStr">
        <is>
          <t>GOTLAND</t>
        </is>
      </c>
      <c r="G532" t="n">
        <v>8.1</v>
      </c>
      <c r="H532" t="n">
        <v>0</v>
      </c>
      <c r="I532" t="n">
        <v>0</v>
      </c>
      <c r="J532" t="n">
        <v>0</v>
      </c>
      <c r="K532" t="n">
        <v>0</v>
      </c>
      <c r="L532" t="n">
        <v>0</v>
      </c>
      <c r="M532" t="n">
        <v>0</v>
      </c>
      <c r="N532" t="n">
        <v>0</v>
      </c>
      <c r="O532" t="n">
        <v>0</v>
      </c>
      <c r="P532" t="n">
        <v>0</v>
      </c>
      <c r="Q532" t="n">
        <v>0</v>
      </c>
      <c r="R532" s="2" t="inlineStr"/>
    </row>
    <row r="533" ht="15" customHeight="1">
      <c r="A533" t="inlineStr">
        <is>
          <t>A 999-2024</t>
        </is>
      </c>
      <c r="B533" s="1" t="n">
        <v>45301</v>
      </c>
      <c r="C533" s="1" t="n">
        <v>46035</v>
      </c>
      <c r="D533" t="inlineStr">
        <is>
          <t>GOTLANDS LÄN</t>
        </is>
      </c>
      <c r="E533" t="inlineStr">
        <is>
          <t>GOTLAND</t>
        </is>
      </c>
      <c r="G533" t="n">
        <v>1</v>
      </c>
      <c r="H533" t="n">
        <v>0</v>
      </c>
      <c r="I533" t="n">
        <v>0</v>
      </c>
      <c r="J533" t="n">
        <v>0</v>
      </c>
      <c r="K533" t="n">
        <v>0</v>
      </c>
      <c r="L533" t="n">
        <v>0</v>
      </c>
      <c r="M533" t="n">
        <v>0</v>
      </c>
      <c r="N533" t="n">
        <v>0</v>
      </c>
      <c r="O533" t="n">
        <v>0</v>
      </c>
      <c r="P533" t="n">
        <v>0</v>
      </c>
      <c r="Q533" t="n">
        <v>0</v>
      </c>
      <c r="R533" s="2" t="inlineStr"/>
    </row>
    <row r="534" ht="15" customHeight="1">
      <c r="A534" t="inlineStr">
        <is>
          <t>A 61596-2023</t>
        </is>
      </c>
      <c r="B534" s="1" t="n">
        <v>45265</v>
      </c>
      <c r="C534" s="1" t="n">
        <v>46035</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14638-2025</t>
        </is>
      </c>
      <c r="B535" s="1" t="n">
        <v>45742</v>
      </c>
      <c r="C535" s="1" t="n">
        <v>46035</v>
      </c>
      <c r="D535" t="inlineStr">
        <is>
          <t>GOTLANDS LÄN</t>
        </is>
      </c>
      <c r="E535" t="inlineStr">
        <is>
          <t>GOTLAND</t>
        </is>
      </c>
      <c r="G535" t="n">
        <v>13.4</v>
      </c>
      <c r="H535" t="n">
        <v>0</v>
      </c>
      <c r="I535" t="n">
        <v>0</v>
      </c>
      <c r="J535" t="n">
        <v>0</v>
      </c>
      <c r="K535" t="n">
        <v>0</v>
      </c>
      <c r="L535" t="n">
        <v>0</v>
      </c>
      <c r="M535" t="n">
        <v>0</v>
      </c>
      <c r="N535" t="n">
        <v>0</v>
      </c>
      <c r="O535" t="n">
        <v>0</v>
      </c>
      <c r="P535" t="n">
        <v>0</v>
      </c>
      <c r="Q535" t="n">
        <v>0</v>
      </c>
      <c r="R535" s="2" t="inlineStr"/>
    </row>
    <row r="536" ht="15" customHeight="1">
      <c r="A536" t="inlineStr">
        <is>
          <t>A 60675-2021</t>
        </is>
      </c>
      <c r="B536" s="1" t="n">
        <v>44496.64855324074</v>
      </c>
      <c r="C536" s="1" t="n">
        <v>46035</v>
      </c>
      <c r="D536" t="inlineStr">
        <is>
          <t>GOTLANDS LÄN</t>
        </is>
      </c>
      <c r="E536" t="inlineStr">
        <is>
          <t>GOTLAND</t>
        </is>
      </c>
      <c r="G536" t="n">
        <v>4.6</v>
      </c>
      <c r="H536" t="n">
        <v>0</v>
      </c>
      <c r="I536" t="n">
        <v>0</v>
      </c>
      <c r="J536" t="n">
        <v>0</v>
      </c>
      <c r="K536" t="n">
        <v>0</v>
      </c>
      <c r="L536" t="n">
        <v>0</v>
      </c>
      <c r="M536" t="n">
        <v>0</v>
      </c>
      <c r="N536" t="n">
        <v>0</v>
      </c>
      <c r="O536" t="n">
        <v>0</v>
      </c>
      <c r="P536" t="n">
        <v>0</v>
      </c>
      <c r="Q536" t="n">
        <v>0</v>
      </c>
      <c r="R536" s="2" t="inlineStr"/>
    </row>
    <row r="537" ht="15" customHeight="1">
      <c r="A537" t="inlineStr">
        <is>
          <t>A 37728-2024</t>
        </is>
      </c>
      <c r="B537" s="1" t="n">
        <v>45541</v>
      </c>
      <c r="C537" s="1" t="n">
        <v>46035</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22287-2022</t>
        </is>
      </c>
      <c r="B538" s="1" t="n">
        <v>44712</v>
      </c>
      <c r="C538" s="1" t="n">
        <v>46035</v>
      </c>
      <c r="D538" t="inlineStr">
        <is>
          <t>GOTLANDS LÄN</t>
        </is>
      </c>
      <c r="E538" t="inlineStr">
        <is>
          <t>GOTLAND</t>
        </is>
      </c>
      <c r="G538" t="n">
        <v>6.1</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46035</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65249-2023</t>
        </is>
      </c>
      <c r="B540" s="1" t="n">
        <v>45290</v>
      </c>
      <c r="C540" s="1" t="n">
        <v>46035</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13910-2025</t>
        </is>
      </c>
      <c r="B541" s="1" t="n">
        <v>45737</v>
      </c>
      <c r="C541" s="1" t="n">
        <v>46035</v>
      </c>
      <c r="D541" t="inlineStr">
        <is>
          <t>GOTLANDS LÄN</t>
        </is>
      </c>
      <c r="E541" t="inlineStr">
        <is>
          <t>GOTLAND</t>
        </is>
      </c>
      <c r="F541" t="inlineStr">
        <is>
          <t>Kommuner</t>
        </is>
      </c>
      <c r="G541" t="n">
        <v>3.2</v>
      </c>
      <c r="H541" t="n">
        <v>0</v>
      </c>
      <c r="I541" t="n">
        <v>0</v>
      </c>
      <c r="J541" t="n">
        <v>0</v>
      </c>
      <c r="K541" t="n">
        <v>0</v>
      </c>
      <c r="L541" t="n">
        <v>0</v>
      </c>
      <c r="M541" t="n">
        <v>0</v>
      </c>
      <c r="N541" t="n">
        <v>0</v>
      </c>
      <c r="O541" t="n">
        <v>0</v>
      </c>
      <c r="P541" t="n">
        <v>0</v>
      </c>
      <c r="Q541" t="n">
        <v>0</v>
      </c>
      <c r="R541" s="2" t="inlineStr"/>
    </row>
    <row r="542" ht="15" customHeight="1">
      <c r="A542" t="inlineStr">
        <is>
          <t>A 17780-2022</t>
        </is>
      </c>
      <c r="B542" s="1" t="n">
        <v>44682.82622685185</v>
      </c>
      <c r="C542" s="1" t="n">
        <v>46035</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46035</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14536-2021</t>
        </is>
      </c>
      <c r="B544" s="1" t="n">
        <v>44279.66168981481</v>
      </c>
      <c r="C544" s="1" t="n">
        <v>46035</v>
      </c>
      <c r="D544" t="inlineStr">
        <is>
          <t>GOTLANDS LÄN</t>
        </is>
      </c>
      <c r="E544" t="inlineStr">
        <is>
          <t>GOTLAND</t>
        </is>
      </c>
      <c r="G544" t="n">
        <v>8.5</v>
      </c>
      <c r="H544" t="n">
        <v>0</v>
      </c>
      <c r="I544" t="n">
        <v>0</v>
      </c>
      <c r="J544" t="n">
        <v>0</v>
      </c>
      <c r="K544" t="n">
        <v>0</v>
      </c>
      <c r="L544" t="n">
        <v>0</v>
      </c>
      <c r="M544" t="n">
        <v>0</v>
      </c>
      <c r="N544" t="n">
        <v>0</v>
      </c>
      <c r="O544" t="n">
        <v>0</v>
      </c>
      <c r="P544" t="n">
        <v>0</v>
      </c>
      <c r="Q544" t="n">
        <v>0</v>
      </c>
      <c r="R544" s="2" t="inlineStr"/>
    </row>
    <row r="545" ht="15" customHeight="1">
      <c r="A545" t="inlineStr">
        <is>
          <t>A 11874-2024</t>
        </is>
      </c>
      <c r="B545" s="1" t="n">
        <v>45376.46956018519</v>
      </c>
      <c r="C545" s="1" t="n">
        <v>46035</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42041-2024</t>
        </is>
      </c>
      <c r="B546" s="1" t="n">
        <v>45561</v>
      </c>
      <c r="C546" s="1" t="n">
        <v>46035</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61694-2023</t>
        </is>
      </c>
      <c r="B547" s="1" t="n">
        <v>45264</v>
      </c>
      <c r="C547" s="1" t="n">
        <v>46035</v>
      </c>
      <c r="D547" t="inlineStr">
        <is>
          <t>GOTLANDS LÄN</t>
        </is>
      </c>
      <c r="E547" t="inlineStr">
        <is>
          <t>GOTLAND</t>
        </is>
      </c>
      <c r="G547" t="n">
        <v>4.6</v>
      </c>
      <c r="H547" t="n">
        <v>0</v>
      </c>
      <c r="I547" t="n">
        <v>0</v>
      </c>
      <c r="J547" t="n">
        <v>0</v>
      </c>
      <c r="K547" t="n">
        <v>0</v>
      </c>
      <c r="L547" t="n">
        <v>0</v>
      </c>
      <c r="M547" t="n">
        <v>0</v>
      </c>
      <c r="N547" t="n">
        <v>0</v>
      </c>
      <c r="O547" t="n">
        <v>0</v>
      </c>
      <c r="P547" t="n">
        <v>0</v>
      </c>
      <c r="Q547" t="n">
        <v>0</v>
      </c>
      <c r="R547" s="2" t="inlineStr"/>
    </row>
    <row r="548" ht="15" customHeight="1">
      <c r="A548" t="inlineStr">
        <is>
          <t>A 64555-2023</t>
        </is>
      </c>
      <c r="B548" s="1" t="n">
        <v>45281</v>
      </c>
      <c r="C548" s="1" t="n">
        <v>46035</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64831-2023</t>
        </is>
      </c>
      <c r="B549" s="1" t="n">
        <v>45282.44924768519</v>
      </c>
      <c r="C549" s="1" t="n">
        <v>46035</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14804-2021</t>
        </is>
      </c>
      <c r="B550" s="1" t="n">
        <v>44280</v>
      </c>
      <c r="C550" s="1" t="n">
        <v>46035</v>
      </c>
      <c r="D550" t="inlineStr">
        <is>
          <t>GOTLANDS LÄN</t>
        </is>
      </c>
      <c r="E550" t="inlineStr">
        <is>
          <t>GOTLAND</t>
        </is>
      </c>
      <c r="G550" t="n">
        <v>2.2</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46035</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27602-2023</t>
        </is>
      </c>
      <c r="B552" s="1" t="n">
        <v>45097</v>
      </c>
      <c r="C552" s="1" t="n">
        <v>46035</v>
      </c>
      <c r="D552" t="inlineStr">
        <is>
          <t>GOTLANDS LÄN</t>
        </is>
      </c>
      <c r="E552" t="inlineStr">
        <is>
          <t>GOTLAND</t>
        </is>
      </c>
      <c r="G552" t="n">
        <v>2.7</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44955.5502662037</v>
      </c>
      <c r="C553" s="1" t="n">
        <v>46035</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44955.73359953704</v>
      </c>
      <c r="C554" s="1" t="n">
        <v>46035</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39479-2022</t>
        </is>
      </c>
      <c r="B555" s="1" t="n">
        <v>44818</v>
      </c>
      <c r="C555" s="1" t="n">
        <v>46035</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51963-2024</t>
        </is>
      </c>
      <c r="B556" s="1" t="n">
        <v>45607.64833333333</v>
      </c>
      <c r="C556" s="1" t="n">
        <v>46035</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46035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46389-2021</t>
        </is>
      </c>
      <c r="B558" s="1" t="n">
        <v>44443</v>
      </c>
      <c r="C558" s="1" t="n">
        <v>46035</v>
      </c>
      <c r="D558" t="inlineStr">
        <is>
          <t>GOTLANDS LÄN</t>
        </is>
      </c>
      <c r="E558" t="inlineStr">
        <is>
          <t>GOTLAND</t>
        </is>
      </c>
      <c r="F558" t="inlineStr">
        <is>
          <t>Kyrkan</t>
        </is>
      </c>
      <c r="G558" t="n">
        <v>2.1</v>
      </c>
      <c r="H558" t="n">
        <v>0</v>
      </c>
      <c r="I558" t="n">
        <v>0</v>
      </c>
      <c r="J558" t="n">
        <v>0</v>
      </c>
      <c r="K558" t="n">
        <v>0</v>
      </c>
      <c r="L558" t="n">
        <v>0</v>
      </c>
      <c r="M558" t="n">
        <v>0</v>
      </c>
      <c r="N558" t="n">
        <v>0</v>
      </c>
      <c r="O558" t="n">
        <v>0</v>
      </c>
      <c r="P558" t="n">
        <v>0</v>
      </c>
      <c r="Q558" t="n">
        <v>0</v>
      </c>
      <c r="R558" s="2" t="inlineStr"/>
    </row>
    <row r="559" ht="15" customHeight="1">
      <c r="A559" t="inlineStr">
        <is>
          <t>A 26810-2021</t>
        </is>
      </c>
      <c r="B559" s="1" t="n">
        <v>44349.55087962963</v>
      </c>
      <c r="C559" s="1" t="n">
        <v>46035</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44963.69503472222</v>
      </c>
      <c r="C560" s="1" t="n">
        <v>46035</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33853-2024</t>
        </is>
      </c>
      <c r="B561" s="1" t="n">
        <v>45520.64298611111</v>
      </c>
      <c r="C561" s="1" t="n">
        <v>46035</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18918-2025</t>
        </is>
      </c>
      <c r="B562" s="1" t="n">
        <v>45764</v>
      </c>
      <c r="C562" s="1" t="n">
        <v>46035</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46035</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10655-2023</t>
        </is>
      </c>
      <c r="B564" s="1" t="n">
        <v>44988.49543981482</v>
      </c>
      <c r="C564" s="1" t="n">
        <v>46035</v>
      </c>
      <c r="D564" t="inlineStr">
        <is>
          <t>GOTLANDS LÄN</t>
        </is>
      </c>
      <c r="E564" t="inlineStr">
        <is>
          <t>GOTLAND</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2719-2023</t>
        </is>
      </c>
      <c r="B565" s="1" t="n">
        <v>44944.55361111111</v>
      </c>
      <c r="C565" s="1" t="n">
        <v>46035</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26891-2024</t>
        </is>
      </c>
      <c r="B566" s="1" t="n">
        <v>45470.65540509259</v>
      </c>
      <c r="C566" s="1" t="n">
        <v>46035</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42007-2023</t>
        </is>
      </c>
      <c r="B567" s="1" t="n">
        <v>45177</v>
      </c>
      <c r="C567" s="1" t="n">
        <v>46035</v>
      </c>
      <c r="D567" t="inlineStr">
        <is>
          <t>GOTLANDS LÄN</t>
        </is>
      </c>
      <c r="E567" t="inlineStr">
        <is>
          <t>GOTLAND</t>
        </is>
      </c>
      <c r="G567" t="n">
        <v>0.8</v>
      </c>
      <c r="H567" t="n">
        <v>0</v>
      </c>
      <c r="I567" t="n">
        <v>0</v>
      </c>
      <c r="J567" t="n">
        <v>0</v>
      </c>
      <c r="K567" t="n">
        <v>0</v>
      </c>
      <c r="L567" t="n">
        <v>0</v>
      </c>
      <c r="M567" t="n">
        <v>0</v>
      </c>
      <c r="N567" t="n">
        <v>0</v>
      </c>
      <c r="O567" t="n">
        <v>0</v>
      </c>
      <c r="P567" t="n">
        <v>0</v>
      </c>
      <c r="Q567" t="n">
        <v>0</v>
      </c>
      <c r="R567" s="2" t="inlineStr"/>
    </row>
    <row r="568" ht="15" customHeight="1">
      <c r="A568" t="inlineStr">
        <is>
          <t>A 9887-2025</t>
        </is>
      </c>
      <c r="B568" s="1" t="n">
        <v>45716</v>
      </c>
      <c r="C568" s="1" t="n">
        <v>46035</v>
      </c>
      <c r="D568" t="inlineStr">
        <is>
          <t>GOTLANDS LÄN</t>
        </is>
      </c>
      <c r="E568" t="inlineStr">
        <is>
          <t>GOTLAND</t>
        </is>
      </c>
      <c r="G568" t="n">
        <v>7.5</v>
      </c>
      <c r="H568" t="n">
        <v>0</v>
      </c>
      <c r="I568" t="n">
        <v>0</v>
      </c>
      <c r="J568" t="n">
        <v>0</v>
      </c>
      <c r="K568" t="n">
        <v>0</v>
      </c>
      <c r="L568" t="n">
        <v>0</v>
      </c>
      <c r="M568" t="n">
        <v>0</v>
      </c>
      <c r="N568" t="n">
        <v>0</v>
      </c>
      <c r="O568" t="n">
        <v>0</v>
      </c>
      <c r="P568" t="n">
        <v>0</v>
      </c>
      <c r="Q568" t="n">
        <v>0</v>
      </c>
      <c r="R568" s="2" t="inlineStr"/>
    </row>
    <row r="569" ht="15" customHeight="1">
      <c r="A569" t="inlineStr">
        <is>
          <t>A 38165-2023</t>
        </is>
      </c>
      <c r="B569" s="1" t="n">
        <v>45161</v>
      </c>
      <c r="C569" s="1" t="n">
        <v>46035</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27596-2023</t>
        </is>
      </c>
      <c r="B570" s="1" t="n">
        <v>45097</v>
      </c>
      <c r="C570" s="1" t="n">
        <v>46035</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24825-2024</t>
        </is>
      </c>
      <c r="B571" s="1" t="n">
        <v>45461</v>
      </c>
      <c r="C571" s="1" t="n">
        <v>46035</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6696-2023</t>
        </is>
      </c>
      <c r="B572" s="1" t="n">
        <v>44966.66425925926</v>
      </c>
      <c r="C572" s="1" t="n">
        <v>46035</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21247-2022</t>
        </is>
      </c>
      <c r="B573" s="1" t="n">
        <v>44705.38832175926</v>
      </c>
      <c r="C573" s="1" t="n">
        <v>46035</v>
      </c>
      <c r="D573" t="inlineStr">
        <is>
          <t>GOTLANDS LÄN</t>
        </is>
      </c>
      <c r="E573" t="inlineStr">
        <is>
          <t>GOTLAND</t>
        </is>
      </c>
      <c r="G573" t="n">
        <v>16.2</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44929.87122685185</v>
      </c>
      <c r="C574" s="1" t="n">
        <v>46035</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44944.54896990741</v>
      </c>
      <c r="C575" s="1" t="n">
        <v>46035</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4421-2024</t>
        </is>
      </c>
      <c r="B576" s="1" t="n">
        <v>45327.45173611111</v>
      </c>
      <c r="C576" s="1" t="n">
        <v>46035</v>
      </c>
      <c r="D576" t="inlineStr">
        <is>
          <t>GOTLANDS LÄN</t>
        </is>
      </c>
      <c r="E576" t="inlineStr">
        <is>
          <t>GOTLAND</t>
        </is>
      </c>
      <c r="G576" t="n">
        <v>5.1</v>
      </c>
      <c r="H576" t="n">
        <v>0</v>
      </c>
      <c r="I576" t="n">
        <v>0</v>
      </c>
      <c r="J576" t="n">
        <v>0</v>
      </c>
      <c r="K576" t="n">
        <v>0</v>
      </c>
      <c r="L576" t="n">
        <v>0</v>
      </c>
      <c r="M576" t="n">
        <v>0</v>
      </c>
      <c r="N576" t="n">
        <v>0</v>
      </c>
      <c r="O576" t="n">
        <v>0</v>
      </c>
      <c r="P576" t="n">
        <v>0</v>
      </c>
      <c r="Q576" t="n">
        <v>0</v>
      </c>
      <c r="R576" s="2" t="inlineStr"/>
    </row>
    <row r="577" ht="15" customHeight="1">
      <c r="A577" t="inlineStr">
        <is>
          <t>A 51782-2023</t>
        </is>
      </c>
      <c r="B577" s="1" t="n">
        <v>45222.80952546297</v>
      </c>
      <c r="C577" s="1" t="n">
        <v>46035</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54268-2022</t>
        </is>
      </c>
      <c r="B578" s="1" t="n">
        <v>44882</v>
      </c>
      <c r="C578" s="1" t="n">
        <v>46035</v>
      </c>
      <c r="D578" t="inlineStr">
        <is>
          <t>GOTLANDS LÄN</t>
        </is>
      </c>
      <c r="E578" t="inlineStr">
        <is>
          <t>GOTLAND</t>
        </is>
      </c>
      <c r="G578" t="n">
        <v>2.7</v>
      </c>
      <c r="H578" t="n">
        <v>0</v>
      </c>
      <c r="I578" t="n">
        <v>0</v>
      </c>
      <c r="J578" t="n">
        <v>0</v>
      </c>
      <c r="K578" t="n">
        <v>0</v>
      </c>
      <c r="L578" t="n">
        <v>0</v>
      </c>
      <c r="M578" t="n">
        <v>0</v>
      </c>
      <c r="N578" t="n">
        <v>0</v>
      </c>
      <c r="O578" t="n">
        <v>0</v>
      </c>
      <c r="P578" t="n">
        <v>0</v>
      </c>
      <c r="Q578" t="n">
        <v>0</v>
      </c>
      <c r="R578" s="2" t="inlineStr"/>
    </row>
    <row r="579" ht="15" customHeight="1">
      <c r="A579" t="inlineStr">
        <is>
          <t>A 57534-2022</t>
        </is>
      </c>
      <c r="B579" s="1" t="n">
        <v>44896</v>
      </c>
      <c r="C579" s="1" t="n">
        <v>46035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25866-2022</t>
        </is>
      </c>
      <c r="B580" s="1" t="n">
        <v>44733</v>
      </c>
      <c r="C580" s="1" t="n">
        <v>46035</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43229-2023</t>
        </is>
      </c>
      <c r="B581" s="1" t="n">
        <v>45183.46704861111</v>
      </c>
      <c r="C581" s="1" t="n">
        <v>46035</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1175-2025</t>
        </is>
      </c>
      <c r="B582" s="1" t="n">
        <v>45667.34449074074</v>
      </c>
      <c r="C582" s="1" t="n">
        <v>46035</v>
      </c>
      <c r="D582" t="inlineStr">
        <is>
          <t>GOTLANDS LÄN</t>
        </is>
      </c>
      <c r="E582" t="inlineStr">
        <is>
          <t>GOTLAND</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27095-2022</t>
        </is>
      </c>
      <c r="B583" s="1" t="n">
        <v>44741</v>
      </c>
      <c r="C583" s="1" t="n">
        <v>46035</v>
      </c>
      <c r="D583" t="inlineStr">
        <is>
          <t>GOTLANDS LÄN</t>
        </is>
      </c>
      <c r="E583" t="inlineStr">
        <is>
          <t>GOTLAND</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46035</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23978-2023</t>
        </is>
      </c>
      <c r="B585" s="1" t="n">
        <v>45078</v>
      </c>
      <c r="C585" s="1" t="n">
        <v>46035</v>
      </c>
      <c r="D585" t="inlineStr">
        <is>
          <t>GOTLANDS LÄN</t>
        </is>
      </c>
      <c r="E585" t="inlineStr">
        <is>
          <t>GOTLAND</t>
        </is>
      </c>
      <c r="F585" t="inlineStr">
        <is>
          <t>Naturvårdsverket</t>
        </is>
      </c>
      <c r="G585" t="n">
        <v>1.7</v>
      </c>
      <c r="H585" t="n">
        <v>0</v>
      </c>
      <c r="I585" t="n">
        <v>0</v>
      </c>
      <c r="J585" t="n">
        <v>0</v>
      </c>
      <c r="K585" t="n">
        <v>0</v>
      </c>
      <c r="L585" t="n">
        <v>0</v>
      </c>
      <c r="M585" t="n">
        <v>0</v>
      </c>
      <c r="N585" t="n">
        <v>0</v>
      </c>
      <c r="O585" t="n">
        <v>0</v>
      </c>
      <c r="P585" t="n">
        <v>0</v>
      </c>
      <c r="Q585" t="n">
        <v>0</v>
      </c>
      <c r="R585" s="2" t="inlineStr"/>
    </row>
    <row r="586" ht="15" customHeight="1">
      <c r="A586" t="inlineStr">
        <is>
          <t>A 34407-2023</t>
        </is>
      </c>
      <c r="B586" s="1" t="n">
        <v>45132</v>
      </c>
      <c r="C586" s="1" t="n">
        <v>46035</v>
      </c>
      <c r="D586" t="inlineStr">
        <is>
          <t>GOTLANDS LÄN</t>
        </is>
      </c>
      <c r="E586" t="inlineStr">
        <is>
          <t>GOTLAND</t>
        </is>
      </c>
      <c r="G586" t="n">
        <v>4.4</v>
      </c>
      <c r="H586" t="n">
        <v>0</v>
      </c>
      <c r="I586" t="n">
        <v>0</v>
      </c>
      <c r="J586" t="n">
        <v>0</v>
      </c>
      <c r="K586" t="n">
        <v>0</v>
      </c>
      <c r="L586" t="n">
        <v>0</v>
      </c>
      <c r="M586" t="n">
        <v>0</v>
      </c>
      <c r="N586" t="n">
        <v>0</v>
      </c>
      <c r="O586" t="n">
        <v>0</v>
      </c>
      <c r="P586" t="n">
        <v>0</v>
      </c>
      <c r="Q586" t="n">
        <v>0</v>
      </c>
      <c r="R586" s="2" t="inlineStr"/>
    </row>
    <row r="587" ht="15" customHeight="1">
      <c r="A587" t="inlineStr">
        <is>
          <t>A 11013-2024</t>
        </is>
      </c>
      <c r="B587" s="1" t="n">
        <v>45370</v>
      </c>
      <c r="C587" s="1" t="n">
        <v>46035</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27694-2024</t>
        </is>
      </c>
      <c r="B588" s="1" t="n">
        <v>45475</v>
      </c>
      <c r="C588" s="1" t="n">
        <v>46035</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15083-2025</t>
        </is>
      </c>
      <c r="B589" s="1" t="n">
        <v>45743</v>
      </c>
      <c r="C589" s="1" t="n">
        <v>46035</v>
      </c>
      <c r="D589" t="inlineStr">
        <is>
          <t>GOTLANDS LÄN</t>
        </is>
      </c>
      <c r="E589" t="inlineStr">
        <is>
          <t>GOTLAND</t>
        </is>
      </c>
      <c r="G589" t="n">
        <v>2.3</v>
      </c>
      <c r="H589" t="n">
        <v>0</v>
      </c>
      <c r="I589" t="n">
        <v>0</v>
      </c>
      <c r="J589" t="n">
        <v>0</v>
      </c>
      <c r="K589" t="n">
        <v>0</v>
      </c>
      <c r="L589" t="n">
        <v>0</v>
      </c>
      <c r="M589" t="n">
        <v>0</v>
      </c>
      <c r="N589" t="n">
        <v>0</v>
      </c>
      <c r="O589" t="n">
        <v>0</v>
      </c>
      <c r="P589" t="n">
        <v>0</v>
      </c>
      <c r="Q589" t="n">
        <v>0</v>
      </c>
      <c r="R589" s="2" t="inlineStr"/>
    </row>
    <row r="590" ht="15" customHeight="1">
      <c r="A590" t="inlineStr">
        <is>
          <t>A 13037-2025</t>
        </is>
      </c>
      <c r="B590" s="1" t="n">
        <v>45734</v>
      </c>
      <c r="C590" s="1" t="n">
        <v>46035</v>
      </c>
      <c r="D590" t="inlineStr">
        <is>
          <t>GOTLANDS LÄN</t>
        </is>
      </c>
      <c r="E590" t="inlineStr">
        <is>
          <t>GOTLAND</t>
        </is>
      </c>
      <c r="G590" t="n">
        <v>9.5</v>
      </c>
      <c r="H590" t="n">
        <v>0</v>
      </c>
      <c r="I590" t="n">
        <v>0</v>
      </c>
      <c r="J590" t="n">
        <v>0</v>
      </c>
      <c r="K590" t="n">
        <v>0</v>
      </c>
      <c r="L590" t="n">
        <v>0</v>
      </c>
      <c r="M590" t="n">
        <v>0</v>
      </c>
      <c r="N590" t="n">
        <v>0</v>
      </c>
      <c r="O590" t="n">
        <v>0</v>
      </c>
      <c r="P590" t="n">
        <v>0</v>
      </c>
      <c r="Q590" t="n">
        <v>0</v>
      </c>
      <c r="R590" s="2" t="inlineStr"/>
    </row>
    <row r="591" ht="15" customHeight="1">
      <c r="A591" t="inlineStr">
        <is>
          <t>A 458-2023</t>
        </is>
      </c>
      <c r="B591" s="1" t="n">
        <v>44929</v>
      </c>
      <c r="C591" s="1" t="n">
        <v>46035</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44228-2022</t>
        </is>
      </c>
      <c r="B592" s="1" t="n">
        <v>44839.51599537037</v>
      </c>
      <c r="C592" s="1" t="n">
        <v>46035</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58132-2023</t>
        </is>
      </c>
      <c r="B593" s="1" t="n">
        <v>45250</v>
      </c>
      <c r="C593" s="1" t="n">
        <v>46035</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49884-2023</t>
        </is>
      </c>
      <c r="B594" s="1" t="n">
        <v>45213</v>
      </c>
      <c r="C594" s="1" t="n">
        <v>46035</v>
      </c>
      <c r="D594" t="inlineStr">
        <is>
          <t>GOTLANDS LÄN</t>
        </is>
      </c>
      <c r="E594" t="inlineStr">
        <is>
          <t>GOTLAND</t>
        </is>
      </c>
      <c r="G594" t="n">
        <v>8.9</v>
      </c>
      <c r="H594" t="n">
        <v>0</v>
      </c>
      <c r="I594" t="n">
        <v>0</v>
      </c>
      <c r="J594" t="n">
        <v>0</v>
      </c>
      <c r="K594" t="n">
        <v>0</v>
      </c>
      <c r="L594" t="n">
        <v>0</v>
      </c>
      <c r="M594" t="n">
        <v>0</v>
      </c>
      <c r="N594" t="n">
        <v>0</v>
      </c>
      <c r="O594" t="n">
        <v>0</v>
      </c>
      <c r="P594" t="n">
        <v>0</v>
      </c>
      <c r="Q594" t="n">
        <v>0</v>
      </c>
      <c r="R594" s="2" t="inlineStr"/>
    </row>
    <row r="595" ht="15" customHeight="1">
      <c r="A595" t="inlineStr">
        <is>
          <t>A 876-2024</t>
        </is>
      </c>
      <c r="B595" s="1" t="n">
        <v>45301</v>
      </c>
      <c r="C595" s="1" t="n">
        <v>46035</v>
      </c>
      <c r="D595" t="inlineStr">
        <is>
          <t>GOTLANDS LÄN</t>
        </is>
      </c>
      <c r="E595" t="inlineStr">
        <is>
          <t>GOTLAND</t>
        </is>
      </c>
      <c r="G595" t="n">
        <v>5.3</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46035</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28425-2023</t>
        </is>
      </c>
      <c r="B597" s="1" t="n">
        <v>45102</v>
      </c>
      <c r="C597" s="1" t="n">
        <v>46035</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58476-2022</t>
        </is>
      </c>
      <c r="B598" s="1" t="n">
        <v>44902</v>
      </c>
      <c r="C598" s="1" t="n">
        <v>46035</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43200-2023</t>
        </is>
      </c>
      <c r="B599" s="1" t="n">
        <v>45183</v>
      </c>
      <c r="C599" s="1" t="n">
        <v>46035</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43223-2023</t>
        </is>
      </c>
      <c r="B600" s="1" t="n">
        <v>45183.45642361111</v>
      </c>
      <c r="C600" s="1" t="n">
        <v>46035</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12327-2025</t>
        </is>
      </c>
      <c r="B601" s="1" t="n">
        <v>45730</v>
      </c>
      <c r="C601" s="1" t="n">
        <v>46035</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3431-2025</t>
        </is>
      </c>
      <c r="B602" s="1" t="n">
        <v>45680.42935185185</v>
      </c>
      <c r="C602" s="1" t="n">
        <v>46035</v>
      </c>
      <c r="D602" t="inlineStr">
        <is>
          <t>GOTLANDS LÄN</t>
        </is>
      </c>
      <c r="E602" t="inlineStr">
        <is>
          <t>GOTLAND</t>
        </is>
      </c>
      <c r="G602" t="n">
        <v>4.8</v>
      </c>
      <c r="H602" t="n">
        <v>0</v>
      </c>
      <c r="I602" t="n">
        <v>0</v>
      </c>
      <c r="J602" t="n">
        <v>0</v>
      </c>
      <c r="K602" t="n">
        <v>0</v>
      </c>
      <c r="L602" t="n">
        <v>0</v>
      </c>
      <c r="M602" t="n">
        <v>0</v>
      </c>
      <c r="N602" t="n">
        <v>0</v>
      </c>
      <c r="O602" t="n">
        <v>0</v>
      </c>
      <c r="P602" t="n">
        <v>0</v>
      </c>
      <c r="Q602" t="n">
        <v>0</v>
      </c>
      <c r="R602" s="2" t="inlineStr"/>
    </row>
    <row r="603" ht="15" customHeight="1">
      <c r="A603" t="inlineStr">
        <is>
          <t>A 12209-2024</t>
        </is>
      </c>
      <c r="B603" s="1" t="n">
        <v>45378</v>
      </c>
      <c r="C603" s="1" t="n">
        <v>46035</v>
      </c>
      <c r="D603" t="inlineStr">
        <is>
          <t>GOTLANDS LÄN</t>
        </is>
      </c>
      <c r="E603" t="inlineStr">
        <is>
          <t>GOTLAND</t>
        </is>
      </c>
      <c r="G603" t="n">
        <v>5.3</v>
      </c>
      <c r="H603" t="n">
        <v>0</v>
      </c>
      <c r="I603" t="n">
        <v>0</v>
      </c>
      <c r="J603" t="n">
        <v>0</v>
      </c>
      <c r="K603" t="n">
        <v>0</v>
      </c>
      <c r="L603" t="n">
        <v>0</v>
      </c>
      <c r="M603" t="n">
        <v>0</v>
      </c>
      <c r="N603" t="n">
        <v>0</v>
      </c>
      <c r="O603" t="n">
        <v>0</v>
      </c>
      <c r="P603" t="n">
        <v>0</v>
      </c>
      <c r="Q603" t="n">
        <v>0</v>
      </c>
      <c r="R603" s="2" t="inlineStr"/>
    </row>
    <row r="604" ht="15" customHeight="1">
      <c r="A604" t="inlineStr">
        <is>
          <t>A 12210-2024</t>
        </is>
      </c>
      <c r="B604" s="1" t="n">
        <v>45378</v>
      </c>
      <c r="C604" s="1" t="n">
        <v>46035</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1364-2025</t>
        </is>
      </c>
      <c r="B605" s="1" t="n">
        <v>45667.63929398148</v>
      </c>
      <c r="C605" s="1" t="n">
        <v>46035</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15042-2025</t>
        </is>
      </c>
      <c r="B606" s="1" t="n">
        <v>45743</v>
      </c>
      <c r="C606" s="1" t="n">
        <v>46035</v>
      </c>
      <c r="D606" t="inlineStr">
        <is>
          <t>GOTLANDS LÄN</t>
        </is>
      </c>
      <c r="E606" t="inlineStr">
        <is>
          <t>GOTLAND</t>
        </is>
      </c>
      <c r="G606" t="n">
        <v>8.5</v>
      </c>
      <c r="H606" t="n">
        <v>0</v>
      </c>
      <c r="I606" t="n">
        <v>0</v>
      </c>
      <c r="J606" t="n">
        <v>0</v>
      </c>
      <c r="K606" t="n">
        <v>0</v>
      </c>
      <c r="L606" t="n">
        <v>0</v>
      </c>
      <c r="M606" t="n">
        <v>0</v>
      </c>
      <c r="N606" t="n">
        <v>0</v>
      </c>
      <c r="O606" t="n">
        <v>0</v>
      </c>
      <c r="P606" t="n">
        <v>0</v>
      </c>
      <c r="Q606" t="n">
        <v>0</v>
      </c>
      <c r="R606" s="2" t="inlineStr"/>
    </row>
    <row r="607" ht="15" customHeight="1">
      <c r="A607" t="inlineStr">
        <is>
          <t>A 2180-2025</t>
        </is>
      </c>
      <c r="B607" s="1" t="n">
        <v>45673</v>
      </c>
      <c r="C607" s="1" t="n">
        <v>46035</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15436-2025</t>
        </is>
      </c>
      <c r="B608" s="1" t="n">
        <v>45747.47462962963</v>
      </c>
      <c r="C608" s="1" t="n">
        <v>46035</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49257-2024</t>
        </is>
      </c>
      <c r="B609" s="1" t="n">
        <v>45595.47627314815</v>
      </c>
      <c r="C609" s="1" t="n">
        <v>46035</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37202-2024</t>
        </is>
      </c>
      <c r="B610" s="1" t="n">
        <v>45539.67310185185</v>
      </c>
      <c r="C610" s="1" t="n">
        <v>46035</v>
      </c>
      <c r="D610" t="inlineStr">
        <is>
          <t>GOTLANDS LÄN</t>
        </is>
      </c>
      <c r="E610" t="inlineStr">
        <is>
          <t>GOTLAND</t>
        </is>
      </c>
      <c r="G610" t="n">
        <v>0.3</v>
      </c>
      <c r="H610" t="n">
        <v>0</v>
      </c>
      <c r="I610" t="n">
        <v>0</v>
      </c>
      <c r="J610" t="n">
        <v>0</v>
      </c>
      <c r="K610" t="n">
        <v>0</v>
      </c>
      <c r="L610" t="n">
        <v>0</v>
      </c>
      <c r="M610" t="n">
        <v>0</v>
      </c>
      <c r="N610" t="n">
        <v>0</v>
      </c>
      <c r="O610" t="n">
        <v>0</v>
      </c>
      <c r="P610" t="n">
        <v>0</v>
      </c>
      <c r="Q610" t="n">
        <v>0</v>
      </c>
      <c r="R610" s="2" t="inlineStr"/>
    </row>
    <row r="611" ht="15" customHeight="1">
      <c r="A611" t="inlineStr">
        <is>
          <t>A 56115-2023</t>
        </is>
      </c>
      <c r="B611" s="1" t="n">
        <v>45236</v>
      </c>
      <c r="C611" s="1" t="n">
        <v>46035</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2774-2024</t>
        </is>
      </c>
      <c r="B612" s="1" t="n">
        <v>45314.62375</v>
      </c>
      <c r="C612" s="1" t="n">
        <v>46035</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60709-2023</t>
        </is>
      </c>
      <c r="B613" s="1" t="n">
        <v>45260</v>
      </c>
      <c r="C613" s="1" t="n">
        <v>46035</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64208-2021</t>
        </is>
      </c>
      <c r="B614" s="1" t="n">
        <v>44510</v>
      </c>
      <c r="C614" s="1" t="n">
        <v>46035</v>
      </c>
      <c r="D614" t="inlineStr">
        <is>
          <t>GOTLANDS LÄN</t>
        </is>
      </c>
      <c r="E614" t="inlineStr">
        <is>
          <t>GOTLAND</t>
        </is>
      </c>
      <c r="G614" t="n">
        <v>4.7</v>
      </c>
      <c r="H614" t="n">
        <v>0</v>
      </c>
      <c r="I614" t="n">
        <v>0</v>
      </c>
      <c r="J614" t="n">
        <v>0</v>
      </c>
      <c r="K614" t="n">
        <v>0</v>
      </c>
      <c r="L614" t="n">
        <v>0</v>
      </c>
      <c r="M614" t="n">
        <v>0</v>
      </c>
      <c r="N614" t="n">
        <v>0</v>
      </c>
      <c r="O614" t="n">
        <v>0</v>
      </c>
      <c r="P614" t="n">
        <v>0</v>
      </c>
      <c r="Q614" t="n">
        <v>0</v>
      </c>
      <c r="R614" s="2" t="inlineStr"/>
    </row>
    <row r="615" ht="15" customHeight="1">
      <c r="A615" t="inlineStr">
        <is>
          <t>A 39764-2022</t>
        </is>
      </c>
      <c r="B615" s="1" t="n">
        <v>44819</v>
      </c>
      <c r="C615" s="1" t="n">
        <v>46035</v>
      </c>
      <c r="D615" t="inlineStr">
        <is>
          <t>GOTLANDS LÄN</t>
        </is>
      </c>
      <c r="E615" t="inlineStr">
        <is>
          <t>GOTLAND</t>
        </is>
      </c>
      <c r="F615" t="inlineStr">
        <is>
          <t>Kyrkan</t>
        </is>
      </c>
      <c r="G615" t="n">
        <v>3.7</v>
      </c>
      <c r="H615" t="n">
        <v>0</v>
      </c>
      <c r="I615" t="n">
        <v>0</v>
      </c>
      <c r="J615" t="n">
        <v>0</v>
      </c>
      <c r="K615" t="n">
        <v>0</v>
      </c>
      <c r="L615" t="n">
        <v>0</v>
      </c>
      <c r="M615" t="n">
        <v>0</v>
      </c>
      <c r="N615" t="n">
        <v>0</v>
      </c>
      <c r="O615" t="n">
        <v>0</v>
      </c>
      <c r="P615" t="n">
        <v>0</v>
      </c>
      <c r="Q615" t="n">
        <v>0</v>
      </c>
      <c r="R615" s="2" t="inlineStr"/>
    </row>
    <row r="616" ht="15" customHeight="1">
      <c r="A616" t="inlineStr">
        <is>
          <t>A 58211-2024</t>
        </is>
      </c>
      <c r="B616" s="1" t="n">
        <v>45632.49292824074</v>
      </c>
      <c r="C616" s="1" t="n">
        <v>46035</v>
      </c>
      <c r="D616" t="inlineStr">
        <is>
          <t>GOTLANDS LÄN</t>
        </is>
      </c>
      <c r="E616" t="inlineStr">
        <is>
          <t>GOTLAND</t>
        </is>
      </c>
      <c r="G616" t="n">
        <v>5.4</v>
      </c>
      <c r="H616" t="n">
        <v>0</v>
      </c>
      <c r="I616" t="n">
        <v>0</v>
      </c>
      <c r="J616" t="n">
        <v>0</v>
      </c>
      <c r="K616" t="n">
        <v>0</v>
      </c>
      <c r="L616" t="n">
        <v>0</v>
      </c>
      <c r="M616" t="n">
        <v>0</v>
      </c>
      <c r="N616" t="n">
        <v>0</v>
      </c>
      <c r="O616" t="n">
        <v>0</v>
      </c>
      <c r="P616" t="n">
        <v>0</v>
      </c>
      <c r="Q616" t="n">
        <v>0</v>
      </c>
      <c r="R616" s="2" t="inlineStr"/>
    </row>
    <row r="617" ht="15" customHeight="1">
      <c r="A617" t="inlineStr">
        <is>
          <t>A 30956-2024</t>
        </is>
      </c>
      <c r="B617" s="1" t="n">
        <v>45499.42527777778</v>
      </c>
      <c r="C617" s="1" t="n">
        <v>46035</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30892-2024</t>
        </is>
      </c>
      <c r="B618" s="1" t="n">
        <v>45491</v>
      </c>
      <c r="C618" s="1" t="n">
        <v>46035</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45013.69365740741</v>
      </c>
      <c r="C619" s="1" t="n">
        <v>46035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59469-2024</t>
        </is>
      </c>
      <c r="B620" s="1" t="n">
        <v>45638</v>
      </c>
      <c r="C620" s="1" t="n">
        <v>46035</v>
      </c>
      <c r="D620" t="inlineStr">
        <is>
          <t>GOTLANDS LÄN</t>
        </is>
      </c>
      <c r="E620" t="inlineStr">
        <is>
          <t>GOTLAND</t>
        </is>
      </c>
      <c r="G620" t="n">
        <v>0.4</v>
      </c>
      <c r="H620" t="n">
        <v>0</v>
      </c>
      <c r="I620" t="n">
        <v>0</v>
      </c>
      <c r="J620" t="n">
        <v>0</v>
      </c>
      <c r="K620" t="n">
        <v>0</v>
      </c>
      <c r="L620" t="n">
        <v>0</v>
      </c>
      <c r="M620" t="n">
        <v>0</v>
      </c>
      <c r="N620" t="n">
        <v>0</v>
      </c>
      <c r="O620" t="n">
        <v>0</v>
      </c>
      <c r="P620" t="n">
        <v>0</v>
      </c>
      <c r="Q620" t="n">
        <v>0</v>
      </c>
      <c r="R620" s="2" t="inlineStr"/>
    </row>
    <row r="621">
      <c r="A621" t="inlineStr">
        <is>
          <t>A 7858-2025</t>
        </is>
      </c>
      <c r="B621" s="1" t="n">
        <v>45706.68633101852</v>
      </c>
      <c r="C621" s="1" t="n">
        <v>46035</v>
      </c>
      <c r="D621" t="inlineStr">
        <is>
          <t>GOTLANDS LÄN</t>
        </is>
      </c>
      <c r="E621" t="inlineStr">
        <is>
          <t>GOTLAND</t>
        </is>
      </c>
      <c r="G621" t="n">
        <v>3</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2026-01-13T10:49:38Z</dcterms:created>
  <dcterms:modified xmlns:dcterms="http://purl.org/dc/terms/" xmlns:xsi="http://www.w3.org/2001/XMLSchema-instance" xsi:type="dcterms:W3CDTF">2026-01-13T10:49:39Z</dcterms:modified>
</cp:coreProperties>
</file>