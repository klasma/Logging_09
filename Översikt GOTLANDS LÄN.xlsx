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45924</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45924</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10780-2025</t>
        </is>
      </c>
      <c r="B9" s="1" t="n">
        <v>45722.48222222222</v>
      </c>
      <c r="C9" s="1" t="n">
        <v>45924</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922-2023</t>
        </is>
      </c>
      <c r="B10" s="1" t="n">
        <v>44932</v>
      </c>
      <c r="C10" s="1" t="n">
        <v>45924</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569-2023</t>
        </is>
      </c>
      <c r="B11" s="1" t="n">
        <v>44930</v>
      </c>
      <c r="C11" s="1" t="n">
        <v>45924</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45924</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45924</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45924</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45924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45924</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45924</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45924</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45924</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24309-2025</t>
        </is>
      </c>
      <c r="B22" s="1" t="n">
        <v>45797</v>
      </c>
      <c r="C22" s="1" t="n">
        <v>45924</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25779-2022</t>
        </is>
      </c>
      <c r="B23" s="1" t="n">
        <v>44733</v>
      </c>
      <c r="C23" s="1" t="n">
        <v>45924</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33728-2025</t>
        </is>
      </c>
      <c r="B24" s="1" t="n">
        <v>45842.29344907407</v>
      </c>
      <c r="C24" s="1" t="n">
        <v>45924</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45924</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45924</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45924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45924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445-2023</t>
        </is>
      </c>
      <c r="B29" s="1" t="n">
        <v>44929</v>
      </c>
      <c r="C29" s="1" t="n">
        <v>45924</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45924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45924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30542-2025</t>
        </is>
      </c>
      <c r="B33" s="1" t="n">
        <v>45831</v>
      </c>
      <c r="C33" s="1" t="n">
        <v>45924</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28287-2024</t>
        </is>
      </c>
      <c r="B34" s="1" t="n">
        <v>45477</v>
      </c>
      <c r="C34" s="1" t="n">
        <v>45924</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15850-2025</t>
        </is>
      </c>
      <c r="B35" s="1" t="n">
        <v>45748</v>
      </c>
      <c r="C35" s="1" t="n">
        <v>45924</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11176-2024</t>
        </is>
      </c>
      <c r="B36" s="1" t="n">
        <v>45371</v>
      </c>
      <c r="C36" s="1" t="n">
        <v>45924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45924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45924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45924</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45924</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1719-2025</t>
        </is>
      </c>
      <c r="B41" s="1" t="n">
        <v>45671</v>
      </c>
      <c r="C41" s="1" t="n">
        <v>45924</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45924</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45924</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45924</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45924</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59132-2024</t>
        </is>
      </c>
      <c r="B46" s="1" t="n">
        <v>45637</v>
      </c>
      <c r="C46" s="1" t="n">
        <v>45924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45924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45924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45924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45924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45924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6960-2025</t>
        </is>
      </c>
      <c r="B52" s="1" t="n">
        <v>45701.49409722222</v>
      </c>
      <c r="C52" s="1" t="n">
        <v>45924</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45924</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27280-2023</t>
        </is>
      </c>
      <c r="B54" s="1" t="n">
        <v>45096</v>
      </c>
      <c r="C54" s="1" t="n">
        <v>45924</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18541-2024</t>
        </is>
      </c>
      <c r="B55" s="1" t="n">
        <v>45425</v>
      </c>
      <c r="C55" s="1" t="n">
        <v>45924</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45924</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10419-2025</t>
        </is>
      </c>
      <c r="B57" s="1" t="n">
        <v>45720</v>
      </c>
      <c r="C57" s="1" t="n">
        <v>45924</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16823-2024</t>
        </is>
      </c>
      <c r="B60" s="1" t="n">
        <v>45411</v>
      </c>
      <c r="C60" s="1" t="n">
        <v>45924</v>
      </c>
      <c r="D60" t="inlineStr">
        <is>
          <t>GOTLANDS LÄN</t>
        </is>
      </c>
      <c r="E60" t="inlineStr">
        <is>
          <t>GOTLAND</t>
        </is>
      </c>
      <c r="G60" t="n">
        <v>25.4</v>
      </c>
      <c r="H60" t="n">
        <v>5</v>
      </c>
      <c r="I60" t="n">
        <v>1</v>
      </c>
      <c r="J60" t="n">
        <v>2</v>
      </c>
      <c r="K60" t="n">
        <v>0</v>
      </c>
      <c r="L60" t="n">
        <v>0</v>
      </c>
      <c r="M60" t="n">
        <v>0</v>
      </c>
      <c r="N60" t="n">
        <v>0</v>
      </c>
      <c r="O60" t="n">
        <v>2</v>
      </c>
      <c r="P60" t="n">
        <v>0</v>
      </c>
      <c r="Q60" t="n">
        <v>6</v>
      </c>
      <c r="R60" s="2" t="inlineStr">
        <is>
          <t>Gulsparv
Jordtistel
Flugblomster
Brudsporre
Johannesnycklar
Sankt pers nycklar</t>
        </is>
      </c>
      <c r="S60">
        <f>HYPERLINK("https://klasma.github.io/Logging_0980/artfynd/A 16823-2024 artfynd.xlsx", "A 16823-2024")</f>
        <v/>
      </c>
      <c r="T60">
        <f>HYPERLINK("https://klasma.github.io/Logging_0980/kartor/A 16823-2024 karta.png", "A 16823-2024")</f>
        <v/>
      </c>
      <c r="V60">
        <f>HYPERLINK("https://klasma.github.io/Logging_0980/klagomål/A 16823-2024 FSC-klagomål.docx", "A 16823-2024")</f>
        <v/>
      </c>
      <c r="W60">
        <f>HYPERLINK("https://klasma.github.io/Logging_0980/klagomålsmail/A 16823-2024 FSC-klagomål mail.docx", "A 16823-2024")</f>
        <v/>
      </c>
      <c r="X60">
        <f>HYPERLINK("https://klasma.github.io/Logging_0980/tillsyn/A 16823-2024 tillsynsbegäran.docx", "A 16823-2024")</f>
        <v/>
      </c>
      <c r="Y60">
        <f>HYPERLINK("https://klasma.github.io/Logging_0980/tillsynsmail/A 16823-2024 tillsynsbegäran mail.docx", "A 16823-2024")</f>
        <v/>
      </c>
      <c r="Z60">
        <f>HYPERLINK("https://klasma.github.io/Logging_0980/fåglar/A 16823-2024 prioriterade fågelarter.docx", "A 16823-2024")</f>
        <v/>
      </c>
    </row>
    <row r="61" ht="15" customHeight="1">
      <c r="A61" t="inlineStr">
        <is>
          <t>A 54527-2023</t>
        </is>
      </c>
      <c r="B61" s="1" t="n">
        <v>45233</v>
      </c>
      <c r="C61" s="1" t="n">
        <v>45924</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446-2023</t>
        </is>
      </c>
      <c r="B62" s="1" t="n">
        <v>44929</v>
      </c>
      <c r="C62" s="1" t="n">
        <v>45924</v>
      </c>
      <c r="D62" t="inlineStr">
        <is>
          <t>GOTLANDS LÄN</t>
        </is>
      </c>
      <c r="E62" t="inlineStr">
        <is>
          <t>GOTLAND</t>
        </is>
      </c>
      <c r="G62" t="n">
        <v>7.1</v>
      </c>
      <c r="H62" t="n">
        <v>2</v>
      </c>
      <c r="I62" t="n">
        <v>3</v>
      </c>
      <c r="J62" t="n">
        <v>2</v>
      </c>
      <c r="K62" t="n">
        <v>1</v>
      </c>
      <c r="L62" t="n">
        <v>0</v>
      </c>
      <c r="M62" t="n">
        <v>0</v>
      </c>
      <c r="N62" t="n">
        <v>0</v>
      </c>
      <c r="O62" t="n">
        <v>3</v>
      </c>
      <c r="P62" t="n">
        <v>1</v>
      </c>
      <c r="Q62" t="n">
        <v>6</v>
      </c>
      <c r="R62" s="2" t="inlineStr">
        <is>
          <t>Svartgrön spindling
Spillkråka
Äggspindling
Kastanjefjällskivling
Skogsknipprot
Svavelriska</t>
        </is>
      </c>
      <c r="S62">
        <f>HYPERLINK("https://klasma.github.io/Logging_0980/artfynd/A 446-2023 artfynd.xlsx", "A 446-2023")</f>
        <v/>
      </c>
      <c r="T62">
        <f>HYPERLINK("https://klasma.github.io/Logging_0980/kartor/A 446-2023 karta.png", "A 446-2023")</f>
        <v/>
      </c>
      <c r="V62">
        <f>HYPERLINK("https://klasma.github.io/Logging_0980/klagomål/A 446-2023 FSC-klagomål.docx", "A 446-2023")</f>
        <v/>
      </c>
      <c r="W62">
        <f>HYPERLINK("https://klasma.github.io/Logging_0980/klagomålsmail/A 446-2023 FSC-klagomål mail.docx", "A 446-2023")</f>
        <v/>
      </c>
      <c r="X62">
        <f>HYPERLINK("https://klasma.github.io/Logging_0980/tillsyn/A 446-2023 tillsynsbegäran.docx", "A 446-2023")</f>
        <v/>
      </c>
      <c r="Y62">
        <f>HYPERLINK("https://klasma.github.io/Logging_0980/tillsynsmail/A 446-2023 tillsynsbegäran mail.docx", "A 446-2023")</f>
        <v/>
      </c>
      <c r="Z62">
        <f>HYPERLINK("https://klasma.github.io/Logging_0980/fåglar/A 446-2023 prioriterade fågelarter.docx", "A 446-2023")</f>
        <v/>
      </c>
    </row>
    <row r="63" ht="15" customHeight="1">
      <c r="A63" t="inlineStr">
        <is>
          <t>A 65819-2020</t>
        </is>
      </c>
      <c r="B63" s="1" t="n">
        <v>44174</v>
      </c>
      <c r="C63" s="1" t="n">
        <v>45924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45924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66091-2021</t>
        </is>
      </c>
      <c r="B65" s="1" t="n">
        <v>44517</v>
      </c>
      <c r="C65" s="1" t="n">
        <v>45924</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45924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45924</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44944-2022</t>
        </is>
      </c>
      <c r="B68" s="1" t="n">
        <v>44841</v>
      </c>
      <c r="C68" s="1" t="n">
        <v>45924</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45924</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35293-2025</t>
        </is>
      </c>
      <c r="B70" s="1" t="n">
        <v>45854.39438657407</v>
      </c>
      <c r="C70" s="1" t="n">
        <v>45924</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32326-2024</t>
        </is>
      </c>
      <c r="B71" s="1" t="n">
        <v>45512</v>
      </c>
      <c r="C71" s="1" t="n">
        <v>45924</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42936-2024</t>
        </is>
      </c>
      <c r="B72" s="1" t="n">
        <v>45567</v>
      </c>
      <c r="C72" s="1" t="n">
        <v>45924</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54055-2022</t>
        </is>
      </c>
      <c r="B73" s="1" t="n">
        <v>44881</v>
      </c>
      <c r="C73" s="1" t="n">
        <v>45924</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29331-2021</t>
        </is>
      </c>
      <c r="B74" s="1" t="n">
        <v>44361</v>
      </c>
      <c r="C74" s="1" t="n">
        <v>45924</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45924</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45924</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45924</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40099-2025</t>
        </is>
      </c>
      <c r="B78" s="1" t="n">
        <v>45894.48462962963</v>
      </c>
      <c r="C78" s="1" t="n">
        <v>45924</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20833-2024</t>
        </is>
      </c>
      <c r="B79" s="1" t="n">
        <v>45439</v>
      </c>
      <c r="C79" s="1" t="n">
        <v>45924</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54523-2023</t>
        </is>
      </c>
      <c r="B80" s="1" t="n">
        <v>45233</v>
      </c>
      <c r="C80" s="1" t="n">
        <v>45924</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45924</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45924</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8265-2023</t>
        </is>
      </c>
      <c r="B83" s="1" t="n">
        <v>44974</v>
      </c>
      <c r="C83" s="1" t="n">
        <v>45924</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43197-2023</t>
        </is>
      </c>
      <c r="B84" s="1" t="n">
        <v>45183</v>
      </c>
      <c r="C84" s="1" t="n">
        <v>45924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45924</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45924</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64378-2020</t>
        </is>
      </c>
      <c r="B87" s="1" t="n">
        <v>44168</v>
      </c>
      <c r="C87" s="1" t="n">
        <v>45924</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45924</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45924</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45924</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45924</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2332-2021</t>
        </is>
      </c>
      <c r="B94" s="1" t="n">
        <v>44214</v>
      </c>
      <c r="C94" s="1" t="n">
        <v>45924</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45924</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45924</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45924</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45924</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30490-2025</t>
        </is>
      </c>
      <c r="B99" s="1" t="n">
        <v>45830</v>
      </c>
      <c r="C99" s="1" t="n">
        <v>45924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48126-2022</t>
        </is>
      </c>
      <c r="B100" s="1" t="n">
        <v>44857</v>
      </c>
      <c r="C100" s="1" t="n">
        <v>45924</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53552-2021</t>
        </is>
      </c>
      <c r="B101" s="1" t="n">
        <v>44468</v>
      </c>
      <c r="C101" s="1" t="n">
        <v>45924</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12315-2024</t>
        </is>
      </c>
      <c r="B102" s="1" t="n">
        <v>45378.6434837963</v>
      </c>
      <c r="C102" s="1" t="n">
        <v>45924</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20831-2024</t>
        </is>
      </c>
      <c r="B103" s="1" t="n">
        <v>45439</v>
      </c>
      <c r="C103" s="1" t="n">
        <v>45924</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17975-2024</t>
        </is>
      </c>
      <c r="B104" s="1" t="n">
        <v>45419.85546296297</v>
      </c>
      <c r="C104" s="1" t="n">
        <v>45924</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45924</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45924</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45924</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45924</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45924</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45924</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45924</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55649-2024</t>
        </is>
      </c>
      <c r="B112" s="1" t="n">
        <v>45622.63053240741</v>
      </c>
      <c r="C112" s="1" t="n">
        <v>45924</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20218-2022</t>
        </is>
      </c>
      <c r="B113" s="1" t="n">
        <v>44698</v>
      </c>
      <c r="C113" s="1" t="n">
        <v>45924</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45924</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45924</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58701-2020</t>
        </is>
      </c>
      <c r="B116" s="1" t="n">
        <v>44146</v>
      </c>
      <c r="C116" s="1" t="n">
        <v>45924</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45924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45924</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41238-2025</t>
        </is>
      </c>
      <c r="B119" s="1" t="n">
        <v>45898</v>
      </c>
      <c r="C119" s="1" t="n">
        <v>45924</v>
      </c>
      <c r="D119" t="inlineStr">
        <is>
          <t>GOTLANDS LÄN</t>
        </is>
      </c>
      <c r="E119" t="inlineStr">
        <is>
          <t>GOTLAND</t>
        </is>
      </c>
      <c r="G119" t="n">
        <v>7.1</v>
      </c>
      <c r="H119" t="n">
        <v>1</v>
      </c>
      <c r="I119" t="n">
        <v>2</v>
      </c>
      <c r="J119" t="n">
        <v>0</v>
      </c>
      <c r="K119" t="n">
        <v>0</v>
      </c>
      <c r="L119" t="n">
        <v>0</v>
      </c>
      <c r="M119" t="n">
        <v>0</v>
      </c>
      <c r="N119" t="n">
        <v>0</v>
      </c>
      <c r="O119" t="n">
        <v>0</v>
      </c>
      <c r="P119" t="n">
        <v>0</v>
      </c>
      <c r="Q119" t="n">
        <v>2</v>
      </c>
      <c r="R119" s="2" t="inlineStr">
        <is>
          <t>Granbarkgnagare
Skogsknipprot</t>
        </is>
      </c>
      <c r="S119">
        <f>HYPERLINK("https://klasma.github.io/Logging_0980/artfynd/A 41238-2025 artfynd.xlsx", "A 41238-2025")</f>
        <v/>
      </c>
      <c r="T119">
        <f>HYPERLINK("https://klasma.github.io/Logging_0980/kartor/A 41238-2025 karta.png", "A 41238-2025")</f>
        <v/>
      </c>
      <c r="V119">
        <f>HYPERLINK("https://klasma.github.io/Logging_0980/klagomål/A 41238-2025 FSC-klagomål.docx", "A 41238-2025")</f>
        <v/>
      </c>
      <c r="W119">
        <f>HYPERLINK("https://klasma.github.io/Logging_0980/klagomålsmail/A 41238-2025 FSC-klagomål mail.docx", "A 41238-2025")</f>
        <v/>
      </c>
      <c r="X119">
        <f>HYPERLINK("https://klasma.github.io/Logging_0980/tillsyn/A 41238-2025 tillsynsbegäran.docx", "A 41238-2025")</f>
        <v/>
      </c>
      <c r="Y119">
        <f>HYPERLINK("https://klasma.github.io/Logging_0980/tillsynsmail/A 41238-2025 tillsynsbegäran mail.docx", "A 41238-2025")</f>
        <v/>
      </c>
    </row>
    <row r="120" ht="15" customHeight="1">
      <c r="A120" t="inlineStr">
        <is>
          <t>A 64263-2020</t>
        </is>
      </c>
      <c r="B120" s="1" t="n">
        <v>44168</v>
      </c>
      <c r="C120" s="1" t="n">
        <v>45924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45924</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54357-2024</t>
        </is>
      </c>
      <c r="B122" s="1" t="n">
        <v>45617.40662037037</v>
      </c>
      <c r="C122" s="1" t="n">
        <v>45924</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43219-2023</t>
        </is>
      </c>
      <c r="B123" s="1" t="n">
        <v>45183</v>
      </c>
      <c r="C123" s="1" t="n">
        <v>45924</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28276-2024</t>
        </is>
      </c>
      <c r="B124" s="1" t="n">
        <v>45477</v>
      </c>
      <c r="C124" s="1" t="n">
        <v>45924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45924</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45924</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45924</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45924</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45924</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45924</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447-2023</t>
        </is>
      </c>
      <c r="B131" s="1" t="n">
        <v>44929</v>
      </c>
      <c r="C131" s="1" t="n">
        <v>45924</v>
      </c>
      <c r="D131" t="inlineStr">
        <is>
          <t>GOTLANDS LÄN</t>
        </is>
      </c>
      <c r="E131" t="inlineStr">
        <is>
          <t>GOTLAND</t>
        </is>
      </c>
      <c r="G131" t="n">
        <v>5.1</v>
      </c>
      <c r="H131" t="n">
        <v>0</v>
      </c>
      <c r="I131" t="n">
        <v>0</v>
      </c>
      <c r="J131" t="n">
        <v>1</v>
      </c>
      <c r="K131" t="n">
        <v>0</v>
      </c>
      <c r="L131" t="n">
        <v>0</v>
      </c>
      <c r="M131" t="n">
        <v>0</v>
      </c>
      <c r="N131" t="n">
        <v>0</v>
      </c>
      <c r="O131" t="n">
        <v>1</v>
      </c>
      <c r="P131" t="n">
        <v>0</v>
      </c>
      <c r="Q131" t="n">
        <v>1</v>
      </c>
      <c r="R131" s="2" t="inlineStr">
        <is>
          <t>Äggspindling</t>
        </is>
      </c>
      <c r="S131">
        <f>HYPERLINK("https://klasma.github.io/Logging_0980/artfynd/A 447-2023 artfynd.xlsx", "A 447-2023")</f>
        <v/>
      </c>
      <c r="T131">
        <f>HYPERLINK("https://klasma.github.io/Logging_0980/kartor/A 447-2023 karta.png", "A 447-2023")</f>
        <v/>
      </c>
      <c r="V131">
        <f>HYPERLINK("https://klasma.github.io/Logging_0980/klagomål/A 447-2023 FSC-klagomål.docx", "A 447-2023")</f>
        <v/>
      </c>
      <c r="W131">
        <f>HYPERLINK("https://klasma.github.io/Logging_0980/klagomålsmail/A 447-2023 FSC-klagomål mail.docx", "A 447-2023")</f>
        <v/>
      </c>
      <c r="X131">
        <f>HYPERLINK("https://klasma.github.io/Logging_0980/tillsyn/A 447-2023 tillsynsbegäran.docx", "A 447-2023")</f>
        <v/>
      </c>
      <c r="Y131">
        <f>HYPERLINK("https://klasma.github.io/Logging_0980/tillsynsmail/A 447-2023 tillsynsbegäran mail.docx", "A 447-2023")</f>
        <v/>
      </c>
    </row>
    <row r="132" ht="15" customHeight="1">
      <c r="A132" t="inlineStr">
        <is>
          <t>A 24245-2022</t>
        </is>
      </c>
      <c r="B132" s="1" t="n">
        <v>44725</v>
      </c>
      <c r="C132" s="1" t="n">
        <v>45924</v>
      </c>
      <c r="D132" t="inlineStr">
        <is>
          <t>GOTLANDS LÄN</t>
        </is>
      </c>
      <c r="E132" t="inlineStr">
        <is>
          <t>GOTLAND</t>
        </is>
      </c>
      <c r="G132" t="n">
        <v>4.9</v>
      </c>
      <c r="H132" t="n">
        <v>0</v>
      </c>
      <c r="I132" t="n">
        <v>0</v>
      </c>
      <c r="J132" t="n">
        <v>0</v>
      </c>
      <c r="K132" t="n">
        <v>0</v>
      </c>
      <c r="L132" t="n">
        <v>1</v>
      </c>
      <c r="M132" t="n">
        <v>0</v>
      </c>
      <c r="N132" t="n">
        <v>0</v>
      </c>
      <c r="O132" t="n">
        <v>1</v>
      </c>
      <c r="P132" t="n">
        <v>1</v>
      </c>
      <c r="Q132" t="n">
        <v>1</v>
      </c>
      <c r="R132" s="2" t="inlineStr">
        <is>
          <t>Slät taggsvamp</t>
        </is>
      </c>
      <c r="S132">
        <f>HYPERLINK("https://klasma.github.io/Logging_0980/artfynd/A 24245-2022 artfynd.xlsx", "A 24245-2022")</f>
        <v/>
      </c>
      <c r="T132">
        <f>HYPERLINK("https://klasma.github.io/Logging_0980/kartor/A 24245-2022 karta.png", "A 24245-2022")</f>
        <v/>
      </c>
      <c r="V132">
        <f>HYPERLINK("https://klasma.github.io/Logging_0980/klagomål/A 24245-2022 FSC-klagomål.docx", "A 24245-2022")</f>
        <v/>
      </c>
      <c r="W132">
        <f>HYPERLINK("https://klasma.github.io/Logging_0980/klagomålsmail/A 24245-2022 FSC-klagomål mail.docx", "A 24245-2022")</f>
        <v/>
      </c>
      <c r="X132">
        <f>HYPERLINK("https://klasma.github.io/Logging_0980/tillsyn/A 24245-2022 tillsynsbegäran.docx", "A 24245-2022")</f>
        <v/>
      </c>
      <c r="Y132">
        <f>HYPERLINK("https://klasma.github.io/Logging_0980/tillsynsmail/A 24245-2022 tillsynsbegäran mail.docx", "A 24245-2022")</f>
        <v/>
      </c>
    </row>
    <row r="133" ht="15" customHeight="1">
      <c r="A133" t="inlineStr">
        <is>
          <t>A 34809-2024</t>
        </is>
      </c>
      <c r="B133" s="1" t="n">
        <v>45526</v>
      </c>
      <c r="C133" s="1" t="n">
        <v>45924</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26461-2025</t>
        </is>
      </c>
      <c r="B134" s="1" t="n">
        <v>45807.43337962963</v>
      </c>
      <c r="C134" s="1" t="n">
        <v>45924</v>
      </c>
      <c r="D134" t="inlineStr">
        <is>
          <t>GOTLANDS LÄN</t>
        </is>
      </c>
      <c r="E134" t="inlineStr">
        <is>
          <t>GOTLAND</t>
        </is>
      </c>
      <c r="G134" t="n">
        <v>4.1</v>
      </c>
      <c r="H134" t="n">
        <v>0</v>
      </c>
      <c r="I134" t="n">
        <v>0</v>
      </c>
      <c r="J134" t="n">
        <v>0</v>
      </c>
      <c r="K134" t="n">
        <v>1</v>
      </c>
      <c r="L134" t="n">
        <v>0</v>
      </c>
      <c r="M134" t="n">
        <v>0</v>
      </c>
      <c r="N134" t="n">
        <v>0</v>
      </c>
      <c r="O134" t="n">
        <v>1</v>
      </c>
      <c r="P134" t="n">
        <v>1</v>
      </c>
      <c r="Q134" t="n">
        <v>1</v>
      </c>
      <c r="R134" s="2" t="inlineStr">
        <is>
          <t>Gotlandsmåra</t>
        </is>
      </c>
      <c r="S134">
        <f>HYPERLINK("https://klasma.github.io/Logging_0980/artfynd/A 26461-2025 artfynd.xlsx", "A 26461-2025")</f>
        <v/>
      </c>
      <c r="T134">
        <f>HYPERLINK("https://klasma.github.io/Logging_0980/kartor/A 26461-2025 karta.png", "A 26461-2025")</f>
        <v/>
      </c>
      <c r="V134">
        <f>HYPERLINK("https://klasma.github.io/Logging_0980/klagomål/A 26461-2025 FSC-klagomål.docx", "A 26461-2025")</f>
        <v/>
      </c>
      <c r="W134">
        <f>HYPERLINK("https://klasma.github.io/Logging_0980/klagomålsmail/A 26461-2025 FSC-klagomål mail.docx", "A 26461-2025")</f>
        <v/>
      </c>
      <c r="X134">
        <f>HYPERLINK("https://klasma.github.io/Logging_0980/tillsyn/A 26461-2025 tillsynsbegäran.docx", "A 26461-2025")</f>
        <v/>
      </c>
      <c r="Y134">
        <f>HYPERLINK("https://klasma.github.io/Logging_0980/tillsynsmail/A 26461-2025 tillsynsbegäran mail.docx", "A 26461-2025")</f>
        <v/>
      </c>
    </row>
    <row r="135" ht="15" customHeight="1">
      <c r="A135" t="inlineStr">
        <is>
          <t>A 49304-2024</t>
        </is>
      </c>
      <c r="B135" s="1" t="n">
        <v>45595.54996527778</v>
      </c>
      <c r="C135" s="1" t="n">
        <v>45924</v>
      </c>
      <c r="D135" t="inlineStr">
        <is>
          <t>GOTLANDS LÄN</t>
        </is>
      </c>
      <c r="E135" t="inlineStr">
        <is>
          <t>GOTLAND</t>
        </is>
      </c>
      <c r="G135" t="n">
        <v>10.8</v>
      </c>
      <c r="H135" t="n">
        <v>0</v>
      </c>
      <c r="I135" t="n">
        <v>0</v>
      </c>
      <c r="J135" t="n">
        <v>1</v>
      </c>
      <c r="K135" t="n">
        <v>0</v>
      </c>
      <c r="L135" t="n">
        <v>0</v>
      </c>
      <c r="M135" t="n">
        <v>0</v>
      </c>
      <c r="N135" t="n">
        <v>0</v>
      </c>
      <c r="O135" t="n">
        <v>1</v>
      </c>
      <c r="P135" t="n">
        <v>0</v>
      </c>
      <c r="Q135" t="n">
        <v>1</v>
      </c>
      <c r="R135" s="2" t="inlineStr">
        <is>
          <t>Åkerranunkel</t>
        </is>
      </c>
      <c r="S135">
        <f>HYPERLINK("https://klasma.github.io/Logging_0980/artfynd/A 49304-2024 artfynd.xlsx", "A 49304-2024")</f>
        <v/>
      </c>
      <c r="T135">
        <f>HYPERLINK("https://klasma.github.io/Logging_0980/kartor/A 49304-2024 karta.png", "A 49304-2024")</f>
        <v/>
      </c>
      <c r="V135">
        <f>HYPERLINK("https://klasma.github.io/Logging_0980/klagomål/A 49304-2024 FSC-klagomål.docx", "A 49304-2024")</f>
        <v/>
      </c>
      <c r="W135">
        <f>HYPERLINK("https://klasma.github.io/Logging_0980/klagomålsmail/A 49304-2024 FSC-klagomål mail.docx", "A 49304-2024")</f>
        <v/>
      </c>
      <c r="X135">
        <f>HYPERLINK("https://klasma.github.io/Logging_0980/tillsyn/A 49304-2024 tillsynsbegäran.docx", "A 49304-2024")</f>
        <v/>
      </c>
      <c r="Y135">
        <f>HYPERLINK("https://klasma.github.io/Logging_0980/tillsynsmail/A 49304-2024 tillsynsbegäran mail.docx", "A 49304-2024")</f>
        <v/>
      </c>
    </row>
    <row r="136" ht="15" customHeight="1">
      <c r="A136" t="inlineStr">
        <is>
          <t>A 22782-2023</t>
        </is>
      </c>
      <c r="B136" s="1" t="n">
        <v>45072</v>
      </c>
      <c r="C136" s="1" t="n">
        <v>45924</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44308-2021</t>
        </is>
      </c>
      <c r="B137" s="1" t="n">
        <v>44434</v>
      </c>
      <c r="C137" s="1" t="n">
        <v>45924</v>
      </c>
      <c r="D137" t="inlineStr">
        <is>
          <t>GOTLANDS LÄN</t>
        </is>
      </c>
      <c r="E137" t="inlineStr">
        <is>
          <t>GOTLAND</t>
        </is>
      </c>
      <c r="G137" t="n">
        <v>5.9</v>
      </c>
      <c r="H137" t="n">
        <v>0</v>
      </c>
      <c r="I137" t="n">
        <v>1</v>
      </c>
      <c r="J137" t="n">
        <v>0</v>
      </c>
      <c r="K137" t="n">
        <v>0</v>
      </c>
      <c r="L137" t="n">
        <v>0</v>
      </c>
      <c r="M137" t="n">
        <v>0</v>
      </c>
      <c r="N137" t="n">
        <v>0</v>
      </c>
      <c r="O137" t="n">
        <v>0</v>
      </c>
      <c r="P137" t="n">
        <v>0</v>
      </c>
      <c r="Q137" t="n">
        <v>1</v>
      </c>
      <c r="R137" s="2" t="inlineStr">
        <is>
          <t>Svavelriska</t>
        </is>
      </c>
      <c r="S137">
        <f>HYPERLINK("https://klasma.github.io/Logging_0980/artfynd/A 44308-2021 artfynd.xlsx", "A 44308-2021")</f>
        <v/>
      </c>
      <c r="T137">
        <f>HYPERLINK("https://klasma.github.io/Logging_0980/kartor/A 44308-2021 karta.png", "A 44308-2021")</f>
        <v/>
      </c>
      <c r="V137">
        <f>HYPERLINK("https://klasma.github.io/Logging_0980/klagomål/A 44308-2021 FSC-klagomål.docx", "A 44308-2021")</f>
        <v/>
      </c>
      <c r="W137">
        <f>HYPERLINK("https://klasma.github.io/Logging_0980/klagomålsmail/A 44308-2021 FSC-klagomål mail.docx", "A 44308-2021")</f>
        <v/>
      </c>
      <c r="X137">
        <f>HYPERLINK("https://klasma.github.io/Logging_0980/tillsyn/A 44308-2021 tillsynsbegäran.docx", "A 44308-2021")</f>
        <v/>
      </c>
      <c r="Y137">
        <f>HYPERLINK("https://klasma.github.io/Logging_0980/tillsynsmail/A 44308-2021 tillsynsbegäran mail.docx", "A 44308-2021")</f>
        <v/>
      </c>
    </row>
    <row r="138" ht="15" customHeight="1">
      <c r="A138" t="inlineStr">
        <is>
          <t>A 44088-2022</t>
        </is>
      </c>
      <c r="B138" s="1" t="n">
        <v>44839</v>
      </c>
      <c r="C138" s="1" t="n">
        <v>45924</v>
      </c>
      <c r="D138" t="inlineStr">
        <is>
          <t>GOTLANDS LÄN</t>
        </is>
      </c>
      <c r="E138" t="inlineStr">
        <is>
          <t>GOTLAND</t>
        </is>
      </c>
      <c r="G138" t="n">
        <v>1.5</v>
      </c>
      <c r="H138" t="n">
        <v>0</v>
      </c>
      <c r="I138" t="n">
        <v>1</v>
      </c>
      <c r="J138" t="n">
        <v>0</v>
      </c>
      <c r="K138" t="n">
        <v>0</v>
      </c>
      <c r="L138" t="n">
        <v>0</v>
      </c>
      <c r="M138" t="n">
        <v>0</v>
      </c>
      <c r="N138" t="n">
        <v>0</v>
      </c>
      <c r="O138" t="n">
        <v>0</v>
      </c>
      <c r="P138" t="n">
        <v>0</v>
      </c>
      <c r="Q138" t="n">
        <v>1</v>
      </c>
      <c r="R138" s="2" t="inlineStr">
        <is>
          <t>Strävlosta</t>
        </is>
      </c>
      <c r="S138">
        <f>HYPERLINK("https://klasma.github.io/Logging_0980/artfynd/A 44088-2022 artfynd.xlsx", "A 44088-2022")</f>
        <v/>
      </c>
      <c r="T138">
        <f>HYPERLINK("https://klasma.github.io/Logging_0980/kartor/A 44088-2022 karta.png", "A 44088-2022")</f>
        <v/>
      </c>
      <c r="V138">
        <f>HYPERLINK("https://klasma.github.io/Logging_0980/klagomål/A 44088-2022 FSC-klagomål.docx", "A 44088-2022")</f>
        <v/>
      </c>
      <c r="W138">
        <f>HYPERLINK("https://klasma.github.io/Logging_0980/klagomålsmail/A 44088-2022 FSC-klagomål mail.docx", "A 44088-2022")</f>
        <v/>
      </c>
      <c r="X138">
        <f>HYPERLINK("https://klasma.github.io/Logging_0980/tillsyn/A 44088-2022 tillsynsbegäran.docx", "A 44088-2022")</f>
        <v/>
      </c>
      <c r="Y138">
        <f>HYPERLINK("https://klasma.github.io/Logging_0980/tillsynsmail/A 44088-2022 tillsynsbegäran mail.docx", "A 44088-2022")</f>
        <v/>
      </c>
    </row>
    <row r="139" ht="15" customHeight="1">
      <c r="A139" t="inlineStr">
        <is>
          <t>A 46527-2023</t>
        </is>
      </c>
      <c r="B139" s="1" t="n">
        <v>45197</v>
      </c>
      <c r="C139" s="1" t="n">
        <v>45924</v>
      </c>
      <c r="D139" t="inlineStr">
        <is>
          <t>GOTLANDS LÄN</t>
        </is>
      </c>
      <c r="E139" t="inlineStr">
        <is>
          <t>GOTLAND</t>
        </is>
      </c>
      <c r="G139" t="n">
        <v>0.9</v>
      </c>
      <c r="H139" t="n">
        <v>0</v>
      </c>
      <c r="I139" t="n">
        <v>0</v>
      </c>
      <c r="J139" t="n">
        <v>1</v>
      </c>
      <c r="K139" t="n">
        <v>0</v>
      </c>
      <c r="L139" t="n">
        <v>0</v>
      </c>
      <c r="M139" t="n">
        <v>0</v>
      </c>
      <c r="N139" t="n">
        <v>0</v>
      </c>
      <c r="O139" t="n">
        <v>1</v>
      </c>
      <c r="P139" t="n">
        <v>0</v>
      </c>
      <c r="Q139" t="n">
        <v>1</v>
      </c>
      <c r="R139" s="2" t="inlineStr">
        <is>
          <t>Guldgräshoppa</t>
        </is>
      </c>
      <c r="S139">
        <f>HYPERLINK("https://klasma.github.io/Logging_0980/artfynd/A 46527-2023 artfynd.xlsx", "A 46527-2023")</f>
        <v/>
      </c>
      <c r="T139">
        <f>HYPERLINK("https://klasma.github.io/Logging_0980/kartor/A 46527-2023 karta.png", "A 46527-2023")</f>
        <v/>
      </c>
      <c r="V139">
        <f>HYPERLINK("https://klasma.github.io/Logging_0980/klagomål/A 46527-2023 FSC-klagomål.docx", "A 46527-2023")</f>
        <v/>
      </c>
      <c r="W139">
        <f>HYPERLINK("https://klasma.github.io/Logging_0980/klagomålsmail/A 46527-2023 FSC-klagomål mail.docx", "A 46527-2023")</f>
        <v/>
      </c>
      <c r="X139">
        <f>HYPERLINK("https://klasma.github.io/Logging_0980/tillsyn/A 46527-2023 tillsynsbegäran.docx", "A 46527-2023")</f>
        <v/>
      </c>
      <c r="Y139">
        <f>HYPERLINK("https://klasma.github.io/Logging_0980/tillsynsmail/A 46527-2023 tillsynsbegäran mail.docx", "A 46527-2023")</f>
        <v/>
      </c>
    </row>
    <row r="140" ht="15" customHeight="1">
      <c r="A140" t="inlineStr">
        <is>
          <t>A 17723-2021</t>
        </is>
      </c>
      <c r="B140" s="1" t="n">
        <v>44300</v>
      </c>
      <c r="C140" s="1" t="n">
        <v>45924</v>
      </c>
      <c r="D140" t="inlineStr">
        <is>
          <t>GOTLANDS LÄN</t>
        </is>
      </c>
      <c r="E140" t="inlineStr">
        <is>
          <t>GOTLAND</t>
        </is>
      </c>
      <c r="G140" t="n">
        <v>1.5</v>
      </c>
      <c r="H140" t="n">
        <v>1</v>
      </c>
      <c r="I140" t="n">
        <v>1</v>
      </c>
      <c r="J140" t="n">
        <v>0</v>
      </c>
      <c r="K140" t="n">
        <v>0</v>
      </c>
      <c r="L140" t="n">
        <v>0</v>
      </c>
      <c r="M140" t="n">
        <v>0</v>
      </c>
      <c r="N140" t="n">
        <v>0</v>
      </c>
      <c r="O140" t="n">
        <v>0</v>
      </c>
      <c r="P140" t="n">
        <v>0</v>
      </c>
      <c r="Q140" t="n">
        <v>1</v>
      </c>
      <c r="R140" s="2" t="inlineStr">
        <is>
          <t>Vit skogslilja</t>
        </is>
      </c>
      <c r="S140">
        <f>HYPERLINK("https://klasma.github.io/Logging_0980/artfynd/A 17723-2021 artfynd.xlsx", "A 17723-2021")</f>
        <v/>
      </c>
      <c r="T140">
        <f>HYPERLINK("https://klasma.github.io/Logging_0980/kartor/A 17723-2021 karta.png", "A 17723-2021")</f>
        <v/>
      </c>
      <c r="V140">
        <f>HYPERLINK("https://klasma.github.io/Logging_0980/klagomål/A 17723-2021 FSC-klagomål.docx", "A 17723-2021")</f>
        <v/>
      </c>
      <c r="W140">
        <f>HYPERLINK("https://klasma.github.io/Logging_0980/klagomålsmail/A 17723-2021 FSC-klagomål mail.docx", "A 17723-2021")</f>
        <v/>
      </c>
      <c r="X140">
        <f>HYPERLINK("https://klasma.github.io/Logging_0980/tillsyn/A 17723-2021 tillsynsbegäran.docx", "A 17723-2021")</f>
        <v/>
      </c>
      <c r="Y140">
        <f>HYPERLINK("https://klasma.github.io/Logging_0980/tillsynsmail/A 17723-2021 tillsynsbegäran mail.docx", "A 17723-2021")</f>
        <v/>
      </c>
    </row>
    <row r="141" ht="15" customHeight="1">
      <c r="A141" t="inlineStr">
        <is>
          <t>A 9862-2024</t>
        </is>
      </c>
      <c r="B141" s="1" t="n">
        <v>45363</v>
      </c>
      <c r="C141" s="1" t="n">
        <v>45924</v>
      </c>
      <c r="D141" t="inlineStr">
        <is>
          <t>GOTLANDS LÄN</t>
        </is>
      </c>
      <c r="E141" t="inlineStr">
        <is>
          <t>GOTLAND</t>
        </is>
      </c>
      <c r="G141" t="n">
        <v>3.5</v>
      </c>
      <c r="H141" t="n">
        <v>1</v>
      </c>
      <c r="I141" t="n">
        <v>0</v>
      </c>
      <c r="J141" t="n">
        <v>0</v>
      </c>
      <c r="K141" t="n">
        <v>0</v>
      </c>
      <c r="L141" t="n">
        <v>0</v>
      </c>
      <c r="M141" t="n">
        <v>0</v>
      </c>
      <c r="N141" t="n">
        <v>0</v>
      </c>
      <c r="O141" t="n">
        <v>0</v>
      </c>
      <c r="P141" t="n">
        <v>0</v>
      </c>
      <c r="Q141" t="n">
        <v>1</v>
      </c>
      <c r="R141" s="2" t="inlineStr">
        <is>
          <t>Nattviol</t>
        </is>
      </c>
      <c r="S141">
        <f>HYPERLINK("https://klasma.github.io/Logging_0980/artfynd/A 9862-2024 artfynd.xlsx", "A 9862-2024")</f>
        <v/>
      </c>
      <c r="T141">
        <f>HYPERLINK("https://klasma.github.io/Logging_0980/kartor/A 9862-2024 karta.png", "A 9862-2024")</f>
        <v/>
      </c>
      <c r="V141">
        <f>HYPERLINK("https://klasma.github.io/Logging_0980/klagomål/A 9862-2024 FSC-klagomål.docx", "A 9862-2024")</f>
        <v/>
      </c>
      <c r="W141">
        <f>HYPERLINK("https://klasma.github.io/Logging_0980/klagomålsmail/A 9862-2024 FSC-klagomål mail.docx", "A 9862-2024")</f>
        <v/>
      </c>
      <c r="X141">
        <f>HYPERLINK("https://klasma.github.io/Logging_0980/tillsyn/A 9862-2024 tillsynsbegäran.docx", "A 9862-2024")</f>
        <v/>
      </c>
      <c r="Y141">
        <f>HYPERLINK("https://klasma.github.io/Logging_0980/tillsynsmail/A 9862-2024 tillsynsbegäran mail.docx", "A 9862-2024")</f>
        <v/>
      </c>
    </row>
    <row r="142" ht="15" customHeight="1">
      <c r="A142" t="inlineStr">
        <is>
          <t>A 34141-2024</t>
        </is>
      </c>
      <c r="B142" s="1" t="n">
        <v>45524.36229166666</v>
      </c>
      <c r="C142" s="1" t="n">
        <v>45924</v>
      </c>
      <c r="D142" t="inlineStr">
        <is>
          <t>GOTLANDS LÄN</t>
        </is>
      </c>
      <c r="E142" t="inlineStr">
        <is>
          <t>GOTLAND</t>
        </is>
      </c>
      <c r="G142" t="n">
        <v>0.9</v>
      </c>
      <c r="H142" t="n">
        <v>0</v>
      </c>
      <c r="I142" t="n">
        <v>1</v>
      </c>
      <c r="J142" t="n">
        <v>0</v>
      </c>
      <c r="K142" t="n">
        <v>0</v>
      </c>
      <c r="L142" t="n">
        <v>0</v>
      </c>
      <c r="M142" t="n">
        <v>0</v>
      </c>
      <c r="N142" t="n">
        <v>0</v>
      </c>
      <c r="O142" t="n">
        <v>0</v>
      </c>
      <c r="P142" t="n">
        <v>0</v>
      </c>
      <c r="Q142" t="n">
        <v>1</v>
      </c>
      <c r="R142" s="2" t="inlineStr">
        <is>
          <t>Strävlosta</t>
        </is>
      </c>
      <c r="S142">
        <f>HYPERLINK("https://klasma.github.io/Logging_0980/artfynd/A 34141-2024 artfynd.xlsx", "A 34141-2024")</f>
        <v/>
      </c>
      <c r="T142">
        <f>HYPERLINK("https://klasma.github.io/Logging_0980/kartor/A 34141-2024 karta.png", "A 34141-2024")</f>
        <v/>
      </c>
      <c r="V142">
        <f>HYPERLINK("https://klasma.github.io/Logging_0980/klagomål/A 34141-2024 FSC-klagomål.docx", "A 34141-2024")</f>
        <v/>
      </c>
      <c r="W142">
        <f>HYPERLINK("https://klasma.github.io/Logging_0980/klagomålsmail/A 34141-2024 FSC-klagomål mail.docx", "A 34141-2024")</f>
        <v/>
      </c>
      <c r="X142">
        <f>HYPERLINK("https://klasma.github.io/Logging_0980/tillsyn/A 34141-2024 tillsynsbegäran.docx", "A 34141-2024")</f>
        <v/>
      </c>
      <c r="Y142">
        <f>HYPERLINK("https://klasma.github.io/Logging_0980/tillsynsmail/A 34141-2024 tillsynsbegäran mail.docx", "A 34141-2024")</f>
        <v/>
      </c>
    </row>
    <row r="143" ht="15" customHeight="1">
      <c r="A143" t="inlineStr">
        <is>
          <t>A 8725-2025</t>
        </is>
      </c>
      <c r="B143" s="1" t="n">
        <v>45712</v>
      </c>
      <c r="C143" s="1" t="n">
        <v>45924</v>
      </c>
      <c r="D143" t="inlineStr">
        <is>
          <t>GOTLANDS LÄN</t>
        </is>
      </c>
      <c r="E143" t="inlineStr">
        <is>
          <t>GOTLAND</t>
        </is>
      </c>
      <c r="G143" t="n">
        <v>4.4</v>
      </c>
      <c r="H143" t="n">
        <v>1</v>
      </c>
      <c r="I143" t="n">
        <v>0</v>
      </c>
      <c r="J143" t="n">
        <v>1</v>
      </c>
      <c r="K143" t="n">
        <v>0</v>
      </c>
      <c r="L143" t="n">
        <v>0</v>
      </c>
      <c r="M143" t="n">
        <v>0</v>
      </c>
      <c r="N143" t="n">
        <v>0</v>
      </c>
      <c r="O143" t="n">
        <v>1</v>
      </c>
      <c r="P143" t="n">
        <v>0</v>
      </c>
      <c r="Q143" t="n">
        <v>1</v>
      </c>
      <c r="R143" s="2" t="inlineStr">
        <is>
          <t>Spillkråka</t>
        </is>
      </c>
      <c r="S143">
        <f>HYPERLINK("https://klasma.github.io/Logging_0980/artfynd/A 8725-2025 artfynd.xlsx", "A 8725-2025")</f>
        <v/>
      </c>
      <c r="T143">
        <f>HYPERLINK("https://klasma.github.io/Logging_0980/kartor/A 8725-2025 karta.png", "A 8725-2025")</f>
        <v/>
      </c>
      <c r="V143">
        <f>HYPERLINK("https://klasma.github.io/Logging_0980/klagomål/A 8725-2025 FSC-klagomål.docx", "A 8725-2025")</f>
        <v/>
      </c>
      <c r="W143">
        <f>HYPERLINK("https://klasma.github.io/Logging_0980/klagomålsmail/A 8725-2025 FSC-klagomål mail.docx", "A 8725-2025")</f>
        <v/>
      </c>
      <c r="X143">
        <f>HYPERLINK("https://klasma.github.io/Logging_0980/tillsyn/A 8725-2025 tillsynsbegäran.docx", "A 8725-2025")</f>
        <v/>
      </c>
      <c r="Y143">
        <f>HYPERLINK("https://klasma.github.io/Logging_0980/tillsynsmail/A 8725-2025 tillsynsbegäran mail.docx", "A 8725-2025")</f>
        <v/>
      </c>
      <c r="Z143">
        <f>HYPERLINK("https://klasma.github.io/Logging_0980/fåglar/A 8725-2025 prioriterade fågelarter.docx", "A 8725-2025")</f>
        <v/>
      </c>
    </row>
    <row r="144" ht="15" customHeight="1">
      <c r="A144" t="inlineStr">
        <is>
          <t>A 6303-2024</t>
        </is>
      </c>
      <c r="B144" s="1" t="n">
        <v>45338.35376157407</v>
      </c>
      <c r="C144" s="1" t="n">
        <v>45924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45924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45924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39812-2025</t>
        </is>
      </c>
      <c r="B147" s="1" t="n">
        <v>45891</v>
      </c>
      <c r="C147" s="1" t="n">
        <v>45924</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45924</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45924</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7637-2025</t>
        </is>
      </c>
      <c r="B150" s="1" t="n">
        <v>45705.77181712963</v>
      </c>
      <c r="C150" s="1" t="n">
        <v>45924</v>
      </c>
      <c r="D150" t="inlineStr">
        <is>
          <t>GOTLANDS LÄN</t>
        </is>
      </c>
      <c r="E150" t="inlineStr">
        <is>
          <t>GOTLAND</t>
        </is>
      </c>
      <c r="G150" t="n">
        <v>3.7</v>
      </c>
      <c r="H150" t="n">
        <v>0</v>
      </c>
      <c r="I150" t="n">
        <v>0</v>
      </c>
      <c r="J150" t="n">
        <v>0</v>
      </c>
      <c r="K150" t="n">
        <v>0</v>
      </c>
      <c r="L150" t="n">
        <v>0</v>
      </c>
      <c r="M150" t="n">
        <v>1</v>
      </c>
      <c r="N150" t="n">
        <v>0</v>
      </c>
      <c r="O150" t="n">
        <v>1</v>
      </c>
      <c r="P150" t="n">
        <v>1</v>
      </c>
      <c r="Q150" t="n">
        <v>1</v>
      </c>
      <c r="R150" s="2" t="inlineStr">
        <is>
          <t>Skogsalm</t>
        </is>
      </c>
      <c r="S150">
        <f>HYPERLINK("https://klasma.github.io/Logging_0980/artfynd/A 7637-2025 artfynd.xlsx", "A 7637-2025")</f>
        <v/>
      </c>
      <c r="T150">
        <f>HYPERLINK("https://klasma.github.io/Logging_0980/kartor/A 7637-2025 karta.png", "A 7637-2025")</f>
        <v/>
      </c>
      <c r="V150">
        <f>HYPERLINK("https://klasma.github.io/Logging_0980/klagomål/A 7637-2025 FSC-klagomål.docx", "A 7637-2025")</f>
        <v/>
      </c>
      <c r="W150">
        <f>HYPERLINK("https://klasma.github.io/Logging_0980/klagomålsmail/A 7637-2025 FSC-klagomål mail.docx", "A 7637-2025")</f>
        <v/>
      </c>
      <c r="X150">
        <f>HYPERLINK("https://klasma.github.io/Logging_0980/tillsyn/A 7637-2025 tillsynsbegäran.docx", "A 7637-2025")</f>
        <v/>
      </c>
      <c r="Y150">
        <f>HYPERLINK("https://klasma.github.io/Logging_0980/tillsynsmail/A 7637-2025 tillsynsbegäran mail.docx", "A 7637-2025")</f>
        <v/>
      </c>
    </row>
    <row r="151" ht="15" customHeight="1">
      <c r="A151" t="inlineStr">
        <is>
          <t>A 65927-2021</t>
        </is>
      </c>
      <c r="B151" s="1" t="n">
        <v>44516</v>
      </c>
      <c r="C151" s="1" t="n">
        <v>45924</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44619-2025</t>
        </is>
      </c>
      <c r="B152" s="1" t="n">
        <v>45917</v>
      </c>
      <c r="C152" s="1" t="n">
        <v>45924</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947-2023</t>
        </is>
      </c>
      <c r="B153" s="1" t="n">
        <v>44934</v>
      </c>
      <c r="C153" s="1" t="n">
        <v>45924</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12924-2025</t>
        </is>
      </c>
      <c r="B154" s="1" t="n">
        <v>45734</v>
      </c>
      <c r="C154" s="1" t="n">
        <v>45924</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45924</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61796-2022</t>
        </is>
      </c>
      <c r="B156" s="1" t="n">
        <v>44917</v>
      </c>
      <c r="C156" s="1" t="n">
        <v>45924</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10218-2025</t>
        </is>
      </c>
      <c r="B157" s="1" t="n">
        <v>45720</v>
      </c>
      <c r="C157" s="1" t="n">
        <v>45924</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45924</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45924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45924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37591-2023</t>
        </is>
      </c>
      <c r="B161" s="1" t="n">
        <v>45159</v>
      </c>
      <c r="C161" s="1" t="n">
        <v>45924</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45924</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13627-2023</t>
        </is>
      </c>
      <c r="B163" s="1" t="n">
        <v>45006</v>
      </c>
      <c r="C163" s="1" t="n">
        <v>45924</v>
      </c>
      <c r="D163" t="inlineStr">
        <is>
          <t>GOTLANDS LÄN</t>
        </is>
      </c>
      <c r="E163" t="inlineStr">
        <is>
          <t>GOTLAND</t>
        </is>
      </c>
      <c r="G163" t="n">
        <v>10.7</v>
      </c>
      <c r="H163" t="n">
        <v>0</v>
      </c>
      <c r="I163" t="n">
        <v>0</v>
      </c>
      <c r="J163" t="n">
        <v>0</v>
      </c>
      <c r="K163" t="n">
        <v>1</v>
      </c>
      <c r="L163" t="n">
        <v>0</v>
      </c>
      <c r="M163" t="n">
        <v>0</v>
      </c>
      <c r="N163" t="n">
        <v>0</v>
      </c>
      <c r="O163" t="n">
        <v>1</v>
      </c>
      <c r="P163" t="n">
        <v>1</v>
      </c>
      <c r="Q163" t="n">
        <v>1</v>
      </c>
      <c r="R163" s="2" t="inlineStr">
        <is>
          <t>Sammetsbockrot</t>
        </is>
      </c>
      <c r="S163">
        <f>HYPERLINK("https://klasma.github.io/Logging_0980/artfynd/A 13627-2023 artfynd.xlsx", "A 13627-2023")</f>
        <v/>
      </c>
      <c r="T163">
        <f>HYPERLINK("https://klasma.github.io/Logging_0980/kartor/A 13627-2023 karta.png", "A 13627-2023")</f>
        <v/>
      </c>
      <c r="V163">
        <f>HYPERLINK("https://klasma.github.io/Logging_0980/klagomål/A 13627-2023 FSC-klagomål.docx", "A 13627-2023")</f>
        <v/>
      </c>
      <c r="W163">
        <f>HYPERLINK("https://klasma.github.io/Logging_0980/klagomålsmail/A 13627-2023 FSC-klagomål mail.docx", "A 13627-2023")</f>
        <v/>
      </c>
      <c r="X163">
        <f>HYPERLINK("https://klasma.github.io/Logging_0980/tillsyn/A 13627-2023 tillsynsbegäran.docx", "A 13627-2023")</f>
        <v/>
      </c>
      <c r="Y163">
        <f>HYPERLINK("https://klasma.github.io/Logging_0980/tillsynsmail/A 13627-2023 tillsynsbegäran mail.docx", "A 13627-2023")</f>
        <v/>
      </c>
    </row>
    <row r="164" ht="15" customHeight="1">
      <c r="A164" t="inlineStr">
        <is>
          <t>A 12324-2025</t>
        </is>
      </c>
      <c r="B164" s="1" t="n">
        <v>45730</v>
      </c>
      <c r="C164" s="1" t="n">
        <v>45924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63299-2020</t>
        </is>
      </c>
      <c r="B165" s="1" t="n">
        <v>44165</v>
      </c>
      <c r="C165" s="1" t="n">
        <v>45924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2476-2025</t>
        </is>
      </c>
      <c r="B166" s="1" t="n">
        <v>45673</v>
      </c>
      <c r="C166" s="1" t="n">
        <v>45924</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49847-2023</t>
        </is>
      </c>
      <c r="B167" s="1" t="n">
        <v>45212</v>
      </c>
      <c r="C167" s="1" t="n">
        <v>45924</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45924</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10995-2023</t>
        </is>
      </c>
      <c r="B169" s="1" t="n">
        <v>44986</v>
      </c>
      <c r="C169" s="1" t="n">
        <v>45924</v>
      </c>
      <c r="D169" t="inlineStr">
        <is>
          <t>GOTLANDS LÄN</t>
        </is>
      </c>
      <c r="E169" t="inlineStr">
        <is>
          <t>GOTLAND</t>
        </is>
      </c>
      <c r="G169" t="n">
        <v>2.8</v>
      </c>
      <c r="H169" t="n">
        <v>0</v>
      </c>
      <c r="I169" t="n">
        <v>0</v>
      </c>
      <c r="J169" t="n">
        <v>0</v>
      </c>
      <c r="K169" t="n">
        <v>1</v>
      </c>
      <c r="L169" t="n">
        <v>0</v>
      </c>
      <c r="M169" t="n">
        <v>0</v>
      </c>
      <c r="N169" t="n">
        <v>0</v>
      </c>
      <c r="O169" t="n">
        <v>1</v>
      </c>
      <c r="P169" t="n">
        <v>1</v>
      </c>
      <c r="Q169" t="n">
        <v>1</v>
      </c>
      <c r="R169" s="2" t="inlineStr">
        <is>
          <t>Violettfläckig spindling</t>
        </is>
      </c>
      <c r="S169">
        <f>HYPERLINK("https://klasma.github.io/Logging_0980/artfynd/A 10995-2023 artfynd.xlsx", "A 10995-2023")</f>
        <v/>
      </c>
      <c r="T169">
        <f>HYPERLINK("https://klasma.github.io/Logging_0980/kartor/A 10995-2023 karta.png", "A 10995-2023")</f>
        <v/>
      </c>
      <c r="V169">
        <f>HYPERLINK("https://klasma.github.io/Logging_0980/klagomål/A 10995-2023 FSC-klagomål.docx", "A 10995-2023")</f>
        <v/>
      </c>
      <c r="W169">
        <f>HYPERLINK("https://klasma.github.io/Logging_0980/klagomålsmail/A 10995-2023 FSC-klagomål mail.docx", "A 10995-2023")</f>
        <v/>
      </c>
      <c r="X169">
        <f>HYPERLINK("https://klasma.github.io/Logging_0980/tillsyn/A 10995-2023 tillsynsbegäran.docx", "A 10995-2023")</f>
        <v/>
      </c>
      <c r="Y169">
        <f>HYPERLINK("https://klasma.github.io/Logging_0980/tillsynsmail/A 10995-2023 tillsynsbegäran mail.docx", "A 10995-2023")</f>
        <v/>
      </c>
    </row>
    <row r="170" ht="15" customHeight="1">
      <c r="A170" t="inlineStr">
        <is>
          <t>A 63576-2021</t>
        </is>
      </c>
      <c r="B170" s="1" t="n">
        <v>44508</v>
      </c>
      <c r="C170" s="1" t="n">
        <v>45924</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21466-2025</t>
        </is>
      </c>
      <c r="B171" s="1" t="n">
        <v>45782</v>
      </c>
      <c r="C171" s="1" t="n">
        <v>45924</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10440-2024</t>
        </is>
      </c>
      <c r="B172" s="1" t="n">
        <v>45366.32818287037</v>
      </c>
      <c r="C172" s="1" t="n">
        <v>45924</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19901-2021</t>
        </is>
      </c>
      <c r="B173" s="1" t="n">
        <v>44312</v>
      </c>
      <c r="C173" s="1" t="n">
        <v>45924</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45924</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45924</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45924</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45924</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45924</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45924</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45924</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45924</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45924</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45924</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45924</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45924</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45924</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45924</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45924</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45924</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45924</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45924</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45924</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45924</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45924</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45924</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45924</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45924</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45924</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45924</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45924</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23910-2021</t>
        </is>
      </c>
      <c r="B205" s="1" t="n">
        <v>44335</v>
      </c>
      <c r="C205" s="1" t="n">
        <v>45924</v>
      </c>
      <c r="D205" t="inlineStr">
        <is>
          <t>GOTLANDS LÄN</t>
        </is>
      </c>
      <c r="E205" t="inlineStr">
        <is>
          <t>GOTLAND</t>
        </is>
      </c>
      <c r="G205" t="n">
        <v>1.5</v>
      </c>
      <c r="H205" t="n">
        <v>0</v>
      </c>
      <c r="I205" t="n">
        <v>0</v>
      </c>
      <c r="J205" t="n">
        <v>0</v>
      </c>
      <c r="K205" t="n">
        <v>0</v>
      </c>
      <c r="L205" t="n">
        <v>0</v>
      </c>
      <c r="M205" t="n">
        <v>0</v>
      </c>
      <c r="N205" t="n">
        <v>0</v>
      </c>
      <c r="O205" t="n">
        <v>0</v>
      </c>
      <c r="P205" t="n">
        <v>0</v>
      </c>
      <c r="Q205" t="n">
        <v>0</v>
      </c>
      <c r="R205" s="2" t="inlineStr"/>
    </row>
    <row r="206" ht="15" customHeight="1">
      <c r="A206" t="inlineStr">
        <is>
          <t>A 1229-2021</t>
        </is>
      </c>
      <c r="B206" s="1" t="n">
        <v>44208</v>
      </c>
      <c r="C206" s="1" t="n">
        <v>45924</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45924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62120-2020</t>
        </is>
      </c>
      <c r="B208" s="1" t="n">
        <v>44158</v>
      </c>
      <c r="C208" s="1" t="n">
        <v>45924</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3271-2021</t>
        </is>
      </c>
      <c r="B209" s="1" t="n">
        <v>44217</v>
      </c>
      <c r="C209" s="1" t="n">
        <v>45924</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17354-2022</t>
        </is>
      </c>
      <c r="B210" s="1" t="n">
        <v>44678</v>
      </c>
      <c r="C210" s="1" t="n">
        <v>45924</v>
      </c>
      <c r="D210" t="inlineStr">
        <is>
          <t>GOTLANDS LÄN</t>
        </is>
      </c>
      <c r="E210" t="inlineStr">
        <is>
          <t>GOTLAND</t>
        </is>
      </c>
      <c r="G210" t="n">
        <v>7.1</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45924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45924</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45924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37037-2021</t>
        </is>
      </c>
      <c r="B214" s="1" t="n">
        <v>44393.84688657407</v>
      </c>
      <c r="C214" s="1" t="n">
        <v>45924</v>
      </c>
      <c r="D214" t="inlineStr">
        <is>
          <t>GOTLANDS LÄN</t>
        </is>
      </c>
      <c r="E214" t="inlineStr">
        <is>
          <t>GOTLAND</t>
        </is>
      </c>
      <c r="G214" t="n">
        <v>10.2</v>
      </c>
      <c r="H214" t="n">
        <v>0</v>
      </c>
      <c r="I214" t="n">
        <v>0</v>
      </c>
      <c r="J214" t="n">
        <v>0</v>
      </c>
      <c r="K214" t="n">
        <v>0</v>
      </c>
      <c r="L214" t="n">
        <v>0</v>
      </c>
      <c r="M214" t="n">
        <v>0</v>
      </c>
      <c r="N214" t="n">
        <v>0</v>
      </c>
      <c r="O214" t="n">
        <v>0</v>
      </c>
      <c r="P214" t="n">
        <v>0</v>
      </c>
      <c r="Q214" t="n">
        <v>0</v>
      </c>
      <c r="R214" s="2" t="inlineStr"/>
    </row>
    <row r="215" ht="15" customHeight="1">
      <c r="A215" t="inlineStr">
        <is>
          <t>A 64380-2020</t>
        </is>
      </c>
      <c r="B215" s="1" t="n">
        <v>44168.60128472222</v>
      </c>
      <c r="C215" s="1" t="n">
        <v>45924</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2608-2021</t>
        </is>
      </c>
      <c r="B216" s="1" t="n">
        <v>44214</v>
      </c>
      <c r="C216" s="1" t="n">
        <v>45924</v>
      </c>
      <c r="D216" t="inlineStr">
        <is>
          <t>GOTLANDS LÄN</t>
        </is>
      </c>
      <c r="E216" t="inlineStr">
        <is>
          <t>GOTLAND</t>
        </is>
      </c>
      <c r="G216" t="n">
        <v>3.9</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45924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45924</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45924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45924</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45924</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45924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58224-2021</t>
        </is>
      </c>
      <c r="B223" s="1" t="n">
        <v>44487</v>
      </c>
      <c r="C223" s="1" t="n">
        <v>45924</v>
      </c>
      <c r="D223" t="inlineStr">
        <is>
          <t>GOTLANDS LÄN</t>
        </is>
      </c>
      <c r="E223" t="inlineStr">
        <is>
          <t>GOTLAND</t>
        </is>
      </c>
      <c r="G223" t="n">
        <v>1.4</v>
      </c>
      <c r="H223" t="n">
        <v>0</v>
      </c>
      <c r="I223" t="n">
        <v>0</v>
      </c>
      <c r="J223" t="n">
        <v>0</v>
      </c>
      <c r="K223" t="n">
        <v>0</v>
      </c>
      <c r="L223" t="n">
        <v>0</v>
      </c>
      <c r="M223" t="n">
        <v>0</v>
      </c>
      <c r="N223" t="n">
        <v>0</v>
      </c>
      <c r="O223" t="n">
        <v>0</v>
      </c>
      <c r="P223" t="n">
        <v>0</v>
      </c>
      <c r="Q223" t="n">
        <v>0</v>
      </c>
      <c r="R223" s="2" t="inlineStr"/>
    </row>
    <row r="224" ht="15" customHeight="1">
      <c r="A224" t="inlineStr">
        <is>
          <t>A 58815-2021</t>
        </is>
      </c>
      <c r="B224" s="1" t="n">
        <v>44489</v>
      </c>
      <c r="C224" s="1" t="n">
        <v>45924</v>
      </c>
      <c r="D224" t="inlineStr">
        <is>
          <t>GOTLANDS LÄN</t>
        </is>
      </c>
      <c r="E224" t="inlineStr">
        <is>
          <t>GOTLAND</t>
        </is>
      </c>
      <c r="G224" t="n">
        <v>4.1</v>
      </c>
      <c r="H224" t="n">
        <v>0</v>
      </c>
      <c r="I224" t="n">
        <v>0</v>
      </c>
      <c r="J224" t="n">
        <v>0</v>
      </c>
      <c r="K224" t="n">
        <v>0</v>
      </c>
      <c r="L224" t="n">
        <v>0</v>
      </c>
      <c r="M224" t="n">
        <v>0</v>
      </c>
      <c r="N224" t="n">
        <v>0</v>
      </c>
      <c r="O224" t="n">
        <v>0</v>
      </c>
      <c r="P224" t="n">
        <v>0</v>
      </c>
      <c r="Q224" t="n">
        <v>0</v>
      </c>
      <c r="R224" s="2" t="inlineStr"/>
    </row>
    <row r="225" ht="15" customHeight="1">
      <c r="A225" t="inlineStr">
        <is>
          <t>A 22155-2021</t>
        </is>
      </c>
      <c r="B225" s="1" t="n">
        <v>44325.49369212963</v>
      </c>
      <c r="C225" s="1" t="n">
        <v>45924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45924</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61596-2023</t>
        </is>
      </c>
      <c r="B227" s="1" t="n">
        <v>45265</v>
      </c>
      <c r="C227" s="1" t="n">
        <v>45924</v>
      </c>
      <c r="D227" t="inlineStr">
        <is>
          <t>GOTLANDS LÄN</t>
        </is>
      </c>
      <c r="E227" t="inlineStr">
        <is>
          <t>GOTLAND</t>
        </is>
      </c>
      <c r="G227" t="n">
        <v>1.7</v>
      </c>
      <c r="H227" t="n">
        <v>0</v>
      </c>
      <c r="I227" t="n">
        <v>0</v>
      </c>
      <c r="J227" t="n">
        <v>0</v>
      </c>
      <c r="K227" t="n">
        <v>0</v>
      </c>
      <c r="L227" t="n">
        <v>0</v>
      </c>
      <c r="M227" t="n">
        <v>0</v>
      </c>
      <c r="N227" t="n">
        <v>0</v>
      </c>
      <c r="O227" t="n">
        <v>0</v>
      </c>
      <c r="P227" t="n">
        <v>0</v>
      </c>
      <c r="Q227" t="n">
        <v>0</v>
      </c>
      <c r="R227" s="2" t="inlineStr"/>
    </row>
    <row r="228" ht="15" customHeight="1">
      <c r="A228" t="inlineStr">
        <is>
          <t>A 873-2024</t>
        </is>
      </c>
      <c r="B228" s="1" t="n">
        <v>45301</v>
      </c>
      <c r="C228" s="1" t="n">
        <v>45924</v>
      </c>
      <c r="D228" t="inlineStr">
        <is>
          <t>GOTLANDS LÄN</t>
        </is>
      </c>
      <c r="E228" t="inlineStr">
        <is>
          <t>GOTLAND</t>
        </is>
      </c>
      <c r="G228" t="n">
        <v>2.7</v>
      </c>
      <c r="H228" t="n">
        <v>0</v>
      </c>
      <c r="I228" t="n">
        <v>0</v>
      </c>
      <c r="J228" t="n">
        <v>0</v>
      </c>
      <c r="K228" t="n">
        <v>0</v>
      </c>
      <c r="L228" t="n">
        <v>0</v>
      </c>
      <c r="M228" t="n">
        <v>0</v>
      </c>
      <c r="N228" t="n">
        <v>0</v>
      </c>
      <c r="O228" t="n">
        <v>0</v>
      </c>
      <c r="P228" t="n">
        <v>0</v>
      </c>
      <c r="Q228" t="n">
        <v>0</v>
      </c>
      <c r="R228" s="2" t="inlineStr"/>
    </row>
    <row r="229" ht="15" customHeight="1">
      <c r="A229" t="inlineStr">
        <is>
          <t>A 44228-2022</t>
        </is>
      </c>
      <c r="B229" s="1" t="n">
        <v>44839.51599537037</v>
      </c>
      <c r="C229" s="1" t="n">
        <v>45924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61386-2023</t>
        </is>
      </c>
      <c r="B230" s="1" t="n">
        <v>45264</v>
      </c>
      <c r="C230" s="1" t="n">
        <v>45924</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22883-2024</t>
        </is>
      </c>
      <c r="B231" s="1" t="n">
        <v>45448.66368055555</v>
      </c>
      <c r="C231" s="1" t="n">
        <v>45924</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71010-2021</t>
        </is>
      </c>
      <c r="B232" s="1" t="n">
        <v>44538.63775462963</v>
      </c>
      <c r="C232" s="1" t="n">
        <v>45924</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10652-2025</t>
        </is>
      </c>
      <c r="B233" s="1" t="n">
        <v>45721.68640046296</v>
      </c>
      <c r="C233" s="1" t="n">
        <v>45924</v>
      </c>
      <c r="D233" t="inlineStr">
        <is>
          <t>GOTLANDS LÄN</t>
        </is>
      </c>
      <c r="E233" t="inlineStr">
        <is>
          <t>GOTLAND</t>
        </is>
      </c>
      <c r="G233" t="n">
        <v>3.6</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45924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45924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45924</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45924</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10813-2025</t>
        </is>
      </c>
      <c r="B238" s="1" t="n">
        <v>45722.54163194444</v>
      </c>
      <c r="C238" s="1" t="n">
        <v>45924</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1066-2024</t>
        </is>
      </c>
      <c r="B239" s="1" t="n">
        <v>45302.285</v>
      </c>
      <c r="C239" s="1" t="n">
        <v>45924</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37202-2024</t>
        </is>
      </c>
      <c r="B240" s="1" t="n">
        <v>45539.67310185185</v>
      </c>
      <c r="C240" s="1" t="n">
        <v>45924</v>
      </c>
      <c r="D240" t="inlineStr">
        <is>
          <t>GOTLANDS LÄN</t>
        </is>
      </c>
      <c r="E240" t="inlineStr">
        <is>
          <t>GOTLAND</t>
        </is>
      </c>
      <c r="G240" t="n">
        <v>0.3</v>
      </c>
      <c r="H240" t="n">
        <v>0</v>
      </c>
      <c r="I240" t="n">
        <v>0</v>
      </c>
      <c r="J240" t="n">
        <v>0</v>
      </c>
      <c r="K240" t="n">
        <v>0</v>
      </c>
      <c r="L240" t="n">
        <v>0</v>
      </c>
      <c r="M240" t="n">
        <v>0</v>
      </c>
      <c r="N240" t="n">
        <v>0</v>
      </c>
      <c r="O240" t="n">
        <v>0</v>
      </c>
      <c r="P240" t="n">
        <v>0</v>
      </c>
      <c r="Q240" t="n">
        <v>0</v>
      </c>
      <c r="R240" s="2" t="inlineStr"/>
    </row>
    <row r="241" ht="15" customHeight="1">
      <c r="A241" t="inlineStr">
        <is>
          <t>A 6749-2025</t>
        </is>
      </c>
      <c r="B241" s="1" t="n">
        <v>45700</v>
      </c>
      <c r="C241" s="1" t="n">
        <v>45924</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45924</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44204-2022</t>
        </is>
      </c>
      <c r="B243" s="1" t="n">
        <v>44839</v>
      </c>
      <c r="C243" s="1" t="n">
        <v>45924</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30815-2023</t>
        </is>
      </c>
      <c r="B244" s="1" t="n">
        <v>45112</v>
      </c>
      <c r="C244" s="1" t="n">
        <v>45924</v>
      </c>
      <c r="D244" t="inlineStr">
        <is>
          <t>GOTLANDS LÄN</t>
        </is>
      </c>
      <c r="E244" t="inlineStr">
        <is>
          <t>GOTLAND</t>
        </is>
      </c>
      <c r="G244" t="n">
        <v>6</v>
      </c>
      <c r="H244" t="n">
        <v>0</v>
      </c>
      <c r="I244" t="n">
        <v>0</v>
      </c>
      <c r="J244" t="n">
        <v>0</v>
      </c>
      <c r="K244" t="n">
        <v>0</v>
      </c>
      <c r="L244" t="n">
        <v>0</v>
      </c>
      <c r="M244" t="n">
        <v>0</v>
      </c>
      <c r="N244" t="n">
        <v>0</v>
      </c>
      <c r="O244" t="n">
        <v>0</v>
      </c>
      <c r="P244" t="n">
        <v>0</v>
      </c>
      <c r="Q244" t="n">
        <v>0</v>
      </c>
      <c r="R244" s="2" t="inlineStr"/>
    </row>
    <row r="245" ht="15" customHeight="1">
      <c r="A245" t="inlineStr">
        <is>
          <t>A 57219-2021</t>
        </is>
      </c>
      <c r="B245" s="1" t="n">
        <v>44483</v>
      </c>
      <c r="C245" s="1" t="n">
        <v>45924</v>
      </c>
      <c r="D245" t="inlineStr">
        <is>
          <t>GOTLANDS LÄN</t>
        </is>
      </c>
      <c r="E245" t="inlineStr">
        <is>
          <t>GOTLAND</t>
        </is>
      </c>
      <c r="F245" t="inlineStr">
        <is>
          <t>Kyrkan</t>
        </is>
      </c>
      <c r="G245" t="n">
        <v>4</v>
      </c>
      <c r="H245" t="n">
        <v>0</v>
      </c>
      <c r="I245" t="n">
        <v>0</v>
      </c>
      <c r="J245" t="n">
        <v>0</v>
      </c>
      <c r="K245" t="n">
        <v>0</v>
      </c>
      <c r="L245" t="n">
        <v>0</v>
      </c>
      <c r="M245" t="n">
        <v>0</v>
      </c>
      <c r="N245" t="n">
        <v>0</v>
      </c>
      <c r="O245" t="n">
        <v>0</v>
      </c>
      <c r="P245" t="n">
        <v>0</v>
      </c>
      <c r="Q245" t="n">
        <v>0</v>
      </c>
      <c r="R245" s="2" t="inlineStr"/>
    </row>
    <row r="246" ht="15" customHeight="1">
      <c r="A246" t="inlineStr">
        <is>
          <t>A 46400-2023</t>
        </is>
      </c>
      <c r="B246" s="1" t="n">
        <v>45197.49290509259</v>
      </c>
      <c r="C246" s="1" t="n">
        <v>45924</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10492-2023</t>
        </is>
      </c>
      <c r="B247" s="1" t="n">
        <v>44987</v>
      </c>
      <c r="C247" s="1" t="n">
        <v>45924</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5462-2025</t>
        </is>
      </c>
      <c r="B248" s="1" t="n">
        <v>45693.29331018519</v>
      </c>
      <c r="C248" s="1" t="n">
        <v>45924</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2035-2025</t>
        </is>
      </c>
      <c r="B249" s="1" t="n">
        <v>45672</v>
      </c>
      <c r="C249" s="1" t="n">
        <v>45924</v>
      </c>
      <c r="D249" t="inlineStr">
        <is>
          <t>GOTLANDS LÄN</t>
        </is>
      </c>
      <c r="E249" t="inlineStr">
        <is>
          <t>GOTLAND</t>
        </is>
      </c>
      <c r="G249" t="n">
        <v>7.5</v>
      </c>
      <c r="H249" t="n">
        <v>0</v>
      </c>
      <c r="I249" t="n">
        <v>0</v>
      </c>
      <c r="J249" t="n">
        <v>0</v>
      </c>
      <c r="K249" t="n">
        <v>0</v>
      </c>
      <c r="L249" t="n">
        <v>0</v>
      </c>
      <c r="M249" t="n">
        <v>0</v>
      </c>
      <c r="N249" t="n">
        <v>0</v>
      </c>
      <c r="O249" t="n">
        <v>0</v>
      </c>
      <c r="P249" t="n">
        <v>0</v>
      </c>
      <c r="Q249" t="n">
        <v>0</v>
      </c>
      <c r="R249" s="2" t="inlineStr"/>
    </row>
    <row r="250" ht="15" customHeight="1">
      <c r="A250" t="inlineStr">
        <is>
          <t>A 53641-2020</t>
        </is>
      </c>
      <c r="B250" s="1" t="n">
        <v>44124</v>
      </c>
      <c r="C250" s="1" t="n">
        <v>45924</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17901-2023</t>
        </is>
      </c>
      <c r="B251" s="1" t="n">
        <v>45039</v>
      </c>
      <c r="C251" s="1" t="n">
        <v>45924</v>
      </c>
      <c r="D251" t="inlineStr">
        <is>
          <t>GOTLANDS LÄN</t>
        </is>
      </c>
      <c r="E251" t="inlineStr">
        <is>
          <t>GOTLAND</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45924</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16501-2023</t>
        </is>
      </c>
      <c r="B253" s="1" t="n">
        <v>45029</v>
      </c>
      <c r="C253" s="1" t="n">
        <v>45924</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56009-2024</t>
        </is>
      </c>
      <c r="B254" s="1" t="n">
        <v>45623.80864583333</v>
      </c>
      <c r="C254" s="1" t="n">
        <v>45924</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45924</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54073-2022</t>
        </is>
      </c>
      <c r="B256" s="1" t="n">
        <v>44881.50380787037</v>
      </c>
      <c r="C256" s="1" t="n">
        <v>45924</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25796-2025</t>
        </is>
      </c>
      <c r="B257" s="1" t="n">
        <v>45804.39543981481</v>
      </c>
      <c r="C257" s="1" t="n">
        <v>45924</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27095-2022</t>
        </is>
      </c>
      <c r="B258" s="1" t="n">
        <v>44741</v>
      </c>
      <c r="C258" s="1" t="n">
        <v>45924</v>
      </c>
      <c r="D258" t="inlineStr">
        <is>
          <t>GOTLANDS LÄN</t>
        </is>
      </c>
      <c r="E258" t="inlineStr">
        <is>
          <t>GOTLAND</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458-2023</t>
        </is>
      </c>
      <c r="B259" s="1" t="n">
        <v>44929</v>
      </c>
      <c r="C259" s="1" t="n">
        <v>45924</v>
      </c>
      <c r="D259" t="inlineStr">
        <is>
          <t>GOTLANDS LÄN</t>
        </is>
      </c>
      <c r="E259" t="inlineStr">
        <is>
          <t>GOTLAND</t>
        </is>
      </c>
      <c r="G259" t="n">
        <v>3.6</v>
      </c>
      <c r="H259" t="n">
        <v>0</v>
      </c>
      <c r="I259" t="n">
        <v>0</v>
      </c>
      <c r="J259" t="n">
        <v>0</v>
      </c>
      <c r="K259" t="n">
        <v>0</v>
      </c>
      <c r="L259" t="n">
        <v>0</v>
      </c>
      <c r="M259" t="n">
        <v>0</v>
      </c>
      <c r="N259" t="n">
        <v>0</v>
      </c>
      <c r="O259" t="n">
        <v>0</v>
      </c>
      <c r="P259" t="n">
        <v>0</v>
      </c>
      <c r="Q259" t="n">
        <v>0</v>
      </c>
      <c r="R259" s="2" t="inlineStr"/>
    </row>
    <row r="260" ht="15" customHeight="1">
      <c r="A260" t="inlineStr">
        <is>
          <t>A 1291-2023</t>
        </is>
      </c>
      <c r="B260" s="1" t="n">
        <v>44936.47561342592</v>
      </c>
      <c r="C260" s="1" t="n">
        <v>45924</v>
      </c>
      <c r="D260" t="inlineStr">
        <is>
          <t>GOTLANDS LÄN</t>
        </is>
      </c>
      <c r="E260" t="inlineStr">
        <is>
          <t>GOTLAND</t>
        </is>
      </c>
      <c r="G260" t="n">
        <v>7.4</v>
      </c>
      <c r="H260" t="n">
        <v>0</v>
      </c>
      <c r="I260" t="n">
        <v>0</v>
      </c>
      <c r="J260" t="n">
        <v>0</v>
      </c>
      <c r="K260" t="n">
        <v>0</v>
      </c>
      <c r="L260" t="n">
        <v>0</v>
      </c>
      <c r="M260" t="n">
        <v>0</v>
      </c>
      <c r="N260" t="n">
        <v>0</v>
      </c>
      <c r="O260" t="n">
        <v>0</v>
      </c>
      <c r="P260" t="n">
        <v>0</v>
      </c>
      <c r="Q260" t="n">
        <v>0</v>
      </c>
      <c r="R260" s="2" t="inlineStr"/>
    </row>
    <row r="261" ht="15" customHeight="1">
      <c r="A261" t="inlineStr">
        <is>
          <t>A 32330-2024</t>
        </is>
      </c>
      <c r="B261" s="1" t="n">
        <v>45512</v>
      </c>
      <c r="C261" s="1" t="n">
        <v>45924</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45924</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12599-2025</t>
        </is>
      </c>
      <c r="B263" s="1" t="n">
        <v>45733.29546296296</v>
      </c>
      <c r="C263" s="1" t="n">
        <v>45924</v>
      </c>
      <c r="D263" t="inlineStr">
        <is>
          <t>GOTLANDS LÄN</t>
        </is>
      </c>
      <c r="E263" t="inlineStr">
        <is>
          <t>GOTLAND</t>
        </is>
      </c>
      <c r="G263" t="n">
        <v>4.7</v>
      </c>
      <c r="H263" t="n">
        <v>0</v>
      </c>
      <c r="I263" t="n">
        <v>0</v>
      </c>
      <c r="J263" t="n">
        <v>0</v>
      </c>
      <c r="K263" t="n">
        <v>0</v>
      </c>
      <c r="L263" t="n">
        <v>0</v>
      </c>
      <c r="M263" t="n">
        <v>0</v>
      </c>
      <c r="N263" t="n">
        <v>0</v>
      </c>
      <c r="O263" t="n">
        <v>0</v>
      </c>
      <c r="P263" t="n">
        <v>0</v>
      </c>
      <c r="Q263" t="n">
        <v>0</v>
      </c>
      <c r="R263" s="2" t="inlineStr"/>
    </row>
    <row r="264" ht="15" customHeight="1">
      <c r="A264" t="inlineStr">
        <is>
          <t>A 5891-2025</t>
        </is>
      </c>
      <c r="B264" s="1" t="n">
        <v>45695.38327546296</v>
      </c>
      <c r="C264" s="1" t="n">
        <v>45924</v>
      </c>
      <c r="D264" t="inlineStr">
        <is>
          <t>GOTLANDS LÄN</t>
        </is>
      </c>
      <c r="E264" t="inlineStr">
        <is>
          <t>GOTLAND</t>
        </is>
      </c>
      <c r="G264" t="n">
        <v>0.8</v>
      </c>
      <c r="H264" t="n">
        <v>0</v>
      </c>
      <c r="I264" t="n">
        <v>0</v>
      </c>
      <c r="J264" t="n">
        <v>0</v>
      </c>
      <c r="K264" t="n">
        <v>0</v>
      </c>
      <c r="L264" t="n">
        <v>0</v>
      </c>
      <c r="M264" t="n">
        <v>0</v>
      </c>
      <c r="N264" t="n">
        <v>0</v>
      </c>
      <c r="O264" t="n">
        <v>0</v>
      </c>
      <c r="P264" t="n">
        <v>0</v>
      </c>
      <c r="Q264" t="n">
        <v>0</v>
      </c>
      <c r="R264" s="2" t="inlineStr"/>
    </row>
    <row r="265" ht="15" customHeight="1">
      <c r="A265" t="inlineStr">
        <is>
          <t>A 6153-2024</t>
        </is>
      </c>
      <c r="B265" s="1" t="n">
        <v>45337</v>
      </c>
      <c r="C265" s="1" t="n">
        <v>45924</v>
      </c>
      <c r="D265" t="inlineStr">
        <is>
          <t>GOTLANDS LÄN</t>
        </is>
      </c>
      <c r="E265" t="inlineStr">
        <is>
          <t>GOTLAND</t>
        </is>
      </c>
      <c r="G265" t="n">
        <v>14.2</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45924</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45924</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26391-2025</t>
        </is>
      </c>
      <c r="B268" s="1" t="n">
        <v>45806</v>
      </c>
      <c r="C268" s="1" t="n">
        <v>45924</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45924</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14804-2021</t>
        </is>
      </c>
      <c r="B270" s="1" t="n">
        <v>44280</v>
      </c>
      <c r="C270" s="1" t="n">
        <v>45924</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26457-2025</t>
        </is>
      </c>
      <c r="B271" s="1" t="n">
        <v>45807.42773148148</v>
      </c>
      <c r="C271" s="1" t="n">
        <v>45924</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26467-2025</t>
        </is>
      </c>
      <c r="B272" s="1" t="n">
        <v>45807.44640046296</v>
      </c>
      <c r="C272" s="1" t="n">
        <v>45924</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19002-2025</t>
        </is>
      </c>
      <c r="B273" s="1" t="n">
        <v>45764</v>
      </c>
      <c r="C273" s="1" t="n">
        <v>45924</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7026-2023</t>
        </is>
      </c>
      <c r="B274" s="1" t="n">
        <v>44968.30340277778</v>
      </c>
      <c r="C274" s="1" t="n">
        <v>45924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2719-2023</t>
        </is>
      </c>
      <c r="B275" s="1" t="n">
        <v>44944.55361111111</v>
      </c>
      <c r="C275" s="1" t="n">
        <v>45924</v>
      </c>
      <c r="D275" t="inlineStr">
        <is>
          <t>GOTLANDS LÄN</t>
        </is>
      </c>
      <c r="E275" t="inlineStr">
        <is>
          <t>GOTLAND</t>
        </is>
      </c>
      <c r="G275" t="n">
        <v>0.5</v>
      </c>
      <c r="H275" t="n">
        <v>0</v>
      </c>
      <c r="I275" t="n">
        <v>0</v>
      </c>
      <c r="J275" t="n">
        <v>0</v>
      </c>
      <c r="K275" t="n">
        <v>0</v>
      </c>
      <c r="L275" t="n">
        <v>0</v>
      </c>
      <c r="M275" t="n">
        <v>0</v>
      </c>
      <c r="N275" t="n">
        <v>0</v>
      </c>
      <c r="O275" t="n">
        <v>0</v>
      </c>
      <c r="P275" t="n">
        <v>0</v>
      </c>
      <c r="Q275" t="n">
        <v>0</v>
      </c>
      <c r="R275" s="2" t="inlineStr"/>
    </row>
    <row r="276" ht="15" customHeight="1">
      <c r="A276" t="inlineStr">
        <is>
          <t>A 17144-2025</t>
        </is>
      </c>
      <c r="B276" s="1" t="n">
        <v>45755.9499537037</v>
      </c>
      <c r="C276" s="1" t="n">
        <v>45924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58476-2022</t>
        </is>
      </c>
      <c r="B277" s="1" t="n">
        <v>44902</v>
      </c>
      <c r="C277" s="1" t="n">
        <v>45924</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52892-2021</t>
        </is>
      </c>
      <c r="B278" s="1" t="n">
        <v>44467.49048611111</v>
      </c>
      <c r="C278" s="1" t="n">
        <v>45924</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49314-2024</t>
        </is>
      </c>
      <c r="B279" s="1" t="n">
        <v>45595.55893518519</v>
      </c>
      <c r="C279" s="1" t="n">
        <v>45924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1351-2025</t>
        </is>
      </c>
      <c r="B280" s="1" t="n">
        <v>45667.62246527777</v>
      </c>
      <c r="C280" s="1" t="n">
        <v>45924</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9875-2025</t>
        </is>
      </c>
      <c r="B281" s="1" t="n">
        <v>45716</v>
      </c>
      <c r="C281" s="1" t="n">
        <v>45924</v>
      </c>
      <c r="D281" t="inlineStr">
        <is>
          <t>GOTLANDS LÄN</t>
        </is>
      </c>
      <c r="E281" t="inlineStr">
        <is>
          <t>GOTLAND</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29809-2022</t>
        </is>
      </c>
      <c r="B282" s="1" t="n">
        <v>44755.8713425926</v>
      </c>
      <c r="C282" s="1" t="n">
        <v>45924</v>
      </c>
      <c r="D282" t="inlineStr">
        <is>
          <t>GOTLANDS LÄN</t>
        </is>
      </c>
      <c r="E282" t="inlineStr">
        <is>
          <t>GOTLAND</t>
        </is>
      </c>
      <c r="G282" t="n">
        <v>11.5</v>
      </c>
      <c r="H282" t="n">
        <v>0</v>
      </c>
      <c r="I282" t="n">
        <v>0</v>
      </c>
      <c r="J282" t="n">
        <v>0</v>
      </c>
      <c r="K282" t="n">
        <v>0</v>
      </c>
      <c r="L282" t="n">
        <v>0</v>
      </c>
      <c r="M282" t="n">
        <v>0</v>
      </c>
      <c r="N282" t="n">
        <v>0</v>
      </c>
      <c r="O282" t="n">
        <v>0</v>
      </c>
      <c r="P282" t="n">
        <v>0</v>
      </c>
      <c r="Q282" t="n">
        <v>0</v>
      </c>
      <c r="R282" s="2" t="inlineStr"/>
    </row>
    <row r="283" ht="15" customHeight="1">
      <c r="A283" t="inlineStr">
        <is>
          <t>A 26660-2025</t>
        </is>
      </c>
      <c r="B283" s="1" t="n">
        <v>45810.39737268518</v>
      </c>
      <c r="C283" s="1" t="n">
        <v>45924</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49874-2024</t>
        </is>
      </c>
      <c r="B284" s="1" t="n">
        <v>45597.49274305555</v>
      </c>
      <c r="C284" s="1" t="n">
        <v>45924</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45924</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16361-2024</t>
        </is>
      </c>
      <c r="B286" s="1" t="n">
        <v>45407</v>
      </c>
      <c r="C286" s="1" t="n">
        <v>45924</v>
      </c>
      <c r="D286" t="inlineStr">
        <is>
          <t>GOTLANDS LÄN</t>
        </is>
      </c>
      <c r="E286" t="inlineStr">
        <is>
          <t>GOTLAND</t>
        </is>
      </c>
      <c r="G286" t="n">
        <v>6</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45924</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27348-2025</t>
        </is>
      </c>
      <c r="B288" s="1" t="n">
        <v>45812.62451388889</v>
      </c>
      <c r="C288" s="1" t="n">
        <v>45924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27371-2025</t>
        </is>
      </c>
      <c r="B289" s="1" t="n">
        <v>45812</v>
      </c>
      <c r="C289" s="1" t="n">
        <v>45924</v>
      </c>
      <c r="D289" t="inlineStr">
        <is>
          <t>GOTLANDS LÄN</t>
        </is>
      </c>
      <c r="E289" t="inlineStr">
        <is>
          <t>GOTLAND</t>
        </is>
      </c>
      <c r="G289" t="n">
        <v>8</v>
      </c>
      <c r="H289" t="n">
        <v>0</v>
      </c>
      <c r="I289" t="n">
        <v>0</v>
      </c>
      <c r="J289" t="n">
        <v>0</v>
      </c>
      <c r="K289" t="n">
        <v>0</v>
      </c>
      <c r="L289" t="n">
        <v>0</v>
      </c>
      <c r="M289" t="n">
        <v>0</v>
      </c>
      <c r="N289" t="n">
        <v>0</v>
      </c>
      <c r="O289" t="n">
        <v>0</v>
      </c>
      <c r="P289" t="n">
        <v>0</v>
      </c>
      <c r="Q289" t="n">
        <v>0</v>
      </c>
      <c r="R289" s="2" t="inlineStr"/>
    </row>
    <row r="290" ht="15" customHeight="1">
      <c r="A290" t="inlineStr">
        <is>
          <t>A 43081-2022</t>
        </is>
      </c>
      <c r="B290" s="1" t="n">
        <v>44833</v>
      </c>
      <c r="C290" s="1" t="n">
        <v>45924</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51782-2023</t>
        </is>
      </c>
      <c r="B291" s="1" t="n">
        <v>45222.80952546297</v>
      </c>
      <c r="C291" s="1" t="n">
        <v>45924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1175-2025</t>
        </is>
      </c>
      <c r="B292" s="1" t="n">
        <v>45667.34449074074</v>
      </c>
      <c r="C292" s="1" t="n">
        <v>45924</v>
      </c>
      <c r="D292" t="inlineStr">
        <is>
          <t>GOTLANDS LÄN</t>
        </is>
      </c>
      <c r="E292" t="inlineStr">
        <is>
          <t>GOTLAND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60675-2021</t>
        </is>
      </c>
      <c r="B293" s="1" t="n">
        <v>44496.64855324074</v>
      </c>
      <c r="C293" s="1" t="n">
        <v>45924</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5217-2023</t>
        </is>
      </c>
      <c r="B294" s="1" t="n">
        <v>44959.39582175926</v>
      </c>
      <c r="C294" s="1" t="n">
        <v>45924</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14638-2025</t>
        </is>
      </c>
      <c r="B295" s="1" t="n">
        <v>45742</v>
      </c>
      <c r="C295" s="1" t="n">
        <v>45924</v>
      </c>
      <c r="D295" t="inlineStr">
        <is>
          <t>GOTLANDS LÄN</t>
        </is>
      </c>
      <c r="E295" t="inlineStr">
        <is>
          <t>GOTLAND</t>
        </is>
      </c>
      <c r="G295" t="n">
        <v>13.4</v>
      </c>
      <c r="H295" t="n">
        <v>0</v>
      </c>
      <c r="I295" t="n">
        <v>0</v>
      </c>
      <c r="J295" t="n">
        <v>0</v>
      </c>
      <c r="K295" t="n">
        <v>0</v>
      </c>
      <c r="L295" t="n">
        <v>0</v>
      </c>
      <c r="M295" t="n">
        <v>0</v>
      </c>
      <c r="N295" t="n">
        <v>0</v>
      </c>
      <c r="O295" t="n">
        <v>0</v>
      </c>
      <c r="P295" t="n">
        <v>0</v>
      </c>
      <c r="Q295" t="n">
        <v>0</v>
      </c>
      <c r="R295" s="2" t="inlineStr"/>
    </row>
    <row r="296" ht="15" customHeight="1">
      <c r="A296" t="inlineStr">
        <is>
          <t>A 42201-2023</t>
        </is>
      </c>
      <c r="B296" s="1" t="n">
        <v>45179</v>
      </c>
      <c r="C296" s="1" t="n">
        <v>45924</v>
      </c>
      <c r="D296" t="inlineStr">
        <is>
          <t>GOTLANDS LÄN</t>
        </is>
      </c>
      <c r="E296" t="inlineStr">
        <is>
          <t>GOTLAND</t>
        </is>
      </c>
      <c r="G296" t="n">
        <v>11.9</v>
      </c>
      <c r="H296" t="n">
        <v>0</v>
      </c>
      <c r="I296" t="n">
        <v>0</v>
      </c>
      <c r="J296" t="n">
        <v>0</v>
      </c>
      <c r="K296" t="n">
        <v>0</v>
      </c>
      <c r="L296" t="n">
        <v>0</v>
      </c>
      <c r="M296" t="n">
        <v>0</v>
      </c>
      <c r="N296" t="n">
        <v>0</v>
      </c>
      <c r="O296" t="n">
        <v>0</v>
      </c>
      <c r="P296" t="n">
        <v>0</v>
      </c>
      <c r="Q296" t="n">
        <v>0</v>
      </c>
      <c r="R296" s="2" t="inlineStr"/>
    </row>
    <row r="297" ht="15" customHeight="1">
      <c r="A297" t="inlineStr">
        <is>
          <t>A 3150-2025</t>
        </is>
      </c>
      <c r="B297" s="1" t="n">
        <v>45679.28974537037</v>
      </c>
      <c r="C297" s="1" t="n">
        <v>45924</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45924</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4421-2024</t>
        </is>
      </c>
      <c r="B299" s="1" t="n">
        <v>45327.45173611111</v>
      </c>
      <c r="C299" s="1" t="n">
        <v>45924</v>
      </c>
      <c r="D299" t="inlineStr">
        <is>
          <t>GOTLANDS LÄN</t>
        </is>
      </c>
      <c r="E299" t="inlineStr">
        <is>
          <t>GOTLAND</t>
        </is>
      </c>
      <c r="G299" t="n">
        <v>5.1</v>
      </c>
      <c r="H299" t="n">
        <v>0</v>
      </c>
      <c r="I299" t="n">
        <v>0</v>
      </c>
      <c r="J299" t="n">
        <v>0</v>
      </c>
      <c r="K299" t="n">
        <v>0</v>
      </c>
      <c r="L299" t="n">
        <v>0</v>
      </c>
      <c r="M299" t="n">
        <v>0</v>
      </c>
      <c r="N299" t="n">
        <v>0</v>
      </c>
      <c r="O299" t="n">
        <v>0</v>
      </c>
      <c r="P299" t="n">
        <v>0</v>
      </c>
      <c r="Q299" t="n">
        <v>0</v>
      </c>
      <c r="R299" s="2" t="inlineStr"/>
    </row>
    <row r="300" ht="15" customHeight="1">
      <c r="A300" t="inlineStr">
        <is>
          <t>A 6739-2025</t>
        </is>
      </c>
      <c r="B300" s="1" t="n">
        <v>45700</v>
      </c>
      <c r="C300" s="1" t="n">
        <v>45924</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20165-2022</t>
        </is>
      </c>
      <c r="B301" s="1" t="n">
        <v>44698.49854166667</v>
      </c>
      <c r="C301" s="1" t="n">
        <v>45924</v>
      </c>
      <c r="D301" t="inlineStr">
        <is>
          <t>GOTLANDS LÄN</t>
        </is>
      </c>
      <c r="E301" t="inlineStr">
        <is>
          <t>GOTLAND</t>
        </is>
      </c>
      <c r="G301" t="n">
        <v>4.1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45924</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19905-2025</t>
        </is>
      </c>
      <c r="B303" s="1" t="n">
        <v>45771</v>
      </c>
      <c r="C303" s="1" t="n">
        <v>45924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31264-2021</t>
        </is>
      </c>
      <c r="B304" s="1" t="n">
        <v>44368</v>
      </c>
      <c r="C304" s="1" t="n">
        <v>45924</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42041-2024</t>
        </is>
      </c>
      <c r="B305" s="1" t="n">
        <v>45561</v>
      </c>
      <c r="C305" s="1" t="n">
        <v>45924</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45924</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43223-2023</t>
        </is>
      </c>
      <c r="B307" s="1" t="n">
        <v>45183.45642361111</v>
      </c>
      <c r="C307" s="1" t="n">
        <v>45924</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61962-2024</t>
        </is>
      </c>
      <c r="B308" s="1" t="n">
        <v>45653.54340277778</v>
      </c>
      <c r="C308" s="1" t="n">
        <v>45924</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27930-2021</t>
        </is>
      </c>
      <c r="B309" s="1" t="n">
        <v>44354</v>
      </c>
      <c r="C309" s="1" t="n">
        <v>45924</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59469-2024</t>
        </is>
      </c>
      <c r="B310" s="1" t="n">
        <v>45638</v>
      </c>
      <c r="C310" s="1" t="n">
        <v>45924</v>
      </c>
      <c r="D310" t="inlineStr">
        <is>
          <t>GOTLANDS LÄN</t>
        </is>
      </c>
      <c r="E310" t="inlineStr">
        <is>
          <t>GOTLAND</t>
        </is>
      </c>
      <c r="G310" t="n">
        <v>0.4</v>
      </c>
      <c r="H310" t="n">
        <v>0</v>
      </c>
      <c r="I310" t="n">
        <v>0</v>
      </c>
      <c r="J310" t="n">
        <v>0</v>
      </c>
      <c r="K310" t="n">
        <v>0</v>
      </c>
      <c r="L310" t="n">
        <v>0</v>
      </c>
      <c r="M310" t="n">
        <v>0</v>
      </c>
      <c r="N310" t="n">
        <v>0</v>
      </c>
      <c r="O310" t="n">
        <v>0</v>
      </c>
      <c r="P310" t="n">
        <v>0</v>
      </c>
      <c r="Q310" t="n">
        <v>0</v>
      </c>
      <c r="R310" s="2" t="inlineStr"/>
    </row>
    <row r="311" ht="15" customHeight="1">
      <c r="A311" t="inlineStr">
        <is>
          <t>A 29207-2025</t>
        </is>
      </c>
      <c r="B311" s="1" t="n">
        <v>45823</v>
      </c>
      <c r="C311" s="1" t="n">
        <v>45924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18993-2025</t>
        </is>
      </c>
      <c r="B312" s="1" t="n">
        <v>45764</v>
      </c>
      <c r="C312" s="1" t="n">
        <v>45924</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45924</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45924</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45924</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45924</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45924</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4990-2025</t>
        </is>
      </c>
      <c r="B318" s="1" t="n">
        <v>45691</v>
      </c>
      <c r="C318" s="1" t="n">
        <v>45924</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15436-2025</t>
        </is>
      </c>
      <c r="B319" s="1" t="n">
        <v>45747.47462962963</v>
      </c>
      <c r="C319" s="1" t="n">
        <v>45924</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21247-2022</t>
        </is>
      </c>
      <c r="B320" s="1" t="n">
        <v>44705.38832175926</v>
      </c>
      <c r="C320" s="1" t="n">
        <v>45924</v>
      </c>
      <c r="D320" t="inlineStr">
        <is>
          <t>GOTLANDS LÄN</t>
        </is>
      </c>
      <c r="E320" t="inlineStr">
        <is>
          <t>GOTLAND</t>
        </is>
      </c>
      <c r="G320" t="n">
        <v>16.2</v>
      </c>
      <c r="H320" t="n">
        <v>0</v>
      </c>
      <c r="I320" t="n">
        <v>0</v>
      </c>
      <c r="J320" t="n">
        <v>0</v>
      </c>
      <c r="K320" t="n">
        <v>0</v>
      </c>
      <c r="L320" t="n">
        <v>0</v>
      </c>
      <c r="M320" t="n">
        <v>0</v>
      </c>
      <c r="N320" t="n">
        <v>0</v>
      </c>
      <c r="O320" t="n">
        <v>0</v>
      </c>
      <c r="P320" t="n">
        <v>0</v>
      </c>
      <c r="Q320" t="n">
        <v>0</v>
      </c>
      <c r="R320" s="2" t="inlineStr"/>
    </row>
    <row r="321" ht="15" customHeight="1">
      <c r="A321" t="inlineStr">
        <is>
          <t>A 38165-2023</t>
        </is>
      </c>
      <c r="B321" s="1" t="n">
        <v>45161</v>
      </c>
      <c r="C321" s="1" t="n">
        <v>45924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30061-2025</t>
        </is>
      </c>
      <c r="B322" s="1" t="n">
        <v>45826.61488425926</v>
      </c>
      <c r="C322" s="1" t="n">
        <v>45924</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30157-2025</t>
        </is>
      </c>
      <c r="B323" s="1" t="n">
        <v>45826</v>
      </c>
      <c r="C323" s="1" t="n">
        <v>45924</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17780-2022</t>
        </is>
      </c>
      <c r="B324" s="1" t="n">
        <v>44682.82622685185</v>
      </c>
      <c r="C324" s="1" t="n">
        <v>45924</v>
      </c>
      <c r="D324" t="inlineStr">
        <is>
          <t>GOTLANDS LÄN</t>
        </is>
      </c>
      <c r="E324" t="inlineStr">
        <is>
          <t>GOTLAND</t>
        </is>
      </c>
      <c r="G324" t="n">
        <v>2.2</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45924</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63516-2023</t>
        </is>
      </c>
      <c r="B326" s="1" t="n">
        <v>45274</v>
      </c>
      <c r="C326" s="1" t="n">
        <v>45924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45924</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45924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34312-2024</t>
        </is>
      </c>
      <c r="B329" s="1" t="n">
        <v>45524.69703703704</v>
      </c>
      <c r="C329" s="1" t="n">
        <v>45924</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53935-2024</t>
        </is>
      </c>
      <c r="B330" s="1" t="n">
        <v>45615</v>
      </c>
      <c r="C330" s="1" t="n">
        <v>45924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45924</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30135-2025</t>
        </is>
      </c>
      <c r="B332" s="1" t="n">
        <v>45826</v>
      </c>
      <c r="C332" s="1" t="n">
        <v>45924</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69112-2021</t>
        </is>
      </c>
      <c r="B333" s="1" t="n">
        <v>44530</v>
      </c>
      <c r="C333" s="1" t="n">
        <v>45924</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45924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45924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45076.93391203704</v>
      </c>
      <c r="C336" s="1" t="n">
        <v>45924</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16109-2025</t>
        </is>
      </c>
      <c r="B337" s="1" t="n">
        <v>45750</v>
      </c>
      <c r="C337" s="1" t="n">
        <v>45924</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45924</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43231-2023</t>
        </is>
      </c>
      <c r="B339" s="1" t="n">
        <v>45183.47025462963</v>
      </c>
      <c r="C339" s="1" t="n">
        <v>45924</v>
      </c>
      <c r="D339" t="inlineStr">
        <is>
          <t>GOTLANDS LÄN</t>
        </is>
      </c>
      <c r="E339" t="inlineStr">
        <is>
          <t>GOTLAND</t>
        </is>
      </c>
      <c r="G339" t="n">
        <v>3.6</v>
      </c>
      <c r="H339" t="n">
        <v>0</v>
      </c>
      <c r="I339" t="n">
        <v>0</v>
      </c>
      <c r="J339" t="n">
        <v>0</v>
      </c>
      <c r="K339" t="n">
        <v>0</v>
      </c>
      <c r="L339" t="n">
        <v>0</v>
      </c>
      <c r="M339" t="n">
        <v>0</v>
      </c>
      <c r="N339" t="n">
        <v>0</v>
      </c>
      <c r="O339" t="n">
        <v>0</v>
      </c>
      <c r="P339" t="n">
        <v>0</v>
      </c>
      <c r="Q339" t="n">
        <v>0</v>
      </c>
      <c r="R339" s="2" t="inlineStr"/>
    </row>
    <row r="340" ht="15" customHeight="1">
      <c r="A340" t="inlineStr">
        <is>
          <t>A 32378-2025</t>
        </is>
      </c>
      <c r="B340" s="1" t="n">
        <v>45837</v>
      </c>
      <c r="C340" s="1" t="n">
        <v>45924</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32686-2025</t>
        </is>
      </c>
      <c r="B341" s="1" t="n">
        <v>45838</v>
      </c>
      <c r="C341" s="1" t="n">
        <v>45924</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58230-2024</t>
        </is>
      </c>
      <c r="B342" s="1" t="n">
        <v>45632.51625</v>
      </c>
      <c r="C342" s="1" t="n">
        <v>45924</v>
      </c>
      <c r="D342" t="inlineStr">
        <is>
          <t>GOTLANDS LÄN</t>
        </is>
      </c>
      <c r="E342" t="inlineStr">
        <is>
          <t>GOTLAND</t>
        </is>
      </c>
      <c r="G342" t="n">
        <v>7.3</v>
      </c>
      <c r="H342" t="n">
        <v>0</v>
      </c>
      <c r="I342" t="n">
        <v>0</v>
      </c>
      <c r="J342" t="n">
        <v>0</v>
      </c>
      <c r="K342" t="n">
        <v>0</v>
      </c>
      <c r="L342" t="n">
        <v>0</v>
      </c>
      <c r="M342" t="n">
        <v>0</v>
      </c>
      <c r="N342" t="n">
        <v>0</v>
      </c>
      <c r="O342" t="n">
        <v>0</v>
      </c>
      <c r="P342" t="n">
        <v>0</v>
      </c>
      <c r="Q342" t="n">
        <v>0</v>
      </c>
      <c r="R342" s="2" t="inlineStr"/>
    </row>
    <row r="343" ht="15" customHeight="1">
      <c r="A343" t="inlineStr">
        <is>
          <t>A 64555-2023</t>
        </is>
      </c>
      <c r="B343" s="1" t="n">
        <v>45281</v>
      </c>
      <c r="C343" s="1" t="n">
        <v>45924</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45924</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457-2023</t>
        </is>
      </c>
      <c r="B345" s="1" t="n">
        <v>44929.87238425926</v>
      </c>
      <c r="C345" s="1" t="n">
        <v>45924</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459-2023</t>
        </is>
      </c>
      <c r="B346" s="1" t="n">
        <v>44929.87423611111</v>
      </c>
      <c r="C346" s="1" t="n">
        <v>45924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33078-2025</t>
        </is>
      </c>
      <c r="B347" s="1" t="n">
        <v>45840</v>
      </c>
      <c r="C347" s="1" t="n">
        <v>45924</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22031-2024</t>
        </is>
      </c>
      <c r="B348" s="1" t="n">
        <v>45443.60075231481</v>
      </c>
      <c r="C348" s="1" t="n">
        <v>45924</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17688-2024</t>
        </is>
      </c>
      <c r="B349" s="1" t="n">
        <v>45418.43575231481</v>
      </c>
      <c r="C349" s="1" t="n">
        <v>45924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33007-2025</t>
        </is>
      </c>
      <c r="B350" s="1" t="n">
        <v>45840</v>
      </c>
      <c r="C350" s="1" t="n">
        <v>45924</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33011-2025</t>
        </is>
      </c>
      <c r="B351" s="1" t="n">
        <v>45840</v>
      </c>
      <c r="C351" s="1" t="n">
        <v>45924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6796-2025</t>
        </is>
      </c>
      <c r="B352" s="1" t="n">
        <v>45700.66559027778</v>
      </c>
      <c r="C352" s="1" t="n">
        <v>45924</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876-2024</t>
        </is>
      </c>
      <c r="B353" s="1" t="n">
        <v>45301</v>
      </c>
      <c r="C353" s="1" t="n">
        <v>45924</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26891-2024</t>
        </is>
      </c>
      <c r="B354" s="1" t="n">
        <v>45470.65540509259</v>
      </c>
      <c r="C354" s="1" t="n">
        <v>45924</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14536-2021</t>
        </is>
      </c>
      <c r="B355" s="1" t="n">
        <v>44279.66168981481</v>
      </c>
      <c r="C355" s="1" t="n">
        <v>45924</v>
      </c>
      <c r="D355" t="inlineStr">
        <is>
          <t>GOTLANDS LÄN</t>
        </is>
      </c>
      <c r="E355" t="inlineStr">
        <is>
          <t>GOTLAND</t>
        </is>
      </c>
      <c r="G355" t="n">
        <v>8.5</v>
      </c>
      <c r="H355" t="n">
        <v>0</v>
      </c>
      <c r="I355" t="n">
        <v>0</v>
      </c>
      <c r="J355" t="n">
        <v>0</v>
      </c>
      <c r="K355" t="n">
        <v>0</v>
      </c>
      <c r="L355" t="n">
        <v>0</v>
      </c>
      <c r="M355" t="n">
        <v>0</v>
      </c>
      <c r="N355" t="n">
        <v>0</v>
      </c>
      <c r="O355" t="n">
        <v>0</v>
      </c>
      <c r="P355" t="n">
        <v>0</v>
      </c>
      <c r="Q355" t="n">
        <v>0</v>
      </c>
      <c r="R355" s="2" t="inlineStr"/>
    </row>
    <row r="356" ht="15" customHeight="1">
      <c r="A356" t="inlineStr">
        <is>
          <t>A 5923-2023</t>
        </is>
      </c>
      <c r="B356" s="1" t="n">
        <v>44963.69503472222</v>
      </c>
      <c r="C356" s="1" t="n">
        <v>45924</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45924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50482-2024</t>
        </is>
      </c>
      <c r="B358" s="1" t="n">
        <v>45601.48114583334</v>
      </c>
      <c r="C358" s="1" t="n">
        <v>45924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45924</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38649-2025</t>
        </is>
      </c>
      <c r="B360" s="1" t="n">
        <v>45884</v>
      </c>
      <c r="C360" s="1" t="n">
        <v>45924</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6099-2024</t>
        </is>
      </c>
      <c r="B361" s="1" t="n">
        <v>45337</v>
      </c>
      <c r="C361" s="1" t="n">
        <v>45924</v>
      </c>
      <c r="D361" t="inlineStr">
        <is>
          <t>GOTLANDS LÄN</t>
        </is>
      </c>
      <c r="E361" t="inlineStr">
        <is>
          <t>GOTLAND</t>
        </is>
      </c>
      <c r="G361" t="n">
        <v>12.6</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45924</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5943-2024</t>
        </is>
      </c>
      <c r="B363" s="1" t="n">
        <v>45336</v>
      </c>
      <c r="C363" s="1" t="n">
        <v>45924</v>
      </c>
      <c r="D363" t="inlineStr">
        <is>
          <t>GOTLANDS LÄN</t>
        </is>
      </c>
      <c r="E363" t="inlineStr">
        <is>
          <t>GOTLAND</t>
        </is>
      </c>
      <c r="G363" t="n">
        <v>4.3</v>
      </c>
      <c r="H363" t="n">
        <v>0</v>
      </c>
      <c r="I363" t="n">
        <v>0</v>
      </c>
      <c r="J363" t="n">
        <v>0</v>
      </c>
      <c r="K363" t="n">
        <v>0</v>
      </c>
      <c r="L363" t="n">
        <v>0</v>
      </c>
      <c r="M363" t="n">
        <v>0</v>
      </c>
      <c r="N363" t="n">
        <v>0</v>
      </c>
      <c r="O363" t="n">
        <v>0</v>
      </c>
      <c r="P363" t="n">
        <v>0</v>
      </c>
      <c r="Q363" t="n">
        <v>0</v>
      </c>
      <c r="R363" s="2" t="inlineStr"/>
    </row>
    <row r="364" ht="15" customHeight="1">
      <c r="A364" t="inlineStr">
        <is>
          <t>A 38234-2023</t>
        </is>
      </c>
      <c r="B364" s="1" t="n">
        <v>45161.56663194444</v>
      </c>
      <c r="C364" s="1" t="n">
        <v>45924</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22287-2022</t>
        </is>
      </c>
      <c r="B365" s="1" t="n">
        <v>44712</v>
      </c>
      <c r="C365" s="1" t="n">
        <v>45924</v>
      </c>
      <c r="D365" t="inlineStr">
        <is>
          <t>GOTLANDS LÄN</t>
        </is>
      </c>
      <c r="E365" t="inlineStr">
        <is>
          <t>GOTLAND</t>
        </is>
      </c>
      <c r="G365" t="n">
        <v>6.1</v>
      </c>
      <c r="H365" t="n">
        <v>0</v>
      </c>
      <c r="I365" t="n">
        <v>0</v>
      </c>
      <c r="J365" t="n">
        <v>0</v>
      </c>
      <c r="K365" t="n">
        <v>0</v>
      </c>
      <c r="L365" t="n">
        <v>0</v>
      </c>
      <c r="M365" t="n">
        <v>0</v>
      </c>
      <c r="N365" t="n">
        <v>0</v>
      </c>
      <c r="O365" t="n">
        <v>0</v>
      </c>
      <c r="P365" t="n">
        <v>0</v>
      </c>
      <c r="Q365" t="n">
        <v>0</v>
      </c>
      <c r="R365" s="2" t="inlineStr"/>
    </row>
    <row r="366" ht="15" customHeight="1">
      <c r="A366" t="inlineStr">
        <is>
          <t>A 1273-2023</t>
        </is>
      </c>
      <c r="B366" s="1" t="n">
        <v>44936</v>
      </c>
      <c r="C366" s="1" t="n">
        <v>45924</v>
      </c>
      <c r="D366" t="inlineStr">
        <is>
          <t>GOTLANDS LÄN</t>
        </is>
      </c>
      <c r="E366" t="inlineStr">
        <is>
          <t>GOTLAND</t>
        </is>
      </c>
      <c r="G366" t="n">
        <v>4.5</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45924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39278-2025</t>
        </is>
      </c>
      <c r="B368" s="1" t="n">
        <v>45889</v>
      </c>
      <c r="C368" s="1" t="n">
        <v>45924</v>
      </c>
      <c r="D368" t="inlineStr">
        <is>
          <t>GOTLANDS LÄN</t>
        </is>
      </c>
      <c r="E368" t="inlineStr">
        <is>
          <t>GOTLAND</t>
        </is>
      </c>
      <c r="G368" t="n">
        <v>3.7</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45924</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39849-2025</t>
        </is>
      </c>
      <c r="B370" s="1" t="n">
        <v>45891.58502314815</v>
      </c>
      <c r="C370" s="1" t="n">
        <v>45924</v>
      </c>
      <c r="D370" t="inlineStr">
        <is>
          <t>GOTLANDS LÄN</t>
        </is>
      </c>
      <c r="E370" t="inlineStr">
        <is>
          <t>GOTLAND</t>
        </is>
      </c>
      <c r="G370" t="n">
        <v>6.1</v>
      </c>
      <c r="H370" t="n">
        <v>0</v>
      </c>
      <c r="I370" t="n">
        <v>0</v>
      </c>
      <c r="J370" t="n">
        <v>0</v>
      </c>
      <c r="K370" t="n">
        <v>0</v>
      </c>
      <c r="L370" t="n">
        <v>0</v>
      </c>
      <c r="M370" t="n">
        <v>0</v>
      </c>
      <c r="N370" t="n">
        <v>0</v>
      </c>
      <c r="O370" t="n">
        <v>0</v>
      </c>
      <c r="P370" t="n">
        <v>0</v>
      </c>
      <c r="Q370" t="n">
        <v>0</v>
      </c>
      <c r="R370" s="2" t="inlineStr"/>
    </row>
    <row r="371" ht="15" customHeight="1">
      <c r="A371" t="inlineStr">
        <is>
          <t>A 17724-2024</t>
        </is>
      </c>
      <c r="B371" s="1" t="n">
        <v>45418.55096064815</v>
      </c>
      <c r="C371" s="1" t="n">
        <v>45924</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23978-2023</t>
        </is>
      </c>
      <c r="B372" s="1" t="n">
        <v>45078</v>
      </c>
      <c r="C372" s="1" t="n">
        <v>45924</v>
      </c>
      <c r="D372" t="inlineStr">
        <is>
          <t>GOTLANDS LÄN</t>
        </is>
      </c>
      <c r="E372" t="inlineStr">
        <is>
          <t>GOTLAND</t>
        </is>
      </c>
      <c r="F372" t="inlineStr">
        <is>
          <t>Naturvårdsverket</t>
        </is>
      </c>
      <c r="G372" t="n">
        <v>1.7</v>
      </c>
      <c r="H372" t="n">
        <v>0</v>
      </c>
      <c r="I372" t="n">
        <v>0</v>
      </c>
      <c r="J372" t="n">
        <v>0</v>
      </c>
      <c r="K372" t="n">
        <v>0</v>
      </c>
      <c r="L372" t="n">
        <v>0</v>
      </c>
      <c r="M372" t="n">
        <v>0</v>
      </c>
      <c r="N372" t="n">
        <v>0</v>
      </c>
      <c r="O372" t="n">
        <v>0</v>
      </c>
      <c r="P372" t="n">
        <v>0</v>
      </c>
      <c r="Q372" t="n">
        <v>0</v>
      </c>
      <c r="R372" s="2" t="inlineStr"/>
    </row>
    <row r="373" ht="15" customHeight="1">
      <c r="A373" t="inlineStr">
        <is>
          <t>A 49884-2023</t>
        </is>
      </c>
      <c r="B373" s="1" t="n">
        <v>45213</v>
      </c>
      <c r="C373" s="1" t="n">
        <v>45924</v>
      </c>
      <c r="D373" t="inlineStr">
        <is>
          <t>GOTLANDS LÄN</t>
        </is>
      </c>
      <c r="E373" t="inlineStr">
        <is>
          <t>GOTLAND</t>
        </is>
      </c>
      <c r="G373" t="n">
        <v>8.9</v>
      </c>
      <c r="H373" t="n">
        <v>0</v>
      </c>
      <c r="I373" t="n">
        <v>0</v>
      </c>
      <c r="J373" t="n">
        <v>0</v>
      </c>
      <c r="K373" t="n">
        <v>0</v>
      </c>
      <c r="L373" t="n">
        <v>0</v>
      </c>
      <c r="M373" t="n">
        <v>0</v>
      </c>
      <c r="N373" t="n">
        <v>0</v>
      </c>
      <c r="O373" t="n">
        <v>0</v>
      </c>
      <c r="P373" t="n">
        <v>0</v>
      </c>
      <c r="Q373" t="n">
        <v>0</v>
      </c>
      <c r="R373" s="2" t="inlineStr"/>
    </row>
    <row r="374" ht="15" customHeight="1">
      <c r="A374" t="inlineStr">
        <is>
          <t>A 12846-2025</t>
        </is>
      </c>
      <c r="B374" s="1" t="n">
        <v>45733.65049768519</v>
      </c>
      <c r="C374" s="1" t="n">
        <v>45924</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45924</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15413-2025</t>
        </is>
      </c>
      <c r="B376" s="1" t="n">
        <v>45747.451875</v>
      </c>
      <c r="C376" s="1" t="n">
        <v>45924</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1477-2024</t>
        </is>
      </c>
      <c r="B377" s="1" t="n">
        <v>45305.37987268518</v>
      </c>
      <c r="C377" s="1" t="n">
        <v>45924</v>
      </c>
      <c r="D377" t="inlineStr">
        <is>
          <t>GOTLANDS LÄN</t>
        </is>
      </c>
      <c r="E377" t="inlineStr">
        <is>
          <t>GOTLAND</t>
        </is>
      </c>
      <c r="G377" t="n">
        <v>6.9</v>
      </c>
      <c r="H377" t="n">
        <v>0</v>
      </c>
      <c r="I377" t="n">
        <v>0</v>
      </c>
      <c r="J377" t="n">
        <v>0</v>
      </c>
      <c r="K377" t="n">
        <v>0</v>
      </c>
      <c r="L377" t="n">
        <v>0</v>
      </c>
      <c r="M377" t="n">
        <v>0</v>
      </c>
      <c r="N377" t="n">
        <v>0</v>
      </c>
      <c r="O377" t="n">
        <v>0</v>
      </c>
      <c r="P377" t="n">
        <v>0</v>
      </c>
      <c r="Q377" t="n">
        <v>0</v>
      </c>
      <c r="R377" s="2" t="inlineStr"/>
    </row>
    <row r="378" ht="15" customHeight="1">
      <c r="A378" t="inlineStr">
        <is>
          <t>A 3935-2025</t>
        </is>
      </c>
      <c r="B378" s="1" t="n">
        <v>45684.46070601852</v>
      </c>
      <c r="C378" s="1" t="n">
        <v>45924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39819-2025</t>
        </is>
      </c>
      <c r="B379" s="1" t="n">
        <v>45891.53418981482</v>
      </c>
      <c r="C379" s="1" t="n">
        <v>45924</v>
      </c>
      <c r="D379" t="inlineStr">
        <is>
          <t>GOTLANDS LÄN</t>
        </is>
      </c>
      <c r="E379" t="inlineStr">
        <is>
          <t>GOTLAND</t>
        </is>
      </c>
      <c r="G379" t="n">
        <v>3.1</v>
      </c>
      <c r="H379" t="n">
        <v>0</v>
      </c>
      <c r="I379" t="n">
        <v>0</v>
      </c>
      <c r="J379" t="n">
        <v>0</v>
      </c>
      <c r="K379" t="n">
        <v>0</v>
      </c>
      <c r="L379" t="n">
        <v>0</v>
      </c>
      <c r="M379" t="n">
        <v>0</v>
      </c>
      <c r="N379" t="n">
        <v>0</v>
      </c>
      <c r="O379" t="n">
        <v>0</v>
      </c>
      <c r="P379" t="n">
        <v>0</v>
      </c>
      <c r="Q379" t="n">
        <v>0</v>
      </c>
      <c r="R379" s="2" t="inlineStr"/>
    </row>
    <row r="380" ht="15" customHeight="1">
      <c r="A380" t="inlineStr">
        <is>
          <t>A 64660-2023</t>
        </is>
      </c>
      <c r="B380" s="1" t="n">
        <v>45281.60122685185</v>
      </c>
      <c r="C380" s="1" t="n">
        <v>45924</v>
      </c>
      <c r="D380" t="inlineStr">
        <is>
          <t>GOTLANDS LÄN</t>
        </is>
      </c>
      <c r="E380" t="inlineStr">
        <is>
          <t>GOTLAND</t>
        </is>
      </c>
      <c r="G380" t="n">
        <v>6.3</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45924</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39752-2025</t>
        </is>
      </c>
      <c r="B382" s="1" t="n">
        <v>45891</v>
      </c>
      <c r="C382" s="1" t="n">
        <v>45924</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21792-2024</t>
        </is>
      </c>
      <c r="B383" s="1" t="n">
        <v>45442.64326388889</v>
      </c>
      <c r="C383" s="1" t="n">
        <v>45924</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35123-2025</t>
        </is>
      </c>
      <c r="B384" s="1" t="n">
        <v>45852.614375</v>
      </c>
      <c r="C384" s="1" t="n">
        <v>45924</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35142-2025</t>
        </is>
      </c>
      <c r="B385" s="1" t="n">
        <v>45852.65532407408</v>
      </c>
      <c r="C385" s="1" t="n">
        <v>45924</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35141-2025</t>
        </is>
      </c>
      <c r="B386" s="1" t="n">
        <v>45852.65206018519</v>
      </c>
      <c r="C386" s="1" t="n">
        <v>45924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45924</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40373-2025</t>
        </is>
      </c>
      <c r="B388" s="1" t="n">
        <v>45895.51821759259</v>
      </c>
      <c r="C388" s="1" t="n">
        <v>45924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40103-2025</t>
        </is>
      </c>
      <c r="B389" s="1" t="n">
        <v>45894.4880324074</v>
      </c>
      <c r="C389" s="1" t="n">
        <v>45924</v>
      </c>
      <c r="D389" t="inlineStr">
        <is>
          <t>GOTLANDS LÄN</t>
        </is>
      </c>
      <c r="E389" t="inlineStr">
        <is>
          <t>GOTLAND</t>
        </is>
      </c>
      <c r="G389" t="n">
        <v>0.9</v>
      </c>
      <c r="H389" t="n">
        <v>0</v>
      </c>
      <c r="I389" t="n">
        <v>0</v>
      </c>
      <c r="J389" t="n">
        <v>0</v>
      </c>
      <c r="K389" t="n">
        <v>0</v>
      </c>
      <c r="L389" t="n">
        <v>0</v>
      </c>
      <c r="M389" t="n">
        <v>0</v>
      </c>
      <c r="N389" t="n">
        <v>0</v>
      </c>
      <c r="O389" t="n">
        <v>0</v>
      </c>
      <c r="P389" t="n">
        <v>0</v>
      </c>
      <c r="Q389" t="n">
        <v>0</v>
      </c>
      <c r="R389" s="2" t="inlineStr"/>
    </row>
    <row r="390" ht="15" customHeight="1">
      <c r="A390" t="inlineStr">
        <is>
          <t>A 39816-2025</t>
        </is>
      </c>
      <c r="B390" s="1" t="n">
        <v>45891</v>
      </c>
      <c r="C390" s="1" t="n">
        <v>45924</v>
      </c>
      <c r="D390" t="inlineStr">
        <is>
          <t>GOTLANDS LÄN</t>
        </is>
      </c>
      <c r="E390" t="inlineStr">
        <is>
          <t>GOTLAND</t>
        </is>
      </c>
      <c r="G390" t="n">
        <v>0.9</v>
      </c>
      <c r="H390" t="n">
        <v>0</v>
      </c>
      <c r="I390" t="n">
        <v>0</v>
      </c>
      <c r="J390" t="n">
        <v>0</v>
      </c>
      <c r="K390" t="n">
        <v>0</v>
      </c>
      <c r="L390" t="n">
        <v>0</v>
      </c>
      <c r="M390" t="n">
        <v>0</v>
      </c>
      <c r="N390" t="n">
        <v>0</v>
      </c>
      <c r="O390" t="n">
        <v>0</v>
      </c>
      <c r="P390" t="n">
        <v>0</v>
      </c>
      <c r="Q390" t="n">
        <v>0</v>
      </c>
      <c r="R390" s="2" t="inlineStr"/>
    </row>
    <row r="391" ht="15" customHeight="1">
      <c r="A391" t="inlineStr">
        <is>
          <t>A 35290-2025</t>
        </is>
      </c>
      <c r="B391" s="1" t="n">
        <v>45854.38502314815</v>
      </c>
      <c r="C391" s="1" t="n">
        <v>45924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30104-2025</t>
        </is>
      </c>
      <c r="B392" s="1" t="n">
        <v>45826.68806712963</v>
      </c>
      <c r="C392" s="1" t="n">
        <v>45924</v>
      </c>
      <c r="D392" t="inlineStr">
        <is>
          <t>GOTLANDS LÄN</t>
        </is>
      </c>
      <c r="E392" t="inlineStr">
        <is>
          <t>GOTLAND</t>
        </is>
      </c>
      <c r="G392" t="n">
        <v>15.4</v>
      </c>
      <c r="H392" t="n">
        <v>0</v>
      </c>
      <c r="I392" t="n">
        <v>0</v>
      </c>
      <c r="J392" t="n">
        <v>0</v>
      </c>
      <c r="K392" t="n">
        <v>0</v>
      </c>
      <c r="L392" t="n">
        <v>0</v>
      </c>
      <c r="M392" t="n">
        <v>0</v>
      </c>
      <c r="N392" t="n">
        <v>0</v>
      </c>
      <c r="O392" t="n">
        <v>0</v>
      </c>
      <c r="P392" t="n">
        <v>0</v>
      </c>
      <c r="Q392" t="n">
        <v>0</v>
      </c>
      <c r="R392" s="2" t="inlineStr"/>
    </row>
    <row r="393" ht="15" customHeight="1">
      <c r="A393" t="inlineStr">
        <is>
          <t>A 20855-2023</t>
        </is>
      </c>
      <c r="B393" s="1" t="n">
        <v>45058.82172453704</v>
      </c>
      <c r="C393" s="1" t="n">
        <v>45924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40499-2025</t>
        </is>
      </c>
      <c r="B394" s="1" t="n">
        <v>45896.32517361111</v>
      </c>
      <c r="C394" s="1" t="n">
        <v>45924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32669-2024</t>
        </is>
      </c>
      <c r="B395" s="1" t="n">
        <v>45514</v>
      </c>
      <c r="C395" s="1" t="n">
        <v>45924</v>
      </c>
      <c r="D395" t="inlineStr">
        <is>
          <t>GOTLANDS LÄN</t>
        </is>
      </c>
      <c r="E395" t="inlineStr">
        <is>
          <t>GOTLAND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48843-2024</t>
        </is>
      </c>
      <c r="B396" s="1" t="n">
        <v>45593</v>
      </c>
      <c r="C396" s="1" t="n">
        <v>45924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41551-2025</t>
        </is>
      </c>
      <c r="B397" s="1" t="n">
        <v>45901.58854166666</v>
      </c>
      <c r="C397" s="1" t="n">
        <v>45924</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35550-2025</t>
        </is>
      </c>
      <c r="B398" s="1" t="n">
        <v>45856.49324074074</v>
      </c>
      <c r="C398" s="1" t="n">
        <v>45924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45924</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1000-2024</t>
        </is>
      </c>
      <c r="B400" s="1" t="n">
        <v>45301.63371527778</v>
      </c>
      <c r="C400" s="1" t="n">
        <v>45924</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1010-2024</t>
        </is>
      </c>
      <c r="B401" s="1" t="n">
        <v>45301</v>
      </c>
      <c r="C401" s="1" t="n">
        <v>45924</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45924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40235-2025</t>
        </is>
      </c>
      <c r="B403" s="1" t="n">
        <v>45894.74005787037</v>
      </c>
      <c r="C403" s="1" t="n">
        <v>45924</v>
      </c>
      <c r="D403" t="inlineStr">
        <is>
          <t>GOTLANDS LÄN</t>
        </is>
      </c>
      <c r="E403" t="inlineStr">
        <is>
          <t>GOTLAND</t>
        </is>
      </c>
      <c r="G403" t="n">
        <v>10.6</v>
      </c>
      <c r="H403" t="n">
        <v>0</v>
      </c>
      <c r="I403" t="n">
        <v>0</v>
      </c>
      <c r="J403" t="n">
        <v>0</v>
      </c>
      <c r="K403" t="n">
        <v>0</v>
      </c>
      <c r="L403" t="n">
        <v>0</v>
      </c>
      <c r="M403" t="n">
        <v>0</v>
      </c>
      <c r="N403" t="n">
        <v>0</v>
      </c>
      <c r="O403" t="n">
        <v>0</v>
      </c>
      <c r="P403" t="n">
        <v>0</v>
      </c>
      <c r="Q403" t="n">
        <v>0</v>
      </c>
      <c r="R403" s="2" t="inlineStr"/>
    </row>
    <row r="404" ht="15" customHeight="1">
      <c r="A404" t="inlineStr">
        <is>
          <t>A 30956-2024</t>
        </is>
      </c>
      <c r="B404" s="1" t="n">
        <v>45499.42527777778</v>
      </c>
      <c r="C404" s="1" t="n">
        <v>45924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45924</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41435-2025</t>
        </is>
      </c>
      <c r="B406" s="1" t="n">
        <v>45901.39974537037</v>
      </c>
      <c r="C406" s="1" t="n">
        <v>45924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45924</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12596-2023</t>
        </is>
      </c>
      <c r="B408" s="1" t="n">
        <v>45000.43310185185</v>
      </c>
      <c r="C408" s="1" t="n">
        <v>45924</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45924</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35512-2023</t>
        </is>
      </c>
      <c r="B410" s="1" t="n">
        <v>45147.25623842593</v>
      </c>
      <c r="C410" s="1" t="n">
        <v>45924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11874-2024</t>
        </is>
      </c>
      <c r="B411" s="1" t="n">
        <v>45376.46956018519</v>
      </c>
      <c r="C411" s="1" t="n">
        <v>45924</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42608-2025</t>
        </is>
      </c>
      <c r="B412" s="1" t="n">
        <v>45905</v>
      </c>
      <c r="C412" s="1" t="n">
        <v>45924</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45924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45924</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45924</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20225-2025</t>
        </is>
      </c>
      <c r="B416" s="1" t="n">
        <v>45772.65802083333</v>
      </c>
      <c r="C416" s="1" t="n">
        <v>45924</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45924</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45924</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1677-2023</t>
        </is>
      </c>
      <c r="B419" s="1" t="n">
        <v>44938</v>
      </c>
      <c r="C419" s="1" t="n">
        <v>45924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45924</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45924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30488-2025</t>
        </is>
      </c>
      <c r="B422" s="1" t="n">
        <v>45830</v>
      </c>
      <c r="C422" s="1" t="n">
        <v>45924</v>
      </c>
      <c r="D422" t="inlineStr">
        <is>
          <t>GOTLANDS LÄN</t>
        </is>
      </c>
      <c r="E422" t="inlineStr">
        <is>
          <t>GOTLAND</t>
        </is>
      </c>
      <c r="F422" t="inlineStr">
        <is>
          <t>Kyrkan</t>
        </is>
      </c>
      <c r="G422" t="n">
        <v>3.9</v>
      </c>
      <c r="H422" t="n">
        <v>0</v>
      </c>
      <c r="I422" t="n">
        <v>0</v>
      </c>
      <c r="J422" t="n">
        <v>0</v>
      </c>
      <c r="K422" t="n">
        <v>0</v>
      </c>
      <c r="L422" t="n">
        <v>0</v>
      </c>
      <c r="M422" t="n">
        <v>0</v>
      </c>
      <c r="N422" t="n">
        <v>0</v>
      </c>
      <c r="O422" t="n">
        <v>0</v>
      </c>
      <c r="P422" t="n">
        <v>0</v>
      </c>
      <c r="Q422" t="n">
        <v>0</v>
      </c>
      <c r="R422" s="2" t="inlineStr"/>
    </row>
    <row r="423" ht="15" customHeight="1">
      <c r="A423" t="inlineStr">
        <is>
          <t>A 15216-2025</t>
        </is>
      </c>
      <c r="B423" s="1" t="n">
        <v>45744</v>
      </c>
      <c r="C423" s="1" t="n">
        <v>45924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64831-2023</t>
        </is>
      </c>
      <c r="B424" s="1" t="n">
        <v>45282.44924768519</v>
      </c>
      <c r="C424" s="1" t="n">
        <v>45924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15001-2025</t>
        </is>
      </c>
      <c r="B425" s="1" t="n">
        <v>45743</v>
      </c>
      <c r="C425" s="1" t="n">
        <v>45924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43790-2024</t>
        </is>
      </c>
      <c r="B426" s="1" t="n">
        <v>45571</v>
      </c>
      <c r="C426" s="1" t="n">
        <v>45924</v>
      </c>
      <c r="D426" t="inlineStr">
        <is>
          <t>GOTLANDS LÄN</t>
        </is>
      </c>
      <c r="E426" t="inlineStr">
        <is>
          <t>GOTLAND</t>
        </is>
      </c>
      <c r="G426" t="n">
        <v>3.5</v>
      </c>
      <c r="H426" t="n">
        <v>0</v>
      </c>
      <c r="I426" t="n">
        <v>0</v>
      </c>
      <c r="J426" t="n">
        <v>0</v>
      </c>
      <c r="K426" t="n">
        <v>0</v>
      </c>
      <c r="L426" t="n">
        <v>0</v>
      </c>
      <c r="M426" t="n">
        <v>0</v>
      </c>
      <c r="N426" t="n">
        <v>0</v>
      </c>
      <c r="O426" t="n">
        <v>0</v>
      </c>
      <c r="P426" t="n">
        <v>0</v>
      </c>
      <c r="Q426" t="n">
        <v>0</v>
      </c>
      <c r="R426" s="2" t="inlineStr"/>
    </row>
    <row r="427" ht="15" customHeight="1">
      <c r="A427" t="inlineStr">
        <is>
          <t>A 55334-2024</t>
        </is>
      </c>
      <c r="B427" s="1" t="n">
        <v>45621</v>
      </c>
      <c r="C427" s="1" t="n">
        <v>45924</v>
      </c>
      <c r="D427" t="inlineStr">
        <is>
          <t>GOTLANDS LÄN</t>
        </is>
      </c>
      <c r="E427" t="inlineStr">
        <is>
          <t>GOTLAND</t>
        </is>
      </c>
      <c r="G427" t="n">
        <v>21.7</v>
      </c>
      <c r="H427" t="n">
        <v>0</v>
      </c>
      <c r="I427" t="n">
        <v>0</v>
      </c>
      <c r="J427" t="n">
        <v>0</v>
      </c>
      <c r="K427" t="n">
        <v>0</v>
      </c>
      <c r="L427" t="n">
        <v>0</v>
      </c>
      <c r="M427" t="n">
        <v>0</v>
      </c>
      <c r="N427" t="n">
        <v>0</v>
      </c>
      <c r="O427" t="n">
        <v>0</v>
      </c>
      <c r="P427" t="n">
        <v>0</v>
      </c>
      <c r="Q427" t="n">
        <v>0</v>
      </c>
      <c r="R427" s="2" t="inlineStr"/>
    </row>
    <row r="428" ht="15" customHeight="1">
      <c r="A428" t="inlineStr">
        <is>
          <t>A 17847-2025</t>
        </is>
      </c>
      <c r="B428" s="1" t="n">
        <v>45758</v>
      </c>
      <c r="C428" s="1" t="n">
        <v>45924</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36319-2025</t>
        </is>
      </c>
      <c r="B429" s="1" t="n">
        <v>45868</v>
      </c>
      <c r="C429" s="1" t="n">
        <v>45924</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45924</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30282-2022</t>
        </is>
      </c>
      <c r="B431" s="1" t="n">
        <v>44760</v>
      </c>
      <c r="C431" s="1" t="n">
        <v>45924</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42607-2025</t>
        </is>
      </c>
      <c r="B432" s="1" t="n">
        <v>45905</v>
      </c>
      <c r="C432" s="1" t="n">
        <v>45924</v>
      </c>
      <c r="D432" t="inlineStr">
        <is>
          <t>GOTLANDS LÄN</t>
        </is>
      </c>
      <c r="E432" t="inlineStr">
        <is>
          <t>GOTLAND</t>
        </is>
      </c>
      <c r="G432" t="n">
        <v>15.8</v>
      </c>
      <c r="H432" t="n">
        <v>0</v>
      </c>
      <c r="I432" t="n">
        <v>0</v>
      </c>
      <c r="J432" t="n">
        <v>0</v>
      </c>
      <c r="K432" t="n">
        <v>0</v>
      </c>
      <c r="L432" t="n">
        <v>0</v>
      </c>
      <c r="M432" t="n">
        <v>0</v>
      </c>
      <c r="N432" t="n">
        <v>0</v>
      </c>
      <c r="O432" t="n">
        <v>0</v>
      </c>
      <c r="P432" t="n">
        <v>0</v>
      </c>
      <c r="Q432" t="n">
        <v>0</v>
      </c>
      <c r="R432" s="2" t="inlineStr"/>
    </row>
    <row r="433" ht="15" customHeight="1">
      <c r="A433" t="inlineStr">
        <is>
          <t>A 18742-2025</t>
        </is>
      </c>
      <c r="B433" s="1" t="n">
        <v>45763</v>
      </c>
      <c r="C433" s="1" t="n">
        <v>45924</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7835-2024</t>
        </is>
      </c>
      <c r="B434" s="1" t="n">
        <v>45349.83138888889</v>
      </c>
      <c r="C434" s="1" t="n">
        <v>45924</v>
      </c>
      <c r="D434" t="inlineStr">
        <is>
          <t>GOTLANDS LÄN</t>
        </is>
      </c>
      <c r="E434" t="inlineStr">
        <is>
          <t>GOTLAND</t>
        </is>
      </c>
      <c r="G434" t="n">
        <v>3.8</v>
      </c>
      <c r="H434" t="n">
        <v>0</v>
      </c>
      <c r="I434" t="n">
        <v>0</v>
      </c>
      <c r="J434" t="n">
        <v>0</v>
      </c>
      <c r="K434" t="n">
        <v>0</v>
      </c>
      <c r="L434" t="n">
        <v>0</v>
      </c>
      <c r="M434" t="n">
        <v>0</v>
      </c>
      <c r="N434" t="n">
        <v>0</v>
      </c>
      <c r="O434" t="n">
        <v>0</v>
      </c>
      <c r="P434" t="n">
        <v>0</v>
      </c>
      <c r="Q434" t="n">
        <v>0</v>
      </c>
      <c r="R434" s="2" t="inlineStr"/>
    </row>
    <row r="435" ht="15" customHeight="1">
      <c r="A435" t="inlineStr">
        <is>
          <t>A 35129-2025</t>
        </is>
      </c>
      <c r="B435" s="1" t="n">
        <v>45852.63224537037</v>
      </c>
      <c r="C435" s="1" t="n">
        <v>45924</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8036-2022</t>
        </is>
      </c>
      <c r="B436" s="1" t="n">
        <v>44609.44362268518</v>
      </c>
      <c r="C436" s="1" t="n">
        <v>45924</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46375-2024</t>
        </is>
      </c>
      <c r="B437" s="1" t="n">
        <v>45582</v>
      </c>
      <c r="C437" s="1" t="n">
        <v>45924</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45924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43951-2025</t>
        </is>
      </c>
      <c r="B439" s="1" t="n">
        <v>45915.38119212963</v>
      </c>
      <c r="C439" s="1" t="n">
        <v>45924</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7638-2025</t>
        </is>
      </c>
      <c r="B440" s="1" t="n">
        <v>45705.77306712963</v>
      </c>
      <c r="C440" s="1" t="n">
        <v>45924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10650-2022</t>
        </is>
      </c>
      <c r="B441" s="1" t="n">
        <v>44624.57945601852</v>
      </c>
      <c r="C441" s="1" t="n">
        <v>45924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43911-2025</t>
        </is>
      </c>
      <c r="B442" s="1" t="n">
        <v>45914.3881712963</v>
      </c>
      <c r="C442" s="1" t="n">
        <v>45924</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44349.55087962963</v>
      </c>
      <c r="C443" s="1" t="n">
        <v>45924</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4377-2023</t>
        </is>
      </c>
      <c r="B444" s="1" t="n">
        <v>44955.5502662037</v>
      </c>
      <c r="C444" s="1" t="n">
        <v>45924</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44405-2025</t>
        </is>
      </c>
      <c r="B445" s="1" t="n">
        <v>45916.52405092592</v>
      </c>
      <c r="C445" s="1" t="n">
        <v>45924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28425-2023</t>
        </is>
      </c>
      <c r="B446" s="1" t="n">
        <v>45102</v>
      </c>
      <c r="C446" s="1" t="n">
        <v>45924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45924</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17532-2024</t>
        </is>
      </c>
      <c r="B448" s="1" t="n">
        <v>45415</v>
      </c>
      <c r="C448" s="1" t="n">
        <v>45924</v>
      </c>
      <c r="D448" t="inlineStr">
        <is>
          <t>GOTLANDS LÄN</t>
        </is>
      </c>
      <c r="E448" t="inlineStr">
        <is>
          <t>GOTLAND</t>
        </is>
      </c>
      <c r="G448" t="n">
        <v>4.3</v>
      </c>
      <c r="H448" t="n">
        <v>0</v>
      </c>
      <c r="I448" t="n">
        <v>0</v>
      </c>
      <c r="J448" t="n">
        <v>0</v>
      </c>
      <c r="K448" t="n">
        <v>0</v>
      </c>
      <c r="L448" t="n">
        <v>0</v>
      </c>
      <c r="M448" t="n">
        <v>0</v>
      </c>
      <c r="N448" t="n">
        <v>0</v>
      </c>
      <c r="O448" t="n">
        <v>0</v>
      </c>
      <c r="P448" t="n">
        <v>0</v>
      </c>
      <c r="Q448" t="n">
        <v>0</v>
      </c>
      <c r="R448" s="2" t="inlineStr"/>
    </row>
    <row r="449" ht="15" customHeight="1">
      <c r="A449" t="inlineStr">
        <is>
          <t>A 45692-2023</t>
        </is>
      </c>
      <c r="B449" s="1" t="n">
        <v>45195</v>
      </c>
      <c r="C449" s="1" t="n">
        <v>45924</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45924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13037-2025</t>
        </is>
      </c>
      <c r="B451" s="1" t="n">
        <v>45734</v>
      </c>
      <c r="C451" s="1" t="n">
        <v>45924</v>
      </c>
      <c r="D451" t="inlineStr">
        <is>
          <t>GOTLANDS LÄN</t>
        </is>
      </c>
      <c r="E451" t="inlineStr">
        <is>
          <t>GOTLAND</t>
        </is>
      </c>
      <c r="G451" t="n">
        <v>9.5</v>
      </c>
      <c r="H451" t="n">
        <v>0</v>
      </c>
      <c r="I451" t="n">
        <v>0</v>
      </c>
      <c r="J451" t="n">
        <v>0</v>
      </c>
      <c r="K451" t="n">
        <v>0</v>
      </c>
      <c r="L451" t="n">
        <v>0</v>
      </c>
      <c r="M451" t="n">
        <v>0</v>
      </c>
      <c r="N451" t="n">
        <v>0</v>
      </c>
      <c r="O451" t="n">
        <v>0</v>
      </c>
      <c r="P451" t="n">
        <v>0</v>
      </c>
      <c r="Q451" t="n">
        <v>0</v>
      </c>
      <c r="R451" s="2" t="inlineStr"/>
    </row>
    <row r="452" ht="15" customHeight="1">
      <c r="A452" t="inlineStr">
        <is>
          <t>A 44410-2025</t>
        </is>
      </c>
      <c r="B452" s="1" t="n">
        <v>45916.53699074074</v>
      </c>
      <c r="C452" s="1" t="n">
        <v>45924</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46396-2023</t>
        </is>
      </c>
      <c r="B453" s="1" t="n">
        <v>45197</v>
      </c>
      <c r="C453" s="1" t="n">
        <v>45924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58388-2022</t>
        </is>
      </c>
      <c r="B454" s="1" t="n">
        <v>44894</v>
      </c>
      <c r="C454" s="1" t="n">
        <v>45924</v>
      </c>
      <c r="D454" t="inlineStr">
        <is>
          <t>GOTLANDS LÄN</t>
        </is>
      </c>
      <c r="E454" t="inlineStr">
        <is>
          <t>GOTLAND</t>
        </is>
      </c>
      <c r="F454" t="inlineStr">
        <is>
          <t>Övriga statliga verk och myndigheter</t>
        </is>
      </c>
      <c r="G454" t="n">
        <v>3.1</v>
      </c>
      <c r="H454" t="n">
        <v>0</v>
      </c>
      <c r="I454" t="n">
        <v>0</v>
      </c>
      <c r="J454" t="n">
        <v>0</v>
      </c>
      <c r="K454" t="n">
        <v>0</v>
      </c>
      <c r="L454" t="n">
        <v>0</v>
      </c>
      <c r="M454" t="n">
        <v>0</v>
      </c>
      <c r="N454" t="n">
        <v>0</v>
      </c>
      <c r="O454" t="n">
        <v>0</v>
      </c>
      <c r="P454" t="n">
        <v>0</v>
      </c>
      <c r="Q454" t="n">
        <v>0</v>
      </c>
      <c r="R454" s="2" t="inlineStr"/>
    </row>
    <row r="455" ht="15" customHeight="1">
      <c r="A455" t="inlineStr">
        <is>
          <t>A 10158-2025</t>
        </is>
      </c>
      <c r="B455" s="1" t="n">
        <v>45719</v>
      </c>
      <c r="C455" s="1" t="n">
        <v>45924</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10746-2025</t>
        </is>
      </c>
      <c r="B456" s="1" t="n">
        <v>45722.42766203704</v>
      </c>
      <c r="C456" s="1" t="n">
        <v>45924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45924</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21142-2025</t>
        </is>
      </c>
      <c r="B458" s="1" t="n">
        <v>45779</v>
      </c>
      <c r="C458" s="1" t="n">
        <v>45924</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6108-2025</t>
        </is>
      </c>
      <c r="B459" s="1" t="n">
        <v>45698.29880787037</v>
      </c>
      <c r="C459" s="1" t="n">
        <v>45924</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45536-2025</t>
        </is>
      </c>
      <c r="B460" s="1" t="n">
        <v>45922</v>
      </c>
      <c r="C460" s="1" t="n">
        <v>45924</v>
      </c>
      <c r="D460" t="inlineStr">
        <is>
          <t>GOTLANDS LÄN</t>
        </is>
      </c>
      <c r="E460" t="inlineStr">
        <is>
          <t>GOTLAND</t>
        </is>
      </c>
      <c r="G460" t="n">
        <v>10.4</v>
      </c>
      <c r="H460" t="n">
        <v>0</v>
      </c>
      <c r="I460" t="n">
        <v>0</v>
      </c>
      <c r="J460" t="n">
        <v>0</v>
      </c>
      <c r="K460" t="n">
        <v>0</v>
      </c>
      <c r="L460" t="n">
        <v>0</v>
      </c>
      <c r="M460" t="n">
        <v>0</v>
      </c>
      <c r="N460" t="n">
        <v>0</v>
      </c>
      <c r="O460" t="n">
        <v>0</v>
      </c>
      <c r="P460" t="n">
        <v>0</v>
      </c>
      <c r="Q460" t="n">
        <v>0</v>
      </c>
      <c r="R460" s="2" t="inlineStr"/>
    </row>
    <row r="461" ht="15" customHeight="1">
      <c r="A461" t="inlineStr">
        <is>
          <t>A 17343-2025</t>
        </is>
      </c>
      <c r="B461" s="1" t="n">
        <v>45756.6687037037</v>
      </c>
      <c r="C461" s="1" t="n">
        <v>45924</v>
      </c>
      <c r="D461" t="inlineStr">
        <is>
          <t>GOTLANDS LÄN</t>
        </is>
      </c>
      <c r="E461" t="inlineStr">
        <is>
          <t>GOTLAND</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43229-2023</t>
        </is>
      </c>
      <c r="B462" s="1" t="n">
        <v>45183.46704861111</v>
      </c>
      <c r="C462" s="1" t="n">
        <v>45924</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53934-2024</t>
        </is>
      </c>
      <c r="B463" s="1" t="n">
        <v>45615</v>
      </c>
      <c r="C463" s="1" t="n">
        <v>45924</v>
      </c>
      <c r="D463" t="inlineStr">
        <is>
          <t>GOTLANDS LÄN</t>
        </is>
      </c>
      <c r="E463" t="inlineStr">
        <is>
          <t>GOTLAND</t>
        </is>
      </c>
      <c r="G463" t="n">
        <v>5</v>
      </c>
      <c r="H463" t="n">
        <v>0</v>
      </c>
      <c r="I463" t="n">
        <v>0</v>
      </c>
      <c r="J463" t="n">
        <v>0</v>
      </c>
      <c r="K463" t="n">
        <v>0</v>
      </c>
      <c r="L463" t="n">
        <v>0</v>
      </c>
      <c r="M463" t="n">
        <v>0</v>
      </c>
      <c r="N463" t="n">
        <v>0</v>
      </c>
      <c r="O463" t="n">
        <v>0</v>
      </c>
      <c r="P463" t="n">
        <v>0</v>
      </c>
      <c r="Q463" t="n">
        <v>0</v>
      </c>
      <c r="R463" s="2" t="inlineStr"/>
    </row>
    <row r="464" ht="15" customHeight="1">
      <c r="A464" t="inlineStr">
        <is>
          <t>A 18938-2025</t>
        </is>
      </c>
      <c r="B464" s="1" t="n">
        <v>45764.49172453704</v>
      </c>
      <c r="C464" s="1" t="n">
        <v>45924</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41038-2023</t>
        </is>
      </c>
      <c r="B465" s="1" t="n">
        <v>45173.60959490741</v>
      </c>
      <c r="C465" s="1" t="n">
        <v>45924</v>
      </c>
      <c r="D465" t="inlineStr">
        <is>
          <t>GOTLANDS LÄN</t>
        </is>
      </c>
      <c r="E465" t="inlineStr">
        <is>
          <t>GOTLAND</t>
        </is>
      </c>
      <c r="G465" t="n">
        <v>2.7</v>
      </c>
      <c r="H465" t="n">
        <v>0</v>
      </c>
      <c r="I465" t="n">
        <v>0</v>
      </c>
      <c r="J465" t="n">
        <v>0</v>
      </c>
      <c r="K465" t="n">
        <v>0</v>
      </c>
      <c r="L465" t="n">
        <v>0</v>
      </c>
      <c r="M465" t="n">
        <v>0</v>
      </c>
      <c r="N465" t="n">
        <v>0</v>
      </c>
      <c r="O465" t="n">
        <v>0</v>
      </c>
      <c r="P465" t="n">
        <v>0</v>
      </c>
      <c r="Q465" t="n">
        <v>0</v>
      </c>
      <c r="R465" s="2" t="inlineStr"/>
    </row>
    <row r="466" ht="15" customHeight="1">
      <c r="A466" t="inlineStr">
        <is>
          <t>A 20307-2025</t>
        </is>
      </c>
      <c r="B466" s="1" t="n">
        <v>45774.95546296296</v>
      </c>
      <c r="C466" s="1" t="n">
        <v>45924</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58132-2023</t>
        </is>
      </c>
      <c r="B467" s="1" t="n">
        <v>45250</v>
      </c>
      <c r="C467" s="1" t="n">
        <v>45924</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22899-2023</t>
        </is>
      </c>
      <c r="B468" s="1" t="n">
        <v>45072</v>
      </c>
      <c r="C468" s="1" t="n">
        <v>45924</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28285-2024</t>
        </is>
      </c>
      <c r="B469" s="1" t="n">
        <v>45477</v>
      </c>
      <c r="C469" s="1" t="n">
        <v>45924</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51963-2024</t>
        </is>
      </c>
      <c r="B470" s="1" t="n">
        <v>45607.64833333333</v>
      </c>
      <c r="C470" s="1" t="n">
        <v>45924</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45924</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45924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2674-2023</t>
        </is>
      </c>
      <c r="B473" s="1" t="n">
        <v>44944</v>
      </c>
      <c r="C473" s="1" t="n">
        <v>45924</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14915-2025</t>
        </is>
      </c>
      <c r="B474" s="1" t="n">
        <v>45743.53121527778</v>
      </c>
      <c r="C474" s="1" t="n">
        <v>45924</v>
      </c>
      <c r="D474" t="inlineStr">
        <is>
          <t>GOTLANDS LÄN</t>
        </is>
      </c>
      <c r="E474" t="inlineStr">
        <is>
          <t>GOTLAND</t>
        </is>
      </c>
      <c r="G474" t="n">
        <v>5.9</v>
      </c>
      <c r="H474" t="n">
        <v>0</v>
      </c>
      <c r="I474" t="n">
        <v>0</v>
      </c>
      <c r="J474" t="n">
        <v>0</v>
      </c>
      <c r="K474" t="n">
        <v>0</v>
      </c>
      <c r="L474" t="n">
        <v>0</v>
      </c>
      <c r="M474" t="n">
        <v>0</v>
      </c>
      <c r="N474" t="n">
        <v>0</v>
      </c>
      <c r="O474" t="n">
        <v>0</v>
      </c>
      <c r="P474" t="n">
        <v>0</v>
      </c>
      <c r="Q474" t="n">
        <v>0</v>
      </c>
      <c r="R474" s="2" t="inlineStr"/>
    </row>
    <row r="475" ht="15" customHeight="1">
      <c r="A475" t="inlineStr">
        <is>
          <t>A 61100-2022</t>
        </is>
      </c>
      <c r="B475" s="1" t="n">
        <v>44915</v>
      </c>
      <c r="C475" s="1" t="n">
        <v>45924</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43785-2024</t>
        </is>
      </c>
      <c r="B476" s="1" t="n">
        <v>45570</v>
      </c>
      <c r="C476" s="1" t="n">
        <v>45924</v>
      </c>
      <c r="D476" t="inlineStr">
        <is>
          <t>GOTLANDS LÄN</t>
        </is>
      </c>
      <c r="E476" t="inlineStr">
        <is>
          <t>GOTLAND</t>
        </is>
      </c>
      <c r="G476" t="n">
        <v>12.6</v>
      </c>
      <c r="H476" t="n">
        <v>0</v>
      </c>
      <c r="I476" t="n">
        <v>0</v>
      </c>
      <c r="J476" t="n">
        <v>0</v>
      </c>
      <c r="K476" t="n">
        <v>0</v>
      </c>
      <c r="L476" t="n">
        <v>0</v>
      </c>
      <c r="M476" t="n">
        <v>0</v>
      </c>
      <c r="N476" t="n">
        <v>0</v>
      </c>
      <c r="O476" t="n">
        <v>0</v>
      </c>
      <c r="P476" t="n">
        <v>0</v>
      </c>
      <c r="Q476" t="n">
        <v>0</v>
      </c>
      <c r="R476" s="2" t="inlineStr"/>
    </row>
    <row r="477" ht="15" customHeight="1">
      <c r="A477" t="inlineStr">
        <is>
          <t>A 581-2023</t>
        </is>
      </c>
      <c r="B477" s="1" t="n">
        <v>44930</v>
      </c>
      <c r="C477" s="1" t="n">
        <v>45924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10655-2023</t>
        </is>
      </c>
      <c r="B478" s="1" t="n">
        <v>44988.49543981482</v>
      </c>
      <c r="C478" s="1" t="n">
        <v>45924</v>
      </c>
      <c r="D478" t="inlineStr">
        <is>
          <t>GOTLANDS LÄN</t>
        </is>
      </c>
      <c r="E478" t="inlineStr">
        <is>
          <t>GOTLAND</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44649-2021</t>
        </is>
      </c>
      <c r="B479" s="1" t="n">
        <v>44437</v>
      </c>
      <c r="C479" s="1" t="n">
        <v>45924</v>
      </c>
      <c r="D479" t="inlineStr">
        <is>
          <t>GOTLANDS LÄN</t>
        </is>
      </c>
      <c r="E479" t="inlineStr">
        <is>
          <t>GOTLAND</t>
        </is>
      </c>
      <c r="G479" t="n">
        <v>8.1</v>
      </c>
      <c r="H479" t="n">
        <v>0</v>
      </c>
      <c r="I479" t="n">
        <v>0</v>
      </c>
      <c r="J479" t="n">
        <v>0</v>
      </c>
      <c r="K479" t="n">
        <v>0</v>
      </c>
      <c r="L479" t="n">
        <v>0</v>
      </c>
      <c r="M479" t="n">
        <v>0</v>
      </c>
      <c r="N479" t="n">
        <v>0</v>
      </c>
      <c r="O479" t="n">
        <v>0</v>
      </c>
      <c r="P479" t="n">
        <v>0</v>
      </c>
      <c r="Q479" t="n">
        <v>0</v>
      </c>
      <c r="R479" s="2" t="inlineStr"/>
    </row>
    <row r="480" ht="15" customHeight="1">
      <c r="A480" t="inlineStr">
        <is>
          <t>A 24966-2023</t>
        </is>
      </c>
      <c r="B480" s="1" t="n">
        <v>45085</v>
      </c>
      <c r="C480" s="1" t="n">
        <v>45924</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57652-2023</t>
        </is>
      </c>
      <c r="B481" s="1" t="n">
        <v>45246</v>
      </c>
      <c r="C481" s="1" t="n">
        <v>45924</v>
      </c>
      <c r="D481" t="inlineStr">
        <is>
          <t>GOTLANDS LÄN</t>
        </is>
      </c>
      <c r="E481" t="inlineStr">
        <is>
          <t>GOTLAND</t>
        </is>
      </c>
      <c r="G481" t="n">
        <v>7.2</v>
      </c>
      <c r="H481" t="n">
        <v>0</v>
      </c>
      <c r="I481" t="n">
        <v>0</v>
      </c>
      <c r="J481" t="n">
        <v>0</v>
      </c>
      <c r="K481" t="n">
        <v>0</v>
      </c>
      <c r="L481" t="n">
        <v>0</v>
      </c>
      <c r="M481" t="n">
        <v>0</v>
      </c>
      <c r="N481" t="n">
        <v>0</v>
      </c>
      <c r="O481" t="n">
        <v>0</v>
      </c>
      <c r="P481" t="n">
        <v>0</v>
      </c>
      <c r="Q481" t="n">
        <v>0</v>
      </c>
      <c r="R481" s="2" t="inlineStr"/>
    </row>
    <row r="482" ht="15" customHeight="1">
      <c r="A482" t="inlineStr">
        <is>
          <t>A 8484-2025</t>
        </is>
      </c>
      <c r="B482" s="1" t="n">
        <v>45709</v>
      </c>
      <c r="C482" s="1" t="n">
        <v>45924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46189-2022</t>
        </is>
      </c>
      <c r="B483" s="1" t="n">
        <v>44847</v>
      </c>
      <c r="C483" s="1" t="n">
        <v>45924</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57522-2022</t>
        </is>
      </c>
      <c r="B484" s="1" t="n">
        <v>44896</v>
      </c>
      <c r="C484" s="1" t="n">
        <v>45924</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14797-2024</t>
        </is>
      </c>
      <c r="B485" s="1" t="n">
        <v>45397.87030092593</v>
      </c>
      <c r="C485" s="1" t="n">
        <v>45924</v>
      </c>
      <c r="D485" t="inlineStr">
        <is>
          <t>GOTLANDS LÄN</t>
        </is>
      </c>
      <c r="E485" t="inlineStr">
        <is>
          <t>GOTLAND</t>
        </is>
      </c>
      <c r="G485" t="n">
        <v>8.1</v>
      </c>
      <c r="H485" t="n">
        <v>0</v>
      </c>
      <c r="I485" t="n">
        <v>0</v>
      </c>
      <c r="J485" t="n">
        <v>0</v>
      </c>
      <c r="K485" t="n">
        <v>0</v>
      </c>
      <c r="L485" t="n">
        <v>0</v>
      </c>
      <c r="M485" t="n">
        <v>0</v>
      </c>
      <c r="N485" t="n">
        <v>0</v>
      </c>
      <c r="O485" t="n">
        <v>0</v>
      </c>
      <c r="P485" t="n">
        <v>0</v>
      </c>
      <c r="Q485" t="n">
        <v>0</v>
      </c>
      <c r="R485" s="2" t="inlineStr"/>
    </row>
    <row r="486" ht="15" customHeight="1">
      <c r="A486" t="inlineStr">
        <is>
          <t>A 7837-2024</t>
        </is>
      </c>
      <c r="B486" s="1" t="n">
        <v>45349.83787037037</v>
      </c>
      <c r="C486" s="1" t="n">
        <v>45924</v>
      </c>
      <c r="D486" t="inlineStr">
        <is>
          <t>GOTLANDS LÄN</t>
        </is>
      </c>
      <c r="E486" t="inlineStr">
        <is>
          <t>GOTLAND</t>
        </is>
      </c>
      <c r="G486" t="n">
        <v>5</v>
      </c>
      <c r="H486" t="n">
        <v>0</v>
      </c>
      <c r="I486" t="n">
        <v>0</v>
      </c>
      <c r="J486" t="n">
        <v>0</v>
      </c>
      <c r="K486" t="n">
        <v>0</v>
      </c>
      <c r="L486" t="n">
        <v>0</v>
      </c>
      <c r="M486" t="n">
        <v>0</v>
      </c>
      <c r="N486" t="n">
        <v>0</v>
      </c>
      <c r="O486" t="n">
        <v>0</v>
      </c>
      <c r="P486" t="n">
        <v>0</v>
      </c>
      <c r="Q486" t="n">
        <v>0</v>
      </c>
      <c r="R486" s="2" t="inlineStr"/>
    </row>
    <row r="487" ht="15" customHeight="1">
      <c r="A487" t="inlineStr">
        <is>
          <t>A 49962-2023</t>
        </is>
      </c>
      <c r="B487" s="1" t="n">
        <v>45215.38775462963</v>
      </c>
      <c r="C487" s="1" t="n">
        <v>45924</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1394-2023</t>
        </is>
      </c>
      <c r="B488" s="1" t="n">
        <v>44936.72997685185</v>
      </c>
      <c r="C488" s="1" t="n">
        <v>45924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2676-2023</t>
        </is>
      </c>
      <c r="B489" s="1" t="n">
        <v>44944</v>
      </c>
      <c r="C489" s="1" t="n">
        <v>45924</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4387-2023</t>
        </is>
      </c>
      <c r="B490" s="1" t="n">
        <v>44955.73359953704</v>
      </c>
      <c r="C490" s="1" t="n">
        <v>45924</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50744-2024</t>
        </is>
      </c>
      <c r="B491" s="1" t="n">
        <v>45602.4187037037</v>
      </c>
      <c r="C491" s="1" t="n">
        <v>45924</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49411-2023</t>
        </is>
      </c>
      <c r="B492" s="1" t="n">
        <v>45205</v>
      </c>
      <c r="C492" s="1" t="n">
        <v>45924</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37728-2024</t>
        </is>
      </c>
      <c r="B493" s="1" t="n">
        <v>45541</v>
      </c>
      <c r="C493" s="1" t="n">
        <v>45924</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45244-2024</t>
        </is>
      </c>
      <c r="B494" s="1" t="n">
        <v>45576</v>
      </c>
      <c r="C494" s="1" t="n">
        <v>45924</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2241-2025</t>
        </is>
      </c>
      <c r="B495" s="1" t="n">
        <v>45673.48710648148</v>
      </c>
      <c r="C495" s="1" t="n">
        <v>45924</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16373-2025</t>
        </is>
      </c>
      <c r="B496" s="1" t="n">
        <v>45751</v>
      </c>
      <c r="C496" s="1" t="n">
        <v>45924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45924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45924</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45924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34142-2024</t>
        </is>
      </c>
      <c r="B500" s="1" t="n">
        <v>45524.36521990741</v>
      </c>
      <c r="C500" s="1" t="n">
        <v>45924</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45924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1681-2023</t>
        </is>
      </c>
      <c r="B502" s="1" t="n">
        <v>44938.39715277778</v>
      </c>
      <c r="C502" s="1" t="n">
        <v>45924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22275-2023</t>
        </is>
      </c>
      <c r="B503" s="1" t="n">
        <v>45070.39875</v>
      </c>
      <c r="C503" s="1" t="n">
        <v>45924</v>
      </c>
      <c r="D503" t="inlineStr">
        <is>
          <t>GOTLANDS LÄN</t>
        </is>
      </c>
      <c r="E503" t="inlineStr">
        <is>
          <t>GOTLAND</t>
        </is>
      </c>
      <c r="G503" t="n">
        <v>7.2</v>
      </c>
      <c r="H503" t="n">
        <v>0</v>
      </c>
      <c r="I503" t="n">
        <v>0</v>
      </c>
      <c r="J503" t="n">
        <v>0</v>
      </c>
      <c r="K503" t="n">
        <v>0</v>
      </c>
      <c r="L503" t="n">
        <v>0</v>
      </c>
      <c r="M503" t="n">
        <v>0</v>
      </c>
      <c r="N503" t="n">
        <v>0</v>
      </c>
      <c r="O503" t="n">
        <v>0</v>
      </c>
      <c r="P503" t="n">
        <v>0</v>
      </c>
      <c r="Q503" t="n">
        <v>0</v>
      </c>
      <c r="R503" s="2" t="inlineStr"/>
    </row>
    <row r="504" ht="15" customHeight="1">
      <c r="A504" t="inlineStr">
        <is>
          <t>A 42338-2023</t>
        </is>
      </c>
      <c r="B504" s="1" t="n">
        <v>45180</v>
      </c>
      <c r="C504" s="1" t="n">
        <v>45924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18918-2025</t>
        </is>
      </c>
      <c r="B505" s="1" t="n">
        <v>45764</v>
      </c>
      <c r="C505" s="1" t="n">
        <v>45924</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14635-2023</t>
        </is>
      </c>
      <c r="B506" s="1" t="n">
        <v>45013.69365740741</v>
      </c>
      <c r="C506" s="1" t="n">
        <v>45924</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45924</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63763-2023</t>
        </is>
      </c>
      <c r="B508" s="1" t="n">
        <v>45278.33944444444</v>
      </c>
      <c r="C508" s="1" t="n">
        <v>45924</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7635-2025</t>
        </is>
      </c>
      <c r="B509" s="1" t="n">
        <v>45705</v>
      </c>
      <c r="C509" s="1" t="n">
        <v>45924</v>
      </c>
      <c r="D509" t="inlineStr">
        <is>
          <t>GOTLANDS LÄN</t>
        </is>
      </c>
      <c r="E509" t="inlineStr">
        <is>
          <t>GOTLAND</t>
        </is>
      </c>
      <c r="G509" t="n">
        <v>0.9</v>
      </c>
      <c r="H509" t="n">
        <v>0</v>
      </c>
      <c r="I509" t="n">
        <v>0</v>
      </c>
      <c r="J509" t="n">
        <v>0</v>
      </c>
      <c r="K509" t="n">
        <v>0</v>
      </c>
      <c r="L509" t="n">
        <v>0</v>
      </c>
      <c r="M509" t="n">
        <v>0</v>
      </c>
      <c r="N509" t="n">
        <v>0</v>
      </c>
      <c r="O509" t="n">
        <v>0</v>
      </c>
      <c r="P509" t="n">
        <v>0</v>
      </c>
      <c r="Q509" t="n">
        <v>0</v>
      </c>
      <c r="R509" s="2" t="inlineStr"/>
    </row>
    <row r="510" ht="15" customHeight="1">
      <c r="A510" t="inlineStr">
        <is>
          <t>A 7636-2025</t>
        </is>
      </c>
      <c r="B510" s="1" t="n">
        <v>45705.7687962963</v>
      </c>
      <c r="C510" s="1" t="n">
        <v>45924</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7639-2025</t>
        </is>
      </c>
      <c r="B511" s="1" t="n">
        <v>45705.77465277778</v>
      </c>
      <c r="C511" s="1" t="n">
        <v>45924</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61682-2024</t>
        </is>
      </c>
      <c r="B512" s="1" t="n">
        <v>45647.48824074074</v>
      </c>
      <c r="C512" s="1" t="n">
        <v>45924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15434-2024</t>
        </is>
      </c>
      <c r="B513" s="1" t="n">
        <v>45401.38836805556</v>
      </c>
      <c r="C513" s="1" t="n">
        <v>45924</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45084-2024</t>
        </is>
      </c>
      <c r="B514" s="1" t="n">
        <v>45575</v>
      </c>
      <c r="C514" s="1" t="n">
        <v>45924</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45924</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7034-2023</t>
        </is>
      </c>
      <c r="B516" s="1" t="n">
        <v>44968.32108796296</v>
      </c>
      <c r="C516" s="1" t="n">
        <v>45924</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7042-2023</t>
        </is>
      </c>
      <c r="B517" s="1" t="n">
        <v>44968</v>
      </c>
      <c r="C517" s="1" t="n">
        <v>45924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2180-2025</t>
        </is>
      </c>
      <c r="B518" s="1" t="n">
        <v>45673</v>
      </c>
      <c r="C518" s="1" t="n">
        <v>45924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4868-2024</t>
        </is>
      </c>
      <c r="B519" s="1" t="n">
        <v>45329</v>
      </c>
      <c r="C519" s="1" t="n">
        <v>45924</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9613-2025</t>
        </is>
      </c>
      <c r="B520" s="1" t="n">
        <v>45715</v>
      </c>
      <c r="C520" s="1" t="n">
        <v>45924</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5386-2023</t>
        </is>
      </c>
      <c r="B521" s="1" t="n">
        <v>44959</v>
      </c>
      <c r="C521" s="1" t="n">
        <v>45924</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45924</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61694-2023</t>
        </is>
      </c>
      <c r="B523" s="1" t="n">
        <v>45264</v>
      </c>
      <c r="C523" s="1" t="n">
        <v>45924</v>
      </c>
      <c r="D523" t="inlineStr">
        <is>
          <t>GOTLANDS LÄN</t>
        </is>
      </c>
      <c r="E523" t="inlineStr">
        <is>
          <t>GOTLAND</t>
        </is>
      </c>
      <c r="G523" t="n">
        <v>4.6</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45924</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64208-2021</t>
        </is>
      </c>
      <c r="B525" s="1" t="n">
        <v>44510</v>
      </c>
      <c r="C525" s="1" t="n">
        <v>45924</v>
      </c>
      <c r="D525" t="inlineStr">
        <is>
          <t>GOTLANDS LÄN</t>
        </is>
      </c>
      <c r="E525" t="inlineStr">
        <is>
          <t>GOTLAND</t>
        </is>
      </c>
      <c r="G525" t="n">
        <v>4.7</v>
      </c>
      <c r="H525" t="n">
        <v>0</v>
      </c>
      <c r="I525" t="n">
        <v>0</v>
      </c>
      <c r="J525" t="n">
        <v>0</v>
      </c>
      <c r="K525" t="n">
        <v>0</v>
      </c>
      <c r="L525" t="n">
        <v>0</v>
      </c>
      <c r="M525" t="n">
        <v>0</v>
      </c>
      <c r="N525" t="n">
        <v>0</v>
      </c>
      <c r="O525" t="n">
        <v>0</v>
      </c>
      <c r="P525" t="n">
        <v>0</v>
      </c>
      <c r="Q525" t="n">
        <v>0</v>
      </c>
      <c r="R525" s="2" t="inlineStr"/>
    </row>
    <row r="526" ht="15" customHeight="1">
      <c r="A526" t="inlineStr">
        <is>
          <t>A 54268-2022</t>
        </is>
      </c>
      <c r="B526" s="1" t="n">
        <v>44882</v>
      </c>
      <c r="C526" s="1" t="n">
        <v>45924</v>
      </c>
      <c r="D526" t="inlineStr">
        <is>
          <t>GOTLANDS LÄN</t>
        </is>
      </c>
      <c r="E526" t="inlineStr">
        <is>
          <t>GOTLAND</t>
        </is>
      </c>
      <c r="G526" t="n">
        <v>2.7</v>
      </c>
      <c r="H526" t="n">
        <v>0</v>
      </c>
      <c r="I526" t="n">
        <v>0</v>
      </c>
      <c r="J526" t="n">
        <v>0</v>
      </c>
      <c r="K526" t="n">
        <v>0</v>
      </c>
      <c r="L526" t="n">
        <v>0</v>
      </c>
      <c r="M526" t="n">
        <v>0</v>
      </c>
      <c r="N526" t="n">
        <v>0</v>
      </c>
      <c r="O526" t="n">
        <v>0</v>
      </c>
      <c r="P526" t="n">
        <v>0</v>
      </c>
      <c r="Q526" t="n">
        <v>0</v>
      </c>
      <c r="R526" s="2" t="inlineStr"/>
    </row>
    <row r="527" ht="15" customHeight="1">
      <c r="A527" t="inlineStr">
        <is>
          <t>A 11634-2024</t>
        </is>
      </c>
      <c r="B527" s="1" t="n">
        <v>45373</v>
      </c>
      <c r="C527" s="1" t="n">
        <v>45924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1446-2025</t>
        </is>
      </c>
      <c r="B528" s="1" t="n">
        <v>45669.86035879629</v>
      </c>
      <c r="C528" s="1" t="n">
        <v>45924</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45924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57685-2022</t>
        </is>
      </c>
      <c r="B530" s="1" t="n">
        <v>44897.4777662037</v>
      </c>
      <c r="C530" s="1" t="n">
        <v>45924</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5884-2025</t>
        </is>
      </c>
      <c r="B531" s="1" t="n">
        <v>45695.37482638889</v>
      </c>
      <c r="C531" s="1" t="n">
        <v>45924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5897-2025</t>
        </is>
      </c>
      <c r="B532" s="1" t="n">
        <v>45695.39273148148</v>
      </c>
      <c r="C532" s="1" t="n">
        <v>45924</v>
      </c>
      <c r="D532" t="inlineStr">
        <is>
          <t>GOTLANDS LÄN</t>
        </is>
      </c>
      <c r="E532" t="inlineStr">
        <is>
          <t>GOTLAND</t>
        </is>
      </c>
      <c r="G532" t="n">
        <v>3.7</v>
      </c>
      <c r="H532" t="n">
        <v>0</v>
      </c>
      <c r="I532" t="n">
        <v>0</v>
      </c>
      <c r="J532" t="n">
        <v>0</v>
      </c>
      <c r="K532" t="n">
        <v>0</v>
      </c>
      <c r="L532" t="n">
        <v>0</v>
      </c>
      <c r="M532" t="n">
        <v>0</v>
      </c>
      <c r="N532" t="n">
        <v>0</v>
      </c>
      <c r="O532" t="n">
        <v>0</v>
      </c>
      <c r="P532" t="n">
        <v>0</v>
      </c>
      <c r="Q532" t="n">
        <v>0</v>
      </c>
      <c r="R532" s="2" t="inlineStr"/>
    </row>
    <row r="533" ht="15" customHeight="1">
      <c r="A533" t="inlineStr">
        <is>
          <t>A 5909-2025</t>
        </is>
      </c>
      <c r="B533" s="1" t="n">
        <v>45695.40634259259</v>
      </c>
      <c r="C533" s="1" t="n">
        <v>45924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45924</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45924</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45924</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5905-2024</t>
        </is>
      </c>
      <c r="B537" s="1" t="n">
        <v>45335.88993055555</v>
      </c>
      <c r="C537" s="1" t="n">
        <v>45924</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45924</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3431-2025</t>
        </is>
      </c>
      <c r="B539" s="1" t="n">
        <v>45680.42935185185</v>
      </c>
      <c r="C539" s="1" t="n">
        <v>45924</v>
      </c>
      <c r="D539" t="inlineStr">
        <is>
          <t>GOTLANDS LÄN</t>
        </is>
      </c>
      <c r="E539" t="inlineStr">
        <is>
          <t>GOTLAND</t>
        </is>
      </c>
      <c r="G539" t="n">
        <v>4.8</v>
      </c>
      <c r="H539" t="n">
        <v>0</v>
      </c>
      <c r="I539" t="n">
        <v>0</v>
      </c>
      <c r="J539" t="n">
        <v>0</v>
      </c>
      <c r="K539" t="n">
        <v>0</v>
      </c>
      <c r="L539" t="n">
        <v>0</v>
      </c>
      <c r="M539" t="n">
        <v>0</v>
      </c>
      <c r="N539" t="n">
        <v>0</v>
      </c>
      <c r="O539" t="n">
        <v>0</v>
      </c>
      <c r="P539" t="n">
        <v>0</v>
      </c>
      <c r="Q539" t="n">
        <v>0</v>
      </c>
      <c r="R539" s="2" t="inlineStr"/>
    </row>
    <row r="540" ht="15" customHeight="1">
      <c r="A540" t="inlineStr">
        <is>
          <t>A 34407-2023</t>
        </is>
      </c>
      <c r="B540" s="1" t="n">
        <v>45132</v>
      </c>
      <c r="C540" s="1" t="n">
        <v>45924</v>
      </c>
      <c r="D540" t="inlineStr">
        <is>
          <t>GOTLANDS LÄN</t>
        </is>
      </c>
      <c r="E540" t="inlineStr">
        <is>
          <t>GOTLAND</t>
        </is>
      </c>
      <c r="G540" t="n">
        <v>4.4</v>
      </c>
      <c r="H540" t="n">
        <v>0</v>
      </c>
      <c r="I540" t="n">
        <v>0</v>
      </c>
      <c r="J540" t="n">
        <v>0</v>
      </c>
      <c r="K540" t="n">
        <v>0</v>
      </c>
      <c r="L540" t="n">
        <v>0</v>
      </c>
      <c r="M540" t="n">
        <v>0</v>
      </c>
      <c r="N540" t="n">
        <v>0</v>
      </c>
      <c r="O540" t="n">
        <v>0</v>
      </c>
      <c r="P540" t="n">
        <v>0</v>
      </c>
      <c r="Q540" t="n">
        <v>0</v>
      </c>
      <c r="R540" s="2" t="inlineStr"/>
    </row>
    <row r="541" ht="15" customHeight="1">
      <c r="A541" t="inlineStr">
        <is>
          <t>A 30892-2024</t>
        </is>
      </c>
      <c r="B541" s="1" t="n">
        <v>45491</v>
      </c>
      <c r="C541" s="1" t="n">
        <v>45924</v>
      </c>
      <c r="D541" t="inlineStr">
        <is>
          <t>GOTLANDS LÄN</t>
        </is>
      </c>
      <c r="E541" t="inlineStr">
        <is>
          <t>GOTLAND</t>
        </is>
      </c>
      <c r="G541" t="n">
        <v>6.1</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45924</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7858-2025</t>
        </is>
      </c>
      <c r="B543" s="1" t="n">
        <v>45706.68633101852</v>
      </c>
      <c r="C543" s="1" t="n">
        <v>45924</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46545-2024</t>
        </is>
      </c>
      <c r="B544" s="1" t="n">
        <v>45582.65831018519</v>
      </c>
      <c r="C544" s="1" t="n">
        <v>45924</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45924</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1364-2025</t>
        </is>
      </c>
      <c r="B546" s="1" t="n">
        <v>45667.63929398148</v>
      </c>
      <c r="C546" s="1" t="n">
        <v>45924</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9887-2025</t>
        </is>
      </c>
      <c r="B547" s="1" t="n">
        <v>45716</v>
      </c>
      <c r="C547" s="1" t="n">
        <v>45924</v>
      </c>
      <c r="D547" t="inlineStr">
        <is>
          <t>GOTLANDS LÄN</t>
        </is>
      </c>
      <c r="E547" t="inlineStr">
        <is>
          <t>GOTLAND</t>
        </is>
      </c>
      <c r="G547" t="n">
        <v>7.5</v>
      </c>
      <c r="H547" t="n">
        <v>0</v>
      </c>
      <c r="I547" t="n">
        <v>0</v>
      </c>
      <c r="J547" t="n">
        <v>0</v>
      </c>
      <c r="K547" t="n">
        <v>0</v>
      </c>
      <c r="L547" t="n">
        <v>0</v>
      </c>
      <c r="M547" t="n">
        <v>0</v>
      </c>
      <c r="N547" t="n">
        <v>0</v>
      </c>
      <c r="O547" t="n">
        <v>0</v>
      </c>
      <c r="P547" t="n">
        <v>0</v>
      </c>
      <c r="Q547" t="n">
        <v>0</v>
      </c>
      <c r="R547" s="2" t="inlineStr"/>
    </row>
    <row r="548" ht="15" customHeight="1">
      <c r="A548" t="inlineStr">
        <is>
          <t>A 2125-2025</t>
        </is>
      </c>
      <c r="B548" s="1" t="n">
        <v>45672.64940972222</v>
      </c>
      <c r="C548" s="1" t="n">
        <v>45924</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12209-2024</t>
        </is>
      </c>
      <c r="B549" s="1" t="n">
        <v>45378</v>
      </c>
      <c r="C549" s="1" t="n">
        <v>45924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12210-2024</t>
        </is>
      </c>
      <c r="B550" s="1" t="n">
        <v>45378</v>
      </c>
      <c r="C550" s="1" t="n">
        <v>45924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45924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8684-2025</t>
        </is>
      </c>
      <c r="B552" s="1" t="n">
        <v>45712.45605324074</v>
      </c>
      <c r="C552" s="1" t="n">
        <v>45924</v>
      </c>
      <c r="D552" t="inlineStr">
        <is>
          <t>GOTLANDS LÄN</t>
        </is>
      </c>
      <c r="E552" t="inlineStr">
        <is>
          <t>GOTLAND</t>
        </is>
      </c>
      <c r="G552" t="n">
        <v>3.5</v>
      </c>
      <c r="H552" t="n">
        <v>0</v>
      </c>
      <c r="I552" t="n">
        <v>0</v>
      </c>
      <c r="J552" t="n">
        <v>0</v>
      </c>
      <c r="K552" t="n">
        <v>0</v>
      </c>
      <c r="L552" t="n">
        <v>0</v>
      </c>
      <c r="M552" t="n">
        <v>0</v>
      </c>
      <c r="N552" t="n">
        <v>0</v>
      </c>
      <c r="O552" t="n">
        <v>0</v>
      </c>
      <c r="P552" t="n">
        <v>0</v>
      </c>
      <c r="Q552" t="n">
        <v>0</v>
      </c>
      <c r="R552" s="2" t="inlineStr"/>
    </row>
    <row r="553" ht="15" customHeight="1">
      <c r="A553" t="inlineStr">
        <is>
          <t>A 14141-2024</t>
        </is>
      </c>
      <c r="B553" s="1" t="n">
        <v>45392.85193287037</v>
      </c>
      <c r="C553" s="1" t="n">
        <v>45924</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12155-2023</t>
        </is>
      </c>
      <c r="B554" s="1" t="n">
        <v>44998.49106481481</v>
      </c>
      <c r="C554" s="1" t="n">
        <v>45924</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31802-2024</t>
        </is>
      </c>
      <c r="B555" s="1" t="n">
        <v>45509</v>
      </c>
      <c r="C555" s="1" t="n">
        <v>45924</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20993-2023</t>
        </is>
      </c>
      <c r="B556" s="1" t="n">
        <v>45056</v>
      </c>
      <c r="C556" s="1" t="n">
        <v>45924</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15042-2025</t>
        </is>
      </c>
      <c r="B557" s="1" t="n">
        <v>45743</v>
      </c>
      <c r="C557" s="1" t="n">
        <v>45924</v>
      </c>
      <c r="D557" t="inlineStr">
        <is>
          <t>GOTLANDS LÄN</t>
        </is>
      </c>
      <c r="E557" t="inlineStr">
        <is>
          <t>GOTLAND</t>
        </is>
      </c>
      <c r="G557" t="n">
        <v>8.5</v>
      </c>
      <c r="H557" t="n">
        <v>0</v>
      </c>
      <c r="I557" t="n">
        <v>0</v>
      </c>
      <c r="J557" t="n">
        <v>0</v>
      </c>
      <c r="K557" t="n">
        <v>0</v>
      </c>
      <c r="L557" t="n">
        <v>0</v>
      </c>
      <c r="M557" t="n">
        <v>0</v>
      </c>
      <c r="N557" t="n">
        <v>0</v>
      </c>
      <c r="O557" t="n">
        <v>0</v>
      </c>
      <c r="P557" t="n">
        <v>0</v>
      </c>
      <c r="Q557" t="n">
        <v>0</v>
      </c>
      <c r="R557" s="2" t="inlineStr"/>
    </row>
    <row r="558" ht="15" customHeight="1">
      <c r="A558" t="inlineStr">
        <is>
          <t>A 2774-2024</t>
        </is>
      </c>
      <c r="B558" s="1" t="n">
        <v>45314.62375</v>
      </c>
      <c r="C558" s="1" t="n">
        <v>45924</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9947-2024</t>
        </is>
      </c>
      <c r="B559" s="1" t="n">
        <v>45363</v>
      </c>
      <c r="C559" s="1" t="n">
        <v>45924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42007-2023</t>
        </is>
      </c>
      <c r="B560" s="1" t="n">
        <v>45177</v>
      </c>
      <c r="C560" s="1" t="n">
        <v>45924</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12327-2025</t>
        </is>
      </c>
      <c r="B561" s="1" t="n">
        <v>45730</v>
      </c>
      <c r="C561" s="1" t="n">
        <v>45924</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2292-2021</t>
        </is>
      </c>
      <c r="B562" s="1" t="n">
        <v>44212</v>
      </c>
      <c r="C562" s="1" t="n">
        <v>45924</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4420-2025</t>
        </is>
      </c>
      <c r="B563" s="1" t="n">
        <v>45686.47157407407</v>
      </c>
      <c r="C563" s="1" t="n">
        <v>45924</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14427-2024</t>
        </is>
      </c>
      <c r="B564" s="1" t="n">
        <v>45394</v>
      </c>
      <c r="C564" s="1" t="n">
        <v>45924</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44304-2021</t>
        </is>
      </c>
      <c r="B565" s="1" t="n">
        <v>44434</v>
      </c>
      <c r="C565" s="1" t="n">
        <v>45924</v>
      </c>
      <c r="D565" t="inlineStr">
        <is>
          <t>GOTLANDS LÄN</t>
        </is>
      </c>
      <c r="E565" t="inlineStr">
        <is>
          <t>GOTLAND</t>
        </is>
      </c>
      <c r="G565" t="n">
        <v>5.8</v>
      </c>
      <c r="H565" t="n">
        <v>0</v>
      </c>
      <c r="I565" t="n">
        <v>0</v>
      </c>
      <c r="J565" t="n">
        <v>0</v>
      </c>
      <c r="K565" t="n">
        <v>0</v>
      </c>
      <c r="L565" t="n">
        <v>0</v>
      </c>
      <c r="M565" t="n">
        <v>0</v>
      </c>
      <c r="N565" t="n">
        <v>0</v>
      </c>
      <c r="O565" t="n">
        <v>0</v>
      </c>
      <c r="P565" t="n">
        <v>0</v>
      </c>
      <c r="Q565" t="n">
        <v>0</v>
      </c>
      <c r="R565" s="2" t="inlineStr"/>
    </row>
    <row r="566" ht="15" customHeight="1">
      <c r="A566" t="inlineStr">
        <is>
          <t>A 15083-2025</t>
        </is>
      </c>
      <c r="B566" s="1" t="n">
        <v>45743</v>
      </c>
      <c r="C566" s="1" t="n">
        <v>45924</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45924</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45924</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27596-2023</t>
        </is>
      </c>
      <c r="B569" s="1" t="n">
        <v>45097</v>
      </c>
      <c r="C569" s="1" t="n">
        <v>45924</v>
      </c>
      <c r="D569" t="inlineStr">
        <is>
          <t>GOTLANDS LÄN</t>
        </is>
      </c>
      <c r="E569" t="inlineStr">
        <is>
          <t>GOTLAND</t>
        </is>
      </c>
      <c r="G569" t="n">
        <v>3.6</v>
      </c>
      <c r="H569" t="n">
        <v>0</v>
      </c>
      <c r="I569" t="n">
        <v>0</v>
      </c>
      <c r="J569" t="n">
        <v>0</v>
      </c>
      <c r="K569" t="n">
        <v>0</v>
      </c>
      <c r="L569" t="n">
        <v>0</v>
      </c>
      <c r="M569" t="n">
        <v>0</v>
      </c>
      <c r="N569" t="n">
        <v>0</v>
      </c>
      <c r="O569" t="n">
        <v>0</v>
      </c>
      <c r="P569" t="n">
        <v>0</v>
      </c>
      <c r="Q569" t="n">
        <v>0</v>
      </c>
      <c r="R569" s="2" t="inlineStr"/>
    </row>
    <row r="570" ht="15" customHeight="1">
      <c r="A570" t="inlineStr">
        <is>
          <t>A 56115-2023</t>
        </is>
      </c>
      <c r="B570" s="1" t="n">
        <v>45236</v>
      </c>
      <c r="C570" s="1" t="n">
        <v>45924</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64969-2023</t>
        </is>
      </c>
      <c r="B571" s="1" t="n">
        <v>45284.54009259259</v>
      </c>
      <c r="C571" s="1" t="n">
        <v>45924</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33853-2024</t>
        </is>
      </c>
      <c r="B572" s="1" t="n">
        <v>45520.64298611111</v>
      </c>
      <c r="C572" s="1" t="n">
        <v>45924</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18223-2025</t>
        </is>
      </c>
      <c r="B573" s="1" t="n">
        <v>45761</v>
      </c>
      <c r="C573" s="1" t="n">
        <v>45924</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46949-2024</t>
        </is>
      </c>
      <c r="B574" s="1" t="n">
        <v>45585</v>
      </c>
      <c r="C574" s="1" t="n">
        <v>45924</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24001-2021</t>
        </is>
      </c>
      <c r="B575" s="1" t="n">
        <v>44335</v>
      </c>
      <c r="C575" s="1" t="n">
        <v>45924</v>
      </c>
      <c r="D575" t="inlineStr">
        <is>
          <t>GOTLANDS LÄN</t>
        </is>
      </c>
      <c r="E575" t="inlineStr">
        <is>
          <t>GOTLAND</t>
        </is>
      </c>
      <c r="G575" t="n">
        <v>3.4</v>
      </c>
      <c r="H575" t="n">
        <v>0</v>
      </c>
      <c r="I575" t="n">
        <v>0</v>
      </c>
      <c r="J575" t="n">
        <v>0</v>
      </c>
      <c r="K575" t="n">
        <v>0</v>
      </c>
      <c r="L575" t="n">
        <v>0</v>
      </c>
      <c r="M575" t="n">
        <v>0</v>
      </c>
      <c r="N575" t="n">
        <v>0</v>
      </c>
      <c r="O575" t="n">
        <v>0</v>
      </c>
      <c r="P575" t="n">
        <v>0</v>
      </c>
      <c r="Q575" t="n">
        <v>0</v>
      </c>
      <c r="R575" s="2" t="inlineStr"/>
    </row>
    <row r="576" ht="15" customHeight="1">
      <c r="A576" t="inlineStr">
        <is>
          <t>A 39479-2022</t>
        </is>
      </c>
      <c r="B576" s="1" t="n">
        <v>44818</v>
      </c>
      <c r="C576" s="1" t="n">
        <v>45924</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39496-2022</t>
        </is>
      </c>
      <c r="B577" s="1" t="n">
        <v>44818</v>
      </c>
      <c r="C577" s="1" t="n">
        <v>45924</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46389-2021</t>
        </is>
      </c>
      <c r="B578" s="1" t="n">
        <v>44443</v>
      </c>
      <c r="C578" s="1" t="n">
        <v>45924</v>
      </c>
      <c r="D578" t="inlineStr">
        <is>
          <t>GOTLANDS LÄN</t>
        </is>
      </c>
      <c r="E578" t="inlineStr">
        <is>
          <t>GOTLAND</t>
        </is>
      </c>
      <c r="F578" t="inlineStr">
        <is>
          <t>Kyrkan</t>
        </is>
      </c>
      <c r="G578" t="n">
        <v>2.1</v>
      </c>
      <c r="H578" t="n">
        <v>0</v>
      </c>
      <c r="I578" t="n">
        <v>0</v>
      </c>
      <c r="J578" t="n">
        <v>0</v>
      </c>
      <c r="K578" t="n">
        <v>0</v>
      </c>
      <c r="L578" t="n">
        <v>0</v>
      </c>
      <c r="M578" t="n">
        <v>0</v>
      </c>
      <c r="N578" t="n">
        <v>0</v>
      </c>
      <c r="O578" t="n">
        <v>0</v>
      </c>
      <c r="P578" t="n">
        <v>0</v>
      </c>
      <c r="Q578" t="n">
        <v>0</v>
      </c>
      <c r="R578" s="2" t="inlineStr"/>
    </row>
    <row r="579" ht="15" customHeight="1">
      <c r="A579" t="inlineStr">
        <is>
          <t>A 44949-2023</t>
        </is>
      </c>
      <c r="B579" s="1" t="n">
        <v>45190.69520833333</v>
      </c>
      <c r="C579" s="1" t="n">
        <v>45924</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17682-2024</t>
        </is>
      </c>
      <c r="B580" s="1" t="n">
        <v>45418.42966435185</v>
      </c>
      <c r="C580" s="1" t="n">
        <v>45924</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61897-2024</t>
        </is>
      </c>
      <c r="B581" s="1" t="n">
        <v>45652.75685185185</v>
      </c>
      <c r="C581" s="1" t="n">
        <v>45924</v>
      </c>
      <c r="D581" t="inlineStr">
        <is>
          <t>GOTLANDS LÄN</t>
        </is>
      </c>
      <c r="E581" t="inlineStr">
        <is>
          <t>GOTLAND</t>
        </is>
      </c>
      <c r="G581" t="n">
        <v>6.4</v>
      </c>
      <c r="H581" t="n">
        <v>0</v>
      </c>
      <c r="I581" t="n">
        <v>0</v>
      </c>
      <c r="J581" t="n">
        <v>0</v>
      </c>
      <c r="K581" t="n">
        <v>0</v>
      </c>
      <c r="L581" t="n">
        <v>0</v>
      </c>
      <c r="M581" t="n">
        <v>0</v>
      </c>
      <c r="N581" t="n">
        <v>0</v>
      </c>
      <c r="O581" t="n">
        <v>0</v>
      </c>
      <c r="P581" t="n">
        <v>0</v>
      </c>
      <c r="Q581" t="n">
        <v>0</v>
      </c>
      <c r="R581" s="2" t="inlineStr"/>
    </row>
    <row r="582" ht="15" customHeight="1">
      <c r="A582" t="inlineStr">
        <is>
          <t>A 12032-2025</t>
        </is>
      </c>
      <c r="B582" s="1" t="n">
        <v>45728.64472222222</v>
      </c>
      <c r="C582" s="1" t="n">
        <v>45924</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15595-2024</t>
        </is>
      </c>
      <c r="B583" s="1" t="n">
        <v>45401.81480324074</v>
      </c>
      <c r="C583" s="1" t="n">
        <v>45924</v>
      </c>
      <c r="D583" t="inlineStr">
        <is>
          <t>GOTLANDS LÄN</t>
        </is>
      </c>
      <c r="E583" t="inlineStr">
        <is>
          <t>GOTLAND</t>
        </is>
      </c>
      <c r="G583" t="n">
        <v>6.4</v>
      </c>
      <c r="H583" t="n">
        <v>0</v>
      </c>
      <c r="I583" t="n">
        <v>0</v>
      </c>
      <c r="J583" t="n">
        <v>0</v>
      </c>
      <c r="K583" t="n">
        <v>0</v>
      </c>
      <c r="L583" t="n">
        <v>0</v>
      </c>
      <c r="M583" t="n">
        <v>0</v>
      </c>
      <c r="N583" t="n">
        <v>0</v>
      </c>
      <c r="O583" t="n">
        <v>0</v>
      </c>
      <c r="P583" t="n">
        <v>0</v>
      </c>
      <c r="Q583" t="n">
        <v>0</v>
      </c>
      <c r="R583" s="2" t="inlineStr"/>
    </row>
    <row r="584" ht="15" customHeight="1">
      <c r="A584" t="inlineStr">
        <is>
          <t>A 21164-2024</t>
        </is>
      </c>
      <c r="B584" s="1" t="n">
        <v>45440</v>
      </c>
      <c r="C584" s="1" t="n">
        <v>45924</v>
      </c>
      <c r="D584" t="inlineStr">
        <is>
          <t>GOTLANDS LÄN</t>
        </is>
      </c>
      <c r="E584" t="inlineStr">
        <is>
          <t>GOTLAND</t>
        </is>
      </c>
      <c r="G584" t="n">
        <v>6.3</v>
      </c>
      <c r="H584" t="n">
        <v>0</v>
      </c>
      <c r="I584" t="n">
        <v>0</v>
      </c>
      <c r="J584" t="n">
        <v>0</v>
      </c>
      <c r="K584" t="n">
        <v>0</v>
      </c>
      <c r="L584" t="n">
        <v>0</v>
      </c>
      <c r="M584" t="n">
        <v>0</v>
      </c>
      <c r="N584" t="n">
        <v>0</v>
      </c>
      <c r="O584" t="n">
        <v>0</v>
      </c>
      <c r="P584" t="n">
        <v>0</v>
      </c>
      <c r="Q584" t="n">
        <v>0</v>
      </c>
      <c r="R584" s="2" t="inlineStr"/>
    </row>
    <row r="585" ht="15" customHeight="1">
      <c r="A585" t="inlineStr">
        <is>
          <t>A 17541-2024</t>
        </is>
      </c>
      <c r="B585" s="1" t="n">
        <v>45415</v>
      </c>
      <c r="C585" s="1" t="n">
        <v>45924</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883-2025</t>
        </is>
      </c>
      <c r="B586" s="1" t="n">
        <v>45665</v>
      </c>
      <c r="C586" s="1" t="n">
        <v>45924</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13910-2025</t>
        </is>
      </c>
      <c r="B587" s="1" t="n">
        <v>45737</v>
      </c>
      <c r="C587" s="1" t="n">
        <v>45924</v>
      </c>
      <c r="D587" t="inlineStr">
        <is>
          <t>GOTLANDS LÄN</t>
        </is>
      </c>
      <c r="E587" t="inlineStr">
        <is>
          <t>GOTLAND</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45924</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20805-2025</t>
        </is>
      </c>
      <c r="B589" s="1" t="n">
        <v>45776</v>
      </c>
      <c r="C589" s="1" t="n">
        <v>45924</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21389-2025</t>
        </is>
      </c>
      <c r="B590" s="1" t="n">
        <v>45782</v>
      </c>
      <c r="C590" s="1" t="n">
        <v>45924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21651-2025</t>
        </is>
      </c>
      <c r="B591" s="1" t="n">
        <v>45783</v>
      </c>
      <c r="C591" s="1" t="n">
        <v>45924</v>
      </c>
      <c r="D591" t="inlineStr">
        <is>
          <t>GOTLANDS LÄN</t>
        </is>
      </c>
      <c r="E591" t="inlineStr">
        <is>
          <t>GOTLAND</t>
        </is>
      </c>
      <c r="G591" t="n">
        <v>4.2</v>
      </c>
      <c r="H591" t="n">
        <v>0</v>
      </c>
      <c r="I591" t="n">
        <v>0</v>
      </c>
      <c r="J591" t="n">
        <v>0</v>
      </c>
      <c r="K591" t="n">
        <v>0</v>
      </c>
      <c r="L591" t="n">
        <v>0</v>
      </c>
      <c r="M591" t="n">
        <v>0</v>
      </c>
      <c r="N591" t="n">
        <v>0</v>
      </c>
      <c r="O591" t="n">
        <v>0</v>
      </c>
      <c r="P591" t="n">
        <v>0</v>
      </c>
      <c r="Q591" t="n">
        <v>0</v>
      </c>
      <c r="R591" s="2" t="inlineStr"/>
    </row>
    <row r="592" ht="15" customHeight="1">
      <c r="A592" t="inlineStr">
        <is>
          <t>A 21420-2024</t>
        </is>
      </c>
      <c r="B592" s="1" t="n">
        <v>45441.38293981482</v>
      </c>
      <c r="C592" s="1" t="n">
        <v>45924</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10656-2024</t>
        </is>
      </c>
      <c r="B593" s="1" t="n">
        <v>45368</v>
      </c>
      <c r="C593" s="1" t="n">
        <v>45924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57356-2023</t>
        </is>
      </c>
      <c r="B594" s="1" t="n">
        <v>45240</v>
      </c>
      <c r="C594" s="1" t="n">
        <v>45924</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28506-2023</t>
        </is>
      </c>
      <c r="B595" s="1" t="n">
        <v>45103</v>
      </c>
      <c r="C595" s="1" t="n">
        <v>45924</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45924</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23856-2025</t>
        </is>
      </c>
      <c r="B597" s="1" t="n">
        <v>45793</v>
      </c>
      <c r="C597" s="1" t="n">
        <v>45924</v>
      </c>
      <c r="D597" t="inlineStr">
        <is>
          <t>GOTLANDS LÄN</t>
        </is>
      </c>
      <c r="E597" t="inlineStr">
        <is>
          <t>GOTLAND</t>
        </is>
      </c>
      <c r="G597" t="n">
        <v>4.4</v>
      </c>
      <c r="H597" t="n">
        <v>0</v>
      </c>
      <c r="I597" t="n">
        <v>0</v>
      </c>
      <c r="J597" t="n">
        <v>0</v>
      </c>
      <c r="K597" t="n">
        <v>0</v>
      </c>
      <c r="L597" t="n">
        <v>0</v>
      </c>
      <c r="M597" t="n">
        <v>0</v>
      </c>
      <c r="N597" t="n">
        <v>0</v>
      </c>
      <c r="O597" t="n">
        <v>0</v>
      </c>
      <c r="P597" t="n">
        <v>0</v>
      </c>
      <c r="Q597" t="n">
        <v>0</v>
      </c>
      <c r="R597" s="2" t="inlineStr"/>
    </row>
    <row r="598" ht="15" customHeight="1">
      <c r="A598" t="inlineStr">
        <is>
          <t>A 23473-2025</t>
        </is>
      </c>
      <c r="B598" s="1" t="n">
        <v>45792</v>
      </c>
      <c r="C598" s="1" t="n">
        <v>45924</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45924</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15073-2025</t>
        </is>
      </c>
      <c r="B600" s="1" t="n">
        <v>45743</v>
      </c>
      <c r="C600" s="1" t="n">
        <v>45924</v>
      </c>
      <c r="D600" t="inlineStr">
        <is>
          <t>GOTLANDS LÄN</t>
        </is>
      </c>
      <c r="E600" t="inlineStr">
        <is>
          <t>GOTLAND</t>
        </is>
      </c>
      <c r="G600" t="n">
        <v>12.1</v>
      </c>
      <c r="H600" t="n">
        <v>0</v>
      </c>
      <c r="I600" t="n">
        <v>0</v>
      </c>
      <c r="J600" t="n">
        <v>0</v>
      </c>
      <c r="K600" t="n">
        <v>0</v>
      </c>
      <c r="L600" t="n">
        <v>0</v>
      </c>
      <c r="M600" t="n">
        <v>0</v>
      </c>
      <c r="N600" t="n">
        <v>0</v>
      </c>
      <c r="O600" t="n">
        <v>0</v>
      </c>
      <c r="P600" t="n">
        <v>0</v>
      </c>
      <c r="Q600" t="n">
        <v>0</v>
      </c>
      <c r="R600" s="2" t="inlineStr"/>
    </row>
    <row r="601">
      <c r="A601" t="inlineStr">
        <is>
          <t>A 15075-2025</t>
        </is>
      </c>
      <c r="B601" s="1" t="n">
        <v>45743</v>
      </c>
      <c r="C601" s="1" t="n">
        <v>45924</v>
      </c>
      <c r="D601" t="inlineStr">
        <is>
          <t>GOTLANDS LÄN</t>
        </is>
      </c>
      <c r="E601" t="inlineStr">
        <is>
          <t>GOTLAND</t>
        </is>
      </c>
      <c r="G601" t="n">
        <v>20.9</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2025-09-24T10:15:43Z</dcterms:created>
  <dcterms:modified xmlns:dcterms="http://purl.org/dc/terms/" xmlns:xsi="http://www.w3.org/2001/XMLSchema-instance" xsi:type="dcterms:W3CDTF">2025-09-24T10:15:44Z</dcterms:modified>
</cp:coreProperties>
</file>