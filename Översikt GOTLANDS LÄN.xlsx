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45912</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45912</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45912</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45912</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45912</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62551-2022</t>
        </is>
      </c>
      <c r="B13" s="1" t="n">
        <v>44924</v>
      </c>
      <c r="C13" s="1" t="n">
        <v>45912</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45912</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45912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45912</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45912</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45912</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45912</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45912</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25779-2022</t>
        </is>
      </c>
      <c r="B22" s="1" t="n">
        <v>44733</v>
      </c>
      <c r="C22" s="1" t="n">
        <v>45912</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33728-2025</t>
        </is>
      </c>
      <c r="B23" s="1" t="n">
        <v>45842.29344907407</v>
      </c>
      <c r="C23" s="1" t="n">
        <v>45912</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45912</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45912</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35141-2022</t>
        </is>
      </c>
      <c r="B26" s="1" t="n">
        <v>44797.53318287037</v>
      </c>
      <c r="C26" s="1" t="n">
        <v>45912</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45912</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45912</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45912</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2804-2023</t>
        </is>
      </c>
      <c r="B30" s="1" t="n">
        <v>44944</v>
      </c>
      <c r="C30" s="1" t="n">
        <v>45912</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45912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45912</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45912</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45912</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45912</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45912</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45912</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45912</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45912</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45912</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45912</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45912</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45912</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45912</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45912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45912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45912</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45912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45912</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45912</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45912</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18541-2024</t>
        </is>
      </c>
      <c r="B55" s="1" t="n">
        <v>45425</v>
      </c>
      <c r="C55" s="1" t="n">
        <v>45912</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4984-2025</t>
        </is>
      </c>
      <c r="B56" s="1" t="n">
        <v>45691.29891203704</v>
      </c>
      <c r="C56" s="1" t="n">
        <v>45912</v>
      </c>
      <c r="D56" t="inlineStr">
        <is>
          <t>GOTLANDS LÄN</t>
        </is>
      </c>
      <c r="E56" t="inlineStr">
        <is>
          <t>GOTLAND</t>
        </is>
      </c>
      <c r="G56" t="n">
        <v>1.3</v>
      </c>
      <c r="H56" t="n">
        <v>4</v>
      </c>
      <c r="I56" t="n">
        <v>2</v>
      </c>
      <c r="J56" t="n">
        <v>3</v>
      </c>
      <c r="K56" t="n">
        <v>0</v>
      </c>
      <c r="L56" t="n">
        <v>0</v>
      </c>
      <c r="M56" t="n">
        <v>0</v>
      </c>
      <c r="N56" t="n">
        <v>0</v>
      </c>
      <c r="O56" t="n">
        <v>3</v>
      </c>
      <c r="P56" t="n">
        <v>0</v>
      </c>
      <c r="Q56" t="n">
        <v>7</v>
      </c>
      <c r="R56" s="2" t="inlineStr">
        <is>
          <t>Gulsparv
Jordtistel
Svinrot
Grönpyrola
Tvåblad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25205-2021</t>
        </is>
      </c>
      <c r="B57" s="1" t="n">
        <v>44342</v>
      </c>
      <c r="C57" s="1" t="n">
        <v>45912</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45912</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45912</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54527-2023</t>
        </is>
      </c>
      <c r="B60" s="1" t="n">
        <v>45233</v>
      </c>
      <c r="C60" s="1" t="n">
        <v>45912</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45912</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45912</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45912</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45912</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45912</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45912</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45912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2213-2023</t>
        </is>
      </c>
      <c r="B68" s="1" t="n">
        <v>44942</v>
      </c>
      <c r="C68" s="1" t="n">
        <v>45912</v>
      </c>
      <c r="D68" t="inlineStr">
        <is>
          <t>GOTLANDS LÄN</t>
        </is>
      </c>
      <c r="E68" t="inlineStr">
        <is>
          <t>GOTLAND</t>
        </is>
      </c>
      <c r="G68" t="n">
        <v>2.7</v>
      </c>
      <c r="H68" t="n">
        <v>1</v>
      </c>
      <c r="I68" t="n">
        <v>0</v>
      </c>
      <c r="J68" t="n">
        <v>4</v>
      </c>
      <c r="K68" t="n">
        <v>1</v>
      </c>
      <c r="L68" t="n">
        <v>0</v>
      </c>
      <c r="M68" t="n">
        <v>0</v>
      </c>
      <c r="N68" t="n">
        <v>0</v>
      </c>
      <c r="O68" t="n">
        <v>5</v>
      </c>
      <c r="P68" t="n">
        <v>1</v>
      </c>
      <c r="Q68" t="n">
        <v>5</v>
      </c>
      <c r="R68" s="2" t="inlineStr">
        <is>
          <t>Garderönn
Backtimjan
Odörspindling
Smedbock
Svinrot</t>
        </is>
      </c>
      <c r="S68">
        <f>HYPERLINK("https://klasma.github.io/Logging_0980/artfynd/A 2213-2023 artfynd.xlsx", "A 2213-2023")</f>
        <v/>
      </c>
      <c r="T68">
        <f>HYPERLINK("https://klasma.github.io/Logging_0980/kartor/A 2213-2023 karta.png", "A 2213-2023")</f>
        <v/>
      </c>
      <c r="V68">
        <f>HYPERLINK("https://klasma.github.io/Logging_0980/klagomål/A 2213-2023 FSC-klagomål.docx", "A 2213-2023")</f>
        <v/>
      </c>
      <c r="W68">
        <f>HYPERLINK("https://klasma.github.io/Logging_0980/klagomålsmail/A 2213-2023 FSC-klagomål mail.docx", "A 2213-2023")</f>
        <v/>
      </c>
      <c r="X68">
        <f>HYPERLINK("https://klasma.github.io/Logging_0980/tillsyn/A 2213-2023 tillsynsbegäran.docx", "A 2213-2023")</f>
        <v/>
      </c>
      <c r="Y68">
        <f>HYPERLINK("https://klasma.github.io/Logging_0980/tillsynsmail/A 2213-2023 tillsynsbegäran mail.docx", "A 2213-2023")</f>
        <v/>
      </c>
    </row>
    <row r="69" ht="15" customHeight="1">
      <c r="A69" t="inlineStr">
        <is>
          <t>A 16375-2025</t>
        </is>
      </c>
      <c r="B69" s="1" t="n">
        <v>45751.41064814815</v>
      </c>
      <c r="C69" s="1" t="n">
        <v>45912</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42936-2024</t>
        </is>
      </c>
      <c r="B70" s="1" t="n">
        <v>45567</v>
      </c>
      <c r="C70" s="1" t="n">
        <v>45912</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54055-2022</t>
        </is>
      </c>
      <c r="B71" s="1" t="n">
        <v>44881</v>
      </c>
      <c r="C71" s="1" t="n">
        <v>45912</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45912</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35293-2025</t>
        </is>
      </c>
      <c r="B73" s="1" t="n">
        <v>45854.39438657407</v>
      </c>
      <c r="C73" s="1" t="n">
        <v>45912</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29331-2021</t>
        </is>
      </c>
      <c r="B74" s="1" t="n">
        <v>44361</v>
      </c>
      <c r="C74" s="1" t="n">
        <v>45912</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45912</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186-2023</t>
        </is>
      </c>
      <c r="B76" s="1" t="n">
        <v>44928</v>
      </c>
      <c r="C76" s="1" t="n">
        <v>45912</v>
      </c>
      <c r="D76" t="inlineStr">
        <is>
          <t>GOTLANDS LÄN</t>
        </is>
      </c>
      <c r="E76" t="inlineStr">
        <is>
          <t>GOTLAND</t>
        </is>
      </c>
      <c r="G76" t="n">
        <v>2.2</v>
      </c>
      <c r="H76" t="n">
        <v>2</v>
      </c>
      <c r="I76" t="n">
        <v>2</v>
      </c>
      <c r="J76" t="n">
        <v>0</v>
      </c>
      <c r="K76" t="n">
        <v>2</v>
      </c>
      <c r="L76" t="n">
        <v>0</v>
      </c>
      <c r="M76" t="n">
        <v>0</v>
      </c>
      <c r="N76" t="n">
        <v>0</v>
      </c>
      <c r="O76" t="n">
        <v>2</v>
      </c>
      <c r="P76" t="n">
        <v>2</v>
      </c>
      <c r="Q76" t="n">
        <v>4</v>
      </c>
      <c r="R76" s="2" t="inlineStr">
        <is>
          <t>Svartgrön spindling
Vit taggsvamp
Nästrot
Skogsknipprot</t>
        </is>
      </c>
      <c r="S76">
        <f>HYPERLINK("https://klasma.github.io/Logging_0980/artfynd/A 186-2023 artfynd.xlsx", "A 186-2023")</f>
        <v/>
      </c>
      <c r="T76">
        <f>HYPERLINK("https://klasma.github.io/Logging_0980/kartor/A 186-2023 karta.png", "A 186-2023")</f>
        <v/>
      </c>
      <c r="V76">
        <f>HYPERLINK("https://klasma.github.io/Logging_0980/klagomål/A 186-2023 FSC-klagomål.docx", "A 186-2023")</f>
        <v/>
      </c>
      <c r="W76">
        <f>HYPERLINK("https://klasma.github.io/Logging_0980/klagomålsmail/A 186-2023 FSC-klagomål mail.docx", "A 186-2023")</f>
        <v/>
      </c>
      <c r="X76">
        <f>HYPERLINK("https://klasma.github.io/Logging_0980/tillsyn/A 186-2023 tillsynsbegäran.docx", "A 186-2023")</f>
        <v/>
      </c>
      <c r="Y76">
        <f>HYPERLINK("https://klasma.github.io/Logging_0980/tillsynsmail/A 186-2023 tillsynsbegäran mail.docx", "A 186-2023")</f>
        <v/>
      </c>
    </row>
    <row r="77" ht="15" customHeight="1">
      <c r="A77" t="inlineStr">
        <is>
          <t>A 56717-2024</t>
        </is>
      </c>
      <c r="B77" s="1" t="n">
        <v>45628.3166550926</v>
      </c>
      <c r="C77" s="1" t="n">
        <v>45912</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20833-2024</t>
        </is>
      </c>
      <c r="B78" s="1" t="n">
        <v>45439</v>
      </c>
      <c r="C78" s="1" t="n">
        <v>45912</v>
      </c>
      <c r="D78" t="inlineStr">
        <is>
          <t>GOTLANDS LÄN</t>
        </is>
      </c>
      <c r="E78" t="inlineStr">
        <is>
          <t>GOTLAND</t>
        </is>
      </c>
      <c r="G78" t="n">
        <v>0.9</v>
      </c>
      <c r="H78" t="n">
        <v>3</v>
      </c>
      <c r="I78" t="n">
        <v>1</v>
      </c>
      <c r="J78" t="n">
        <v>3</v>
      </c>
      <c r="K78" t="n">
        <v>0</v>
      </c>
      <c r="L78" t="n">
        <v>0</v>
      </c>
      <c r="M78" t="n">
        <v>0</v>
      </c>
      <c r="N78" t="n">
        <v>0</v>
      </c>
      <c r="O78" t="n">
        <v>3</v>
      </c>
      <c r="P78" t="n">
        <v>0</v>
      </c>
      <c r="Q78" t="n">
        <v>4</v>
      </c>
      <c r="R78" s="2" t="inlineStr">
        <is>
          <t>Dårgräsfjäril
Spillkråka
Svinrot
Skogsknipprot</t>
        </is>
      </c>
      <c r="S78">
        <f>HYPERLINK("https://klasma.github.io/Logging_0980/artfynd/A 20833-2024 artfynd.xlsx", "A 20833-2024")</f>
        <v/>
      </c>
      <c r="T78">
        <f>HYPERLINK("https://klasma.github.io/Logging_0980/kartor/A 20833-2024 karta.png", "A 20833-2024")</f>
        <v/>
      </c>
      <c r="V78">
        <f>HYPERLINK("https://klasma.github.io/Logging_0980/klagomål/A 20833-2024 FSC-klagomål.docx", "A 20833-2024")</f>
        <v/>
      </c>
      <c r="W78">
        <f>HYPERLINK("https://klasma.github.io/Logging_0980/klagomålsmail/A 20833-2024 FSC-klagomål mail.docx", "A 20833-2024")</f>
        <v/>
      </c>
      <c r="X78">
        <f>HYPERLINK("https://klasma.github.io/Logging_0980/tillsyn/A 20833-2024 tillsynsbegäran.docx", "A 20833-2024")</f>
        <v/>
      </c>
      <c r="Y78">
        <f>HYPERLINK("https://klasma.github.io/Logging_0980/tillsynsmail/A 20833-2024 tillsynsbegäran mail.docx", "A 20833-2024")</f>
        <v/>
      </c>
      <c r="Z78">
        <f>HYPERLINK("https://klasma.github.io/Logging_0980/fåglar/A 20833-2024 prioriterade fågelarter.docx", "A 20833-2024")</f>
        <v/>
      </c>
    </row>
    <row r="79" ht="15" customHeight="1">
      <c r="A79" t="inlineStr">
        <is>
          <t>A 54523-2023</t>
        </is>
      </c>
      <c r="B79" s="1" t="n">
        <v>45233</v>
      </c>
      <c r="C79" s="1" t="n">
        <v>45912</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45912</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45912</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40099-2025</t>
        </is>
      </c>
      <c r="B82" s="1" t="n">
        <v>45894.48462962963</v>
      </c>
      <c r="C82" s="1" t="n">
        <v>45912</v>
      </c>
      <c r="D82" t="inlineStr">
        <is>
          <t>GOTLANDS LÄN</t>
        </is>
      </c>
      <c r="E82" t="inlineStr">
        <is>
          <t>GOTLAND</t>
        </is>
      </c>
      <c r="G82" t="n">
        <v>6.5</v>
      </c>
      <c r="H82" t="n">
        <v>0</v>
      </c>
      <c r="I82" t="n">
        <v>3</v>
      </c>
      <c r="J82" t="n">
        <v>0</v>
      </c>
      <c r="K82" t="n">
        <v>1</v>
      </c>
      <c r="L82" t="n">
        <v>0</v>
      </c>
      <c r="M82" t="n">
        <v>0</v>
      </c>
      <c r="N82" t="n">
        <v>0</v>
      </c>
      <c r="O82" t="n">
        <v>1</v>
      </c>
      <c r="P82" t="n">
        <v>1</v>
      </c>
      <c r="Q82" t="n">
        <v>4</v>
      </c>
      <c r="R82" s="2" t="inlineStr">
        <is>
          <t>Mörkfjällig olivspindling
Fjällig taggsvamp s.str.
Olivspindling
Svavelriska</t>
        </is>
      </c>
      <c r="S82">
        <f>HYPERLINK("https://klasma.github.io/Logging_0980/artfynd/A 40099-2025 artfynd.xlsx", "A 40099-2025")</f>
        <v/>
      </c>
      <c r="T82">
        <f>HYPERLINK("https://klasma.github.io/Logging_0980/kartor/A 40099-2025 karta.png", "A 40099-2025")</f>
        <v/>
      </c>
      <c r="V82">
        <f>HYPERLINK("https://klasma.github.io/Logging_0980/klagomål/A 40099-2025 FSC-klagomål.docx", "A 40099-2025")</f>
        <v/>
      </c>
      <c r="W82">
        <f>HYPERLINK("https://klasma.github.io/Logging_0980/klagomålsmail/A 40099-2025 FSC-klagomål mail.docx", "A 40099-2025")</f>
        <v/>
      </c>
      <c r="X82">
        <f>HYPERLINK("https://klasma.github.io/Logging_0980/tillsyn/A 40099-2025 tillsynsbegäran.docx", "A 40099-2025")</f>
        <v/>
      </c>
      <c r="Y82">
        <f>HYPERLINK("https://klasma.github.io/Logging_0980/tillsynsmail/A 40099-2025 tillsynsbegäran mail.docx", "A 40099-2025")</f>
        <v/>
      </c>
    </row>
    <row r="83" ht="15" customHeight="1">
      <c r="A83" t="inlineStr">
        <is>
          <t>A 6159-2023</t>
        </is>
      </c>
      <c r="B83" s="1" t="n">
        <v>44964</v>
      </c>
      <c r="C83" s="1" t="n">
        <v>45912</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45912</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45912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44933-2022</t>
        </is>
      </c>
      <c r="B86" s="1" t="n">
        <v>44841</v>
      </c>
      <c r="C86" s="1" t="n">
        <v>45912</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64378-2020</t>
        </is>
      </c>
      <c r="B87" s="1" t="n">
        <v>44168</v>
      </c>
      <c r="C87" s="1" t="n">
        <v>45912</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45912</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45912</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45912</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45912</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45912</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45912</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45912</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43013-2022</t>
        </is>
      </c>
      <c r="B95" s="1" t="n">
        <v>44833</v>
      </c>
      <c r="C95" s="1" t="n">
        <v>45912</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17982-2023</t>
        </is>
      </c>
      <c r="B96" s="1" t="n">
        <v>45040</v>
      </c>
      <c r="C96" s="1" t="n">
        <v>45912</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13499-2022</t>
        </is>
      </c>
      <c r="B97" s="1" t="n">
        <v>44647.79203703703</v>
      </c>
      <c r="C97" s="1" t="n">
        <v>45912</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45912</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53552-2021</t>
        </is>
      </c>
      <c r="B99" s="1" t="n">
        <v>44468</v>
      </c>
      <c r="C99" s="1" t="n">
        <v>45912</v>
      </c>
      <c r="D99" t="inlineStr">
        <is>
          <t>GOTLANDS LÄN</t>
        </is>
      </c>
      <c r="E99" t="inlineStr">
        <is>
          <t>GOTLAND</t>
        </is>
      </c>
      <c r="G99" t="n">
        <v>6.2</v>
      </c>
      <c r="H99" t="n">
        <v>2</v>
      </c>
      <c r="I99" t="n">
        <v>0</v>
      </c>
      <c r="J99" t="n">
        <v>1</v>
      </c>
      <c r="K99" t="n">
        <v>0</v>
      </c>
      <c r="L99" t="n">
        <v>0</v>
      </c>
      <c r="M99" t="n">
        <v>0</v>
      </c>
      <c r="N99" t="n">
        <v>0</v>
      </c>
      <c r="O99" t="n">
        <v>1</v>
      </c>
      <c r="P99" t="n">
        <v>0</v>
      </c>
      <c r="Q99" t="n">
        <v>3</v>
      </c>
      <c r="R99" s="2" t="inlineStr">
        <is>
          <t>Bredbrämad bastardsvärmare
Grönvit nattviol
Gullviva</t>
        </is>
      </c>
      <c r="S99">
        <f>HYPERLINK("https://klasma.github.io/Logging_0980/artfynd/A 53552-2021 artfynd.xlsx", "A 53552-2021")</f>
        <v/>
      </c>
      <c r="T99">
        <f>HYPERLINK("https://klasma.github.io/Logging_0980/kartor/A 53552-2021 karta.png", "A 53552-2021")</f>
        <v/>
      </c>
      <c r="V99">
        <f>HYPERLINK("https://klasma.github.io/Logging_0980/klagomål/A 53552-2021 FSC-klagomål.docx", "A 53552-2021")</f>
        <v/>
      </c>
      <c r="W99">
        <f>HYPERLINK("https://klasma.github.io/Logging_0980/klagomålsmail/A 53552-2021 FSC-klagomål mail.docx", "A 53552-2021")</f>
        <v/>
      </c>
      <c r="X99">
        <f>HYPERLINK("https://klasma.github.io/Logging_0980/tillsyn/A 53552-2021 tillsynsbegäran.docx", "A 53552-2021")</f>
        <v/>
      </c>
      <c r="Y99">
        <f>HYPERLINK("https://klasma.github.io/Logging_0980/tillsynsmail/A 53552-2021 tillsynsbegäran mail.docx", "A 53552-2021")</f>
        <v/>
      </c>
    </row>
    <row r="100" ht="15" customHeight="1">
      <c r="A100" t="inlineStr">
        <is>
          <t>A 12315-2024</t>
        </is>
      </c>
      <c r="B100" s="1" t="n">
        <v>45378.6434837963</v>
      </c>
      <c r="C100" s="1" t="n">
        <v>45912</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48126-2022</t>
        </is>
      </c>
      <c r="B101" s="1" t="n">
        <v>44857</v>
      </c>
      <c r="C101" s="1" t="n">
        <v>45912</v>
      </c>
      <c r="D101" t="inlineStr">
        <is>
          <t>GOTLANDS LÄN</t>
        </is>
      </c>
      <c r="E101" t="inlineStr">
        <is>
          <t>GOTLAND</t>
        </is>
      </c>
      <c r="G101" t="n">
        <v>9.800000000000001</v>
      </c>
      <c r="H101" t="n">
        <v>1</v>
      </c>
      <c r="I101" t="n">
        <v>0</v>
      </c>
      <c r="J101" t="n">
        <v>3</v>
      </c>
      <c r="K101" t="n">
        <v>0</v>
      </c>
      <c r="L101" t="n">
        <v>0</v>
      </c>
      <c r="M101" t="n">
        <v>0</v>
      </c>
      <c r="N101" t="n">
        <v>0</v>
      </c>
      <c r="O101" t="n">
        <v>3</v>
      </c>
      <c r="P101" t="n">
        <v>0</v>
      </c>
      <c r="Q101" t="n">
        <v>3</v>
      </c>
      <c r="R101" s="2" t="inlineStr">
        <is>
          <t>Jordtistel
Spillkråka
Svinrot</t>
        </is>
      </c>
      <c r="S101">
        <f>HYPERLINK("https://klasma.github.io/Logging_0980/artfynd/A 48126-2022 artfynd.xlsx", "A 48126-2022")</f>
        <v/>
      </c>
      <c r="T101">
        <f>HYPERLINK("https://klasma.github.io/Logging_0980/kartor/A 48126-2022 karta.png", "A 48126-2022")</f>
        <v/>
      </c>
      <c r="V101">
        <f>HYPERLINK("https://klasma.github.io/Logging_0980/klagomål/A 48126-2022 FSC-klagomål.docx", "A 48126-2022")</f>
        <v/>
      </c>
      <c r="W101">
        <f>HYPERLINK("https://klasma.github.io/Logging_0980/klagomålsmail/A 48126-2022 FSC-klagomål mail.docx", "A 48126-2022")</f>
        <v/>
      </c>
      <c r="X101">
        <f>HYPERLINK("https://klasma.github.io/Logging_0980/tillsyn/A 48126-2022 tillsynsbegäran.docx", "A 48126-2022")</f>
        <v/>
      </c>
      <c r="Y101">
        <f>HYPERLINK("https://klasma.github.io/Logging_0980/tillsynsmail/A 48126-2022 tillsynsbegäran mail.docx", "A 48126-2022")</f>
        <v/>
      </c>
      <c r="Z101">
        <f>HYPERLINK("https://klasma.github.io/Logging_0980/fåglar/A 48126-2022 prioriterade fågelarter.docx", "A 48126-2022")</f>
        <v/>
      </c>
    </row>
    <row r="102" ht="15" customHeight="1">
      <c r="A102" t="inlineStr">
        <is>
          <t>A 30490-2025</t>
        </is>
      </c>
      <c r="B102" s="1" t="n">
        <v>45830</v>
      </c>
      <c r="C102" s="1" t="n">
        <v>45912</v>
      </c>
      <c r="D102" t="inlineStr">
        <is>
          <t>GOTLANDS LÄN</t>
        </is>
      </c>
      <c r="E102" t="inlineStr">
        <is>
          <t>GOTLAND</t>
        </is>
      </c>
      <c r="G102" t="n">
        <v>7.9</v>
      </c>
      <c r="H102" t="n">
        <v>1</v>
      </c>
      <c r="I102" t="n">
        <v>0</v>
      </c>
      <c r="J102" t="n">
        <v>2</v>
      </c>
      <c r="K102" t="n">
        <v>0</v>
      </c>
      <c r="L102" t="n">
        <v>0</v>
      </c>
      <c r="M102" t="n">
        <v>0</v>
      </c>
      <c r="N102" t="n">
        <v>0</v>
      </c>
      <c r="O102" t="n">
        <v>2</v>
      </c>
      <c r="P102" t="n">
        <v>0</v>
      </c>
      <c r="Q102" t="n">
        <v>3</v>
      </c>
      <c r="R102" s="2" t="inlineStr">
        <is>
          <t>Klasefibbla
Majviva
Nattviol</t>
        </is>
      </c>
      <c r="S102">
        <f>HYPERLINK("https://klasma.github.io/Logging_0980/artfynd/A 30490-2025 artfynd.xlsx", "A 30490-2025")</f>
        <v/>
      </c>
      <c r="T102">
        <f>HYPERLINK("https://klasma.github.io/Logging_0980/kartor/A 30490-2025 karta.png", "A 30490-2025")</f>
        <v/>
      </c>
      <c r="V102">
        <f>HYPERLINK("https://klasma.github.io/Logging_0980/klagomål/A 30490-2025 FSC-klagomål.docx", "A 30490-2025")</f>
        <v/>
      </c>
      <c r="W102">
        <f>HYPERLINK("https://klasma.github.io/Logging_0980/klagomålsmail/A 30490-2025 FSC-klagomål mail.docx", "A 30490-2025")</f>
        <v/>
      </c>
      <c r="X102">
        <f>HYPERLINK("https://klasma.github.io/Logging_0980/tillsyn/A 30490-2025 tillsynsbegäran.docx", "A 30490-2025")</f>
        <v/>
      </c>
      <c r="Y102">
        <f>HYPERLINK("https://klasma.github.io/Logging_0980/tillsynsmail/A 30490-2025 tillsynsbegäran mail.docx", "A 30490-2025")</f>
        <v/>
      </c>
    </row>
    <row r="103" ht="15" customHeight="1">
      <c r="A103" t="inlineStr">
        <is>
          <t>A 20831-2024</t>
        </is>
      </c>
      <c r="B103" s="1" t="n">
        <v>45439</v>
      </c>
      <c r="C103" s="1" t="n">
        <v>45912</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17975-2024</t>
        </is>
      </c>
      <c r="B104" s="1" t="n">
        <v>45419.85546296297</v>
      </c>
      <c r="C104" s="1" t="n">
        <v>45912</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62326-2020</t>
        </is>
      </c>
      <c r="B105" s="1" t="n">
        <v>44160</v>
      </c>
      <c r="C105" s="1" t="n">
        <v>45912</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45912</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45912</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45912</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45912</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45912</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45912</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45912</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55649-2024</t>
        </is>
      </c>
      <c r="B113" s="1" t="n">
        <v>45622.63053240741</v>
      </c>
      <c r="C113" s="1" t="n">
        <v>45912</v>
      </c>
      <c r="D113" t="inlineStr">
        <is>
          <t>GOTLANDS LÄN</t>
        </is>
      </c>
      <c r="E113" t="inlineStr">
        <is>
          <t>GOTLAND</t>
        </is>
      </c>
      <c r="G113" t="n">
        <v>4.6</v>
      </c>
      <c r="H113" t="n">
        <v>2</v>
      </c>
      <c r="I113" t="n">
        <v>0</v>
      </c>
      <c r="J113" t="n">
        <v>0</v>
      </c>
      <c r="K113" t="n">
        <v>0</v>
      </c>
      <c r="L113" t="n">
        <v>0</v>
      </c>
      <c r="M113" t="n">
        <v>0</v>
      </c>
      <c r="N113" t="n">
        <v>0</v>
      </c>
      <c r="O113" t="n">
        <v>0</v>
      </c>
      <c r="P113" t="n">
        <v>0</v>
      </c>
      <c r="Q113" t="n">
        <v>2</v>
      </c>
      <c r="R113" s="2" t="inlineStr">
        <is>
          <t>Sankt pers nycklar
Blåsippa</t>
        </is>
      </c>
      <c r="S113">
        <f>HYPERLINK("https://klasma.github.io/Logging_0980/artfynd/A 55649-2024 artfynd.xlsx", "A 55649-2024")</f>
        <v/>
      </c>
      <c r="T113">
        <f>HYPERLINK("https://klasma.github.io/Logging_0980/kartor/A 55649-2024 karta.png", "A 55649-2024")</f>
        <v/>
      </c>
      <c r="V113">
        <f>HYPERLINK("https://klasma.github.io/Logging_0980/klagomål/A 55649-2024 FSC-klagomål.docx", "A 55649-2024")</f>
        <v/>
      </c>
      <c r="W113">
        <f>HYPERLINK("https://klasma.github.io/Logging_0980/klagomålsmail/A 55649-2024 FSC-klagomål mail.docx", "A 55649-2024")</f>
        <v/>
      </c>
      <c r="X113">
        <f>HYPERLINK("https://klasma.github.io/Logging_0980/tillsyn/A 55649-2024 tillsynsbegäran.docx", "A 55649-2024")</f>
        <v/>
      </c>
      <c r="Y113">
        <f>HYPERLINK("https://klasma.github.io/Logging_0980/tillsynsmail/A 55649-2024 tillsynsbegäran mail.docx", "A 55649-2024")</f>
        <v/>
      </c>
    </row>
    <row r="114" ht="15" customHeight="1">
      <c r="A114" t="inlineStr">
        <is>
          <t>A 28261-2024</t>
        </is>
      </c>
      <c r="B114" s="1" t="n">
        <v>45477</v>
      </c>
      <c r="C114" s="1" t="n">
        <v>45912</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45912</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21879-2025</t>
        </is>
      </c>
      <c r="B116" s="1" t="n">
        <v>45784.40533564815</v>
      </c>
      <c r="C116" s="1" t="n">
        <v>45912</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58701-2020</t>
        </is>
      </c>
      <c r="B117" s="1" t="n">
        <v>44146</v>
      </c>
      <c r="C117" s="1" t="n">
        <v>45912</v>
      </c>
      <c r="D117" t="inlineStr">
        <is>
          <t>GOTLANDS LÄN</t>
        </is>
      </c>
      <c r="E117" t="inlineStr">
        <is>
          <t>GOTLAND</t>
        </is>
      </c>
      <c r="G117" t="n">
        <v>5.5</v>
      </c>
      <c r="H117" t="n">
        <v>0</v>
      </c>
      <c r="I117" t="n">
        <v>0</v>
      </c>
      <c r="J117" t="n">
        <v>1</v>
      </c>
      <c r="K117" t="n">
        <v>1</v>
      </c>
      <c r="L117" t="n">
        <v>0</v>
      </c>
      <c r="M117" t="n">
        <v>0</v>
      </c>
      <c r="N117" t="n">
        <v>0</v>
      </c>
      <c r="O117" t="n">
        <v>2</v>
      </c>
      <c r="P117" t="n">
        <v>1</v>
      </c>
      <c r="Q117" t="n">
        <v>2</v>
      </c>
      <c r="R117" s="2" t="inlineStr">
        <is>
          <t>Vit taggsvamp
Odörspindling</t>
        </is>
      </c>
      <c r="S117">
        <f>HYPERLINK("https://klasma.github.io/Logging_0980/artfynd/A 58701-2020 artfynd.xlsx", "A 58701-2020")</f>
        <v/>
      </c>
      <c r="T117">
        <f>HYPERLINK("https://klasma.github.io/Logging_0980/kartor/A 58701-2020 karta.png", "A 58701-2020")</f>
        <v/>
      </c>
      <c r="V117">
        <f>HYPERLINK("https://klasma.github.io/Logging_0980/klagomål/A 58701-2020 FSC-klagomål.docx", "A 58701-2020")</f>
        <v/>
      </c>
      <c r="W117">
        <f>HYPERLINK("https://klasma.github.io/Logging_0980/klagomålsmail/A 58701-2020 FSC-klagomål mail.docx", "A 58701-2020")</f>
        <v/>
      </c>
      <c r="X117">
        <f>HYPERLINK("https://klasma.github.io/Logging_0980/tillsyn/A 58701-2020 tillsynsbegäran.docx", "A 58701-2020")</f>
        <v/>
      </c>
      <c r="Y117">
        <f>HYPERLINK("https://klasma.github.io/Logging_0980/tillsynsmail/A 58701-2020 tillsynsbegäran mail.docx", "A 58701-2020")</f>
        <v/>
      </c>
    </row>
    <row r="118" ht="15" customHeight="1">
      <c r="A118" t="inlineStr">
        <is>
          <t>A 26077-2024</t>
        </is>
      </c>
      <c r="B118" s="1" t="n">
        <v>45467</v>
      </c>
      <c r="C118" s="1" t="n">
        <v>45912</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7070-2022</t>
        </is>
      </c>
      <c r="B119" s="1" t="n">
        <v>44603</v>
      </c>
      <c r="C119" s="1" t="n">
        <v>45912</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64263-2020</t>
        </is>
      </c>
      <c r="B120" s="1" t="n">
        <v>44168</v>
      </c>
      <c r="C120" s="1" t="n">
        <v>45912</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12914-2025</t>
        </is>
      </c>
      <c r="B121" s="1" t="n">
        <v>45733</v>
      </c>
      <c r="C121" s="1" t="n">
        <v>45912</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43219-2023</t>
        </is>
      </c>
      <c r="B122" s="1" t="n">
        <v>45183</v>
      </c>
      <c r="C122" s="1" t="n">
        <v>45912</v>
      </c>
      <c r="D122" t="inlineStr">
        <is>
          <t>GOTLANDS LÄN</t>
        </is>
      </c>
      <c r="E122" t="inlineStr">
        <is>
          <t>GOTLAND</t>
        </is>
      </c>
      <c r="G122" t="n">
        <v>3.6</v>
      </c>
      <c r="H122" t="n">
        <v>1</v>
      </c>
      <c r="I122" t="n">
        <v>0</v>
      </c>
      <c r="J122" t="n">
        <v>1</v>
      </c>
      <c r="K122" t="n">
        <v>0</v>
      </c>
      <c r="L122" t="n">
        <v>0</v>
      </c>
      <c r="M122" t="n">
        <v>0</v>
      </c>
      <c r="N122" t="n">
        <v>0</v>
      </c>
      <c r="O122" t="n">
        <v>1</v>
      </c>
      <c r="P122" t="n">
        <v>0</v>
      </c>
      <c r="Q122" t="n">
        <v>2</v>
      </c>
      <c r="R122" s="2" t="inlineStr">
        <is>
          <t>Axveronika
Skogsduva</t>
        </is>
      </c>
      <c r="S122">
        <f>HYPERLINK("https://klasma.github.io/Logging_0980/artfynd/A 43219-2023 artfynd.xlsx", "A 43219-2023")</f>
        <v/>
      </c>
      <c r="T122">
        <f>HYPERLINK("https://klasma.github.io/Logging_0980/kartor/A 43219-2023 karta.png", "A 43219-2023")</f>
        <v/>
      </c>
      <c r="V122">
        <f>HYPERLINK("https://klasma.github.io/Logging_0980/klagomål/A 43219-2023 FSC-klagomål.docx", "A 43219-2023")</f>
        <v/>
      </c>
      <c r="W122">
        <f>HYPERLINK("https://klasma.github.io/Logging_0980/klagomålsmail/A 43219-2023 FSC-klagomål mail.docx", "A 43219-2023")</f>
        <v/>
      </c>
      <c r="X122">
        <f>HYPERLINK("https://klasma.github.io/Logging_0980/tillsyn/A 43219-2023 tillsynsbegäran.docx", "A 43219-2023")</f>
        <v/>
      </c>
      <c r="Y122">
        <f>HYPERLINK("https://klasma.github.io/Logging_0980/tillsynsmail/A 43219-2023 tillsynsbegäran mail.docx", "A 43219-2023")</f>
        <v/>
      </c>
      <c r="Z122">
        <f>HYPERLINK("https://klasma.github.io/Logging_0980/fåglar/A 43219-2023 prioriterade fågelarter.docx", "A 43219-2023")</f>
        <v/>
      </c>
    </row>
    <row r="123" ht="15" customHeight="1">
      <c r="A123" t="inlineStr">
        <is>
          <t>A 41238-2025</t>
        </is>
      </c>
      <c r="B123" s="1" t="n">
        <v>45898</v>
      </c>
      <c r="C123" s="1" t="n">
        <v>45912</v>
      </c>
      <c r="D123" t="inlineStr">
        <is>
          <t>GOTLANDS LÄN</t>
        </is>
      </c>
      <c r="E123" t="inlineStr">
        <is>
          <t>GOTLAND</t>
        </is>
      </c>
      <c r="G123" t="n">
        <v>7.1</v>
      </c>
      <c r="H123" t="n">
        <v>1</v>
      </c>
      <c r="I123" t="n">
        <v>2</v>
      </c>
      <c r="J123" t="n">
        <v>0</v>
      </c>
      <c r="K123" t="n">
        <v>0</v>
      </c>
      <c r="L123" t="n">
        <v>0</v>
      </c>
      <c r="M123" t="n">
        <v>0</v>
      </c>
      <c r="N123" t="n">
        <v>0</v>
      </c>
      <c r="O123" t="n">
        <v>0</v>
      </c>
      <c r="P123" t="n">
        <v>0</v>
      </c>
      <c r="Q123" t="n">
        <v>2</v>
      </c>
      <c r="R123" s="2" t="inlineStr">
        <is>
          <t>Granbarkgnagare
Skogsknipprot</t>
        </is>
      </c>
      <c r="S123">
        <f>HYPERLINK("https://klasma.github.io/Logging_0980/artfynd/A 41238-2025 artfynd.xlsx", "A 41238-2025")</f>
        <v/>
      </c>
      <c r="T123">
        <f>HYPERLINK("https://klasma.github.io/Logging_0980/kartor/A 41238-2025 karta.png", "A 41238-2025")</f>
        <v/>
      </c>
      <c r="V123">
        <f>HYPERLINK("https://klasma.github.io/Logging_0980/klagomål/A 41238-2025 FSC-klagomål.docx", "A 41238-2025")</f>
        <v/>
      </c>
      <c r="W123">
        <f>HYPERLINK("https://klasma.github.io/Logging_0980/klagomålsmail/A 41238-2025 FSC-klagomål mail.docx", "A 41238-2025")</f>
        <v/>
      </c>
      <c r="X123">
        <f>HYPERLINK("https://klasma.github.io/Logging_0980/tillsyn/A 41238-2025 tillsynsbegäran.docx", "A 41238-2025")</f>
        <v/>
      </c>
      <c r="Y123">
        <f>HYPERLINK("https://klasma.github.io/Logging_0980/tillsynsmail/A 41238-2025 tillsynsbegäran mail.docx", "A 41238-2025")</f>
        <v/>
      </c>
    </row>
    <row r="124" ht="15" customHeight="1">
      <c r="A124" t="inlineStr">
        <is>
          <t>A 54357-2024</t>
        </is>
      </c>
      <c r="B124" s="1" t="n">
        <v>45617.40662037037</v>
      </c>
      <c r="C124" s="1" t="n">
        <v>45912</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28276-2024</t>
        </is>
      </c>
      <c r="B125" s="1" t="n">
        <v>45477</v>
      </c>
      <c r="C125" s="1" t="n">
        <v>45912</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20838-2024</t>
        </is>
      </c>
      <c r="B126" s="1" t="n">
        <v>45439</v>
      </c>
      <c r="C126" s="1" t="n">
        <v>45912</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24-2021</t>
        </is>
      </c>
      <c r="B127" s="1" t="n">
        <v>44197</v>
      </c>
      <c r="C127" s="1" t="n">
        <v>45912</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45912</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45912</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45912</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45912</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24245-2022</t>
        </is>
      </c>
      <c r="B132" s="1" t="n">
        <v>44725</v>
      </c>
      <c r="C132" s="1" t="n">
        <v>45912</v>
      </c>
      <c r="D132" t="inlineStr">
        <is>
          <t>GOTLANDS LÄN</t>
        </is>
      </c>
      <c r="E132" t="inlineStr">
        <is>
          <t>GOTLAND</t>
        </is>
      </c>
      <c r="G132" t="n">
        <v>4.9</v>
      </c>
      <c r="H132" t="n">
        <v>0</v>
      </c>
      <c r="I132" t="n">
        <v>0</v>
      </c>
      <c r="J132" t="n">
        <v>0</v>
      </c>
      <c r="K132" t="n">
        <v>0</v>
      </c>
      <c r="L132" t="n">
        <v>1</v>
      </c>
      <c r="M132" t="n">
        <v>0</v>
      </c>
      <c r="N132" t="n">
        <v>0</v>
      </c>
      <c r="O132" t="n">
        <v>1</v>
      </c>
      <c r="P132" t="n">
        <v>1</v>
      </c>
      <c r="Q132" t="n">
        <v>1</v>
      </c>
      <c r="R132" s="2" t="inlineStr">
        <is>
          <t>Slät taggsvamp</t>
        </is>
      </c>
      <c r="S132">
        <f>HYPERLINK("https://klasma.github.io/Logging_0980/artfynd/A 24245-2022 artfynd.xlsx", "A 24245-2022")</f>
        <v/>
      </c>
      <c r="T132">
        <f>HYPERLINK("https://klasma.github.io/Logging_0980/kartor/A 24245-2022 karta.png", "A 24245-2022")</f>
        <v/>
      </c>
      <c r="V132">
        <f>HYPERLINK("https://klasma.github.io/Logging_0980/klagomål/A 24245-2022 FSC-klagomål.docx", "A 24245-2022")</f>
        <v/>
      </c>
      <c r="W132">
        <f>HYPERLINK("https://klasma.github.io/Logging_0980/klagomålsmail/A 24245-2022 FSC-klagomål mail.docx", "A 24245-2022")</f>
        <v/>
      </c>
      <c r="X132">
        <f>HYPERLINK("https://klasma.github.io/Logging_0980/tillsyn/A 24245-2022 tillsynsbegäran.docx", "A 24245-2022")</f>
        <v/>
      </c>
      <c r="Y132">
        <f>HYPERLINK("https://klasma.github.io/Logging_0980/tillsynsmail/A 24245-2022 tillsynsbegäran mail.docx", "A 24245-2022")</f>
        <v/>
      </c>
    </row>
    <row r="133" ht="15" customHeight="1">
      <c r="A133" t="inlineStr">
        <is>
          <t>A 63576-2021</t>
        </is>
      </c>
      <c r="B133" s="1" t="n">
        <v>44508</v>
      </c>
      <c r="C133" s="1" t="n">
        <v>45912</v>
      </c>
      <c r="D133" t="inlineStr">
        <is>
          <t>GOTLANDS LÄN</t>
        </is>
      </c>
      <c r="E133" t="inlineStr">
        <is>
          <t>GOTLAND</t>
        </is>
      </c>
      <c r="F133" t="inlineStr">
        <is>
          <t>Kyrkan</t>
        </is>
      </c>
      <c r="G133" t="n">
        <v>4.1</v>
      </c>
      <c r="H133" t="n">
        <v>1</v>
      </c>
      <c r="I133" t="n">
        <v>0</v>
      </c>
      <c r="J133" t="n">
        <v>1</v>
      </c>
      <c r="K133" t="n">
        <v>0</v>
      </c>
      <c r="L133" t="n">
        <v>0</v>
      </c>
      <c r="M133" t="n">
        <v>0</v>
      </c>
      <c r="N133" t="n">
        <v>0</v>
      </c>
      <c r="O133" t="n">
        <v>1</v>
      </c>
      <c r="P133" t="n">
        <v>0</v>
      </c>
      <c r="Q133" t="n">
        <v>1</v>
      </c>
      <c r="R133" s="2" t="inlineStr">
        <is>
          <t>Dårgräsfjäril</t>
        </is>
      </c>
      <c r="S133">
        <f>HYPERLINK("https://klasma.github.io/Logging_0980/artfynd/A 63576-2021 artfynd.xlsx", "A 63576-2021")</f>
        <v/>
      </c>
      <c r="T133">
        <f>HYPERLINK("https://klasma.github.io/Logging_0980/kartor/A 63576-2021 karta.png", "A 63576-2021")</f>
        <v/>
      </c>
      <c r="V133">
        <f>HYPERLINK("https://klasma.github.io/Logging_0980/klagomål/A 63576-2021 FSC-klagomål.docx", "A 63576-2021")</f>
        <v/>
      </c>
      <c r="W133">
        <f>HYPERLINK("https://klasma.github.io/Logging_0980/klagomålsmail/A 63576-2021 FSC-klagomål mail.docx", "A 63576-2021")</f>
        <v/>
      </c>
      <c r="X133">
        <f>HYPERLINK("https://klasma.github.io/Logging_0980/tillsyn/A 63576-2021 tillsynsbegäran.docx", "A 63576-2021")</f>
        <v/>
      </c>
      <c r="Y133">
        <f>HYPERLINK("https://klasma.github.io/Logging_0980/tillsynsmail/A 63576-2021 tillsynsbegäran mail.docx", "A 63576-2021")</f>
        <v/>
      </c>
    </row>
    <row r="134" ht="15" customHeight="1">
      <c r="A134" t="inlineStr">
        <is>
          <t>A 49304-2024</t>
        </is>
      </c>
      <c r="B134" s="1" t="n">
        <v>45595.54996527778</v>
      </c>
      <c r="C134" s="1" t="n">
        <v>45912</v>
      </c>
      <c r="D134" t="inlineStr">
        <is>
          <t>GOTLANDS LÄN</t>
        </is>
      </c>
      <c r="E134" t="inlineStr">
        <is>
          <t>GOTLAND</t>
        </is>
      </c>
      <c r="G134" t="n">
        <v>10.8</v>
      </c>
      <c r="H134" t="n">
        <v>0</v>
      </c>
      <c r="I134" t="n">
        <v>0</v>
      </c>
      <c r="J134" t="n">
        <v>1</v>
      </c>
      <c r="K134" t="n">
        <v>0</v>
      </c>
      <c r="L134" t="n">
        <v>0</v>
      </c>
      <c r="M134" t="n">
        <v>0</v>
      </c>
      <c r="N134" t="n">
        <v>0</v>
      </c>
      <c r="O134" t="n">
        <v>1</v>
      </c>
      <c r="P134" t="n">
        <v>0</v>
      </c>
      <c r="Q134" t="n">
        <v>1</v>
      </c>
      <c r="R134" s="2" t="inlineStr">
        <is>
          <t>Åkerranunkel</t>
        </is>
      </c>
      <c r="S134">
        <f>HYPERLINK("https://klasma.github.io/Logging_0980/artfynd/A 49304-2024 artfynd.xlsx", "A 49304-2024")</f>
        <v/>
      </c>
      <c r="T134">
        <f>HYPERLINK("https://klasma.github.io/Logging_0980/kartor/A 49304-2024 karta.png", "A 49304-2024")</f>
        <v/>
      </c>
      <c r="V134">
        <f>HYPERLINK("https://klasma.github.io/Logging_0980/klagomål/A 49304-2024 FSC-klagomål.docx", "A 49304-2024")</f>
        <v/>
      </c>
      <c r="W134">
        <f>HYPERLINK("https://klasma.github.io/Logging_0980/klagomålsmail/A 49304-2024 FSC-klagomål mail.docx", "A 49304-2024")</f>
        <v/>
      </c>
      <c r="X134">
        <f>HYPERLINK("https://klasma.github.io/Logging_0980/tillsyn/A 49304-2024 tillsynsbegäran.docx", "A 49304-2024")</f>
        <v/>
      </c>
      <c r="Y134">
        <f>HYPERLINK("https://klasma.github.io/Logging_0980/tillsynsmail/A 49304-2024 tillsynsbegäran mail.docx", "A 49304-2024")</f>
        <v/>
      </c>
    </row>
    <row r="135" ht="15" customHeight="1">
      <c r="A135" t="inlineStr">
        <is>
          <t>A 21466-2025</t>
        </is>
      </c>
      <c r="B135" s="1" t="n">
        <v>45782</v>
      </c>
      <c r="C135" s="1" t="n">
        <v>45912</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22782-2023</t>
        </is>
      </c>
      <c r="B136" s="1" t="n">
        <v>45072</v>
      </c>
      <c r="C136" s="1" t="n">
        <v>45912</v>
      </c>
      <c r="D136" t="inlineStr">
        <is>
          <t>GOTLANDS LÄN</t>
        </is>
      </c>
      <c r="E136" t="inlineStr">
        <is>
          <t>GOTLAND</t>
        </is>
      </c>
      <c r="F136" t="inlineStr">
        <is>
          <t>Kyrkan</t>
        </is>
      </c>
      <c r="G136" t="n">
        <v>3.1</v>
      </c>
      <c r="H136" t="n">
        <v>1</v>
      </c>
      <c r="I136" t="n">
        <v>0</v>
      </c>
      <c r="J136" t="n">
        <v>0</v>
      </c>
      <c r="K136" t="n">
        <v>0</v>
      </c>
      <c r="L136" t="n">
        <v>0</v>
      </c>
      <c r="M136" t="n">
        <v>0</v>
      </c>
      <c r="N136" t="n">
        <v>0</v>
      </c>
      <c r="O136" t="n">
        <v>0</v>
      </c>
      <c r="P136" t="n">
        <v>0</v>
      </c>
      <c r="Q136" t="n">
        <v>1</v>
      </c>
      <c r="R136" s="2" t="inlineStr">
        <is>
          <t>Ängsnycklar × skogsnycklar</t>
        </is>
      </c>
      <c r="S136">
        <f>HYPERLINK("https://klasma.github.io/Logging_0980/artfynd/A 22782-2023 artfynd.xlsx", "A 22782-2023")</f>
        <v/>
      </c>
      <c r="T136">
        <f>HYPERLINK("https://klasma.github.io/Logging_0980/kartor/A 22782-2023 karta.png", "A 22782-2023")</f>
        <v/>
      </c>
      <c r="V136">
        <f>HYPERLINK("https://klasma.github.io/Logging_0980/klagomål/A 22782-2023 FSC-klagomål.docx", "A 22782-2023")</f>
        <v/>
      </c>
      <c r="W136">
        <f>HYPERLINK("https://klasma.github.io/Logging_0980/klagomålsmail/A 22782-2023 FSC-klagomål mail.docx", "A 22782-2023")</f>
        <v/>
      </c>
      <c r="X136">
        <f>HYPERLINK("https://klasma.github.io/Logging_0980/tillsyn/A 22782-2023 tillsynsbegäran.docx", "A 22782-2023")</f>
        <v/>
      </c>
      <c r="Y136">
        <f>HYPERLINK("https://klasma.github.io/Logging_0980/tillsynsmail/A 22782-2023 tillsynsbegäran mail.docx", "A 22782-2023")</f>
        <v/>
      </c>
    </row>
    <row r="137" ht="15" customHeight="1">
      <c r="A137" t="inlineStr">
        <is>
          <t>A 44088-2022</t>
        </is>
      </c>
      <c r="B137" s="1" t="n">
        <v>44839</v>
      </c>
      <c r="C137" s="1" t="n">
        <v>45912</v>
      </c>
      <c r="D137" t="inlineStr">
        <is>
          <t>GOTLANDS LÄN</t>
        </is>
      </c>
      <c r="E137" t="inlineStr">
        <is>
          <t>GOTLAND</t>
        </is>
      </c>
      <c r="G137" t="n">
        <v>1.5</v>
      </c>
      <c r="H137" t="n">
        <v>0</v>
      </c>
      <c r="I137" t="n">
        <v>1</v>
      </c>
      <c r="J137" t="n">
        <v>0</v>
      </c>
      <c r="K137" t="n">
        <v>0</v>
      </c>
      <c r="L137" t="n">
        <v>0</v>
      </c>
      <c r="M137" t="n">
        <v>0</v>
      </c>
      <c r="N137" t="n">
        <v>0</v>
      </c>
      <c r="O137" t="n">
        <v>0</v>
      </c>
      <c r="P137" t="n">
        <v>0</v>
      </c>
      <c r="Q137" t="n">
        <v>1</v>
      </c>
      <c r="R137" s="2" t="inlineStr">
        <is>
          <t>Strävlosta</t>
        </is>
      </c>
      <c r="S137">
        <f>HYPERLINK("https://klasma.github.io/Logging_0980/artfynd/A 44088-2022 artfynd.xlsx", "A 44088-2022")</f>
        <v/>
      </c>
      <c r="T137">
        <f>HYPERLINK("https://klasma.github.io/Logging_0980/kartor/A 44088-2022 karta.png", "A 44088-2022")</f>
        <v/>
      </c>
      <c r="V137">
        <f>HYPERLINK("https://klasma.github.io/Logging_0980/klagomål/A 44088-2022 FSC-klagomål.docx", "A 44088-2022")</f>
        <v/>
      </c>
      <c r="W137">
        <f>HYPERLINK("https://klasma.github.io/Logging_0980/klagomålsmail/A 44088-2022 FSC-klagomål mail.docx", "A 44088-2022")</f>
        <v/>
      </c>
      <c r="X137">
        <f>HYPERLINK("https://klasma.github.io/Logging_0980/tillsyn/A 44088-2022 tillsynsbegäran.docx", "A 44088-2022")</f>
        <v/>
      </c>
      <c r="Y137">
        <f>HYPERLINK("https://klasma.github.io/Logging_0980/tillsynsmail/A 44088-2022 tillsynsbegäran mail.docx", "A 44088-2022")</f>
        <v/>
      </c>
    </row>
    <row r="138" ht="15" customHeight="1">
      <c r="A138" t="inlineStr">
        <is>
          <t>A 10440-2024</t>
        </is>
      </c>
      <c r="B138" s="1" t="n">
        <v>45366.32818287037</v>
      </c>
      <c r="C138" s="1" t="n">
        <v>45912</v>
      </c>
      <c r="D138" t="inlineStr">
        <is>
          <t>GOTLANDS LÄN</t>
        </is>
      </c>
      <c r="E138" t="inlineStr">
        <is>
          <t>GOTLAND</t>
        </is>
      </c>
      <c r="G138" t="n">
        <v>2.5</v>
      </c>
      <c r="H138" t="n">
        <v>1</v>
      </c>
      <c r="I138" t="n">
        <v>0</v>
      </c>
      <c r="J138" t="n">
        <v>1</v>
      </c>
      <c r="K138" t="n">
        <v>0</v>
      </c>
      <c r="L138" t="n">
        <v>0</v>
      </c>
      <c r="M138" t="n">
        <v>0</v>
      </c>
      <c r="N138" t="n">
        <v>0</v>
      </c>
      <c r="O138" t="n">
        <v>1</v>
      </c>
      <c r="P138" t="n">
        <v>0</v>
      </c>
      <c r="Q138" t="n">
        <v>1</v>
      </c>
      <c r="R138" s="2" t="inlineStr">
        <is>
          <t>Mindre hackspett</t>
        </is>
      </c>
      <c r="S138">
        <f>HYPERLINK("https://klasma.github.io/Logging_0980/artfynd/A 10440-2024 artfynd.xlsx", "A 10440-2024")</f>
        <v/>
      </c>
      <c r="T138">
        <f>HYPERLINK("https://klasma.github.io/Logging_0980/kartor/A 10440-2024 karta.png", "A 10440-2024")</f>
        <v/>
      </c>
      <c r="V138">
        <f>HYPERLINK("https://klasma.github.io/Logging_0980/klagomål/A 10440-2024 FSC-klagomål.docx", "A 10440-2024")</f>
        <v/>
      </c>
      <c r="W138">
        <f>HYPERLINK("https://klasma.github.io/Logging_0980/klagomålsmail/A 10440-2024 FSC-klagomål mail.docx", "A 10440-2024")</f>
        <v/>
      </c>
      <c r="X138">
        <f>HYPERLINK("https://klasma.github.io/Logging_0980/tillsyn/A 10440-2024 tillsynsbegäran.docx", "A 10440-2024")</f>
        <v/>
      </c>
      <c r="Y138">
        <f>HYPERLINK("https://klasma.github.io/Logging_0980/tillsynsmail/A 10440-2024 tillsynsbegäran mail.docx", "A 10440-2024")</f>
        <v/>
      </c>
      <c r="Z138">
        <f>HYPERLINK("https://klasma.github.io/Logging_0980/fåglar/A 10440-2024 prioriterade fågelarter.docx", "A 10440-2024")</f>
        <v/>
      </c>
    </row>
    <row r="139" ht="15" customHeight="1">
      <c r="A139" t="inlineStr">
        <is>
          <t>A 44308-2021</t>
        </is>
      </c>
      <c r="B139" s="1" t="n">
        <v>44434</v>
      </c>
      <c r="C139" s="1" t="n">
        <v>45912</v>
      </c>
      <c r="D139" t="inlineStr">
        <is>
          <t>GOTLANDS LÄN</t>
        </is>
      </c>
      <c r="E139" t="inlineStr">
        <is>
          <t>GOTLAND</t>
        </is>
      </c>
      <c r="G139" t="n">
        <v>5.9</v>
      </c>
      <c r="H139" t="n">
        <v>0</v>
      </c>
      <c r="I139" t="n">
        <v>1</v>
      </c>
      <c r="J139" t="n">
        <v>0</v>
      </c>
      <c r="K139" t="n">
        <v>0</v>
      </c>
      <c r="L139" t="n">
        <v>0</v>
      </c>
      <c r="M139" t="n">
        <v>0</v>
      </c>
      <c r="N139" t="n">
        <v>0</v>
      </c>
      <c r="O139" t="n">
        <v>0</v>
      </c>
      <c r="P139" t="n">
        <v>0</v>
      </c>
      <c r="Q139" t="n">
        <v>1</v>
      </c>
      <c r="R139" s="2" t="inlineStr">
        <is>
          <t>Svavelriska</t>
        </is>
      </c>
      <c r="S139">
        <f>HYPERLINK("https://klasma.github.io/Logging_0980/artfynd/A 44308-2021 artfynd.xlsx", "A 44308-2021")</f>
        <v/>
      </c>
      <c r="T139">
        <f>HYPERLINK("https://klasma.github.io/Logging_0980/kartor/A 44308-2021 karta.png", "A 44308-2021")</f>
        <v/>
      </c>
      <c r="V139">
        <f>HYPERLINK("https://klasma.github.io/Logging_0980/klagomål/A 44308-2021 FSC-klagomål.docx", "A 44308-2021")</f>
        <v/>
      </c>
      <c r="W139">
        <f>HYPERLINK("https://klasma.github.io/Logging_0980/klagomålsmail/A 44308-2021 FSC-klagomål mail.docx", "A 44308-2021")</f>
        <v/>
      </c>
      <c r="X139">
        <f>HYPERLINK("https://klasma.github.io/Logging_0980/tillsyn/A 44308-2021 tillsynsbegäran.docx", "A 44308-2021")</f>
        <v/>
      </c>
      <c r="Y139">
        <f>HYPERLINK("https://klasma.github.io/Logging_0980/tillsynsmail/A 44308-2021 tillsynsbegäran mail.docx", "A 44308-2021")</f>
        <v/>
      </c>
    </row>
    <row r="140" ht="15" customHeight="1">
      <c r="A140" t="inlineStr">
        <is>
          <t>A 12924-2025</t>
        </is>
      </c>
      <c r="B140" s="1" t="n">
        <v>45734</v>
      </c>
      <c r="C140" s="1" t="n">
        <v>45912</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8725-2025</t>
        </is>
      </c>
      <c r="B141" s="1" t="n">
        <v>45712</v>
      </c>
      <c r="C141" s="1" t="n">
        <v>45912</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46527-2023</t>
        </is>
      </c>
      <c r="B142" s="1" t="n">
        <v>45197</v>
      </c>
      <c r="C142" s="1" t="n">
        <v>45912</v>
      </c>
      <c r="D142" t="inlineStr">
        <is>
          <t>GOTLANDS LÄN</t>
        </is>
      </c>
      <c r="E142" t="inlineStr">
        <is>
          <t>GOTLAND</t>
        </is>
      </c>
      <c r="G142" t="n">
        <v>0.9</v>
      </c>
      <c r="H142" t="n">
        <v>0</v>
      </c>
      <c r="I142" t="n">
        <v>0</v>
      </c>
      <c r="J142" t="n">
        <v>1</v>
      </c>
      <c r="K142" t="n">
        <v>0</v>
      </c>
      <c r="L142" t="n">
        <v>0</v>
      </c>
      <c r="M142" t="n">
        <v>0</v>
      </c>
      <c r="N142" t="n">
        <v>0</v>
      </c>
      <c r="O142" t="n">
        <v>1</v>
      </c>
      <c r="P142" t="n">
        <v>0</v>
      </c>
      <c r="Q142" t="n">
        <v>1</v>
      </c>
      <c r="R142" s="2" t="inlineStr">
        <is>
          <t>Guldgräshoppa</t>
        </is>
      </c>
      <c r="S142">
        <f>HYPERLINK("https://klasma.github.io/Logging_0980/artfynd/A 46527-2023 artfynd.xlsx", "A 46527-2023")</f>
        <v/>
      </c>
      <c r="T142">
        <f>HYPERLINK("https://klasma.github.io/Logging_0980/kartor/A 46527-2023 karta.png", "A 46527-2023")</f>
        <v/>
      </c>
      <c r="V142">
        <f>HYPERLINK("https://klasma.github.io/Logging_0980/klagomål/A 46527-2023 FSC-klagomål.docx", "A 46527-2023")</f>
        <v/>
      </c>
      <c r="W142">
        <f>HYPERLINK("https://klasma.github.io/Logging_0980/klagomålsmail/A 46527-2023 FSC-klagomål mail.docx", "A 46527-2023")</f>
        <v/>
      </c>
      <c r="X142">
        <f>HYPERLINK("https://klasma.github.io/Logging_0980/tillsyn/A 46527-2023 tillsynsbegäran.docx", "A 46527-2023")</f>
        <v/>
      </c>
      <c r="Y142">
        <f>HYPERLINK("https://klasma.github.io/Logging_0980/tillsynsmail/A 46527-2023 tillsynsbegäran mail.docx", "A 46527-2023")</f>
        <v/>
      </c>
    </row>
    <row r="143" ht="15" customHeight="1">
      <c r="A143" t="inlineStr">
        <is>
          <t>A 17723-2021</t>
        </is>
      </c>
      <c r="B143" s="1" t="n">
        <v>44300</v>
      </c>
      <c r="C143" s="1" t="n">
        <v>45912</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26461-2025</t>
        </is>
      </c>
      <c r="B144" s="1" t="n">
        <v>45807.43337962963</v>
      </c>
      <c r="C144" s="1" t="n">
        <v>45912</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6303-2024</t>
        </is>
      </c>
      <c r="B145" s="1" t="n">
        <v>45338.35376157407</v>
      </c>
      <c r="C145" s="1" t="n">
        <v>45912</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45912</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27168-2022</t>
        </is>
      </c>
      <c r="B147" s="1" t="n">
        <v>44741</v>
      </c>
      <c r="C147" s="1" t="n">
        <v>45912</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25977-2024</t>
        </is>
      </c>
      <c r="B148" s="1" t="n">
        <v>45467.69356481481</v>
      </c>
      <c r="C148" s="1" t="n">
        <v>45912</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7637-2025</t>
        </is>
      </c>
      <c r="B149" s="1" t="n">
        <v>45705.77181712963</v>
      </c>
      <c r="C149" s="1" t="n">
        <v>45912</v>
      </c>
      <c r="D149" t="inlineStr">
        <is>
          <t>GOTLANDS LÄN</t>
        </is>
      </c>
      <c r="E149" t="inlineStr">
        <is>
          <t>GOTLAND</t>
        </is>
      </c>
      <c r="G149" t="n">
        <v>3.7</v>
      </c>
      <c r="H149" t="n">
        <v>0</v>
      </c>
      <c r="I149" t="n">
        <v>0</v>
      </c>
      <c r="J149" t="n">
        <v>0</v>
      </c>
      <c r="K149" t="n">
        <v>0</v>
      </c>
      <c r="L149" t="n">
        <v>0</v>
      </c>
      <c r="M149" t="n">
        <v>1</v>
      </c>
      <c r="N149" t="n">
        <v>0</v>
      </c>
      <c r="O149" t="n">
        <v>1</v>
      </c>
      <c r="P149" t="n">
        <v>1</v>
      </c>
      <c r="Q149" t="n">
        <v>1</v>
      </c>
      <c r="R149" s="2" t="inlineStr">
        <is>
          <t>Skogsalm</t>
        </is>
      </c>
      <c r="S149">
        <f>HYPERLINK("https://klasma.github.io/Logging_0980/artfynd/A 7637-2025 artfynd.xlsx", "A 7637-2025")</f>
        <v/>
      </c>
      <c r="T149">
        <f>HYPERLINK("https://klasma.github.io/Logging_0980/kartor/A 7637-2025 karta.png", "A 7637-2025")</f>
        <v/>
      </c>
      <c r="V149">
        <f>HYPERLINK("https://klasma.github.io/Logging_0980/klagomål/A 7637-2025 FSC-klagomål.docx", "A 7637-2025")</f>
        <v/>
      </c>
      <c r="W149">
        <f>HYPERLINK("https://klasma.github.io/Logging_0980/klagomålsmail/A 7637-2025 FSC-klagomål mail.docx", "A 7637-2025")</f>
        <v/>
      </c>
      <c r="X149">
        <f>HYPERLINK("https://klasma.github.io/Logging_0980/tillsyn/A 7637-2025 tillsynsbegäran.docx", "A 7637-2025")</f>
        <v/>
      </c>
      <c r="Y149">
        <f>HYPERLINK("https://klasma.github.io/Logging_0980/tillsynsmail/A 7637-2025 tillsynsbegäran mail.docx", "A 7637-2025")</f>
        <v/>
      </c>
    </row>
    <row r="150" ht="15" customHeight="1">
      <c r="A150" t="inlineStr">
        <is>
          <t>A 27589-2023</t>
        </is>
      </c>
      <c r="B150" s="1" t="n">
        <v>45097</v>
      </c>
      <c r="C150" s="1" t="n">
        <v>45912</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61796-2022</t>
        </is>
      </c>
      <c r="B151" s="1" t="n">
        <v>44917</v>
      </c>
      <c r="C151" s="1" t="n">
        <v>45912</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65927-2021</t>
        </is>
      </c>
      <c r="B152" s="1" t="n">
        <v>44516</v>
      </c>
      <c r="C152" s="1" t="n">
        <v>45912</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947-2023</t>
        </is>
      </c>
      <c r="B153" s="1" t="n">
        <v>44934</v>
      </c>
      <c r="C153" s="1" t="n">
        <v>45912</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10218-2025</t>
        </is>
      </c>
      <c r="B154" s="1" t="n">
        <v>45720</v>
      </c>
      <c r="C154" s="1" t="n">
        <v>45912</v>
      </c>
      <c r="D154" t="inlineStr">
        <is>
          <t>GOTLANDS LÄN</t>
        </is>
      </c>
      <c r="E154" t="inlineStr">
        <is>
          <t>GOTLAND</t>
        </is>
      </c>
      <c r="G154" t="n">
        <v>8.1</v>
      </c>
      <c r="H154" t="n">
        <v>0</v>
      </c>
      <c r="I154" t="n">
        <v>1</v>
      </c>
      <c r="J154" t="n">
        <v>0</v>
      </c>
      <c r="K154" t="n">
        <v>0</v>
      </c>
      <c r="L154" t="n">
        <v>0</v>
      </c>
      <c r="M154" t="n">
        <v>0</v>
      </c>
      <c r="N154" t="n">
        <v>0</v>
      </c>
      <c r="O154" t="n">
        <v>0</v>
      </c>
      <c r="P154" t="n">
        <v>0</v>
      </c>
      <c r="Q154" t="n">
        <v>1</v>
      </c>
      <c r="R154" s="2" t="inlineStr">
        <is>
          <t>Kalktallört</t>
        </is>
      </c>
      <c r="S154">
        <f>HYPERLINK("https://klasma.github.io/Logging_0980/artfynd/A 10218-2025 artfynd.xlsx", "A 10218-2025")</f>
        <v/>
      </c>
      <c r="T154">
        <f>HYPERLINK("https://klasma.github.io/Logging_0980/kartor/A 10218-2025 karta.png", "A 10218-2025")</f>
        <v/>
      </c>
      <c r="V154">
        <f>HYPERLINK("https://klasma.github.io/Logging_0980/klagomål/A 10218-2025 FSC-klagomål.docx", "A 10218-2025")</f>
        <v/>
      </c>
      <c r="W154">
        <f>HYPERLINK("https://klasma.github.io/Logging_0980/klagomålsmail/A 10218-2025 FSC-klagomål mail.docx", "A 10218-2025")</f>
        <v/>
      </c>
      <c r="X154">
        <f>HYPERLINK("https://klasma.github.io/Logging_0980/tillsyn/A 10218-2025 tillsynsbegäran.docx", "A 10218-2025")</f>
        <v/>
      </c>
      <c r="Y154">
        <f>HYPERLINK("https://klasma.github.io/Logging_0980/tillsynsmail/A 10218-2025 tillsynsbegäran mail.docx", "A 10218-2025")</f>
        <v/>
      </c>
    </row>
    <row r="155" ht="15" customHeight="1">
      <c r="A155" t="inlineStr">
        <is>
          <t>A 12379-2024</t>
        </is>
      </c>
      <c r="B155" s="1" t="n">
        <v>45379.28155092592</v>
      </c>
      <c r="C155" s="1" t="n">
        <v>45912</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9862-2024</t>
        </is>
      </c>
      <c r="B156" s="1" t="n">
        <v>45363</v>
      </c>
      <c r="C156" s="1" t="n">
        <v>45912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64700-2021</t>
        </is>
      </c>
      <c r="B157" s="1" t="n">
        <v>44511</v>
      </c>
      <c r="C157" s="1" t="n">
        <v>45912</v>
      </c>
      <c r="D157" t="inlineStr">
        <is>
          <t>GOTLANDS LÄN</t>
        </is>
      </c>
      <c r="E157" t="inlineStr">
        <is>
          <t>GOTLAND</t>
        </is>
      </c>
      <c r="F157" t="inlineStr">
        <is>
          <t>Naturvårdsverket</t>
        </is>
      </c>
      <c r="G157" t="n">
        <v>2.4</v>
      </c>
      <c r="H157" t="n">
        <v>1</v>
      </c>
      <c r="I157" t="n">
        <v>0</v>
      </c>
      <c r="J157" t="n">
        <v>0</v>
      </c>
      <c r="K157" t="n">
        <v>1</v>
      </c>
      <c r="L157" t="n">
        <v>0</v>
      </c>
      <c r="M157" t="n">
        <v>0</v>
      </c>
      <c r="N157" t="n">
        <v>0</v>
      </c>
      <c r="O157" t="n">
        <v>1</v>
      </c>
      <c r="P157" t="n">
        <v>1</v>
      </c>
      <c r="Q157" t="n">
        <v>1</v>
      </c>
      <c r="R157" s="2" t="inlineStr">
        <is>
          <t>Kalkdån</t>
        </is>
      </c>
      <c r="S157">
        <f>HYPERLINK("https://klasma.github.io/Logging_0980/artfynd/A 64700-2021 artfynd.xlsx", "A 64700-2021")</f>
        <v/>
      </c>
      <c r="T157">
        <f>HYPERLINK("https://klasma.github.io/Logging_0980/kartor/A 64700-2021 karta.png", "A 64700-2021")</f>
        <v/>
      </c>
      <c r="V157">
        <f>HYPERLINK("https://klasma.github.io/Logging_0980/klagomål/A 64700-2021 FSC-klagomål.docx", "A 64700-2021")</f>
        <v/>
      </c>
      <c r="W157">
        <f>HYPERLINK("https://klasma.github.io/Logging_0980/klagomålsmail/A 64700-2021 FSC-klagomål mail.docx", "A 64700-2021")</f>
        <v/>
      </c>
      <c r="X157">
        <f>HYPERLINK("https://klasma.github.io/Logging_0980/tillsyn/A 64700-2021 tillsynsbegäran.docx", "A 64700-2021")</f>
        <v/>
      </c>
      <c r="Y157">
        <f>HYPERLINK("https://klasma.github.io/Logging_0980/tillsynsmail/A 64700-2021 tillsynsbegäran mail.docx", "A 64700-2021")</f>
        <v/>
      </c>
    </row>
    <row r="158" ht="15" customHeight="1">
      <c r="A158" t="inlineStr">
        <is>
          <t>A 34141-2024</t>
        </is>
      </c>
      <c r="B158" s="1" t="n">
        <v>45524.36229166666</v>
      </c>
      <c r="C158" s="1" t="n">
        <v>45912</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35574-2024</t>
        </is>
      </c>
      <c r="B159" s="1" t="n">
        <v>45531</v>
      </c>
      <c r="C159" s="1" t="n">
        <v>45912</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61561-2023</t>
        </is>
      </c>
      <c r="B160" s="1" t="n">
        <v>45265</v>
      </c>
      <c r="C160" s="1" t="n">
        <v>45912</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37591-2023</t>
        </is>
      </c>
      <c r="B161" s="1" t="n">
        <v>45159</v>
      </c>
      <c r="C161" s="1" t="n">
        <v>45912</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45912</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39812-2025</t>
        </is>
      </c>
      <c r="B163" s="1" t="n">
        <v>45891</v>
      </c>
      <c r="C163" s="1" t="n">
        <v>45912</v>
      </c>
      <c r="D163" t="inlineStr">
        <is>
          <t>GOTLANDS LÄN</t>
        </is>
      </c>
      <c r="E163" t="inlineStr">
        <is>
          <t>GOTLAND</t>
        </is>
      </c>
      <c r="G163" t="n">
        <v>6</v>
      </c>
      <c r="H163" t="n">
        <v>1</v>
      </c>
      <c r="I163" t="n">
        <v>0</v>
      </c>
      <c r="J163" t="n">
        <v>0</v>
      </c>
      <c r="K163" t="n">
        <v>0</v>
      </c>
      <c r="L163" t="n">
        <v>1</v>
      </c>
      <c r="M163" t="n">
        <v>0</v>
      </c>
      <c r="N163" t="n">
        <v>0</v>
      </c>
      <c r="O163" t="n">
        <v>1</v>
      </c>
      <c r="P163" t="n">
        <v>1</v>
      </c>
      <c r="Q163" t="n">
        <v>1</v>
      </c>
      <c r="R163" s="2" t="inlineStr">
        <is>
          <t>Nålkörvel</t>
        </is>
      </c>
      <c r="S163">
        <f>HYPERLINK("https://klasma.github.io/Logging_0980/artfynd/A 39812-2025 artfynd.xlsx", "A 39812-2025")</f>
        <v/>
      </c>
      <c r="T163">
        <f>HYPERLINK("https://klasma.github.io/Logging_0980/kartor/A 39812-2025 karta.png", "A 39812-2025")</f>
        <v/>
      </c>
      <c r="V163">
        <f>HYPERLINK("https://klasma.github.io/Logging_0980/klagomål/A 39812-2025 FSC-klagomål.docx", "A 39812-2025")</f>
        <v/>
      </c>
      <c r="W163">
        <f>HYPERLINK("https://klasma.github.io/Logging_0980/klagomålsmail/A 39812-2025 FSC-klagomål mail.docx", "A 39812-2025")</f>
        <v/>
      </c>
      <c r="X163">
        <f>HYPERLINK("https://klasma.github.io/Logging_0980/tillsyn/A 39812-2025 tillsynsbegäran.docx", "A 39812-2025")</f>
        <v/>
      </c>
      <c r="Y163">
        <f>HYPERLINK("https://klasma.github.io/Logging_0980/tillsynsmail/A 39812-2025 tillsynsbegäran mail.docx", "A 39812-2025")</f>
        <v/>
      </c>
    </row>
    <row r="164" ht="15" customHeight="1">
      <c r="A164" t="inlineStr">
        <is>
          <t>A 13627-2023</t>
        </is>
      </c>
      <c r="B164" s="1" t="n">
        <v>45006</v>
      </c>
      <c r="C164" s="1" t="n">
        <v>45912</v>
      </c>
      <c r="D164" t="inlineStr">
        <is>
          <t>GOTLANDS LÄN</t>
        </is>
      </c>
      <c r="E164" t="inlineStr">
        <is>
          <t>GOTLAND</t>
        </is>
      </c>
      <c r="G164" t="n">
        <v>10.7</v>
      </c>
      <c r="H164" t="n">
        <v>0</v>
      </c>
      <c r="I164" t="n">
        <v>0</v>
      </c>
      <c r="J164" t="n">
        <v>0</v>
      </c>
      <c r="K164" t="n">
        <v>1</v>
      </c>
      <c r="L164" t="n">
        <v>0</v>
      </c>
      <c r="M164" t="n">
        <v>0</v>
      </c>
      <c r="N164" t="n">
        <v>0</v>
      </c>
      <c r="O164" t="n">
        <v>1</v>
      </c>
      <c r="P164" t="n">
        <v>1</v>
      </c>
      <c r="Q164" t="n">
        <v>1</v>
      </c>
      <c r="R164" s="2" t="inlineStr">
        <is>
          <t>Sammetsbockrot</t>
        </is>
      </c>
      <c r="S164">
        <f>HYPERLINK("https://klasma.github.io/Logging_0980/artfynd/A 13627-2023 artfynd.xlsx", "A 13627-2023")</f>
        <v/>
      </c>
      <c r="T164">
        <f>HYPERLINK("https://klasma.github.io/Logging_0980/kartor/A 13627-2023 karta.png", "A 13627-2023")</f>
        <v/>
      </c>
      <c r="V164">
        <f>HYPERLINK("https://klasma.github.io/Logging_0980/klagomål/A 13627-2023 FSC-klagomål.docx", "A 13627-2023")</f>
        <v/>
      </c>
      <c r="W164">
        <f>HYPERLINK("https://klasma.github.io/Logging_0980/klagomålsmail/A 13627-2023 FSC-klagomål mail.docx", "A 13627-2023")</f>
        <v/>
      </c>
      <c r="X164">
        <f>HYPERLINK("https://klasma.github.io/Logging_0980/tillsyn/A 13627-2023 tillsynsbegäran.docx", "A 13627-2023")</f>
        <v/>
      </c>
      <c r="Y164">
        <f>HYPERLINK("https://klasma.github.io/Logging_0980/tillsynsmail/A 13627-2023 tillsynsbegäran mail.docx", "A 13627-2023")</f>
        <v/>
      </c>
    </row>
    <row r="165" ht="15" customHeight="1">
      <c r="A165" t="inlineStr">
        <is>
          <t>A 12324-2025</t>
        </is>
      </c>
      <c r="B165" s="1" t="n">
        <v>45730</v>
      </c>
      <c r="C165" s="1" t="n">
        <v>45912</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63299-2020</t>
        </is>
      </c>
      <c r="B166" s="1" t="n">
        <v>44165</v>
      </c>
      <c r="C166" s="1" t="n">
        <v>45912</v>
      </c>
      <c r="D166" t="inlineStr">
        <is>
          <t>GOTLANDS LÄN</t>
        </is>
      </c>
      <c r="E166" t="inlineStr">
        <is>
          <t>GOTLAND</t>
        </is>
      </c>
      <c r="G166" t="n">
        <v>12.9</v>
      </c>
      <c r="H166" t="n">
        <v>1</v>
      </c>
      <c r="I166" t="n">
        <v>0</v>
      </c>
      <c r="J166" t="n">
        <v>1</v>
      </c>
      <c r="K166" t="n">
        <v>0</v>
      </c>
      <c r="L166" t="n">
        <v>0</v>
      </c>
      <c r="M166" t="n">
        <v>0</v>
      </c>
      <c r="N166" t="n">
        <v>0</v>
      </c>
      <c r="O166" t="n">
        <v>1</v>
      </c>
      <c r="P166" t="n">
        <v>0</v>
      </c>
      <c r="Q166" t="n">
        <v>1</v>
      </c>
      <c r="R166" s="2" t="inlineStr">
        <is>
          <t>Svartfläckig blåvinge</t>
        </is>
      </c>
      <c r="S166">
        <f>HYPERLINK("https://klasma.github.io/Logging_0980/artfynd/A 63299-2020 artfynd.xlsx", "A 63299-2020")</f>
        <v/>
      </c>
      <c r="T166">
        <f>HYPERLINK("https://klasma.github.io/Logging_0980/kartor/A 63299-2020 karta.png", "A 63299-2020")</f>
        <v/>
      </c>
      <c r="V166">
        <f>HYPERLINK("https://klasma.github.io/Logging_0980/klagomål/A 63299-2020 FSC-klagomål.docx", "A 63299-2020")</f>
        <v/>
      </c>
      <c r="W166">
        <f>HYPERLINK("https://klasma.github.io/Logging_0980/klagomålsmail/A 63299-2020 FSC-klagomål mail.docx", "A 63299-2020")</f>
        <v/>
      </c>
      <c r="X166">
        <f>HYPERLINK("https://klasma.github.io/Logging_0980/tillsyn/A 63299-2020 tillsynsbegäran.docx", "A 63299-2020")</f>
        <v/>
      </c>
      <c r="Y166">
        <f>HYPERLINK("https://klasma.github.io/Logging_0980/tillsynsmail/A 63299-2020 tillsynsbegäran mail.docx", "A 63299-2020")</f>
        <v/>
      </c>
    </row>
    <row r="167" ht="15" customHeight="1">
      <c r="A167" t="inlineStr">
        <is>
          <t>A 44958-2020</t>
        </is>
      </c>
      <c r="B167" s="1" t="n">
        <v>44088</v>
      </c>
      <c r="C167" s="1" t="n">
        <v>45912</v>
      </c>
      <c r="D167" t="inlineStr">
        <is>
          <t>GOTLANDS LÄN</t>
        </is>
      </c>
      <c r="E167" t="inlineStr">
        <is>
          <t>GOTLAND</t>
        </is>
      </c>
      <c r="G167" t="n">
        <v>0.6</v>
      </c>
      <c r="H167" t="n">
        <v>1</v>
      </c>
      <c r="I167" t="n">
        <v>0</v>
      </c>
      <c r="J167" t="n">
        <v>1</v>
      </c>
      <c r="K167" t="n">
        <v>0</v>
      </c>
      <c r="L167" t="n">
        <v>0</v>
      </c>
      <c r="M167" t="n">
        <v>0</v>
      </c>
      <c r="N167" t="n">
        <v>0</v>
      </c>
      <c r="O167" t="n">
        <v>1</v>
      </c>
      <c r="P167" t="n">
        <v>0</v>
      </c>
      <c r="Q167" t="n">
        <v>1</v>
      </c>
      <c r="R167" s="2" t="inlineStr">
        <is>
          <t>Hornuggla</t>
        </is>
      </c>
      <c r="S167">
        <f>HYPERLINK("https://klasma.github.io/Logging_0980/artfynd/A 44958-2020 artfynd.xlsx", "A 44958-2020")</f>
        <v/>
      </c>
      <c r="T167">
        <f>HYPERLINK("https://klasma.github.io/Logging_0980/kartor/A 44958-2020 karta.png", "A 44958-2020")</f>
        <v/>
      </c>
      <c r="V167">
        <f>HYPERLINK("https://klasma.github.io/Logging_0980/klagomål/A 44958-2020 FSC-klagomål.docx", "A 44958-2020")</f>
        <v/>
      </c>
      <c r="W167">
        <f>HYPERLINK("https://klasma.github.io/Logging_0980/klagomålsmail/A 44958-2020 FSC-klagomål mail.docx", "A 44958-2020")</f>
        <v/>
      </c>
      <c r="X167">
        <f>HYPERLINK("https://klasma.github.io/Logging_0980/tillsyn/A 44958-2020 tillsynsbegäran.docx", "A 44958-2020")</f>
        <v/>
      </c>
      <c r="Y167">
        <f>HYPERLINK("https://klasma.github.io/Logging_0980/tillsynsmail/A 44958-2020 tillsynsbegäran mail.docx", "A 44958-2020")</f>
        <v/>
      </c>
      <c r="Z167">
        <f>HYPERLINK("https://klasma.github.io/Logging_0980/fåglar/A 44958-2020 prioriterade fågelarter.docx", "A 44958-2020")</f>
        <v/>
      </c>
    </row>
    <row r="168" ht="15" customHeight="1">
      <c r="A168" t="inlineStr">
        <is>
          <t>A 49847-2023</t>
        </is>
      </c>
      <c r="B168" s="1" t="n">
        <v>45212</v>
      </c>
      <c r="C168" s="1" t="n">
        <v>45912</v>
      </c>
      <c r="D168" t="inlineStr">
        <is>
          <t>GOTLANDS LÄN</t>
        </is>
      </c>
      <c r="E168" t="inlineStr">
        <is>
          <t>GOTLAND</t>
        </is>
      </c>
      <c r="G168" t="n">
        <v>35.2</v>
      </c>
      <c r="H168" t="n">
        <v>0</v>
      </c>
      <c r="I168" t="n">
        <v>0</v>
      </c>
      <c r="J168" t="n">
        <v>0</v>
      </c>
      <c r="K168" t="n">
        <v>1</v>
      </c>
      <c r="L168" t="n">
        <v>0</v>
      </c>
      <c r="M168" t="n">
        <v>0</v>
      </c>
      <c r="N168" t="n">
        <v>0</v>
      </c>
      <c r="O168" t="n">
        <v>1</v>
      </c>
      <c r="P168" t="n">
        <v>1</v>
      </c>
      <c r="Q168" t="n">
        <v>1</v>
      </c>
      <c r="R168" s="2" t="inlineStr">
        <is>
          <t>Strandviol</t>
        </is>
      </c>
      <c r="S168">
        <f>HYPERLINK("https://klasma.github.io/Logging_0980/artfynd/A 49847-2023 artfynd.xlsx", "A 49847-2023")</f>
        <v/>
      </c>
      <c r="T168">
        <f>HYPERLINK("https://klasma.github.io/Logging_0980/kartor/A 49847-2023 karta.png", "A 49847-2023")</f>
        <v/>
      </c>
      <c r="V168">
        <f>HYPERLINK("https://klasma.github.io/Logging_0980/klagomål/A 49847-2023 FSC-klagomål.docx", "A 49847-2023")</f>
        <v/>
      </c>
      <c r="W168">
        <f>HYPERLINK("https://klasma.github.io/Logging_0980/klagomålsmail/A 49847-2023 FSC-klagomål mail.docx", "A 49847-2023")</f>
        <v/>
      </c>
      <c r="X168">
        <f>HYPERLINK("https://klasma.github.io/Logging_0980/tillsyn/A 49847-2023 tillsynsbegäran.docx", "A 49847-2023")</f>
        <v/>
      </c>
      <c r="Y168">
        <f>HYPERLINK("https://klasma.github.io/Logging_0980/tillsynsmail/A 49847-2023 tillsynsbegäran mail.docx", "A 49847-2023")</f>
        <v/>
      </c>
    </row>
    <row r="169" ht="15" customHeight="1">
      <c r="A169" t="inlineStr">
        <is>
          <t>A 2476-2025</t>
        </is>
      </c>
      <c r="B169" s="1" t="n">
        <v>45673</v>
      </c>
      <c r="C169" s="1" t="n">
        <v>45912</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20429-2025</t>
        </is>
      </c>
      <c r="B170" s="1" t="n">
        <v>45775.47728009259</v>
      </c>
      <c r="C170" s="1" t="n">
        <v>45912</v>
      </c>
      <c r="D170" t="inlineStr">
        <is>
          <t>GOTLANDS LÄN</t>
        </is>
      </c>
      <c r="E170" t="inlineStr">
        <is>
          <t>GOTLAND</t>
        </is>
      </c>
      <c r="G170" t="n">
        <v>1.4</v>
      </c>
      <c r="H170" t="n">
        <v>1</v>
      </c>
      <c r="I170" t="n">
        <v>0</v>
      </c>
      <c r="J170" t="n">
        <v>0</v>
      </c>
      <c r="K170" t="n">
        <v>0</v>
      </c>
      <c r="L170" t="n">
        <v>0</v>
      </c>
      <c r="M170" t="n">
        <v>0</v>
      </c>
      <c r="N170" t="n">
        <v>0</v>
      </c>
      <c r="O170" t="n">
        <v>0</v>
      </c>
      <c r="P170" t="n">
        <v>0</v>
      </c>
      <c r="Q170" t="n">
        <v>1</v>
      </c>
      <c r="R170" s="2" t="inlineStr">
        <is>
          <t>Äkta lopplummer</t>
        </is>
      </c>
      <c r="S170">
        <f>HYPERLINK("https://klasma.github.io/Logging_0980/artfynd/A 20429-2025 artfynd.xlsx", "A 20429-2025")</f>
        <v/>
      </c>
      <c r="T170">
        <f>HYPERLINK("https://klasma.github.io/Logging_0980/kartor/A 20429-2025 karta.png", "A 20429-2025")</f>
        <v/>
      </c>
      <c r="V170">
        <f>HYPERLINK("https://klasma.github.io/Logging_0980/klagomål/A 20429-2025 FSC-klagomål.docx", "A 20429-2025")</f>
        <v/>
      </c>
      <c r="W170">
        <f>HYPERLINK("https://klasma.github.io/Logging_0980/klagomålsmail/A 20429-2025 FSC-klagomål mail.docx", "A 20429-2025")</f>
        <v/>
      </c>
      <c r="X170">
        <f>HYPERLINK("https://klasma.github.io/Logging_0980/tillsyn/A 20429-2025 tillsynsbegäran.docx", "A 20429-2025")</f>
        <v/>
      </c>
      <c r="Y170">
        <f>HYPERLINK("https://klasma.github.io/Logging_0980/tillsynsmail/A 20429-2025 tillsynsbegäran mail.docx", "A 20429-2025")</f>
        <v/>
      </c>
    </row>
    <row r="171" ht="15" customHeight="1">
      <c r="A171" t="inlineStr">
        <is>
          <t>A 447-2023</t>
        </is>
      </c>
      <c r="B171" s="1" t="n">
        <v>44929</v>
      </c>
      <c r="C171" s="1" t="n">
        <v>45912</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10995-2023</t>
        </is>
      </c>
      <c r="B172" s="1" t="n">
        <v>44986</v>
      </c>
      <c r="C172" s="1" t="n">
        <v>45912</v>
      </c>
      <c r="D172" t="inlineStr">
        <is>
          <t>GOTLANDS LÄN</t>
        </is>
      </c>
      <c r="E172" t="inlineStr">
        <is>
          <t>GOTLAND</t>
        </is>
      </c>
      <c r="G172" t="n">
        <v>2.8</v>
      </c>
      <c r="H172" t="n">
        <v>0</v>
      </c>
      <c r="I172" t="n">
        <v>0</v>
      </c>
      <c r="J172" t="n">
        <v>0</v>
      </c>
      <c r="K172" t="n">
        <v>1</v>
      </c>
      <c r="L172" t="n">
        <v>0</v>
      </c>
      <c r="M172" t="n">
        <v>0</v>
      </c>
      <c r="N172" t="n">
        <v>0</v>
      </c>
      <c r="O172" t="n">
        <v>1</v>
      </c>
      <c r="P172" t="n">
        <v>1</v>
      </c>
      <c r="Q172" t="n">
        <v>1</v>
      </c>
      <c r="R172" s="2" t="inlineStr">
        <is>
          <t>Violettfläckig spindling</t>
        </is>
      </c>
      <c r="S172">
        <f>HYPERLINK("https://klasma.github.io/Logging_0980/artfynd/A 10995-2023 artfynd.xlsx", "A 10995-2023")</f>
        <v/>
      </c>
      <c r="T172">
        <f>HYPERLINK("https://klasma.github.io/Logging_0980/kartor/A 10995-2023 karta.png", "A 10995-2023")</f>
        <v/>
      </c>
      <c r="V172">
        <f>HYPERLINK("https://klasma.github.io/Logging_0980/klagomål/A 10995-2023 FSC-klagomål.docx", "A 10995-2023")</f>
        <v/>
      </c>
      <c r="W172">
        <f>HYPERLINK("https://klasma.github.io/Logging_0980/klagomålsmail/A 10995-2023 FSC-klagomål mail.docx", "A 10995-2023")</f>
        <v/>
      </c>
      <c r="X172">
        <f>HYPERLINK("https://klasma.github.io/Logging_0980/tillsyn/A 10995-2023 tillsynsbegäran.docx", "A 10995-2023")</f>
        <v/>
      </c>
      <c r="Y172">
        <f>HYPERLINK("https://klasma.github.io/Logging_0980/tillsynsmail/A 10995-2023 tillsynsbegäran mail.docx", "A 10995-2023")</f>
        <v/>
      </c>
    </row>
    <row r="173" ht="15" customHeight="1">
      <c r="A173" t="inlineStr">
        <is>
          <t>A 34809-2024</t>
        </is>
      </c>
      <c r="B173" s="1" t="n">
        <v>45526</v>
      </c>
      <c r="C173" s="1" t="n">
        <v>45912</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19901-2021</t>
        </is>
      </c>
      <c r="B174" s="1" t="n">
        <v>44312</v>
      </c>
      <c r="C174" s="1" t="n">
        <v>45912</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45912</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36313-2021</t>
        </is>
      </c>
      <c r="B176" s="1" t="n">
        <v>44390</v>
      </c>
      <c r="C176" s="1" t="n">
        <v>45912</v>
      </c>
      <c r="D176" t="inlineStr">
        <is>
          <t>GOTLANDS LÄN</t>
        </is>
      </c>
      <c r="E176" t="inlineStr">
        <is>
          <t>GOTLAND</t>
        </is>
      </c>
      <c r="G176" t="n">
        <v>2.2</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45912</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45912</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45912</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45912</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45912</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45912</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45912</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46362-2021</t>
        </is>
      </c>
      <c r="B184" s="1" t="n">
        <v>44442</v>
      </c>
      <c r="C184" s="1" t="n">
        <v>45912</v>
      </c>
      <c r="D184" t="inlineStr">
        <is>
          <t>GOTLANDS LÄN</t>
        </is>
      </c>
      <c r="E184" t="inlineStr">
        <is>
          <t>GOTLAND</t>
        </is>
      </c>
      <c r="G184" t="n">
        <v>2.1</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45912</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45912</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45912</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45912</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45912</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45912</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45912</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45912</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45912</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45912</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45912</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45912</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45912</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45912</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45912</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45912</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45912</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45912</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45912</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45912</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45912</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45912</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45912</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45912</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45912</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45912</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45912</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1229-2021</t>
        </is>
      </c>
      <c r="B217" s="1" t="n">
        <v>44208</v>
      </c>
      <c r="C217" s="1" t="n">
        <v>45912</v>
      </c>
      <c r="D217" t="inlineStr">
        <is>
          <t>GOTLANDS LÄN</t>
        </is>
      </c>
      <c r="E217" t="inlineStr">
        <is>
          <t>GOTLAND</t>
        </is>
      </c>
      <c r="G217" t="n">
        <v>5.3</v>
      </c>
      <c r="H217" t="n">
        <v>0</v>
      </c>
      <c r="I217" t="n">
        <v>0</v>
      </c>
      <c r="J217" t="n">
        <v>0</v>
      </c>
      <c r="K217" t="n">
        <v>0</v>
      </c>
      <c r="L217" t="n">
        <v>0</v>
      </c>
      <c r="M217" t="n">
        <v>0</v>
      </c>
      <c r="N217" t="n">
        <v>0</v>
      </c>
      <c r="O217" t="n">
        <v>0</v>
      </c>
      <c r="P217" t="n">
        <v>0</v>
      </c>
      <c r="Q217" t="n">
        <v>0</v>
      </c>
      <c r="R217" s="2" t="inlineStr"/>
    </row>
    <row r="218" ht="15" customHeight="1">
      <c r="A218" t="inlineStr">
        <is>
          <t>A 62120-2020</t>
        </is>
      </c>
      <c r="B218" s="1" t="n">
        <v>44158</v>
      </c>
      <c r="C218" s="1" t="n">
        <v>45912</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3271-2021</t>
        </is>
      </c>
      <c r="B219" s="1" t="n">
        <v>44217</v>
      </c>
      <c r="C219" s="1" t="n">
        <v>45912</v>
      </c>
      <c r="D219" t="inlineStr">
        <is>
          <t>GOTLANDS LÄN</t>
        </is>
      </c>
      <c r="E219" t="inlineStr">
        <is>
          <t>GOTLAND</t>
        </is>
      </c>
      <c r="G219" t="n">
        <v>0.7</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45912</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45912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45912</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45912</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45912</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64380-2020</t>
        </is>
      </c>
      <c r="B225" s="1" t="n">
        <v>44168.60128472222</v>
      </c>
      <c r="C225" s="1" t="n">
        <v>45912</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2608-2021</t>
        </is>
      </c>
      <c r="B226" s="1" t="n">
        <v>44214</v>
      </c>
      <c r="C226" s="1" t="n">
        <v>45912</v>
      </c>
      <c r="D226" t="inlineStr">
        <is>
          <t>GOTLANDS LÄN</t>
        </is>
      </c>
      <c r="E226" t="inlineStr">
        <is>
          <t>GOTLAND</t>
        </is>
      </c>
      <c r="G226" t="n">
        <v>3.9</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45912</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22495-2022</t>
        </is>
      </c>
      <c r="B228" s="1" t="n">
        <v>44713.6452199074</v>
      </c>
      <c r="C228" s="1" t="n">
        <v>45912</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45912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45912</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45912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45912</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45912</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45912</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873-2024</t>
        </is>
      </c>
      <c r="B235" s="1" t="n">
        <v>45301</v>
      </c>
      <c r="C235" s="1" t="n">
        <v>45912</v>
      </c>
      <c r="D235" t="inlineStr">
        <is>
          <t>GOTLANDS LÄN</t>
        </is>
      </c>
      <c r="E235" t="inlineStr">
        <is>
          <t>GOTLAND</t>
        </is>
      </c>
      <c r="G235" t="n">
        <v>2.7</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45912</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45912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45912</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27095-2022</t>
        </is>
      </c>
      <c r="B239" s="1" t="n">
        <v>44741</v>
      </c>
      <c r="C239" s="1" t="n">
        <v>45912</v>
      </c>
      <c r="D239" t="inlineStr">
        <is>
          <t>GOTLANDS LÄN</t>
        </is>
      </c>
      <c r="E239" t="inlineStr">
        <is>
          <t>GOTLAND</t>
        </is>
      </c>
      <c r="F239" t="inlineStr">
        <is>
          <t>Övriga Aktiebolag</t>
        </is>
      </c>
      <c r="G239" t="n">
        <v>2.9</v>
      </c>
      <c r="H239" t="n">
        <v>0</v>
      </c>
      <c r="I239" t="n">
        <v>0</v>
      </c>
      <c r="J239" t="n">
        <v>0</v>
      </c>
      <c r="K239" t="n">
        <v>0</v>
      </c>
      <c r="L239" t="n">
        <v>0</v>
      </c>
      <c r="M239" t="n">
        <v>0</v>
      </c>
      <c r="N239" t="n">
        <v>0</v>
      </c>
      <c r="O239" t="n">
        <v>0</v>
      </c>
      <c r="P239" t="n">
        <v>0</v>
      </c>
      <c r="Q239" t="n">
        <v>0</v>
      </c>
      <c r="R239" s="2" t="inlineStr"/>
    </row>
    <row r="240" ht="15" customHeight="1">
      <c r="A240" t="inlineStr">
        <is>
          <t>A 458-2023</t>
        </is>
      </c>
      <c r="B240" s="1" t="n">
        <v>44929</v>
      </c>
      <c r="C240" s="1" t="n">
        <v>45912</v>
      </c>
      <c r="D240" t="inlineStr">
        <is>
          <t>GOTLANDS LÄN</t>
        </is>
      </c>
      <c r="E240" t="inlineStr">
        <is>
          <t>GOTLAND</t>
        </is>
      </c>
      <c r="G240" t="n">
        <v>3.6</v>
      </c>
      <c r="H240" t="n">
        <v>0</v>
      </c>
      <c r="I240" t="n">
        <v>0</v>
      </c>
      <c r="J240" t="n">
        <v>0</v>
      </c>
      <c r="K240" t="n">
        <v>0</v>
      </c>
      <c r="L240" t="n">
        <v>0</v>
      </c>
      <c r="M240" t="n">
        <v>0</v>
      </c>
      <c r="N240" t="n">
        <v>0</v>
      </c>
      <c r="O240" t="n">
        <v>0</v>
      </c>
      <c r="P240" t="n">
        <v>0</v>
      </c>
      <c r="Q240" t="n">
        <v>0</v>
      </c>
      <c r="R240" s="2" t="inlineStr"/>
    </row>
    <row r="241" ht="15" customHeight="1">
      <c r="A241" t="inlineStr">
        <is>
          <t>A 1291-2023</t>
        </is>
      </c>
      <c r="B241" s="1" t="n">
        <v>44936.47561342592</v>
      </c>
      <c r="C241" s="1" t="n">
        <v>45912</v>
      </c>
      <c r="D241" t="inlineStr">
        <is>
          <t>GOTLANDS LÄN</t>
        </is>
      </c>
      <c r="E241" t="inlineStr">
        <is>
          <t>GOTLAND</t>
        </is>
      </c>
      <c r="G241" t="n">
        <v>7.4</v>
      </c>
      <c r="H241" t="n">
        <v>0</v>
      </c>
      <c r="I241" t="n">
        <v>0</v>
      </c>
      <c r="J241" t="n">
        <v>0</v>
      </c>
      <c r="K241" t="n">
        <v>0</v>
      </c>
      <c r="L241" t="n">
        <v>0</v>
      </c>
      <c r="M241" t="n">
        <v>0</v>
      </c>
      <c r="N241" t="n">
        <v>0</v>
      </c>
      <c r="O241" t="n">
        <v>0</v>
      </c>
      <c r="P241" t="n">
        <v>0</v>
      </c>
      <c r="Q241" t="n">
        <v>0</v>
      </c>
      <c r="R241" s="2" t="inlineStr"/>
    </row>
    <row r="242" ht="15" customHeight="1">
      <c r="A242" t="inlineStr">
        <is>
          <t>A 22883-2024</t>
        </is>
      </c>
      <c r="B242" s="1" t="n">
        <v>45448.66368055555</v>
      </c>
      <c r="C242" s="1" t="n">
        <v>45912</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17901-2023</t>
        </is>
      </c>
      <c r="B243" s="1" t="n">
        <v>45039</v>
      </c>
      <c r="C243" s="1" t="n">
        <v>45912</v>
      </c>
      <c r="D243" t="inlineStr">
        <is>
          <t>GOTLANDS LÄN</t>
        </is>
      </c>
      <c r="E243" t="inlineStr">
        <is>
          <t>GOTLAND</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6108-2025</t>
        </is>
      </c>
      <c r="B244" s="1" t="n">
        <v>45698.29880787037</v>
      </c>
      <c r="C244" s="1" t="n">
        <v>45912</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45912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53225-2022</t>
        </is>
      </c>
      <c r="B246" s="1" t="n">
        <v>44876</v>
      </c>
      <c r="C246" s="1" t="n">
        <v>45912</v>
      </c>
      <c r="D246" t="inlineStr">
        <is>
          <t>GOTLANDS LÄN</t>
        </is>
      </c>
      <c r="E246" t="inlineStr">
        <is>
          <t>GOTLAND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32330-2024</t>
        </is>
      </c>
      <c r="B247" s="1" t="n">
        <v>45512</v>
      </c>
      <c r="C247" s="1" t="n">
        <v>45912</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27593-2023</t>
        </is>
      </c>
      <c r="B248" s="1" t="n">
        <v>45097</v>
      </c>
      <c r="C248" s="1" t="n">
        <v>45912</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45912</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12599-2025</t>
        </is>
      </c>
      <c r="B250" s="1" t="n">
        <v>45733.29546296296</v>
      </c>
      <c r="C250" s="1" t="n">
        <v>45912</v>
      </c>
      <c r="D250" t="inlineStr">
        <is>
          <t>GOTLANDS LÄN</t>
        </is>
      </c>
      <c r="E250" t="inlineStr">
        <is>
          <t>GOTLAND</t>
        </is>
      </c>
      <c r="G250" t="n">
        <v>4.7</v>
      </c>
      <c r="H250" t="n">
        <v>0</v>
      </c>
      <c r="I250" t="n">
        <v>0</v>
      </c>
      <c r="J250" t="n">
        <v>0</v>
      </c>
      <c r="K250" t="n">
        <v>0</v>
      </c>
      <c r="L250" t="n">
        <v>0</v>
      </c>
      <c r="M250" t="n">
        <v>0</v>
      </c>
      <c r="N250" t="n">
        <v>0</v>
      </c>
      <c r="O250" t="n">
        <v>0</v>
      </c>
      <c r="P250" t="n">
        <v>0</v>
      </c>
      <c r="Q250" t="n">
        <v>0</v>
      </c>
      <c r="R250" s="2" t="inlineStr"/>
    </row>
    <row r="251" ht="15" customHeight="1">
      <c r="A251" t="inlineStr">
        <is>
          <t>A 5891-2025</t>
        </is>
      </c>
      <c r="B251" s="1" t="n">
        <v>45695.38327546296</v>
      </c>
      <c r="C251" s="1" t="n">
        <v>45912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14804-2021</t>
        </is>
      </c>
      <c r="B252" s="1" t="n">
        <v>44280</v>
      </c>
      <c r="C252" s="1" t="n">
        <v>45912</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21164-2024</t>
        </is>
      </c>
      <c r="B253" s="1" t="n">
        <v>45440</v>
      </c>
      <c r="C253" s="1" t="n">
        <v>45912</v>
      </c>
      <c r="D253" t="inlineStr">
        <is>
          <t>GOTLANDS LÄN</t>
        </is>
      </c>
      <c r="E253" t="inlineStr">
        <is>
          <t>GOTLAND</t>
        </is>
      </c>
      <c r="G253" t="n">
        <v>6.3</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45912</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883-2025</t>
        </is>
      </c>
      <c r="B255" s="1" t="n">
        <v>45665</v>
      </c>
      <c r="C255" s="1" t="n">
        <v>45912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13910-2025</t>
        </is>
      </c>
      <c r="B256" s="1" t="n">
        <v>45737</v>
      </c>
      <c r="C256" s="1" t="n">
        <v>45912</v>
      </c>
      <c r="D256" t="inlineStr">
        <is>
          <t>GOTLANDS LÄN</t>
        </is>
      </c>
      <c r="E256" t="inlineStr">
        <is>
          <t>GOTLAND</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19002-2025</t>
        </is>
      </c>
      <c r="B257" s="1" t="n">
        <v>45764</v>
      </c>
      <c r="C257" s="1" t="n">
        <v>45912</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45912</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2719-2023</t>
        </is>
      </c>
      <c r="B259" s="1" t="n">
        <v>44944.55361111111</v>
      </c>
      <c r="C259" s="1" t="n">
        <v>45912</v>
      </c>
      <c r="D259" t="inlineStr">
        <is>
          <t>GOTLANDS LÄN</t>
        </is>
      </c>
      <c r="E259" t="inlineStr">
        <is>
          <t>GOTLAND</t>
        </is>
      </c>
      <c r="G259" t="n">
        <v>0.5</v>
      </c>
      <c r="H259" t="n">
        <v>0</v>
      </c>
      <c r="I259" t="n">
        <v>0</v>
      </c>
      <c r="J259" t="n">
        <v>0</v>
      </c>
      <c r="K259" t="n">
        <v>0</v>
      </c>
      <c r="L259" t="n">
        <v>0</v>
      </c>
      <c r="M259" t="n">
        <v>0</v>
      </c>
      <c r="N259" t="n">
        <v>0</v>
      </c>
      <c r="O259" t="n">
        <v>0</v>
      </c>
      <c r="P259" t="n">
        <v>0</v>
      </c>
      <c r="Q259" t="n">
        <v>0</v>
      </c>
      <c r="R259" s="2" t="inlineStr"/>
    </row>
    <row r="260" ht="15" customHeight="1">
      <c r="A260" t="inlineStr">
        <is>
          <t>A 6153-2024</t>
        </is>
      </c>
      <c r="B260" s="1" t="n">
        <v>45337</v>
      </c>
      <c r="C260" s="1" t="n">
        <v>45912</v>
      </c>
      <c r="D260" t="inlineStr">
        <is>
          <t>GOTLANDS LÄN</t>
        </is>
      </c>
      <c r="E260" t="inlineStr">
        <is>
          <t>GOTLAND</t>
        </is>
      </c>
      <c r="G260" t="n">
        <v>14.2</v>
      </c>
      <c r="H260" t="n">
        <v>0</v>
      </c>
      <c r="I260" t="n">
        <v>0</v>
      </c>
      <c r="J260" t="n">
        <v>0</v>
      </c>
      <c r="K260" t="n">
        <v>0</v>
      </c>
      <c r="L260" t="n">
        <v>0</v>
      </c>
      <c r="M260" t="n">
        <v>0</v>
      </c>
      <c r="N260" t="n">
        <v>0</v>
      </c>
      <c r="O260" t="n">
        <v>0</v>
      </c>
      <c r="P260" t="n">
        <v>0</v>
      </c>
      <c r="Q260" t="n">
        <v>0</v>
      </c>
      <c r="R260" s="2" t="inlineStr"/>
    </row>
    <row r="261" ht="15" customHeight="1">
      <c r="A261" t="inlineStr">
        <is>
          <t>A 17144-2025</t>
        </is>
      </c>
      <c r="B261" s="1" t="n">
        <v>45755.9499537037</v>
      </c>
      <c r="C261" s="1" t="n">
        <v>45912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49314-2024</t>
        </is>
      </c>
      <c r="B262" s="1" t="n">
        <v>45595.55893518519</v>
      </c>
      <c r="C262" s="1" t="n">
        <v>45912</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9875-2025</t>
        </is>
      </c>
      <c r="B263" s="1" t="n">
        <v>45716</v>
      </c>
      <c r="C263" s="1" t="n">
        <v>45912</v>
      </c>
      <c r="D263" t="inlineStr">
        <is>
          <t>GOTLANDS LÄN</t>
        </is>
      </c>
      <c r="E263" t="inlineStr">
        <is>
          <t>GOTLAND</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20794-2025</t>
        </is>
      </c>
      <c r="B264" s="1" t="n">
        <v>45776</v>
      </c>
      <c r="C264" s="1" t="n">
        <v>45912</v>
      </c>
      <c r="D264" t="inlineStr">
        <is>
          <t>GOTLANDS LÄN</t>
        </is>
      </c>
      <c r="E264" t="inlineStr">
        <is>
          <t>GOTLAND</t>
        </is>
      </c>
      <c r="G264" t="n">
        <v>6</v>
      </c>
      <c r="H264" t="n">
        <v>0</v>
      </c>
      <c r="I264" t="n">
        <v>0</v>
      </c>
      <c r="J264" t="n">
        <v>0</v>
      </c>
      <c r="K264" t="n">
        <v>0</v>
      </c>
      <c r="L264" t="n">
        <v>0</v>
      </c>
      <c r="M264" t="n">
        <v>0</v>
      </c>
      <c r="N264" t="n">
        <v>0</v>
      </c>
      <c r="O264" t="n">
        <v>0</v>
      </c>
      <c r="P264" t="n">
        <v>0</v>
      </c>
      <c r="Q264" t="n">
        <v>0</v>
      </c>
      <c r="R264" s="2" t="inlineStr"/>
    </row>
    <row r="265" ht="15" customHeight="1">
      <c r="A265" t="inlineStr">
        <is>
          <t>A 29809-2022</t>
        </is>
      </c>
      <c r="B265" s="1" t="n">
        <v>44755.8713425926</v>
      </c>
      <c r="C265" s="1" t="n">
        <v>45912</v>
      </c>
      <c r="D265" t="inlineStr">
        <is>
          <t>GOTLANDS LÄN</t>
        </is>
      </c>
      <c r="E265" t="inlineStr">
        <is>
          <t>GOTLAND</t>
        </is>
      </c>
      <c r="G265" t="n">
        <v>11.5</v>
      </c>
      <c r="H265" t="n">
        <v>0</v>
      </c>
      <c r="I265" t="n">
        <v>0</v>
      </c>
      <c r="J265" t="n">
        <v>0</v>
      </c>
      <c r="K265" t="n">
        <v>0</v>
      </c>
      <c r="L265" t="n">
        <v>0</v>
      </c>
      <c r="M265" t="n">
        <v>0</v>
      </c>
      <c r="N265" t="n">
        <v>0</v>
      </c>
      <c r="O265" t="n">
        <v>0</v>
      </c>
      <c r="P265" t="n">
        <v>0</v>
      </c>
      <c r="Q265" t="n">
        <v>0</v>
      </c>
      <c r="R265" s="2" t="inlineStr"/>
    </row>
    <row r="266" ht="15" customHeight="1">
      <c r="A266" t="inlineStr">
        <is>
          <t>A 2035-2025</t>
        </is>
      </c>
      <c r="B266" s="1" t="n">
        <v>45672</v>
      </c>
      <c r="C266" s="1" t="n">
        <v>45912</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20805-2025</t>
        </is>
      </c>
      <c r="B267" s="1" t="n">
        <v>45776</v>
      </c>
      <c r="C267" s="1" t="n">
        <v>45912</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45912</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21142-2025</t>
        </is>
      </c>
      <c r="B269" s="1" t="n">
        <v>45779</v>
      </c>
      <c r="C269" s="1" t="n">
        <v>45912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16361-2024</t>
        </is>
      </c>
      <c r="B270" s="1" t="n">
        <v>45407</v>
      </c>
      <c r="C270" s="1" t="n">
        <v>45912</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43081-2022</t>
        </is>
      </c>
      <c r="B271" s="1" t="n">
        <v>44833</v>
      </c>
      <c r="C271" s="1" t="n">
        <v>45912</v>
      </c>
      <c r="D271" t="inlineStr">
        <is>
          <t>GOTLANDS LÄN</t>
        </is>
      </c>
      <c r="E271" t="inlineStr">
        <is>
          <t>GOTLAND</t>
        </is>
      </c>
      <c r="G271" t="n">
        <v>6.8</v>
      </c>
      <c r="H271" t="n">
        <v>0</v>
      </c>
      <c r="I271" t="n">
        <v>0</v>
      </c>
      <c r="J271" t="n">
        <v>0</v>
      </c>
      <c r="K271" t="n">
        <v>0</v>
      </c>
      <c r="L271" t="n">
        <v>0</v>
      </c>
      <c r="M271" t="n">
        <v>0</v>
      </c>
      <c r="N271" t="n">
        <v>0</v>
      </c>
      <c r="O271" t="n">
        <v>0</v>
      </c>
      <c r="P271" t="n">
        <v>0</v>
      </c>
      <c r="Q271" t="n">
        <v>0</v>
      </c>
      <c r="R271" s="2" t="inlineStr"/>
    </row>
    <row r="272" ht="15" customHeight="1">
      <c r="A272" t="inlineStr">
        <is>
          <t>A 58476-2022</t>
        </is>
      </c>
      <c r="B272" s="1" t="n">
        <v>44902</v>
      </c>
      <c r="C272" s="1" t="n">
        <v>45912</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45912</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21651-2025</t>
        </is>
      </c>
      <c r="B274" s="1" t="n">
        <v>45783</v>
      </c>
      <c r="C274" s="1" t="n">
        <v>45912</v>
      </c>
      <c r="D274" t="inlineStr">
        <is>
          <t>GOTLANDS LÄN</t>
        </is>
      </c>
      <c r="E274" t="inlineStr">
        <is>
          <t>GOTLAND</t>
        </is>
      </c>
      <c r="G274" t="n">
        <v>4.2</v>
      </c>
      <c r="H274" t="n">
        <v>0</v>
      </c>
      <c r="I274" t="n">
        <v>0</v>
      </c>
      <c r="J274" t="n">
        <v>0</v>
      </c>
      <c r="K274" t="n">
        <v>0</v>
      </c>
      <c r="L274" t="n">
        <v>0</v>
      </c>
      <c r="M274" t="n">
        <v>0</v>
      </c>
      <c r="N274" t="n">
        <v>0</v>
      </c>
      <c r="O274" t="n">
        <v>0</v>
      </c>
      <c r="P274" t="n">
        <v>0</v>
      </c>
      <c r="Q274" t="n">
        <v>0</v>
      </c>
      <c r="R274" s="2" t="inlineStr"/>
    </row>
    <row r="275" ht="15" customHeight="1">
      <c r="A275" t="inlineStr">
        <is>
          <t>A 1175-2025</t>
        </is>
      </c>
      <c r="B275" s="1" t="n">
        <v>45667.34449074074</v>
      </c>
      <c r="C275" s="1" t="n">
        <v>45912</v>
      </c>
      <c r="D275" t="inlineStr">
        <is>
          <t>GOTLANDS LÄN</t>
        </is>
      </c>
      <c r="E275" t="inlineStr">
        <is>
          <t>GOTLAND</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45912</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42201-2023</t>
        </is>
      </c>
      <c r="B277" s="1" t="n">
        <v>45179</v>
      </c>
      <c r="C277" s="1" t="n">
        <v>45912</v>
      </c>
      <c r="D277" t="inlineStr">
        <is>
          <t>GOTLANDS LÄN</t>
        </is>
      </c>
      <c r="E277" t="inlineStr">
        <is>
          <t>GOTLAND</t>
        </is>
      </c>
      <c r="G277" t="n">
        <v>11.9</v>
      </c>
      <c r="H277" t="n">
        <v>0</v>
      </c>
      <c r="I277" t="n">
        <v>0</v>
      </c>
      <c r="J277" t="n">
        <v>0</v>
      </c>
      <c r="K277" t="n">
        <v>0</v>
      </c>
      <c r="L277" t="n">
        <v>0</v>
      </c>
      <c r="M277" t="n">
        <v>0</v>
      </c>
      <c r="N277" t="n">
        <v>0</v>
      </c>
      <c r="O277" t="n">
        <v>0</v>
      </c>
      <c r="P277" t="n">
        <v>0</v>
      </c>
      <c r="Q277" t="n">
        <v>0</v>
      </c>
      <c r="R277" s="2" t="inlineStr"/>
    </row>
    <row r="278" ht="15" customHeight="1">
      <c r="A278" t="inlineStr">
        <is>
          <t>A 3150-2025</t>
        </is>
      </c>
      <c r="B278" s="1" t="n">
        <v>45679.28974537037</v>
      </c>
      <c r="C278" s="1" t="n">
        <v>45912</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63229-2021</t>
        </is>
      </c>
      <c r="B279" s="1" t="n">
        <v>44508.34518518519</v>
      </c>
      <c r="C279" s="1" t="n">
        <v>45912</v>
      </c>
      <c r="D279" t="inlineStr">
        <is>
          <t>GOTLANDS LÄN</t>
        </is>
      </c>
      <c r="E279" t="inlineStr">
        <is>
          <t>GOTLAND</t>
        </is>
      </c>
      <c r="F279" t="inlineStr">
        <is>
          <t>Kyrkan</t>
        </is>
      </c>
      <c r="G279" t="n">
        <v>3.8</v>
      </c>
      <c r="H279" t="n">
        <v>0</v>
      </c>
      <c r="I279" t="n">
        <v>0</v>
      </c>
      <c r="J279" t="n">
        <v>0</v>
      </c>
      <c r="K279" t="n">
        <v>0</v>
      </c>
      <c r="L279" t="n">
        <v>0</v>
      </c>
      <c r="M279" t="n">
        <v>0</v>
      </c>
      <c r="N279" t="n">
        <v>0</v>
      </c>
      <c r="O279" t="n">
        <v>0</v>
      </c>
      <c r="P279" t="n">
        <v>0</v>
      </c>
      <c r="Q279" t="n">
        <v>0</v>
      </c>
      <c r="R279" s="2" t="inlineStr"/>
    </row>
    <row r="280" ht="15" customHeight="1">
      <c r="A280" t="inlineStr">
        <is>
          <t>A 3964-2024</t>
        </is>
      </c>
      <c r="B280" s="1" t="n">
        <v>45322</v>
      </c>
      <c r="C280" s="1" t="n">
        <v>45912</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45106-2024</t>
        </is>
      </c>
      <c r="B281" s="1" t="n">
        <v>45575</v>
      </c>
      <c r="C281" s="1" t="n">
        <v>45912</v>
      </c>
      <c r="D281" t="inlineStr">
        <is>
          <t>GOTLANDS LÄN</t>
        </is>
      </c>
      <c r="E281" t="inlineStr">
        <is>
          <t>GOTLAND</t>
        </is>
      </c>
      <c r="G281" t="n">
        <v>10</v>
      </c>
      <c r="H281" t="n">
        <v>0</v>
      </c>
      <c r="I281" t="n">
        <v>0</v>
      </c>
      <c r="J281" t="n">
        <v>0</v>
      </c>
      <c r="K281" t="n">
        <v>0</v>
      </c>
      <c r="L281" t="n">
        <v>0</v>
      </c>
      <c r="M281" t="n">
        <v>0</v>
      </c>
      <c r="N281" t="n">
        <v>0</v>
      </c>
      <c r="O281" t="n">
        <v>0</v>
      </c>
      <c r="P281" t="n">
        <v>0</v>
      </c>
      <c r="Q281" t="n">
        <v>0</v>
      </c>
      <c r="R281" s="2" t="inlineStr"/>
    </row>
    <row r="282" ht="15" customHeight="1">
      <c r="A282" t="inlineStr">
        <is>
          <t>A 45112-2024</t>
        </is>
      </c>
      <c r="B282" s="1" t="n">
        <v>45575</v>
      </c>
      <c r="C282" s="1" t="n">
        <v>45912</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42041-2024</t>
        </is>
      </c>
      <c r="B283" s="1" t="n">
        <v>45561</v>
      </c>
      <c r="C283" s="1" t="n">
        <v>45912</v>
      </c>
      <c r="D283" t="inlineStr">
        <is>
          <t>GOTLANDS LÄN</t>
        </is>
      </c>
      <c r="E283" t="inlineStr">
        <is>
          <t>GOTLAND</t>
        </is>
      </c>
      <c r="G283" t="n">
        <v>3.2</v>
      </c>
      <c r="H283" t="n">
        <v>0</v>
      </c>
      <c r="I283" t="n">
        <v>0</v>
      </c>
      <c r="J283" t="n">
        <v>0</v>
      </c>
      <c r="K283" t="n">
        <v>0</v>
      </c>
      <c r="L283" t="n">
        <v>0</v>
      </c>
      <c r="M283" t="n">
        <v>0</v>
      </c>
      <c r="N283" t="n">
        <v>0</v>
      </c>
      <c r="O283" t="n">
        <v>0</v>
      </c>
      <c r="P283" t="n">
        <v>0</v>
      </c>
      <c r="Q283" t="n">
        <v>0</v>
      </c>
      <c r="R283" s="2" t="inlineStr"/>
    </row>
    <row r="284" ht="15" customHeight="1">
      <c r="A284" t="inlineStr">
        <is>
          <t>A 7026-2023</t>
        </is>
      </c>
      <c r="B284" s="1" t="n">
        <v>44968.30340277778</v>
      </c>
      <c r="C284" s="1" t="n">
        <v>45912</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52892-2021</t>
        </is>
      </c>
      <c r="B285" s="1" t="n">
        <v>44467.49048611111</v>
      </c>
      <c r="C285" s="1" t="n">
        <v>45912</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1351-2025</t>
        </is>
      </c>
      <c r="B286" s="1" t="n">
        <v>45667.62246527777</v>
      </c>
      <c r="C286" s="1" t="n">
        <v>45912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49874-2024</t>
        </is>
      </c>
      <c r="B287" s="1" t="n">
        <v>45597.49274305555</v>
      </c>
      <c r="C287" s="1" t="n">
        <v>45912</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45912</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15436-2025</t>
        </is>
      </c>
      <c r="B289" s="1" t="n">
        <v>45747.47462962963</v>
      </c>
      <c r="C289" s="1" t="n">
        <v>45912</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45912</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21247-2022</t>
        </is>
      </c>
      <c r="B291" s="1" t="n">
        <v>44705.38832175926</v>
      </c>
      <c r="C291" s="1" t="n">
        <v>45912</v>
      </c>
      <c r="D291" t="inlineStr">
        <is>
          <t>GOTLANDS LÄN</t>
        </is>
      </c>
      <c r="E291" t="inlineStr">
        <is>
          <t>GOTLAND</t>
        </is>
      </c>
      <c r="G291" t="n">
        <v>16.2</v>
      </c>
      <c r="H291" t="n">
        <v>0</v>
      </c>
      <c r="I291" t="n">
        <v>0</v>
      </c>
      <c r="J291" t="n">
        <v>0</v>
      </c>
      <c r="K291" t="n">
        <v>0</v>
      </c>
      <c r="L291" t="n">
        <v>0</v>
      </c>
      <c r="M291" t="n">
        <v>0</v>
      </c>
      <c r="N291" t="n">
        <v>0</v>
      </c>
      <c r="O291" t="n">
        <v>0</v>
      </c>
      <c r="P291" t="n">
        <v>0</v>
      </c>
      <c r="Q291" t="n">
        <v>0</v>
      </c>
      <c r="R291" s="2" t="inlineStr"/>
    </row>
    <row r="292" ht="15" customHeight="1">
      <c r="A292" t="inlineStr">
        <is>
          <t>A 10656-2024</t>
        </is>
      </c>
      <c r="B292" s="1" t="n">
        <v>45368</v>
      </c>
      <c r="C292" s="1" t="n">
        <v>45912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57356-2023</t>
        </is>
      </c>
      <c r="B293" s="1" t="n">
        <v>45240</v>
      </c>
      <c r="C293" s="1" t="n">
        <v>45912</v>
      </c>
      <c r="D293" t="inlineStr">
        <is>
          <t>GOTLANDS LÄN</t>
        </is>
      </c>
      <c r="E293" t="inlineStr">
        <is>
          <t>GOTLAND</t>
        </is>
      </c>
      <c r="G293" t="n">
        <v>6.4</v>
      </c>
      <c r="H293" t="n">
        <v>0</v>
      </c>
      <c r="I293" t="n">
        <v>0</v>
      </c>
      <c r="J293" t="n">
        <v>0</v>
      </c>
      <c r="K293" t="n">
        <v>0</v>
      </c>
      <c r="L293" t="n">
        <v>0</v>
      </c>
      <c r="M293" t="n">
        <v>0</v>
      </c>
      <c r="N293" t="n">
        <v>0</v>
      </c>
      <c r="O293" t="n">
        <v>0</v>
      </c>
      <c r="P293" t="n">
        <v>0</v>
      </c>
      <c r="Q293" t="n">
        <v>0</v>
      </c>
      <c r="R293" s="2" t="inlineStr"/>
    </row>
    <row r="294" ht="15" customHeight="1">
      <c r="A294" t="inlineStr">
        <is>
          <t>A 28506-2023</t>
        </is>
      </c>
      <c r="B294" s="1" t="n">
        <v>45103</v>
      </c>
      <c r="C294" s="1" t="n">
        <v>45912</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45912</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18914-2025</t>
        </is>
      </c>
      <c r="B296" s="1" t="n">
        <v>45764.46783564815</v>
      </c>
      <c r="C296" s="1" t="n">
        <v>45912</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17780-2022</t>
        </is>
      </c>
      <c r="B297" s="1" t="n">
        <v>44682.82622685185</v>
      </c>
      <c r="C297" s="1" t="n">
        <v>45912</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63516-2023</t>
        </is>
      </c>
      <c r="B298" s="1" t="n">
        <v>45274</v>
      </c>
      <c r="C298" s="1" t="n">
        <v>45912</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51782-2023</t>
        </is>
      </c>
      <c r="B299" s="1" t="n">
        <v>45222.80952546297</v>
      </c>
      <c r="C299" s="1" t="n">
        <v>45912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60675-2021</t>
        </is>
      </c>
      <c r="B300" s="1" t="n">
        <v>44496.64855324074</v>
      </c>
      <c r="C300" s="1" t="n">
        <v>45912</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5217-2023</t>
        </is>
      </c>
      <c r="B301" s="1" t="n">
        <v>44959.39582175926</v>
      </c>
      <c r="C301" s="1" t="n">
        <v>45912</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53935-2024</t>
        </is>
      </c>
      <c r="B302" s="1" t="n">
        <v>45615</v>
      </c>
      <c r="C302" s="1" t="n">
        <v>45912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14638-2025</t>
        </is>
      </c>
      <c r="B303" s="1" t="n">
        <v>45742</v>
      </c>
      <c r="C303" s="1" t="n">
        <v>45912</v>
      </c>
      <c r="D303" t="inlineStr">
        <is>
          <t>GOTLANDS LÄN</t>
        </is>
      </c>
      <c r="E303" t="inlineStr">
        <is>
          <t>GOTLAND</t>
        </is>
      </c>
      <c r="G303" t="n">
        <v>13.4</v>
      </c>
      <c r="H303" t="n">
        <v>0</v>
      </c>
      <c r="I303" t="n">
        <v>0</v>
      </c>
      <c r="J303" t="n">
        <v>0</v>
      </c>
      <c r="K303" t="n">
        <v>0</v>
      </c>
      <c r="L303" t="n">
        <v>0</v>
      </c>
      <c r="M303" t="n">
        <v>0</v>
      </c>
      <c r="N303" t="n">
        <v>0</v>
      </c>
      <c r="O303" t="n">
        <v>0</v>
      </c>
      <c r="P303" t="n">
        <v>0</v>
      </c>
      <c r="Q303" t="n">
        <v>0</v>
      </c>
      <c r="R303" s="2" t="inlineStr"/>
    </row>
    <row r="304" ht="15" customHeight="1">
      <c r="A304" t="inlineStr">
        <is>
          <t>A 18938-2025</t>
        </is>
      </c>
      <c r="B304" s="1" t="n">
        <v>45764.49172453704</v>
      </c>
      <c r="C304" s="1" t="n">
        <v>45912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4421-2024</t>
        </is>
      </c>
      <c r="B305" s="1" t="n">
        <v>45327.45173611111</v>
      </c>
      <c r="C305" s="1" t="n">
        <v>45912</v>
      </c>
      <c r="D305" t="inlineStr">
        <is>
          <t>GOTLANDS LÄN</t>
        </is>
      </c>
      <c r="E305" t="inlineStr">
        <is>
          <t>GOTLAND</t>
        </is>
      </c>
      <c r="G305" t="n">
        <v>5.1</v>
      </c>
      <c r="H305" t="n">
        <v>0</v>
      </c>
      <c r="I305" t="n">
        <v>0</v>
      </c>
      <c r="J305" t="n">
        <v>0</v>
      </c>
      <c r="K305" t="n">
        <v>0</v>
      </c>
      <c r="L305" t="n">
        <v>0</v>
      </c>
      <c r="M305" t="n">
        <v>0</v>
      </c>
      <c r="N305" t="n">
        <v>0</v>
      </c>
      <c r="O305" t="n">
        <v>0</v>
      </c>
      <c r="P305" t="n">
        <v>0</v>
      </c>
      <c r="Q305" t="n">
        <v>0</v>
      </c>
      <c r="R305" s="2" t="inlineStr"/>
    </row>
    <row r="306" ht="15" customHeight="1">
      <c r="A306" t="inlineStr">
        <is>
          <t>A 23856-2025</t>
        </is>
      </c>
      <c r="B306" s="1" t="n">
        <v>45793</v>
      </c>
      <c r="C306" s="1" t="n">
        <v>45912</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69112-2021</t>
        </is>
      </c>
      <c r="B307" s="1" t="n">
        <v>44530</v>
      </c>
      <c r="C307" s="1" t="n">
        <v>45912</v>
      </c>
      <c r="D307" t="inlineStr">
        <is>
          <t>GOTLANDS LÄN</t>
        </is>
      </c>
      <c r="E307" t="inlineStr">
        <is>
          <t>GOTLAND</t>
        </is>
      </c>
      <c r="G307" t="n">
        <v>4.2</v>
      </c>
      <c r="H307" t="n">
        <v>0</v>
      </c>
      <c r="I307" t="n">
        <v>0</v>
      </c>
      <c r="J307" t="n">
        <v>0</v>
      </c>
      <c r="K307" t="n">
        <v>0</v>
      </c>
      <c r="L307" t="n">
        <v>0</v>
      </c>
      <c r="M307" t="n">
        <v>0</v>
      </c>
      <c r="N307" t="n">
        <v>0</v>
      </c>
      <c r="O307" t="n">
        <v>0</v>
      </c>
      <c r="P307" t="n">
        <v>0</v>
      </c>
      <c r="Q307" t="n">
        <v>0</v>
      </c>
      <c r="R307" s="2" t="inlineStr"/>
    </row>
    <row r="308" ht="15" customHeight="1">
      <c r="A308" t="inlineStr">
        <is>
          <t>A 23473-2025</t>
        </is>
      </c>
      <c r="B308" s="1" t="n">
        <v>45792</v>
      </c>
      <c r="C308" s="1" t="n">
        <v>45912</v>
      </c>
      <c r="D308" t="inlineStr">
        <is>
          <t>GOTLANDS LÄN</t>
        </is>
      </c>
      <c r="E308" t="inlineStr">
        <is>
          <t>GOTLAND</t>
        </is>
      </c>
      <c r="G308" t="n">
        <v>3.6</v>
      </c>
      <c r="H308" t="n">
        <v>0</v>
      </c>
      <c r="I308" t="n">
        <v>0</v>
      </c>
      <c r="J308" t="n">
        <v>0</v>
      </c>
      <c r="K308" t="n">
        <v>0</v>
      </c>
      <c r="L308" t="n">
        <v>0</v>
      </c>
      <c r="M308" t="n">
        <v>0</v>
      </c>
      <c r="N308" t="n">
        <v>0</v>
      </c>
      <c r="O308" t="n">
        <v>0</v>
      </c>
      <c r="P308" t="n">
        <v>0</v>
      </c>
      <c r="Q308" t="n">
        <v>0</v>
      </c>
      <c r="R308" s="2" t="inlineStr"/>
    </row>
    <row r="309" ht="15" customHeight="1">
      <c r="A309" t="inlineStr">
        <is>
          <t>A 48734-2022</t>
        </is>
      </c>
      <c r="B309" s="1" t="n">
        <v>44855</v>
      </c>
      <c r="C309" s="1" t="n">
        <v>45912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23516-2023</t>
        </is>
      </c>
      <c r="B310" s="1" t="n">
        <v>45076.93391203704</v>
      </c>
      <c r="C310" s="1" t="n">
        <v>45912</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45912</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23700-2025</t>
        </is>
      </c>
      <c r="B312" s="1" t="n">
        <v>45793</v>
      </c>
      <c r="C312" s="1" t="n">
        <v>45912</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43231-2023</t>
        </is>
      </c>
      <c r="B313" s="1" t="n">
        <v>45183.47025462963</v>
      </c>
      <c r="C313" s="1" t="n">
        <v>45912</v>
      </c>
      <c r="D313" t="inlineStr">
        <is>
          <t>GOTLANDS LÄN</t>
        </is>
      </c>
      <c r="E313" t="inlineStr">
        <is>
          <t>GOTLAND</t>
        </is>
      </c>
      <c r="G313" t="n">
        <v>3.6</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45912</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15075-2025</t>
        </is>
      </c>
      <c r="B315" s="1" t="n">
        <v>45743</v>
      </c>
      <c r="C315" s="1" t="n">
        <v>45912</v>
      </c>
      <c r="D315" t="inlineStr">
        <is>
          <t>GOTLANDS LÄN</t>
        </is>
      </c>
      <c r="E315" t="inlineStr">
        <is>
          <t>GOTLAND</t>
        </is>
      </c>
      <c r="G315" t="n">
        <v>20.9</v>
      </c>
      <c r="H315" t="n">
        <v>0</v>
      </c>
      <c r="I315" t="n">
        <v>0</v>
      </c>
      <c r="J315" t="n">
        <v>0</v>
      </c>
      <c r="K315" t="n">
        <v>0</v>
      </c>
      <c r="L315" t="n">
        <v>0</v>
      </c>
      <c r="M315" t="n">
        <v>0</v>
      </c>
      <c r="N315" t="n">
        <v>0</v>
      </c>
      <c r="O315" t="n">
        <v>0</v>
      </c>
      <c r="P315" t="n">
        <v>0</v>
      </c>
      <c r="Q315" t="n">
        <v>0</v>
      </c>
      <c r="R315" s="2" t="inlineStr"/>
    </row>
    <row r="316" ht="15" customHeight="1">
      <c r="A316" t="inlineStr">
        <is>
          <t>A 20165-2022</t>
        </is>
      </c>
      <c r="B316" s="1" t="n">
        <v>44698.49854166667</v>
      </c>
      <c r="C316" s="1" t="n">
        <v>45912</v>
      </c>
      <c r="D316" t="inlineStr">
        <is>
          <t>GOTLANDS LÄN</t>
        </is>
      </c>
      <c r="E316" t="inlineStr">
        <is>
          <t>GOTLAND</t>
        </is>
      </c>
      <c r="G316" t="n">
        <v>4.1</v>
      </c>
      <c r="H316" t="n">
        <v>0</v>
      </c>
      <c r="I316" t="n">
        <v>0</v>
      </c>
      <c r="J316" t="n">
        <v>0</v>
      </c>
      <c r="K316" t="n">
        <v>0</v>
      </c>
      <c r="L316" t="n">
        <v>0</v>
      </c>
      <c r="M316" t="n">
        <v>0</v>
      </c>
      <c r="N316" t="n">
        <v>0</v>
      </c>
      <c r="O316" t="n">
        <v>0</v>
      </c>
      <c r="P316" t="n">
        <v>0</v>
      </c>
      <c r="Q316" t="n">
        <v>0</v>
      </c>
      <c r="R316" s="2" t="inlineStr"/>
    </row>
    <row r="317" ht="15" customHeight="1">
      <c r="A317" t="inlineStr">
        <is>
          <t>A 58230-2024</t>
        </is>
      </c>
      <c r="B317" s="1" t="n">
        <v>45632.51625</v>
      </c>
      <c r="C317" s="1" t="n">
        <v>45912</v>
      </c>
      <c r="D317" t="inlineStr">
        <is>
          <t>GOTLANDS LÄN</t>
        </is>
      </c>
      <c r="E317" t="inlineStr">
        <is>
          <t>GOTLAND</t>
        </is>
      </c>
      <c r="G317" t="n">
        <v>7.3</v>
      </c>
      <c r="H317" t="n">
        <v>0</v>
      </c>
      <c r="I317" t="n">
        <v>0</v>
      </c>
      <c r="J317" t="n">
        <v>0</v>
      </c>
      <c r="K317" t="n">
        <v>0</v>
      </c>
      <c r="L317" t="n">
        <v>0</v>
      </c>
      <c r="M317" t="n">
        <v>0</v>
      </c>
      <c r="N317" t="n">
        <v>0</v>
      </c>
      <c r="O317" t="n">
        <v>0</v>
      </c>
      <c r="P317" t="n">
        <v>0</v>
      </c>
      <c r="Q317" t="n">
        <v>0</v>
      </c>
      <c r="R317" s="2" t="inlineStr"/>
    </row>
    <row r="318" ht="15" customHeight="1">
      <c r="A318" t="inlineStr">
        <is>
          <t>A 64555-2023</t>
        </is>
      </c>
      <c r="B318" s="1" t="n">
        <v>45281</v>
      </c>
      <c r="C318" s="1" t="n">
        <v>45912</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31264-2021</t>
        </is>
      </c>
      <c r="B319" s="1" t="n">
        <v>44368</v>
      </c>
      <c r="C319" s="1" t="n">
        <v>45912</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457-2023</t>
        </is>
      </c>
      <c r="B320" s="1" t="n">
        <v>44929.87238425926</v>
      </c>
      <c r="C320" s="1" t="n">
        <v>45912</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459-2023</t>
        </is>
      </c>
      <c r="B321" s="1" t="n">
        <v>44929.87423611111</v>
      </c>
      <c r="C321" s="1" t="n">
        <v>45912</v>
      </c>
      <c r="D321" t="inlineStr">
        <is>
          <t>GOTLANDS LÄN</t>
        </is>
      </c>
      <c r="E321" t="inlineStr">
        <is>
          <t>GOTLAND</t>
        </is>
      </c>
      <c r="G321" t="n">
        <v>4.2</v>
      </c>
      <c r="H321" t="n">
        <v>0</v>
      </c>
      <c r="I321" t="n">
        <v>0</v>
      </c>
      <c r="J321" t="n">
        <v>0</v>
      </c>
      <c r="K321" t="n">
        <v>0</v>
      </c>
      <c r="L321" t="n">
        <v>0</v>
      </c>
      <c r="M321" t="n">
        <v>0</v>
      </c>
      <c r="N321" t="n">
        <v>0</v>
      </c>
      <c r="O321" t="n">
        <v>0</v>
      </c>
      <c r="P321" t="n">
        <v>0</v>
      </c>
      <c r="Q321" t="n">
        <v>0</v>
      </c>
      <c r="R321" s="2" t="inlineStr"/>
    </row>
    <row r="322" ht="15" customHeight="1">
      <c r="A322" t="inlineStr">
        <is>
          <t>A 33876-2024</t>
        </is>
      </c>
      <c r="B322" s="1" t="n">
        <v>45521.87988425926</v>
      </c>
      <c r="C322" s="1" t="n">
        <v>45912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43223-2023</t>
        </is>
      </c>
      <c r="B323" s="1" t="n">
        <v>45183.45642361111</v>
      </c>
      <c r="C323" s="1" t="n">
        <v>45912</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45912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6796-2025</t>
        </is>
      </c>
      <c r="B325" s="1" t="n">
        <v>45700.66559027778</v>
      </c>
      <c r="C325" s="1" t="n">
        <v>45912</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876-2024</t>
        </is>
      </c>
      <c r="B326" s="1" t="n">
        <v>45301</v>
      </c>
      <c r="C326" s="1" t="n">
        <v>45912</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45912</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45912</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26891-2024</t>
        </is>
      </c>
      <c r="B329" s="1" t="n">
        <v>45470.65540509259</v>
      </c>
      <c r="C329" s="1" t="n">
        <v>45912</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14536-2021</t>
        </is>
      </c>
      <c r="B330" s="1" t="n">
        <v>44279.66168981481</v>
      </c>
      <c r="C330" s="1" t="n">
        <v>45912</v>
      </c>
      <c r="D330" t="inlineStr">
        <is>
          <t>GOTLANDS LÄN</t>
        </is>
      </c>
      <c r="E330" t="inlineStr">
        <is>
          <t>GOTLAND</t>
        </is>
      </c>
      <c r="G330" t="n">
        <v>8.5</v>
      </c>
      <c r="H330" t="n">
        <v>0</v>
      </c>
      <c r="I330" t="n">
        <v>0</v>
      </c>
      <c r="J330" t="n">
        <v>0</v>
      </c>
      <c r="K330" t="n">
        <v>0</v>
      </c>
      <c r="L330" t="n">
        <v>0</v>
      </c>
      <c r="M330" t="n">
        <v>0</v>
      </c>
      <c r="N330" t="n">
        <v>0</v>
      </c>
      <c r="O330" t="n">
        <v>0</v>
      </c>
      <c r="P330" t="n">
        <v>0</v>
      </c>
      <c r="Q330" t="n">
        <v>0</v>
      </c>
      <c r="R330" s="2" t="inlineStr"/>
    </row>
    <row r="331" ht="15" customHeight="1">
      <c r="A331" t="inlineStr">
        <is>
          <t>A 6749-2025</t>
        </is>
      </c>
      <c r="B331" s="1" t="n">
        <v>45700</v>
      </c>
      <c r="C331" s="1" t="n">
        <v>45912</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5923-2023</t>
        </is>
      </c>
      <c r="B332" s="1" t="n">
        <v>44963.69503472222</v>
      </c>
      <c r="C332" s="1" t="n">
        <v>45912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50482-2024</t>
        </is>
      </c>
      <c r="B333" s="1" t="n">
        <v>45601.48114583334</v>
      </c>
      <c r="C333" s="1" t="n">
        <v>45912</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5943-2024</t>
        </is>
      </c>
      <c r="B334" s="1" t="n">
        <v>45336</v>
      </c>
      <c r="C334" s="1" t="n">
        <v>45912</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5751-2024</t>
        </is>
      </c>
      <c r="B335" s="1" t="n">
        <v>45335.32702546296</v>
      </c>
      <c r="C335" s="1" t="n">
        <v>45912</v>
      </c>
      <c r="D335" t="inlineStr">
        <is>
          <t>GOTLANDS LÄN</t>
        </is>
      </c>
      <c r="E335" t="inlineStr">
        <is>
          <t>GOTLAND</t>
        </is>
      </c>
      <c r="G335" t="n">
        <v>4.2</v>
      </c>
      <c r="H335" t="n">
        <v>0</v>
      </c>
      <c r="I335" t="n">
        <v>0</v>
      </c>
      <c r="J335" t="n">
        <v>0</v>
      </c>
      <c r="K335" t="n">
        <v>0</v>
      </c>
      <c r="L335" t="n">
        <v>0</v>
      </c>
      <c r="M335" t="n">
        <v>0</v>
      </c>
      <c r="N335" t="n">
        <v>0</v>
      </c>
      <c r="O335" t="n">
        <v>0</v>
      </c>
      <c r="P335" t="n">
        <v>0</v>
      </c>
      <c r="Q335" t="n">
        <v>0</v>
      </c>
      <c r="R335" s="2" t="inlineStr"/>
    </row>
    <row r="336" ht="15" customHeight="1">
      <c r="A336" t="inlineStr">
        <is>
          <t>A 6696-2023</t>
        </is>
      </c>
      <c r="B336" s="1" t="n">
        <v>44966.66425925926</v>
      </c>
      <c r="C336" s="1" t="n">
        <v>45912</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28480-2023</t>
        </is>
      </c>
      <c r="B337" s="1" t="n">
        <v>45103</v>
      </c>
      <c r="C337" s="1" t="n">
        <v>45912</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28485-2023</t>
        </is>
      </c>
      <c r="B338" s="1" t="n">
        <v>45103.43731481482</v>
      </c>
      <c r="C338" s="1" t="n">
        <v>45912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4990-2025</t>
        </is>
      </c>
      <c r="B339" s="1" t="n">
        <v>45691</v>
      </c>
      <c r="C339" s="1" t="n">
        <v>45912</v>
      </c>
      <c r="D339" t="inlineStr">
        <is>
          <t>GOTLANDS LÄN</t>
        </is>
      </c>
      <c r="E339" t="inlineStr">
        <is>
          <t>GOTLAND</t>
        </is>
      </c>
      <c r="G339" t="n">
        <v>7.7</v>
      </c>
      <c r="H339" t="n">
        <v>0</v>
      </c>
      <c r="I339" t="n">
        <v>0</v>
      </c>
      <c r="J339" t="n">
        <v>0</v>
      </c>
      <c r="K339" t="n">
        <v>0</v>
      </c>
      <c r="L339" t="n">
        <v>0</v>
      </c>
      <c r="M339" t="n">
        <v>0</v>
      </c>
      <c r="N339" t="n">
        <v>0</v>
      </c>
      <c r="O339" t="n">
        <v>0</v>
      </c>
      <c r="P339" t="n">
        <v>0</v>
      </c>
      <c r="Q339" t="n">
        <v>0</v>
      </c>
      <c r="R339" s="2" t="inlineStr"/>
    </row>
    <row r="340" ht="15" customHeight="1">
      <c r="A340" t="inlineStr">
        <is>
          <t>A 38234-2023</t>
        </is>
      </c>
      <c r="B340" s="1" t="n">
        <v>45161.56663194444</v>
      </c>
      <c r="C340" s="1" t="n">
        <v>45912</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5462-2025</t>
        </is>
      </c>
      <c r="B341" s="1" t="n">
        <v>45693.29331018519</v>
      </c>
      <c r="C341" s="1" t="n">
        <v>45912</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1273-2023</t>
        </is>
      </c>
      <c r="B342" s="1" t="n">
        <v>44936</v>
      </c>
      <c r="C342" s="1" t="n">
        <v>45912</v>
      </c>
      <c r="D342" t="inlineStr">
        <is>
          <t>GOTLANDS LÄN</t>
        </is>
      </c>
      <c r="E342" t="inlineStr">
        <is>
          <t>GOTLAND</t>
        </is>
      </c>
      <c r="G342" t="n">
        <v>4.5</v>
      </c>
      <c r="H342" t="n">
        <v>0</v>
      </c>
      <c r="I342" t="n">
        <v>0</v>
      </c>
      <c r="J342" t="n">
        <v>0</v>
      </c>
      <c r="K342" t="n">
        <v>0</v>
      </c>
      <c r="L342" t="n">
        <v>0</v>
      </c>
      <c r="M342" t="n">
        <v>0</v>
      </c>
      <c r="N342" t="n">
        <v>0</v>
      </c>
      <c r="O342" t="n">
        <v>0</v>
      </c>
      <c r="P342" t="n">
        <v>0</v>
      </c>
      <c r="Q342" t="n">
        <v>0</v>
      </c>
      <c r="R342" s="2" t="inlineStr"/>
    </row>
    <row r="343" ht="15" customHeight="1">
      <c r="A343" t="inlineStr">
        <is>
          <t>A 38165-2023</t>
        </is>
      </c>
      <c r="B343" s="1" t="n">
        <v>45161</v>
      </c>
      <c r="C343" s="1" t="n">
        <v>45912</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17724-2024</t>
        </is>
      </c>
      <c r="B344" s="1" t="n">
        <v>45418.55096064815</v>
      </c>
      <c r="C344" s="1" t="n">
        <v>45912</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23978-2023</t>
        </is>
      </c>
      <c r="B345" s="1" t="n">
        <v>45078</v>
      </c>
      <c r="C345" s="1" t="n">
        <v>45912</v>
      </c>
      <c r="D345" t="inlineStr">
        <is>
          <t>GOTLANDS LÄN</t>
        </is>
      </c>
      <c r="E345" t="inlineStr">
        <is>
          <t>GOTLAND</t>
        </is>
      </c>
      <c r="F345" t="inlineStr">
        <is>
          <t>Naturvårdsverket</t>
        </is>
      </c>
      <c r="G345" t="n">
        <v>1.7</v>
      </c>
      <c r="H345" t="n">
        <v>0</v>
      </c>
      <c r="I345" t="n">
        <v>0</v>
      </c>
      <c r="J345" t="n">
        <v>0</v>
      </c>
      <c r="K345" t="n">
        <v>0</v>
      </c>
      <c r="L345" t="n">
        <v>0</v>
      </c>
      <c r="M345" t="n">
        <v>0</v>
      </c>
      <c r="N345" t="n">
        <v>0</v>
      </c>
      <c r="O345" t="n">
        <v>0</v>
      </c>
      <c r="P345" t="n">
        <v>0</v>
      </c>
      <c r="Q345" t="n">
        <v>0</v>
      </c>
      <c r="R345" s="2" t="inlineStr"/>
    </row>
    <row r="346" ht="15" customHeight="1">
      <c r="A346" t="inlineStr">
        <is>
          <t>A 49884-2023</t>
        </is>
      </c>
      <c r="B346" s="1" t="n">
        <v>45213</v>
      </c>
      <c r="C346" s="1" t="n">
        <v>45912</v>
      </c>
      <c r="D346" t="inlineStr">
        <is>
          <t>GOTLANDS LÄN</t>
        </is>
      </c>
      <c r="E346" t="inlineStr">
        <is>
          <t>GOTLAND</t>
        </is>
      </c>
      <c r="G346" t="n">
        <v>8.9</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45912</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45912</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34312-2024</t>
        </is>
      </c>
      <c r="B349" s="1" t="n">
        <v>45524.69703703704</v>
      </c>
      <c r="C349" s="1" t="n">
        <v>45912</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12846-2025</t>
        </is>
      </c>
      <c r="B350" s="1" t="n">
        <v>45733.65049768519</v>
      </c>
      <c r="C350" s="1" t="n">
        <v>45912</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43200-2023</t>
        </is>
      </c>
      <c r="B351" s="1" t="n">
        <v>45183</v>
      </c>
      <c r="C351" s="1" t="n">
        <v>45912</v>
      </c>
      <c r="D351" t="inlineStr">
        <is>
          <t>GOTLANDS LÄN</t>
        </is>
      </c>
      <c r="E351" t="inlineStr">
        <is>
          <t>GOTLAND</t>
        </is>
      </c>
      <c r="G351" t="n">
        <v>0.5</v>
      </c>
      <c r="H351" t="n">
        <v>0</v>
      </c>
      <c r="I351" t="n">
        <v>0</v>
      </c>
      <c r="J351" t="n">
        <v>0</v>
      </c>
      <c r="K351" t="n">
        <v>0</v>
      </c>
      <c r="L351" t="n">
        <v>0</v>
      </c>
      <c r="M351" t="n">
        <v>0</v>
      </c>
      <c r="N351" t="n">
        <v>0</v>
      </c>
      <c r="O351" t="n">
        <v>0</v>
      </c>
      <c r="P351" t="n">
        <v>0</v>
      </c>
      <c r="Q351" t="n">
        <v>0</v>
      </c>
      <c r="R351" s="2" t="inlineStr"/>
    </row>
    <row r="352" ht="15" customHeight="1">
      <c r="A352" t="inlineStr">
        <is>
          <t>A 25796-2025</t>
        </is>
      </c>
      <c r="B352" s="1" t="n">
        <v>45804.39543981481</v>
      </c>
      <c r="C352" s="1" t="n">
        <v>45912</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1477-2024</t>
        </is>
      </c>
      <c r="B353" s="1" t="n">
        <v>45305.37987268518</v>
      </c>
      <c r="C353" s="1" t="n">
        <v>45912</v>
      </c>
      <c r="D353" t="inlineStr">
        <is>
          <t>GOTLANDS LÄN</t>
        </is>
      </c>
      <c r="E353" t="inlineStr">
        <is>
          <t>GOTLAND</t>
        </is>
      </c>
      <c r="G353" t="n">
        <v>6.9</v>
      </c>
      <c r="H353" t="n">
        <v>0</v>
      </c>
      <c r="I353" t="n">
        <v>0</v>
      </c>
      <c r="J353" t="n">
        <v>0</v>
      </c>
      <c r="K353" t="n">
        <v>0</v>
      </c>
      <c r="L353" t="n">
        <v>0</v>
      </c>
      <c r="M353" t="n">
        <v>0</v>
      </c>
      <c r="N353" t="n">
        <v>0</v>
      </c>
      <c r="O353" t="n">
        <v>0</v>
      </c>
      <c r="P353" t="n">
        <v>0</v>
      </c>
      <c r="Q353" t="n">
        <v>0</v>
      </c>
      <c r="R353" s="2" t="inlineStr"/>
    </row>
    <row r="354" ht="15" customHeight="1">
      <c r="A354" t="inlineStr">
        <is>
          <t>A 3935-2025</t>
        </is>
      </c>
      <c r="B354" s="1" t="n">
        <v>45684.46070601852</v>
      </c>
      <c r="C354" s="1" t="n">
        <v>45912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45912</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24825-2024</t>
        </is>
      </c>
      <c r="B356" s="1" t="n">
        <v>45461</v>
      </c>
      <c r="C356" s="1" t="n">
        <v>45912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21792-2024</t>
        </is>
      </c>
      <c r="B357" s="1" t="n">
        <v>45442.64326388889</v>
      </c>
      <c r="C357" s="1" t="n">
        <v>45912</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26391-2025</t>
        </is>
      </c>
      <c r="B358" s="1" t="n">
        <v>45806</v>
      </c>
      <c r="C358" s="1" t="n">
        <v>45912</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26465-2025</t>
        </is>
      </c>
      <c r="B359" s="1" t="n">
        <v>45807.44377314814</v>
      </c>
      <c r="C359" s="1" t="n">
        <v>45912</v>
      </c>
      <c r="D359" t="inlineStr">
        <is>
          <t>GOTLANDS LÄN</t>
        </is>
      </c>
      <c r="E359" t="inlineStr">
        <is>
          <t>GOTLAND</t>
        </is>
      </c>
      <c r="G359" t="n">
        <v>4.5</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45912</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45912</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26457-2025</t>
        </is>
      </c>
      <c r="B362" s="1" t="n">
        <v>45807.42773148148</v>
      </c>
      <c r="C362" s="1" t="n">
        <v>45912</v>
      </c>
      <c r="D362" t="inlineStr">
        <is>
          <t>GOTLANDS LÄN</t>
        </is>
      </c>
      <c r="E362" t="inlineStr">
        <is>
          <t>GOTLAND</t>
        </is>
      </c>
      <c r="G362" t="n">
        <v>5.7</v>
      </c>
      <c r="H362" t="n">
        <v>0</v>
      </c>
      <c r="I362" t="n">
        <v>0</v>
      </c>
      <c r="J362" t="n">
        <v>0</v>
      </c>
      <c r="K362" t="n">
        <v>0</v>
      </c>
      <c r="L362" t="n">
        <v>0</v>
      </c>
      <c r="M362" t="n">
        <v>0</v>
      </c>
      <c r="N362" t="n">
        <v>0</v>
      </c>
      <c r="O362" t="n">
        <v>0</v>
      </c>
      <c r="P362" t="n">
        <v>0</v>
      </c>
      <c r="Q362" t="n">
        <v>0</v>
      </c>
      <c r="R362" s="2" t="inlineStr"/>
    </row>
    <row r="363" ht="15" customHeight="1">
      <c r="A363" t="inlineStr">
        <is>
          <t>A 26467-2025</t>
        </is>
      </c>
      <c r="B363" s="1" t="n">
        <v>45807.44640046296</v>
      </c>
      <c r="C363" s="1" t="n">
        <v>45912</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48843-2024</t>
        </is>
      </c>
      <c r="B364" s="1" t="n">
        <v>45593</v>
      </c>
      <c r="C364" s="1" t="n">
        <v>45912</v>
      </c>
      <c r="D364" t="inlineStr">
        <is>
          <t>GOTLANDS LÄN</t>
        </is>
      </c>
      <c r="E364" t="inlineStr">
        <is>
          <t>GOTLAND</t>
        </is>
      </c>
      <c r="G364" t="n">
        <v>0.5</v>
      </c>
      <c r="H364" t="n">
        <v>0</v>
      </c>
      <c r="I364" t="n">
        <v>0</v>
      </c>
      <c r="J364" t="n">
        <v>0</v>
      </c>
      <c r="K364" t="n">
        <v>0</v>
      </c>
      <c r="L364" t="n">
        <v>0</v>
      </c>
      <c r="M364" t="n">
        <v>0</v>
      </c>
      <c r="N364" t="n">
        <v>0</v>
      </c>
      <c r="O364" t="n">
        <v>0</v>
      </c>
      <c r="P364" t="n">
        <v>0</v>
      </c>
      <c r="Q364" t="n">
        <v>0</v>
      </c>
      <c r="R364" s="2" t="inlineStr"/>
    </row>
    <row r="365" ht="15" customHeight="1">
      <c r="A365" t="inlineStr">
        <is>
          <t>A 27694-2024</t>
        </is>
      </c>
      <c r="B365" s="1" t="n">
        <v>45475</v>
      </c>
      <c r="C365" s="1" t="n">
        <v>45912</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10158-2025</t>
        </is>
      </c>
      <c r="B366" s="1" t="n">
        <v>45719</v>
      </c>
      <c r="C366" s="1" t="n">
        <v>45912</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26660-2025</t>
        </is>
      </c>
      <c r="B367" s="1" t="n">
        <v>45810.39737268518</v>
      </c>
      <c r="C367" s="1" t="n">
        <v>45912</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10653-2023</t>
        </is>
      </c>
      <c r="B368" s="1" t="n">
        <v>44988.48859953704</v>
      </c>
      <c r="C368" s="1" t="n">
        <v>45912</v>
      </c>
      <c r="D368" t="inlineStr">
        <is>
          <t>GOTLANDS LÄN</t>
        </is>
      </c>
      <c r="E368" t="inlineStr">
        <is>
          <t>GOTLAND</t>
        </is>
      </c>
      <c r="F368" t="inlineStr">
        <is>
          <t>Kyrkan</t>
        </is>
      </c>
      <c r="G368" t="n">
        <v>3</v>
      </c>
      <c r="H368" t="n">
        <v>0</v>
      </c>
      <c r="I368" t="n">
        <v>0</v>
      </c>
      <c r="J368" t="n">
        <v>0</v>
      </c>
      <c r="K368" t="n">
        <v>0</v>
      </c>
      <c r="L368" t="n">
        <v>0</v>
      </c>
      <c r="M368" t="n">
        <v>0</v>
      </c>
      <c r="N368" t="n">
        <v>0</v>
      </c>
      <c r="O368" t="n">
        <v>0</v>
      </c>
      <c r="P368" t="n">
        <v>0</v>
      </c>
      <c r="Q368" t="n">
        <v>0</v>
      </c>
      <c r="R368" s="2" t="inlineStr"/>
    </row>
    <row r="369" ht="15" customHeight="1">
      <c r="A369" t="inlineStr">
        <is>
          <t>A 39764-2022</t>
        </is>
      </c>
      <c r="B369" s="1" t="n">
        <v>44819</v>
      </c>
      <c r="C369" s="1" t="n">
        <v>45912</v>
      </c>
      <c r="D369" t="inlineStr">
        <is>
          <t>GOTLANDS LÄN</t>
        </is>
      </c>
      <c r="E369" t="inlineStr">
        <is>
          <t>GOTLAND</t>
        </is>
      </c>
      <c r="F369" t="inlineStr">
        <is>
          <t>Kyrkan</t>
        </is>
      </c>
      <c r="G369" t="n">
        <v>3.7</v>
      </c>
      <c r="H369" t="n">
        <v>0</v>
      </c>
      <c r="I369" t="n">
        <v>0</v>
      </c>
      <c r="J369" t="n">
        <v>0</v>
      </c>
      <c r="K369" t="n">
        <v>0</v>
      </c>
      <c r="L369" t="n">
        <v>0</v>
      </c>
      <c r="M369" t="n">
        <v>0</v>
      </c>
      <c r="N369" t="n">
        <v>0</v>
      </c>
      <c r="O369" t="n">
        <v>0</v>
      </c>
      <c r="P369" t="n">
        <v>0</v>
      </c>
      <c r="Q369" t="n">
        <v>0</v>
      </c>
      <c r="R369" s="2" t="inlineStr"/>
    </row>
    <row r="370" ht="15" customHeight="1">
      <c r="A370" t="inlineStr">
        <is>
          <t>A 6099-2024</t>
        </is>
      </c>
      <c r="B370" s="1" t="n">
        <v>45337</v>
      </c>
      <c r="C370" s="1" t="n">
        <v>45912</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44974.61608796296</v>
      </c>
      <c r="C371" s="1" t="n">
        <v>45912</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35512-2023</t>
        </is>
      </c>
      <c r="B372" s="1" t="n">
        <v>45147.25623842593</v>
      </c>
      <c r="C372" s="1" t="n">
        <v>45912</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45912</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27355-2025</t>
        </is>
      </c>
      <c r="B374" s="1" t="n">
        <v>45812</v>
      </c>
      <c r="C374" s="1" t="n">
        <v>45912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11874-2024</t>
        </is>
      </c>
      <c r="B375" s="1" t="n">
        <v>45376.46956018519</v>
      </c>
      <c r="C375" s="1" t="n">
        <v>45912</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17343-2025</t>
        </is>
      </c>
      <c r="B376" s="1" t="n">
        <v>45756.6687037037</v>
      </c>
      <c r="C376" s="1" t="n">
        <v>45912</v>
      </c>
      <c r="D376" t="inlineStr">
        <is>
          <t>GOTLANDS LÄN</t>
        </is>
      </c>
      <c r="E376" t="inlineStr">
        <is>
          <t>GOTLAND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27348-2025</t>
        </is>
      </c>
      <c r="B377" s="1" t="n">
        <v>45812.62451388889</v>
      </c>
      <c r="C377" s="1" t="n">
        <v>45912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27371-2025</t>
        </is>
      </c>
      <c r="B378" s="1" t="n">
        <v>45812</v>
      </c>
      <c r="C378" s="1" t="n">
        <v>45912</v>
      </c>
      <c r="D378" t="inlineStr">
        <is>
          <t>GOTLANDS LÄN</t>
        </is>
      </c>
      <c r="E378" t="inlineStr">
        <is>
          <t>GOTLAND</t>
        </is>
      </c>
      <c r="G378" t="n">
        <v>8</v>
      </c>
      <c r="H378" t="n">
        <v>0</v>
      </c>
      <c r="I378" t="n">
        <v>0</v>
      </c>
      <c r="J378" t="n">
        <v>0</v>
      </c>
      <c r="K378" t="n">
        <v>0</v>
      </c>
      <c r="L378" t="n">
        <v>0</v>
      </c>
      <c r="M378" t="n">
        <v>0</v>
      </c>
      <c r="N378" t="n">
        <v>0</v>
      </c>
      <c r="O378" t="n">
        <v>0</v>
      </c>
      <c r="P378" t="n">
        <v>0</v>
      </c>
      <c r="Q378" t="n">
        <v>0</v>
      </c>
      <c r="R378" s="2" t="inlineStr"/>
    </row>
    <row r="379" ht="15" customHeight="1">
      <c r="A379" t="inlineStr">
        <is>
          <t>A 57534-2022</t>
        </is>
      </c>
      <c r="B379" s="1" t="n">
        <v>44896</v>
      </c>
      <c r="C379" s="1" t="n">
        <v>45912</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20225-2025</t>
        </is>
      </c>
      <c r="B380" s="1" t="n">
        <v>45772.65802083333</v>
      </c>
      <c r="C380" s="1" t="n">
        <v>45912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1677-2023</t>
        </is>
      </c>
      <c r="B381" s="1" t="n">
        <v>44938</v>
      </c>
      <c r="C381" s="1" t="n">
        <v>45912</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64831-2023</t>
        </is>
      </c>
      <c r="B382" s="1" t="n">
        <v>45282.44924768519</v>
      </c>
      <c r="C382" s="1" t="n">
        <v>45912</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7850-2025</t>
        </is>
      </c>
      <c r="B383" s="1" t="n">
        <v>45706</v>
      </c>
      <c r="C383" s="1" t="n">
        <v>45912</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6739-2025</t>
        </is>
      </c>
      <c r="B384" s="1" t="n">
        <v>45700</v>
      </c>
      <c r="C384" s="1" t="n">
        <v>45912</v>
      </c>
      <c r="D384" t="inlineStr">
        <is>
          <t>GOTLANDS LÄN</t>
        </is>
      </c>
      <c r="E384" t="inlineStr">
        <is>
          <t>GOTLAND</t>
        </is>
      </c>
      <c r="G384" t="n">
        <v>4.5</v>
      </c>
      <c r="H384" t="n">
        <v>0</v>
      </c>
      <c r="I384" t="n">
        <v>0</v>
      </c>
      <c r="J384" t="n">
        <v>0</v>
      </c>
      <c r="K384" t="n">
        <v>0</v>
      </c>
      <c r="L384" t="n">
        <v>0</v>
      </c>
      <c r="M384" t="n">
        <v>0</v>
      </c>
      <c r="N384" t="n">
        <v>0</v>
      </c>
      <c r="O384" t="n">
        <v>0</v>
      </c>
      <c r="P384" t="n">
        <v>0</v>
      </c>
      <c r="Q384" t="n">
        <v>0</v>
      </c>
      <c r="R384" s="2" t="inlineStr"/>
    </row>
    <row r="385" ht="15" customHeight="1">
      <c r="A385" t="inlineStr">
        <is>
          <t>A 64660-2023</t>
        </is>
      </c>
      <c r="B385" s="1" t="n">
        <v>45281.60122685185</v>
      </c>
      <c r="C385" s="1" t="n">
        <v>45912</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8036-2022</t>
        </is>
      </c>
      <c r="B386" s="1" t="n">
        <v>44609.44362268518</v>
      </c>
      <c r="C386" s="1" t="n">
        <v>45912</v>
      </c>
      <c r="D386" t="inlineStr">
        <is>
          <t>GOTLANDS LÄN</t>
        </is>
      </c>
      <c r="E386" t="inlineStr">
        <is>
          <t>GOTLAND</t>
        </is>
      </c>
      <c r="G386" t="n">
        <v>6.1</v>
      </c>
      <c r="H386" t="n">
        <v>0</v>
      </c>
      <c r="I386" t="n">
        <v>0</v>
      </c>
      <c r="J386" t="n">
        <v>0</v>
      </c>
      <c r="K386" t="n">
        <v>0</v>
      </c>
      <c r="L386" t="n">
        <v>0</v>
      </c>
      <c r="M386" t="n">
        <v>0</v>
      </c>
      <c r="N386" t="n">
        <v>0</v>
      </c>
      <c r="O386" t="n">
        <v>0</v>
      </c>
      <c r="P386" t="n">
        <v>0</v>
      </c>
      <c r="Q386" t="n">
        <v>0</v>
      </c>
      <c r="R386" s="2" t="inlineStr"/>
    </row>
    <row r="387" ht="15" customHeight="1">
      <c r="A387" t="inlineStr">
        <is>
          <t>A 46375-2024</t>
        </is>
      </c>
      <c r="B387" s="1" t="n">
        <v>45582</v>
      </c>
      <c r="C387" s="1" t="n">
        <v>45912</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62915-2021</t>
        </is>
      </c>
      <c r="B388" s="1" t="n">
        <v>44504</v>
      </c>
      <c r="C388" s="1" t="n">
        <v>45912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45912</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45912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7638-2025</t>
        </is>
      </c>
      <c r="B391" s="1" t="n">
        <v>45705.77306712963</v>
      </c>
      <c r="C391" s="1" t="n">
        <v>45912</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4377-2023</t>
        </is>
      </c>
      <c r="B392" s="1" t="n">
        <v>44955.5502662037</v>
      </c>
      <c r="C392" s="1" t="n">
        <v>45912</v>
      </c>
      <c r="D392" t="inlineStr">
        <is>
          <t>GOTLANDS LÄN</t>
        </is>
      </c>
      <c r="E392" t="inlineStr">
        <is>
          <t>GOTLAND</t>
        </is>
      </c>
      <c r="F392" t="inlineStr">
        <is>
          <t>Kyrkan</t>
        </is>
      </c>
      <c r="G392" t="n">
        <v>0.6</v>
      </c>
      <c r="H392" t="n">
        <v>0</v>
      </c>
      <c r="I392" t="n">
        <v>0</v>
      </c>
      <c r="J392" t="n">
        <v>0</v>
      </c>
      <c r="K392" t="n">
        <v>0</v>
      </c>
      <c r="L392" t="n">
        <v>0</v>
      </c>
      <c r="M392" t="n">
        <v>0</v>
      </c>
      <c r="N392" t="n">
        <v>0</v>
      </c>
      <c r="O392" t="n">
        <v>0</v>
      </c>
      <c r="P392" t="n">
        <v>0</v>
      </c>
      <c r="Q392" t="n">
        <v>0</v>
      </c>
      <c r="R392" s="2" t="inlineStr"/>
    </row>
    <row r="393" ht="15" customHeight="1">
      <c r="A393" t="inlineStr">
        <is>
          <t>A 20855-2023</t>
        </is>
      </c>
      <c r="B393" s="1" t="n">
        <v>45058.82172453704</v>
      </c>
      <c r="C393" s="1" t="n">
        <v>45912</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29207-2025</t>
        </is>
      </c>
      <c r="B394" s="1" t="n">
        <v>45823</v>
      </c>
      <c r="C394" s="1" t="n">
        <v>45912</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29196-2025</t>
        </is>
      </c>
      <c r="B395" s="1" t="n">
        <v>45822</v>
      </c>
      <c r="C395" s="1" t="n">
        <v>45912</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43901-2023</t>
        </is>
      </c>
      <c r="B396" s="1" t="n">
        <v>45187</v>
      </c>
      <c r="C396" s="1" t="n">
        <v>45912</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17532-2024</t>
        </is>
      </c>
      <c r="B397" s="1" t="n">
        <v>45415</v>
      </c>
      <c r="C397" s="1" t="n">
        <v>45912</v>
      </c>
      <c r="D397" t="inlineStr">
        <is>
          <t>GOTLANDS LÄN</t>
        </is>
      </c>
      <c r="E397" t="inlineStr">
        <is>
          <t>GOTLAND</t>
        </is>
      </c>
      <c r="G397" t="n">
        <v>4.3</v>
      </c>
      <c r="H397" t="n">
        <v>0</v>
      </c>
      <c r="I397" t="n">
        <v>0</v>
      </c>
      <c r="J397" t="n">
        <v>0</v>
      </c>
      <c r="K397" t="n">
        <v>0</v>
      </c>
      <c r="L397" t="n">
        <v>0</v>
      </c>
      <c r="M397" t="n">
        <v>0</v>
      </c>
      <c r="N397" t="n">
        <v>0</v>
      </c>
      <c r="O397" t="n">
        <v>0</v>
      </c>
      <c r="P397" t="n">
        <v>0</v>
      </c>
      <c r="Q397" t="n">
        <v>0</v>
      </c>
      <c r="R397" s="2" t="inlineStr"/>
    </row>
    <row r="398" ht="15" customHeight="1">
      <c r="A398" t="inlineStr">
        <is>
          <t>A 45692-2023</t>
        </is>
      </c>
      <c r="B398" s="1" t="n">
        <v>45195</v>
      </c>
      <c r="C398" s="1" t="n">
        <v>45912</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45912</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1000-2024</t>
        </is>
      </c>
      <c r="B400" s="1" t="n">
        <v>45301.63371527778</v>
      </c>
      <c r="C400" s="1" t="n">
        <v>45912</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1010-2024</t>
        </is>
      </c>
      <c r="B401" s="1" t="n">
        <v>45301</v>
      </c>
      <c r="C401" s="1" t="n">
        <v>45912</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65249-2023</t>
        </is>
      </c>
      <c r="B402" s="1" t="n">
        <v>45290</v>
      </c>
      <c r="C402" s="1" t="n">
        <v>45912</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37222-2021</t>
        </is>
      </c>
      <c r="B403" s="1" t="n">
        <v>44396</v>
      </c>
      <c r="C403" s="1" t="n">
        <v>45912</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30956-2024</t>
        </is>
      </c>
      <c r="B404" s="1" t="n">
        <v>45499.42527777778</v>
      </c>
      <c r="C404" s="1" t="n">
        <v>45912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12596-2023</t>
        </is>
      </c>
      <c r="B405" s="1" t="n">
        <v>45000.43310185185</v>
      </c>
      <c r="C405" s="1" t="n">
        <v>45912</v>
      </c>
      <c r="D405" t="inlineStr">
        <is>
          <t>GOTLANDS LÄN</t>
        </is>
      </c>
      <c r="E405" t="inlineStr">
        <is>
          <t>GOTLAND</t>
        </is>
      </c>
      <c r="G405" t="n">
        <v>4.1</v>
      </c>
      <c r="H405" t="n">
        <v>0</v>
      </c>
      <c r="I405" t="n">
        <v>0</v>
      </c>
      <c r="J405" t="n">
        <v>0</v>
      </c>
      <c r="K405" t="n">
        <v>0</v>
      </c>
      <c r="L405" t="n">
        <v>0</v>
      </c>
      <c r="M405" t="n">
        <v>0</v>
      </c>
      <c r="N405" t="n">
        <v>0</v>
      </c>
      <c r="O405" t="n">
        <v>0</v>
      </c>
      <c r="P405" t="n">
        <v>0</v>
      </c>
      <c r="Q405" t="n">
        <v>0</v>
      </c>
      <c r="R405" s="2" t="inlineStr"/>
    </row>
    <row r="406" ht="15" customHeight="1">
      <c r="A406" t="inlineStr">
        <is>
          <t>A 8045-2022</t>
        </is>
      </c>
      <c r="B406" s="1" t="n">
        <v>44609</v>
      </c>
      <c r="C406" s="1" t="n">
        <v>45912</v>
      </c>
      <c r="D406" t="inlineStr">
        <is>
          <t>GOTLANDS LÄN</t>
        </is>
      </c>
      <c r="E406" t="inlineStr">
        <is>
          <t>GOTLAND</t>
        </is>
      </c>
      <c r="G406" t="n">
        <v>7</v>
      </c>
      <c r="H406" t="n">
        <v>0</v>
      </c>
      <c r="I406" t="n">
        <v>0</v>
      </c>
      <c r="J406" t="n">
        <v>0</v>
      </c>
      <c r="K406" t="n">
        <v>0</v>
      </c>
      <c r="L406" t="n">
        <v>0</v>
      </c>
      <c r="M406" t="n">
        <v>0</v>
      </c>
      <c r="N406" t="n">
        <v>0</v>
      </c>
      <c r="O406" t="n">
        <v>0</v>
      </c>
      <c r="P406" t="n">
        <v>0</v>
      </c>
      <c r="Q406" t="n">
        <v>0</v>
      </c>
      <c r="R406" s="2" t="inlineStr"/>
    </row>
    <row r="407" ht="15" customHeight="1">
      <c r="A407" t="inlineStr">
        <is>
          <t>A 30061-2025</t>
        </is>
      </c>
      <c r="B407" s="1" t="n">
        <v>45826.61488425926</v>
      </c>
      <c r="C407" s="1" t="n">
        <v>45912</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46396-2023</t>
        </is>
      </c>
      <c r="B408" s="1" t="n">
        <v>45197</v>
      </c>
      <c r="C408" s="1" t="n">
        <v>45912</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58388-2022</t>
        </is>
      </c>
      <c r="B409" s="1" t="n">
        <v>44894</v>
      </c>
      <c r="C409" s="1" t="n">
        <v>45912</v>
      </c>
      <c r="D409" t="inlineStr">
        <is>
          <t>GOTLANDS LÄN</t>
        </is>
      </c>
      <c r="E409" t="inlineStr">
        <is>
          <t>GOTLAND</t>
        </is>
      </c>
      <c r="F409" t="inlineStr">
        <is>
          <t>Övriga statliga verk och myndigheter</t>
        </is>
      </c>
      <c r="G409" t="n">
        <v>3.1</v>
      </c>
      <c r="H409" t="n">
        <v>0</v>
      </c>
      <c r="I409" t="n">
        <v>0</v>
      </c>
      <c r="J409" t="n">
        <v>0</v>
      </c>
      <c r="K409" t="n">
        <v>0</v>
      </c>
      <c r="L409" t="n">
        <v>0</v>
      </c>
      <c r="M409" t="n">
        <v>0</v>
      </c>
      <c r="N409" t="n">
        <v>0</v>
      </c>
      <c r="O409" t="n">
        <v>0</v>
      </c>
      <c r="P409" t="n">
        <v>0</v>
      </c>
      <c r="Q409" t="n">
        <v>0</v>
      </c>
      <c r="R409" s="2" t="inlineStr"/>
    </row>
    <row r="410" ht="15" customHeight="1">
      <c r="A410" t="inlineStr">
        <is>
          <t>A 30157-2025</t>
        </is>
      </c>
      <c r="B410" s="1" t="n">
        <v>45826</v>
      </c>
      <c r="C410" s="1" t="n">
        <v>45912</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45912</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58160-2024</t>
        </is>
      </c>
      <c r="B412" s="1" t="n">
        <v>45632.44927083333</v>
      </c>
      <c r="C412" s="1" t="n">
        <v>45912</v>
      </c>
      <c r="D412" t="inlineStr">
        <is>
          <t>GOTLANDS LÄN</t>
        </is>
      </c>
      <c r="E412" t="inlineStr">
        <is>
          <t>GOTLAND</t>
        </is>
      </c>
      <c r="G412" t="n">
        <v>5.6</v>
      </c>
      <c r="H412" t="n">
        <v>0</v>
      </c>
      <c r="I412" t="n">
        <v>0</v>
      </c>
      <c r="J412" t="n">
        <v>0</v>
      </c>
      <c r="K412" t="n">
        <v>0</v>
      </c>
      <c r="L412" t="n">
        <v>0</v>
      </c>
      <c r="M412" t="n">
        <v>0</v>
      </c>
      <c r="N412" t="n">
        <v>0</v>
      </c>
      <c r="O412" t="n">
        <v>0</v>
      </c>
      <c r="P412" t="n">
        <v>0</v>
      </c>
      <c r="Q412" t="n">
        <v>0</v>
      </c>
      <c r="R412" s="2" t="inlineStr"/>
    </row>
    <row r="413" ht="15" customHeight="1">
      <c r="A413" t="inlineStr">
        <is>
          <t>A 999-2024</t>
        </is>
      </c>
      <c r="B413" s="1" t="n">
        <v>45301</v>
      </c>
      <c r="C413" s="1" t="n">
        <v>45912</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65901-2021</t>
        </is>
      </c>
      <c r="B414" s="1" t="n">
        <v>44516</v>
      </c>
      <c r="C414" s="1" t="n">
        <v>45912</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47762-2023</t>
        </is>
      </c>
      <c r="B415" s="1" t="n">
        <v>45203.86256944444</v>
      </c>
      <c r="C415" s="1" t="n">
        <v>45912</v>
      </c>
      <c r="D415" t="inlineStr">
        <is>
          <t>GOTLANDS LÄN</t>
        </is>
      </c>
      <c r="E415" t="inlineStr">
        <is>
          <t>GOTLAND</t>
        </is>
      </c>
      <c r="G415" t="n">
        <v>1.3</v>
      </c>
      <c r="H415" t="n">
        <v>0</v>
      </c>
      <c r="I415" t="n">
        <v>0</v>
      </c>
      <c r="J415" t="n">
        <v>0</v>
      </c>
      <c r="K415" t="n">
        <v>0</v>
      </c>
      <c r="L415" t="n">
        <v>0</v>
      </c>
      <c r="M415" t="n">
        <v>0</v>
      </c>
      <c r="N415" t="n">
        <v>0</v>
      </c>
      <c r="O415" t="n">
        <v>0</v>
      </c>
      <c r="P415" t="n">
        <v>0</v>
      </c>
      <c r="Q415" t="n">
        <v>0</v>
      </c>
      <c r="R415" s="2" t="inlineStr"/>
    </row>
    <row r="416" ht="15" customHeight="1">
      <c r="A416" t="inlineStr">
        <is>
          <t>A 53934-2024</t>
        </is>
      </c>
      <c r="B416" s="1" t="n">
        <v>45615</v>
      </c>
      <c r="C416" s="1" t="n">
        <v>45912</v>
      </c>
      <c r="D416" t="inlineStr">
        <is>
          <t>GOTLANDS LÄN</t>
        </is>
      </c>
      <c r="E416" t="inlineStr">
        <is>
          <t>GOTLAND</t>
        </is>
      </c>
      <c r="G416" t="n">
        <v>5</v>
      </c>
      <c r="H416" t="n">
        <v>0</v>
      </c>
      <c r="I416" t="n">
        <v>0</v>
      </c>
      <c r="J416" t="n">
        <v>0</v>
      </c>
      <c r="K416" t="n">
        <v>0</v>
      </c>
      <c r="L416" t="n">
        <v>0</v>
      </c>
      <c r="M416" t="n">
        <v>0</v>
      </c>
      <c r="N416" t="n">
        <v>0</v>
      </c>
      <c r="O416" t="n">
        <v>0</v>
      </c>
      <c r="P416" t="n">
        <v>0</v>
      </c>
      <c r="Q416" t="n">
        <v>0</v>
      </c>
      <c r="R416" s="2" t="inlineStr"/>
    </row>
    <row r="417" ht="15" customHeight="1">
      <c r="A417" t="inlineStr">
        <is>
          <t>A 40294-2022</t>
        </is>
      </c>
      <c r="B417" s="1" t="n">
        <v>44821</v>
      </c>
      <c r="C417" s="1" t="n">
        <v>45912</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27602-2023</t>
        </is>
      </c>
      <c r="B418" s="1" t="n">
        <v>45097</v>
      </c>
      <c r="C418" s="1" t="n">
        <v>45912</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58132-2023</t>
        </is>
      </c>
      <c r="B419" s="1" t="n">
        <v>45250</v>
      </c>
      <c r="C419" s="1" t="n">
        <v>45912</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22899-2023</t>
        </is>
      </c>
      <c r="B420" s="1" t="n">
        <v>45072</v>
      </c>
      <c r="C420" s="1" t="n">
        <v>45912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58780-2024</t>
        </is>
      </c>
      <c r="B421" s="1" t="n">
        <v>45635.84113425926</v>
      </c>
      <c r="C421" s="1" t="n">
        <v>45912</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12322-2025</t>
        </is>
      </c>
      <c r="B422" s="1" t="n">
        <v>45730</v>
      </c>
      <c r="C422" s="1" t="n">
        <v>45912</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28285-2024</t>
        </is>
      </c>
      <c r="B423" s="1" t="n">
        <v>45477</v>
      </c>
      <c r="C423" s="1" t="n">
        <v>45912</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51963-2024</t>
        </is>
      </c>
      <c r="B424" s="1" t="n">
        <v>45607.64833333333</v>
      </c>
      <c r="C424" s="1" t="n">
        <v>45912</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46778-2020</t>
        </is>
      </c>
      <c r="B425" s="1" t="n">
        <v>44096</v>
      </c>
      <c r="C425" s="1" t="n">
        <v>45912</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30135-2025</t>
        </is>
      </c>
      <c r="B426" s="1" t="n">
        <v>45826</v>
      </c>
      <c r="C426" s="1" t="n">
        <v>45912</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24192-2023</t>
        </is>
      </c>
      <c r="B427" s="1" t="n">
        <v>45079</v>
      </c>
      <c r="C427" s="1" t="n">
        <v>45912</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30282-2022</t>
        </is>
      </c>
      <c r="B428" s="1" t="n">
        <v>44760</v>
      </c>
      <c r="C428" s="1" t="n">
        <v>45912</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7835-2024</t>
        </is>
      </c>
      <c r="B429" s="1" t="n">
        <v>45349.83138888889</v>
      </c>
      <c r="C429" s="1" t="n">
        <v>45912</v>
      </c>
      <c r="D429" t="inlineStr">
        <is>
          <t>GOTLANDS LÄN</t>
        </is>
      </c>
      <c r="E429" t="inlineStr">
        <is>
          <t>GOTLAND</t>
        </is>
      </c>
      <c r="G429" t="n">
        <v>3.8</v>
      </c>
      <c r="H429" t="n">
        <v>0</v>
      </c>
      <c r="I429" t="n">
        <v>0</v>
      </c>
      <c r="J429" t="n">
        <v>0</v>
      </c>
      <c r="K429" t="n">
        <v>0</v>
      </c>
      <c r="L429" t="n">
        <v>0</v>
      </c>
      <c r="M429" t="n">
        <v>0</v>
      </c>
      <c r="N429" t="n">
        <v>0</v>
      </c>
      <c r="O429" t="n">
        <v>0</v>
      </c>
      <c r="P429" t="n">
        <v>0</v>
      </c>
      <c r="Q429" t="n">
        <v>0</v>
      </c>
      <c r="R429" s="2" t="inlineStr"/>
    </row>
    <row r="430" ht="15" customHeight="1">
      <c r="A430" t="inlineStr">
        <is>
          <t>A 10650-2022</t>
        </is>
      </c>
      <c r="B430" s="1" t="n">
        <v>44624.57945601852</v>
      </c>
      <c r="C430" s="1" t="n">
        <v>45912</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45912</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1734-2025</t>
        </is>
      </c>
      <c r="B432" s="1" t="n">
        <v>45671.3840625</v>
      </c>
      <c r="C432" s="1" t="n">
        <v>45912</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30365-2024</t>
        </is>
      </c>
      <c r="B433" s="1" t="n">
        <v>45491.3716087963</v>
      </c>
      <c r="C433" s="1" t="n">
        <v>45912</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16109-2025</t>
        </is>
      </c>
      <c r="B434" s="1" t="n">
        <v>45750</v>
      </c>
      <c r="C434" s="1" t="n">
        <v>45912</v>
      </c>
      <c r="D434" t="inlineStr">
        <is>
          <t>GOTLANDS LÄN</t>
        </is>
      </c>
      <c r="E434" t="inlineStr">
        <is>
          <t>GOTLAND</t>
        </is>
      </c>
      <c r="G434" t="n">
        <v>4.9</v>
      </c>
      <c r="H434" t="n">
        <v>0</v>
      </c>
      <c r="I434" t="n">
        <v>0</v>
      </c>
      <c r="J434" t="n">
        <v>0</v>
      </c>
      <c r="K434" t="n">
        <v>0</v>
      </c>
      <c r="L434" t="n">
        <v>0</v>
      </c>
      <c r="M434" t="n">
        <v>0</v>
      </c>
      <c r="N434" t="n">
        <v>0</v>
      </c>
      <c r="O434" t="n">
        <v>0</v>
      </c>
      <c r="P434" t="n">
        <v>0</v>
      </c>
      <c r="Q434" t="n">
        <v>0</v>
      </c>
      <c r="R434" s="2" t="inlineStr"/>
    </row>
    <row r="435" ht="15" customHeight="1">
      <c r="A435" t="inlineStr">
        <is>
          <t>A 2674-2023</t>
        </is>
      </c>
      <c r="B435" s="1" t="n">
        <v>44944</v>
      </c>
      <c r="C435" s="1" t="n">
        <v>45912</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32467-2025</t>
        </is>
      </c>
      <c r="B436" s="1" t="n">
        <v>45838.42111111111</v>
      </c>
      <c r="C436" s="1" t="n">
        <v>45912</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14915-2025</t>
        </is>
      </c>
      <c r="B437" s="1" t="n">
        <v>45743.53121527778</v>
      </c>
      <c r="C437" s="1" t="n">
        <v>45912</v>
      </c>
      <c r="D437" t="inlineStr">
        <is>
          <t>GOTLANDS LÄN</t>
        </is>
      </c>
      <c r="E437" t="inlineStr">
        <is>
          <t>GOTLAND</t>
        </is>
      </c>
      <c r="G437" t="n">
        <v>5.9</v>
      </c>
      <c r="H437" t="n">
        <v>0</v>
      </c>
      <c r="I437" t="n">
        <v>0</v>
      </c>
      <c r="J437" t="n">
        <v>0</v>
      </c>
      <c r="K437" t="n">
        <v>0</v>
      </c>
      <c r="L437" t="n">
        <v>0</v>
      </c>
      <c r="M437" t="n">
        <v>0</v>
      </c>
      <c r="N437" t="n">
        <v>0</v>
      </c>
      <c r="O437" t="n">
        <v>0</v>
      </c>
      <c r="P437" t="n">
        <v>0</v>
      </c>
      <c r="Q437" t="n">
        <v>0</v>
      </c>
      <c r="R437" s="2" t="inlineStr"/>
    </row>
    <row r="438" ht="15" customHeight="1">
      <c r="A438" t="inlineStr">
        <is>
          <t>A 61100-2022</t>
        </is>
      </c>
      <c r="B438" s="1" t="n">
        <v>44915</v>
      </c>
      <c r="C438" s="1" t="n">
        <v>45912</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28425-2023</t>
        </is>
      </c>
      <c r="B439" s="1" t="n">
        <v>45102</v>
      </c>
      <c r="C439" s="1" t="n">
        <v>45912</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32378-2025</t>
        </is>
      </c>
      <c r="B440" s="1" t="n">
        <v>45837</v>
      </c>
      <c r="C440" s="1" t="n">
        <v>45912</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43785-2024</t>
        </is>
      </c>
      <c r="B441" s="1" t="n">
        <v>45570</v>
      </c>
      <c r="C441" s="1" t="n">
        <v>45912</v>
      </c>
      <c r="D441" t="inlineStr">
        <is>
          <t>GOTLANDS LÄN</t>
        </is>
      </c>
      <c r="E441" t="inlineStr">
        <is>
          <t>GOTLAND</t>
        </is>
      </c>
      <c r="G441" t="n">
        <v>12.6</v>
      </c>
      <c r="H441" t="n">
        <v>0</v>
      </c>
      <c r="I441" t="n">
        <v>0</v>
      </c>
      <c r="J441" t="n">
        <v>0</v>
      </c>
      <c r="K441" t="n">
        <v>0</v>
      </c>
      <c r="L441" t="n">
        <v>0</v>
      </c>
      <c r="M441" t="n">
        <v>0</v>
      </c>
      <c r="N441" t="n">
        <v>0</v>
      </c>
      <c r="O441" t="n">
        <v>0</v>
      </c>
      <c r="P441" t="n">
        <v>0</v>
      </c>
      <c r="Q441" t="n">
        <v>0</v>
      </c>
      <c r="R441" s="2" t="inlineStr"/>
    </row>
    <row r="442" ht="15" customHeight="1">
      <c r="A442" t="inlineStr">
        <is>
          <t>A 32686-2025</t>
        </is>
      </c>
      <c r="B442" s="1" t="n">
        <v>45838</v>
      </c>
      <c r="C442" s="1" t="n">
        <v>45912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581-2023</t>
        </is>
      </c>
      <c r="B443" s="1" t="n">
        <v>44930</v>
      </c>
      <c r="C443" s="1" t="n">
        <v>45912</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32379-2025</t>
        </is>
      </c>
      <c r="B444" s="1" t="n">
        <v>45837</v>
      </c>
      <c r="C444" s="1" t="n">
        <v>45912</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13037-2025</t>
        </is>
      </c>
      <c r="B445" s="1" t="n">
        <v>45734</v>
      </c>
      <c r="C445" s="1" t="n">
        <v>45912</v>
      </c>
      <c r="D445" t="inlineStr">
        <is>
          <t>GOTLANDS LÄN</t>
        </is>
      </c>
      <c r="E445" t="inlineStr">
        <is>
          <t>GOTLAND</t>
        </is>
      </c>
      <c r="G445" t="n">
        <v>9.5</v>
      </c>
      <c r="H445" t="n">
        <v>0</v>
      </c>
      <c r="I445" t="n">
        <v>0</v>
      </c>
      <c r="J445" t="n">
        <v>0</v>
      </c>
      <c r="K445" t="n">
        <v>0</v>
      </c>
      <c r="L445" t="n">
        <v>0</v>
      </c>
      <c r="M445" t="n">
        <v>0</v>
      </c>
      <c r="N445" t="n">
        <v>0</v>
      </c>
      <c r="O445" t="n">
        <v>0</v>
      </c>
      <c r="P445" t="n">
        <v>0</v>
      </c>
      <c r="Q445" t="n">
        <v>0</v>
      </c>
      <c r="R445" s="2" t="inlineStr"/>
    </row>
    <row r="446" ht="15" customHeight="1">
      <c r="A446" t="inlineStr">
        <is>
          <t>A 10655-2023</t>
        </is>
      </c>
      <c r="B446" s="1" t="n">
        <v>44988.49543981482</v>
      </c>
      <c r="C446" s="1" t="n">
        <v>45912</v>
      </c>
      <c r="D446" t="inlineStr">
        <is>
          <t>GOTLANDS LÄN</t>
        </is>
      </c>
      <c r="E446" t="inlineStr">
        <is>
          <t>GOTLAND</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33078-2025</t>
        </is>
      </c>
      <c r="B447" s="1" t="n">
        <v>45840</v>
      </c>
      <c r="C447" s="1" t="n">
        <v>45912</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45912</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8484-2025</t>
        </is>
      </c>
      <c r="B449" s="1" t="n">
        <v>45709</v>
      </c>
      <c r="C449" s="1" t="n">
        <v>45912</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33007-2025</t>
        </is>
      </c>
      <c r="B450" s="1" t="n">
        <v>45840</v>
      </c>
      <c r="C450" s="1" t="n">
        <v>45912</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33011-2025</t>
        </is>
      </c>
      <c r="B451" s="1" t="n">
        <v>45840</v>
      </c>
      <c r="C451" s="1" t="n">
        <v>45912</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10746-2025</t>
        </is>
      </c>
      <c r="B452" s="1" t="n">
        <v>45722.42766203704</v>
      </c>
      <c r="C452" s="1" t="n">
        <v>45912</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38649-2025</t>
        </is>
      </c>
      <c r="B453" s="1" t="n">
        <v>45884</v>
      </c>
      <c r="C453" s="1" t="n">
        <v>45912</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43229-2023</t>
        </is>
      </c>
      <c r="B454" s="1" t="n">
        <v>45183.46704861111</v>
      </c>
      <c r="C454" s="1" t="n">
        <v>45912</v>
      </c>
      <c r="D454" t="inlineStr">
        <is>
          <t>GOTLANDS LÄN</t>
        </is>
      </c>
      <c r="E454" t="inlineStr">
        <is>
          <t>GOTLAND</t>
        </is>
      </c>
      <c r="G454" t="n">
        <v>7.1</v>
      </c>
      <c r="H454" t="n">
        <v>0</v>
      </c>
      <c r="I454" t="n">
        <v>0</v>
      </c>
      <c r="J454" t="n">
        <v>0</v>
      </c>
      <c r="K454" t="n">
        <v>0</v>
      </c>
      <c r="L454" t="n">
        <v>0</v>
      </c>
      <c r="M454" t="n">
        <v>0</v>
      </c>
      <c r="N454" t="n">
        <v>0</v>
      </c>
      <c r="O454" t="n">
        <v>0</v>
      </c>
      <c r="P454" t="n">
        <v>0</v>
      </c>
      <c r="Q454" t="n">
        <v>0</v>
      </c>
      <c r="R454" s="2" t="inlineStr"/>
    </row>
    <row r="455" ht="15" customHeight="1">
      <c r="A455" t="inlineStr">
        <is>
          <t>A 41038-2023</t>
        </is>
      </c>
      <c r="B455" s="1" t="n">
        <v>45173.60959490741</v>
      </c>
      <c r="C455" s="1" t="n">
        <v>45912</v>
      </c>
      <c r="D455" t="inlineStr">
        <is>
          <t>GOTLANDS LÄN</t>
        </is>
      </c>
      <c r="E455" t="inlineStr">
        <is>
          <t>GOTLAND</t>
        </is>
      </c>
      <c r="G455" t="n">
        <v>2.7</v>
      </c>
      <c r="H455" t="n">
        <v>0</v>
      </c>
      <c r="I455" t="n">
        <v>0</v>
      </c>
      <c r="J455" t="n">
        <v>0</v>
      </c>
      <c r="K455" t="n">
        <v>0</v>
      </c>
      <c r="L455" t="n">
        <v>0</v>
      </c>
      <c r="M455" t="n">
        <v>0</v>
      </c>
      <c r="N455" t="n">
        <v>0</v>
      </c>
      <c r="O455" t="n">
        <v>0</v>
      </c>
      <c r="P455" t="n">
        <v>0</v>
      </c>
      <c r="Q455" t="n">
        <v>0</v>
      </c>
      <c r="R455" s="2" t="inlineStr"/>
    </row>
    <row r="456" ht="15" customHeight="1">
      <c r="A456" t="inlineStr">
        <is>
          <t>A 49962-2023</t>
        </is>
      </c>
      <c r="B456" s="1" t="n">
        <v>45215.38775462963</v>
      </c>
      <c r="C456" s="1" t="n">
        <v>45912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50744-2024</t>
        </is>
      </c>
      <c r="B457" s="1" t="n">
        <v>45602.4187037037</v>
      </c>
      <c r="C457" s="1" t="n">
        <v>45912</v>
      </c>
      <c r="D457" t="inlineStr">
        <is>
          <t>GOTLANDS LÄN</t>
        </is>
      </c>
      <c r="E457" t="inlineStr">
        <is>
          <t>GOTLAND</t>
        </is>
      </c>
      <c r="G457" t="n">
        <v>3.2</v>
      </c>
      <c r="H457" t="n">
        <v>0</v>
      </c>
      <c r="I457" t="n">
        <v>0</v>
      </c>
      <c r="J457" t="n">
        <v>0</v>
      </c>
      <c r="K457" t="n">
        <v>0</v>
      </c>
      <c r="L457" t="n">
        <v>0</v>
      </c>
      <c r="M457" t="n">
        <v>0</v>
      </c>
      <c r="N457" t="n">
        <v>0</v>
      </c>
      <c r="O457" t="n">
        <v>0</v>
      </c>
      <c r="P457" t="n">
        <v>0</v>
      </c>
      <c r="Q457" t="n">
        <v>0</v>
      </c>
      <c r="R457" s="2" t="inlineStr"/>
    </row>
    <row r="458" ht="15" customHeight="1">
      <c r="A458" t="inlineStr">
        <is>
          <t>A 45244-2024</t>
        </is>
      </c>
      <c r="B458" s="1" t="n">
        <v>45576</v>
      </c>
      <c r="C458" s="1" t="n">
        <v>45912</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38787-2023</t>
        </is>
      </c>
      <c r="B459" s="1" t="n">
        <v>45163</v>
      </c>
      <c r="C459" s="1" t="n">
        <v>45912</v>
      </c>
      <c r="D459" t="inlineStr">
        <is>
          <t>GOTLANDS LÄN</t>
        </is>
      </c>
      <c r="E459" t="inlineStr">
        <is>
          <t>GOTLAND</t>
        </is>
      </c>
      <c r="G459" t="n">
        <v>0.4</v>
      </c>
      <c r="H459" t="n">
        <v>0</v>
      </c>
      <c r="I459" t="n">
        <v>0</v>
      </c>
      <c r="J459" t="n">
        <v>0</v>
      </c>
      <c r="K459" t="n">
        <v>0</v>
      </c>
      <c r="L459" t="n">
        <v>0</v>
      </c>
      <c r="M459" t="n">
        <v>0</v>
      </c>
      <c r="N459" t="n">
        <v>0</v>
      </c>
      <c r="O459" t="n">
        <v>0</v>
      </c>
      <c r="P459" t="n">
        <v>0</v>
      </c>
      <c r="Q459" t="n">
        <v>0</v>
      </c>
      <c r="R459" s="2" t="inlineStr"/>
    </row>
    <row r="460" ht="15" customHeight="1">
      <c r="A460" t="inlineStr">
        <is>
          <t>A 1713-2025</t>
        </is>
      </c>
      <c r="B460" s="1" t="n">
        <v>45671.32342592593</v>
      </c>
      <c r="C460" s="1" t="n">
        <v>45912</v>
      </c>
      <c r="D460" t="inlineStr">
        <is>
          <t>GOTLANDS LÄN</t>
        </is>
      </c>
      <c r="E460" t="inlineStr">
        <is>
          <t>GOTLAND</t>
        </is>
      </c>
      <c r="G460" t="n">
        <v>10.1</v>
      </c>
      <c r="H460" t="n">
        <v>0</v>
      </c>
      <c r="I460" t="n">
        <v>0</v>
      </c>
      <c r="J460" t="n">
        <v>0</v>
      </c>
      <c r="K460" t="n">
        <v>0</v>
      </c>
      <c r="L460" t="n">
        <v>0</v>
      </c>
      <c r="M460" t="n">
        <v>0</v>
      </c>
      <c r="N460" t="n">
        <v>0</v>
      </c>
      <c r="O460" t="n">
        <v>0</v>
      </c>
      <c r="P460" t="n">
        <v>0</v>
      </c>
      <c r="Q460" t="n">
        <v>0</v>
      </c>
      <c r="R460" s="2" t="inlineStr"/>
    </row>
    <row r="461" ht="15" customHeight="1">
      <c r="A461" t="inlineStr">
        <is>
          <t>A 39278-2025</t>
        </is>
      </c>
      <c r="B461" s="1" t="n">
        <v>45889</v>
      </c>
      <c r="C461" s="1" t="n">
        <v>45912</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2714-2023</t>
        </is>
      </c>
      <c r="B462" s="1" t="n">
        <v>44944.54896990741</v>
      </c>
      <c r="C462" s="1" t="n">
        <v>45912</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22897-2023</t>
        </is>
      </c>
      <c r="B463" s="1" t="n">
        <v>45072.55239583334</v>
      </c>
      <c r="C463" s="1" t="n">
        <v>45912</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34142-2024</t>
        </is>
      </c>
      <c r="B464" s="1" t="n">
        <v>45524.36521990741</v>
      </c>
      <c r="C464" s="1" t="n">
        <v>45912</v>
      </c>
      <c r="D464" t="inlineStr">
        <is>
          <t>GOTLANDS LÄN</t>
        </is>
      </c>
      <c r="E464" t="inlineStr">
        <is>
          <t>GOTLAND</t>
        </is>
      </c>
      <c r="G464" t="n">
        <v>6</v>
      </c>
      <c r="H464" t="n">
        <v>0</v>
      </c>
      <c r="I464" t="n">
        <v>0</v>
      </c>
      <c r="J464" t="n">
        <v>0</v>
      </c>
      <c r="K464" t="n">
        <v>0</v>
      </c>
      <c r="L464" t="n">
        <v>0</v>
      </c>
      <c r="M464" t="n">
        <v>0</v>
      </c>
      <c r="N464" t="n">
        <v>0</v>
      </c>
      <c r="O464" t="n">
        <v>0</v>
      </c>
      <c r="P464" t="n">
        <v>0</v>
      </c>
      <c r="Q464" t="n">
        <v>0</v>
      </c>
      <c r="R464" s="2" t="inlineStr"/>
    </row>
    <row r="465" ht="15" customHeight="1">
      <c r="A465" t="inlineStr">
        <is>
          <t>A 24966-2023</t>
        </is>
      </c>
      <c r="B465" s="1" t="n">
        <v>45085</v>
      </c>
      <c r="C465" s="1" t="n">
        <v>45912</v>
      </c>
      <c r="D465" t="inlineStr">
        <is>
          <t>GOTLANDS LÄN</t>
        </is>
      </c>
      <c r="E465" t="inlineStr">
        <is>
          <t>GOTLAND</t>
        </is>
      </c>
      <c r="G465" t="n">
        <v>7</v>
      </c>
      <c r="H465" t="n">
        <v>0</v>
      </c>
      <c r="I465" t="n">
        <v>0</v>
      </c>
      <c r="J465" t="n">
        <v>0</v>
      </c>
      <c r="K465" t="n">
        <v>0</v>
      </c>
      <c r="L465" t="n">
        <v>0</v>
      </c>
      <c r="M465" t="n">
        <v>0</v>
      </c>
      <c r="N465" t="n">
        <v>0</v>
      </c>
      <c r="O465" t="n">
        <v>0</v>
      </c>
      <c r="P465" t="n">
        <v>0</v>
      </c>
      <c r="Q465" t="n">
        <v>0</v>
      </c>
      <c r="R465" s="2" t="inlineStr"/>
    </row>
    <row r="466" ht="15" customHeight="1">
      <c r="A466" t="inlineStr">
        <is>
          <t>A 4568-2025</t>
        </is>
      </c>
      <c r="B466" s="1" t="n">
        <v>45687</v>
      </c>
      <c r="C466" s="1" t="n">
        <v>45912</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57652-2023</t>
        </is>
      </c>
      <c r="B467" s="1" t="n">
        <v>45246</v>
      </c>
      <c r="C467" s="1" t="n">
        <v>45912</v>
      </c>
      <c r="D467" t="inlineStr">
        <is>
          <t>GOTLANDS LÄN</t>
        </is>
      </c>
      <c r="E467" t="inlineStr">
        <is>
          <t>GOTLAND</t>
        </is>
      </c>
      <c r="G467" t="n">
        <v>7.2</v>
      </c>
      <c r="H467" t="n">
        <v>0</v>
      </c>
      <c r="I467" t="n">
        <v>0</v>
      </c>
      <c r="J467" t="n">
        <v>0</v>
      </c>
      <c r="K467" t="n">
        <v>0</v>
      </c>
      <c r="L467" t="n">
        <v>0</v>
      </c>
      <c r="M467" t="n">
        <v>0</v>
      </c>
      <c r="N467" t="n">
        <v>0</v>
      </c>
      <c r="O467" t="n">
        <v>0</v>
      </c>
      <c r="P467" t="n">
        <v>0</v>
      </c>
      <c r="Q467" t="n">
        <v>0</v>
      </c>
      <c r="R467" s="2" t="inlineStr"/>
    </row>
    <row r="468" ht="15" customHeight="1">
      <c r="A468" t="inlineStr">
        <is>
          <t>A 1681-2023</t>
        </is>
      </c>
      <c r="B468" s="1" t="n">
        <v>44938.39715277778</v>
      </c>
      <c r="C468" s="1" t="n">
        <v>45912</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46189-2022</t>
        </is>
      </c>
      <c r="B469" s="1" t="n">
        <v>44847</v>
      </c>
      <c r="C469" s="1" t="n">
        <v>45912</v>
      </c>
      <c r="D469" t="inlineStr">
        <is>
          <t>GOTLANDS LÄN</t>
        </is>
      </c>
      <c r="E469" t="inlineStr">
        <is>
          <t>GOTLAND</t>
        </is>
      </c>
      <c r="G469" t="n">
        <v>0.4</v>
      </c>
      <c r="H469" t="n">
        <v>0</v>
      </c>
      <c r="I469" t="n">
        <v>0</v>
      </c>
      <c r="J469" t="n">
        <v>0</v>
      </c>
      <c r="K469" t="n">
        <v>0</v>
      </c>
      <c r="L469" t="n">
        <v>0</v>
      </c>
      <c r="M469" t="n">
        <v>0</v>
      </c>
      <c r="N469" t="n">
        <v>0</v>
      </c>
      <c r="O469" t="n">
        <v>0</v>
      </c>
      <c r="P469" t="n">
        <v>0</v>
      </c>
      <c r="Q469" t="n">
        <v>0</v>
      </c>
      <c r="R469" s="2" t="inlineStr"/>
    </row>
    <row r="470" ht="15" customHeight="1">
      <c r="A470" t="inlineStr">
        <is>
          <t>A 39814-2025</t>
        </is>
      </c>
      <c r="B470" s="1" t="n">
        <v>45891.52694444444</v>
      </c>
      <c r="C470" s="1" t="n">
        <v>45912</v>
      </c>
      <c r="D470" t="inlineStr">
        <is>
          <t>GOTLANDS LÄN</t>
        </is>
      </c>
      <c r="E470" t="inlineStr">
        <is>
          <t>GOTLAND</t>
        </is>
      </c>
      <c r="G470" t="n">
        <v>4.5</v>
      </c>
      <c r="H470" t="n">
        <v>0</v>
      </c>
      <c r="I470" t="n">
        <v>0</v>
      </c>
      <c r="J470" t="n">
        <v>0</v>
      </c>
      <c r="K470" t="n">
        <v>0</v>
      </c>
      <c r="L470" t="n">
        <v>0</v>
      </c>
      <c r="M470" t="n">
        <v>0</v>
      </c>
      <c r="N470" t="n">
        <v>0</v>
      </c>
      <c r="O470" t="n">
        <v>0</v>
      </c>
      <c r="P470" t="n">
        <v>0</v>
      </c>
      <c r="Q470" t="n">
        <v>0</v>
      </c>
      <c r="R470" s="2" t="inlineStr"/>
    </row>
    <row r="471" ht="15" customHeight="1">
      <c r="A471" t="inlineStr">
        <is>
          <t>A 39849-2025</t>
        </is>
      </c>
      <c r="B471" s="1" t="n">
        <v>45891.58502314815</v>
      </c>
      <c r="C471" s="1" t="n">
        <v>45912</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42338-2023</t>
        </is>
      </c>
      <c r="B472" s="1" t="n">
        <v>45180</v>
      </c>
      <c r="C472" s="1" t="n">
        <v>45912</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57522-2022</t>
        </is>
      </c>
      <c r="B473" s="1" t="n">
        <v>44896</v>
      </c>
      <c r="C473" s="1" t="n">
        <v>45912</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18918-2025</t>
        </is>
      </c>
      <c r="B474" s="1" t="n">
        <v>45764</v>
      </c>
      <c r="C474" s="1" t="n">
        <v>45912</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14797-2024</t>
        </is>
      </c>
      <c r="B475" s="1" t="n">
        <v>45397.87030092593</v>
      </c>
      <c r="C475" s="1" t="n">
        <v>45912</v>
      </c>
      <c r="D475" t="inlineStr">
        <is>
          <t>GOTLANDS LÄN</t>
        </is>
      </c>
      <c r="E475" t="inlineStr">
        <is>
          <t>GOTLAND</t>
        </is>
      </c>
      <c r="G475" t="n">
        <v>8.1</v>
      </c>
      <c r="H475" t="n">
        <v>0</v>
      </c>
      <c r="I475" t="n">
        <v>0</v>
      </c>
      <c r="J475" t="n">
        <v>0</v>
      </c>
      <c r="K475" t="n">
        <v>0</v>
      </c>
      <c r="L475" t="n">
        <v>0</v>
      </c>
      <c r="M475" t="n">
        <v>0</v>
      </c>
      <c r="N475" t="n">
        <v>0</v>
      </c>
      <c r="O475" t="n">
        <v>0</v>
      </c>
      <c r="P475" t="n">
        <v>0</v>
      </c>
      <c r="Q475" t="n">
        <v>0</v>
      </c>
      <c r="R475" s="2" t="inlineStr"/>
    </row>
    <row r="476" ht="15" customHeight="1">
      <c r="A476" t="inlineStr">
        <is>
          <t>A 11013-2024</t>
        </is>
      </c>
      <c r="B476" s="1" t="n">
        <v>45370</v>
      </c>
      <c r="C476" s="1" t="n">
        <v>45912</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15413-2025</t>
        </is>
      </c>
      <c r="B477" s="1" t="n">
        <v>45747.451875</v>
      </c>
      <c r="C477" s="1" t="n">
        <v>45912</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39819-2025</t>
        </is>
      </c>
      <c r="B478" s="1" t="n">
        <v>45891.53418981482</v>
      </c>
      <c r="C478" s="1" t="n">
        <v>45912</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45084-2024</t>
        </is>
      </c>
      <c r="B479" s="1" t="n">
        <v>45575</v>
      </c>
      <c r="C479" s="1" t="n">
        <v>45912</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35096-2025</t>
        </is>
      </c>
      <c r="B480" s="1" t="n">
        <v>45852.54356481481</v>
      </c>
      <c r="C480" s="1" t="n">
        <v>45912</v>
      </c>
      <c r="D480" t="inlineStr">
        <is>
          <t>GOTLANDS LÄN</t>
        </is>
      </c>
      <c r="E480" t="inlineStr">
        <is>
          <t>GOTLAND</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20356-2022</t>
        </is>
      </c>
      <c r="B481" s="1" t="n">
        <v>44699</v>
      </c>
      <c r="C481" s="1" t="n">
        <v>45912</v>
      </c>
      <c r="D481" t="inlineStr">
        <is>
          <t>GOTLANDS LÄN</t>
        </is>
      </c>
      <c r="E481" t="inlineStr">
        <is>
          <t>GOTLAND</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39752-2025</t>
        </is>
      </c>
      <c r="B482" s="1" t="n">
        <v>45891</v>
      </c>
      <c r="C482" s="1" t="n">
        <v>45912</v>
      </c>
      <c r="D482" t="inlineStr">
        <is>
          <t>GOTLANDS LÄN</t>
        </is>
      </c>
      <c r="E482" t="inlineStr">
        <is>
          <t>GOTLAND</t>
        </is>
      </c>
      <c r="G482" t="n">
        <v>5.3</v>
      </c>
      <c r="H482" t="n">
        <v>0</v>
      </c>
      <c r="I482" t="n">
        <v>0</v>
      </c>
      <c r="J482" t="n">
        <v>0</v>
      </c>
      <c r="K482" t="n">
        <v>0</v>
      </c>
      <c r="L482" t="n">
        <v>0</v>
      </c>
      <c r="M482" t="n">
        <v>0</v>
      </c>
      <c r="N482" t="n">
        <v>0</v>
      </c>
      <c r="O482" t="n">
        <v>0</v>
      </c>
      <c r="P482" t="n">
        <v>0</v>
      </c>
      <c r="Q482" t="n">
        <v>0</v>
      </c>
      <c r="R482" s="2" t="inlineStr"/>
    </row>
    <row r="483" ht="15" customHeight="1">
      <c r="A483" t="inlineStr">
        <is>
          <t>A 35123-2025</t>
        </is>
      </c>
      <c r="B483" s="1" t="n">
        <v>45852.614375</v>
      </c>
      <c r="C483" s="1" t="n">
        <v>45912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35142-2025</t>
        </is>
      </c>
      <c r="B484" s="1" t="n">
        <v>45852.65532407408</v>
      </c>
      <c r="C484" s="1" t="n">
        <v>45912</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7837-2024</t>
        </is>
      </c>
      <c r="B485" s="1" t="n">
        <v>45349.83787037037</v>
      </c>
      <c r="C485" s="1" t="n">
        <v>45912</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4868-2024</t>
        </is>
      </c>
      <c r="B486" s="1" t="n">
        <v>45329</v>
      </c>
      <c r="C486" s="1" t="n">
        <v>45912</v>
      </c>
      <c r="D486" t="inlineStr">
        <is>
          <t>GOTLANDS LÄN</t>
        </is>
      </c>
      <c r="E486" t="inlineStr">
        <is>
          <t>GOTLAND</t>
        </is>
      </c>
      <c r="G486" t="n">
        <v>7.1</v>
      </c>
      <c r="H486" t="n">
        <v>0</v>
      </c>
      <c r="I486" t="n">
        <v>0</v>
      </c>
      <c r="J486" t="n">
        <v>0</v>
      </c>
      <c r="K486" t="n">
        <v>0</v>
      </c>
      <c r="L486" t="n">
        <v>0</v>
      </c>
      <c r="M486" t="n">
        <v>0</v>
      </c>
      <c r="N486" t="n">
        <v>0</v>
      </c>
      <c r="O486" t="n">
        <v>0</v>
      </c>
      <c r="P486" t="n">
        <v>0</v>
      </c>
      <c r="Q486" t="n">
        <v>0</v>
      </c>
      <c r="R486" s="2" t="inlineStr"/>
    </row>
    <row r="487" ht="15" customHeight="1">
      <c r="A487" t="inlineStr">
        <is>
          <t>A 35141-2025</t>
        </is>
      </c>
      <c r="B487" s="1" t="n">
        <v>45852.65206018519</v>
      </c>
      <c r="C487" s="1" t="n">
        <v>45912</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9613-2025</t>
        </is>
      </c>
      <c r="B488" s="1" t="n">
        <v>45715</v>
      </c>
      <c r="C488" s="1" t="n">
        <v>45912</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40372-2025</t>
        </is>
      </c>
      <c r="B489" s="1" t="n">
        <v>45895.5162037037</v>
      </c>
      <c r="C489" s="1" t="n">
        <v>45912</v>
      </c>
      <c r="D489" t="inlineStr">
        <is>
          <t>GOTLANDS LÄN</t>
        </is>
      </c>
      <c r="E489" t="inlineStr">
        <is>
          <t>GOTLAND</t>
        </is>
      </c>
      <c r="G489" t="n">
        <v>3.3</v>
      </c>
      <c r="H489" t="n">
        <v>0</v>
      </c>
      <c r="I489" t="n">
        <v>0</v>
      </c>
      <c r="J489" t="n">
        <v>0</v>
      </c>
      <c r="K489" t="n">
        <v>0</v>
      </c>
      <c r="L489" t="n">
        <v>0</v>
      </c>
      <c r="M489" t="n">
        <v>0</v>
      </c>
      <c r="N489" t="n">
        <v>0</v>
      </c>
      <c r="O489" t="n">
        <v>0</v>
      </c>
      <c r="P489" t="n">
        <v>0</v>
      </c>
      <c r="Q489" t="n">
        <v>0</v>
      </c>
      <c r="R489" s="2" t="inlineStr"/>
    </row>
    <row r="490" ht="15" customHeight="1">
      <c r="A490" t="inlineStr">
        <is>
          <t>A 40373-2025</t>
        </is>
      </c>
      <c r="B490" s="1" t="n">
        <v>45895.51821759259</v>
      </c>
      <c r="C490" s="1" t="n">
        <v>45912</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40103-2025</t>
        </is>
      </c>
      <c r="B491" s="1" t="n">
        <v>45894.4880324074</v>
      </c>
      <c r="C491" s="1" t="n">
        <v>45912</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5386-2023</t>
        </is>
      </c>
      <c r="B492" s="1" t="n">
        <v>44959</v>
      </c>
      <c r="C492" s="1" t="n">
        <v>45912</v>
      </c>
      <c r="D492" t="inlineStr">
        <is>
          <t>GOTLANDS LÄN</t>
        </is>
      </c>
      <c r="E492" t="inlineStr">
        <is>
          <t>GOTLAND</t>
        </is>
      </c>
      <c r="G492" t="n">
        <v>5.4</v>
      </c>
      <c r="H492" t="n">
        <v>0</v>
      </c>
      <c r="I492" t="n">
        <v>0</v>
      </c>
      <c r="J492" t="n">
        <v>0</v>
      </c>
      <c r="K492" t="n">
        <v>0</v>
      </c>
      <c r="L492" t="n">
        <v>0</v>
      </c>
      <c r="M492" t="n">
        <v>0</v>
      </c>
      <c r="N492" t="n">
        <v>0</v>
      </c>
      <c r="O492" t="n">
        <v>0</v>
      </c>
      <c r="P492" t="n">
        <v>0</v>
      </c>
      <c r="Q492" t="n">
        <v>0</v>
      </c>
      <c r="R492" s="2" t="inlineStr"/>
    </row>
    <row r="493" ht="15" customHeight="1">
      <c r="A493" t="inlineStr">
        <is>
          <t>A 1394-2023</t>
        </is>
      </c>
      <c r="B493" s="1" t="n">
        <v>44936.72997685185</v>
      </c>
      <c r="C493" s="1" t="n">
        <v>45912</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2676-2023</t>
        </is>
      </c>
      <c r="B494" s="1" t="n">
        <v>44944</v>
      </c>
      <c r="C494" s="1" t="n">
        <v>45912</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4387-2023</t>
        </is>
      </c>
      <c r="B495" s="1" t="n">
        <v>44955.73359953704</v>
      </c>
      <c r="C495" s="1" t="n">
        <v>45912</v>
      </c>
      <c r="D495" t="inlineStr">
        <is>
          <t>GOTLANDS LÄN</t>
        </is>
      </c>
      <c r="E495" t="inlineStr">
        <is>
          <t>GOTLAND</t>
        </is>
      </c>
      <c r="G495" t="n">
        <v>1.9</v>
      </c>
      <c r="H495" t="n">
        <v>0</v>
      </c>
      <c r="I495" t="n">
        <v>0</v>
      </c>
      <c r="J495" t="n">
        <v>0</v>
      </c>
      <c r="K495" t="n">
        <v>0</v>
      </c>
      <c r="L495" t="n">
        <v>0</v>
      </c>
      <c r="M495" t="n">
        <v>0</v>
      </c>
      <c r="N495" t="n">
        <v>0</v>
      </c>
      <c r="O495" t="n">
        <v>0</v>
      </c>
      <c r="P495" t="n">
        <v>0</v>
      </c>
      <c r="Q495" t="n">
        <v>0</v>
      </c>
      <c r="R495" s="2" t="inlineStr"/>
    </row>
    <row r="496" ht="15" customHeight="1">
      <c r="A496" t="inlineStr">
        <is>
          <t>A 39816-2025</t>
        </is>
      </c>
      <c r="B496" s="1" t="n">
        <v>45891</v>
      </c>
      <c r="C496" s="1" t="n">
        <v>45912</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35290-2025</t>
        </is>
      </c>
      <c r="B497" s="1" t="n">
        <v>45854.38502314815</v>
      </c>
      <c r="C497" s="1" t="n">
        <v>45912</v>
      </c>
      <c r="D497" t="inlineStr">
        <is>
          <t>GOTLANDS LÄN</t>
        </is>
      </c>
      <c r="E497" t="inlineStr">
        <is>
          <t>GOTLAND</t>
        </is>
      </c>
      <c r="G497" t="n">
        <v>5.4</v>
      </c>
      <c r="H497" t="n">
        <v>0</v>
      </c>
      <c r="I497" t="n">
        <v>0</v>
      </c>
      <c r="J497" t="n">
        <v>0</v>
      </c>
      <c r="K497" t="n">
        <v>0</v>
      </c>
      <c r="L497" t="n">
        <v>0</v>
      </c>
      <c r="M497" t="n">
        <v>0</v>
      </c>
      <c r="N497" t="n">
        <v>0</v>
      </c>
      <c r="O497" t="n">
        <v>0</v>
      </c>
      <c r="P497" t="n">
        <v>0</v>
      </c>
      <c r="Q497" t="n">
        <v>0</v>
      </c>
      <c r="R497" s="2" t="inlineStr"/>
    </row>
    <row r="498" ht="15" customHeight="1">
      <c r="A498" t="inlineStr">
        <is>
          <t>A 49411-2023</t>
        </is>
      </c>
      <c r="B498" s="1" t="n">
        <v>45205</v>
      </c>
      <c r="C498" s="1" t="n">
        <v>45912</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58211-2024</t>
        </is>
      </c>
      <c r="B499" s="1" t="n">
        <v>45632.49292824074</v>
      </c>
      <c r="C499" s="1" t="n">
        <v>45912</v>
      </c>
      <c r="D499" t="inlineStr">
        <is>
          <t>GOTLANDS LÄN</t>
        </is>
      </c>
      <c r="E499" t="inlineStr">
        <is>
          <t>GOTLAND</t>
        </is>
      </c>
      <c r="G499" t="n">
        <v>5.4</v>
      </c>
      <c r="H499" t="n">
        <v>0</v>
      </c>
      <c r="I499" t="n">
        <v>0</v>
      </c>
      <c r="J499" t="n">
        <v>0</v>
      </c>
      <c r="K499" t="n">
        <v>0</v>
      </c>
      <c r="L499" t="n">
        <v>0</v>
      </c>
      <c r="M499" t="n">
        <v>0</v>
      </c>
      <c r="N499" t="n">
        <v>0</v>
      </c>
      <c r="O499" t="n">
        <v>0</v>
      </c>
      <c r="P499" t="n">
        <v>0</v>
      </c>
      <c r="Q499" t="n">
        <v>0</v>
      </c>
      <c r="R499" s="2" t="inlineStr"/>
    </row>
    <row r="500" ht="15" customHeight="1">
      <c r="A500" t="inlineStr">
        <is>
          <t>A 37728-2024</t>
        </is>
      </c>
      <c r="B500" s="1" t="n">
        <v>45541</v>
      </c>
      <c r="C500" s="1" t="n">
        <v>45912</v>
      </c>
      <c r="D500" t="inlineStr">
        <is>
          <t>GOTLANDS LÄN</t>
        </is>
      </c>
      <c r="E500" t="inlineStr">
        <is>
          <t>GOTLAND</t>
        </is>
      </c>
      <c r="G500" t="n">
        <v>0.4</v>
      </c>
      <c r="H500" t="n">
        <v>0</v>
      </c>
      <c r="I500" t="n">
        <v>0</v>
      </c>
      <c r="J500" t="n">
        <v>0</v>
      </c>
      <c r="K500" t="n">
        <v>0</v>
      </c>
      <c r="L500" t="n">
        <v>0</v>
      </c>
      <c r="M500" t="n">
        <v>0</v>
      </c>
      <c r="N500" t="n">
        <v>0</v>
      </c>
      <c r="O500" t="n">
        <v>0</v>
      </c>
      <c r="P500" t="n">
        <v>0</v>
      </c>
      <c r="Q500" t="n">
        <v>0</v>
      </c>
      <c r="R500" s="2" t="inlineStr"/>
    </row>
    <row r="501" ht="15" customHeight="1">
      <c r="A501" t="inlineStr">
        <is>
          <t>A 30104-2025</t>
        </is>
      </c>
      <c r="B501" s="1" t="n">
        <v>45826.68806712963</v>
      </c>
      <c r="C501" s="1" t="n">
        <v>45912</v>
      </c>
      <c r="D501" t="inlineStr">
        <is>
          <t>GOTLANDS LÄN</t>
        </is>
      </c>
      <c r="E501" t="inlineStr">
        <is>
          <t>GOTLAND</t>
        </is>
      </c>
      <c r="G501" t="n">
        <v>15.4</v>
      </c>
      <c r="H501" t="n">
        <v>0</v>
      </c>
      <c r="I501" t="n">
        <v>0</v>
      </c>
      <c r="J501" t="n">
        <v>0</v>
      </c>
      <c r="K501" t="n">
        <v>0</v>
      </c>
      <c r="L501" t="n">
        <v>0</v>
      </c>
      <c r="M501" t="n">
        <v>0</v>
      </c>
      <c r="N501" t="n">
        <v>0</v>
      </c>
      <c r="O501" t="n">
        <v>0</v>
      </c>
      <c r="P501" t="n">
        <v>0</v>
      </c>
      <c r="Q501" t="n">
        <v>0</v>
      </c>
      <c r="R501" s="2" t="inlineStr"/>
    </row>
    <row r="502" ht="15" customHeight="1">
      <c r="A502" t="inlineStr">
        <is>
          <t>A 2241-2025</t>
        </is>
      </c>
      <c r="B502" s="1" t="n">
        <v>45673.48710648148</v>
      </c>
      <c r="C502" s="1" t="n">
        <v>45912</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16373-2025</t>
        </is>
      </c>
      <c r="B503" s="1" t="n">
        <v>45751</v>
      </c>
      <c r="C503" s="1" t="n">
        <v>45912</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40499-2025</t>
        </is>
      </c>
      <c r="B504" s="1" t="n">
        <v>45896.32517361111</v>
      </c>
      <c r="C504" s="1" t="n">
        <v>45912</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11634-2024</t>
        </is>
      </c>
      <c r="B505" s="1" t="n">
        <v>45373</v>
      </c>
      <c r="C505" s="1" t="n">
        <v>45912</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45912</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5884-2025</t>
        </is>
      </c>
      <c r="B507" s="1" t="n">
        <v>45695.37482638889</v>
      </c>
      <c r="C507" s="1" t="n">
        <v>45912</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5897-2025</t>
        </is>
      </c>
      <c r="B508" s="1" t="n">
        <v>45695.39273148148</v>
      </c>
      <c r="C508" s="1" t="n">
        <v>45912</v>
      </c>
      <c r="D508" t="inlineStr">
        <is>
          <t>GOTLANDS LÄN</t>
        </is>
      </c>
      <c r="E508" t="inlineStr">
        <is>
          <t>GOTLAND</t>
        </is>
      </c>
      <c r="G508" t="n">
        <v>3.7</v>
      </c>
      <c r="H508" t="n">
        <v>0</v>
      </c>
      <c r="I508" t="n">
        <v>0</v>
      </c>
      <c r="J508" t="n">
        <v>0</v>
      </c>
      <c r="K508" t="n">
        <v>0</v>
      </c>
      <c r="L508" t="n">
        <v>0</v>
      </c>
      <c r="M508" t="n">
        <v>0</v>
      </c>
      <c r="N508" t="n">
        <v>0</v>
      </c>
      <c r="O508" t="n">
        <v>0</v>
      </c>
      <c r="P508" t="n">
        <v>0</v>
      </c>
      <c r="Q508" t="n">
        <v>0</v>
      </c>
      <c r="R508" s="2" t="inlineStr"/>
    </row>
    <row r="509" ht="15" customHeight="1">
      <c r="A509" t="inlineStr">
        <is>
          <t>A 5909-2025</t>
        </is>
      </c>
      <c r="B509" s="1" t="n">
        <v>45695.40634259259</v>
      </c>
      <c r="C509" s="1" t="n">
        <v>45912</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41551-2025</t>
        </is>
      </c>
      <c r="B510" s="1" t="n">
        <v>45901.58854166666</v>
      </c>
      <c r="C510" s="1" t="n">
        <v>45912</v>
      </c>
      <c r="D510" t="inlineStr">
        <is>
          <t>GOTLANDS LÄN</t>
        </is>
      </c>
      <c r="E510" t="inlineStr">
        <is>
          <t>GOTLAND</t>
        </is>
      </c>
      <c r="G510" t="n">
        <v>5.6</v>
      </c>
      <c r="H510" t="n">
        <v>0</v>
      </c>
      <c r="I510" t="n">
        <v>0</v>
      </c>
      <c r="J510" t="n">
        <v>0</v>
      </c>
      <c r="K510" t="n">
        <v>0</v>
      </c>
      <c r="L510" t="n">
        <v>0</v>
      </c>
      <c r="M510" t="n">
        <v>0</v>
      </c>
      <c r="N510" t="n">
        <v>0</v>
      </c>
      <c r="O510" t="n">
        <v>0</v>
      </c>
      <c r="P510" t="n">
        <v>0</v>
      </c>
      <c r="Q510" t="n">
        <v>0</v>
      </c>
      <c r="R510" s="2" t="inlineStr"/>
    </row>
    <row r="511" ht="15" customHeight="1">
      <c r="A511" t="inlineStr">
        <is>
          <t>A 35550-2025</t>
        </is>
      </c>
      <c r="B511" s="1" t="n">
        <v>45856.49324074074</v>
      </c>
      <c r="C511" s="1" t="n">
        <v>45912</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60086-2022</t>
        </is>
      </c>
      <c r="B512" s="1" t="n">
        <v>44909</v>
      </c>
      <c r="C512" s="1" t="n">
        <v>45912</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22704-2023</t>
        </is>
      </c>
      <c r="B513" s="1" t="n">
        <v>45071</v>
      </c>
      <c r="C513" s="1" t="n">
        <v>45912</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40235-2025</t>
        </is>
      </c>
      <c r="B514" s="1" t="n">
        <v>45894.74005787037</v>
      </c>
      <c r="C514" s="1" t="n">
        <v>45912</v>
      </c>
      <c r="D514" t="inlineStr">
        <is>
          <t>GOTLANDS LÄN</t>
        </is>
      </c>
      <c r="E514" t="inlineStr">
        <is>
          <t>GOTLAND</t>
        </is>
      </c>
      <c r="G514" t="n">
        <v>10.6</v>
      </c>
      <c r="H514" t="n">
        <v>0</v>
      </c>
      <c r="I514" t="n">
        <v>0</v>
      </c>
      <c r="J514" t="n">
        <v>0</v>
      </c>
      <c r="K514" t="n">
        <v>0</v>
      </c>
      <c r="L514" t="n">
        <v>0</v>
      </c>
      <c r="M514" t="n">
        <v>0</v>
      </c>
      <c r="N514" t="n">
        <v>0</v>
      </c>
      <c r="O514" t="n">
        <v>0</v>
      </c>
      <c r="P514" t="n">
        <v>0</v>
      </c>
      <c r="Q514" t="n">
        <v>0</v>
      </c>
      <c r="R514" s="2" t="inlineStr"/>
    </row>
    <row r="515" ht="15" customHeight="1">
      <c r="A515" t="inlineStr">
        <is>
          <t>A 35537-2025</t>
        </is>
      </c>
      <c r="B515" s="1" t="n">
        <v>45856</v>
      </c>
      <c r="C515" s="1" t="n">
        <v>45912</v>
      </c>
      <c r="D515" t="inlineStr">
        <is>
          <t>GOTLANDS LÄN</t>
        </is>
      </c>
      <c r="E515" t="inlineStr">
        <is>
          <t>GOTLAND</t>
        </is>
      </c>
      <c r="G515" t="n">
        <v>16.8</v>
      </c>
      <c r="H515" t="n">
        <v>0</v>
      </c>
      <c r="I515" t="n">
        <v>0</v>
      </c>
      <c r="J515" t="n">
        <v>0</v>
      </c>
      <c r="K515" t="n">
        <v>0</v>
      </c>
      <c r="L515" t="n">
        <v>0</v>
      </c>
      <c r="M515" t="n">
        <v>0</v>
      </c>
      <c r="N515" t="n">
        <v>0</v>
      </c>
      <c r="O515" t="n">
        <v>0</v>
      </c>
      <c r="P515" t="n">
        <v>0</v>
      </c>
      <c r="Q515" t="n">
        <v>0</v>
      </c>
      <c r="R515" s="2" t="inlineStr"/>
    </row>
    <row r="516" ht="15" customHeight="1">
      <c r="A516" t="inlineStr">
        <is>
          <t>A 41435-2025</t>
        </is>
      </c>
      <c r="B516" s="1" t="n">
        <v>45901.39974537037</v>
      </c>
      <c r="C516" s="1" t="n">
        <v>45912</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22275-2023</t>
        </is>
      </c>
      <c r="B517" s="1" t="n">
        <v>45070.39875</v>
      </c>
      <c r="C517" s="1" t="n">
        <v>45912</v>
      </c>
      <c r="D517" t="inlineStr">
        <is>
          <t>GOTLANDS LÄN</t>
        </is>
      </c>
      <c r="E517" t="inlineStr">
        <is>
          <t>GOTLAND</t>
        </is>
      </c>
      <c r="G517" t="n">
        <v>7.2</v>
      </c>
      <c r="H517" t="n">
        <v>0</v>
      </c>
      <c r="I517" t="n">
        <v>0</v>
      </c>
      <c r="J517" t="n">
        <v>0</v>
      </c>
      <c r="K517" t="n">
        <v>0</v>
      </c>
      <c r="L517" t="n">
        <v>0</v>
      </c>
      <c r="M517" t="n">
        <v>0</v>
      </c>
      <c r="N517" t="n">
        <v>0</v>
      </c>
      <c r="O517" t="n">
        <v>0</v>
      </c>
      <c r="P517" t="n">
        <v>0</v>
      </c>
      <c r="Q517" t="n">
        <v>0</v>
      </c>
      <c r="R517" s="2" t="inlineStr"/>
    </row>
    <row r="518" ht="15" customHeight="1">
      <c r="A518" t="inlineStr">
        <is>
          <t>A 14635-2023</t>
        </is>
      </c>
      <c r="B518" s="1" t="n">
        <v>45013.69365740741</v>
      </c>
      <c r="C518" s="1" t="n">
        <v>45912</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63763-2023</t>
        </is>
      </c>
      <c r="B519" s="1" t="n">
        <v>45278.33944444444</v>
      </c>
      <c r="C519" s="1" t="n">
        <v>45912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45912</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7635-2025</t>
        </is>
      </c>
      <c r="B521" s="1" t="n">
        <v>45705</v>
      </c>
      <c r="C521" s="1" t="n">
        <v>45912</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7636-2025</t>
        </is>
      </c>
      <c r="B522" s="1" t="n">
        <v>45705.7687962963</v>
      </c>
      <c r="C522" s="1" t="n">
        <v>45912</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7639-2025</t>
        </is>
      </c>
      <c r="B523" s="1" t="n">
        <v>45705.77465277778</v>
      </c>
      <c r="C523" s="1" t="n">
        <v>45912</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61682-2024</t>
        </is>
      </c>
      <c r="B524" s="1" t="n">
        <v>45647.48824074074</v>
      </c>
      <c r="C524" s="1" t="n">
        <v>45912</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15434-2024</t>
        </is>
      </c>
      <c r="B525" s="1" t="n">
        <v>45401.38836805556</v>
      </c>
      <c r="C525" s="1" t="n">
        <v>45912</v>
      </c>
      <c r="D525" t="inlineStr">
        <is>
          <t>GOTLANDS LÄN</t>
        </is>
      </c>
      <c r="E525" t="inlineStr">
        <is>
          <t>GOTLAND</t>
        </is>
      </c>
      <c r="G525" t="n">
        <v>2.5</v>
      </c>
      <c r="H525" t="n">
        <v>0</v>
      </c>
      <c r="I525" t="n">
        <v>0</v>
      </c>
      <c r="J525" t="n">
        <v>0</v>
      </c>
      <c r="K525" t="n">
        <v>0</v>
      </c>
      <c r="L525" t="n">
        <v>0</v>
      </c>
      <c r="M525" t="n">
        <v>0</v>
      </c>
      <c r="N525" t="n">
        <v>0</v>
      </c>
      <c r="O525" t="n">
        <v>0</v>
      </c>
      <c r="P525" t="n">
        <v>0</v>
      </c>
      <c r="Q525" t="n">
        <v>0</v>
      </c>
      <c r="R525" s="2" t="inlineStr"/>
    </row>
    <row r="526" ht="15" customHeight="1">
      <c r="A526" t="inlineStr">
        <is>
          <t>A 7034-2023</t>
        </is>
      </c>
      <c r="B526" s="1" t="n">
        <v>44968.32108796296</v>
      </c>
      <c r="C526" s="1" t="n">
        <v>45912</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7042-2023</t>
        </is>
      </c>
      <c r="B527" s="1" t="n">
        <v>44968</v>
      </c>
      <c r="C527" s="1" t="n">
        <v>45912</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2180-2025</t>
        </is>
      </c>
      <c r="B528" s="1" t="n">
        <v>45673</v>
      </c>
      <c r="C528" s="1" t="n">
        <v>45912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9887-2025</t>
        </is>
      </c>
      <c r="B529" s="1" t="n">
        <v>45716</v>
      </c>
      <c r="C529" s="1" t="n">
        <v>45912</v>
      </c>
      <c r="D529" t="inlineStr">
        <is>
          <t>GOTLANDS LÄN</t>
        </is>
      </c>
      <c r="E529" t="inlineStr">
        <is>
          <t>GOTLAND</t>
        </is>
      </c>
      <c r="G529" t="n">
        <v>7.5</v>
      </c>
      <c r="H529" t="n">
        <v>0</v>
      </c>
      <c r="I529" t="n">
        <v>0</v>
      </c>
      <c r="J529" t="n">
        <v>0</v>
      </c>
      <c r="K529" t="n">
        <v>0</v>
      </c>
      <c r="L529" t="n">
        <v>0</v>
      </c>
      <c r="M529" t="n">
        <v>0</v>
      </c>
      <c r="N529" t="n">
        <v>0</v>
      </c>
      <c r="O529" t="n">
        <v>0</v>
      </c>
      <c r="P529" t="n">
        <v>0</v>
      </c>
      <c r="Q529" t="n">
        <v>0</v>
      </c>
      <c r="R529" s="2" t="inlineStr"/>
    </row>
    <row r="530" ht="15" customHeight="1">
      <c r="A530" t="inlineStr">
        <is>
          <t>A 12209-2024</t>
        </is>
      </c>
      <c r="B530" s="1" t="n">
        <v>45378</v>
      </c>
      <c r="C530" s="1" t="n">
        <v>45912</v>
      </c>
      <c r="D530" t="inlineStr">
        <is>
          <t>GOTLANDS LÄN</t>
        </is>
      </c>
      <c r="E530" t="inlineStr">
        <is>
          <t>GOTLAND</t>
        </is>
      </c>
      <c r="G530" t="n">
        <v>5.3</v>
      </c>
      <c r="H530" t="n">
        <v>0</v>
      </c>
      <c r="I530" t="n">
        <v>0</v>
      </c>
      <c r="J530" t="n">
        <v>0</v>
      </c>
      <c r="K530" t="n">
        <v>0</v>
      </c>
      <c r="L530" t="n">
        <v>0</v>
      </c>
      <c r="M530" t="n">
        <v>0</v>
      </c>
      <c r="N530" t="n">
        <v>0</v>
      </c>
      <c r="O530" t="n">
        <v>0</v>
      </c>
      <c r="P530" t="n">
        <v>0</v>
      </c>
      <c r="Q530" t="n">
        <v>0</v>
      </c>
      <c r="R530" s="2" t="inlineStr"/>
    </row>
    <row r="531" ht="15" customHeight="1">
      <c r="A531" t="inlineStr">
        <is>
          <t>A 12210-2024</t>
        </is>
      </c>
      <c r="B531" s="1" t="n">
        <v>45378</v>
      </c>
      <c r="C531" s="1" t="n">
        <v>45912</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42608-2025</t>
        </is>
      </c>
      <c r="B532" s="1" t="n">
        <v>45905</v>
      </c>
      <c r="C532" s="1" t="n">
        <v>45912</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45912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45912</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61694-2023</t>
        </is>
      </c>
      <c r="B535" s="1" t="n">
        <v>45264</v>
      </c>
      <c r="C535" s="1" t="n">
        <v>45912</v>
      </c>
      <c r="D535" t="inlineStr">
        <is>
          <t>GOTLANDS LÄN</t>
        </is>
      </c>
      <c r="E535" t="inlineStr">
        <is>
          <t>GOTLAND</t>
        </is>
      </c>
      <c r="G535" t="n">
        <v>4.6</v>
      </c>
      <c r="H535" t="n">
        <v>0</v>
      </c>
      <c r="I535" t="n">
        <v>0</v>
      </c>
      <c r="J535" t="n">
        <v>0</v>
      </c>
      <c r="K535" t="n">
        <v>0</v>
      </c>
      <c r="L535" t="n">
        <v>0</v>
      </c>
      <c r="M535" t="n">
        <v>0</v>
      </c>
      <c r="N535" t="n">
        <v>0</v>
      </c>
      <c r="O535" t="n">
        <v>0</v>
      </c>
      <c r="P535" t="n">
        <v>0</v>
      </c>
      <c r="Q535" t="n">
        <v>0</v>
      </c>
      <c r="R535" s="2" t="inlineStr"/>
    </row>
    <row r="536" ht="15" customHeight="1">
      <c r="A536" t="inlineStr">
        <is>
          <t>A 31802-2024</t>
        </is>
      </c>
      <c r="B536" s="1" t="n">
        <v>45509</v>
      </c>
      <c r="C536" s="1" t="n">
        <v>45912</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20993-2023</t>
        </is>
      </c>
      <c r="B537" s="1" t="n">
        <v>45056</v>
      </c>
      <c r="C537" s="1" t="n">
        <v>45912</v>
      </c>
      <c r="D537" t="inlineStr">
        <is>
          <t>GOTLANDS LÄN</t>
        </is>
      </c>
      <c r="E537" t="inlineStr">
        <is>
          <t>GOTLAND</t>
        </is>
      </c>
      <c r="G537" t="n">
        <v>7.1</v>
      </c>
      <c r="H537" t="n">
        <v>0</v>
      </c>
      <c r="I537" t="n">
        <v>0</v>
      </c>
      <c r="J537" t="n">
        <v>0</v>
      </c>
      <c r="K537" t="n">
        <v>0</v>
      </c>
      <c r="L537" t="n">
        <v>0</v>
      </c>
      <c r="M537" t="n">
        <v>0</v>
      </c>
      <c r="N537" t="n">
        <v>0</v>
      </c>
      <c r="O537" t="n">
        <v>0</v>
      </c>
      <c r="P537" t="n">
        <v>0</v>
      </c>
      <c r="Q537" t="n">
        <v>0</v>
      </c>
      <c r="R537" s="2" t="inlineStr"/>
    </row>
    <row r="538" ht="15" customHeight="1">
      <c r="A538" t="inlineStr">
        <is>
          <t>A 15042-2025</t>
        </is>
      </c>
      <c r="B538" s="1" t="n">
        <v>45743</v>
      </c>
      <c r="C538" s="1" t="n">
        <v>45912</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64208-2021</t>
        </is>
      </c>
      <c r="B539" s="1" t="n">
        <v>44510</v>
      </c>
      <c r="C539" s="1" t="n">
        <v>45912</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12327-2025</t>
        </is>
      </c>
      <c r="B540" s="1" t="n">
        <v>45730</v>
      </c>
      <c r="C540" s="1" t="n">
        <v>45912</v>
      </c>
      <c r="D540" t="inlineStr">
        <is>
          <t>GOTLANDS LÄN</t>
        </is>
      </c>
      <c r="E540" t="inlineStr">
        <is>
          <t>GOTLAND</t>
        </is>
      </c>
      <c r="G540" t="n">
        <v>1.8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45912</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4420-2025</t>
        </is>
      </c>
      <c r="B542" s="1" t="n">
        <v>45686.47157407407</v>
      </c>
      <c r="C542" s="1" t="n">
        <v>45912</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1446-2025</t>
        </is>
      </c>
      <c r="B543" s="1" t="n">
        <v>45669.86035879629</v>
      </c>
      <c r="C543" s="1" t="n">
        <v>45912</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1462-2025</t>
        </is>
      </c>
      <c r="B544" s="1" t="n">
        <v>45670.36319444444</v>
      </c>
      <c r="C544" s="1" t="n">
        <v>45912</v>
      </c>
      <c r="D544" t="inlineStr">
        <is>
          <t>GOTLANDS LÄN</t>
        </is>
      </c>
      <c r="E544" t="inlineStr">
        <is>
          <t>GOTLAND</t>
        </is>
      </c>
      <c r="G544" t="n">
        <v>2.8</v>
      </c>
      <c r="H544" t="n">
        <v>0</v>
      </c>
      <c r="I544" t="n">
        <v>0</v>
      </c>
      <c r="J544" t="n">
        <v>0</v>
      </c>
      <c r="K544" t="n">
        <v>0</v>
      </c>
      <c r="L544" t="n">
        <v>0</v>
      </c>
      <c r="M544" t="n">
        <v>0</v>
      </c>
      <c r="N544" t="n">
        <v>0</v>
      </c>
      <c r="O544" t="n">
        <v>0</v>
      </c>
      <c r="P544" t="n">
        <v>0</v>
      </c>
      <c r="Q544" t="n">
        <v>0</v>
      </c>
      <c r="R544" s="2" t="inlineStr"/>
    </row>
    <row r="545" ht="15" customHeight="1">
      <c r="A545" t="inlineStr">
        <is>
          <t>A 30488-2025</t>
        </is>
      </c>
      <c r="B545" s="1" t="n">
        <v>45830</v>
      </c>
      <c r="C545" s="1" t="n">
        <v>45912</v>
      </c>
      <c r="D545" t="inlineStr">
        <is>
          <t>GOTLANDS LÄN</t>
        </is>
      </c>
      <c r="E545" t="inlineStr">
        <is>
          <t>GOTLAND</t>
        </is>
      </c>
      <c r="F545" t="inlineStr">
        <is>
          <t>Kyrkan</t>
        </is>
      </c>
      <c r="G545" t="n">
        <v>3.9</v>
      </c>
      <c r="H545" t="n">
        <v>0</v>
      </c>
      <c r="I545" t="n">
        <v>0</v>
      </c>
      <c r="J545" t="n">
        <v>0</v>
      </c>
      <c r="K545" t="n">
        <v>0</v>
      </c>
      <c r="L545" t="n">
        <v>0</v>
      </c>
      <c r="M545" t="n">
        <v>0</v>
      </c>
      <c r="N545" t="n">
        <v>0</v>
      </c>
      <c r="O545" t="n">
        <v>0</v>
      </c>
      <c r="P545" t="n">
        <v>0</v>
      </c>
      <c r="Q545" t="n">
        <v>0</v>
      </c>
      <c r="R545" s="2" t="inlineStr"/>
    </row>
    <row r="546" ht="15" customHeight="1">
      <c r="A546" t="inlineStr">
        <is>
          <t>A 15216-2025</t>
        </is>
      </c>
      <c r="B546" s="1" t="n">
        <v>45744</v>
      </c>
      <c r="C546" s="1" t="n">
        <v>45912</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44897.4777662037</v>
      </c>
      <c r="C547" s="1" t="n">
        <v>45912</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14427-2024</t>
        </is>
      </c>
      <c r="B548" s="1" t="n">
        <v>45394</v>
      </c>
      <c r="C548" s="1" t="n">
        <v>45912</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15001-2025</t>
        </is>
      </c>
      <c r="B549" s="1" t="n">
        <v>45743</v>
      </c>
      <c r="C549" s="1" t="n">
        <v>45912</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45912</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43790-2024</t>
        </is>
      </c>
      <c r="B551" s="1" t="n">
        <v>45571</v>
      </c>
      <c r="C551" s="1" t="n">
        <v>45912</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55334-2024</t>
        </is>
      </c>
      <c r="B552" s="1" t="n">
        <v>45621</v>
      </c>
      <c r="C552" s="1" t="n">
        <v>45912</v>
      </c>
      <c r="D552" t="inlineStr">
        <is>
          <t>GOTLANDS LÄN</t>
        </is>
      </c>
      <c r="E552" t="inlineStr">
        <is>
          <t>GOTLAND</t>
        </is>
      </c>
      <c r="G552" t="n">
        <v>21.7</v>
      </c>
      <c r="H552" t="n">
        <v>0</v>
      </c>
      <c r="I552" t="n">
        <v>0</v>
      </c>
      <c r="J552" t="n">
        <v>0</v>
      </c>
      <c r="K552" t="n">
        <v>0</v>
      </c>
      <c r="L552" t="n">
        <v>0</v>
      </c>
      <c r="M552" t="n">
        <v>0</v>
      </c>
      <c r="N552" t="n">
        <v>0</v>
      </c>
      <c r="O552" t="n">
        <v>0</v>
      </c>
      <c r="P552" t="n">
        <v>0</v>
      </c>
      <c r="Q552" t="n">
        <v>0</v>
      </c>
      <c r="R552" s="2" t="inlineStr"/>
    </row>
    <row r="553" ht="15" customHeight="1">
      <c r="A553" t="inlineStr">
        <is>
          <t>A 17847-2025</t>
        </is>
      </c>
      <c r="B553" s="1" t="n">
        <v>45758</v>
      </c>
      <c r="C553" s="1" t="n">
        <v>45912</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36319-2025</t>
        </is>
      </c>
      <c r="B554" s="1" t="n">
        <v>45868</v>
      </c>
      <c r="C554" s="1" t="n">
        <v>45912</v>
      </c>
      <c r="D554" t="inlineStr">
        <is>
          <t>GOTLANDS LÄN</t>
        </is>
      </c>
      <c r="E554" t="inlineStr">
        <is>
          <t>GOTLAND</t>
        </is>
      </c>
      <c r="G554" t="n">
        <v>2.9</v>
      </c>
      <c r="H554" t="n">
        <v>0</v>
      </c>
      <c r="I554" t="n">
        <v>0</v>
      </c>
      <c r="J554" t="n">
        <v>0</v>
      </c>
      <c r="K554" t="n">
        <v>0</v>
      </c>
      <c r="L554" t="n">
        <v>0</v>
      </c>
      <c r="M554" t="n">
        <v>0</v>
      </c>
      <c r="N554" t="n">
        <v>0</v>
      </c>
      <c r="O554" t="n">
        <v>0</v>
      </c>
      <c r="P554" t="n">
        <v>0</v>
      </c>
      <c r="Q554" t="n">
        <v>0</v>
      </c>
      <c r="R554" s="2" t="inlineStr"/>
    </row>
    <row r="555" ht="15" customHeight="1">
      <c r="A555" t="inlineStr">
        <is>
          <t>A 42607-2025</t>
        </is>
      </c>
      <c r="B555" s="1" t="n">
        <v>45905</v>
      </c>
      <c r="C555" s="1" t="n">
        <v>45912</v>
      </c>
      <c r="D555" t="inlineStr">
        <is>
          <t>GOTLANDS LÄN</t>
        </is>
      </c>
      <c r="E555" t="inlineStr">
        <is>
          <t>GOTLAND</t>
        </is>
      </c>
      <c r="G555" t="n">
        <v>15.8</v>
      </c>
      <c r="H555" t="n">
        <v>0</v>
      </c>
      <c r="I555" t="n">
        <v>0</v>
      </c>
      <c r="J555" t="n">
        <v>0</v>
      </c>
      <c r="K555" t="n">
        <v>0</v>
      </c>
      <c r="L555" t="n">
        <v>0</v>
      </c>
      <c r="M555" t="n">
        <v>0</v>
      </c>
      <c r="N555" t="n">
        <v>0</v>
      </c>
      <c r="O555" t="n">
        <v>0</v>
      </c>
      <c r="P555" t="n">
        <v>0</v>
      </c>
      <c r="Q555" t="n">
        <v>0</v>
      </c>
      <c r="R555" s="2" t="inlineStr"/>
    </row>
    <row r="556" ht="15" customHeight="1">
      <c r="A556" t="inlineStr">
        <is>
          <t>A 18742-2025</t>
        </is>
      </c>
      <c r="B556" s="1" t="n">
        <v>45763</v>
      </c>
      <c r="C556" s="1" t="n">
        <v>45912</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5905-2024</t>
        </is>
      </c>
      <c r="B557" s="1" t="n">
        <v>45335.88993055555</v>
      </c>
      <c r="C557" s="1" t="n">
        <v>45912</v>
      </c>
      <c r="D557" t="inlineStr">
        <is>
          <t>GOTLANDS LÄN</t>
        </is>
      </c>
      <c r="E557" t="inlineStr">
        <is>
          <t>GOTLAND</t>
        </is>
      </c>
      <c r="G557" t="n">
        <v>3</v>
      </c>
      <c r="H557" t="n">
        <v>0</v>
      </c>
      <c r="I557" t="n">
        <v>0</v>
      </c>
      <c r="J557" t="n">
        <v>0</v>
      </c>
      <c r="K557" t="n">
        <v>0</v>
      </c>
      <c r="L557" t="n">
        <v>0</v>
      </c>
      <c r="M557" t="n">
        <v>0</v>
      </c>
      <c r="N557" t="n">
        <v>0</v>
      </c>
      <c r="O557" t="n">
        <v>0</v>
      </c>
      <c r="P557" t="n">
        <v>0</v>
      </c>
      <c r="Q557" t="n">
        <v>0</v>
      </c>
      <c r="R557" s="2" t="inlineStr"/>
    </row>
    <row r="558" ht="15" customHeight="1">
      <c r="A558" t="inlineStr">
        <is>
          <t>A 35129-2025</t>
        </is>
      </c>
      <c r="B558" s="1" t="n">
        <v>45852.63224537037</v>
      </c>
      <c r="C558" s="1" t="n">
        <v>45912</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3431-2025</t>
        </is>
      </c>
      <c r="B559" s="1" t="n">
        <v>45680.42935185185</v>
      </c>
      <c r="C559" s="1" t="n">
        <v>45912</v>
      </c>
      <c r="D559" t="inlineStr">
        <is>
          <t>GOTLANDS LÄN</t>
        </is>
      </c>
      <c r="E559" t="inlineStr">
        <is>
          <t>GOTLAND</t>
        </is>
      </c>
      <c r="G559" t="n">
        <v>4.8</v>
      </c>
      <c r="H559" t="n">
        <v>0</v>
      </c>
      <c r="I559" t="n">
        <v>0</v>
      </c>
      <c r="J559" t="n">
        <v>0</v>
      </c>
      <c r="K559" t="n">
        <v>0</v>
      </c>
      <c r="L559" t="n">
        <v>0</v>
      </c>
      <c r="M559" t="n">
        <v>0</v>
      </c>
      <c r="N559" t="n">
        <v>0</v>
      </c>
      <c r="O559" t="n">
        <v>0</v>
      </c>
      <c r="P559" t="n">
        <v>0</v>
      </c>
      <c r="Q559" t="n">
        <v>0</v>
      </c>
      <c r="R559" s="2" t="inlineStr"/>
    </row>
    <row r="560" ht="15" customHeight="1">
      <c r="A560" t="inlineStr">
        <is>
          <t>A 34407-2023</t>
        </is>
      </c>
      <c r="B560" s="1" t="n">
        <v>45132</v>
      </c>
      <c r="C560" s="1" t="n">
        <v>45912</v>
      </c>
      <c r="D560" t="inlineStr">
        <is>
          <t>GOTLANDS LÄN</t>
        </is>
      </c>
      <c r="E560" t="inlineStr">
        <is>
          <t>GOTLAND</t>
        </is>
      </c>
      <c r="G560" t="n">
        <v>4.4</v>
      </c>
      <c r="H560" t="n">
        <v>0</v>
      </c>
      <c r="I560" t="n">
        <v>0</v>
      </c>
      <c r="J560" t="n">
        <v>0</v>
      </c>
      <c r="K560" t="n">
        <v>0</v>
      </c>
      <c r="L560" t="n">
        <v>0</v>
      </c>
      <c r="M560" t="n">
        <v>0</v>
      </c>
      <c r="N560" t="n">
        <v>0</v>
      </c>
      <c r="O560" t="n">
        <v>0</v>
      </c>
      <c r="P560" t="n">
        <v>0</v>
      </c>
      <c r="Q560" t="n">
        <v>0</v>
      </c>
      <c r="R560" s="2" t="inlineStr"/>
    </row>
    <row r="561" ht="15" customHeight="1">
      <c r="A561" t="inlineStr">
        <is>
          <t>A 30892-2024</t>
        </is>
      </c>
      <c r="B561" s="1" t="n">
        <v>45491</v>
      </c>
      <c r="C561" s="1" t="n">
        <v>45912</v>
      </c>
      <c r="D561" t="inlineStr">
        <is>
          <t>GOTLANDS LÄN</t>
        </is>
      </c>
      <c r="E561" t="inlineStr">
        <is>
          <t>GOTLAND</t>
        </is>
      </c>
      <c r="G561" t="n">
        <v>6.1</v>
      </c>
      <c r="H561" t="n">
        <v>0</v>
      </c>
      <c r="I561" t="n">
        <v>0</v>
      </c>
      <c r="J561" t="n">
        <v>0</v>
      </c>
      <c r="K561" t="n">
        <v>0</v>
      </c>
      <c r="L561" t="n">
        <v>0</v>
      </c>
      <c r="M561" t="n">
        <v>0</v>
      </c>
      <c r="N561" t="n">
        <v>0</v>
      </c>
      <c r="O561" t="n">
        <v>0</v>
      </c>
      <c r="P561" t="n">
        <v>0</v>
      </c>
      <c r="Q561" t="n">
        <v>0</v>
      </c>
      <c r="R561" s="2" t="inlineStr"/>
    </row>
    <row r="562" ht="15" customHeight="1">
      <c r="A562" t="inlineStr">
        <is>
          <t>A 32958-2021</t>
        </is>
      </c>
      <c r="B562" s="1" t="n">
        <v>44376</v>
      </c>
      <c r="C562" s="1" t="n">
        <v>45912</v>
      </c>
      <c r="D562" t="inlineStr">
        <is>
          <t>GOTLANDS LÄN</t>
        </is>
      </c>
      <c r="E562" t="inlineStr">
        <is>
          <t>GOTLAND</t>
        </is>
      </c>
      <c r="G562" t="n">
        <v>2.2</v>
      </c>
      <c r="H562" t="n">
        <v>0</v>
      </c>
      <c r="I562" t="n">
        <v>0</v>
      </c>
      <c r="J562" t="n">
        <v>0</v>
      </c>
      <c r="K562" t="n">
        <v>0</v>
      </c>
      <c r="L562" t="n">
        <v>0</v>
      </c>
      <c r="M562" t="n">
        <v>0</v>
      </c>
      <c r="N562" t="n">
        <v>0</v>
      </c>
      <c r="O562" t="n">
        <v>0</v>
      </c>
      <c r="P562" t="n">
        <v>0</v>
      </c>
      <c r="Q562" t="n">
        <v>0</v>
      </c>
      <c r="R562" s="2" t="inlineStr"/>
    </row>
    <row r="563" ht="15" customHeight="1">
      <c r="A563" t="inlineStr">
        <is>
          <t>A 49257-2024</t>
        </is>
      </c>
      <c r="B563" s="1" t="n">
        <v>45595.47627314815</v>
      </c>
      <c r="C563" s="1" t="n">
        <v>45912</v>
      </c>
      <c r="D563" t="inlineStr">
        <is>
          <t>GOTLANDS LÄN</t>
        </is>
      </c>
      <c r="E563" t="inlineStr">
        <is>
          <t>GOTLAND</t>
        </is>
      </c>
      <c r="G563" t="n">
        <v>6.3</v>
      </c>
      <c r="H563" t="n">
        <v>0</v>
      </c>
      <c r="I563" t="n">
        <v>0</v>
      </c>
      <c r="J563" t="n">
        <v>0</v>
      </c>
      <c r="K563" t="n">
        <v>0</v>
      </c>
      <c r="L563" t="n">
        <v>0</v>
      </c>
      <c r="M563" t="n">
        <v>0</v>
      </c>
      <c r="N563" t="n">
        <v>0</v>
      </c>
      <c r="O563" t="n">
        <v>0</v>
      </c>
      <c r="P563" t="n">
        <v>0</v>
      </c>
      <c r="Q563" t="n">
        <v>0</v>
      </c>
      <c r="R563" s="2" t="inlineStr"/>
    </row>
    <row r="564" ht="15" customHeight="1">
      <c r="A564" t="inlineStr">
        <is>
          <t>A 49315-2024</t>
        </is>
      </c>
      <c r="B564" s="1" t="n">
        <v>45595</v>
      </c>
      <c r="C564" s="1" t="n">
        <v>45912</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7858-2025</t>
        </is>
      </c>
      <c r="B565" s="1" t="n">
        <v>45706.68633101852</v>
      </c>
      <c r="C565" s="1" t="n">
        <v>45912</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46545-2024</t>
        </is>
      </c>
      <c r="B566" s="1" t="n">
        <v>45582.65831018519</v>
      </c>
      <c r="C566" s="1" t="n">
        <v>45912</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999-2023</t>
        </is>
      </c>
      <c r="B567" s="1" t="n">
        <v>44935</v>
      </c>
      <c r="C567" s="1" t="n">
        <v>45912</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1364-2025</t>
        </is>
      </c>
      <c r="B568" s="1" t="n">
        <v>45667.63929398148</v>
      </c>
      <c r="C568" s="1" t="n">
        <v>45912</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2125-2025</t>
        </is>
      </c>
      <c r="B569" s="1" t="n">
        <v>45672.64940972222</v>
      </c>
      <c r="C569" s="1" t="n">
        <v>45912</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8684-2025</t>
        </is>
      </c>
      <c r="B570" s="1" t="n">
        <v>45712.45605324074</v>
      </c>
      <c r="C570" s="1" t="n">
        <v>45912</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14141-2024</t>
        </is>
      </c>
      <c r="B571" s="1" t="n">
        <v>45392.85193287037</v>
      </c>
      <c r="C571" s="1" t="n">
        <v>45912</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45912</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56115-2023</t>
        </is>
      </c>
      <c r="B573" s="1" t="n">
        <v>45236</v>
      </c>
      <c r="C573" s="1" t="n">
        <v>45912</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12155-2023</t>
        </is>
      </c>
      <c r="B574" s="1" t="n">
        <v>44998.49106481481</v>
      </c>
      <c r="C574" s="1" t="n">
        <v>45912</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64969-2023</t>
        </is>
      </c>
      <c r="B575" s="1" t="n">
        <v>45284.54009259259</v>
      </c>
      <c r="C575" s="1" t="n">
        <v>45912</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33853-2024</t>
        </is>
      </c>
      <c r="B576" s="1" t="n">
        <v>45520.64298611111</v>
      </c>
      <c r="C576" s="1" t="n">
        <v>45912</v>
      </c>
      <c r="D576" t="inlineStr">
        <is>
          <t>GOTLANDS LÄN</t>
        </is>
      </c>
      <c r="E576" t="inlineStr">
        <is>
          <t>GOTLAND</t>
        </is>
      </c>
      <c r="G576" t="n">
        <v>3.9</v>
      </c>
      <c r="H576" t="n">
        <v>0</v>
      </c>
      <c r="I576" t="n">
        <v>0</v>
      </c>
      <c r="J576" t="n">
        <v>0</v>
      </c>
      <c r="K576" t="n">
        <v>0</v>
      </c>
      <c r="L576" t="n">
        <v>0</v>
      </c>
      <c r="M576" t="n">
        <v>0</v>
      </c>
      <c r="N576" t="n">
        <v>0</v>
      </c>
      <c r="O576" t="n">
        <v>0</v>
      </c>
      <c r="P576" t="n">
        <v>0</v>
      </c>
      <c r="Q576" t="n">
        <v>0</v>
      </c>
      <c r="R576" s="2" t="inlineStr"/>
    </row>
    <row r="577" ht="15" customHeight="1">
      <c r="A577" t="inlineStr">
        <is>
          <t>A 2774-2024</t>
        </is>
      </c>
      <c r="B577" s="1" t="n">
        <v>45314.62375</v>
      </c>
      <c r="C577" s="1" t="n">
        <v>45912</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18223-2025</t>
        </is>
      </c>
      <c r="B578" s="1" t="n">
        <v>45761</v>
      </c>
      <c r="C578" s="1" t="n">
        <v>45912</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9947-2024</t>
        </is>
      </c>
      <c r="B579" s="1" t="n">
        <v>45363</v>
      </c>
      <c r="C579" s="1" t="n">
        <v>45912</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42007-2023</t>
        </is>
      </c>
      <c r="B580" s="1" t="n">
        <v>45177</v>
      </c>
      <c r="C580" s="1" t="n">
        <v>45912</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2292-2021</t>
        </is>
      </c>
      <c r="B581" s="1" t="n">
        <v>44212</v>
      </c>
      <c r="C581" s="1" t="n">
        <v>45912</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46949-2024</t>
        </is>
      </c>
      <c r="B582" s="1" t="n">
        <v>45585</v>
      </c>
      <c r="C582" s="1" t="n">
        <v>45912</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24001-2021</t>
        </is>
      </c>
      <c r="B583" s="1" t="n">
        <v>44335</v>
      </c>
      <c r="C583" s="1" t="n">
        <v>45912</v>
      </c>
      <c r="D583" t="inlineStr">
        <is>
          <t>GOTLANDS LÄN</t>
        </is>
      </c>
      <c r="E583" t="inlineStr">
        <is>
          <t>GOTLAND</t>
        </is>
      </c>
      <c r="G583" t="n">
        <v>3.4</v>
      </c>
      <c r="H583" t="n">
        <v>0</v>
      </c>
      <c r="I583" t="n">
        <v>0</v>
      </c>
      <c r="J583" t="n">
        <v>0</v>
      </c>
      <c r="K583" t="n">
        <v>0</v>
      </c>
      <c r="L583" t="n">
        <v>0</v>
      </c>
      <c r="M583" t="n">
        <v>0</v>
      </c>
      <c r="N583" t="n">
        <v>0</v>
      </c>
      <c r="O583" t="n">
        <v>0</v>
      </c>
      <c r="P583" t="n">
        <v>0</v>
      </c>
      <c r="Q583" t="n">
        <v>0</v>
      </c>
      <c r="R583" s="2" t="inlineStr"/>
    </row>
    <row r="584" ht="15" customHeight="1">
      <c r="A584" t="inlineStr">
        <is>
          <t>A 39479-2022</t>
        </is>
      </c>
      <c r="B584" s="1" t="n">
        <v>44818</v>
      </c>
      <c r="C584" s="1" t="n">
        <v>45912</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39496-2022</t>
        </is>
      </c>
      <c r="B585" s="1" t="n">
        <v>44818</v>
      </c>
      <c r="C585" s="1" t="n">
        <v>45912</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44304-2021</t>
        </is>
      </c>
      <c r="B586" s="1" t="n">
        <v>44434</v>
      </c>
      <c r="C586" s="1" t="n">
        <v>45912</v>
      </c>
      <c r="D586" t="inlineStr">
        <is>
          <t>GOTLANDS LÄN</t>
        </is>
      </c>
      <c r="E586" t="inlineStr">
        <is>
          <t>GOTLAND</t>
        </is>
      </c>
      <c r="G586" t="n">
        <v>5.8</v>
      </c>
      <c r="H586" t="n">
        <v>0</v>
      </c>
      <c r="I586" t="n">
        <v>0</v>
      </c>
      <c r="J586" t="n">
        <v>0</v>
      </c>
      <c r="K586" t="n">
        <v>0</v>
      </c>
      <c r="L586" t="n">
        <v>0</v>
      </c>
      <c r="M586" t="n">
        <v>0</v>
      </c>
      <c r="N586" t="n">
        <v>0</v>
      </c>
      <c r="O586" t="n">
        <v>0</v>
      </c>
      <c r="P586" t="n">
        <v>0</v>
      </c>
      <c r="Q586" t="n">
        <v>0</v>
      </c>
      <c r="R586" s="2" t="inlineStr"/>
    </row>
    <row r="587" ht="15" customHeight="1">
      <c r="A587" t="inlineStr">
        <is>
          <t>A 15083-2025</t>
        </is>
      </c>
      <c r="B587" s="1" t="n">
        <v>45743</v>
      </c>
      <c r="C587" s="1" t="n">
        <v>45912</v>
      </c>
      <c r="D587" t="inlineStr">
        <is>
          <t>GOTLANDS LÄN</t>
        </is>
      </c>
      <c r="E587" t="inlineStr">
        <is>
          <t>GOTLAND</t>
        </is>
      </c>
      <c r="G587" t="n">
        <v>2.3</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45912</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45912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20307-2025</t>
        </is>
      </c>
      <c r="B590" s="1" t="n">
        <v>45774.95546296296</v>
      </c>
      <c r="C590" s="1" t="n">
        <v>45912</v>
      </c>
      <c r="D590" t="inlineStr">
        <is>
          <t>GOTLANDS LÄN</t>
        </is>
      </c>
      <c r="E590" t="inlineStr">
        <is>
          <t>GOTLAND</t>
        </is>
      </c>
      <c r="G590" t="n">
        <v>6.8</v>
      </c>
      <c r="H590" t="n">
        <v>0</v>
      </c>
      <c r="I590" t="n">
        <v>0</v>
      </c>
      <c r="J590" t="n">
        <v>0</v>
      </c>
      <c r="K590" t="n">
        <v>0</v>
      </c>
      <c r="L590" t="n">
        <v>0</v>
      </c>
      <c r="M590" t="n">
        <v>0</v>
      </c>
      <c r="N590" t="n">
        <v>0</v>
      </c>
      <c r="O590" t="n">
        <v>0</v>
      </c>
      <c r="P590" t="n">
        <v>0</v>
      </c>
      <c r="Q590" t="n">
        <v>0</v>
      </c>
      <c r="R590" s="2" t="inlineStr"/>
    </row>
    <row r="591" ht="15" customHeight="1">
      <c r="A591" t="inlineStr">
        <is>
          <t>A 10652-2025</t>
        </is>
      </c>
      <c r="B591" s="1" t="n">
        <v>45721.68640046296</v>
      </c>
      <c r="C591" s="1" t="n">
        <v>45912</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17682-2024</t>
        </is>
      </c>
      <c r="B592" s="1" t="n">
        <v>45418.42966435185</v>
      </c>
      <c r="C592" s="1" t="n">
        <v>45912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10813-2025</t>
        </is>
      </c>
      <c r="B593" s="1" t="n">
        <v>45722.54163194444</v>
      </c>
      <c r="C593" s="1" t="n">
        <v>45912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1066-2024</t>
        </is>
      </c>
      <c r="B594" s="1" t="n">
        <v>45302.285</v>
      </c>
      <c r="C594" s="1" t="n">
        <v>45912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61897-2024</t>
        </is>
      </c>
      <c r="B595" s="1" t="n">
        <v>45652.75685185185</v>
      </c>
      <c r="C595" s="1" t="n">
        <v>45912</v>
      </c>
      <c r="D595" t="inlineStr">
        <is>
          <t>GOTLANDS LÄN</t>
        </is>
      </c>
      <c r="E595" t="inlineStr">
        <is>
          <t>GOTLAND</t>
        </is>
      </c>
      <c r="G595" t="n">
        <v>6.4</v>
      </c>
      <c r="H595" t="n">
        <v>0</v>
      </c>
      <c r="I595" t="n">
        <v>0</v>
      </c>
      <c r="J595" t="n">
        <v>0</v>
      </c>
      <c r="K595" t="n">
        <v>0</v>
      </c>
      <c r="L595" t="n">
        <v>0</v>
      </c>
      <c r="M595" t="n">
        <v>0</v>
      </c>
      <c r="N595" t="n">
        <v>0</v>
      </c>
      <c r="O595" t="n">
        <v>0</v>
      </c>
      <c r="P595" t="n">
        <v>0</v>
      </c>
      <c r="Q595" t="n">
        <v>0</v>
      </c>
      <c r="R595" s="2" t="inlineStr"/>
    </row>
    <row r="596" ht="15" customHeight="1">
      <c r="A596" t="inlineStr">
        <is>
          <t>A 12032-2025</t>
        </is>
      </c>
      <c r="B596" s="1" t="n">
        <v>45728.64472222222</v>
      </c>
      <c r="C596" s="1" t="n">
        <v>45912</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15595-2024</t>
        </is>
      </c>
      <c r="B597" s="1" t="n">
        <v>45401.81480324074</v>
      </c>
      <c r="C597" s="1" t="n">
        <v>45912</v>
      </c>
      <c r="D597" t="inlineStr">
        <is>
          <t>GOTLANDS LÄN</t>
        </is>
      </c>
      <c r="E597" t="inlineStr">
        <is>
          <t>GOTLAND</t>
        </is>
      </c>
      <c r="G597" t="n">
        <v>6.4</v>
      </c>
      <c r="H597" t="n">
        <v>0</v>
      </c>
      <c r="I597" t="n">
        <v>0</v>
      </c>
      <c r="J597" t="n">
        <v>0</v>
      </c>
      <c r="K597" t="n">
        <v>0</v>
      </c>
      <c r="L597" t="n">
        <v>0</v>
      </c>
      <c r="M597" t="n">
        <v>0</v>
      </c>
      <c r="N597" t="n">
        <v>0</v>
      </c>
      <c r="O597" t="n">
        <v>0</v>
      </c>
      <c r="P597" t="n">
        <v>0</v>
      </c>
      <c r="Q597" t="n">
        <v>0</v>
      </c>
      <c r="R597" s="2" t="inlineStr"/>
    </row>
    <row r="598" ht="15" customHeight="1">
      <c r="A598" t="inlineStr">
        <is>
          <t>A 37202-2024</t>
        </is>
      </c>
      <c r="B598" s="1" t="n">
        <v>45539.67310185185</v>
      </c>
      <c r="C598" s="1" t="n">
        <v>45912</v>
      </c>
      <c r="D598" t="inlineStr">
        <is>
          <t>GOTLANDS LÄN</t>
        </is>
      </c>
      <c r="E598" t="inlineStr">
        <is>
          <t>GOTLAND</t>
        </is>
      </c>
      <c r="G598" t="n">
        <v>0.3</v>
      </c>
      <c r="H598" t="n">
        <v>0</v>
      </c>
      <c r="I598" t="n">
        <v>0</v>
      </c>
      <c r="J598" t="n">
        <v>0</v>
      </c>
      <c r="K598" t="n">
        <v>0</v>
      </c>
      <c r="L598" t="n">
        <v>0</v>
      </c>
      <c r="M598" t="n">
        <v>0</v>
      </c>
      <c r="N598" t="n">
        <v>0</v>
      </c>
      <c r="O598" t="n">
        <v>0</v>
      </c>
      <c r="P598" t="n">
        <v>0</v>
      </c>
      <c r="Q598" t="n">
        <v>0</v>
      </c>
      <c r="R598" s="2" t="inlineStr"/>
    </row>
    <row r="599" ht="15" customHeight="1">
      <c r="A599" t="inlineStr">
        <is>
          <t>A 30815-2023</t>
        </is>
      </c>
      <c r="B599" s="1" t="n">
        <v>45112</v>
      </c>
      <c r="C599" s="1" t="n">
        <v>45912</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46400-2023</t>
        </is>
      </c>
      <c r="B600" s="1" t="n">
        <v>45197.49290509259</v>
      </c>
      <c r="C600" s="1" t="n">
        <v>45912</v>
      </c>
      <c r="D600" t="inlineStr">
        <is>
          <t>GOTLANDS LÄN</t>
        </is>
      </c>
      <c r="E600" t="inlineStr">
        <is>
          <t>GOTLAND</t>
        </is>
      </c>
      <c r="G600" t="n">
        <v>0.8</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45912</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44919-2022</t>
        </is>
      </c>
      <c r="B602" s="1" t="n">
        <v>44841</v>
      </c>
      <c r="C602" s="1" t="n">
        <v>45912</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c r="A603" t="inlineStr">
        <is>
          <t>A 16501-2023</t>
        </is>
      </c>
      <c r="B603" s="1" t="n">
        <v>45029</v>
      </c>
      <c r="C603" s="1" t="n">
        <v>45912</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2025-09-12T08:57:49Z</dcterms:created>
  <dcterms:modified xmlns:dcterms="http://purl.org/dc/terms/" xmlns:xsi="http://www.w3.org/2001/XMLSchema-instance" xsi:type="dcterms:W3CDTF">2025-09-12T08:57:50Z</dcterms:modified>
</cp:coreProperties>
</file>