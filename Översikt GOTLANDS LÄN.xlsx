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45967</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45967</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45967</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45967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45967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45967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45967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45967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45967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45967</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45967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45967</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45967</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45967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45967</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45967</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45967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45967</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45967</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45967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45967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45967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45967</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45967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45967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45967</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35141-2022</t>
        </is>
      </c>
      <c r="B37" s="1" t="n">
        <v>44797.53318287037</v>
      </c>
      <c r="C37" s="1" t="n">
        <v>45967</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2804-2023</t>
        </is>
      </c>
      <c r="B38" s="1" t="n">
        <v>44944</v>
      </c>
      <c r="C38" s="1" t="n">
        <v>45967</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3324-2023</t>
        </is>
      </c>
      <c r="B39" s="1" t="n">
        <v>44949</v>
      </c>
      <c r="C39" s="1" t="n">
        <v>45967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45967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45967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45967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45967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45967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45967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45967</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45967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45967</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45967</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45967</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45967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45967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39376-2023</t>
        </is>
      </c>
      <c r="B53" s="1" t="n">
        <v>45166</v>
      </c>
      <c r="C53" s="1" t="n">
        <v>45967</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45967</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7039-2023</t>
        </is>
      </c>
      <c r="B56" s="1" t="n">
        <v>44968</v>
      </c>
      <c r="C56" s="1" t="n">
        <v>45967</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2649-2023</t>
        </is>
      </c>
      <c r="B57" s="1" t="n">
        <v>44943</v>
      </c>
      <c r="C57" s="1" t="n">
        <v>45967</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45967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45967</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45967</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34142-2024</t>
        </is>
      </c>
      <c r="B61" s="1" t="n">
        <v>45524.36521990741</v>
      </c>
      <c r="C61" s="1" t="n">
        <v>45967</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45967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45248-2024</t>
        </is>
      </c>
      <c r="B63" s="1" t="n">
        <v>45576</v>
      </c>
      <c r="C63" s="1" t="n">
        <v>45967</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18541-2024</t>
        </is>
      </c>
      <c r="B64" s="1" t="n">
        <v>45425</v>
      </c>
      <c r="C64" s="1" t="n">
        <v>45967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10419-2025</t>
        </is>
      </c>
      <c r="B65" s="1" t="n">
        <v>45720</v>
      </c>
      <c r="C65" s="1" t="n">
        <v>45967</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52223-2025</t>
        </is>
      </c>
      <c r="B66" s="1" t="n">
        <v>45953.44509259259</v>
      </c>
      <c r="C66" s="1" t="n">
        <v>45967</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45967</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45967</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45967</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65819-2020</t>
        </is>
      </c>
      <c r="B70" s="1" t="n">
        <v>44174</v>
      </c>
      <c r="C70" s="1" t="n">
        <v>45967</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7038-2023</t>
        </is>
      </c>
      <c r="B71" s="1" t="n">
        <v>44968</v>
      </c>
      <c r="C71" s="1" t="n">
        <v>45967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45967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45967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45967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45967</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54055-2022</t>
        </is>
      </c>
      <c r="B76" s="1" t="n">
        <v>44881</v>
      </c>
      <c r="C76" s="1" t="n">
        <v>45967</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42936-2024</t>
        </is>
      </c>
      <c r="B77" s="1" t="n">
        <v>45567</v>
      </c>
      <c r="C77" s="1" t="n">
        <v>45967</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44944-2022</t>
        </is>
      </c>
      <c r="B78" s="1" t="n">
        <v>44841</v>
      </c>
      <c r="C78" s="1" t="n">
        <v>45967</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16375-2025</t>
        </is>
      </c>
      <c r="B79" s="1" t="n">
        <v>45751.41064814815</v>
      </c>
      <c r="C79" s="1" t="n">
        <v>45967</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45967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45967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45967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45967</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45967</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45967</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54523-2023</t>
        </is>
      </c>
      <c r="B86" s="1" t="n">
        <v>45233</v>
      </c>
      <c r="C86" s="1" t="n">
        <v>45967</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45967</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45967</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1971-2023</t>
        </is>
      </c>
      <c r="B89" s="1" t="n">
        <v>44939</v>
      </c>
      <c r="C89" s="1" t="n">
        <v>45967</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64378-2020</t>
        </is>
      </c>
      <c r="B90" s="1" t="n">
        <v>44168</v>
      </c>
      <c r="C90" s="1" t="n">
        <v>45967</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2485-2025</t>
        </is>
      </c>
      <c r="B91" s="1" t="n">
        <v>45673</v>
      </c>
      <c r="C91" s="1" t="n">
        <v>45967</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45967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45967</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52309-2025</t>
        </is>
      </c>
      <c r="B94" s="1" t="n">
        <v>45953.64381944444</v>
      </c>
      <c r="C94" s="1" t="n">
        <v>45967</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53584-2025</t>
        </is>
      </c>
      <c r="B95" s="1" t="n">
        <v>45960.43130787037</v>
      </c>
      <c r="C95" s="1" t="n">
        <v>45967</v>
      </c>
      <c r="D95" t="inlineStr">
        <is>
          <t>GOTLANDS LÄN</t>
        </is>
      </c>
      <c r="E95" t="inlineStr">
        <is>
          <t>GOTLAND</t>
        </is>
      </c>
      <c r="F95" t="inlineStr">
        <is>
          <t>Övriga Aktiebolag</t>
        </is>
      </c>
      <c r="G95" t="n">
        <v>18.1</v>
      </c>
      <c r="H95" t="n">
        <v>1</v>
      </c>
      <c r="I95" t="n">
        <v>0</v>
      </c>
      <c r="J95" t="n">
        <v>4</v>
      </c>
      <c r="K95" t="n">
        <v>0</v>
      </c>
      <c r="L95" t="n">
        <v>0</v>
      </c>
      <c r="M95" t="n">
        <v>0</v>
      </c>
      <c r="N95" t="n">
        <v>0</v>
      </c>
      <c r="O95" t="n">
        <v>4</v>
      </c>
      <c r="P95" t="n">
        <v>0</v>
      </c>
      <c r="Q95" t="n">
        <v>4</v>
      </c>
      <c r="R95" s="2" t="inlineStr">
        <is>
          <t>Apollofjäril
Jordtistel
Klasefibbla
Majviva</t>
        </is>
      </c>
      <c r="S95">
        <f>HYPERLINK("https://klasma.github.io/Logging_0980/artfynd/A 53584-2025 artfynd.xlsx", "A 53584-2025")</f>
        <v/>
      </c>
      <c r="T95">
        <f>HYPERLINK("https://klasma.github.io/Logging_0980/kartor/A 53584-2025 karta.png", "A 53584-2025")</f>
        <v/>
      </c>
      <c r="V95">
        <f>HYPERLINK("https://klasma.github.io/Logging_0980/klagomål/A 53584-2025 FSC-klagomål.docx", "A 53584-2025")</f>
        <v/>
      </c>
      <c r="W95">
        <f>HYPERLINK("https://klasma.github.io/Logging_0980/klagomålsmail/A 53584-2025 FSC-klagomål mail.docx", "A 53584-2025")</f>
        <v/>
      </c>
      <c r="X95">
        <f>HYPERLINK("https://klasma.github.io/Logging_0980/tillsyn/A 53584-2025 tillsynsbegäran.docx", "A 53584-2025")</f>
        <v/>
      </c>
      <c r="Y95">
        <f>HYPERLINK("https://klasma.github.io/Logging_0980/tillsynsmail/A 53584-2025 tillsynsbegäran mail.docx", "A 53584-2025")</f>
        <v/>
      </c>
    </row>
    <row r="96" ht="15" customHeight="1">
      <c r="A96" t="inlineStr">
        <is>
          <t>A 8265-2023</t>
        </is>
      </c>
      <c r="B96" s="1" t="n">
        <v>44974</v>
      </c>
      <c r="C96" s="1" t="n">
        <v>45967</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186-2023</t>
        </is>
      </c>
      <c r="B97" s="1" t="n">
        <v>44928</v>
      </c>
      <c r="C97" s="1" t="n">
        <v>45967</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56717-2024</t>
        </is>
      </c>
      <c r="B98" s="1" t="n">
        <v>45628.3166550926</v>
      </c>
      <c r="C98" s="1" t="n">
        <v>45967</v>
      </c>
      <c r="D98" t="inlineStr">
        <is>
          <t>GOTLANDS LÄN</t>
        </is>
      </c>
      <c r="E98" t="inlineStr">
        <is>
          <t>GOTLAND</t>
        </is>
      </c>
      <c r="G98" t="n">
        <v>9.699999999999999</v>
      </c>
      <c r="H98" t="n">
        <v>0</v>
      </c>
      <c r="I98" t="n">
        <v>2</v>
      </c>
      <c r="J98" t="n">
        <v>2</v>
      </c>
      <c r="K98" t="n">
        <v>0</v>
      </c>
      <c r="L98" t="n">
        <v>0</v>
      </c>
      <c r="M98" t="n">
        <v>0</v>
      </c>
      <c r="N98" t="n">
        <v>0</v>
      </c>
      <c r="O98" t="n">
        <v>2</v>
      </c>
      <c r="P98" t="n">
        <v>0</v>
      </c>
      <c r="Q98" t="n">
        <v>4</v>
      </c>
      <c r="R98" s="2" t="inlineStr">
        <is>
          <t>Ekvaxskivling
Odörspindling
Fjällig taggsvamp s.str.
Kattfotslav</t>
        </is>
      </c>
      <c r="S98">
        <f>HYPERLINK("https://klasma.github.io/Logging_0980/artfynd/A 56717-2024 artfynd.xlsx", "A 56717-2024")</f>
        <v/>
      </c>
      <c r="T98">
        <f>HYPERLINK("https://klasma.github.io/Logging_0980/kartor/A 56717-2024 karta.png", "A 56717-2024")</f>
        <v/>
      </c>
      <c r="V98">
        <f>HYPERLINK("https://klasma.github.io/Logging_0980/klagomål/A 56717-2024 FSC-klagomål.docx", "A 56717-2024")</f>
        <v/>
      </c>
      <c r="W98">
        <f>HYPERLINK("https://klasma.github.io/Logging_0980/klagomålsmail/A 56717-2024 FSC-klagomål mail.docx", "A 56717-2024")</f>
        <v/>
      </c>
      <c r="X98">
        <f>HYPERLINK("https://klasma.github.io/Logging_0980/tillsyn/A 56717-2024 tillsynsbegäran.docx", "A 56717-2024")</f>
        <v/>
      </c>
      <c r="Y98">
        <f>HYPERLINK("https://klasma.github.io/Logging_0980/tillsynsmail/A 56717-2024 tillsynsbegäran mail.docx", "A 56717-2024")</f>
        <v/>
      </c>
    </row>
    <row r="99" ht="15" customHeight="1">
      <c r="A99" t="inlineStr">
        <is>
          <t>A 20833-2024</t>
        </is>
      </c>
      <c r="B99" s="1" t="n">
        <v>45439</v>
      </c>
      <c r="C99" s="1" t="n">
        <v>45967</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45967</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45967</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45967</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45967</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45967</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17982-2023</t>
        </is>
      </c>
      <c r="B106" s="1" t="n">
        <v>45040</v>
      </c>
      <c r="C106" s="1" t="n">
        <v>45967</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48126-2022</t>
        </is>
      </c>
      <c r="B107" s="1" t="n">
        <v>44857</v>
      </c>
      <c r="C107" s="1" t="n">
        <v>45967</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17975-2024</t>
        </is>
      </c>
      <c r="B108" s="1" t="n">
        <v>45419.85546296297</v>
      </c>
      <c r="C108" s="1" t="n">
        <v>45967</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13499-2022</t>
        </is>
      </c>
      <c r="B109" s="1" t="n">
        <v>44647.79203703703</v>
      </c>
      <c r="C109" s="1" t="n">
        <v>45967</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12315-2024</t>
        </is>
      </c>
      <c r="B110" s="1" t="n">
        <v>45378.6434837963</v>
      </c>
      <c r="C110" s="1" t="n">
        <v>45967</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49709-2025</t>
        </is>
      </c>
      <c r="B111" s="1" t="n">
        <v>45939.68228009259</v>
      </c>
      <c r="C111" s="1" t="n">
        <v>45967</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45967</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45967</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45967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62326-2020</t>
        </is>
      </c>
      <c r="B115" s="1" t="n">
        <v>44160</v>
      </c>
      <c r="C115" s="1" t="n">
        <v>45967</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73144-2021</t>
        </is>
      </c>
      <c r="B116" s="1" t="n">
        <v>44550</v>
      </c>
      <c r="C116" s="1" t="n">
        <v>45967</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30490-2025</t>
        </is>
      </c>
      <c r="B117" s="1" t="n">
        <v>45830</v>
      </c>
      <c r="C117" s="1" t="n">
        <v>45967</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55334-2024</t>
        </is>
      </c>
      <c r="B118" s="1" t="n">
        <v>45621</v>
      </c>
      <c r="C118" s="1" t="n">
        <v>45967</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20831-2024</t>
        </is>
      </c>
      <c r="B119" s="1" t="n">
        <v>45439</v>
      </c>
      <c r="C119" s="1" t="n">
        <v>45967</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45967</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45967</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45967</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45967</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45967</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54357-2024</t>
        </is>
      </c>
      <c r="B126" s="1" t="n">
        <v>45617.40662037037</v>
      </c>
      <c r="C126" s="1" t="n">
        <v>45967</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58701-2020</t>
        </is>
      </c>
      <c r="B127" s="1" t="n">
        <v>44146</v>
      </c>
      <c r="C127" s="1" t="n">
        <v>45967</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60665-2021</t>
        </is>
      </c>
      <c r="B128" s="1" t="n">
        <v>44496</v>
      </c>
      <c r="C128" s="1" t="n">
        <v>45967</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7070-2022</t>
        </is>
      </c>
      <c r="B129" s="1" t="n">
        <v>44603</v>
      </c>
      <c r="C129" s="1" t="n">
        <v>45967</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45967</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45967</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21879-2025</t>
        </is>
      </c>
      <c r="B132" s="1" t="n">
        <v>45784.40533564815</v>
      </c>
      <c r="C132" s="1" t="n">
        <v>45967</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28261-2024</t>
        </is>
      </c>
      <c r="B133" s="1" t="n">
        <v>45477</v>
      </c>
      <c r="C133" s="1" t="n">
        <v>45967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45967</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20838-2024</t>
        </is>
      </c>
      <c r="B135" s="1" t="n">
        <v>45439</v>
      </c>
      <c r="C135" s="1" t="n">
        <v>45967</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64263-2020</t>
        </is>
      </c>
      <c r="B136" s="1" t="n">
        <v>44168</v>
      </c>
      <c r="C136" s="1" t="n">
        <v>45967</v>
      </c>
      <c r="D136" t="inlineStr">
        <is>
          <t>GOTLANDS LÄN</t>
        </is>
      </c>
      <c r="E136" t="inlineStr">
        <is>
          <t>GOTLAND</t>
        </is>
      </c>
      <c r="G136" t="n">
        <v>10.9</v>
      </c>
      <c r="H136" t="n">
        <v>1</v>
      </c>
      <c r="I136" t="n">
        <v>0</v>
      </c>
      <c r="J136" t="n">
        <v>2</v>
      </c>
      <c r="K136" t="n">
        <v>0</v>
      </c>
      <c r="L136" t="n">
        <v>0</v>
      </c>
      <c r="M136" t="n">
        <v>0</v>
      </c>
      <c r="N136" t="n">
        <v>0</v>
      </c>
      <c r="O136" t="n">
        <v>2</v>
      </c>
      <c r="P136" t="n">
        <v>0</v>
      </c>
      <c r="Q136" t="n">
        <v>2</v>
      </c>
      <c r="R136" s="2" t="inlineStr">
        <is>
          <t>Mindre hackspett
Ullticka</t>
        </is>
      </c>
      <c r="S136">
        <f>HYPERLINK("https://klasma.github.io/Logging_0980/artfynd/A 64263-2020 artfynd.xlsx", "A 64263-2020")</f>
        <v/>
      </c>
      <c r="T136">
        <f>HYPERLINK("https://klasma.github.io/Logging_0980/kartor/A 64263-2020 karta.png", "A 64263-2020")</f>
        <v/>
      </c>
      <c r="V136">
        <f>HYPERLINK("https://klasma.github.io/Logging_0980/klagomål/A 64263-2020 FSC-klagomål.docx", "A 64263-2020")</f>
        <v/>
      </c>
      <c r="W136">
        <f>HYPERLINK("https://klasma.github.io/Logging_0980/klagomålsmail/A 64263-2020 FSC-klagomål mail.docx", "A 64263-2020")</f>
        <v/>
      </c>
      <c r="X136">
        <f>HYPERLINK("https://klasma.github.io/Logging_0980/tillsyn/A 64263-2020 tillsynsbegäran.docx", "A 64263-2020")</f>
        <v/>
      </c>
      <c r="Y136">
        <f>HYPERLINK("https://klasma.github.io/Logging_0980/tillsynsmail/A 64263-2020 tillsynsbegäran mail.docx", "A 64263-2020")</f>
        <v/>
      </c>
      <c r="Z136">
        <f>HYPERLINK("https://klasma.github.io/Logging_0980/fåglar/A 64263-2020 prioriterade fågelarter.docx", "A 64263-2020")</f>
        <v/>
      </c>
    </row>
    <row r="137" ht="15" customHeight="1">
      <c r="A137" t="inlineStr">
        <is>
          <t>A 52245-2025</t>
        </is>
      </c>
      <c r="B137" s="1" t="n">
        <v>45953.47115740741</v>
      </c>
      <c r="C137" s="1" t="n">
        <v>45967</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28276-2024</t>
        </is>
      </c>
      <c r="B138" s="1" t="n">
        <v>45477</v>
      </c>
      <c r="C138" s="1" t="n">
        <v>45967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24-2021</t>
        </is>
      </c>
      <c r="B139" s="1" t="n">
        <v>44197</v>
      </c>
      <c r="C139" s="1" t="n">
        <v>45967</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45967</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45967</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45967</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1477-2024</t>
        </is>
      </c>
      <c r="B143" s="1" t="n">
        <v>45305.37987268518</v>
      </c>
      <c r="C143" s="1" t="n">
        <v>45967</v>
      </c>
      <c r="D143" t="inlineStr">
        <is>
          <t>GOTLANDS LÄN</t>
        </is>
      </c>
      <c r="E143" t="inlineStr">
        <is>
          <t>GOTLAND</t>
        </is>
      </c>
      <c r="G143" t="n">
        <v>6.9</v>
      </c>
      <c r="H143" t="n">
        <v>0</v>
      </c>
      <c r="I143" t="n">
        <v>0</v>
      </c>
      <c r="J143" t="n">
        <v>1</v>
      </c>
      <c r="K143" t="n">
        <v>0</v>
      </c>
      <c r="L143" t="n">
        <v>0</v>
      </c>
      <c r="M143" t="n">
        <v>0</v>
      </c>
      <c r="N143" t="n">
        <v>0</v>
      </c>
      <c r="O143" t="n">
        <v>1</v>
      </c>
      <c r="P143" t="n">
        <v>0</v>
      </c>
      <c r="Q143" t="n">
        <v>1</v>
      </c>
      <c r="R143" s="2" t="inlineStr">
        <is>
          <t>Igelkott</t>
        </is>
      </c>
      <c r="S143">
        <f>HYPERLINK("https://klasma.github.io/Logging_0980/artfynd/A 1477-2024 artfynd.xlsx", "A 1477-2024")</f>
        <v/>
      </c>
      <c r="T143">
        <f>HYPERLINK("https://klasma.github.io/Logging_0980/kartor/A 1477-2024 karta.png", "A 1477-2024")</f>
        <v/>
      </c>
      <c r="V143">
        <f>HYPERLINK("https://klasma.github.io/Logging_0980/klagomål/A 1477-2024 FSC-klagomål.docx", "A 1477-2024")</f>
        <v/>
      </c>
      <c r="W143">
        <f>HYPERLINK("https://klasma.github.io/Logging_0980/klagomålsmail/A 1477-2024 FSC-klagomål mail.docx", "A 1477-2024")</f>
        <v/>
      </c>
      <c r="X143">
        <f>HYPERLINK("https://klasma.github.io/Logging_0980/tillsyn/A 1477-2024 tillsynsbegäran.docx", "A 1477-2024")</f>
        <v/>
      </c>
      <c r="Y143">
        <f>HYPERLINK("https://klasma.github.io/Logging_0980/tillsynsmail/A 1477-2024 tillsynsbegäran mail.docx", "A 1477-2024")</f>
        <v/>
      </c>
    </row>
    <row r="144" ht="15" customHeight="1">
      <c r="A144" t="inlineStr">
        <is>
          <t>A 35574-2024</t>
        </is>
      </c>
      <c r="B144" s="1" t="n">
        <v>45531</v>
      </c>
      <c r="C144" s="1" t="n">
        <v>45967</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10218-2025</t>
        </is>
      </c>
      <c r="B145" s="1" t="n">
        <v>45720</v>
      </c>
      <c r="C145" s="1" t="n">
        <v>45967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7637-2025</t>
        </is>
      </c>
      <c r="B146" s="1" t="n">
        <v>45705.77181712963</v>
      </c>
      <c r="C146" s="1" t="n">
        <v>45967</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12379-2024</t>
        </is>
      </c>
      <c r="B147" s="1" t="n">
        <v>45379.28155092592</v>
      </c>
      <c r="C147" s="1" t="n">
        <v>45967</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25977-2024</t>
        </is>
      </c>
      <c r="B148" s="1" t="n">
        <v>45467.69356481481</v>
      </c>
      <c r="C148" s="1" t="n">
        <v>45967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17723-2021</t>
        </is>
      </c>
      <c r="B149" s="1" t="n">
        <v>44300</v>
      </c>
      <c r="C149" s="1" t="n">
        <v>45967</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37591-2023</t>
        </is>
      </c>
      <c r="B150" s="1" t="n">
        <v>45159</v>
      </c>
      <c r="C150" s="1" t="n">
        <v>45967</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65927-2021</t>
        </is>
      </c>
      <c r="B151" s="1" t="n">
        <v>44516</v>
      </c>
      <c r="C151" s="1" t="n">
        <v>45967</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6303-2024</t>
        </is>
      </c>
      <c r="B152" s="1" t="n">
        <v>45338.35376157407</v>
      </c>
      <c r="C152" s="1" t="n">
        <v>45967</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61796-2022</t>
        </is>
      </c>
      <c r="B153" s="1" t="n">
        <v>44917</v>
      </c>
      <c r="C153" s="1" t="n">
        <v>45967</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13939-2021</t>
        </is>
      </c>
      <c r="B154" s="1" t="n">
        <v>44277</v>
      </c>
      <c r="C154" s="1" t="n">
        <v>45967</v>
      </c>
      <c r="D154" t="inlineStr">
        <is>
          <t>GOTLANDS LÄN</t>
        </is>
      </c>
      <c r="E154" t="inlineStr">
        <is>
          <t>GOTLAND</t>
        </is>
      </c>
      <c r="G154" t="n">
        <v>1</v>
      </c>
      <c r="H154" t="n">
        <v>0</v>
      </c>
      <c r="I154" t="n">
        <v>0</v>
      </c>
      <c r="J154" t="n">
        <v>1</v>
      </c>
      <c r="K154" t="n">
        <v>0</v>
      </c>
      <c r="L154" t="n">
        <v>0</v>
      </c>
      <c r="M154" t="n">
        <v>0</v>
      </c>
      <c r="N154" t="n">
        <v>0</v>
      </c>
      <c r="O154" t="n">
        <v>1</v>
      </c>
      <c r="P154" t="n">
        <v>0</v>
      </c>
      <c r="Q154" t="n">
        <v>1</v>
      </c>
      <c r="R154" s="2" t="inlineStr">
        <is>
          <t>Axveronika</t>
        </is>
      </c>
      <c r="S154">
        <f>HYPERLINK("https://klasma.github.io/Logging_0980/artfynd/A 13939-2021 artfynd.xlsx", "A 13939-2021")</f>
        <v/>
      </c>
      <c r="T154">
        <f>HYPERLINK("https://klasma.github.io/Logging_0980/kartor/A 13939-2021 karta.png", "A 13939-2021")</f>
        <v/>
      </c>
      <c r="V154">
        <f>HYPERLINK("https://klasma.github.io/Logging_0980/klagomål/A 13939-2021 FSC-klagomål.docx", "A 13939-2021")</f>
        <v/>
      </c>
      <c r="W154">
        <f>HYPERLINK("https://klasma.github.io/Logging_0980/klagomålsmail/A 13939-2021 FSC-klagomål mail.docx", "A 13939-2021")</f>
        <v/>
      </c>
      <c r="X154">
        <f>HYPERLINK("https://klasma.github.io/Logging_0980/tillsyn/A 13939-2021 tillsynsbegäran.docx", "A 13939-2021")</f>
        <v/>
      </c>
      <c r="Y154">
        <f>HYPERLINK("https://klasma.github.io/Logging_0980/tillsynsmail/A 13939-2021 tillsynsbegäran mail.docx", "A 13939-2021")</f>
        <v/>
      </c>
    </row>
    <row r="155" ht="15" customHeight="1">
      <c r="A155" t="inlineStr">
        <is>
          <t>A 15637-2024</t>
        </is>
      </c>
      <c r="B155" s="1" t="n">
        <v>45403.6684837963</v>
      </c>
      <c r="C155" s="1" t="n">
        <v>45967</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34809-2024</t>
        </is>
      </c>
      <c r="B156" s="1" t="n">
        <v>45526</v>
      </c>
      <c r="C156" s="1" t="n">
        <v>45967</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20429-2025</t>
        </is>
      </c>
      <c r="B157" s="1" t="n">
        <v>45775.47728009259</v>
      </c>
      <c r="C157" s="1" t="n">
        <v>45967</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21466-2025</t>
        </is>
      </c>
      <c r="B158" s="1" t="n">
        <v>45782</v>
      </c>
      <c r="C158" s="1" t="n">
        <v>45967</v>
      </c>
      <c r="D158" t="inlineStr">
        <is>
          <t>GOTLANDS LÄN</t>
        </is>
      </c>
      <c r="E158" t="inlineStr">
        <is>
          <t>GOTLAND</t>
        </is>
      </c>
      <c r="F158" t="inlineStr">
        <is>
          <t>Övriga statliga verk och myndigheter</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HYPERLINK("https://klasma.github.io/Logging_0980/artfynd/A 21466-2025 artfynd.xlsx", "A 21466-2025")</f>
        <v/>
      </c>
      <c r="T158">
        <f>HYPERLINK("https://klasma.github.io/Logging_0980/kartor/A 21466-2025 karta.png", "A 21466-2025")</f>
        <v/>
      </c>
      <c r="V158">
        <f>HYPERLINK("https://klasma.github.io/Logging_0980/klagomål/A 21466-2025 FSC-klagomål.docx", "A 21466-2025")</f>
        <v/>
      </c>
      <c r="W158">
        <f>HYPERLINK("https://klasma.github.io/Logging_0980/klagomålsmail/A 21466-2025 FSC-klagomål mail.docx", "A 21466-2025")</f>
        <v/>
      </c>
      <c r="X158">
        <f>HYPERLINK("https://klasma.github.io/Logging_0980/tillsyn/A 21466-2025 tillsynsbegäran.docx", "A 21466-2025")</f>
        <v/>
      </c>
      <c r="Y158">
        <f>HYPERLINK("https://klasma.github.io/Logging_0980/tillsynsmail/A 21466-2025 tillsynsbegäran mail.docx", "A 21466-2025")</f>
        <v/>
      </c>
    </row>
    <row r="159" ht="15" customHeight="1">
      <c r="A159" t="inlineStr">
        <is>
          <t>A 2476-2025</t>
        </is>
      </c>
      <c r="B159" s="1" t="n">
        <v>45673</v>
      </c>
      <c r="C159" s="1" t="n">
        <v>45967</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39812-2025</t>
        </is>
      </c>
      <c r="B160" s="1" t="n">
        <v>45891</v>
      </c>
      <c r="C160" s="1" t="n">
        <v>45967</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49726-2025</t>
        </is>
      </c>
      <c r="B161" s="1" t="n">
        <v>45939.84466435185</v>
      </c>
      <c r="C161" s="1" t="n">
        <v>45967</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10995-2023</t>
        </is>
      </c>
      <c r="B162" s="1" t="n">
        <v>44986</v>
      </c>
      <c r="C162" s="1" t="n">
        <v>45967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61561-2023</t>
        </is>
      </c>
      <c r="B163" s="1" t="n">
        <v>45265</v>
      </c>
      <c r="C163" s="1" t="n">
        <v>45967</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62552-2022</t>
        </is>
      </c>
      <c r="B164" s="1" t="n">
        <v>44924</v>
      </c>
      <c r="C164" s="1" t="n">
        <v>45967</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10440-2024</t>
        </is>
      </c>
      <c r="B165" s="1" t="n">
        <v>45366.32818287037</v>
      </c>
      <c r="C165" s="1" t="n">
        <v>45967</v>
      </c>
      <c r="D165" t="inlineStr">
        <is>
          <t>GOTLANDS LÄN</t>
        </is>
      </c>
      <c r="E165" t="inlineStr">
        <is>
          <t>GOTLAND</t>
        </is>
      </c>
      <c r="G165" t="n">
        <v>2.5</v>
      </c>
      <c r="H165" t="n">
        <v>1</v>
      </c>
      <c r="I165" t="n">
        <v>0</v>
      </c>
      <c r="J165" t="n">
        <v>1</v>
      </c>
      <c r="K165" t="n">
        <v>0</v>
      </c>
      <c r="L165" t="n">
        <v>0</v>
      </c>
      <c r="M165" t="n">
        <v>0</v>
      </c>
      <c r="N165" t="n">
        <v>0</v>
      </c>
      <c r="O165" t="n">
        <v>1</v>
      </c>
      <c r="P165" t="n">
        <v>0</v>
      </c>
      <c r="Q165" t="n">
        <v>1</v>
      </c>
      <c r="R165" s="2" t="inlineStr">
        <is>
          <t>Mindre hackspett</t>
        </is>
      </c>
      <c r="S165">
        <f>HYPERLINK("https://klasma.github.io/Logging_0980/artfynd/A 10440-2024 artfynd.xlsx", "A 10440-2024")</f>
        <v/>
      </c>
      <c r="T165">
        <f>HYPERLINK("https://klasma.github.io/Logging_0980/kartor/A 10440-2024 karta.png", "A 10440-2024")</f>
        <v/>
      </c>
      <c r="V165">
        <f>HYPERLINK("https://klasma.github.io/Logging_0980/klagomål/A 10440-2024 FSC-klagomål.docx", "A 10440-2024")</f>
        <v/>
      </c>
      <c r="W165">
        <f>HYPERLINK("https://klasma.github.io/Logging_0980/klagomålsmail/A 10440-2024 FSC-klagomål mail.docx", "A 10440-2024")</f>
        <v/>
      </c>
      <c r="X165">
        <f>HYPERLINK("https://klasma.github.io/Logging_0980/tillsyn/A 10440-2024 tillsynsbegäran.docx", "A 10440-2024")</f>
        <v/>
      </c>
      <c r="Y165">
        <f>HYPERLINK("https://klasma.github.io/Logging_0980/tillsynsmail/A 10440-2024 tillsynsbegäran mail.docx", "A 10440-2024")</f>
        <v/>
      </c>
      <c r="Z165">
        <f>HYPERLINK("https://klasma.github.io/Logging_0980/fåglar/A 10440-2024 prioriterade fågelarter.docx", "A 10440-2024")</f>
        <v/>
      </c>
    </row>
    <row r="166" ht="15" customHeight="1">
      <c r="A166" t="inlineStr">
        <is>
          <t>A 44088-2022</t>
        </is>
      </c>
      <c r="B166" s="1" t="n">
        <v>44839</v>
      </c>
      <c r="C166" s="1" t="n">
        <v>45967</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63299-2020</t>
        </is>
      </c>
      <c r="B167" s="1" t="n">
        <v>44165</v>
      </c>
      <c r="C167" s="1" t="n">
        <v>45967</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44308-2021</t>
        </is>
      </c>
      <c r="B168" s="1" t="n">
        <v>44434</v>
      </c>
      <c r="C168" s="1" t="n">
        <v>45967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27168-2022</t>
        </is>
      </c>
      <c r="B169" s="1" t="n">
        <v>44741</v>
      </c>
      <c r="C169" s="1" t="n">
        <v>45967</v>
      </c>
      <c r="D169" t="inlineStr">
        <is>
          <t>GOTLANDS LÄN</t>
        </is>
      </c>
      <c r="E169" t="inlineStr">
        <is>
          <t>GOTLAND</t>
        </is>
      </c>
      <c r="G169" t="n">
        <v>2.2</v>
      </c>
      <c r="H169" t="n">
        <v>1</v>
      </c>
      <c r="I169" t="n">
        <v>1</v>
      </c>
      <c r="J169" t="n">
        <v>0</v>
      </c>
      <c r="K169" t="n">
        <v>0</v>
      </c>
      <c r="L169" t="n">
        <v>0</v>
      </c>
      <c r="M169" t="n">
        <v>0</v>
      </c>
      <c r="N169" t="n">
        <v>0</v>
      </c>
      <c r="O169" t="n">
        <v>0</v>
      </c>
      <c r="P169" t="n">
        <v>0</v>
      </c>
      <c r="Q169" t="n">
        <v>1</v>
      </c>
      <c r="R169" s="2" t="inlineStr">
        <is>
          <t>Purpurknipprot</t>
        </is>
      </c>
      <c r="S169">
        <f>HYPERLINK("https://klasma.github.io/Logging_0980/artfynd/A 27168-2022 artfynd.xlsx", "A 27168-2022")</f>
        <v/>
      </c>
      <c r="T169">
        <f>HYPERLINK("https://klasma.github.io/Logging_0980/kartor/A 27168-2022 karta.png", "A 27168-2022")</f>
        <v/>
      </c>
      <c r="V169">
        <f>HYPERLINK("https://klasma.github.io/Logging_0980/klagomål/A 27168-2022 FSC-klagomål.docx", "A 27168-2022")</f>
        <v/>
      </c>
      <c r="W169">
        <f>HYPERLINK("https://klasma.github.io/Logging_0980/klagomålsmail/A 27168-2022 FSC-klagomål mail.docx", "A 27168-2022")</f>
        <v/>
      </c>
      <c r="X169">
        <f>HYPERLINK("https://klasma.github.io/Logging_0980/tillsyn/A 27168-2022 tillsynsbegäran.docx", "A 27168-2022")</f>
        <v/>
      </c>
      <c r="Y169">
        <f>HYPERLINK("https://klasma.github.io/Logging_0980/tillsynsmail/A 27168-2022 tillsynsbegäran mail.docx", "A 27168-2022")</f>
        <v/>
      </c>
    </row>
    <row r="170" ht="15" customHeight="1">
      <c r="A170" t="inlineStr">
        <is>
          <t>A 447-2023</t>
        </is>
      </c>
      <c r="B170" s="1" t="n">
        <v>44929</v>
      </c>
      <c r="C170" s="1" t="n">
        <v>45967</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22782-2023</t>
        </is>
      </c>
      <c r="B171" s="1" t="n">
        <v>45072</v>
      </c>
      <c r="C171" s="1" t="n">
        <v>45967</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947-2023</t>
        </is>
      </c>
      <c r="B172" s="1" t="n">
        <v>44934</v>
      </c>
      <c r="C172" s="1" t="n">
        <v>45967</v>
      </c>
      <c r="D172" t="inlineStr">
        <is>
          <t>GOTLANDS LÄN</t>
        </is>
      </c>
      <c r="E172" t="inlineStr">
        <is>
          <t>GOTLAND</t>
        </is>
      </c>
      <c r="G172" t="n">
        <v>0.7</v>
      </c>
      <c r="H172" t="n">
        <v>1</v>
      </c>
      <c r="I172" t="n">
        <v>0</v>
      </c>
      <c r="J172" t="n">
        <v>0</v>
      </c>
      <c r="K172" t="n">
        <v>1</v>
      </c>
      <c r="L172" t="n">
        <v>0</v>
      </c>
      <c r="M172" t="n">
        <v>0</v>
      </c>
      <c r="N172" t="n">
        <v>0</v>
      </c>
      <c r="O172" t="n">
        <v>1</v>
      </c>
      <c r="P172" t="n">
        <v>1</v>
      </c>
      <c r="Q172" t="n">
        <v>1</v>
      </c>
      <c r="R172" s="2" t="inlineStr">
        <is>
          <t>Garderönn</t>
        </is>
      </c>
      <c r="S172">
        <f>HYPERLINK("https://klasma.github.io/Logging_0980/artfynd/A 947-2023 artfynd.xlsx", "A 947-2023")</f>
        <v/>
      </c>
      <c r="T172">
        <f>HYPERLINK("https://klasma.github.io/Logging_0980/kartor/A 947-2023 karta.png", "A 947-2023")</f>
        <v/>
      </c>
      <c r="V172">
        <f>HYPERLINK("https://klasma.github.io/Logging_0980/klagomål/A 947-2023 FSC-klagomål.docx", "A 947-2023")</f>
        <v/>
      </c>
      <c r="W172">
        <f>HYPERLINK("https://klasma.github.io/Logging_0980/klagomålsmail/A 947-2023 FSC-klagomål mail.docx", "A 947-2023")</f>
        <v/>
      </c>
      <c r="X172">
        <f>HYPERLINK("https://klasma.github.io/Logging_0980/tillsyn/A 947-2023 tillsynsbegäran.docx", "A 947-2023")</f>
        <v/>
      </c>
      <c r="Y172">
        <f>HYPERLINK("https://klasma.github.io/Logging_0980/tillsynsmail/A 947-2023 tillsynsbegäran mail.docx", "A 947-2023")</f>
        <v/>
      </c>
    </row>
    <row r="173" ht="15" customHeight="1">
      <c r="A173" t="inlineStr">
        <is>
          <t>A 49304-2024</t>
        </is>
      </c>
      <c r="B173" s="1" t="n">
        <v>45595.54996527778</v>
      </c>
      <c r="C173" s="1" t="n">
        <v>45967</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63576-2021</t>
        </is>
      </c>
      <c r="B174" s="1" t="n">
        <v>44508</v>
      </c>
      <c r="C174" s="1" t="n">
        <v>45967</v>
      </c>
      <c r="D174" t="inlineStr">
        <is>
          <t>GOTLANDS LÄN</t>
        </is>
      </c>
      <c r="E174" t="inlineStr">
        <is>
          <t>GOTLAND</t>
        </is>
      </c>
      <c r="F174" t="inlineStr">
        <is>
          <t>Kyrkan</t>
        </is>
      </c>
      <c r="G174" t="n">
        <v>4.1</v>
      </c>
      <c r="H174" t="n">
        <v>1</v>
      </c>
      <c r="I174" t="n">
        <v>0</v>
      </c>
      <c r="J174" t="n">
        <v>1</v>
      </c>
      <c r="K174" t="n">
        <v>0</v>
      </c>
      <c r="L174" t="n">
        <v>0</v>
      </c>
      <c r="M174" t="n">
        <v>0</v>
      </c>
      <c r="N174" t="n">
        <v>0</v>
      </c>
      <c r="O174" t="n">
        <v>1</v>
      </c>
      <c r="P174" t="n">
        <v>0</v>
      </c>
      <c r="Q174" t="n">
        <v>1</v>
      </c>
      <c r="R174" s="2" t="inlineStr">
        <is>
          <t>Dårgräsfjäril</t>
        </is>
      </c>
      <c r="S174">
        <f>HYPERLINK("https://klasma.github.io/Logging_0980/artfynd/A 63576-2021 artfynd.xlsx", "A 63576-2021")</f>
        <v/>
      </c>
      <c r="T174">
        <f>HYPERLINK("https://klasma.github.io/Logging_0980/kartor/A 63576-2021 karta.png", "A 63576-2021")</f>
        <v/>
      </c>
      <c r="V174">
        <f>HYPERLINK("https://klasma.github.io/Logging_0980/klagomål/A 63576-2021 FSC-klagomål.docx", "A 63576-2021")</f>
        <v/>
      </c>
      <c r="W174">
        <f>HYPERLINK("https://klasma.github.io/Logging_0980/klagomålsmail/A 63576-2021 FSC-klagomål mail.docx", "A 63576-2021")</f>
        <v/>
      </c>
      <c r="X174">
        <f>HYPERLINK("https://klasma.github.io/Logging_0980/tillsyn/A 63576-2021 tillsynsbegäran.docx", "A 63576-2021")</f>
        <v/>
      </c>
      <c r="Y174">
        <f>HYPERLINK("https://klasma.github.io/Logging_0980/tillsynsmail/A 63576-2021 tillsynsbegäran mail.docx", "A 63576-2021")</f>
        <v/>
      </c>
    </row>
    <row r="175" ht="15" customHeight="1">
      <c r="A175" t="inlineStr">
        <is>
          <t>A 22883-2024</t>
        </is>
      </c>
      <c r="B175" s="1" t="n">
        <v>45448.66368055555</v>
      </c>
      <c r="C175" s="1" t="n">
        <v>45967</v>
      </c>
      <c r="D175" t="inlineStr">
        <is>
          <t>GOTLANDS LÄN</t>
        </is>
      </c>
      <c r="E175" t="inlineStr">
        <is>
          <t>GOTLAND</t>
        </is>
      </c>
      <c r="G175" t="n">
        <v>0.5</v>
      </c>
      <c r="H175" t="n">
        <v>0</v>
      </c>
      <c r="I175" t="n">
        <v>0</v>
      </c>
      <c r="J175" t="n">
        <v>0</v>
      </c>
      <c r="K175" t="n">
        <v>1</v>
      </c>
      <c r="L175" t="n">
        <v>0</v>
      </c>
      <c r="M175" t="n">
        <v>0</v>
      </c>
      <c r="N175" t="n">
        <v>0</v>
      </c>
      <c r="O175" t="n">
        <v>1</v>
      </c>
      <c r="P175" t="n">
        <v>1</v>
      </c>
      <c r="Q175" t="n">
        <v>1</v>
      </c>
      <c r="R175" s="2" t="inlineStr">
        <is>
          <t>Gotlandsmåra</t>
        </is>
      </c>
      <c r="S175">
        <f>HYPERLINK("https://klasma.github.io/Logging_0980/artfynd/A 22883-2024 artfynd.xlsx", "A 22883-2024")</f>
        <v/>
      </c>
      <c r="T175">
        <f>HYPERLINK("https://klasma.github.io/Logging_0980/kartor/A 22883-2024 karta.png", "A 22883-2024")</f>
        <v/>
      </c>
      <c r="V175">
        <f>HYPERLINK("https://klasma.github.io/Logging_0980/klagomål/A 22883-2024 FSC-klagomål.docx", "A 22883-2024")</f>
        <v/>
      </c>
      <c r="W175">
        <f>HYPERLINK("https://klasma.github.io/Logging_0980/klagomålsmail/A 22883-2024 FSC-klagomål mail.docx", "A 22883-2024")</f>
        <v/>
      </c>
      <c r="X175">
        <f>HYPERLINK("https://klasma.github.io/Logging_0980/tillsyn/A 22883-2024 tillsynsbegäran.docx", "A 22883-2024")</f>
        <v/>
      </c>
      <c r="Y175">
        <f>HYPERLINK("https://klasma.github.io/Logging_0980/tillsynsmail/A 22883-2024 tillsynsbegäran mail.docx", "A 22883-2024")</f>
        <v/>
      </c>
    </row>
    <row r="176" ht="15" customHeight="1">
      <c r="A176" t="inlineStr">
        <is>
          <t>A 35467-2021</t>
        </is>
      </c>
      <c r="B176" s="1" t="n">
        <v>44385</v>
      </c>
      <c r="C176" s="1" t="n">
        <v>45967</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64700-2021</t>
        </is>
      </c>
      <c r="B177" s="1" t="n">
        <v>44511</v>
      </c>
      <c r="C177" s="1" t="n">
        <v>45967</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26461-2025</t>
        </is>
      </c>
      <c r="B178" s="1" t="n">
        <v>45807.43337962963</v>
      </c>
      <c r="C178" s="1" t="n">
        <v>45967</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44619-2025</t>
        </is>
      </c>
      <c r="B179" s="1" t="n">
        <v>45917</v>
      </c>
      <c r="C179" s="1" t="n">
        <v>45967</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Ögonpyrola</t>
        </is>
      </c>
      <c r="S179">
        <f>HYPERLINK("https://klasma.github.io/Logging_0980/artfynd/A 44619-2025 artfynd.xlsx", "A 44619-2025")</f>
        <v/>
      </c>
      <c r="T179">
        <f>HYPERLINK("https://klasma.github.io/Logging_0980/kartor/A 44619-2025 karta.png", "A 44619-2025")</f>
        <v/>
      </c>
      <c r="V179">
        <f>HYPERLINK("https://klasma.github.io/Logging_0980/klagomål/A 44619-2025 FSC-klagomål.docx", "A 44619-2025")</f>
        <v/>
      </c>
      <c r="W179">
        <f>HYPERLINK("https://klasma.github.io/Logging_0980/klagomålsmail/A 44619-2025 FSC-klagomål mail.docx", "A 44619-2025")</f>
        <v/>
      </c>
      <c r="X179">
        <f>HYPERLINK("https://klasma.github.io/Logging_0980/tillsyn/A 44619-2025 tillsynsbegäran.docx", "A 44619-2025")</f>
        <v/>
      </c>
      <c r="Y179">
        <f>HYPERLINK("https://klasma.github.io/Logging_0980/tillsynsmail/A 44619-2025 tillsynsbegäran mail.docx", "A 44619-2025")</f>
        <v/>
      </c>
    </row>
    <row r="180" ht="15" customHeight="1">
      <c r="A180" t="inlineStr">
        <is>
          <t>A 27589-2023</t>
        </is>
      </c>
      <c r="B180" s="1" t="n">
        <v>45097</v>
      </c>
      <c r="C180" s="1" t="n">
        <v>45967</v>
      </c>
      <c r="D180" t="inlineStr">
        <is>
          <t>GOTLANDS LÄN</t>
        </is>
      </c>
      <c r="E180" t="inlineStr">
        <is>
          <t>GOTLAND</t>
        </is>
      </c>
      <c r="G180" t="n">
        <v>5.4</v>
      </c>
      <c r="H180" t="n">
        <v>0</v>
      </c>
      <c r="I180" t="n">
        <v>0</v>
      </c>
      <c r="J180" t="n">
        <v>0</v>
      </c>
      <c r="K180" t="n">
        <v>0</v>
      </c>
      <c r="L180" t="n">
        <v>0</v>
      </c>
      <c r="M180" t="n">
        <v>1</v>
      </c>
      <c r="N180" t="n">
        <v>0</v>
      </c>
      <c r="O180" t="n">
        <v>1</v>
      </c>
      <c r="P180" t="n">
        <v>1</v>
      </c>
      <c r="Q180" t="n">
        <v>1</v>
      </c>
      <c r="R180" s="2" t="inlineStr">
        <is>
          <t>Skogsalm</t>
        </is>
      </c>
      <c r="S180">
        <f>HYPERLINK("https://klasma.github.io/Logging_0980/artfynd/A 27589-2023 artfynd.xlsx", "A 27589-2023")</f>
        <v/>
      </c>
      <c r="T180">
        <f>HYPERLINK("https://klasma.github.io/Logging_0980/kartor/A 27589-2023 karta.png", "A 27589-2023")</f>
        <v/>
      </c>
      <c r="V180">
        <f>HYPERLINK("https://klasma.github.io/Logging_0980/klagomål/A 27589-2023 FSC-klagomål.docx", "A 27589-2023")</f>
        <v/>
      </c>
      <c r="W180">
        <f>HYPERLINK("https://klasma.github.io/Logging_0980/klagomålsmail/A 27589-2023 FSC-klagomål mail.docx", "A 27589-2023")</f>
        <v/>
      </c>
      <c r="X180">
        <f>HYPERLINK("https://klasma.github.io/Logging_0980/tillsyn/A 27589-2023 tillsynsbegäran.docx", "A 27589-2023")</f>
        <v/>
      </c>
      <c r="Y180">
        <f>HYPERLINK("https://klasma.github.io/Logging_0980/tillsynsmail/A 27589-2023 tillsynsbegäran mail.docx", "A 27589-2023")</f>
        <v/>
      </c>
    </row>
    <row r="181" ht="15" customHeight="1">
      <c r="A181" t="inlineStr">
        <is>
          <t>A 24245-2022</t>
        </is>
      </c>
      <c r="B181" s="1" t="n">
        <v>44725</v>
      </c>
      <c r="C181" s="1" t="n">
        <v>45967</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45967</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45967</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45967</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34141-2024</t>
        </is>
      </c>
      <c r="B185" s="1" t="n">
        <v>45524.36229166666</v>
      </c>
      <c r="C185" s="1" t="n">
        <v>45967</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45967</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12924-2025</t>
        </is>
      </c>
      <c r="B187" s="1" t="n">
        <v>45734</v>
      </c>
      <c r="C187" s="1" t="n">
        <v>45967</v>
      </c>
      <c r="D187" t="inlineStr">
        <is>
          <t>GOTLANDS LÄN</t>
        </is>
      </c>
      <c r="E187" t="inlineStr">
        <is>
          <t>GOTLAND</t>
        </is>
      </c>
      <c r="G187" t="n">
        <v>11.7</v>
      </c>
      <c r="H187" t="n">
        <v>0</v>
      </c>
      <c r="I187" t="n">
        <v>0</v>
      </c>
      <c r="J187" t="n">
        <v>0</v>
      </c>
      <c r="K187" t="n">
        <v>1</v>
      </c>
      <c r="L187" t="n">
        <v>0</v>
      </c>
      <c r="M187" t="n">
        <v>0</v>
      </c>
      <c r="N187" t="n">
        <v>0</v>
      </c>
      <c r="O187" t="n">
        <v>1</v>
      </c>
      <c r="P187" t="n">
        <v>1</v>
      </c>
      <c r="Q187" t="n">
        <v>1</v>
      </c>
      <c r="R187" s="2" t="inlineStr">
        <is>
          <t>Gotlandsmåra</t>
        </is>
      </c>
      <c r="S187">
        <f>HYPERLINK("https://klasma.github.io/Logging_0980/artfynd/A 12924-2025 artfynd.xlsx", "A 12924-2025")</f>
        <v/>
      </c>
      <c r="T187">
        <f>HYPERLINK("https://klasma.github.io/Logging_0980/kartor/A 12924-2025 karta.png", "A 12924-2025")</f>
        <v/>
      </c>
      <c r="V187">
        <f>HYPERLINK("https://klasma.github.io/Logging_0980/klagomål/A 12924-2025 FSC-klagomål.docx", "A 12924-2025")</f>
        <v/>
      </c>
      <c r="W187">
        <f>HYPERLINK("https://klasma.github.io/Logging_0980/klagomålsmail/A 12924-2025 FSC-klagomål mail.docx", "A 12924-2025")</f>
        <v/>
      </c>
      <c r="X187">
        <f>HYPERLINK("https://klasma.github.io/Logging_0980/tillsyn/A 12924-2025 tillsynsbegäran.docx", "A 12924-2025")</f>
        <v/>
      </c>
      <c r="Y187">
        <f>HYPERLINK("https://klasma.github.io/Logging_0980/tillsynsmail/A 12924-2025 tillsynsbegäran mail.docx", "A 12924-2025")</f>
        <v/>
      </c>
    </row>
    <row r="188" ht="15" customHeight="1">
      <c r="A188" t="inlineStr">
        <is>
          <t>A 19901-2021</t>
        </is>
      </c>
      <c r="B188" s="1" t="n">
        <v>44312</v>
      </c>
      <c r="C188" s="1" t="n">
        <v>45967</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45967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45967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45967</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45967</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45967</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45967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45967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45967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45967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45967</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45967</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45967</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45967</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45967</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16858-2022</t>
        </is>
      </c>
      <c r="B208" s="1" t="n">
        <v>44674.62</v>
      </c>
      <c r="C208" s="1" t="n">
        <v>45967</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45967</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45967</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45967</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45967</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45967</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45967</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45967</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45967</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45967</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45967</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45967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45967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11029-2022</t>
        </is>
      </c>
      <c r="B222" s="1" t="n">
        <v>44628</v>
      </c>
      <c r="C222" s="1" t="n">
        <v>45967</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45967</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31239-2022</t>
        </is>
      </c>
      <c r="B224" s="1" t="n">
        <v>44771.49383101852</v>
      </c>
      <c r="C224" s="1" t="n">
        <v>45967</v>
      </c>
      <c r="D224" t="inlineStr">
        <is>
          <t>GOTLANDS LÄN</t>
        </is>
      </c>
      <c r="E224" t="inlineStr">
        <is>
          <t>GOTLAND</t>
        </is>
      </c>
      <c r="G224" t="n">
        <v>1.9</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45967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58224-2021</t>
        </is>
      </c>
      <c r="B226" s="1" t="n">
        <v>44487</v>
      </c>
      <c r="C226" s="1" t="n">
        <v>45967</v>
      </c>
      <c r="D226" t="inlineStr">
        <is>
          <t>GOTLANDS LÄN</t>
        </is>
      </c>
      <c r="E226" t="inlineStr">
        <is>
          <t>GOTLAND</t>
        </is>
      </c>
      <c r="G226" t="n">
        <v>1.4</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45967</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58815-2021</t>
        </is>
      </c>
      <c r="B228" s="1" t="n">
        <v>44489</v>
      </c>
      <c r="C228" s="1" t="n">
        <v>45967</v>
      </c>
      <c r="D228" t="inlineStr">
        <is>
          <t>GOTLANDS LÄN</t>
        </is>
      </c>
      <c r="E228" t="inlineStr">
        <is>
          <t>GOTLAND</t>
        </is>
      </c>
      <c r="G228" t="n">
        <v>4.1</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45967</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22155-2021</t>
        </is>
      </c>
      <c r="B230" s="1" t="n">
        <v>44325.49369212963</v>
      </c>
      <c r="C230" s="1" t="n">
        <v>45967</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45967</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65393-2021</t>
        </is>
      </c>
      <c r="B232" s="1" t="n">
        <v>44515</v>
      </c>
      <c r="C232" s="1" t="n">
        <v>45967</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62120-2020</t>
        </is>
      </c>
      <c r="B233" s="1" t="n">
        <v>44158</v>
      </c>
      <c r="C233" s="1" t="n">
        <v>45967</v>
      </c>
      <c r="D233" t="inlineStr">
        <is>
          <t>GOTLANDS LÄN</t>
        </is>
      </c>
      <c r="E233" t="inlineStr">
        <is>
          <t>GOTLAND</t>
        </is>
      </c>
      <c r="G233" t="n">
        <v>2.3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45967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23910-2021</t>
        </is>
      </c>
      <c r="B235" s="1" t="n">
        <v>44335</v>
      </c>
      <c r="C235" s="1" t="n">
        <v>45967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71010-2021</t>
        </is>
      </c>
      <c r="B236" s="1" t="n">
        <v>44538.63775462963</v>
      </c>
      <c r="C236" s="1" t="n">
        <v>45967</v>
      </c>
      <c r="D236" t="inlineStr">
        <is>
          <t>GOTLANDS LÄN</t>
        </is>
      </c>
      <c r="E236" t="inlineStr">
        <is>
          <t>GOTLAND</t>
        </is>
      </c>
      <c r="G236" t="n">
        <v>0.5</v>
      </c>
      <c r="H236" t="n">
        <v>0</v>
      </c>
      <c r="I236" t="n">
        <v>0</v>
      </c>
      <c r="J236" t="n">
        <v>0</v>
      </c>
      <c r="K236" t="n">
        <v>0</v>
      </c>
      <c r="L236" t="n">
        <v>0</v>
      </c>
      <c r="M236" t="n">
        <v>0</v>
      </c>
      <c r="N236" t="n">
        <v>0</v>
      </c>
      <c r="O236" t="n">
        <v>0</v>
      </c>
      <c r="P236" t="n">
        <v>0</v>
      </c>
      <c r="Q236" t="n">
        <v>0</v>
      </c>
      <c r="R236" s="2" t="inlineStr"/>
    </row>
    <row r="237" ht="15" customHeight="1">
      <c r="A237" t="inlineStr">
        <is>
          <t>A 13498-2022</t>
        </is>
      </c>
      <c r="B237" s="1" t="n">
        <v>44647.78866898148</v>
      </c>
      <c r="C237" s="1" t="n">
        <v>45967</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13500-2022</t>
        </is>
      </c>
      <c r="B238" s="1" t="n">
        <v>44647.79513888889</v>
      </c>
      <c r="C238" s="1" t="n">
        <v>45967</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64380-2020</t>
        </is>
      </c>
      <c r="B239" s="1" t="n">
        <v>44168.60128472222</v>
      </c>
      <c r="C239" s="1" t="n">
        <v>45967</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2608-2021</t>
        </is>
      </c>
      <c r="B240" s="1" t="n">
        <v>44214</v>
      </c>
      <c r="C240" s="1" t="n">
        <v>45967</v>
      </c>
      <c r="D240" t="inlineStr">
        <is>
          <t>GOTLANDS LÄN</t>
        </is>
      </c>
      <c r="E240" t="inlineStr">
        <is>
          <t>GOTLAND</t>
        </is>
      </c>
      <c r="G240" t="n">
        <v>3.9</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45967</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56951-2021</t>
        </is>
      </c>
      <c r="B242" s="1" t="n">
        <v>44482.37388888889</v>
      </c>
      <c r="C242" s="1" t="n">
        <v>45967</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21507-2021</t>
        </is>
      </c>
      <c r="B243" s="1" t="n">
        <v>44321</v>
      </c>
      <c r="C243" s="1" t="n">
        <v>45967</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57219-2021</t>
        </is>
      </c>
      <c r="B244" s="1" t="n">
        <v>44483</v>
      </c>
      <c r="C244" s="1" t="n">
        <v>45967</v>
      </c>
      <c r="D244" t="inlineStr">
        <is>
          <t>GOTLANDS LÄN</t>
        </is>
      </c>
      <c r="E244" t="inlineStr">
        <is>
          <t>GOTLAND</t>
        </is>
      </c>
      <c r="F244" t="inlineStr">
        <is>
          <t>Kyrkan</t>
        </is>
      </c>
      <c r="G244" t="n">
        <v>4</v>
      </c>
      <c r="H244" t="n">
        <v>0</v>
      </c>
      <c r="I244" t="n">
        <v>0</v>
      </c>
      <c r="J244" t="n">
        <v>0</v>
      </c>
      <c r="K244" t="n">
        <v>0</v>
      </c>
      <c r="L244" t="n">
        <v>0</v>
      </c>
      <c r="M244" t="n">
        <v>0</v>
      </c>
      <c r="N244" t="n">
        <v>0</v>
      </c>
      <c r="O244" t="n">
        <v>0</v>
      </c>
      <c r="P244" t="n">
        <v>0</v>
      </c>
      <c r="Q244" t="n">
        <v>0</v>
      </c>
      <c r="R244" s="2" t="inlineStr"/>
    </row>
    <row r="245" ht="15" customHeight="1">
      <c r="A245" t="inlineStr">
        <is>
          <t>A 1677-2023</t>
        </is>
      </c>
      <c r="B245" s="1" t="n">
        <v>44938</v>
      </c>
      <c r="C245" s="1" t="n">
        <v>45967</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45967</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45244-2024</t>
        </is>
      </c>
      <c r="B247" s="1" t="n">
        <v>45576</v>
      </c>
      <c r="C247" s="1" t="n">
        <v>45967</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45967</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45967</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64969-2023</t>
        </is>
      </c>
      <c r="B250" s="1" t="n">
        <v>45284.54009259259</v>
      </c>
      <c r="C250" s="1" t="n">
        <v>45967</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48843-2024</t>
        </is>
      </c>
      <c r="B251" s="1" t="n">
        <v>45593</v>
      </c>
      <c r="C251" s="1" t="n">
        <v>45967</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45967</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17541-2024</t>
        </is>
      </c>
      <c r="B253" s="1" t="n">
        <v>45415</v>
      </c>
      <c r="C253" s="1" t="n">
        <v>45967</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45967</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30365-2024</t>
        </is>
      </c>
      <c r="B255" s="1" t="n">
        <v>45491.3716087963</v>
      </c>
      <c r="C255" s="1" t="n">
        <v>45967</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2241-2025</t>
        </is>
      </c>
      <c r="B256" s="1" t="n">
        <v>45673.48710648148</v>
      </c>
      <c r="C256" s="1" t="n">
        <v>45967</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1681-2023</t>
        </is>
      </c>
      <c r="B257" s="1" t="n">
        <v>44938.39715277778</v>
      </c>
      <c r="C257" s="1" t="n">
        <v>45967</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32330-2024</t>
        </is>
      </c>
      <c r="B258" s="1" t="n">
        <v>45512</v>
      </c>
      <c r="C258" s="1" t="n">
        <v>45967</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15434-2024</t>
        </is>
      </c>
      <c r="B259" s="1" t="n">
        <v>45401.38836805556</v>
      </c>
      <c r="C259" s="1" t="n">
        <v>45967</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9613-2025</t>
        </is>
      </c>
      <c r="B260" s="1" t="n">
        <v>45715</v>
      </c>
      <c r="C260" s="1" t="n">
        <v>45967</v>
      </c>
      <c r="D260" t="inlineStr">
        <is>
          <t>GOTLANDS LÄN</t>
        </is>
      </c>
      <c r="E260" t="inlineStr">
        <is>
          <t>GOTLAND</t>
        </is>
      </c>
      <c r="G260" t="n">
        <v>3.5</v>
      </c>
      <c r="H260" t="n">
        <v>0</v>
      </c>
      <c r="I260" t="n">
        <v>0</v>
      </c>
      <c r="J260" t="n">
        <v>0</v>
      </c>
      <c r="K260" t="n">
        <v>0</v>
      </c>
      <c r="L260" t="n">
        <v>0</v>
      </c>
      <c r="M260" t="n">
        <v>0</v>
      </c>
      <c r="N260" t="n">
        <v>0</v>
      </c>
      <c r="O260" t="n">
        <v>0</v>
      </c>
      <c r="P260" t="n">
        <v>0</v>
      </c>
      <c r="Q260" t="n">
        <v>0</v>
      </c>
      <c r="R260" s="2" t="inlineStr"/>
    </row>
    <row r="261" ht="15" customHeight="1">
      <c r="A261" t="inlineStr">
        <is>
          <t>A 6099-2024</t>
        </is>
      </c>
      <c r="B261" s="1" t="n">
        <v>45337</v>
      </c>
      <c r="C261" s="1" t="n">
        <v>45967</v>
      </c>
      <c r="D261" t="inlineStr">
        <is>
          <t>GOTLANDS LÄN</t>
        </is>
      </c>
      <c r="E261" t="inlineStr">
        <is>
          <t>GOTLAND</t>
        </is>
      </c>
      <c r="G261" t="n">
        <v>12.6</v>
      </c>
      <c r="H261" t="n">
        <v>0</v>
      </c>
      <c r="I261" t="n">
        <v>0</v>
      </c>
      <c r="J261" t="n">
        <v>0</v>
      </c>
      <c r="K261" t="n">
        <v>0</v>
      </c>
      <c r="L261" t="n">
        <v>0</v>
      </c>
      <c r="M261" t="n">
        <v>0</v>
      </c>
      <c r="N261" t="n">
        <v>0</v>
      </c>
      <c r="O261" t="n">
        <v>0</v>
      </c>
      <c r="P261" t="n">
        <v>0</v>
      </c>
      <c r="Q261" t="n">
        <v>0</v>
      </c>
      <c r="R261" s="2" t="inlineStr"/>
    </row>
    <row r="262" ht="15" customHeight="1">
      <c r="A262" t="inlineStr">
        <is>
          <t>A 15595-2024</t>
        </is>
      </c>
      <c r="B262" s="1" t="n">
        <v>45401.81480324074</v>
      </c>
      <c r="C262" s="1" t="n">
        <v>45967</v>
      </c>
      <c r="D262" t="inlineStr">
        <is>
          <t>GOTLANDS LÄN</t>
        </is>
      </c>
      <c r="E262" t="inlineStr">
        <is>
          <t>GOTLAND</t>
        </is>
      </c>
      <c r="G262" t="n">
        <v>6.4</v>
      </c>
      <c r="H262" t="n">
        <v>0</v>
      </c>
      <c r="I262" t="n">
        <v>0</v>
      </c>
      <c r="J262" t="n">
        <v>0</v>
      </c>
      <c r="K262" t="n">
        <v>0</v>
      </c>
      <c r="L262" t="n">
        <v>0</v>
      </c>
      <c r="M262" t="n">
        <v>0</v>
      </c>
      <c r="N262" t="n">
        <v>0</v>
      </c>
      <c r="O262" t="n">
        <v>0</v>
      </c>
      <c r="P262" t="n">
        <v>0</v>
      </c>
      <c r="Q262" t="n">
        <v>0</v>
      </c>
      <c r="R262" s="2" t="inlineStr"/>
    </row>
    <row r="263" ht="15" customHeight="1">
      <c r="A263" t="inlineStr">
        <is>
          <t>A 1273-2023</t>
        </is>
      </c>
      <c r="B263" s="1" t="n">
        <v>44936</v>
      </c>
      <c r="C263" s="1" t="n">
        <v>45967</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5943-2024</t>
        </is>
      </c>
      <c r="B264" s="1" t="n">
        <v>45336</v>
      </c>
      <c r="C264" s="1" t="n">
        <v>45967</v>
      </c>
      <c r="D264" t="inlineStr">
        <is>
          <t>GOTLANDS LÄN</t>
        </is>
      </c>
      <c r="E264" t="inlineStr">
        <is>
          <t>GOTLAND</t>
        </is>
      </c>
      <c r="G264" t="n">
        <v>4.3</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45967</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54073-2022</t>
        </is>
      </c>
      <c r="B266" s="1" t="n">
        <v>44881.50380787037</v>
      </c>
      <c r="C266" s="1" t="n">
        <v>45967</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16361-2024</t>
        </is>
      </c>
      <c r="B267" s="1" t="n">
        <v>45407</v>
      </c>
      <c r="C267" s="1" t="n">
        <v>45967</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58780-2024</t>
        </is>
      </c>
      <c r="B268" s="1" t="n">
        <v>45635.84113425926</v>
      </c>
      <c r="C268" s="1" t="n">
        <v>45967</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41038-2023</t>
        </is>
      </c>
      <c r="B269" s="1" t="n">
        <v>45173.60959490741</v>
      </c>
      <c r="C269" s="1" t="n">
        <v>45967</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45692-2023</t>
        </is>
      </c>
      <c r="B270" s="1" t="n">
        <v>45195</v>
      </c>
      <c r="C270" s="1" t="n">
        <v>45967</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33876-2024</t>
        </is>
      </c>
      <c r="B271" s="1" t="n">
        <v>45521.87988425926</v>
      </c>
      <c r="C271" s="1" t="n">
        <v>45967</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28285-2024</t>
        </is>
      </c>
      <c r="B272" s="1" t="n">
        <v>45477</v>
      </c>
      <c r="C272" s="1" t="n">
        <v>45967</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61100-2022</t>
        </is>
      </c>
      <c r="B273" s="1" t="n">
        <v>44915</v>
      </c>
      <c r="C273" s="1" t="n">
        <v>45967</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61682-2024</t>
        </is>
      </c>
      <c r="B274" s="1" t="n">
        <v>45647.48824074074</v>
      </c>
      <c r="C274" s="1" t="n">
        <v>45967</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45967</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53935-2024</t>
        </is>
      </c>
      <c r="B276" s="1" t="n">
        <v>45615</v>
      </c>
      <c r="C276" s="1" t="n">
        <v>45967</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46189-2022</t>
        </is>
      </c>
      <c r="B277" s="1" t="n">
        <v>44847</v>
      </c>
      <c r="C277" s="1" t="n">
        <v>45967</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18223-2025</t>
        </is>
      </c>
      <c r="B278" s="1" t="n">
        <v>45761</v>
      </c>
      <c r="C278" s="1" t="n">
        <v>45967</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4420-2025</t>
        </is>
      </c>
      <c r="B279" s="1" t="n">
        <v>45686.47157407407</v>
      </c>
      <c r="C279" s="1" t="n">
        <v>45967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14427-2024</t>
        </is>
      </c>
      <c r="B280" s="1" t="n">
        <v>45394</v>
      </c>
      <c r="C280" s="1" t="n">
        <v>45967</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31802-2024</t>
        </is>
      </c>
      <c r="B281" s="1" t="n">
        <v>45509</v>
      </c>
      <c r="C281" s="1" t="n">
        <v>45967</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5891-2025</t>
        </is>
      </c>
      <c r="B282" s="1" t="n">
        <v>45695.38327546296</v>
      </c>
      <c r="C282" s="1" t="n">
        <v>45967</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8036-2022</t>
        </is>
      </c>
      <c r="B283" s="1" t="n">
        <v>44609.44362268518</v>
      </c>
      <c r="C283" s="1" t="n">
        <v>45967</v>
      </c>
      <c r="D283" t="inlineStr">
        <is>
          <t>GOTLANDS LÄN</t>
        </is>
      </c>
      <c r="E283" t="inlineStr">
        <is>
          <t>GOTLAND</t>
        </is>
      </c>
      <c r="G283" t="n">
        <v>6.1</v>
      </c>
      <c r="H283" t="n">
        <v>0</v>
      </c>
      <c r="I283" t="n">
        <v>0</v>
      </c>
      <c r="J283" t="n">
        <v>0</v>
      </c>
      <c r="K283" t="n">
        <v>0</v>
      </c>
      <c r="L283" t="n">
        <v>0</v>
      </c>
      <c r="M283" t="n">
        <v>0</v>
      </c>
      <c r="N283" t="n">
        <v>0</v>
      </c>
      <c r="O283" t="n">
        <v>0</v>
      </c>
      <c r="P283" t="n">
        <v>0</v>
      </c>
      <c r="Q283" t="n">
        <v>0</v>
      </c>
      <c r="R283" s="2" t="inlineStr"/>
    </row>
    <row r="284" ht="15" customHeight="1">
      <c r="A284" t="inlineStr">
        <is>
          <t>A 12846-2025</t>
        </is>
      </c>
      <c r="B284" s="1" t="n">
        <v>45733.65049768519</v>
      </c>
      <c r="C284" s="1" t="n">
        <v>45967</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22031-2024</t>
        </is>
      </c>
      <c r="B285" s="1" t="n">
        <v>45443.60075231481</v>
      </c>
      <c r="C285" s="1" t="n">
        <v>45967</v>
      </c>
      <c r="D285" t="inlineStr">
        <is>
          <t>GOTLANDS LÄN</t>
        </is>
      </c>
      <c r="E285" t="inlineStr">
        <is>
          <t>GOTLAND</t>
        </is>
      </c>
      <c r="G285" t="n">
        <v>2.3</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45967</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49314-2024</t>
        </is>
      </c>
      <c r="B287" s="1" t="n">
        <v>45595.55893518519</v>
      </c>
      <c r="C287" s="1" t="n">
        <v>45967</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21792-2024</t>
        </is>
      </c>
      <c r="B288" s="1" t="n">
        <v>45442.64326388889</v>
      </c>
      <c r="C288" s="1" t="n">
        <v>45967</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44919-2022</t>
        </is>
      </c>
      <c r="B289" s="1" t="n">
        <v>44841</v>
      </c>
      <c r="C289" s="1" t="n">
        <v>45967</v>
      </c>
      <c r="D289" t="inlineStr">
        <is>
          <t>GOTLANDS LÄN</t>
        </is>
      </c>
      <c r="E289" t="inlineStr">
        <is>
          <t>GOTLAND</t>
        </is>
      </c>
      <c r="G289" t="n">
        <v>2.2</v>
      </c>
      <c r="H289" t="n">
        <v>0</v>
      </c>
      <c r="I289" t="n">
        <v>0</v>
      </c>
      <c r="J289" t="n">
        <v>0</v>
      </c>
      <c r="K289" t="n">
        <v>0</v>
      </c>
      <c r="L289" t="n">
        <v>0</v>
      </c>
      <c r="M289" t="n">
        <v>0</v>
      </c>
      <c r="N289" t="n">
        <v>0</v>
      </c>
      <c r="O289" t="n">
        <v>0</v>
      </c>
      <c r="P289" t="n">
        <v>0</v>
      </c>
      <c r="Q289" t="n">
        <v>0</v>
      </c>
      <c r="R289" s="2" t="inlineStr"/>
    </row>
    <row r="290" ht="15" customHeight="1">
      <c r="A290" t="inlineStr">
        <is>
          <t>A 46949-2024</t>
        </is>
      </c>
      <c r="B290" s="1" t="n">
        <v>45585</v>
      </c>
      <c r="C290" s="1" t="n">
        <v>45967</v>
      </c>
      <c r="D290" t="inlineStr">
        <is>
          <t>GOTLANDS LÄN</t>
        </is>
      </c>
      <c r="E290" t="inlineStr">
        <is>
          <t>GOTLAND</t>
        </is>
      </c>
      <c r="G290" t="n">
        <v>0.6</v>
      </c>
      <c r="H290" t="n">
        <v>0</v>
      </c>
      <c r="I290" t="n">
        <v>0</v>
      </c>
      <c r="J290" t="n">
        <v>0</v>
      </c>
      <c r="K290" t="n">
        <v>0</v>
      </c>
      <c r="L290" t="n">
        <v>0</v>
      </c>
      <c r="M290" t="n">
        <v>0</v>
      </c>
      <c r="N290" t="n">
        <v>0</v>
      </c>
      <c r="O290" t="n">
        <v>0</v>
      </c>
      <c r="P290" t="n">
        <v>0</v>
      </c>
      <c r="Q290" t="n">
        <v>0</v>
      </c>
      <c r="R290" s="2" t="inlineStr"/>
    </row>
    <row r="291" ht="15" customHeight="1">
      <c r="A291" t="inlineStr">
        <is>
          <t>A 10650-2022</t>
        </is>
      </c>
      <c r="B291" s="1" t="n">
        <v>44624.57945601852</v>
      </c>
      <c r="C291" s="1" t="n">
        <v>45967</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45967</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48503-2023</t>
        </is>
      </c>
      <c r="B293" s="1" t="n">
        <v>45207</v>
      </c>
      <c r="C293" s="1" t="n">
        <v>45967</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7837-2024</t>
        </is>
      </c>
      <c r="B294" s="1" t="n">
        <v>45349.83787037037</v>
      </c>
      <c r="C294" s="1" t="n">
        <v>45967</v>
      </c>
      <c r="D294" t="inlineStr">
        <is>
          <t>GOTLANDS LÄN</t>
        </is>
      </c>
      <c r="E294" t="inlineStr">
        <is>
          <t>GOTLAND</t>
        </is>
      </c>
      <c r="G294" t="n">
        <v>5</v>
      </c>
      <c r="H294" t="n">
        <v>0</v>
      </c>
      <c r="I294" t="n">
        <v>0</v>
      </c>
      <c r="J294" t="n">
        <v>0</v>
      </c>
      <c r="K294" t="n">
        <v>0</v>
      </c>
      <c r="L294" t="n">
        <v>0</v>
      </c>
      <c r="M294" t="n">
        <v>0</v>
      </c>
      <c r="N294" t="n">
        <v>0</v>
      </c>
      <c r="O294" t="n">
        <v>0</v>
      </c>
      <c r="P294" t="n">
        <v>0</v>
      </c>
      <c r="Q294" t="n">
        <v>0</v>
      </c>
      <c r="R294" s="2" t="inlineStr"/>
    </row>
    <row r="295" ht="15" customHeight="1">
      <c r="A295" t="inlineStr">
        <is>
          <t>A 65901-2021</t>
        </is>
      </c>
      <c r="B295" s="1" t="n">
        <v>44516</v>
      </c>
      <c r="C295" s="1" t="n">
        <v>45967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4568-2025</t>
        </is>
      </c>
      <c r="B296" s="1" t="n">
        <v>45687</v>
      </c>
      <c r="C296" s="1" t="n">
        <v>45967</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44649-2021</t>
        </is>
      </c>
      <c r="B297" s="1" t="n">
        <v>44437</v>
      </c>
      <c r="C297" s="1" t="n">
        <v>45967</v>
      </c>
      <c r="D297" t="inlineStr">
        <is>
          <t>GOTLANDS LÄN</t>
        </is>
      </c>
      <c r="E297" t="inlineStr">
        <is>
          <t>GOTLAND</t>
        </is>
      </c>
      <c r="G297" t="n">
        <v>8.1</v>
      </c>
      <c r="H297" t="n">
        <v>0</v>
      </c>
      <c r="I297" t="n">
        <v>0</v>
      </c>
      <c r="J297" t="n">
        <v>0</v>
      </c>
      <c r="K297" t="n">
        <v>0</v>
      </c>
      <c r="L297" t="n">
        <v>0</v>
      </c>
      <c r="M297" t="n">
        <v>0</v>
      </c>
      <c r="N297" t="n">
        <v>0</v>
      </c>
      <c r="O297" t="n">
        <v>0</v>
      </c>
      <c r="P297" t="n">
        <v>0</v>
      </c>
      <c r="Q297" t="n">
        <v>0</v>
      </c>
      <c r="R297" s="2" t="inlineStr"/>
    </row>
    <row r="298" ht="15" customHeight="1">
      <c r="A298" t="inlineStr">
        <is>
          <t>A 11634-2024</t>
        </is>
      </c>
      <c r="B298" s="1" t="n">
        <v>45373</v>
      </c>
      <c r="C298" s="1" t="n">
        <v>45967</v>
      </c>
      <c r="D298" t="inlineStr">
        <is>
          <t>GOTLANDS LÄN</t>
        </is>
      </c>
      <c r="E298" t="inlineStr">
        <is>
          <t>GOTLAND</t>
        </is>
      </c>
      <c r="G298" t="n">
        <v>3</v>
      </c>
      <c r="H298" t="n">
        <v>0</v>
      </c>
      <c r="I298" t="n">
        <v>0</v>
      </c>
      <c r="J298" t="n">
        <v>0</v>
      </c>
      <c r="K298" t="n">
        <v>0</v>
      </c>
      <c r="L298" t="n">
        <v>0</v>
      </c>
      <c r="M298" t="n">
        <v>0</v>
      </c>
      <c r="N298" t="n">
        <v>0</v>
      </c>
      <c r="O298" t="n">
        <v>0</v>
      </c>
      <c r="P298" t="n">
        <v>0</v>
      </c>
      <c r="Q298" t="n">
        <v>0</v>
      </c>
      <c r="R298" s="2" t="inlineStr"/>
    </row>
    <row r="299" ht="15" customHeight="1">
      <c r="A299" t="inlineStr">
        <is>
          <t>A 9947-2024</t>
        </is>
      </c>
      <c r="B299" s="1" t="n">
        <v>45363</v>
      </c>
      <c r="C299" s="1" t="n">
        <v>45967</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44304-2021</t>
        </is>
      </c>
      <c r="B300" s="1" t="n">
        <v>44434</v>
      </c>
      <c r="C300" s="1" t="n">
        <v>45967</v>
      </c>
      <c r="D300" t="inlineStr">
        <is>
          <t>GOTLANDS LÄN</t>
        </is>
      </c>
      <c r="E300" t="inlineStr">
        <is>
          <t>GOTLAND</t>
        </is>
      </c>
      <c r="G300" t="n">
        <v>5.8</v>
      </c>
      <c r="H300" t="n">
        <v>0</v>
      </c>
      <c r="I300" t="n">
        <v>0</v>
      </c>
      <c r="J300" t="n">
        <v>0</v>
      </c>
      <c r="K300" t="n">
        <v>0</v>
      </c>
      <c r="L300" t="n">
        <v>0</v>
      </c>
      <c r="M300" t="n">
        <v>0</v>
      </c>
      <c r="N300" t="n">
        <v>0</v>
      </c>
      <c r="O300" t="n">
        <v>0</v>
      </c>
      <c r="P300" t="n">
        <v>0</v>
      </c>
      <c r="Q300" t="n">
        <v>0</v>
      </c>
      <c r="R300" s="2" t="inlineStr"/>
    </row>
    <row r="301" ht="15" customHeight="1">
      <c r="A301" t="inlineStr">
        <is>
          <t>A 1351-2025</t>
        </is>
      </c>
      <c r="B301" s="1" t="n">
        <v>45667.62246527777</v>
      </c>
      <c r="C301" s="1" t="n">
        <v>45967</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45967</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39496-2022</t>
        </is>
      </c>
      <c r="B303" s="1" t="n">
        <v>44818</v>
      </c>
      <c r="C303" s="1" t="n">
        <v>45967</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45967</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45967</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57522-2022</t>
        </is>
      </c>
      <c r="B306" s="1" t="n">
        <v>44896</v>
      </c>
      <c r="C306" s="1" t="n">
        <v>45967</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49874-2024</t>
        </is>
      </c>
      <c r="B307" s="1" t="n">
        <v>45597.49274305555</v>
      </c>
      <c r="C307" s="1" t="n">
        <v>45967</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1291-2023</t>
        </is>
      </c>
      <c r="B308" s="1" t="n">
        <v>44936.47561342592</v>
      </c>
      <c r="C308" s="1" t="n">
        <v>45967</v>
      </c>
      <c r="D308" t="inlineStr">
        <is>
          <t>GOTLANDS LÄN</t>
        </is>
      </c>
      <c r="E308" t="inlineStr">
        <is>
          <t>GOTLAND</t>
        </is>
      </c>
      <c r="G308" t="n">
        <v>7.4</v>
      </c>
      <c r="H308" t="n">
        <v>0</v>
      </c>
      <c r="I308" t="n">
        <v>0</v>
      </c>
      <c r="J308" t="n">
        <v>0</v>
      </c>
      <c r="K308" t="n">
        <v>0</v>
      </c>
      <c r="L308" t="n">
        <v>0</v>
      </c>
      <c r="M308" t="n">
        <v>0</v>
      </c>
      <c r="N308" t="n">
        <v>0</v>
      </c>
      <c r="O308" t="n">
        <v>0</v>
      </c>
      <c r="P308" t="n">
        <v>0</v>
      </c>
      <c r="Q308" t="n">
        <v>0</v>
      </c>
      <c r="R308" s="2" t="inlineStr"/>
    </row>
    <row r="309" ht="15" customHeight="1">
      <c r="A309" t="inlineStr">
        <is>
          <t>A 42201-2023</t>
        </is>
      </c>
      <c r="B309" s="1" t="n">
        <v>45179</v>
      </c>
      <c r="C309" s="1" t="n">
        <v>45967</v>
      </c>
      <c r="D309" t="inlineStr">
        <is>
          <t>GOTLANDS LÄN</t>
        </is>
      </c>
      <c r="E309" t="inlineStr">
        <is>
          <t>GOTLAND</t>
        </is>
      </c>
      <c r="G309" t="n">
        <v>11.9</v>
      </c>
      <c r="H309" t="n">
        <v>0</v>
      </c>
      <c r="I309" t="n">
        <v>0</v>
      </c>
      <c r="J309" t="n">
        <v>0</v>
      </c>
      <c r="K309" t="n">
        <v>0</v>
      </c>
      <c r="L309" t="n">
        <v>0</v>
      </c>
      <c r="M309" t="n">
        <v>0</v>
      </c>
      <c r="N309" t="n">
        <v>0</v>
      </c>
      <c r="O309" t="n">
        <v>0</v>
      </c>
      <c r="P309" t="n">
        <v>0</v>
      </c>
      <c r="Q309" t="n">
        <v>0</v>
      </c>
      <c r="R309" s="2" t="inlineStr"/>
    </row>
    <row r="310" ht="15" customHeight="1">
      <c r="A310" t="inlineStr">
        <is>
          <t>A 2292-2021</t>
        </is>
      </c>
      <c r="B310" s="1" t="n">
        <v>44212</v>
      </c>
      <c r="C310" s="1" t="n">
        <v>45967</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46400-2023</t>
        </is>
      </c>
      <c r="B311" s="1" t="n">
        <v>45197.49290509259</v>
      </c>
      <c r="C311" s="1" t="n">
        <v>45967</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57652-2023</t>
        </is>
      </c>
      <c r="B312" s="1" t="n">
        <v>45246</v>
      </c>
      <c r="C312" s="1" t="n">
        <v>45967</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45967</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49315-2024</t>
        </is>
      </c>
      <c r="B314" s="1" t="n">
        <v>45595</v>
      </c>
      <c r="C314" s="1" t="n">
        <v>45967</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21164-2024</t>
        </is>
      </c>
      <c r="B315" s="1" t="n">
        <v>45440</v>
      </c>
      <c r="C315" s="1" t="n">
        <v>45967</v>
      </c>
      <c r="D315" t="inlineStr">
        <is>
          <t>GOTLANDS LÄN</t>
        </is>
      </c>
      <c r="E315" t="inlineStr">
        <is>
          <t>GOTLAND</t>
        </is>
      </c>
      <c r="G315" t="n">
        <v>6.3</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45967</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45967</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8045-2022</t>
        </is>
      </c>
      <c r="B318" s="1" t="n">
        <v>44609</v>
      </c>
      <c r="C318" s="1" t="n">
        <v>45967</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2676-2023</t>
        </is>
      </c>
      <c r="B319" s="1" t="n">
        <v>44944</v>
      </c>
      <c r="C319" s="1" t="n">
        <v>45967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20356-2022</t>
        </is>
      </c>
      <c r="B320" s="1" t="n">
        <v>44699</v>
      </c>
      <c r="C320" s="1" t="n">
        <v>45967</v>
      </c>
      <c r="D320" t="inlineStr">
        <is>
          <t>GOTLANDS LÄN</t>
        </is>
      </c>
      <c r="E320" t="inlineStr">
        <is>
          <t>GOTLAND</t>
        </is>
      </c>
      <c r="F320" t="inlineStr">
        <is>
          <t>Övriga Aktiebolag</t>
        </is>
      </c>
      <c r="G320" t="n">
        <v>4.4</v>
      </c>
      <c r="H320" t="n">
        <v>0</v>
      </c>
      <c r="I320" t="n">
        <v>0</v>
      </c>
      <c r="J320" t="n">
        <v>0</v>
      </c>
      <c r="K320" t="n">
        <v>0</v>
      </c>
      <c r="L320" t="n">
        <v>0</v>
      </c>
      <c r="M320" t="n">
        <v>0</v>
      </c>
      <c r="N320" t="n">
        <v>0</v>
      </c>
      <c r="O320" t="n">
        <v>0</v>
      </c>
      <c r="P320" t="n">
        <v>0</v>
      </c>
      <c r="Q320" t="n">
        <v>0</v>
      </c>
      <c r="R320" s="2" t="inlineStr"/>
    </row>
    <row r="321" ht="15" customHeight="1">
      <c r="A321" t="inlineStr">
        <is>
          <t>A 22897-2023</t>
        </is>
      </c>
      <c r="B321" s="1" t="n">
        <v>45072.55239583334</v>
      </c>
      <c r="C321" s="1" t="n">
        <v>45967</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3150-2025</t>
        </is>
      </c>
      <c r="B322" s="1" t="n">
        <v>45679.28974537037</v>
      </c>
      <c r="C322" s="1" t="n">
        <v>45967</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8484-2025</t>
        </is>
      </c>
      <c r="B323" s="1" t="n">
        <v>45709</v>
      </c>
      <c r="C323" s="1" t="n">
        <v>45967</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7635-2025</t>
        </is>
      </c>
      <c r="B324" s="1" t="n">
        <v>45705</v>
      </c>
      <c r="C324" s="1" t="n">
        <v>45967</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7636-2025</t>
        </is>
      </c>
      <c r="B325" s="1" t="n">
        <v>45705.7687962963</v>
      </c>
      <c r="C325" s="1" t="n">
        <v>45967</v>
      </c>
      <c r="D325" t="inlineStr">
        <is>
          <t>GOTLANDS LÄN</t>
        </is>
      </c>
      <c r="E325" t="inlineStr">
        <is>
          <t>GOTLAND</t>
        </is>
      </c>
      <c r="G325" t="n">
        <v>0.6</v>
      </c>
      <c r="H325" t="n">
        <v>0</v>
      </c>
      <c r="I325" t="n">
        <v>0</v>
      </c>
      <c r="J325" t="n">
        <v>0</v>
      </c>
      <c r="K325" t="n">
        <v>0</v>
      </c>
      <c r="L325" t="n">
        <v>0</v>
      </c>
      <c r="M325" t="n">
        <v>0</v>
      </c>
      <c r="N325" t="n">
        <v>0</v>
      </c>
      <c r="O325" t="n">
        <v>0</v>
      </c>
      <c r="P325" t="n">
        <v>0</v>
      </c>
      <c r="Q325" t="n">
        <v>0</v>
      </c>
      <c r="R325" s="2" t="inlineStr"/>
    </row>
    <row r="326" ht="15" customHeight="1">
      <c r="A326" t="inlineStr">
        <is>
          <t>A 7639-2025</t>
        </is>
      </c>
      <c r="B326" s="1" t="n">
        <v>45705.77465277778</v>
      </c>
      <c r="C326" s="1" t="n">
        <v>45967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61897-2024</t>
        </is>
      </c>
      <c r="B327" s="1" t="n">
        <v>45652.75685185185</v>
      </c>
      <c r="C327" s="1" t="n">
        <v>45967</v>
      </c>
      <c r="D327" t="inlineStr">
        <is>
          <t>GOTLANDS LÄN</t>
        </is>
      </c>
      <c r="E327" t="inlineStr">
        <is>
          <t>GOTLAND</t>
        </is>
      </c>
      <c r="G327" t="n">
        <v>6.4</v>
      </c>
      <c r="H327" t="n">
        <v>0</v>
      </c>
      <c r="I327" t="n">
        <v>0</v>
      </c>
      <c r="J327" t="n">
        <v>0</v>
      </c>
      <c r="K327" t="n">
        <v>0</v>
      </c>
      <c r="L327" t="n">
        <v>0</v>
      </c>
      <c r="M327" t="n">
        <v>0</v>
      </c>
      <c r="N327" t="n">
        <v>0</v>
      </c>
      <c r="O327" t="n">
        <v>0</v>
      </c>
      <c r="P327" t="n">
        <v>0</v>
      </c>
      <c r="Q327" t="n">
        <v>0</v>
      </c>
      <c r="R327" s="2" t="inlineStr"/>
    </row>
    <row r="328" ht="15" customHeight="1">
      <c r="A328" t="inlineStr">
        <is>
          <t>A 20356-2022</t>
        </is>
      </c>
      <c r="B328" s="1" t="n">
        <v>44699</v>
      </c>
      <c r="C328" s="1" t="n">
        <v>45967</v>
      </c>
      <c r="D328" t="inlineStr">
        <is>
          <t>GOTLANDS LÄN</t>
        </is>
      </c>
      <c r="E328" t="inlineStr">
        <is>
          <t>GOTLAND</t>
        </is>
      </c>
      <c r="F328" t="inlineStr">
        <is>
          <t>Övriga Aktiebolag</t>
        </is>
      </c>
      <c r="G328" t="n">
        <v>4.4</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45967</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45967</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7835-2024</t>
        </is>
      </c>
      <c r="B331" s="1" t="n">
        <v>45349.83138888889</v>
      </c>
      <c r="C331" s="1" t="n">
        <v>45967</v>
      </c>
      <c r="D331" t="inlineStr">
        <is>
          <t>GOTLANDS LÄN</t>
        </is>
      </c>
      <c r="E331" t="inlineStr">
        <is>
          <t>GOTLAND</t>
        </is>
      </c>
      <c r="G331" t="n">
        <v>3.8</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45967</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49962-2023</t>
        </is>
      </c>
      <c r="B333" s="1" t="n">
        <v>45215.38775462963</v>
      </c>
      <c r="C333" s="1" t="n">
        <v>45967</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20165-2022</t>
        </is>
      </c>
      <c r="B334" s="1" t="n">
        <v>44698.49854166667</v>
      </c>
      <c r="C334" s="1" t="n">
        <v>45967</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18993-2025</t>
        </is>
      </c>
      <c r="B335" s="1" t="n">
        <v>45764</v>
      </c>
      <c r="C335" s="1" t="n">
        <v>45967</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40294-2022</t>
        </is>
      </c>
      <c r="B336" s="1" t="n">
        <v>44821</v>
      </c>
      <c r="C336" s="1" t="n">
        <v>45967</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57685-2022</t>
        </is>
      </c>
      <c r="B337" s="1" t="n">
        <v>44897.4777662037</v>
      </c>
      <c r="C337" s="1" t="n">
        <v>45967</v>
      </c>
      <c r="D337" t="inlineStr">
        <is>
          <t>GOTLANDS LÄN</t>
        </is>
      </c>
      <c r="E337" t="inlineStr">
        <is>
          <t>GOTLAND</t>
        </is>
      </c>
      <c r="G337" t="n">
        <v>3.7</v>
      </c>
      <c r="H337" t="n">
        <v>0</v>
      </c>
      <c r="I337" t="n">
        <v>0</v>
      </c>
      <c r="J337" t="n">
        <v>0</v>
      </c>
      <c r="K337" t="n">
        <v>0</v>
      </c>
      <c r="L337" t="n">
        <v>0</v>
      </c>
      <c r="M337" t="n">
        <v>0</v>
      </c>
      <c r="N337" t="n">
        <v>0</v>
      </c>
      <c r="O337" t="n">
        <v>0</v>
      </c>
      <c r="P337" t="n">
        <v>0</v>
      </c>
      <c r="Q337" t="n">
        <v>0</v>
      </c>
      <c r="R337" s="2" t="inlineStr"/>
    </row>
    <row r="338" ht="15" customHeight="1">
      <c r="A338" t="inlineStr">
        <is>
          <t>A 12032-2025</t>
        </is>
      </c>
      <c r="B338" s="1" t="n">
        <v>45728.64472222222</v>
      </c>
      <c r="C338" s="1" t="n">
        <v>45967</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38787-2023</t>
        </is>
      </c>
      <c r="B339" s="1" t="n">
        <v>45163</v>
      </c>
      <c r="C339" s="1" t="n">
        <v>45967</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47147-2025</t>
        </is>
      </c>
      <c r="B340" s="1" t="n">
        <v>45929.71716435185</v>
      </c>
      <c r="C340" s="1" t="n">
        <v>45967</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30815-2023</t>
        </is>
      </c>
      <c r="B341" s="1" t="n">
        <v>45112</v>
      </c>
      <c r="C341" s="1" t="n">
        <v>45967</v>
      </c>
      <c r="D341" t="inlineStr">
        <is>
          <t>GOTLANDS LÄN</t>
        </is>
      </c>
      <c r="E341" t="inlineStr">
        <is>
          <t>GOTLAND</t>
        </is>
      </c>
      <c r="G341" t="n">
        <v>6</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45967</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12599-2025</t>
        </is>
      </c>
      <c r="B343" s="1" t="n">
        <v>45733.29546296296</v>
      </c>
      <c r="C343" s="1" t="n">
        <v>45967</v>
      </c>
      <c r="D343" t="inlineStr">
        <is>
          <t>GOTLANDS LÄN</t>
        </is>
      </c>
      <c r="E343" t="inlineStr">
        <is>
          <t>GOTLAND</t>
        </is>
      </c>
      <c r="G343" t="n">
        <v>4.7</v>
      </c>
      <c r="H343" t="n">
        <v>0</v>
      </c>
      <c r="I343" t="n">
        <v>0</v>
      </c>
      <c r="J343" t="n">
        <v>0</v>
      </c>
      <c r="K343" t="n">
        <v>0</v>
      </c>
      <c r="L343" t="n">
        <v>0</v>
      </c>
      <c r="M343" t="n">
        <v>0</v>
      </c>
      <c r="N343" t="n">
        <v>0</v>
      </c>
      <c r="O343" t="n">
        <v>0</v>
      </c>
      <c r="P343" t="n">
        <v>0</v>
      </c>
      <c r="Q343" t="n">
        <v>0</v>
      </c>
      <c r="R343" s="2" t="inlineStr"/>
    </row>
    <row r="344" ht="15" customHeight="1">
      <c r="A344" t="inlineStr">
        <is>
          <t>A 35141-2025</t>
        </is>
      </c>
      <c r="B344" s="1" t="n">
        <v>45852.65206018519</v>
      </c>
      <c r="C344" s="1" t="n">
        <v>45967</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20794-2025</t>
        </is>
      </c>
      <c r="B345" s="1" t="n">
        <v>45776</v>
      </c>
      <c r="C345" s="1" t="n">
        <v>45967</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7034-2023</t>
        </is>
      </c>
      <c r="B346" s="1" t="n">
        <v>44968.32108796296</v>
      </c>
      <c r="C346" s="1" t="n">
        <v>45967</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7042-2023</t>
        </is>
      </c>
      <c r="B347" s="1" t="n">
        <v>44968</v>
      </c>
      <c r="C347" s="1" t="n">
        <v>45967</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23516-2023</t>
        </is>
      </c>
      <c r="B348" s="1" t="n">
        <v>45076.93391203704</v>
      </c>
      <c r="C348" s="1" t="n">
        <v>45967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43231-2023</t>
        </is>
      </c>
      <c r="B349" s="1" t="n">
        <v>45183.47025462963</v>
      </c>
      <c r="C349" s="1" t="n">
        <v>45967</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45967</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64660-2023</t>
        </is>
      </c>
      <c r="B351" s="1" t="n">
        <v>45281.60122685185</v>
      </c>
      <c r="C351" s="1" t="n">
        <v>45967</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35142-2025</t>
        </is>
      </c>
      <c r="B352" s="1" t="n">
        <v>45852.65532407408</v>
      </c>
      <c r="C352" s="1" t="n">
        <v>45967</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17532-2024</t>
        </is>
      </c>
      <c r="B353" s="1" t="n">
        <v>45415</v>
      </c>
      <c r="C353" s="1" t="n">
        <v>45967</v>
      </c>
      <c r="D353" t="inlineStr">
        <is>
          <t>GOTLANDS LÄN</t>
        </is>
      </c>
      <c r="E353" t="inlineStr">
        <is>
          <t>GOTLAND</t>
        </is>
      </c>
      <c r="G353" t="n">
        <v>4.3</v>
      </c>
      <c r="H353" t="n">
        <v>0</v>
      </c>
      <c r="I353" t="n">
        <v>0</v>
      </c>
      <c r="J353" t="n">
        <v>0</v>
      </c>
      <c r="K353" t="n">
        <v>0</v>
      </c>
      <c r="L353" t="n">
        <v>0</v>
      </c>
      <c r="M353" t="n">
        <v>0</v>
      </c>
      <c r="N353" t="n">
        <v>0</v>
      </c>
      <c r="O353" t="n">
        <v>0</v>
      </c>
      <c r="P353" t="n">
        <v>0</v>
      </c>
      <c r="Q353" t="n">
        <v>0</v>
      </c>
      <c r="R353" s="2" t="inlineStr"/>
    </row>
    <row r="354" ht="15" customHeight="1">
      <c r="A354" t="inlineStr">
        <is>
          <t>A 63763-2023</t>
        </is>
      </c>
      <c r="B354" s="1" t="n">
        <v>45278.33944444444</v>
      </c>
      <c r="C354" s="1" t="n">
        <v>45967</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3935-2025</t>
        </is>
      </c>
      <c r="B355" s="1" t="n">
        <v>45684.46070601852</v>
      </c>
      <c r="C355" s="1" t="n">
        <v>45967</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63229-2021</t>
        </is>
      </c>
      <c r="B356" s="1" t="n">
        <v>44508.34518518519</v>
      </c>
      <c r="C356" s="1" t="n">
        <v>45967</v>
      </c>
      <c r="D356" t="inlineStr">
        <is>
          <t>GOTLANDS LÄN</t>
        </is>
      </c>
      <c r="E356" t="inlineStr">
        <is>
          <t>GOTLAND</t>
        </is>
      </c>
      <c r="F356" t="inlineStr">
        <is>
          <t>Kyrkan</t>
        </is>
      </c>
      <c r="G356" t="n">
        <v>3.8</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45967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45967</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47578-2025</t>
        </is>
      </c>
      <c r="B359" s="1" t="n">
        <v>45931</v>
      </c>
      <c r="C359" s="1" t="n">
        <v>45967</v>
      </c>
      <c r="D359" t="inlineStr">
        <is>
          <t>GOTLANDS LÄN</t>
        </is>
      </c>
      <c r="E359" t="inlineStr">
        <is>
          <t>GOTLAND</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20225-2025</t>
        </is>
      </c>
      <c r="B360" s="1" t="n">
        <v>45772.65802083333</v>
      </c>
      <c r="C360" s="1" t="n">
        <v>45967</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883-2025</t>
        </is>
      </c>
      <c r="B361" s="1" t="n">
        <v>45665</v>
      </c>
      <c r="C361" s="1" t="n">
        <v>45967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20805-2025</t>
        </is>
      </c>
      <c r="B362" s="1" t="n">
        <v>45776</v>
      </c>
      <c r="C362" s="1" t="n">
        <v>45967</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45967</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21389-2025</t>
        </is>
      </c>
      <c r="B364" s="1" t="n">
        <v>45782</v>
      </c>
      <c r="C364" s="1" t="n">
        <v>45967</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39819-2025</t>
        </is>
      </c>
      <c r="B365" s="1" t="n">
        <v>45891.53418981482</v>
      </c>
      <c r="C365" s="1" t="n">
        <v>45967</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1066-2024</t>
        </is>
      </c>
      <c r="B366" s="1" t="n">
        <v>45302.285</v>
      </c>
      <c r="C366" s="1" t="n">
        <v>45967</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20993-2023</t>
        </is>
      </c>
      <c r="B367" s="1" t="n">
        <v>45056</v>
      </c>
      <c r="C367" s="1" t="n">
        <v>45967</v>
      </c>
      <c r="D367" t="inlineStr">
        <is>
          <t>GOTLANDS LÄN</t>
        </is>
      </c>
      <c r="E367" t="inlineStr">
        <is>
          <t>GOTLAND</t>
        </is>
      </c>
      <c r="G367" t="n">
        <v>7.1</v>
      </c>
      <c r="H367" t="n">
        <v>0</v>
      </c>
      <c r="I367" t="n">
        <v>0</v>
      </c>
      <c r="J367" t="n">
        <v>0</v>
      </c>
      <c r="K367" t="n">
        <v>0</v>
      </c>
      <c r="L367" t="n">
        <v>0</v>
      </c>
      <c r="M367" t="n">
        <v>0</v>
      </c>
      <c r="N367" t="n">
        <v>0</v>
      </c>
      <c r="O367" t="n">
        <v>0</v>
      </c>
      <c r="P367" t="n">
        <v>0</v>
      </c>
      <c r="Q367" t="n">
        <v>0</v>
      </c>
      <c r="R367" s="2" t="inlineStr"/>
    </row>
    <row r="368" ht="15" customHeight="1">
      <c r="A368" t="inlineStr">
        <is>
          <t>A 17144-2025</t>
        </is>
      </c>
      <c r="B368" s="1" t="n">
        <v>45755.9499537037</v>
      </c>
      <c r="C368" s="1" t="n">
        <v>45967</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39814-2025</t>
        </is>
      </c>
      <c r="B369" s="1" t="n">
        <v>45891.52694444444</v>
      </c>
      <c r="C369" s="1" t="n">
        <v>45967</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45967</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45967</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39849-2025</t>
        </is>
      </c>
      <c r="B372" s="1" t="n">
        <v>45891.58502314815</v>
      </c>
      <c r="C372" s="1" t="n">
        <v>45967</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45967</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457-2023</t>
        </is>
      </c>
      <c r="B374" s="1" t="n">
        <v>44929.87238425926</v>
      </c>
      <c r="C374" s="1" t="n">
        <v>45967</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459-2023</t>
        </is>
      </c>
      <c r="B375" s="1" t="n">
        <v>44929.87423611111</v>
      </c>
      <c r="C375" s="1" t="n">
        <v>45967</v>
      </c>
      <c r="D375" t="inlineStr">
        <is>
          <t>GOTLANDS LÄN</t>
        </is>
      </c>
      <c r="E375" t="inlineStr">
        <is>
          <t>GOTLAND</t>
        </is>
      </c>
      <c r="G375" t="n">
        <v>4.2</v>
      </c>
      <c r="H375" t="n">
        <v>0</v>
      </c>
      <c r="I375" t="n">
        <v>0</v>
      </c>
      <c r="J375" t="n">
        <v>0</v>
      </c>
      <c r="K375" t="n">
        <v>0</v>
      </c>
      <c r="L375" t="n">
        <v>0</v>
      </c>
      <c r="M375" t="n">
        <v>0</v>
      </c>
      <c r="N375" t="n">
        <v>0</v>
      </c>
      <c r="O375" t="n">
        <v>0</v>
      </c>
      <c r="P375" t="n">
        <v>0</v>
      </c>
      <c r="Q375" t="n">
        <v>0</v>
      </c>
      <c r="R375" s="2" t="inlineStr"/>
    </row>
    <row r="376" ht="15" customHeight="1">
      <c r="A376" t="inlineStr">
        <is>
          <t>A 38234-2023</t>
        </is>
      </c>
      <c r="B376" s="1" t="n">
        <v>45161.56663194444</v>
      </c>
      <c r="C376" s="1" t="n">
        <v>45967</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39752-2025</t>
        </is>
      </c>
      <c r="B377" s="1" t="n">
        <v>45891</v>
      </c>
      <c r="C377" s="1" t="n">
        <v>45967</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56009-2024</t>
        </is>
      </c>
      <c r="B378" s="1" t="n">
        <v>45623.80864583333</v>
      </c>
      <c r="C378" s="1" t="n">
        <v>45967</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45967</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38649-2025</t>
        </is>
      </c>
      <c r="B380" s="1" t="n">
        <v>45884</v>
      </c>
      <c r="C380" s="1" t="n">
        <v>45967</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39816-2025</t>
        </is>
      </c>
      <c r="B381" s="1" t="n">
        <v>45891</v>
      </c>
      <c r="C381" s="1" t="n">
        <v>45967</v>
      </c>
      <c r="D381" t="inlineStr">
        <is>
          <t>GOTLANDS LÄN</t>
        </is>
      </c>
      <c r="E381" t="inlineStr">
        <is>
          <t>GOTLAND</t>
        </is>
      </c>
      <c r="G381" t="n">
        <v>0.9</v>
      </c>
      <c r="H381" t="n">
        <v>0</v>
      </c>
      <c r="I381" t="n">
        <v>0</v>
      </c>
      <c r="J381" t="n">
        <v>0</v>
      </c>
      <c r="K381" t="n">
        <v>0</v>
      </c>
      <c r="L381" t="n">
        <v>0</v>
      </c>
      <c r="M381" t="n">
        <v>0</v>
      </c>
      <c r="N381" t="n">
        <v>0</v>
      </c>
      <c r="O381" t="n">
        <v>0</v>
      </c>
      <c r="P381" t="n">
        <v>0</v>
      </c>
      <c r="Q381" t="n">
        <v>0</v>
      </c>
      <c r="R381" s="2" t="inlineStr"/>
    </row>
    <row r="382" ht="15" customHeight="1">
      <c r="A382" t="inlineStr">
        <is>
          <t>A 40103-2025</t>
        </is>
      </c>
      <c r="B382" s="1" t="n">
        <v>45894.4880324074</v>
      </c>
      <c r="C382" s="1" t="n">
        <v>45967</v>
      </c>
      <c r="D382" t="inlineStr">
        <is>
          <t>GOTLANDS LÄN</t>
        </is>
      </c>
      <c r="E382" t="inlineStr">
        <is>
          <t>GOTLAND</t>
        </is>
      </c>
      <c r="G382" t="n">
        <v>0.9</v>
      </c>
      <c r="H382" t="n">
        <v>0</v>
      </c>
      <c r="I382" t="n">
        <v>0</v>
      </c>
      <c r="J382" t="n">
        <v>0</v>
      </c>
      <c r="K382" t="n">
        <v>0</v>
      </c>
      <c r="L382" t="n">
        <v>0</v>
      </c>
      <c r="M382" t="n">
        <v>0</v>
      </c>
      <c r="N382" t="n">
        <v>0</v>
      </c>
      <c r="O382" t="n">
        <v>0</v>
      </c>
      <c r="P382" t="n">
        <v>0</v>
      </c>
      <c r="Q382" t="n">
        <v>0</v>
      </c>
      <c r="R382" s="2" t="inlineStr"/>
    </row>
    <row r="383" ht="15" customHeight="1">
      <c r="A383" t="inlineStr">
        <is>
          <t>A 40373-2025</t>
        </is>
      </c>
      <c r="B383" s="1" t="n">
        <v>45895.51821759259</v>
      </c>
      <c r="C383" s="1" t="n">
        <v>45967</v>
      </c>
      <c r="D383" t="inlineStr">
        <is>
          <t>GOTLANDS LÄN</t>
        </is>
      </c>
      <c r="E383" t="inlineStr">
        <is>
          <t>GOTLAND</t>
        </is>
      </c>
      <c r="G383" t="n">
        <v>0.6</v>
      </c>
      <c r="H383" t="n">
        <v>0</v>
      </c>
      <c r="I383" t="n">
        <v>0</v>
      </c>
      <c r="J383" t="n">
        <v>0</v>
      </c>
      <c r="K383" t="n">
        <v>0</v>
      </c>
      <c r="L383" t="n">
        <v>0</v>
      </c>
      <c r="M383" t="n">
        <v>0</v>
      </c>
      <c r="N383" t="n">
        <v>0</v>
      </c>
      <c r="O383" t="n">
        <v>0</v>
      </c>
      <c r="P383" t="n">
        <v>0</v>
      </c>
      <c r="Q383" t="n">
        <v>0</v>
      </c>
      <c r="R383" s="2" t="inlineStr"/>
    </row>
    <row r="384" ht="15" customHeight="1">
      <c r="A384" t="inlineStr">
        <is>
          <t>A 42338-2023</t>
        </is>
      </c>
      <c r="B384" s="1" t="n">
        <v>45180</v>
      </c>
      <c r="C384" s="1" t="n">
        <v>45967</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53934-2024</t>
        </is>
      </c>
      <c r="B385" s="1" t="n">
        <v>45615</v>
      </c>
      <c r="C385" s="1" t="n">
        <v>45967</v>
      </c>
      <c r="D385" t="inlineStr">
        <is>
          <t>GOTLANDS LÄN</t>
        </is>
      </c>
      <c r="E385" t="inlineStr">
        <is>
          <t>GOTLAND</t>
        </is>
      </c>
      <c r="G385" t="n">
        <v>5</v>
      </c>
      <c r="H385" t="n">
        <v>0</v>
      </c>
      <c r="I385" t="n">
        <v>0</v>
      </c>
      <c r="J385" t="n">
        <v>0</v>
      </c>
      <c r="K385" t="n">
        <v>0</v>
      </c>
      <c r="L385" t="n">
        <v>0</v>
      </c>
      <c r="M385" t="n">
        <v>0</v>
      </c>
      <c r="N385" t="n">
        <v>0</v>
      </c>
      <c r="O385" t="n">
        <v>0</v>
      </c>
      <c r="P385" t="n">
        <v>0</v>
      </c>
      <c r="Q385" t="n">
        <v>0</v>
      </c>
      <c r="R385" s="2" t="inlineStr"/>
    </row>
    <row r="386" ht="15" customHeight="1">
      <c r="A386" t="inlineStr">
        <is>
          <t>A 40499-2025</t>
        </is>
      </c>
      <c r="B386" s="1" t="n">
        <v>45896.32517361111</v>
      </c>
      <c r="C386" s="1" t="n">
        <v>45967</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45967</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21651-2025</t>
        </is>
      </c>
      <c r="B388" s="1" t="n">
        <v>45783</v>
      </c>
      <c r="C388" s="1" t="n">
        <v>45967</v>
      </c>
      <c r="D388" t="inlineStr">
        <is>
          <t>GOTLANDS LÄN</t>
        </is>
      </c>
      <c r="E388" t="inlineStr">
        <is>
          <t>GOTLAND</t>
        </is>
      </c>
      <c r="G388" t="n">
        <v>4.2</v>
      </c>
      <c r="H388" t="n">
        <v>0</v>
      </c>
      <c r="I388" t="n">
        <v>0</v>
      </c>
      <c r="J388" t="n">
        <v>0</v>
      </c>
      <c r="K388" t="n">
        <v>0</v>
      </c>
      <c r="L388" t="n">
        <v>0</v>
      </c>
      <c r="M388" t="n">
        <v>0</v>
      </c>
      <c r="N388" t="n">
        <v>0</v>
      </c>
      <c r="O388" t="n">
        <v>0</v>
      </c>
      <c r="P388" t="n">
        <v>0</v>
      </c>
      <c r="Q388" t="n">
        <v>0</v>
      </c>
      <c r="R388" s="2" t="inlineStr"/>
    </row>
    <row r="389" ht="15" customHeight="1">
      <c r="A389" t="inlineStr">
        <is>
          <t>A 1446-2025</t>
        </is>
      </c>
      <c r="B389" s="1" t="n">
        <v>45669.86035879629</v>
      </c>
      <c r="C389" s="1" t="n">
        <v>45967</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39278-2025</t>
        </is>
      </c>
      <c r="B390" s="1" t="n">
        <v>45889</v>
      </c>
      <c r="C390" s="1" t="n">
        <v>45967</v>
      </c>
      <c r="D390" t="inlineStr">
        <is>
          <t>GOTLANDS LÄN</t>
        </is>
      </c>
      <c r="E390" t="inlineStr">
        <is>
          <t>GOTLAND</t>
        </is>
      </c>
      <c r="G390" t="n">
        <v>3.7</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45967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581-2023</t>
        </is>
      </c>
      <c r="B392" s="1" t="n">
        <v>44930</v>
      </c>
      <c r="C392" s="1" t="n">
        <v>45967</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45967</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45967</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61386-2023</t>
        </is>
      </c>
      <c r="B395" s="1" t="n">
        <v>45264</v>
      </c>
      <c r="C395" s="1" t="n">
        <v>45967</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10746-2025</t>
        </is>
      </c>
      <c r="B396" s="1" t="n">
        <v>45722.42766203704</v>
      </c>
      <c r="C396" s="1" t="n">
        <v>45967</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45967</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49724-2025</t>
        </is>
      </c>
      <c r="B398" s="1" t="n">
        <v>45939.83730324074</v>
      </c>
      <c r="C398" s="1" t="n">
        <v>45967</v>
      </c>
      <c r="D398" t="inlineStr">
        <is>
          <t>GOTLANDS LÄN</t>
        </is>
      </c>
      <c r="E398" t="inlineStr">
        <is>
          <t>GOTLAND</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49730-2025</t>
        </is>
      </c>
      <c r="B399" s="1" t="n">
        <v>45939.87613425926</v>
      </c>
      <c r="C399" s="1" t="n">
        <v>45967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873-2024</t>
        </is>
      </c>
      <c r="B400" s="1" t="n">
        <v>45301</v>
      </c>
      <c r="C400" s="1" t="n">
        <v>45967</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49411-2023</t>
        </is>
      </c>
      <c r="B401" s="1" t="n">
        <v>45205</v>
      </c>
      <c r="C401" s="1" t="n">
        <v>45967</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22275-2023</t>
        </is>
      </c>
      <c r="B402" s="1" t="n">
        <v>45070.39875</v>
      </c>
      <c r="C402" s="1" t="n">
        <v>45967</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12322-2025</t>
        </is>
      </c>
      <c r="B403" s="1" t="n">
        <v>45730</v>
      </c>
      <c r="C403" s="1" t="n">
        <v>45967</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14797-2024</t>
        </is>
      </c>
      <c r="B404" s="1" t="n">
        <v>45397.87030092593</v>
      </c>
      <c r="C404" s="1" t="n">
        <v>45967</v>
      </c>
      <c r="D404" t="inlineStr">
        <is>
          <t>GOTLANDS LÄN</t>
        </is>
      </c>
      <c r="E404" t="inlineStr">
        <is>
          <t>GOTLAND</t>
        </is>
      </c>
      <c r="G404" t="n">
        <v>8.1</v>
      </c>
      <c r="H404" t="n">
        <v>0</v>
      </c>
      <c r="I404" t="n">
        <v>0</v>
      </c>
      <c r="J404" t="n">
        <v>0</v>
      </c>
      <c r="K404" t="n">
        <v>0</v>
      </c>
      <c r="L404" t="n">
        <v>0</v>
      </c>
      <c r="M404" t="n">
        <v>0</v>
      </c>
      <c r="N404" t="n">
        <v>0</v>
      </c>
      <c r="O404" t="n">
        <v>0</v>
      </c>
      <c r="P404" t="n">
        <v>0</v>
      </c>
      <c r="Q404" t="n">
        <v>0</v>
      </c>
      <c r="R404" s="2" t="inlineStr"/>
    </row>
    <row r="405" ht="15" customHeight="1">
      <c r="A405" t="inlineStr">
        <is>
          <t>A 999-2024</t>
        </is>
      </c>
      <c r="B405" s="1" t="n">
        <v>45301</v>
      </c>
      <c r="C405" s="1" t="n">
        <v>45967</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27930-2021</t>
        </is>
      </c>
      <c r="B406" s="1" t="n">
        <v>44354</v>
      </c>
      <c r="C406" s="1" t="n">
        <v>45967</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61596-2023</t>
        </is>
      </c>
      <c r="B407" s="1" t="n">
        <v>45265</v>
      </c>
      <c r="C407" s="1" t="n">
        <v>45967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61962-2024</t>
        </is>
      </c>
      <c r="B408" s="1" t="n">
        <v>45653.54340277778</v>
      </c>
      <c r="C408" s="1" t="n">
        <v>45967</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14638-2025</t>
        </is>
      </c>
      <c r="B409" s="1" t="n">
        <v>45742</v>
      </c>
      <c r="C409" s="1" t="n">
        <v>45967</v>
      </c>
      <c r="D409" t="inlineStr">
        <is>
          <t>GOTLANDS LÄN</t>
        </is>
      </c>
      <c r="E409" t="inlineStr">
        <is>
          <t>GOTLAND</t>
        </is>
      </c>
      <c r="G409" t="n">
        <v>13.4</v>
      </c>
      <c r="H409" t="n">
        <v>0</v>
      </c>
      <c r="I409" t="n">
        <v>0</v>
      </c>
      <c r="J409" t="n">
        <v>0</v>
      </c>
      <c r="K409" t="n">
        <v>0</v>
      </c>
      <c r="L409" t="n">
        <v>0</v>
      </c>
      <c r="M409" t="n">
        <v>0</v>
      </c>
      <c r="N409" t="n">
        <v>0</v>
      </c>
      <c r="O409" t="n">
        <v>0</v>
      </c>
      <c r="P409" t="n">
        <v>0</v>
      </c>
      <c r="Q409" t="n">
        <v>0</v>
      </c>
      <c r="R409" s="2" t="inlineStr"/>
    </row>
    <row r="410" ht="15" customHeight="1">
      <c r="A410" t="inlineStr">
        <is>
          <t>A 10492-2023</t>
        </is>
      </c>
      <c r="B410" s="1" t="n">
        <v>44987</v>
      </c>
      <c r="C410" s="1" t="n">
        <v>45967</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60675-2021</t>
        </is>
      </c>
      <c r="B411" s="1" t="n">
        <v>44496.64855324074</v>
      </c>
      <c r="C411" s="1" t="n">
        <v>45967</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37728-2024</t>
        </is>
      </c>
      <c r="B412" s="1" t="n">
        <v>45541</v>
      </c>
      <c r="C412" s="1" t="n">
        <v>45967</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50421-2025</t>
        </is>
      </c>
      <c r="B413" s="1" t="n">
        <v>45944.66049768519</v>
      </c>
      <c r="C413" s="1" t="n">
        <v>45967</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41435-2025</t>
        </is>
      </c>
      <c r="B414" s="1" t="n">
        <v>45901.39974537037</v>
      </c>
      <c r="C414" s="1" t="n">
        <v>45967</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5909-2025</t>
        </is>
      </c>
      <c r="B415" s="1" t="n">
        <v>45695.40634259259</v>
      </c>
      <c r="C415" s="1" t="n">
        <v>45967</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10653-2023</t>
        </is>
      </c>
      <c r="B416" s="1" t="n">
        <v>44988.48859953704</v>
      </c>
      <c r="C416" s="1" t="n">
        <v>45967</v>
      </c>
      <c r="D416" t="inlineStr">
        <is>
          <t>GOTLANDS LÄN</t>
        </is>
      </c>
      <c r="E416" t="inlineStr">
        <is>
          <t>GOTLAND</t>
        </is>
      </c>
      <c r="F416" t="inlineStr">
        <is>
          <t>Kyrkan</t>
        </is>
      </c>
      <c r="G416" t="n">
        <v>3</v>
      </c>
      <c r="H416" t="n">
        <v>0</v>
      </c>
      <c r="I416" t="n">
        <v>0</v>
      </c>
      <c r="J416" t="n">
        <v>0</v>
      </c>
      <c r="K416" t="n">
        <v>0</v>
      </c>
      <c r="L416" t="n">
        <v>0</v>
      </c>
      <c r="M416" t="n">
        <v>0</v>
      </c>
      <c r="N416" t="n">
        <v>0</v>
      </c>
      <c r="O416" t="n">
        <v>0</v>
      </c>
      <c r="P416" t="n">
        <v>0</v>
      </c>
      <c r="Q416" t="n">
        <v>0</v>
      </c>
      <c r="R416" s="2" t="inlineStr"/>
    </row>
    <row r="417" ht="15" customHeight="1">
      <c r="A417" t="inlineStr">
        <is>
          <t>A 57356-2023</t>
        </is>
      </c>
      <c r="B417" s="1" t="n">
        <v>45240</v>
      </c>
      <c r="C417" s="1" t="n">
        <v>45967</v>
      </c>
      <c r="D417" t="inlineStr">
        <is>
          <t>GOTLANDS LÄN</t>
        </is>
      </c>
      <c r="E417" t="inlineStr">
        <is>
          <t>GOTLAND</t>
        </is>
      </c>
      <c r="G417" t="n">
        <v>6.4</v>
      </c>
      <c r="H417" t="n">
        <v>0</v>
      </c>
      <c r="I417" t="n">
        <v>0</v>
      </c>
      <c r="J417" t="n">
        <v>0</v>
      </c>
      <c r="K417" t="n">
        <v>0</v>
      </c>
      <c r="L417" t="n">
        <v>0</v>
      </c>
      <c r="M417" t="n">
        <v>0</v>
      </c>
      <c r="N417" t="n">
        <v>0</v>
      </c>
      <c r="O417" t="n">
        <v>0</v>
      </c>
      <c r="P417" t="n">
        <v>0</v>
      </c>
      <c r="Q417" t="n">
        <v>0</v>
      </c>
      <c r="R417" s="2" t="inlineStr"/>
    </row>
    <row r="418" ht="15" customHeight="1">
      <c r="A418" t="inlineStr">
        <is>
          <t>A 4990-2025</t>
        </is>
      </c>
      <c r="B418" s="1" t="n">
        <v>45691</v>
      </c>
      <c r="C418" s="1" t="n">
        <v>45967</v>
      </c>
      <c r="D418" t="inlineStr">
        <is>
          <t>GOTLANDS LÄN</t>
        </is>
      </c>
      <c r="E418" t="inlineStr">
        <is>
          <t>GOTLAND</t>
        </is>
      </c>
      <c r="G418" t="n">
        <v>7.7</v>
      </c>
      <c r="H418" t="n">
        <v>0</v>
      </c>
      <c r="I418" t="n">
        <v>0</v>
      </c>
      <c r="J418" t="n">
        <v>0</v>
      </c>
      <c r="K418" t="n">
        <v>0</v>
      </c>
      <c r="L418" t="n">
        <v>0</v>
      </c>
      <c r="M418" t="n">
        <v>0</v>
      </c>
      <c r="N418" t="n">
        <v>0</v>
      </c>
      <c r="O418" t="n">
        <v>0</v>
      </c>
      <c r="P418" t="n">
        <v>0</v>
      </c>
      <c r="Q418" t="n">
        <v>0</v>
      </c>
      <c r="R418" s="2" t="inlineStr"/>
    </row>
    <row r="419" ht="15" customHeight="1">
      <c r="A419" t="inlineStr">
        <is>
          <t>A 10656-2024</t>
        </is>
      </c>
      <c r="B419" s="1" t="n">
        <v>45368</v>
      </c>
      <c r="C419" s="1" t="n">
        <v>45967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33011-2025</t>
        </is>
      </c>
      <c r="B420" s="1" t="n">
        <v>45840</v>
      </c>
      <c r="C420" s="1" t="n">
        <v>45967</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22287-2022</t>
        </is>
      </c>
      <c r="B421" s="1" t="n">
        <v>44712</v>
      </c>
      <c r="C421" s="1" t="n">
        <v>45967</v>
      </c>
      <c r="D421" t="inlineStr">
        <is>
          <t>GOTLANDS LÄN</t>
        </is>
      </c>
      <c r="E421" t="inlineStr">
        <is>
          <t>GOTLAND</t>
        </is>
      </c>
      <c r="G421" t="n">
        <v>6.1</v>
      </c>
      <c r="H421" t="n">
        <v>0</v>
      </c>
      <c r="I421" t="n">
        <v>0</v>
      </c>
      <c r="J421" t="n">
        <v>0</v>
      </c>
      <c r="K421" t="n">
        <v>0</v>
      </c>
      <c r="L421" t="n">
        <v>0</v>
      </c>
      <c r="M421" t="n">
        <v>0</v>
      </c>
      <c r="N421" t="n">
        <v>0</v>
      </c>
      <c r="O421" t="n">
        <v>0</v>
      </c>
      <c r="P421" t="n">
        <v>0</v>
      </c>
      <c r="Q421" t="n">
        <v>0</v>
      </c>
      <c r="R421" s="2" t="inlineStr"/>
    </row>
    <row r="422" ht="15" customHeight="1">
      <c r="A422" t="inlineStr">
        <is>
          <t>A 50431-2025</t>
        </is>
      </c>
      <c r="B422" s="1" t="n">
        <v>45944.68453703704</v>
      </c>
      <c r="C422" s="1" t="n">
        <v>45967</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41551-2025</t>
        </is>
      </c>
      <c r="B423" s="1" t="n">
        <v>45901.58854166666</v>
      </c>
      <c r="C423" s="1" t="n">
        <v>45967</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54074-2022</t>
        </is>
      </c>
      <c r="B424" s="1" t="n">
        <v>44881</v>
      </c>
      <c r="C424" s="1" t="n">
        <v>45967</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45967</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65249-2023</t>
        </is>
      </c>
      <c r="B426" s="1" t="n">
        <v>45290</v>
      </c>
      <c r="C426" s="1" t="n">
        <v>45967</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28506-2023</t>
        </is>
      </c>
      <c r="B427" s="1" t="n">
        <v>45103</v>
      </c>
      <c r="C427" s="1" t="n">
        <v>45967</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45967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21420-2024</t>
        </is>
      </c>
      <c r="B429" s="1" t="n">
        <v>45441.38293981482</v>
      </c>
      <c r="C429" s="1" t="n">
        <v>45967</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5884-2025</t>
        </is>
      </c>
      <c r="B430" s="1" t="n">
        <v>45695.37482638889</v>
      </c>
      <c r="C430" s="1" t="n">
        <v>45967</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5897-2025</t>
        </is>
      </c>
      <c r="B431" s="1" t="n">
        <v>45695.39273148148</v>
      </c>
      <c r="C431" s="1" t="n">
        <v>45967</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50928-2025</t>
        </is>
      </c>
      <c r="B432" s="1" t="n">
        <v>45946.67896990741</v>
      </c>
      <c r="C432" s="1" t="n">
        <v>45967</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49693-2023</t>
        </is>
      </c>
      <c r="B433" s="1" t="n">
        <v>45212.38138888889</v>
      </c>
      <c r="C433" s="1" t="n">
        <v>45967</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49697-2023</t>
        </is>
      </c>
      <c r="B434" s="1" t="n">
        <v>45212.38909722222</v>
      </c>
      <c r="C434" s="1" t="n">
        <v>45967</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23188-2025</t>
        </is>
      </c>
      <c r="B435" s="1" t="n">
        <v>45791</v>
      </c>
      <c r="C435" s="1" t="n">
        <v>45967</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17901-2023</t>
        </is>
      </c>
      <c r="B436" s="1" t="n">
        <v>45039</v>
      </c>
      <c r="C436" s="1" t="n">
        <v>45967</v>
      </c>
      <c r="D436" t="inlineStr">
        <is>
          <t>GOTLANDS LÄN</t>
        </is>
      </c>
      <c r="E436" t="inlineStr">
        <is>
          <t>GOTLAND</t>
        </is>
      </c>
      <c r="F436" t="inlineStr">
        <is>
          <t>Kyrkan</t>
        </is>
      </c>
      <c r="G436" t="n">
        <v>0.6</v>
      </c>
      <c r="H436" t="n">
        <v>0</v>
      </c>
      <c r="I436" t="n">
        <v>0</v>
      </c>
      <c r="J436" t="n">
        <v>0</v>
      </c>
      <c r="K436" t="n">
        <v>0</v>
      </c>
      <c r="L436" t="n">
        <v>0</v>
      </c>
      <c r="M436" t="n">
        <v>0</v>
      </c>
      <c r="N436" t="n">
        <v>0</v>
      </c>
      <c r="O436" t="n">
        <v>0</v>
      </c>
      <c r="P436" t="n">
        <v>0</v>
      </c>
      <c r="Q436" t="n">
        <v>0</v>
      </c>
      <c r="R436" s="2" t="inlineStr"/>
    </row>
    <row r="437" ht="15" customHeight="1">
      <c r="A437" t="inlineStr">
        <is>
          <t>A 13910-2025</t>
        </is>
      </c>
      <c r="B437" s="1" t="n">
        <v>45737</v>
      </c>
      <c r="C437" s="1" t="n">
        <v>45967</v>
      </c>
      <c r="D437" t="inlineStr">
        <is>
          <t>GOTLANDS LÄN</t>
        </is>
      </c>
      <c r="E437" t="inlineStr">
        <is>
          <t>GOTLAND</t>
        </is>
      </c>
      <c r="F437" t="inlineStr">
        <is>
          <t>Kommuner</t>
        </is>
      </c>
      <c r="G437" t="n">
        <v>3.2</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44467.49048611111</v>
      </c>
      <c r="C438" s="1" t="n">
        <v>45967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17780-2022</t>
        </is>
      </c>
      <c r="B439" s="1" t="n">
        <v>44682.82622685185</v>
      </c>
      <c r="C439" s="1" t="n">
        <v>45967</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23473-2025</t>
        </is>
      </c>
      <c r="B440" s="1" t="n">
        <v>45792</v>
      </c>
      <c r="C440" s="1" t="n">
        <v>45967</v>
      </c>
      <c r="D440" t="inlineStr">
        <is>
          <t>GOTLANDS LÄN</t>
        </is>
      </c>
      <c r="E440" t="inlineStr">
        <is>
          <t>GOTLAND</t>
        </is>
      </c>
      <c r="G440" t="n">
        <v>3.6</v>
      </c>
      <c r="H440" t="n">
        <v>0</v>
      </c>
      <c r="I440" t="n">
        <v>0</v>
      </c>
      <c r="J440" t="n">
        <v>0</v>
      </c>
      <c r="K440" t="n">
        <v>0</v>
      </c>
      <c r="L440" t="n">
        <v>0</v>
      </c>
      <c r="M440" t="n">
        <v>0</v>
      </c>
      <c r="N440" t="n">
        <v>0</v>
      </c>
      <c r="O440" t="n">
        <v>0</v>
      </c>
      <c r="P440" t="n">
        <v>0</v>
      </c>
      <c r="Q440" t="n">
        <v>0</v>
      </c>
      <c r="R440" s="2" t="inlineStr"/>
    </row>
    <row r="441" ht="15" customHeight="1">
      <c r="A441" t="inlineStr">
        <is>
          <t>A 51262-2025</t>
        </is>
      </c>
      <c r="B441" s="1" t="n">
        <v>45949.49872685185</v>
      </c>
      <c r="C441" s="1" t="n">
        <v>45967</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46396-2023</t>
        </is>
      </c>
      <c r="B442" s="1" t="n">
        <v>45197</v>
      </c>
      <c r="C442" s="1" t="n">
        <v>45967</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59986-2022</t>
        </is>
      </c>
      <c r="B443" s="1" t="n">
        <v>44909</v>
      </c>
      <c r="C443" s="1" t="n">
        <v>45967</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14536-2021</t>
        </is>
      </c>
      <c r="B444" s="1" t="n">
        <v>44279.66168981481</v>
      </c>
      <c r="C444" s="1" t="n">
        <v>45967</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23856-2025</t>
        </is>
      </c>
      <c r="B445" s="1" t="n">
        <v>45793</v>
      </c>
      <c r="C445" s="1" t="n">
        <v>45967</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17724-2024</t>
        </is>
      </c>
      <c r="B446" s="1" t="n">
        <v>45418.55096064815</v>
      </c>
      <c r="C446" s="1" t="n">
        <v>45967</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15073-2025</t>
        </is>
      </c>
      <c r="B447" s="1" t="n">
        <v>45743</v>
      </c>
      <c r="C447" s="1" t="n">
        <v>45967</v>
      </c>
      <c r="D447" t="inlineStr">
        <is>
          <t>GOTLANDS LÄN</t>
        </is>
      </c>
      <c r="E447" t="inlineStr">
        <is>
          <t>GOTLAND</t>
        </is>
      </c>
      <c r="G447" t="n">
        <v>12.1</v>
      </c>
      <c r="H447" t="n">
        <v>0</v>
      </c>
      <c r="I447" t="n">
        <v>0</v>
      </c>
      <c r="J447" t="n">
        <v>0</v>
      </c>
      <c r="K447" t="n">
        <v>0</v>
      </c>
      <c r="L447" t="n">
        <v>0</v>
      </c>
      <c r="M447" t="n">
        <v>0</v>
      </c>
      <c r="N447" t="n">
        <v>0</v>
      </c>
      <c r="O447" t="n">
        <v>0</v>
      </c>
      <c r="P447" t="n">
        <v>0</v>
      </c>
      <c r="Q447" t="n">
        <v>0</v>
      </c>
      <c r="R447" s="2" t="inlineStr"/>
    </row>
    <row r="448" ht="15" customHeight="1">
      <c r="A448" t="inlineStr">
        <is>
          <t>A 34312-2024</t>
        </is>
      </c>
      <c r="B448" s="1" t="n">
        <v>45524.69703703704</v>
      </c>
      <c r="C448" s="1" t="n">
        <v>45967</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42608-2025</t>
        </is>
      </c>
      <c r="B449" s="1" t="n">
        <v>45905</v>
      </c>
      <c r="C449" s="1" t="n">
        <v>45967</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6749-2025</t>
        </is>
      </c>
      <c r="B450" s="1" t="n">
        <v>45700</v>
      </c>
      <c r="C450" s="1" t="n">
        <v>45967</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11874-2024</t>
        </is>
      </c>
      <c r="B451" s="1" t="n">
        <v>45376.46956018519</v>
      </c>
      <c r="C451" s="1" t="n">
        <v>45967</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23698-2025</t>
        </is>
      </c>
      <c r="B452" s="1" t="n">
        <v>45793</v>
      </c>
      <c r="C452" s="1" t="n">
        <v>45967</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42041-2024</t>
        </is>
      </c>
      <c r="B453" s="1" t="n">
        <v>45561</v>
      </c>
      <c r="C453" s="1" t="n">
        <v>45967</v>
      </c>
      <c r="D453" t="inlineStr">
        <is>
          <t>GOTLANDS LÄN</t>
        </is>
      </c>
      <c r="E453" t="inlineStr">
        <is>
          <t>GOTLAND</t>
        </is>
      </c>
      <c r="G453" t="n">
        <v>3.2</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45967</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61694-2023</t>
        </is>
      </c>
      <c r="B455" s="1" t="n">
        <v>45264</v>
      </c>
      <c r="C455" s="1" t="n">
        <v>45967</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7638-2025</t>
        </is>
      </c>
      <c r="B456" s="1" t="n">
        <v>45705.77306712963</v>
      </c>
      <c r="C456" s="1" t="n">
        <v>45967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50482-2024</t>
        </is>
      </c>
      <c r="B457" s="1" t="n">
        <v>45601.48114583334</v>
      </c>
      <c r="C457" s="1" t="n">
        <v>45967</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16373-2025</t>
        </is>
      </c>
      <c r="B458" s="1" t="n">
        <v>45751</v>
      </c>
      <c r="C458" s="1" t="n">
        <v>45967</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1394-2023</t>
        </is>
      </c>
      <c r="B459" s="1" t="n">
        <v>44936.72997685185</v>
      </c>
      <c r="C459" s="1" t="n">
        <v>45967</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58230-2024</t>
        </is>
      </c>
      <c r="B460" s="1" t="n">
        <v>45632.51625</v>
      </c>
      <c r="C460" s="1" t="n">
        <v>45967</v>
      </c>
      <c r="D460" t="inlineStr">
        <is>
          <t>GOTLANDS LÄN</t>
        </is>
      </c>
      <c r="E460" t="inlineStr">
        <is>
          <t>GOTLAND</t>
        </is>
      </c>
      <c r="G460" t="n">
        <v>7.3</v>
      </c>
      <c r="H460" t="n">
        <v>0</v>
      </c>
      <c r="I460" t="n">
        <v>0</v>
      </c>
      <c r="J460" t="n">
        <v>0</v>
      </c>
      <c r="K460" t="n">
        <v>0</v>
      </c>
      <c r="L460" t="n">
        <v>0</v>
      </c>
      <c r="M460" t="n">
        <v>0</v>
      </c>
      <c r="N460" t="n">
        <v>0</v>
      </c>
      <c r="O460" t="n">
        <v>0</v>
      </c>
      <c r="P460" t="n">
        <v>0</v>
      </c>
      <c r="Q460" t="n">
        <v>0</v>
      </c>
      <c r="R460" s="2" t="inlineStr"/>
    </row>
    <row r="461" ht="15" customHeight="1">
      <c r="A461" t="inlineStr">
        <is>
          <t>A 1462-2025</t>
        </is>
      </c>
      <c r="B461" s="1" t="n">
        <v>45670.36319444444</v>
      </c>
      <c r="C461" s="1" t="n">
        <v>45967</v>
      </c>
      <c r="D461" t="inlineStr">
        <is>
          <t>GOTLANDS LÄN</t>
        </is>
      </c>
      <c r="E461" t="inlineStr">
        <is>
          <t>GOTLAND</t>
        </is>
      </c>
      <c r="G461" t="n">
        <v>2.8</v>
      </c>
      <c r="H461" t="n">
        <v>0</v>
      </c>
      <c r="I461" t="n">
        <v>0</v>
      </c>
      <c r="J461" t="n">
        <v>0</v>
      </c>
      <c r="K461" t="n">
        <v>0</v>
      </c>
      <c r="L461" t="n">
        <v>0</v>
      </c>
      <c r="M461" t="n">
        <v>0</v>
      </c>
      <c r="N461" t="n">
        <v>0</v>
      </c>
      <c r="O461" t="n">
        <v>0</v>
      </c>
      <c r="P461" t="n">
        <v>0</v>
      </c>
      <c r="Q461" t="n">
        <v>0</v>
      </c>
      <c r="R461" s="2" t="inlineStr"/>
    </row>
    <row r="462" ht="15" customHeight="1">
      <c r="A462" t="inlineStr">
        <is>
          <t>A 64555-2023</t>
        </is>
      </c>
      <c r="B462" s="1" t="n">
        <v>45281</v>
      </c>
      <c r="C462" s="1" t="n">
        <v>45967</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64831-2023</t>
        </is>
      </c>
      <c r="B463" s="1" t="n">
        <v>45282.44924768519</v>
      </c>
      <c r="C463" s="1" t="n">
        <v>45967</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14804-2021</t>
        </is>
      </c>
      <c r="B464" s="1" t="n">
        <v>44280</v>
      </c>
      <c r="C464" s="1" t="n">
        <v>45967</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999-2023</t>
        </is>
      </c>
      <c r="B465" s="1" t="n">
        <v>44935</v>
      </c>
      <c r="C465" s="1" t="n">
        <v>45967</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25129-2023</t>
        </is>
      </c>
      <c r="B466" s="1" t="n">
        <v>45086.44261574074</v>
      </c>
      <c r="C466" s="1" t="n">
        <v>45967</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27602-2023</t>
        </is>
      </c>
      <c r="B467" s="1" t="n">
        <v>45097</v>
      </c>
      <c r="C467" s="1" t="n">
        <v>45967</v>
      </c>
      <c r="D467" t="inlineStr">
        <is>
          <t>GOTLANDS LÄN</t>
        </is>
      </c>
      <c r="E467" t="inlineStr">
        <is>
          <t>GOTLAND</t>
        </is>
      </c>
      <c r="G467" t="n">
        <v>2.7</v>
      </c>
      <c r="H467" t="n">
        <v>0</v>
      </c>
      <c r="I467" t="n">
        <v>0</v>
      </c>
      <c r="J467" t="n">
        <v>0</v>
      </c>
      <c r="K467" t="n">
        <v>0</v>
      </c>
      <c r="L467" t="n">
        <v>0</v>
      </c>
      <c r="M467" t="n">
        <v>0</v>
      </c>
      <c r="N467" t="n">
        <v>0</v>
      </c>
      <c r="O467" t="n">
        <v>0</v>
      </c>
      <c r="P467" t="n">
        <v>0</v>
      </c>
      <c r="Q467" t="n">
        <v>0</v>
      </c>
      <c r="R467" s="2" t="inlineStr"/>
    </row>
    <row r="468" ht="15" customHeight="1">
      <c r="A468" t="inlineStr">
        <is>
          <t>A 24192-2023</t>
        </is>
      </c>
      <c r="B468" s="1" t="n">
        <v>45079</v>
      </c>
      <c r="C468" s="1" t="n">
        <v>45967</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52637-2025</t>
        </is>
      </c>
      <c r="B469" s="1" t="n">
        <v>45954.75099537037</v>
      </c>
      <c r="C469" s="1" t="n">
        <v>45967</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5462-2025</t>
        </is>
      </c>
      <c r="B470" s="1" t="n">
        <v>45693.29331018519</v>
      </c>
      <c r="C470" s="1" t="n">
        <v>45967</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52249-2025</t>
        </is>
      </c>
      <c r="B471" s="1" t="n">
        <v>45953.48637731482</v>
      </c>
      <c r="C471" s="1" t="n">
        <v>45967</v>
      </c>
      <c r="D471" t="inlineStr">
        <is>
          <t>GOTLANDS LÄN</t>
        </is>
      </c>
      <c r="E471" t="inlineStr">
        <is>
          <t>GOTLAND</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5386-2023</t>
        </is>
      </c>
      <c r="B472" s="1" t="n">
        <v>44959</v>
      </c>
      <c r="C472" s="1" t="n">
        <v>45967</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7026-2023</t>
        </is>
      </c>
      <c r="B473" s="1" t="n">
        <v>44968.30340277778</v>
      </c>
      <c r="C473" s="1" t="n">
        <v>45967</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20855-2023</t>
        </is>
      </c>
      <c r="B474" s="1" t="n">
        <v>45058.82172453704</v>
      </c>
      <c r="C474" s="1" t="n">
        <v>45967</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10158-2025</t>
        </is>
      </c>
      <c r="B475" s="1" t="n">
        <v>45719</v>
      </c>
      <c r="C475" s="1" t="n">
        <v>45967</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25796-2025</t>
        </is>
      </c>
      <c r="B476" s="1" t="n">
        <v>45804.39543981481</v>
      </c>
      <c r="C476" s="1" t="n">
        <v>45967</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1000-2024</t>
        </is>
      </c>
      <c r="B477" s="1" t="n">
        <v>45301.63371527778</v>
      </c>
      <c r="C477" s="1" t="n">
        <v>45967</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1010-2024</t>
        </is>
      </c>
      <c r="B478" s="1" t="n">
        <v>45301</v>
      </c>
      <c r="C478" s="1" t="n">
        <v>45967</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26391-2025</t>
        </is>
      </c>
      <c r="B479" s="1" t="n">
        <v>45806</v>
      </c>
      <c r="C479" s="1" t="n">
        <v>45967</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4377-2023</t>
        </is>
      </c>
      <c r="B480" s="1" t="n">
        <v>44955.5502662037</v>
      </c>
      <c r="C480" s="1" t="n">
        <v>45967</v>
      </c>
      <c r="D480" t="inlineStr">
        <is>
          <t>GOTLANDS LÄN</t>
        </is>
      </c>
      <c r="E480" t="inlineStr">
        <is>
          <t>GOTLAND</t>
        </is>
      </c>
      <c r="F480" t="inlineStr">
        <is>
          <t>Kyrkan</t>
        </is>
      </c>
      <c r="G480" t="n">
        <v>0.6</v>
      </c>
      <c r="H480" t="n">
        <v>0</v>
      </c>
      <c r="I480" t="n">
        <v>0</v>
      </c>
      <c r="J480" t="n">
        <v>0</v>
      </c>
      <c r="K480" t="n">
        <v>0</v>
      </c>
      <c r="L480" t="n">
        <v>0</v>
      </c>
      <c r="M480" t="n">
        <v>0</v>
      </c>
      <c r="N480" t="n">
        <v>0</v>
      </c>
      <c r="O480" t="n">
        <v>0</v>
      </c>
      <c r="P480" t="n">
        <v>0</v>
      </c>
      <c r="Q480" t="n">
        <v>0</v>
      </c>
      <c r="R480" s="2" t="inlineStr"/>
    </row>
    <row r="481" ht="15" customHeight="1">
      <c r="A481" t="inlineStr">
        <is>
          <t>A 4387-2023</t>
        </is>
      </c>
      <c r="B481" s="1" t="n">
        <v>44955.73359953704</v>
      </c>
      <c r="C481" s="1" t="n">
        <v>45967</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39479-2022</t>
        </is>
      </c>
      <c r="B482" s="1" t="n">
        <v>44818</v>
      </c>
      <c r="C482" s="1" t="n">
        <v>45967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47762-2023</t>
        </is>
      </c>
      <c r="B483" s="1" t="n">
        <v>45203.86256944444</v>
      </c>
      <c r="C483" s="1" t="n">
        <v>45967</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51963-2024</t>
        </is>
      </c>
      <c r="B484" s="1" t="n">
        <v>45607.64833333333</v>
      </c>
      <c r="C484" s="1" t="n">
        <v>45967</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46545-2024</t>
        </is>
      </c>
      <c r="B485" s="1" t="n">
        <v>45582.65831018519</v>
      </c>
      <c r="C485" s="1" t="n">
        <v>45967</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811-2023</t>
        </is>
      </c>
      <c r="B486" s="1" t="n">
        <v>44931</v>
      </c>
      <c r="C486" s="1" t="n">
        <v>45967</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60086-2022</t>
        </is>
      </c>
      <c r="B487" s="1" t="n">
        <v>44909</v>
      </c>
      <c r="C487" s="1" t="n">
        <v>45967</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28480-2023</t>
        </is>
      </c>
      <c r="B488" s="1" t="n">
        <v>45103</v>
      </c>
      <c r="C488" s="1" t="n">
        <v>45967</v>
      </c>
      <c r="D488" t="inlineStr">
        <is>
          <t>GOTLANDS LÄN</t>
        </is>
      </c>
      <c r="E488" t="inlineStr">
        <is>
          <t>GOTLAND</t>
        </is>
      </c>
      <c r="G488" t="n">
        <v>5.7</v>
      </c>
      <c r="H488" t="n">
        <v>0</v>
      </c>
      <c r="I488" t="n">
        <v>0</v>
      </c>
      <c r="J488" t="n">
        <v>0</v>
      </c>
      <c r="K488" t="n">
        <v>0</v>
      </c>
      <c r="L488" t="n">
        <v>0</v>
      </c>
      <c r="M488" t="n">
        <v>0</v>
      </c>
      <c r="N488" t="n">
        <v>0</v>
      </c>
      <c r="O488" t="n">
        <v>0</v>
      </c>
      <c r="P488" t="n">
        <v>0</v>
      </c>
      <c r="Q488" t="n">
        <v>0</v>
      </c>
      <c r="R488" s="2" t="inlineStr"/>
    </row>
    <row r="489" ht="15" customHeight="1">
      <c r="A489" t="inlineStr">
        <is>
          <t>A 28485-2023</t>
        </is>
      </c>
      <c r="B489" s="1" t="n">
        <v>45103.43731481482</v>
      </c>
      <c r="C489" s="1" t="n">
        <v>45967</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46389-2021</t>
        </is>
      </c>
      <c r="B490" s="1" t="n">
        <v>44443</v>
      </c>
      <c r="C490" s="1" t="n">
        <v>45967</v>
      </c>
      <c r="D490" t="inlineStr">
        <is>
          <t>GOTLANDS LÄN</t>
        </is>
      </c>
      <c r="E490" t="inlineStr">
        <is>
          <t>GOTLAND</t>
        </is>
      </c>
      <c r="F490" t="inlineStr">
        <is>
          <t>Kyrkan</t>
        </is>
      </c>
      <c r="G490" t="n">
        <v>2.1</v>
      </c>
      <c r="H490" t="n">
        <v>0</v>
      </c>
      <c r="I490" t="n">
        <v>0</v>
      </c>
      <c r="J490" t="n">
        <v>0</v>
      </c>
      <c r="K490" t="n">
        <v>0</v>
      </c>
      <c r="L490" t="n">
        <v>0</v>
      </c>
      <c r="M490" t="n">
        <v>0</v>
      </c>
      <c r="N490" t="n">
        <v>0</v>
      </c>
      <c r="O490" t="n">
        <v>0</v>
      </c>
      <c r="P490" t="n">
        <v>0</v>
      </c>
      <c r="Q490" t="n">
        <v>0</v>
      </c>
      <c r="R490" s="2" t="inlineStr"/>
    </row>
    <row r="491" ht="15" customHeight="1">
      <c r="A491" t="inlineStr">
        <is>
          <t>A 26810-2021</t>
        </is>
      </c>
      <c r="B491" s="1" t="n">
        <v>44349.55087962963</v>
      </c>
      <c r="C491" s="1" t="n">
        <v>45967</v>
      </c>
      <c r="D491" t="inlineStr">
        <is>
          <t>GOTLANDS LÄN</t>
        </is>
      </c>
      <c r="E491" t="inlineStr">
        <is>
          <t>GOTLAND</t>
        </is>
      </c>
      <c r="G491" t="n">
        <v>3.5</v>
      </c>
      <c r="H491" t="n">
        <v>0</v>
      </c>
      <c r="I491" t="n">
        <v>0</v>
      </c>
      <c r="J491" t="n">
        <v>0</v>
      </c>
      <c r="K491" t="n">
        <v>0</v>
      </c>
      <c r="L491" t="n">
        <v>0</v>
      </c>
      <c r="M491" t="n">
        <v>0</v>
      </c>
      <c r="N491" t="n">
        <v>0</v>
      </c>
      <c r="O491" t="n">
        <v>0</v>
      </c>
      <c r="P491" t="n">
        <v>0</v>
      </c>
      <c r="Q491" t="n">
        <v>0</v>
      </c>
      <c r="R491" s="2" t="inlineStr"/>
    </row>
    <row r="492" ht="15" customHeight="1">
      <c r="A492" t="inlineStr">
        <is>
          <t>A 62915-2021</t>
        </is>
      </c>
      <c r="B492" s="1" t="n">
        <v>44504</v>
      </c>
      <c r="C492" s="1" t="n">
        <v>45967</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43911-2025</t>
        </is>
      </c>
      <c r="B493" s="1" t="n">
        <v>45914.3881712963</v>
      </c>
      <c r="C493" s="1" t="n">
        <v>45967</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44410-2025</t>
        </is>
      </c>
      <c r="B494" s="1" t="n">
        <v>45916.53699074074</v>
      </c>
      <c r="C494" s="1" t="n">
        <v>45967</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44949-2023</t>
        </is>
      </c>
      <c r="B495" s="1" t="n">
        <v>45190.69520833333</v>
      </c>
      <c r="C495" s="1" t="n">
        <v>45967</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26457-2025</t>
        </is>
      </c>
      <c r="B496" s="1" t="n">
        <v>45807.42773148148</v>
      </c>
      <c r="C496" s="1" t="n">
        <v>45967</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26467-2025</t>
        </is>
      </c>
      <c r="B497" s="1" t="n">
        <v>45807.44640046296</v>
      </c>
      <c r="C497" s="1" t="n">
        <v>45967</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43951-2025</t>
        </is>
      </c>
      <c r="B498" s="1" t="n">
        <v>45915.38119212963</v>
      </c>
      <c r="C498" s="1" t="n">
        <v>45967</v>
      </c>
      <c r="D498" t="inlineStr">
        <is>
          <t>GOTLANDS LÄN</t>
        </is>
      </c>
      <c r="E498" t="inlineStr">
        <is>
          <t>GOTLAND</t>
        </is>
      </c>
      <c r="G498" t="n">
        <v>4.4</v>
      </c>
      <c r="H498" t="n">
        <v>0</v>
      </c>
      <c r="I498" t="n">
        <v>0</v>
      </c>
      <c r="J498" t="n">
        <v>0</v>
      </c>
      <c r="K498" t="n">
        <v>0</v>
      </c>
      <c r="L498" t="n">
        <v>0</v>
      </c>
      <c r="M498" t="n">
        <v>0</v>
      </c>
      <c r="N498" t="n">
        <v>0</v>
      </c>
      <c r="O498" t="n">
        <v>0</v>
      </c>
      <c r="P498" t="n">
        <v>0</v>
      </c>
      <c r="Q498" t="n">
        <v>0</v>
      </c>
      <c r="R498" s="2" t="inlineStr"/>
    </row>
    <row r="499" ht="15" customHeight="1">
      <c r="A499" t="inlineStr">
        <is>
          <t>A 5923-2023</t>
        </is>
      </c>
      <c r="B499" s="1" t="n">
        <v>44963.69503472222</v>
      </c>
      <c r="C499" s="1" t="n">
        <v>45967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33853-2024</t>
        </is>
      </c>
      <c r="B500" s="1" t="n">
        <v>45520.64298611111</v>
      </c>
      <c r="C500" s="1" t="n">
        <v>45967</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37222-2021</t>
        </is>
      </c>
      <c r="B501" s="1" t="n">
        <v>44396</v>
      </c>
      <c r="C501" s="1" t="n">
        <v>45967</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18918-2025</t>
        </is>
      </c>
      <c r="B502" s="1" t="n">
        <v>45764</v>
      </c>
      <c r="C502" s="1" t="n">
        <v>45967</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26465-2025</t>
        </is>
      </c>
      <c r="B503" s="1" t="n">
        <v>45807.44377314814</v>
      </c>
      <c r="C503" s="1" t="n">
        <v>45967</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2674-2023</t>
        </is>
      </c>
      <c r="B504" s="1" t="n">
        <v>44944</v>
      </c>
      <c r="C504" s="1" t="n">
        <v>45967</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44405-2025</t>
        </is>
      </c>
      <c r="B505" s="1" t="n">
        <v>45916.52405092592</v>
      </c>
      <c r="C505" s="1" t="n">
        <v>45967</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53561-2025</t>
        </is>
      </c>
      <c r="B506" s="1" t="n">
        <v>45960.4059375</v>
      </c>
      <c r="C506" s="1" t="n">
        <v>45967</v>
      </c>
      <c r="D506" t="inlineStr">
        <is>
          <t>GOTLANDS LÄN</t>
        </is>
      </c>
      <c r="E506" t="inlineStr">
        <is>
          <t>GOTLAND</t>
        </is>
      </c>
      <c r="F506" t="inlineStr">
        <is>
          <t>Övriga Aktiebolag</t>
        </is>
      </c>
      <c r="G506" t="n">
        <v>2.4</v>
      </c>
      <c r="H506" t="n">
        <v>0</v>
      </c>
      <c r="I506" t="n">
        <v>0</v>
      </c>
      <c r="J506" t="n">
        <v>0</v>
      </c>
      <c r="K506" t="n">
        <v>0</v>
      </c>
      <c r="L506" t="n">
        <v>0</v>
      </c>
      <c r="M506" t="n">
        <v>0</v>
      </c>
      <c r="N506" t="n">
        <v>0</v>
      </c>
      <c r="O506" t="n">
        <v>0</v>
      </c>
      <c r="P506" t="n">
        <v>0</v>
      </c>
      <c r="Q506" t="n">
        <v>0</v>
      </c>
      <c r="R506" s="2" t="inlineStr"/>
    </row>
    <row r="507" ht="15" customHeight="1">
      <c r="A507" t="inlineStr">
        <is>
          <t>A 53569-2025</t>
        </is>
      </c>
      <c r="B507" s="1" t="n">
        <v>45960.41155092593</v>
      </c>
      <c r="C507" s="1" t="n">
        <v>45967</v>
      </c>
      <c r="D507" t="inlineStr">
        <is>
          <t>GOTLANDS LÄN</t>
        </is>
      </c>
      <c r="E507" t="inlineStr">
        <is>
          <t>GOTLAND</t>
        </is>
      </c>
      <c r="F507" t="inlineStr">
        <is>
          <t>Övriga Aktiebolag</t>
        </is>
      </c>
      <c r="G507" t="n">
        <v>11.3</v>
      </c>
      <c r="H507" t="n">
        <v>0</v>
      </c>
      <c r="I507" t="n">
        <v>0</v>
      </c>
      <c r="J507" t="n">
        <v>0</v>
      </c>
      <c r="K507" t="n">
        <v>0</v>
      </c>
      <c r="L507" t="n">
        <v>0</v>
      </c>
      <c r="M507" t="n">
        <v>0</v>
      </c>
      <c r="N507" t="n">
        <v>0</v>
      </c>
      <c r="O507" t="n">
        <v>0</v>
      </c>
      <c r="P507" t="n">
        <v>0</v>
      </c>
      <c r="Q507" t="n">
        <v>0</v>
      </c>
      <c r="R507" s="2" t="inlineStr"/>
    </row>
    <row r="508" ht="15" customHeight="1">
      <c r="A508" t="inlineStr">
        <is>
          <t>A 3964-2024</t>
        </is>
      </c>
      <c r="B508" s="1" t="n">
        <v>45322</v>
      </c>
      <c r="C508" s="1" t="n">
        <v>45967</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53577-2025</t>
        </is>
      </c>
      <c r="B509" s="1" t="n">
        <v>45960.42224537037</v>
      </c>
      <c r="C509" s="1" t="n">
        <v>45967</v>
      </c>
      <c r="D509" t="inlineStr">
        <is>
          <t>GOTLANDS LÄN</t>
        </is>
      </c>
      <c r="E509" t="inlineStr">
        <is>
          <t>GOTLAND</t>
        </is>
      </c>
      <c r="F509" t="inlineStr">
        <is>
          <t>Övriga Aktiebolag</t>
        </is>
      </c>
      <c r="G509" t="n">
        <v>3.3</v>
      </c>
      <c r="H509" t="n">
        <v>0</v>
      </c>
      <c r="I509" t="n">
        <v>0</v>
      </c>
      <c r="J509" t="n">
        <v>0</v>
      </c>
      <c r="K509" t="n">
        <v>0</v>
      </c>
      <c r="L509" t="n">
        <v>0</v>
      </c>
      <c r="M509" t="n">
        <v>0</v>
      </c>
      <c r="N509" t="n">
        <v>0</v>
      </c>
      <c r="O509" t="n">
        <v>0</v>
      </c>
      <c r="P509" t="n">
        <v>0</v>
      </c>
      <c r="Q509" t="n">
        <v>0</v>
      </c>
      <c r="R509" s="2" t="inlineStr"/>
    </row>
    <row r="510" ht="15" customHeight="1">
      <c r="A510" t="inlineStr">
        <is>
          <t>A 53587-2025</t>
        </is>
      </c>
      <c r="B510" s="1" t="n">
        <v>45960.43681712963</v>
      </c>
      <c r="C510" s="1" t="n">
        <v>45967</v>
      </c>
      <c r="D510" t="inlineStr">
        <is>
          <t>GOTLANDS LÄN</t>
        </is>
      </c>
      <c r="E510" t="inlineStr">
        <is>
          <t>GOTLAND</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10655-2023</t>
        </is>
      </c>
      <c r="B511" s="1" t="n">
        <v>44988.49543981482</v>
      </c>
      <c r="C511" s="1" t="n">
        <v>45967</v>
      </c>
      <c r="D511" t="inlineStr">
        <is>
          <t>GOTLANDS LÄN</t>
        </is>
      </c>
      <c r="E511" t="inlineStr">
        <is>
          <t>GOTLAND</t>
        </is>
      </c>
      <c r="F511" t="inlineStr">
        <is>
          <t>Kyrkan</t>
        </is>
      </c>
      <c r="G511" t="n">
        <v>2</v>
      </c>
      <c r="H511" t="n">
        <v>0</v>
      </c>
      <c r="I511" t="n">
        <v>0</v>
      </c>
      <c r="J511" t="n">
        <v>0</v>
      </c>
      <c r="K511" t="n">
        <v>0</v>
      </c>
      <c r="L511" t="n">
        <v>0</v>
      </c>
      <c r="M511" t="n">
        <v>0</v>
      </c>
      <c r="N511" t="n">
        <v>0</v>
      </c>
      <c r="O511" t="n">
        <v>0</v>
      </c>
      <c r="P511" t="n">
        <v>0</v>
      </c>
      <c r="Q511" t="n">
        <v>0</v>
      </c>
      <c r="R511" s="2" t="inlineStr"/>
    </row>
    <row r="512" ht="15" customHeight="1">
      <c r="A512" t="inlineStr">
        <is>
          <t>A 45084-2024</t>
        </is>
      </c>
      <c r="B512" s="1" t="n">
        <v>45575</v>
      </c>
      <c r="C512" s="1" t="n">
        <v>45967</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2719-2023</t>
        </is>
      </c>
      <c r="B513" s="1" t="n">
        <v>44944.55361111111</v>
      </c>
      <c r="C513" s="1" t="n">
        <v>45967</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26891-2024</t>
        </is>
      </c>
      <c r="B514" s="1" t="n">
        <v>45470.65540509259</v>
      </c>
      <c r="C514" s="1" t="n">
        <v>45967</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42007-2023</t>
        </is>
      </c>
      <c r="B515" s="1" t="n">
        <v>45177</v>
      </c>
      <c r="C515" s="1" t="n">
        <v>45967</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9887-2025</t>
        </is>
      </c>
      <c r="B516" s="1" t="n">
        <v>45716</v>
      </c>
      <c r="C516" s="1" t="n">
        <v>45967</v>
      </c>
      <c r="D516" t="inlineStr">
        <is>
          <t>GOTLANDS LÄN</t>
        </is>
      </c>
      <c r="E516" t="inlineStr">
        <is>
          <t>GOTLAND</t>
        </is>
      </c>
      <c r="G516" t="n">
        <v>7.5</v>
      </c>
      <c r="H516" t="n">
        <v>0</v>
      </c>
      <c r="I516" t="n">
        <v>0</v>
      </c>
      <c r="J516" t="n">
        <v>0</v>
      </c>
      <c r="K516" t="n">
        <v>0</v>
      </c>
      <c r="L516" t="n">
        <v>0</v>
      </c>
      <c r="M516" t="n">
        <v>0</v>
      </c>
      <c r="N516" t="n">
        <v>0</v>
      </c>
      <c r="O516" t="n">
        <v>0</v>
      </c>
      <c r="P516" t="n">
        <v>0</v>
      </c>
      <c r="Q516" t="n">
        <v>0</v>
      </c>
      <c r="R516" s="2" t="inlineStr"/>
    </row>
    <row r="517" ht="15" customHeight="1">
      <c r="A517" t="inlineStr">
        <is>
          <t>A 38165-2023</t>
        </is>
      </c>
      <c r="B517" s="1" t="n">
        <v>45161</v>
      </c>
      <c r="C517" s="1" t="n">
        <v>45967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45967</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27596-2023</t>
        </is>
      </c>
      <c r="B519" s="1" t="n">
        <v>45097</v>
      </c>
      <c r="C519" s="1" t="n">
        <v>45967</v>
      </c>
      <c r="D519" t="inlineStr">
        <is>
          <t>GOTLANDS LÄN</t>
        </is>
      </c>
      <c r="E519" t="inlineStr">
        <is>
          <t>GOTLAND</t>
        </is>
      </c>
      <c r="G519" t="n">
        <v>3.6</v>
      </c>
      <c r="H519" t="n">
        <v>0</v>
      </c>
      <c r="I519" t="n">
        <v>0</v>
      </c>
      <c r="J519" t="n">
        <v>0</v>
      </c>
      <c r="K519" t="n">
        <v>0</v>
      </c>
      <c r="L519" t="n">
        <v>0</v>
      </c>
      <c r="M519" t="n">
        <v>0</v>
      </c>
      <c r="N519" t="n">
        <v>0</v>
      </c>
      <c r="O519" t="n">
        <v>0</v>
      </c>
      <c r="P519" t="n">
        <v>0</v>
      </c>
      <c r="Q519" t="n">
        <v>0</v>
      </c>
      <c r="R519" s="2" t="inlineStr"/>
    </row>
    <row r="520" ht="15" customHeight="1">
      <c r="A520" t="inlineStr">
        <is>
          <t>A 5217-2023</t>
        </is>
      </c>
      <c r="B520" s="1" t="n">
        <v>44959.39582175926</v>
      </c>
      <c r="C520" s="1" t="n">
        <v>45967</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52250-2025</t>
        </is>
      </c>
      <c r="B521" s="1" t="n">
        <v>45953.48998842593</v>
      </c>
      <c r="C521" s="1" t="n">
        <v>45967</v>
      </c>
      <c r="D521" t="inlineStr">
        <is>
          <t>GOTLANDS LÄN</t>
        </is>
      </c>
      <c r="E521" t="inlineStr">
        <is>
          <t>GOTLAND</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24825-2024</t>
        </is>
      </c>
      <c r="B522" s="1" t="n">
        <v>45461</v>
      </c>
      <c r="C522" s="1" t="n">
        <v>45967</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6696-2023</t>
        </is>
      </c>
      <c r="B523" s="1" t="n">
        <v>44966.66425925926</v>
      </c>
      <c r="C523" s="1" t="n">
        <v>45967</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45967</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456-2023</t>
        </is>
      </c>
      <c r="B525" s="1" t="n">
        <v>44929.87122685185</v>
      </c>
      <c r="C525" s="1" t="n">
        <v>45967</v>
      </c>
      <c r="D525" t="inlineStr">
        <is>
          <t>GOTLANDS LÄN</t>
        </is>
      </c>
      <c r="E525" t="inlineStr">
        <is>
          <t>GOTLAND</t>
        </is>
      </c>
      <c r="G525" t="n">
        <v>3.2</v>
      </c>
      <c r="H525" t="n">
        <v>0</v>
      </c>
      <c r="I525" t="n">
        <v>0</v>
      </c>
      <c r="J525" t="n">
        <v>0</v>
      </c>
      <c r="K525" t="n">
        <v>0</v>
      </c>
      <c r="L525" t="n">
        <v>0</v>
      </c>
      <c r="M525" t="n">
        <v>0</v>
      </c>
      <c r="N525" t="n">
        <v>0</v>
      </c>
      <c r="O525" t="n">
        <v>0</v>
      </c>
      <c r="P525" t="n">
        <v>0</v>
      </c>
      <c r="Q525" t="n">
        <v>0</v>
      </c>
      <c r="R525" s="2" t="inlineStr"/>
    </row>
    <row r="526" ht="15" customHeight="1">
      <c r="A526" t="inlineStr">
        <is>
          <t>A 2714-2023</t>
        </is>
      </c>
      <c r="B526" s="1" t="n">
        <v>44944.54896990741</v>
      </c>
      <c r="C526" s="1" t="n">
        <v>45967</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4421-2024</t>
        </is>
      </c>
      <c r="B527" s="1" t="n">
        <v>45327.45173611111</v>
      </c>
      <c r="C527" s="1" t="n">
        <v>45967</v>
      </c>
      <c r="D527" t="inlineStr">
        <is>
          <t>GOTLANDS LÄN</t>
        </is>
      </c>
      <c r="E527" t="inlineStr">
        <is>
          <t>GOTLAND</t>
        </is>
      </c>
      <c r="G527" t="n">
        <v>5.1</v>
      </c>
      <c r="H527" t="n">
        <v>0</v>
      </c>
      <c r="I527" t="n">
        <v>0</v>
      </c>
      <c r="J527" t="n">
        <v>0</v>
      </c>
      <c r="K527" t="n">
        <v>0</v>
      </c>
      <c r="L527" t="n">
        <v>0</v>
      </c>
      <c r="M527" t="n">
        <v>0</v>
      </c>
      <c r="N527" t="n">
        <v>0</v>
      </c>
      <c r="O527" t="n">
        <v>0</v>
      </c>
      <c r="P527" t="n">
        <v>0</v>
      </c>
      <c r="Q527" t="n">
        <v>0</v>
      </c>
      <c r="R527" s="2" t="inlineStr"/>
    </row>
    <row r="528" ht="15" customHeight="1">
      <c r="A528" t="inlineStr">
        <is>
          <t>A 51782-2023</t>
        </is>
      </c>
      <c r="B528" s="1" t="n">
        <v>45222.80952546297</v>
      </c>
      <c r="C528" s="1" t="n">
        <v>45967</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45967</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57534-2022</t>
        </is>
      </c>
      <c r="B530" s="1" t="n">
        <v>44896</v>
      </c>
      <c r="C530" s="1" t="n">
        <v>45967</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25866-2022</t>
        </is>
      </c>
      <c r="B531" s="1" t="n">
        <v>44733</v>
      </c>
      <c r="C531" s="1" t="n">
        <v>45967</v>
      </c>
      <c r="D531" t="inlineStr">
        <is>
          <t>GOTLANDS LÄN</t>
        </is>
      </c>
      <c r="E531" t="inlineStr">
        <is>
          <t>GOTLAND</t>
        </is>
      </c>
      <c r="G531" t="n">
        <v>2.9</v>
      </c>
      <c r="H531" t="n">
        <v>0</v>
      </c>
      <c r="I531" t="n">
        <v>0</v>
      </c>
      <c r="J531" t="n">
        <v>0</v>
      </c>
      <c r="K531" t="n">
        <v>0</v>
      </c>
      <c r="L531" t="n">
        <v>0</v>
      </c>
      <c r="M531" t="n">
        <v>0</v>
      </c>
      <c r="N531" t="n">
        <v>0</v>
      </c>
      <c r="O531" t="n">
        <v>0</v>
      </c>
      <c r="P531" t="n">
        <v>0</v>
      </c>
      <c r="Q531" t="n">
        <v>0</v>
      </c>
      <c r="R531" s="2" t="inlineStr"/>
    </row>
    <row r="532" ht="15" customHeight="1">
      <c r="A532" t="inlineStr">
        <is>
          <t>A 54584-2025</t>
        </is>
      </c>
      <c r="B532" s="1" t="n">
        <v>45965.71788194445</v>
      </c>
      <c r="C532" s="1" t="n">
        <v>45967</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43229-2023</t>
        </is>
      </c>
      <c r="B533" s="1" t="n">
        <v>45183.46704861111</v>
      </c>
      <c r="C533" s="1" t="n">
        <v>45967</v>
      </c>
      <c r="D533" t="inlineStr">
        <is>
          <t>GOTLANDS LÄN</t>
        </is>
      </c>
      <c r="E533" t="inlineStr">
        <is>
          <t>GOTLAND</t>
        </is>
      </c>
      <c r="G533" t="n">
        <v>7.1</v>
      </c>
      <c r="H533" t="n">
        <v>0</v>
      </c>
      <c r="I533" t="n">
        <v>0</v>
      </c>
      <c r="J533" t="n">
        <v>0</v>
      </c>
      <c r="K533" t="n">
        <v>0</v>
      </c>
      <c r="L533" t="n">
        <v>0</v>
      </c>
      <c r="M533" t="n">
        <v>0</v>
      </c>
      <c r="N533" t="n">
        <v>0</v>
      </c>
      <c r="O533" t="n">
        <v>0</v>
      </c>
      <c r="P533" t="n">
        <v>0</v>
      </c>
      <c r="Q533" t="n">
        <v>0</v>
      </c>
      <c r="R533" s="2" t="inlineStr"/>
    </row>
    <row r="534" ht="15" customHeight="1">
      <c r="A534" t="inlineStr">
        <is>
          <t>A 1175-2025</t>
        </is>
      </c>
      <c r="B534" s="1" t="n">
        <v>45667.34449074074</v>
      </c>
      <c r="C534" s="1" t="n">
        <v>45967</v>
      </c>
      <c r="D534" t="inlineStr">
        <is>
          <t>GOTLANDS LÄN</t>
        </is>
      </c>
      <c r="E534" t="inlineStr">
        <is>
          <t>GOTLAND</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27371-2025</t>
        </is>
      </c>
      <c r="B535" s="1" t="n">
        <v>45812</v>
      </c>
      <c r="C535" s="1" t="n">
        <v>45967</v>
      </c>
      <c r="D535" t="inlineStr">
        <is>
          <t>GOTLANDS LÄN</t>
        </is>
      </c>
      <c r="E535" t="inlineStr">
        <is>
          <t>GOTLAND</t>
        </is>
      </c>
      <c r="G535" t="n">
        <v>8</v>
      </c>
      <c r="H535" t="n">
        <v>0</v>
      </c>
      <c r="I535" t="n">
        <v>0</v>
      </c>
      <c r="J535" t="n">
        <v>0</v>
      </c>
      <c r="K535" t="n">
        <v>0</v>
      </c>
      <c r="L535" t="n">
        <v>0</v>
      </c>
      <c r="M535" t="n">
        <v>0</v>
      </c>
      <c r="N535" t="n">
        <v>0</v>
      </c>
      <c r="O535" t="n">
        <v>0</v>
      </c>
      <c r="P535" t="n">
        <v>0</v>
      </c>
      <c r="Q535" t="n">
        <v>0</v>
      </c>
      <c r="R535" s="2" t="inlineStr"/>
    </row>
    <row r="536" ht="15" customHeight="1">
      <c r="A536" t="inlineStr">
        <is>
          <t>A 27095-2022</t>
        </is>
      </c>
      <c r="B536" s="1" t="n">
        <v>44741</v>
      </c>
      <c r="C536" s="1" t="n">
        <v>45967</v>
      </c>
      <c r="D536" t="inlineStr">
        <is>
          <t>GOTLANDS LÄN</t>
        </is>
      </c>
      <c r="E536" t="inlineStr">
        <is>
          <t>GOTLAND</t>
        </is>
      </c>
      <c r="F536" t="inlineStr">
        <is>
          <t>Övriga Aktiebolag</t>
        </is>
      </c>
      <c r="G536" t="n">
        <v>2.9</v>
      </c>
      <c r="H536" t="n">
        <v>0</v>
      </c>
      <c r="I536" t="n">
        <v>0</v>
      </c>
      <c r="J536" t="n">
        <v>0</v>
      </c>
      <c r="K536" t="n">
        <v>0</v>
      </c>
      <c r="L536" t="n">
        <v>0</v>
      </c>
      <c r="M536" t="n">
        <v>0</v>
      </c>
      <c r="N536" t="n">
        <v>0</v>
      </c>
      <c r="O536" t="n">
        <v>0</v>
      </c>
      <c r="P536" t="n">
        <v>0</v>
      </c>
      <c r="Q536" t="n">
        <v>0</v>
      </c>
      <c r="R536" s="2" t="inlineStr"/>
    </row>
    <row r="537" ht="15" customHeight="1">
      <c r="A537" t="inlineStr">
        <is>
          <t>A 22899-2023</t>
        </is>
      </c>
      <c r="B537" s="1" t="n">
        <v>45072</v>
      </c>
      <c r="C537" s="1" t="n">
        <v>45967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27355-2025</t>
        </is>
      </c>
      <c r="B538" s="1" t="n">
        <v>45812</v>
      </c>
      <c r="C538" s="1" t="n">
        <v>45967</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23978-2023</t>
        </is>
      </c>
      <c r="B539" s="1" t="n">
        <v>45078</v>
      </c>
      <c r="C539" s="1" t="n">
        <v>45967</v>
      </c>
      <c r="D539" t="inlineStr">
        <is>
          <t>GOTLANDS LÄN</t>
        </is>
      </c>
      <c r="E539" t="inlineStr">
        <is>
          <t>GOTLAND</t>
        </is>
      </c>
      <c r="F539" t="inlineStr">
        <is>
          <t>Naturvårdsverket</t>
        </is>
      </c>
      <c r="G539" t="n">
        <v>1.7</v>
      </c>
      <c r="H539" t="n">
        <v>0</v>
      </c>
      <c r="I539" t="n">
        <v>0</v>
      </c>
      <c r="J539" t="n">
        <v>0</v>
      </c>
      <c r="K539" t="n">
        <v>0</v>
      </c>
      <c r="L539" t="n">
        <v>0</v>
      </c>
      <c r="M539" t="n">
        <v>0</v>
      </c>
      <c r="N539" t="n">
        <v>0</v>
      </c>
      <c r="O539" t="n">
        <v>0</v>
      </c>
      <c r="P539" t="n">
        <v>0</v>
      </c>
      <c r="Q539" t="n">
        <v>0</v>
      </c>
      <c r="R539" s="2" t="inlineStr"/>
    </row>
    <row r="540" ht="15" customHeight="1">
      <c r="A540" t="inlineStr">
        <is>
          <t>A 6739-2025</t>
        </is>
      </c>
      <c r="B540" s="1" t="n">
        <v>45700</v>
      </c>
      <c r="C540" s="1" t="n">
        <v>45967</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7850-2025</t>
        </is>
      </c>
      <c r="B541" s="1" t="n">
        <v>45706</v>
      </c>
      <c r="C541" s="1" t="n">
        <v>45967</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34407-2023</t>
        </is>
      </c>
      <c r="B542" s="1" t="n">
        <v>45132</v>
      </c>
      <c r="C542" s="1" t="n">
        <v>45967</v>
      </c>
      <c r="D542" t="inlineStr">
        <is>
          <t>GOTLANDS LÄN</t>
        </is>
      </c>
      <c r="E542" t="inlineStr">
        <is>
          <t>GOTLAND</t>
        </is>
      </c>
      <c r="G542" t="n">
        <v>4.4</v>
      </c>
      <c r="H542" t="n">
        <v>0</v>
      </c>
      <c r="I542" t="n">
        <v>0</v>
      </c>
      <c r="J542" t="n">
        <v>0</v>
      </c>
      <c r="K542" t="n">
        <v>0</v>
      </c>
      <c r="L542" t="n">
        <v>0</v>
      </c>
      <c r="M542" t="n">
        <v>0</v>
      </c>
      <c r="N542" t="n">
        <v>0</v>
      </c>
      <c r="O542" t="n">
        <v>0</v>
      </c>
      <c r="P542" t="n">
        <v>0</v>
      </c>
      <c r="Q542" t="n">
        <v>0</v>
      </c>
      <c r="R542" s="2" t="inlineStr"/>
    </row>
    <row r="543" ht="15" customHeight="1">
      <c r="A543" t="inlineStr">
        <is>
          <t>A 11013-2024</t>
        </is>
      </c>
      <c r="B543" s="1" t="n">
        <v>45370</v>
      </c>
      <c r="C543" s="1" t="n">
        <v>45967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27694-2024</t>
        </is>
      </c>
      <c r="B544" s="1" t="n">
        <v>45475</v>
      </c>
      <c r="C544" s="1" t="n">
        <v>45967</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15083-2025</t>
        </is>
      </c>
      <c r="B545" s="1" t="n">
        <v>45743</v>
      </c>
      <c r="C545" s="1" t="n">
        <v>45967</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13037-2025</t>
        </is>
      </c>
      <c r="B546" s="1" t="n">
        <v>45734</v>
      </c>
      <c r="C546" s="1" t="n">
        <v>45967</v>
      </c>
      <c r="D546" t="inlineStr">
        <is>
          <t>GOTLANDS LÄN</t>
        </is>
      </c>
      <c r="E546" t="inlineStr">
        <is>
          <t>GOTLAND</t>
        </is>
      </c>
      <c r="G546" t="n">
        <v>9.5</v>
      </c>
      <c r="H546" t="n">
        <v>0</v>
      </c>
      <c r="I546" t="n">
        <v>0</v>
      </c>
      <c r="J546" t="n">
        <v>0</v>
      </c>
      <c r="K546" t="n">
        <v>0</v>
      </c>
      <c r="L546" t="n">
        <v>0</v>
      </c>
      <c r="M546" t="n">
        <v>0</v>
      </c>
      <c r="N546" t="n">
        <v>0</v>
      </c>
      <c r="O546" t="n">
        <v>0</v>
      </c>
      <c r="P546" t="n">
        <v>0</v>
      </c>
      <c r="Q546" t="n">
        <v>0</v>
      </c>
      <c r="R546" s="2" t="inlineStr"/>
    </row>
    <row r="547" ht="15" customHeight="1">
      <c r="A547" t="inlineStr">
        <is>
          <t>A 458-2023</t>
        </is>
      </c>
      <c r="B547" s="1" t="n">
        <v>44929</v>
      </c>
      <c r="C547" s="1" t="n">
        <v>45967</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8444-2025</t>
        </is>
      </c>
      <c r="B548" s="1" t="n">
        <v>45709</v>
      </c>
      <c r="C548" s="1" t="n">
        <v>45967</v>
      </c>
      <c r="D548" t="inlineStr">
        <is>
          <t>GOTLANDS LÄN</t>
        </is>
      </c>
      <c r="E548" t="inlineStr">
        <is>
          <t>GOTLAND</t>
        </is>
      </c>
      <c r="G548" t="n">
        <v>5.2</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45967</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45967</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49884-2023</t>
        </is>
      </c>
      <c r="B551" s="1" t="n">
        <v>45213</v>
      </c>
      <c r="C551" s="1" t="n">
        <v>45967</v>
      </c>
      <c r="D551" t="inlineStr">
        <is>
          <t>GOTLANDS LÄN</t>
        </is>
      </c>
      <c r="E551" t="inlineStr">
        <is>
          <t>GOTLAND</t>
        </is>
      </c>
      <c r="G551" t="n">
        <v>8.9</v>
      </c>
      <c r="H551" t="n">
        <v>0</v>
      </c>
      <c r="I551" t="n">
        <v>0</v>
      </c>
      <c r="J551" t="n">
        <v>0</v>
      </c>
      <c r="K551" t="n">
        <v>0</v>
      </c>
      <c r="L551" t="n">
        <v>0</v>
      </c>
      <c r="M551" t="n">
        <v>0</v>
      </c>
      <c r="N551" t="n">
        <v>0</v>
      </c>
      <c r="O551" t="n">
        <v>0</v>
      </c>
      <c r="P551" t="n">
        <v>0</v>
      </c>
      <c r="Q551" t="n">
        <v>0</v>
      </c>
      <c r="R551" s="2" t="inlineStr"/>
    </row>
    <row r="552" ht="15" customHeight="1">
      <c r="A552" t="inlineStr">
        <is>
          <t>A 19905-2025</t>
        </is>
      </c>
      <c r="B552" s="1" t="n">
        <v>45771</v>
      </c>
      <c r="C552" s="1" t="n">
        <v>45967</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29196-2025</t>
        </is>
      </c>
      <c r="B553" s="1" t="n">
        <v>45822</v>
      </c>
      <c r="C553" s="1" t="n">
        <v>45967</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876-2024</t>
        </is>
      </c>
      <c r="B554" s="1" t="n">
        <v>45301</v>
      </c>
      <c r="C554" s="1" t="n">
        <v>45967</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29207-2025</t>
        </is>
      </c>
      <c r="B555" s="1" t="n">
        <v>45823</v>
      </c>
      <c r="C555" s="1" t="n">
        <v>45967</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22704-2023</t>
        </is>
      </c>
      <c r="B556" s="1" t="n">
        <v>45071</v>
      </c>
      <c r="C556" s="1" t="n">
        <v>45967</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28425-2023</t>
        </is>
      </c>
      <c r="B557" s="1" t="n">
        <v>45102</v>
      </c>
      <c r="C557" s="1" t="n">
        <v>45967</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45967</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30061-2025</t>
        </is>
      </c>
      <c r="B559" s="1" t="n">
        <v>45826.61488425926</v>
      </c>
      <c r="C559" s="1" t="n">
        <v>45967</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43200-2023</t>
        </is>
      </c>
      <c r="B560" s="1" t="n">
        <v>45183</v>
      </c>
      <c r="C560" s="1" t="n">
        <v>45967</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43223-2023</t>
        </is>
      </c>
      <c r="B561" s="1" t="n">
        <v>45183.45642361111</v>
      </c>
      <c r="C561" s="1" t="n">
        <v>45967</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12327-2025</t>
        </is>
      </c>
      <c r="B562" s="1" t="n">
        <v>45730</v>
      </c>
      <c r="C562" s="1" t="n">
        <v>45967</v>
      </c>
      <c r="D562" t="inlineStr">
        <is>
          <t>GOTLANDS LÄN</t>
        </is>
      </c>
      <c r="E562" t="inlineStr">
        <is>
          <t>GOTLAND</t>
        </is>
      </c>
      <c r="G562" t="n">
        <v>1.8</v>
      </c>
      <c r="H562" t="n">
        <v>0</v>
      </c>
      <c r="I562" t="n">
        <v>0</v>
      </c>
      <c r="J562" t="n">
        <v>0</v>
      </c>
      <c r="K562" t="n">
        <v>0</v>
      </c>
      <c r="L562" t="n">
        <v>0</v>
      </c>
      <c r="M562" t="n">
        <v>0</v>
      </c>
      <c r="N562" t="n">
        <v>0</v>
      </c>
      <c r="O562" t="n">
        <v>0</v>
      </c>
      <c r="P562" t="n">
        <v>0</v>
      </c>
      <c r="Q562" t="n">
        <v>0</v>
      </c>
      <c r="R562" s="2" t="inlineStr"/>
    </row>
    <row r="563" ht="15" customHeight="1">
      <c r="A563" t="inlineStr">
        <is>
          <t>A 3431-2025</t>
        </is>
      </c>
      <c r="B563" s="1" t="n">
        <v>45680.42935185185</v>
      </c>
      <c r="C563" s="1" t="n">
        <v>45967</v>
      </c>
      <c r="D563" t="inlineStr">
        <is>
          <t>GOTLANDS LÄN</t>
        </is>
      </c>
      <c r="E563" t="inlineStr">
        <is>
          <t>GOTLAND</t>
        </is>
      </c>
      <c r="G563" t="n">
        <v>4.8</v>
      </c>
      <c r="H563" t="n">
        <v>0</v>
      </c>
      <c r="I563" t="n">
        <v>0</v>
      </c>
      <c r="J563" t="n">
        <v>0</v>
      </c>
      <c r="K563" t="n">
        <v>0</v>
      </c>
      <c r="L563" t="n">
        <v>0</v>
      </c>
      <c r="M563" t="n">
        <v>0</v>
      </c>
      <c r="N563" t="n">
        <v>0</v>
      </c>
      <c r="O563" t="n">
        <v>0</v>
      </c>
      <c r="P563" t="n">
        <v>0</v>
      </c>
      <c r="Q563" t="n">
        <v>0</v>
      </c>
      <c r="R563" s="2" t="inlineStr"/>
    </row>
    <row r="564" ht="15" customHeight="1">
      <c r="A564" t="inlineStr">
        <is>
          <t>A 58160-2024</t>
        </is>
      </c>
      <c r="B564" s="1" t="n">
        <v>45632.44927083333</v>
      </c>
      <c r="C564" s="1" t="n">
        <v>45967</v>
      </c>
      <c r="D564" t="inlineStr">
        <is>
          <t>GOTLANDS LÄN</t>
        </is>
      </c>
      <c r="E564" t="inlineStr">
        <is>
          <t>GOTLAND</t>
        </is>
      </c>
      <c r="G564" t="n">
        <v>5.6</v>
      </c>
      <c r="H564" t="n">
        <v>0</v>
      </c>
      <c r="I564" t="n">
        <v>0</v>
      </c>
      <c r="J564" t="n">
        <v>0</v>
      </c>
      <c r="K564" t="n">
        <v>0</v>
      </c>
      <c r="L564" t="n">
        <v>0</v>
      </c>
      <c r="M564" t="n">
        <v>0</v>
      </c>
      <c r="N564" t="n">
        <v>0</v>
      </c>
      <c r="O564" t="n">
        <v>0</v>
      </c>
      <c r="P564" t="n">
        <v>0</v>
      </c>
      <c r="Q564" t="n">
        <v>0</v>
      </c>
      <c r="R564" s="2" t="inlineStr"/>
    </row>
    <row r="565" ht="15" customHeight="1">
      <c r="A565" t="inlineStr">
        <is>
          <t>A 12209-2024</t>
        </is>
      </c>
      <c r="B565" s="1" t="n">
        <v>45378</v>
      </c>
      <c r="C565" s="1" t="n">
        <v>45967</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12210-2024</t>
        </is>
      </c>
      <c r="B566" s="1" t="n">
        <v>45378</v>
      </c>
      <c r="C566" s="1" t="n">
        <v>45967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1364-2025</t>
        </is>
      </c>
      <c r="B567" s="1" t="n">
        <v>45667.63929398148</v>
      </c>
      <c r="C567" s="1" t="n">
        <v>45967</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15042-2025</t>
        </is>
      </c>
      <c r="B568" s="1" t="n">
        <v>45743</v>
      </c>
      <c r="C568" s="1" t="n">
        <v>45967</v>
      </c>
      <c r="D568" t="inlineStr">
        <is>
          <t>GOTLANDS LÄN</t>
        </is>
      </c>
      <c r="E568" t="inlineStr">
        <is>
          <t>GOTLAND</t>
        </is>
      </c>
      <c r="G568" t="n">
        <v>8.5</v>
      </c>
      <c r="H568" t="n">
        <v>0</v>
      </c>
      <c r="I568" t="n">
        <v>0</v>
      </c>
      <c r="J568" t="n">
        <v>0</v>
      </c>
      <c r="K568" t="n">
        <v>0</v>
      </c>
      <c r="L568" t="n">
        <v>0</v>
      </c>
      <c r="M568" t="n">
        <v>0</v>
      </c>
      <c r="N568" t="n">
        <v>0</v>
      </c>
      <c r="O568" t="n">
        <v>0</v>
      </c>
      <c r="P568" t="n">
        <v>0</v>
      </c>
      <c r="Q568" t="n">
        <v>0</v>
      </c>
      <c r="R568" s="2" t="inlineStr"/>
    </row>
    <row r="569" ht="15" customHeight="1">
      <c r="A569" t="inlineStr">
        <is>
          <t>A 2180-2025</t>
        </is>
      </c>
      <c r="B569" s="1" t="n">
        <v>45673</v>
      </c>
      <c r="C569" s="1" t="n">
        <v>45967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15436-2025</t>
        </is>
      </c>
      <c r="B570" s="1" t="n">
        <v>45747.47462962963</v>
      </c>
      <c r="C570" s="1" t="n">
        <v>45967</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49257-2024</t>
        </is>
      </c>
      <c r="B571" s="1" t="n">
        <v>45595.47627314815</v>
      </c>
      <c r="C571" s="1" t="n">
        <v>45967</v>
      </c>
      <c r="D571" t="inlineStr">
        <is>
          <t>GOTLANDS LÄN</t>
        </is>
      </c>
      <c r="E571" t="inlineStr">
        <is>
          <t>GOTLAND</t>
        </is>
      </c>
      <c r="G571" t="n">
        <v>6.3</v>
      </c>
      <c r="H571" t="n">
        <v>0</v>
      </c>
      <c r="I571" t="n">
        <v>0</v>
      </c>
      <c r="J571" t="n">
        <v>0</v>
      </c>
      <c r="K571" t="n">
        <v>0</v>
      </c>
      <c r="L571" t="n">
        <v>0</v>
      </c>
      <c r="M571" t="n">
        <v>0</v>
      </c>
      <c r="N571" t="n">
        <v>0</v>
      </c>
      <c r="O571" t="n">
        <v>0</v>
      </c>
      <c r="P571" t="n">
        <v>0</v>
      </c>
      <c r="Q571" t="n">
        <v>0</v>
      </c>
      <c r="R571" s="2" t="inlineStr"/>
    </row>
    <row r="572" ht="15" customHeight="1">
      <c r="A572" t="inlineStr">
        <is>
          <t>A 37202-2024</t>
        </is>
      </c>
      <c r="B572" s="1" t="n">
        <v>45539.67310185185</v>
      </c>
      <c r="C572" s="1" t="n">
        <v>45967</v>
      </c>
      <c r="D572" t="inlineStr">
        <is>
          <t>GOTLANDS LÄN</t>
        </is>
      </c>
      <c r="E572" t="inlineStr">
        <is>
          <t>GOTLAND</t>
        </is>
      </c>
      <c r="G572" t="n">
        <v>0.3</v>
      </c>
      <c r="H572" t="n">
        <v>0</v>
      </c>
      <c r="I572" t="n">
        <v>0</v>
      </c>
      <c r="J572" t="n">
        <v>0</v>
      </c>
      <c r="K572" t="n">
        <v>0</v>
      </c>
      <c r="L572" t="n">
        <v>0</v>
      </c>
      <c r="M572" t="n">
        <v>0</v>
      </c>
      <c r="N572" t="n">
        <v>0</v>
      </c>
      <c r="O572" t="n">
        <v>0</v>
      </c>
      <c r="P572" t="n">
        <v>0</v>
      </c>
      <c r="Q572" t="n">
        <v>0</v>
      </c>
      <c r="R572" s="2" t="inlineStr"/>
    </row>
    <row r="573" ht="15" customHeight="1">
      <c r="A573" t="inlineStr">
        <is>
          <t>A 56115-2023</t>
        </is>
      </c>
      <c r="B573" s="1" t="n">
        <v>45236</v>
      </c>
      <c r="C573" s="1" t="n">
        <v>45967</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32379-2025</t>
        </is>
      </c>
      <c r="B574" s="1" t="n">
        <v>45837</v>
      </c>
      <c r="C574" s="1" t="n">
        <v>45967</v>
      </c>
      <c r="D574" t="inlineStr">
        <is>
          <t>GOTLANDS LÄN</t>
        </is>
      </c>
      <c r="E574" t="inlineStr">
        <is>
          <t>GOTLAND</t>
        </is>
      </c>
      <c r="G574" t="n">
        <v>1</v>
      </c>
      <c r="H574" t="n">
        <v>0</v>
      </c>
      <c r="I574" t="n">
        <v>0</v>
      </c>
      <c r="J574" t="n">
        <v>0</v>
      </c>
      <c r="K574" t="n">
        <v>0</v>
      </c>
      <c r="L574" t="n">
        <v>0</v>
      </c>
      <c r="M574" t="n">
        <v>0</v>
      </c>
      <c r="N574" t="n">
        <v>0</v>
      </c>
      <c r="O574" t="n">
        <v>0</v>
      </c>
      <c r="P574" t="n">
        <v>0</v>
      </c>
      <c r="Q574" t="n">
        <v>0</v>
      </c>
      <c r="R574" s="2" t="inlineStr"/>
    </row>
    <row r="575" ht="15" customHeight="1">
      <c r="A575" t="inlineStr">
        <is>
          <t>A 32467-2025</t>
        </is>
      </c>
      <c r="B575" s="1" t="n">
        <v>45838.42111111111</v>
      </c>
      <c r="C575" s="1" t="n">
        <v>45967</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45967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2774-2024</t>
        </is>
      </c>
      <c r="B577" s="1" t="n">
        <v>45314.62375</v>
      </c>
      <c r="C577" s="1" t="n">
        <v>45967</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16109-2025</t>
        </is>
      </c>
      <c r="B578" s="1" t="n">
        <v>45750</v>
      </c>
      <c r="C578" s="1" t="n">
        <v>45967</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60709-2023</t>
        </is>
      </c>
      <c r="B579" s="1" t="n">
        <v>45260</v>
      </c>
      <c r="C579" s="1" t="n">
        <v>45967</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33007-2025</t>
        </is>
      </c>
      <c r="B580" s="1" t="n">
        <v>45840</v>
      </c>
      <c r="C580" s="1" t="n">
        <v>45967</v>
      </c>
      <c r="D580" t="inlineStr">
        <is>
          <t>GOTLANDS LÄN</t>
        </is>
      </c>
      <c r="E580" t="inlineStr">
        <is>
          <t>GOTLAND</t>
        </is>
      </c>
      <c r="G580" t="n">
        <v>4.9</v>
      </c>
      <c r="H580" t="n">
        <v>0</v>
      </c>
      <c r="I580" t="n">
        <v>0</v>
      </c>
      <c r="J580" t="n">
        <v>0</v>
      </c>
      <c r="K580" t="n">
        <v>0</v>
      </c>
      <c r="L580" t="n">
        <v>0</v>
      </c>
      <c r="M580" t="n">
        <v>0</v>
      </c>
      <c r="N580" t="n">
        <v>0</v>
      </c>
      <c r="O580" t="n">
        <v>0</v>
      </c>
      <c r="P580" t="n">
        <v>0</v>
      </c>
      <c r="Q580" t="n">
        <v>0</v>
      </c>
      <c r="R580" s="2" t="inlineStr"/>
    </row>
    <row r="581" ht="15" customHeight="1">
      <c r="A581" t="inlineStr">
        <is>
          <t>A 64208-2021</t>
        </is>
      </c>
      <c r="B581" s="1" t="n">
        <v>44510</v>
      </c>
      <c r="C581" s="1" t="n">
        <v>45967</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39764-2022</t>
        </is>
      </c>
      <c r="B582" s="1" t="n">
        <v>44819</v>
      </c>
      <c r="C582" s="1" t="n">
        <v>45967</v>
      </c>
      <c r="D582" t="inlineStr">
        <is>
          <t>GOTLANDS LÄN</t>
        </is>
      </c>
      <c r="E582" t="inlineStr">
        <is>
          <t>GOTLAND</t>
        </is>
      </c>
      <c r="F582" t="inlineStr">
        <is>
          <t>Kyrkan</t>
        </is>
      </c>
      <c r="G582" t="n">
        <v>3.7</v>
      </c>
      <c r="H582" t="n">
        <v>0</v>
      </c>
      <c r="I582" t="n">
        <v>0</v>
      </c>
      <c r="J582" t="n">
        <v>0</v>
      </c>
      <c r="K582" t="n">
        <v>0</v>
      </c>
      <c r="L582" t="n">
        <v>0</v>
      </c>
      <c r="M582" t="n">
        <v>0</v>
      </c>
      <c r="N582" t="n">
        <v>0</v>
      </c>
      <c r="O582" t="n">
        <v>0</v>
      </c>
      <c r="P582" t="n">
        <v>0</v>
      </c>
      <c r="Q582" t="n">
        <v>0</v>
      </c>
      <c r="R582" s="2" t="inlineStr"/>
    </row>
    <row r="583" ht="15" customHeight="1">
      <c r="A583" t="inlineStr">
        <is>
          <t>A 58211-2024</t>
        </is>
      </c>
      <c r="B583" s="1" t="n">
        <v>45632.49292824074</v>
      </c>
      <c r="C583" s="1" t="n">
        <v>45967</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30956-2024</t>
        </is>
      </c>
      <c r="B584" s="1" t="n">
        <v>45499.42527777778</v>
      </c>
      <c r="C584" s="1" t="n">
        <v>45967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30892-2024</t>
        </is>
      </c>
      <c r="B585" s="1" t="n">
        <v>45491</v>
      </c>
      <c r="C585" s="1" t="n">
        <v>45967</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14635-2023</t>
        </is>
      </c>
      <c r="B586" s="1" t="n">
        <v>45013.69365740741</v>
      </c>
      <c r="C586" s="1" t="n">
        <v>45967</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59469-2024</t>
        </is>
      </c>
      <c r="B587" s="1" t="n">
        <v>45638</v>
      </c>
      <c r="C587" s="1" t="n">
        <v>45967</v>
      </c>
      <c r="D587" t="inlineStr">
        <is>
          <t>GOTLANDS LÄN</t>
        </is>
      </c>
      <c r="E587" t="inlineStr">
        <is>
          <t>GOTLAND</t>
        </is>
      </c>
      <c r="G587" t="n">
        <v>0.4</v>
      </c>
      <c r="H587" t="n">
        <v>0</v>
      </c>
      <c r="I587" t="n">
        <v>0</v>
      </c>
      <c r="J587" t="n">
        <v>0</v>
      </c>
      <c r="K587" t="n">
        <v>0</v>
      </c>
      <c r="L587" t="n">
        <v>0</v>
      </c>
      <c r="M587" t="n">
        <v>0</v>
      </c>
      <c r="N587" t="n">
        <v>0</v>
      </c>
      <c r="O587" t="n">
        <v>0</v>
      </c>
      <c r="P587" t="n">
        <v>0</v>
      </c>
      <c r="Q587" t="n">
        <v>0</v>
      </c>
      <c r="R587" s="2" t="inlineStr"/>
    </row>
    <row r="588" ht="15" customHeight="1">
      <c r="A588" t="inlineStr">
        <is>
          <t>A 7858-2025</t>
        </is>
      </c>
      <c r="B588" s="1" t="n">
        <v>45706.68633101852</v>
      </c>
      <c r="C588" s="1" t="n">
        <v>45967</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15413-2025</t>
        </is>
      </c>
      <c r="B589" s="1" t="n">
        <v>45747.451875</v>
      </c>
      <c r="C589" s="1" t="n">
        <v>45967</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35123-2025</t>
        </is>
      </c>
      <c r="B590" s="1" t="n">
        <v>45852.614375</v>
      </c>
      <c r="C590" s="1" t="n">
        <v>45967</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35096-2025</t>
        </is>
      </c>
      <c r="B591" s="1" t="n">
        <v>45852.54356481481</v>
      </c>
      <c r="C591" s="1" t="n">
        <v>45967</v>
      </c>
      <c r="D591" t="inlineStr">
        <is>
          <t>GOTLANDS LÄN</t>
        </is>
      </c>
      <c r="E591" t="inlineStr">
        <is>
          <t>GOTLAND</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30104-2025</t>
        </is>
      </c>
      <c r="B592" s="1" t="n">
        <v>45826.68806712963</v>
      </c>
      <c r="C592" s="1" t="n">
        <v>45967</v>
      </c>
      <c r="D592" t="inlineStr">
        <is>
          <t>GOTLANDS LÄN</t>
        </is>
      </c>
      <c r="E592" t="inlineStr">
        <is>
          <t>GOTLAND</t>
        </is>
      </c>
      <c r="G592" t="n">
        <v>15.4</v>
      </c>
      <c r="H592" t="n">
        <v>0</v>
      </c>
      <c r="I592" t="n">
        <v>0</v>
      </c>
      <c r="J592" t="n">
        <v>0</v>
      </c>
      <c r="K592" t="n">
        <v>0</v>
      </c>
      <c r="L592" t="n">
        <v>0</v>
      </c>
      <c r="M592" t="n">
        <v>0</v>
      </c>
      <c r="N592" t="n">
        <v>0</v>
      </c>
      <c r="O592" t="n">
        <v>0</v>
      </c>
      <c r="P592" t="n">
        <v>0</v>
      </c>
      <c r="Q592" t="n">
        <v>0</v>
      </c>
      <c r="R592" s="2" t="inlineStr"/>
    </row>
    <row r="593" ht="15" customHeight="1">
      <c r="A593" t="inlineStr">
        <is>
          <t>A 35290-2025</t>
        </is>
      </c>
      <c r="B593" s="1" t="n">
        <v>45854.38502314815</v>
      </c>
      <c r="C593" s="1" t="n">
        <v>45967</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32669-2024</t>
        </is>
      </c>
      <c r="B594" s="1" t="n">
        <v>45514</v>
      </c>
      <c r="C594" s="1" t="n">
        <v>45967</v>
      </c>
      <c r="D594" t="inlineStr">
        <is>
          <t>GOTLANDS LÄN</t>
        </is>
      </c>
      <c r="E594" t="inlineStr">
        <is>
          <t>GOTLAND</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35537-2025</t>
        </is>
      </c>
      <c r="B595" s="1" t="n">
        <v>45856</v>
      </c>
      <c r="C595" s="1" t="n">
        <v>45967</v>
      </c>
      <c r="D595" t="inlineStr">
        <is>
          <t>GOTLANDS LÄN</t>
        </is>
      </c>
      <c r="E595" t="inlineStr">
        <is>
          <t>GOTLAND</t>
        </is>
      </c>
      <c r="G595" t="n">
        <v>16.8</v>
      </c>
      <c r="H595" t="n">
        <v>0</v>
      </c>
      <c r="I595" t="n">
        <v>0</v>
      </c>
      <c r="J595" t="n">
        <v>0</v>
      </c>
      <c r="K595" t="n">
        <v>0</v>
      </c>
      <c r="L595" t="n">
        <v>0</v>
      </c>
      <c r="M595" t="n">
        <v>0</v>
      </c>
      <c r="N595" t="n">
        <v>0</v>
      </c>
      <c r="O595" t="n">
        <v>0</v>
      </c>
      <c r="P595" t="n">
        <v>0</v>
      </c>
      <c r="Q595" t="n">
        <v>0</v>
      </c>
      <c r="R595" s="2" t="inlineStr"/>
    </row>
    <row r="596" ht="15" customHeight="1">
      <c r="A596" t="inlineStr">
        <is>
          <t>A 35550-2025</t>
        </is>
      </c>
      <c r="B596" s="1" t="n">
        <v>45856.49324074074</v>
      </c>
      <c r="C596" s="1" t="n">
        <v>45967</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15216-2025</t>
        </is>
      </c>
      <c r="B597" s="1" t="n">
        <v>45744</v>
      </c>
      <c r="C597" s="1" t="n">
        <v>45967</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43790-2024</t>
        </is>
      </c>
      <c r="B598" s="1" t="n">
        <v>45571</v>
      </c>
      <c r="C598" s="1" t="n">
        <v>45967</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15001-2025</t>
        </is>
      </c>
      <c r="B599" s="1" t="n">
        <v>45743</v>
      </c>
      <c r="C599" s="1" t="n">
        <v>45967</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30488-2025</t>
        </is>
      </c>
      <c r="B600" s="1" t="n">
        <v>45830</v>
      </c>
      <c r="C600" s="1" t="n">
        <v>45967</v>
      </c>
      <c r="D600" t="inlineStr">
        <is>
          <t>GOTLANDS LÄN</t>
        </is>
      </c>
      <c r="E600" t="inlineStr">
        <is>
          <t>GOTLAND</t>
        </is>
      </c>
      <c r="F600" t="inlineStr">
        <is>
          <t>Kyrkan</t>
        </is>
      </c>
      <c r="G600" t="n">
        <v>3.9</v>
      </c>
      <c r="H600" t="n">
        <v>0</v>
      </c>
      <c r="I600" t="n">
        <v>0</v>
      </c>
      <c r="J600" t="n">
        <v>0</v>
      </c>
      <c r="K600" t="n">
        <v>0</v>
      </c>
      <c r="L600" t="n">
        <v>0</v>
      </c>
      <c r="M600" t="n">
        <v>0</v>
      </c>
      <c r="N600" t="n">
        <v>0</v>
      </c>
      <c r="O600" t="n">
        <v>0</v>
      </c>
      <c r="P600" t="n">
        <v>0</v>
      </c>
      <c r="Q600" t="n">
        <v>0</v>
      </c>
      <c r="R600" s="2" t="inlineStr"/>
    </row>
    <row r="601" ht="15" customHeight="1">
      <c r="A601" t="inlineStr">
        <is>
          <t>A 17847-2025</t>
        </is>
      </c>
      <c r="B601" s="1" t="n">
        <v>45758</v>
      </c>
      <c r="C601" s="1" t="n">
        <v>45967</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18742-2025</t>
        </is>
      </c>
      <c r="B602" s="1" t="n">
        <v>45763</v>
      </c>
      <c r="C602" s="1" t="n">
        <v>45967</v>
      </c>
      <c r="D602" t="inlineStr">
        <is>
          <t>GOTLANDS LÄN</t>
        </is>
      </c>
      <c r="E602" t="inlineStr">
        <is>
          <t>GOTLAND</t>
        </is>
      </c>
      <c r="G602" t="n">
        <v>3.4</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45967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35129-2025</t>
        </is>
      </c>
      <c r="B604" s="1" t="n">
        <v>45852.63224537037</v>
      </c>
      <c r="C604" s="1" t="n">
        <v>45967</v>
      </c>
      <c r="D604" t="inlineStr">
        <is>
          <t>GOTLANDS LÄN</t>
        </is>
      </c>
      <c r="E604" t="inlineStr">
        <is>
          <t>GOTLAND</t>
        </is>
      </c>
      <c r="G604" t="n">
        <v>3.2</v>
      </c>
      <c r="H604" t="n">
        <v>0</v>
      </c>
      <c r="I604" t="n">
        <v>0</v>
      </c>
      <c r="J604" t="n">
        <v>0</v>
      </c>
      <c r="K604" t="n">
        <v>0</v>
      </c>
      <c r="L604" t="n">
        <v>0</v>
      </c>
      <c r="M604" t="n">
        <v>0</v>
      </c>
      <c r="N604" t="n">
        <v>0</v>
      </c>
      <c r="O604" t="n">
        <v>0</v>
      </c>
      <c r="P604" t="n">
        <v>0</v>
      </c>
      <c r="Q604" t="n">
        <v>0</v>
      </c>
      <c r="R604" s="2" t="inlineStr"/>
    </row>
    <row r="605" ht="15" customHeight="1">
      <c r="A605" t="inlineStr">
        <is>
          <t>A 6108-2025</t>
        </is>
      </c>
      <c r="B605" s="1" t="n">
        <v>45698.29880787037</v>
      </c>
      <c r="C605" s="1" t="n">
        <v>45967</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21142-2025</t>
        </is>
      </c>
      <c r="B606" s="1" t="n">
        <v>45779</v>
      </c>
      <c r="C606" s="1" t="n">
        <v>45967</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17343-2025</t>
        </is>
      </c>
      <c r="B607" s="1" t="n">
        <v>45756.6687037037</v>
      </c>
      <c r="C607" s="1" t="n">
        <v>45967</v>
      </c>
      <c r="D607" t="inlineStr">
        <is>
          <t>GOTLANDS LÄN</t>
        </is>
      </c>
      <c r="E607" t="inlineStr">
        <is>
          <t>GOTLAND</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18938-2025</t>
        </is>
      </c>
      <c r="B608" s="1" t="n">
        <v>45764.49172453704</v>
      </c>
      <c r="C608" s="1" t="n">
        <v>45967</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30489-2025</t>
        </is>
      </c>
      <c r="B609" s="1" t="n">
        <v>45830</v>
      </c>
      <c r="C609" s="1" t="n">
        <v>45967</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20307-2025</t>
        </is>
      </c>
      <c r="B610" s="1" t="n">
        <v>45774.95546296296</v>
      </c>
      <c r="C610" s="1" t="n">
        <v>45967</v>
      </c>
      <c r="D610" t="inlineStr">
        <is>
          <t>GOTLANDS LÄN</t>
        </is>
      </c>
      <c r="E610" t="inlineStr">
        <is>
          <t>GOTLAND</t>
        </is>
      </c>
      <c r="G610" t="n">
        <v>6.8</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2025-11-06T10:16:21Z</dcterms:created>
  <dcterms:modified xmlns:dcterms="http://purl.org/dc/terms/" xmlns:xsi="http://www.w3.org/2001/XMLSchema-instance" xsi:type="dcterms:W3CDTF">2025-11-06T10:16:22Z</dcterms:modified>
</cp:coreProperties>
</file>