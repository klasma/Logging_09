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45892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45892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45892</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45892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45892</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45892</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45892</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45892</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45892</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8645-2025</t>
        </is>
      </c>
      <c r="B11" s="1" t="n">
        <v>45712</v>
      </c>
      <c r="C11" s="1" t="n">
        <v>45892</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34100-2024</t>
        </is>
      </c>
      <c r="B12" s="1" t="n">
        <v>45523</v>
      </c>
      <c r="C12" s="1" t="n">
        <v>45892</v>
      </c>
      <c r="D12" t="inlineStr">
        <is>
          <t>GOTLANDS LÄN</t>
        </is>
      </c>
      <c r="E12" t="inlineStr">
        <is>
          <t>GOTLAND</t>
        </is>
      </c>
      <c r="F12" t="inlineStr">
        <is>
          <t>Övriga statliga verk och myndigheter</t>
        </is>
      </c>
      <c r="G12" t="n">
        <v>8.5</v>
      </c>
      <c r="H12" t="n">
        <v>3</v>
      </c>
      <c r="I12" t="n">
        <v>7</v>
      </c>
      <c r="J12" t="n">
        <v>3</v>
      </c>
      <c r="K12" t="n">
        <v>2</v>
      </c>
      <c r="L12" t="n">
        <v>0</v>
      </c>
      <c r="M12" t="n">
        <v>0</v>
      </c>
      <c r="N12" t="n">
        <v>0</v>
      </c>
      <c r="O12" t="n">
        <v>6</v>
      </c>
      <c r="P12" t="n">
        <v>2</v>
      </c>
      <c r="Q12" t="n">
        <v>16</v>
      </c>
      <c r="R1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2">
        <f>HYPERLINK("https://klasma.github.io/Logging_0980/artfynd/A 34100-2024 artfynd.xlsx", "A 34100-2024")</f>
        <v/>
      </c>
      <c r="T12">
        <f>HYPERLINK("https://klasma.github.io/Logging_0980/kartor/A 34100-2024 karta.png", "A 34100-2024")</f>
        <v/>
      </c>
      <c r="V12">
        <f>HYPERLINK("https://klasma.github.io/Logging_0980/klagomål/A 34100-2024 FSC-klagomål.docx", "A 34100-2024")</f>
        <v/>
      </c>
      <c r="W12">
        <f>HYPERLINK("https://klasma.github.io/Logging_0980/klagomålsmail/A 34100-2024 FSC-klagomål mail.docx", "A 34100-2024")</f>
        <v/>
      </c>
      <c r="X12">
        <f>HYPERLINK("https://klasma.github.io/Logging_0980/tillsyn/A 34100-2024 tillsynsbegäran.docx", "A 34100-2024")</f>
        <v/>
      </c>
      <c r="Y12">
        <f>HYPERLINK("https://klasma.github.io/Logging_0980/tillsynsmail/A 34100-2024 tillsynsbegäran mail.docx", "A 34100-2024")</f>
        <v/>
      </c>
      <c r="Z12">
        <f>HYPERLINK("https://klasma.github.io/Logging_0980/fåglar/A 34100-2024 prioriterade fågelarter.docx", "A 34100-2024")</f>
        <v/>
      </c>
    </row>
    <row r="13" ht="15" customHeight="1">
      <c r="A13" t="inlineStr">
        <is>
          <t>A 24575-2025</t>
        </is>
      </c>
      <c r="B13" s="1" t="n">
        <v>45798</v>
      </c>
      <c r="C13" s="1" t="n">
        <v>45892</v>
      </c>
      <c r="D13" t="inlineStr">
        <is>
          <t>GOTLANDS LÄN</t>
        </is>
      </c>
      <c r="E13" t="inlineStr">
        <is>
          <t>GOTLAND</t>
        </is>
      </c>
      <c r="G13" t="n">
        <v>6.7</v>
      </c>
      <c r="H13" t="n">
        <v>9</v>
      </c>
      <c r="I13" t="n">
        <v>6</v>
      </c>
      <c r="J13" t="n">
        <v>6</v>
      </c>
      <c r="K13" t="n">
        <v>1</v>
      </c>
      <c r="L13" t="n">
        <v>0</v>
      </c>
      <c r="M13" t="n">
        <v>0</v>
      </c>
      <c r="N13" t="n">
        <v>0</v>
      </c>
      <c r="O13" t="n">
        <v>7</v>
      </c>
      <c r="P13" t="n">
        <v>1</v>
      </c>
      <c r="Q13" t="n">
        <v>16</v>
      </c>
      <c r="R13" s="2" t="inlineStr">
        <is>
          <t>Knärot
Jordtistel
Reliktbock
Solvända
Spillkråka
Svinrot
Ängsstarr
Blåmossa
Nästrot
Skogsknipprot
Sårläka
Tvåblad
Vit skogslilja
Fläcknycklar
Nattviol
Sankt pers nycklar</t>
        </is>
      </c>
      <c r="S13">
        <f>HYPERLINK("https://klasma.github.io/Logging_0980/artfynd/A 24575-2025 artfynd.xlsx", "A 24575-2025")</f>
        <v/>
      </c>
      <c r="T13">
        <f>HYPERLINK("https://klasma.github.io/Logging_0980/kartor/A 24575-2025 karta.png", "A 24575-2025")</f>
        <v/>
      </c>
      <c r="U13">
        <f>HYPERLINK("https://klasma.github.io/Logging_0980/knärot/A 24575-2025 karta knärot.png", "A 24575-2025")</f>
        <v/>
      </c>
      <c r="V13">
        <f>HYPERLINK("https://klasma.github.io/Logging_0980/klagomål/A 24575-2025 FSC-klagomål.docx", "A 24575-2025")</f>
        <v/>
      </c>
      <c r="W13">
        <f>HYPERLINK("https://klasma.github.io/Logging_0980/klagomålsmail/A 24575-2025 FSC-klagomål mail.docx", "A 24575-2025")</f>
        <v/>
      </c>
      <c r="X13">
        <f>HYPERLINK("https://klasma.github.io/Logging_0980/tillsyn/A 24575-2025 tillsynsbegäran.docx", "A 24575-2025")</f>
        <v/>
      </c>
      <c r="Y13">
        <f>HYPERLINK("https://klasma.github.io/Logging_0980/tillsynsmail/A 24575-2025 tillsynsbegäran mail.docx", "A 24575-2025")</f>
        <v/>
      </c>
      <c r="Z13">
        <f>HYPERLINK("https://klasma.github.io/Logging_0980/fåglar/A 24575-2025 prioriterade fågelarter.docx", "A 24575-2025")</f>
        <v/>
      </c>
    </row>
    <row r="14" ht="15" customHeight="1">
      <c r="A14" t="inlineStr">
        <is>
          <t>A 61664-2023</t>
        </is>
      </c>
      <c r="B14" s="1" t="n">
        <v>45265</v>
      </c>
      <c r="C14" s="1" t="n">
        <v>45892</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4572-2025</t>
        </is>
      </c>
      <c r="B15" s="1" t="n">
        <v>45687</v>
      </c>
      <c r="C15" s="1" t="n">
        <v>45892</v>
      </c>
      <c r="D15" t="inlineStr">
        <is>
          <t>GOTLANDS LÄN</t>
        </is>
      </c>
      <c r="E15" t="inlineStr">
        <is>
          <t>GOTLAND</t>
        </is>
      </c>
      <c r="G15" t="n">
        <v>6.2</v>
      </c>
      <c r="H15" t="n">
        <v>12</v>
      </c>
      <c r="I15" t="n">
        <v>2</v>
      </c>
      <c r="J15" t="n">
        <v>8</v>
      </c>
      <c r="K15" t="n">
        <v>0</v>
      </c>
      <c r="L15" t="n">
        <v>1</v>
      </c>
      <c r="M15" t="n">
        <v>0</v>
      </c>
      <c r="N15" t="n">
        <v>0</v>
      </c>
      <c r="O15" t="n">
        <v>9</v>
      </c>
      <c r="P15" t="n">
        <v>1</v>
      </c>
      <c r="Q15" t="n">
        <v>16</v>
      </c>
      <c r="R15" s="2" t="inlineStr">
        <is>
          <t>Brun glada
Apollofjäril
Axveronika
Backtimjan
Havsörn
Jordtistel
Solvända
Spillkråka
Svartfläckig blåvinge
Purpurknipprot
Skogsknipprot
Brudsporre
Grönvit nattviol
Nattviol
Sankt pers nycklar
Blåsippa</t>
        </is>
      </c>
      <c r="S15">
        <f>HYPERLINK("https://klasma.github.io/Logging_0980/artfynd/A 4572-2025 artfynd.xlsx", "A 4572-2025")</f>
        <v/>
      </c>
      <c r="T15">
        <f>HYPERLINK("https://klasma.github.io/Logging_0980/kartor/A 4572-2025 karta.png", "A 4572-2025")</f>
        <v/>
      </c>
      <c r="V15">
        <f>HYPERLINK("https://klasma.github.io/Logging_0980/klagomål/A 4572-2025 FSC-klagomål.docx", "A 4572-2025")</f>
        <v/>
      </c>
      <c r="W15">
        <f>HYPERLINK("https://klasma.github.io/Logging_0980/klagomålsmail/A 4572-2025 FSC-klagomål mail.docx", "A 4572-2025")</f>
        <v/>
      </c>
      <c r="X15">
        <f>HYPERLINK("https://klasma.github.io/Logging_0980/tillsyn/A 4572-2025 tillsynsbegäran.docx", "A 4572-2025")</f>
        <v/>
      </c>
      <c r="Y15">
        <f>HYPERLINK("https://klasma.github.io/Logging_0980/tillsynsmail/A 4572-2025 tillsynsbegäran mail.docx", "A 4572-2025")</f>
        <v/>
      </c>
      <c r="Z15">
        <f>HYPERLINK("https://klasma.github.io/Logging_0980/fåglar/A 4572-2025 prioriterade fågelarter.docx", "A 4572-2025")</f>
        <v/>
      </c>
    </row>
    <row r="16" ht="15" customHeight="1">
      <c r="A16" t="inlineStr">
        <is>
          <t>A 17762-2024</t>
        </is>
      </c>
      <c r="B16" s="1" t="n">
        <v>45418</v>
      </c>
      <c r="C16" s="1" t="n">
        <v>45892</v>
      </c>
      <c r="D16" t="inlineStr">
        <is>
          <t>GOTLANDS LÄN</t>
        </is>
      </c>
      <c r="E16" t="inlineStr">
        <is>
          <t>GOTLAND</t>
        </is>
      </c>
      <c r="G16" t="n">
        <v>5.8</v>
      </c>
      <c r="H16" t="n">
        <v>2</v>
      </c>
      <c r="I16" t="n">
        <v>2</v>
      </c>
      <c r="J16" t="n">
        <v>8</v>
      </c>
      <c r="K16" t="n">
        <v>1</v>
      </c>
      <c r="L16" t="n">
        <v>1</v>
      </c>
      <c r="M16" t="n">
        <v>1</v>
      </c>
      <c r="N16" t="n">
        <v>0</v>
      </c>
      <c r="O16" t="n">
        <v>11</v>
      </c>
      <c r="P16" t="n">
        <v>3</v>
      </c>
      <c r="Q16" t="n">
        <v>15</v>
      </c>
      <c r="R16" s="2" t="inlineStr">
        <is>
          <t>Järnek
Naveljordstjärna
Gråfingerört
Axveronika
Backstarr
Backtimjan
Crepis tectorum subsp. tectorum
Kalkvaxing
Odörspindling
Solvända
Svinrot
Anisspindling
Mindre märgborre
Sankt pers nycklar
Blåsippa</t>
        </is>
      </c>
      <c r="S16">
        <f>HYPERLINK("https://klasma.github.io/Logging_0980/artfynd/A 17762-2024 artfynd.xlsx", "A 17762-2024")</f>
        <v/>
      </c>
      <c r="T16">
        <f>HYPERLINK("https://klasma.github.io/Logging_0980/kartor/A 17762-2024 karta.png", "A 17762-2024")</f>
        <v/>
      </c>
      <c r="V16">
        <f>HYPERLINK("https://klasma.github.io/Logging_0980/klagomål/A 17762-2024 FSC-klagomål.docx", "A 17762-2024")</f>
        <v/>
      </c>
      <c r="W16">
        <f>HYPERLINK("https://klasma.github.io/Logging_0980/klagomålsmail/A 17762-2024 FSC-klagomål mail.docx", "A 17762-2024")</f>
        <v/>
      </c>
      <c r="X16">
        <f>HYPERLINK("https://klasma.github.io/Logging_0980/tillsyn/A 17762-2024 tillsynsbegäran.docx", "A 17762-2024")</f>
        <v/>
      </c>
      <c r="Y16">
        <f>HYPERLINK("https://klasma.github.io/Logging_0980/tillsynsmail/A 17762-2024 tillsynsbegäran mail.docx", "A 17762-2024")</f>
        <v/>
      </c>
    </row>
    <row r="17" ht="15" customHeight="1">
      <c r="A17" t="inlineStr">
        <is>
          <t>A 61697-2023</t>
        </is>
      </c>
      <c r="B17" s="1" t="n">
        <v>45265</v>
      </c>
      <c r="C17" s="1" t="n">
        <v>45892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62132-2023</t>
        </is>
      </c>
      <c r="B18" s="1" t="n">
        <v>45267</v>
      </c>
      <c r="C18" s="1" t="n">
        <v>45892</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15629-2024</t>
        </is>
      </c>
      <c r="B19" s="1" t="n">
        <v>45402.78372685185</v>
      </c>
      <c r="C19" s="1" t="n">
        <v>45892</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6913-2025</t>
        </is>
      </c>
      <c r="B20" s="1" t="n">
        <v>45701.43809027778</v>
      </c>
      <c r="C20" s="1" t="n">
        <v>45892</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25779-2022</t>
        </is>
      </c>
      <c r="B21" s="1" t="n">
        <v>44733</v>
      </c>
      <c r="C21" s="1" t="n">
        <v>45892</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45892</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45892</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45892</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35141-2022</t>
        </is>
      </c>
      <c r="B25" s="1" t="n">
        <v>44797.53318287037</v>
      </c>
      <c r="C25" s="1" t="n">
        <v>45892</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45892</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45892</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45892</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2222-2024</t>
        </is>
      </c>
      <c r="B29" s="1" t="n">
        <v>45309</v>
      </c>
      <c r="C29" s="1" t="n">
        <v>45892</v>
      </c>
      <c r="D29" t="inlineStr">
        <is>
          <t>GOTLANDS LÄN</t>
        </is>
      </c>
      <c r="E29" t="inlineStr">
        <is>
          <t>GOTLAND</t>
        </is>
      </c>
      <c r="F29" t="inlineStr">
        <is>
          <t>Kyrkan</t>
        </is>
      </c>
      <c r="G29" t="n">
        <v>10.6</v>
      </c>
      <c r="H29" t="n">
        <v>0</v>
      </c>
      <c r="I29" t="n">
        <v>6</v>
      </c>
      <c r="J29" t="n">
        <v>2</v>
      </c>
      <c r="K29" t="n">
        <v>5</v>
      </c>
      <c r="L29" t="n">
        <v>0</v>
      </c>
      <c r="M29" t="n">
        <v>0</v>
      </c>
      <c r="N29" t="n">
        <v>0</v>
      </c>
      <c r="O29" t="n">
        <v>7</v>
      </c>
      <c r="P29" t="n">
        <v>5</v>
      </c>
      <c r="Q29" t="n">
        <v>13</v>
      </c>
      <c r="R29" s="2" t="inlineStr">
        <is>
          <t>Granrotsspindling
Gulsträngad fagerspindling
Svartgrön spindling
Tvillingspindling
Vit taggsvamp
Denisespindling
Odörspindling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2804-2023</t>
        </is>
      </c>
      <c r="B30" s="1" t="n">
        <v>44944</v>
      </c>
      <c r="C30" s="1" t="n">
        <v>45892</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45892</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45892</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45892</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45892</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45892</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11176-2024</t>
        </is>
      </c>
      <c r="B36" s="1" t="n">
        <v>45371</v>
      </c>
      <c r="C36" s="1" t="n">
        <v>45892</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45892</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15068-2025</t>
        </is>
      </c>
      <c r="B38" s="1" t="n">
        <v>45743</v>
      </c>
      <c r="C38" s="1" t="n">
        <v>45892</v>
      </c>
      <c r="D38" t="inlineStr">
        <is>
          <t>GOTLANDS LÄN</t>
        </is>
      </c>
      <c r="E38" t="inlineStr">
        <is>
          <t>GOTLAND</t>
        </is>
      </c>
      <c r="G38" t="n">
        <v>37.3</v>
      </c>
      <c r="H38" t="n">
        <v>5</v>
      </c>
      <c r="I38" t="n">
        <v>1</v>
      </c>
      <c r="J38" t="n">
        <v>3</v>
      </c>
      <c r="K38" t="n">
        <v>1</v>
      </c>
      <c r="L38" t="n">
        <v>0</v>
      </c>
      <c r="M38" t="n">
        <v>0</v>
      </c>
      <c r="N38" t="n">
        <v>0</v>
      </c>
      <c r="O38" t="n">
        <v>5</v>
      </c>
      <c r="P38" t="n">
        <v>1</v>
      </c>
      <c r="Q38" t="n">
        <v>11</v>
      </c>
      <c r="R38" s="2" t="inlineStr">
        <is>
          <t>Källnate
Majviva
Silversmygare
Ängsstarr
Blodkula
Axag
Brudsporre
Dactylorhiza incarnata subsp. incarnata
Dubbelnycklar
Kärrknipprot
Ängsnycklar</t>
        </is>
      </c>
      <c r="S38">
        <f>HYPERLINK("https://klasma.github.io/Logging_0980/artfynd/A 15068-2025 artfynd.xlsx", "A 15068-2025")</f>
        <v/>
      </c>
      <c r="T38">
        <f>HYPERLINK("https://klasma.github.io/Logging_0980/kartor/A 15068-2025 karta.png", "A 15068-2025")</f>
        <v/>
      </c>
      <c r="V38">
        <f>HYPERLINK("https://klasma.github.io/Logging_0980/klagomål/A 15068-2025 FSC-klagomål.docx", "A 15068-2025")</f>
        <v/>
      </c>
      <c r="W38">
        <f>HYPERLINK("https://klasma.github.io/Logging_0980/klagomålsmail/A 15068-2025 FSC-klagomål mail.docx", "A 15068-2025")</f>
        <v/>
      </c>
      <c r="X38">
        <f>HYPERLINK("https://klasma.github.io/Logging_0980/tillsyn/A 15068-2025 tillsynsbegäran.docx", "A 15068-2025")</f>
        <v/>
      </c>
      <c r="Y38">
        <f>HYPERLINK("https://klasma.github.io/Logging_0980/tillsynsmail/A 15068-2025 tillsynsbegäran mail.docx", "A 15068-2025")</f>
        <v/>
      </c>
    </row>
    <row r="39" ht="15" customHeight="1">
      <c r="A39" t="inlineStr">
        <is>
          <t>A 43201-2023</t>
        </is>
      </c>
      <c r="B39" s="1" t="n">
        <v>45183</v>
      </c>
      <c r="C39" s="1" t="n">
        <v>45892</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17766-2024</t>
        </is>
      </c>
      <c r="B40" s="1" t="n">
        <v>45418</v>
      </c>
      <c r="C40" s="1" t="n">
        <v>45892</v>
      </c>
      <c r="D40" t="inlineStr">
        <is>
          <t>GOTLANDS LÄN</t>
        </is>
      </c>
      <c r="E40" t="inlineStr">
        <is>
          <t>GOTLAND</t>
        </is>
      </c>
      <c r="G40" t="n">
        <v>1.3</v>
      </c>
      <c r="H40" t="n">
        <v>2</v>
      </c>
      <c r="I40" t="n">
        <v>3</v>
      </c>
      <c r="J40" t="n">
        <v>4</v>
      </c>
      <c r="K40" t="n">
        <v>1</v>
      </c>
      <c r="L40" t="n">
        <v>2</v>
      </c>
      <c r="M40" t="n">
        <v>0</v>
      </c>
      <c r="N40" t="n">
        <v>0</v>
      </c>
      <c r="O40" t="n">
        <v>7</v>
      </c>
      <c r="P40" t="n">
        <v>3</v>
      </c>
      <c r="Q40" t="n">
        <v>10</v>
      </c>
      <c r="R40" s="2" t="inlineStr">
        <is>
          <t>Naveljordstjärna
Svartnande fingersvamp
Gulsträngad fagerspindling
Bredbrämad bastardsvärmare
Fyrflikig jordstjärna
Svartfläckig blåvinge
Timjansnyltrot
Besk kastanjemusseron
Kragjordstjärna
Rödgul trumpetsvamp</t>
        </is>
      </c>
      <c r="S40">
        <f>HYPERLINK("https://klasma.github.io/Logging_0980/artfynd/A 17766-2024 artfynd.xlsx", "A 17766-2024")</f>
        <v/>
      </c>
      <c r="T40">
        <f>HYPERLINK("https://klasma.github.io/Logging_0980/kartor/A 17766-2024 karta.png", "A 17766-2024")</f>
        <v/>
      </c>
      <c r="V40">
        <f>HYPERLINK("https://klasma.github.io/Logging_0980/klagomål/A 17766-2024 FSC-klagomål.docx", "A 17766-2024")</f>
        <v/>
      </c>
      <c r="W40">
        <f>HYPERLINK("https://klasma.github.io/Logging_0980/klagomålsmail/A 17766-2024 FSC-klagomål mail.docx", "A 17766-2024")</f>
        <v/>
      </c>
      <c r="X40">
        <f>HYPERLINK("https://klasma.github.io/Logging_0980/tillsyn/A 17766-2024 tillsynsbegäran.docx", "A 17766-2024")</f>
        <v/>
      </c>
      <c r="Y40">
        <f>HYPERLINK("https://klasma.github.io/Logging_0980/tillsynsmail/A 17766-2024 tillsynsbegäran mail.docx", "A 17766-2024")</f>
        <v/>
      </c>
    </row>
    <row r="41" ht="15" customHeight="1">
      <c r="A41" t="inlineStr">
        <is>
          <t>A 584-2023</t>
        </is>
      </c>
      <c r="B41" s="1" t="n">
        <v>44930</v>
      </c>
      <c r="C41" s="1" t="n">
        <v>45892</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22404-2024</t>
        </is>
      </c>
      <c r="B42" s="1" t="n">
        <v>45446</v>
      </c>
      <c r="C42" s="1" t="n">
        <v>45892</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1719-2025</t>
        </is>
      </c>
      <c r="B43" s="1" t="n">
        <v>45671</v>
      </c>
      <c r="C43" s="1" t="n">
        <v>45892</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14354-2024</t>
        </is>
      </c>
      <c r="B44" s="1" t="n">
        <v>45393</v>
      </c>
      <c r="C44" s="1" t="n">
        <v>45892</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33153-2024</t>
        </is>
      </c>
      <c r="B45" s="1" t="n">
        <v>45518</v>
      </c>
      <c r="C45" s="1" t="n">
        <v>45892</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39376-2023</t>
        </is>
      </c>
      <c r="B46" s="1" t="n">
        <v>45166</v>
      </c>
      <c r="C46" s="1" t="n">
        <v>45892</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45892</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45892</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45892</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21467-2024</t>
        </is>
      </c>
      <c r="B50" s="1" t="n">
        <v>45441</v>
      </c>
      <c r="C50" s="1" t="n">
        <v>45892</v>
      </c>
      <c r="D50" t="inlineStr">
        <is>
          <t>GOTLANDS LÄN</t>
        </is>
      </c>
      <c r="E50" t="inlineStr">
        <is>
          <t>GOTLAND</t>
        </is>
      </c>
      <c r="G50" t="n">
        <v>8.800000000000001</v>
      </c>
      <c r="H50" t="n">
        <v>5</v>
      </c>
      <c r="I50" t="n">
        <v>0</v>
      </c>
      <c r="J50" t="n">
        <v>6</v>
      </c>
      <c r="K50" t="n">
        <v>1</v>
      </c>
      <c r="L50" t="n">
        <v>0</v>
      </c>
      <c r="M50" t="n">
        <v>0</v>
      </c>
      <c r="N50" t="n">
        <v>0</v>
      </c>
      <c r="O50" t="n">
        <v>7</v>
      </c>
      <c r="P50" t="n">
        <v>1</v>
      </c>
      <c r="Q50" t="n">
        <v>8</v>
      </c>
      <c r="R50" s="2" t="inlineStr">
        <is>
          <t>Garderönn
Backtimjan
Dårgräsfjäril
Gulsparv
Jordtistel
Spillkråka
Svinrot
Blåsippa</t>
        </is>
      </c>
      <c r="S50">
        <f>HYPERLINK("https://klasma.github.io/Logging_0980/artfynd/A 21467-2024 artfynd.xlsx", "A 21467-2024")</f>
        <v/>
      </c>
      <c r="T50">
        <f>HYPERLINK("https://klasma.github.io/Logging_0980/kartor/A 21467-2024 karta.png", "A 21467-2024")</f>
        <v/>
      </c>
      <c r="V50">
        <f>HYPERLINK("https://klasma.github.io/Logging_0980/klagomål/A 21467-2024 FSC-klagomål.docx", "A 21467-2024")</f>
        <v/>
      </c>
      <c r="W50">
        <f>HYPERLINK("https://klasma.github.io/Logging_0980/klagomålsmail/A 21467-2024 FSC-klagomål mail.docx", "A 21467-2024")</f>
        <v/>
      </c>
      <c r="X50">
        <f>HYPERLINK("https://klasma.github.io/Logging_0980/tillsyn/A 21467-2024 tillsynsbegäran.docx", "A 21467-2024")</f>
        <v/>
      </c>
      <c r="Y50">
        <f>HYPERLINK("https://klasma.github.io/Logging_0980/tillsynsmail/A 21467-2024 tillsynsbegäran mail.docx", "A 21467-2024")</f>
        <v/>
      </c>
      <c r="Z50">
        <f>HYPERLINK("https://klasma.github.io/Logging_0980/fåglar/A 21467-2024 prioriterade fågelarter.docx", "A 21467-2024")</f>
        <v/>
      </c>
    </row>
    <row r="51" ht="15" customHeight="1">
      <c r="A51" t="inlineStr">
        <is>
          <t>A 1769-2022</t>
        </is>
      </c>
      <c r="B51" s="1" t="n">
        <v>44574</v>
      </c>
      <c r="C51" s="1" t="n">
        <v>45892</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4984-2025</t>
        </is>
      </c>
      <c r="B52" s="1" t="n">
        <v>45691.29891203704</v>
      </c>
      <c r="C52" s="1" t="n">
        <v>45892</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6960-2025</t>
        </is>
      </c>
      <c r="B53" s="1" t="n">
        <v>45701.49409722222</v>
      </c>
      <c r="C53" s="1" t="n">
        <v>45892</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10419-2025</t>
        </is>
      </c>
      <c r="B54" s="1" t="n">
        <v>45720</v>
      </c>
      <c r="C54" s="1" t="n">
        <v>45892</v>
      </c>
      <c r="D54" t="inlineStr">
        <is>
          <t>GOTLANDS LÄN</t>
        </is>
      </c>
      <c r="E54" t="inlineStr">
        <is>
          <t>GOTLAND</t>
        </is>
      </c>
      <c r="G54" t="n">
        <v>1.2</v>
      </c>
      <c r="H54" t="n">
        <v>0</v>
      </c>
      <c r="I54" t="n">
        <v>5</v>
      </c>
      <c r="J54" t="n">
        <v>0</v>
      </c>
      <c r="K54" t="n">
        <v>2</v>
      </c>
      <c r="L54" t="n">
        <v>0</v>
      </c>
      <c r="M54" t="n">
        <v>0</v>
      </c>
      <c r="N54" t="n">
        <v>0</v>
      </c>
      <c r="O54" t="n">
        <v>2</v>
      </c>
      <c r="P54" t="n">
        <v>2</v>
      </c>
      <c r="Q54" t="n">
        <v>7</v>
      </c>
      <c r="R54" s="2" t="inlineStr">
        <is>
          <t>Mörkfjällig olivspindling
Violettfläckig spindling
Anisspindling
Blå slemspindling
Fjällig taggsvamp s.str.
Kryddspindling
Olivspindling</t>
        </is>
      </c>
      <c r="S54">
        <f>HYPERLINK("https://klasma.github.io/Logging_0980/artfynd/A 10419-2025 artfynd.xlsx", "A 10419-2025")</f>
        <v/>
      </c>
      <c r="T54">
        <f>HYPERLINK("https://klasma.github.io/Logging_0980/kartor/A 10419-2025 karta.png", "A 10419-2025")</f>
        <v/>
      </c>
      <c r="V54">
        <f>HYPERLINK("https://klasma.github.io/Logging_0980/klagomål/A 10419-2025 FSC-klagomål.docx", "A 10419-2025")</f>
        <v/>
      </c>
      <c r="W54">
        <f>HYPERLINK("https://klasma.github.io/Logging_0980/klagomålsmail/A 10419-2025 FSC-klagomål mail.docx", "A 10419-2025")</f>
        <v/>
      </c>
      <c r="X54">
        <f>HYPERLINK("https://klasma.github.io/Logging_0980/tillsyn/A 10419-2025 tillsynsbegäran.docx", "A 10419-2025")</f>
        <v/>
      </c>
      <c r="Y54">
        <f>HYPERLINK("https://klasma.github.io/Logging_0980/tillsynsmail/A 10419-2025 tillsynsbegäran mail.docx", "A 10419-2025")</f>
        <v/>
      </c>
    </row>
    <row r="55" ht="15" customHeight="1">
      <c r="A55" t="inlineStr">
        <is>
          <t>A 27280-2023</t>
        </is>
      </c>
      <c r="B55" s="1" t="n">
        <v>45096</v>
      </c>
      <c r="C55" s="1" t="n">
        <v>45892</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16353-2025</t>
        </is>
      </c>
      <c r="B56" s="1" t="n">
        <v>45751</v>
      </c>
      <c r="C56" s="1" t="n">
        <v>45892</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18541-2024</t>
        </is>
      </c>
      <c r="B57" s="1" t="n">
        <v>45425</v>
      </c>
      <c r="C57" s="1" t="n">
        <v>45892</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25205-2021</t>
        </is>
      </c>
      <c r="B58" s="1" t="n">
        <v>44342</v>
      </c>
      <c r="C58" s="1" t="n">
        <v>45892</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45892</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446-2023</t>
        </is>
      </c>
      <c r="B60" s="1" t="n">
        <v>44929</v>
      </c>
      <c r="C60" s="1" t="n">
        <v>45892</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45248-2024</t>
        </is>
      </c>
      <c r="B61" s="1" t="n">
        <v>45576</v>
      </c>
      <c r="C61" s="1" t="n">
        <v>45892</v>
      </c>
      <c r="D61" t="inlineStr">
        <is>
          <t>GOTLANDS LÄN</t>
        </is>
      </c>
      <c r="E61" t="inlineStr">
        <is>
          <t>GOTLAND</t>
        </is>
      </c>
      <c r="G61" t="n">
        <v>9.4</v>
      </c>
      <c r="H61" t="n">
        <v>0</v>
      </c>
      <c r="I61" t="n">
        <v>3</v>
      </c>
      <c r="J61" t="n">
        <v>1</v>
      </c>
      <c r="K61" t="n">
        <v>0</v>
      </c>
      <c r="L61" t="n">
        <v>1</v>
      </c>
      <c r="M61" t="n">
        <v>1</v>
      </c>
      <c r="N61" t="n">
        <v>0</v>
      </c>
      <c r="O61" t="n">
        <v>3</v>
      </c>
      <c r="P61" t="n">
        <v>2</v>
      </c>
      <c r="Q61" t="n">
        <v>6</v>
      </c>
      <c r="R61" s="2" t="inlineStr">
        <is>
          <t>Lundalm
Ask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54527-2023</t>
        </is>
      </c>
      <c r="B62" s="1" t="n">
        <v>45233</v>
      </c>
      <c r="C62" s="1" t="n">
        <v>45892</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65819-2020</t>
        </is>
      </c>
      <c r="B63" s="1" t="n">
        <v>44174</v>
      </c>
      <c r="C63" s="1" t="n">
        <v>45892</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45892</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16823-2024</t>
        </is>
      </c>
      <c r="B65" s="1" t="n">
        <v>45411</v>
      </c>
      <c r="C65" s="1" t="n">
        <v>45892</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39425-2023</t>
        </is>
      </c>
      <c r="B66" s="1" t="n">
        <v>45166</v>
      </c>
      <c r="C66" s="1" t="n">
        <v>45892</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45892</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45892</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35293-2025</t>
        </is>
      </c>
      <c r="B69" s="1" t="n">
        <v>45854.39438657407</v>
      </c>
      <c r="C69" s="1" t="n">
        <v>45892</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42936-2024</t>
        </is>
      </c>
      <c r="B70" s="1" t="n">
        <v>45567</v>
      </c>
      <c r="C70" s="1" t="n">
        <v>45892</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32326-2024</t>
        </is>
      </c>
      <c r="B71" s="1" t="n">
        <v>45512</v>
      </c>
      <c r="C71" s="1" t="n">
        <v>45892</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54055-2022</t>
        </is>
      </c>
      <c r="B72" s="1" t="n">
        <v>44881</v>
      </c>
      <c r="C72" s="1" t="n">
        <v>45892</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29331-2021</t>
        </is>
      </c>
      <c r="B73" s="1" t="n">
        <v>44361</v>
      </c>
      <c r="C73" s="1" t="n">
        <v>45892</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45892</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64378-2020</t>
        </is>
      </c>
      <c r="B75" s="1" t="n">
        <v>44168</v>
      </c>
      <c r="C75" s="1" t="n">
        <v>45892</v>
      </c>
      <c r="D75" t="inlineStr">
        <is>
          <t>GOTLANDS LÄN</t>
        </is>
      </c>
      <c r="E75" t="inlineStr">
        <is>
          <t>GOTLAND</t>
        </is>
      </c>
      <c r="G75" t="n">
        <v>2.1</v>
      </c>
      <c r="H75" t="n">
        <v>0</v>
      </c>
      <c r="I75" t="n">
        <v>1</v>
      </c>
      <c r="J75" t="n">
        <v>0</v>
      </c>
      <c r="K75" t="n">
        <v>2</v>
      </c>
      <c r="L75" t="n">
        <v>1</v>
      </c>
      <c r="M75" t="n">
        <v>0</v>
      </c>
      <c r="N75" t="n">
        <v>0</v>
      </c>
      <c r="O75" t="n">
        <v>3</v>
      </c>
      <c r="P75" t="n">
        <v>3</v>
      </c>
      <c r="Q75" t="n">
        <v>4</v>
      </c>
      <c r="R75" s="2" t="inlineStr">
        <is>
          <t>Sienamusseron
Bitter taggsvamp
Duvspindling
Fjällig taggsvamp s.str.</t>
        </is>
      </c>
      <c r="S75">
        <f>HYPERLINK("https://klasma.github.io/Logging_0980/artfynd/A 64378-2020 artfynd.xlsx", "A 64378-2020")</f>
        <v/>
      </c>
      <c r="T75">
        <f>HYPERLINK("https://klasma.github.io/Logging_0980/kartor/A 64378-2020 karta.png", "A 64378-2020")</f>
        <v/>
      </c>
      <c r="V75">
        <f>HYPERLINK("https://klasma.github.io/Logging_0980/klagomål/A 64378-2020 FSC-klagomål.docx", "A 64378-2020")</f>
        <v/>
      </c>
      <c r="W75">
        <f>HYPERLINK("https://klasma.github.io/Logging_0980/klagomålsmail/A 64378-2020 FSC-klagomål mail.docx", "A 64378-2020")</f>
        <v/>
      </c>
      <c r="X75">
        <f>HYPERLINK("https://klasma.github.io/Logging_0980/tillsyn/A 64378-2020 tillsynsbegäran.docx", "A 64378-2020")</f>
        <v/>
      </c>
      <c r="Y75">
        <f>HYPERLINK("https://klasma.github.io/Logging_0980/tillsynsmail/A 64378-2020 tillsynsbegäran mail.docx", "A 64378-2020")</f>
        <v/>
      </c>
    </row>
    <row r="76" ht="15" customHeight="1">
      <c r="A76" t="inlineStr">
        <is>
          <t>A 1971-2023</t>
        </is>
      </c>
      <c r="B76" s="1" t="n">
        <v>44939</v>
      </c>
      <c r="C76" s="1" t="n">
        <v>45892</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186-2023</t>
        </is>
      </c>
      <c r="B77" s="1" t="n">
        <v>44928</v>
      </c>
      <c r="C77" s="1" t="n">
        <v>45892</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56717-2024</t>
        </is>
      </c>
      <c r="B78" s="1" t="n">
        <v>45628.3166550926</v>
      </c>
      <c r="C78" s="1" t="n">
        <v>45892</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54523-2023</t>
        </is>
      </c>
      <c r="B79" s="1" t="n">
        <v>45233</v>
      </c>
      <c r="C79" s="1" t="n">
        <v>45892</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20833-2024</t>
        </is>
      </c>
      <c r="B80" s="1" t="n">
        <v>45439</v>
      </c>
      <c r="C80" s="1" t="n">
        <v>45892</v>
      </c>
      <c r="D80" t="inlineStr">
        <is>
          <t>GOTLANDS LÄN</t>
        </is>
      </c>
      <c r="E80" t="inlineStr">
        <is>
          <t>GOTLAND</t>
        </is>
      </c>
      <c r="G80" t="n">
        <v>0.9</v>
      </c>
      <c r="H80" t="n">
        <v>3</v>
      </c>
      <c r="I80" t="n">
        <v>1</v>
      </c>
      <c r="J80" t="n">
        <v>3</v>
      </c>
      <c r="K80" t="n">
        <v>0</v>
      </c>
      <c r="L80" t="n">
        <v>0</v>
      </c>
      <c r="M80" t="n">
        <v>0</v>
      </c>
      <c r="N80" t="n">
        <v>0</v>
      </c>
      <c r="O80" t="n">
        <v>3</v>
      </c>
      <c r="P80" t="n">
        <v>0</v>
      </c>
      <c r="Q80" t="n">
        <v>4</v>
      </c>
      <c r="R80" s="2" t="inlineStr">
        <is>
          <t>Dårgräsfjäril
Spillkråka
Svinrot
Skogsknipprot</t>
        </is>
      </c>
      <c r="S80">
        <f>HYPERLINK("https://klasma.github.io/Logging_0980/artfynd/A 20833-2024 artfynd.xlsx", "A 20833-2024")</f>
        <v/>
      </c>
      <c r="T80">
        <f>HYPERLINK("https://klasma.github.io/Logging_0980/kartor/A 20833-2024 karta.png", "A 20833-2024")</f>
        <v/>
      </c>
      <c r="V80">
        <f>HYPERLINK("https://klasma.github.io/Logging_0980/klagomål/A 20833-2024 FSC-klagomål.docx", "A 20833-2024")</f>
        <v/>
      </c>
      <c r="W80">
        <f>HYPERLINK("https://klasma.github.io/Logging_0980/klagomålsmail/A 20833-2024 FSC-klagomål mail.docx", "A 20833-2024")</f>
        <v/>
      </c>
      <c r="X80">
        <f>HYPERLINK("https://klasma.github.io/Logging_0980/tillsyn/A 20833-2024 tillsynsbegäran.docx", "A 20833-2024")</f>
        <v/>
      </c>
      <c r="Y80">
        <f>HYPERLINK("https://klasma.github.io/Logging_0980/tillsynsmail/A 20833-2024 tillsynsbegäran mail.docx", "A 20833-2024")</f>
        <v/>
      </c>
      <c r="Z80">
        <f>HYPERLINK("https://klasma.github.io/Logging_0980/fåglar/A 20833-2024 prioriterade fågelarter.docx", "A 20833-2024")</f>
        <v/>
      </c>
    </row>
    <row r="81" ht="15" customHeight="1">
      <c r="A81" t="inlineStr">
        <is>
          <t>A 2485-2025</t>
        </is>
      </c>
      <c r="B81" s="1" t="n">
        <v>45673</v>
      </c>
      <c r="C81" s="1" t="n">
        <v>45892</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8265-2023</t>
        </is>
      </c>
      <c r="B82" s="1" t="n">
        <v>44974</v>
      </c>
      <c r="C82" s="1" t="n">
        <v>45892</v>
      </c>
      <c r="D82" t="inlineStr">
        <is>
          <t>GOTLANDS LÄN</t>
        </is>
      </c>
      <c r="E82" t="inlineStr">
        <is>
          <t>GOTLAND</t>
        </is>
      </c>
      <c r="G82" t="n">
        <v>3.3</v>
      </c>
      <c r="H82" t="n">
        <v>4</v>
      </c>
      <c r="I82" t="n">
        <v>3</v>
      </c>
      <c r="J82" t="n">
        <v>0</v>
      </c>
      <c r="K82" t="n">
        <v>0</v>
      </c>
      <c r="L82" t="n">
        <v>0</v>
      </c>
      <c r="M82" t="n">
        <v>0</v>
      </c>
      <c r="N82" t="n">
        <v>0</v>
      </c>
      <c r="O82" t="n">
        <v>0</v>
      </c>
      <c r="P82" t="n">
        <v>0</v>
      </c>
      <c r="Q82" t="n">
        <v>4</v>
      </c>
      <c r="R82" s="2" t="inlineStr">
        <is>
          <t>Flugblomster
Purpurknipprot
Tvåblad
Salepsrot</t>
        </is>
      </c>
      <c r="S82">
        <f>HYPERLINK("https://klasma.github.io/Logging_0980/artfynd/A 8265-2023 artfynd.xlsx", "A 8265-2023")</f>
        <v/>
      </c>
      <c r="T82">
        <f>HYPERLINK("https://klasma.github.io/Logging_0980/kartor/A 8265-2023 karta.png", "A 8265-2023")</f>
        <v/>
      </c>
      <c r="V82">
        <f>HYPERLINK("https://klasma.github.io/Logging_0980/klagomål/A 8265-2023 FSC-klagomål.docx", "A 8265-2023")</f>
        <v/>
      </c>
      <c r="W82">
        <f>HYPERLINK("https://klasma.github.io/Logging_0980/klagomålsmail/A 8265-2023 FSC-klagomål mail.docx", "A 8265-2023")</f>
        <v/>
      </c>
      <c r="X82">
        <f>HYPERLINK("https://klasma.github.io/Logging_0980/tillsyn/A 8265-2023 tillsynsbegäran.docx", "A 8265-2023")</f>
        <v/>
      </c>
      <c r="Y82">
        <f>HYPERLINK("https://klasma.github.io/Logging_0980/tillsynsmail/A 8265-2023 tillsynsbegäran mail.docx", "A 8265-2023")</f>
        <v/>
      </c>
    </row>
    <row r="83" ht="15" customHeight="1">
      <c r="A83" t="inlineStr">
        <is>
          <t>A 6159-2023</t>
        </is>
      </c>
      <c r="B83" s="1" t="n">
        <v>44964</v>
      </c>
      <c r="C83" s="1" t="n">
        <v>45892</v>
      </c>
      <c r="D83" t="inlineStr">
        <is>
          <t>GOTLANDS LÄN</t>
        </is>
      </c>
      <c r="E83" t="inlineStr">
        <is>
          <t>GOTLAND</t>
        </is>
      </c>
      <c r="G83" t="n">
        <v>2</v>
      </c>
      <c r="H83" t="n">
        <v>0</v>
      </c>
      <c r="I83" t="n">
        <v>2</v>
      </c>
      <c r="J83" t="n">
        <v>2</v>
      </c>
      <c r="K83" t="n">
        <v>0</v>
      </c>
      <c r="L83" t="n">
        <v>0</v>
      </c>
      <c r="M83" t="n">
        <v>0</v>
      </c>
      <c r="N83" t="n">
        <v>0</v>
      </c>
      <c r="O83" t="n">
        <v>2</v>
      </c>
      <c r="P83" t="n">
        <v>0</v>
      </c>
      <c r="Q83" t="n">
        <v>4</v>
      </c>
      <c r="R83" s="2" t="inlineStr">
        <is>
          <t>Dofttaggsvamp
Odörspindling
Anisspindling
Olivspindling</t>
        </is>
      </c>
      <c r="S83">
        <f>HYPERLINK("https://klasma.github.io/Logging_0980/artfynd/A 6159-2023 artfynd.xlsx", "A 6159-2023")</f>
        <v/>
      </c>
      <c r="T83">
        <f>HYPERLINK("https://klasma.github.io/Logging_0980/kartor/A 6159-2023 karta.png", "A 6159-2023")</f>
        <v/>
      </c>
      <c r="V83">
        <f>HYPERLINK("https://klasma.github.io/Logging_0980/klagomål/A 6159-2023 FSC-klagomål.docx", "A 6159-2023")</f>
        <v/>
      </c>
      <c r="W83">
        <f>HYPERLINK("https://klasma.github.io/Logging_0980/klagomålsmail/A 6159-2023 FSC-klagomål mail.docx", "A 6159-2023")</f>
        <v/>
      </c>
      <c r="X83">
        <f>HYPERLINK("https://klasma.github.io/Logging_0980/tillsyn/A 6159-2023 tillsynsbegäran.docx", "A 6159-2023")</f>
        <v/>
      </c>
      <c r="Y83">
        <f>HYPERLINK("https://klasma.github.io/Logging_0980/tillsynsmail/A 6159-2023 tillsynsbegäran mail.docx", "A 6159-2023")</f>
        <v/>
      </c>
    </row>
    <row r="84" ht="15" customHeight="1">
      <c r="A84" t="inlineStr">
        <is>
          <t>A 43197-2023</t>
        </is>
      </c>
      <c r="B84" s="1" t="n">
        <v>45183</v>
      </c>
      <c r="C84" s="1" t="n">
        <v>45892</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5904-2024</t>
        </is>
      </c>
      <c r="B85" s="1" t="n">
        <v>45335</v>
      </c>
      <c r="C85" s="1" t="n">
        <v>45892</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55029-2020</t>
        </is>
      </c>
      <c r="B86" s="1" t="n">
        <v>44130</v>
      </c>
      <c r="C86" s="1" t="n">
        <v>45892</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45892</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45892</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45892</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45892</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45892</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45892</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17982-2023</t>
        </is>
      </c>
      <c r="B93" s="1" t="n">
        <v>45040</v>
      </c>
      <c r="C93" s="1" t="n">
        <v>45892</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13499-2022</t>
        </is>
      </c>
      <c r="B94" s="1" t="n">
        <v>44647.79203703703</v>
      </c>
      <c r="C94" s="1" t="n">
        <v>45892</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c r="Z94">
        <f>HYPERLINK("https://klasma.github.io/Logging_0980/fåglar/A 13499-2022 prioriterade fågelarter.docx", "A 13499-2022")</f>
        <v/>
      </c>
    </row>
    <row r="95" ht="15" customHeight="1">
      <c r="A95" t="inlineStr">
        <is>
          <t>A 5235-2025</t>
        </is>
      </c>
      <c r="B95" s="1" t="n">
        <v>45692.26797453704</v>
      </c>
      <c r="C95" s="1" t="n">
        <v>45892</v>
      </c>
      <c r="D95" t="inlineStr">
        <is>
          <t>GOTLANDS LÄN</t>
        </is>
      </c>
      <c r="E95" t="inlineStr">
        <is>
          <t>GOTLAND</t>
        </is>
      </c>
      <c r="G95" t="n">
        <v>7.6</v>
      </c>
      <c r="H95" t="n">
        <v>1</v>
      </c>
      <c r="I95" t="n">
        <v>2</v>
      </c>
      <c r="J95" t="n">
        <v>1</v>
      </c>
      <c r="K95" t="n">
        <v>0</v>
      </c>
      <c r="L95" t="n">
        <v>0</v>
      </c>
      <c r="M95" t="n">
        <v>0</v>
      </c>
      <c r="N95" t="n">
        <v>0</v>
      </c>
      <c r="O95" t="n">
        <v>1</v>
      </c>
      <c r="P95" t="n">
        <v>0</v>
      </c>
      <c r="Q95" t="n">
        <v>3</v>
      </c>
      <c r="R95" s="2" t="inlineStr">
        <is>
          <t>Svinrot
Blåmossa
Tvåblad</t>
        </is>
      </c>
      <c r="S95">
        <f>HYPERLINK("https://klasma.github.io/Logging_0980/artfynd/A 5235-2025 artfynd.xlsx", "A 5235-2025")</f>
        <v/>
      </c>
      <c r="T95">
        <f>HYPERLINK("https://klasma.github.io/Logging_0980/kartor/A 5235-2025 karta.png", "A 5235-2025")</f>
        <v/>
      </c>
      <c r="V95">
        <f>HYPERLINK("https://klasma.github.io/Logging_0980/klagomål/A 5235-2025 FSC-klagomål.docx", "A 5235-2025")</f>
        <v/>
      </c>
      <c r="W95">
        <f>HYPERLINK("https://klasma.github.io/Logging_0980/klagomålsmail/A 5235-2025 FSC-klagomål mail.docx", "A 5235-2025")</f>
        <v/>
      </c>
      <c r="X95">
        <f>HYPERLINK("https://klasma.github.io/Logging_0980/tillsyn/A 5235-2025 tillsynsbegäran.docx", "A 5235-2025")</f>
        <v/>
      </c>
      <c r="Y95">
        <f>HYPERLINK("https://klasma.github.io/Logging_0980/tillsynsmail/A 5235-2025 tillsynsbegäran mail.docx", "A 5235-2025")</f>
        <v/>
      </c>
    </row>
    <row r="96" ht="15" customHeight="1">
      <c r="A96" t="inlineStr">
        <is>
          <t>A 53552-2021</t>
        </is>
      </c>
      <c r="B96" s="1" t="n">
        <v>44468</v>
      </c>
      <c r="C96" s="1" t="n">
        <v>45892</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12315-2024</t>
        </is>
      </c>
      <c r="B97" s="1" t="n">
        <v>45378.6434837963</v>
      </c>
      <c r="C97" s="1" t="n">
        <v>45892</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30490-2025</t>
        </is>
      </c>
      <c r="B98" s="1" t="n">
        <v>45830</v>
      </c>
      <c r="C98" s="1" t="n">
        <v>45892</v>
      </c>
      <c r="D98" t="inlineStr">
        <is>
          <t>GOTLANDS LÄN</t>
        </is>
      </c>
      <c r="E98" t="inlineStr">
        <is>
          <t>GOTLAND</t>
        </is>
      </c>
      <c r="G98" t="n">
        <v>7.9</v>
      </c>
      <c r="H98" t="n">
        <v>1</v>
      </c>
      <c r="I98" t="n">
        <v>0</v>
      </c>
      <c r="J98" t="n">
        <v>2</v>
      </c>
      <c r="K98" t="n">
        <v>0</v>
      </c>
      <c r="L98" t="n">
        <v>0</v>
      </c>
      <c r="M98" t="n">
        <v>0</v>
      </c>
      <c r="N98" t="n">
        <v>0</v>
      </c>
      <c r="O98" t="n">
        <v>2</v>
      </c>
      <c r="P98" t="n">
        <v>0</v>
      </c>
      <c r="Q98" t="n">
        <v>3</v>
      </c>
      <c r="R98" s="2" t="inlineStr">
        <is>
          <t>Klasefibbla
Majviva
Nattviol</t>
        </is>
      </c>
      <c r="S98">
        <f>HYPERLINK("https://klasma.github.io/Logging_0980/artfynd/A 30490-2025 artfynd.xlsx", "A 30490-2025")</f>
        <v/>
      </c>
      <c r="T98">
        <f>HYPERLINK("https://klasma.github.io/Logging_0980/kartor/A 30490-2025 karta.png", "A 30490-2025")</f>
        <v/>
      </c>
      <c r="V98">
        <f>HYPERLINK("https://klasma.github.io/Logging_0980/klagomål/A 30490-2025 FSC-klagomål.docx", "A 30490-2025")</f>
        <v/>
      </c>
      <c r="W98">
        <f>HYPERLINK("https://klasma.github.io/Logging_0980/klagomålsmail/A 30490-2025 FSC-klagomål mail.docx", "A 30490-2025")</f>
        <v/>
      </c>
      <c r="X98">
        <f>HYPERLINK("https://klasma.github.io/Logging_0980/tillsyn/A 30490-2025 tillsynsbegäran.docx", "A 30490-2025")</f>
        <v/>
      </c>
      <c r="Y98">
        <f>HYPERLINK("https://klasma.github.io/Logging_0980/tillsynsmail/A 30490-2025 tillsynsbegäran mail.docx", "A 30490-2025")</f>
        <v/>
      </c>
    </row>
    <row r="99" ht="15" customHeight="1">
      <c r="A99" t="inlineStr">
        <is>
          <t>A 20831-2024</t>
        </is>
      </c>
      <c r="B99" s="1" t="n">
        <v>45439</v>
      </c>
      <c r="C99" s="1" t="n">
        <v>45892</v>
      </c>
      <c r="D99" t="inlineStr">
        <is>
          <t>GOTLANDS LÄN</t>
        </is>
      </c>
      <c r="E99" t="inlineStr">
        <is>
          <t>GOTLAND</t>
        </is>
      </c>
      <c r="G99" t="n">
        <v>2.9</v>
      </c>
      <c r="H99" t="n">
        <v>2</v>
      </c>
      <c r="I99" t="n">
        <v>1</v>
      </c>
      <c r="J99" t="n">
        <v>2</v>
      </c>
      <c r="K99" t="n">
        <v>0</v>
      </c>
      <c r="L99" t="n">
        <v>0</v>
      </c>
      <c r="M99" t="n">
        <v>0</v>
      </c>
      <c r="N99" t="n">
        <v>0</v>
      </c>
      <c r="O99" t="n">
        <v>2</v>
      </c>
      <c r="P99" t="n">
        <v>0</v>
      </c>
      <c r="Q99" t="n">
        <v>3</v>
      </c>
      <c r="R99" s="2" t="inlineStr">
        <is>
          <t>Dårgräsfjäril
Svinrot
Skogsknipprot</t>
        </is>
      </c>
      <c r="S99">
        <f>HYPERLINK("https://klasma.github.io/Logging_0980/artfynd/A 20831-2024 artfynd.xlsx", "A 20831-2024")</f>
        <v/>
      </c>
      <c r="T99">
        <f>HYPERLINK("https://klasma.github.io/Logging_0980/kartor/A 20831-2024 karta.png", "A 20831-2024")</f>
        <v/>
      </c>
      <c r="V99">
        <f>HYPERLINK("https://klasma.github.io/Logging_0980/klagomål/A 20831-2024 FSC-klagomål.docx", "A 20831-2024")</f>
        <v/>
      </c>
      <c r="W99">
        <f>HYPERLINK("https://klasma.github.io/Logging_0980/klagomålsmail/A 20831-2024 FSC-klagomål mail.docx", "A 20831-2024")</f>
        <v/>
      </c>
      <c r="X99">
        <f>HYPERLINK("https://klasma.github.io/Logging_0980/tillsyn/A 20831-2024 tillsynsbegäran.docx", "A 20831-2024")</f>
        <v/>
      </c>
      <c r="Y99">
        <f>HYPERLINK("https://klasma.github.io/Logging_0980/tillsynsmail/A 20831-2024 tillsynsbegäran mail.docx", "A 20831-2024")</f>
        <v/>
      </c>
    </row>
    <row r="100" ht="15" customHeight="1">
      <c r="A100" t="inlineStr">
        <is>
          <t>A 17975-2024</t>
        </is>
      </c>
      <c r="B100" s="1" t="n">
        <v>45419.85546296297</v>
      </c>
      <c r="C100" s="1" t="n">
        <v>45892</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62326-2020</t>
        </is>
      </c>
      <c r="B101" s="1" t="n">
        <v>44160</v>
      </c>
      <c r="C101" s="1" t="n">
        <v>45892</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45892</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45892</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45892</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45892</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45892</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45892</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28261-2024</t>
        </is>
      </c>
      <c r="B108" s="1" t="n">
        <v>45477</v>
      </c>
      <c r="C108" s="1" t="n">
        <v>45892</v>
      </c>
      <c r="D108" t="inlineStr">
        <is>
          <t>GOTLANDS LÄN</t>
        </is>
      </c>
      <c r="E108" t="inlineStr">
        <is>
          <t>GOTLAND</t>
        </is>
      </c>
      <c r="G108" t="n">
        <v>22.8</v>
      </c>
      <c r="H108" t="n">
        <v>0</v>
      </c>
      <c r="I108" t="n">
        <v>0</v>
      </c>
      <c r="J108" t="n">
        <v>2</v>
      </c>
      <c r="K108" t="n">
        <v>0</v>
      </c>
      <c r="L108" t="n">
        <v>0</v>
      </c>
      <c r="M108" t="n">
        <v>0</v>
      </c>
      <c r="N108" t="n">
        <v>0</v>
      </c>
      <c r="O108" t="n">
        <v>2</v>
      </c>
      <c r="P108" t="n">
        <v>0</v>
      </c>
      <c r="Q108" t="n">
        <v>2</v>
      </c>
      <c r="R108" s="2" t="inlineStr">
        <is>
          <t>Grådådra
Åkerkulla</t>
        </is>
      </c>
      <c r="S108">
        <f>HYPERLINK("https://klasma.github.io/Logging_0980/artfynd/A 28261-2024 artfynd.xlsx", "A 28261-2024")</f>
        <v/>
      </c>
      <c r="T108">
        <f>HYPERLINK("https://klasma.github.io/Logging_0980/kartor/A 28261-2024 karta.png", "A 28261-2024")</f>
        <v/>
      </c>
      <c r="V108">
        <f>HYPERLINK("https://klasma.github.io/Logging_0980/klagomål/A 28261-2024 FSC-klagomål.docx", "A 28261-2024")</f>
        <v/>
      </c>
      <c r="W108">
        <f>HYPERLINK("https://klasma.github.io/Logging_0980/klagomålsmail/A 28261-2024 FSC-klagomål mail.docx", "A 28261-2024")</f>
        <v/>
      </c>
      <c r="X108">
        <f>HYPERLINK("https://klasma.github.io/Logging_0980/tillsyn/A 28261-2024 tillsynsbegäran.docx", "A 28261-2024")</f>
        <v/>
      </c>
      <c r="Y108">
        <f>HYPERLINK("https://klasma.github.io/Logging_0980/tillsynsmail/A 28261-2024 tillsynsbegäran mail.docx", "A 28261-2024")</f>
        <v/>
      </c>
    </row>
    <row r="109" ht="15" customHeight="1">
      <c r="A109" t="inlineStr">
        <is>
          <t>A 73144-2021</t>
        </is>
      </c>
      <c r="B109" s="1" t="n">
        <v>44550</v>
      </c>
      <c r="C109" s="1" t="n">
        <v>45892</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20838-2024</t>
        </is>
      </c>
      <c r="B110" s="1" t="n">
        <v>45439</v>
      </c>
      <c r="C110" s="1" t="n">
        <v>45892</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55649-2024</t>
        </is>
      </c>
      <c r="B111" s="1" t="n">
        <v>45622.63053240741</v>
      </c>
      <c r="C111" s="1" t="n">
        <v>45892</v>
      </c>
      <c r="D111" t="inlineStr">
        <is>
          <t>GOTLANDS LÄN</t>
        </is>
      </c>
      <c r="E111" t="inlineStr">
        <is>
          <t>GOTLAND</t>
        </is>
      </c>
      <c r="G111" t="n">
        <v>4.6</v>
      </c>
      <c r="H111" t="n">
        <v>2</v>
      </c>
      <c r="I111" t="n">
        <v>0</v>
      </c>
      <c r="J111" t="n">
        <v>0</v>
      </c>
      <c r="K111" t="n">
        <v>0</v>
      </c>
      <c r="L111" t="n">
        <v>0</v>
      </c>
      <c r="M111" t="n">
        <v>0</v>
      </c>
      <c r="N111" t="n">
        <v>0</v>
      </c>
      <c r="O111" t="n">
        <v>0</v>
      </c>
      <c r="P111" t="n">
        <v>0</v>
      </c>
      <c r="Q111" t="n">
        <v>2</v>
      </c>
      <c r="R111" s="2" t="inlineStr">
        <is>
          <t>Sankt pers nycklar
Blåsippa</t>
        </is>
      </c>
      <c r="S111">
        <f>HYPERLINK("https://klasma.github.io/Logging_0980/artfynd/A 55649-2024 artfynd.xlsx", "A 55649-2024")</f>
        <v/>
      </c>
      <c r="T111">
        <f>HYPERLINK("https://klasma.github.io/Logging_0980/kartor/A 55649-2024 karta.png", "A 55649-2024")</f>
        <v/>
      </c>
      <c r="V111">
        <f>HYPERLINK("https://klasma.github.io/Logging_0980/klagomål/A 55649-2024 FSC-klagomål.docx", "A 55649-2024")</f>
        <v/>
      </c>
      <c r="W111">
        <f>HYPERLINK("https://klasma.github.io/Logging_0980/klagomålsmail/A 55649-2024 FSC-klagomål mail.docx", "A 55649-2024")</f>
        <v/>
      </c>
      <c r="X111">
        <f>HYPERLINK("https://klasma.github.io/Logging_0980/tillsyn/A 55649-2024 tillsynsbegäran.docx", "A 55649-2024")</f>
        <v/>
      </c>
      <c r="Y111">
        <f>HYPERLINK("https://klasma.github.io/Logging_0980/tillsynsmail/A 55649-2024 tillsynsbegäran mail.docx", "A 55649-2024")</f>
        <v/>
      </c>
    </row>
    <row r="112" ht="15" customHeight="1">
      <c r="A112" t="inlineStr">
        <is>
          <t>A 21879-2025</t>
        </is>
      </c>
      <c r="B112" s="1" t="n">
        <v>45784.40533564815</v>
      </c>
      <c r="C112" s="1" t="n">
        <v>45892</v>
      </c>
      <c r="D112" t="inlineStr">
        <is>
          <t>GOTLANDS LÄN</t>
        </is>
      </c>
      <c r="E112" t="inlineStr">
        <is>
          <t>GOTLAND</t>
        </is>
      </c>
      <c r="G112" t="n">
        <v>11.1</v>
      </c>
      <c r="H112" t="n">
        <v>0</v>
      </c>
      <c r="I112" t="n">
        <v>1</v>
      </c>
      <c r="J112" t="n">
        <v>0</v>
      </c>
      <c r="K112" t="n">
        <v>0</v>
      </c>
      <c r="L112" t="n">
        <v>1</v>
      </c>
      <c r="M112" t="n">
        <v>0</v>
      </c>
      <c r="N112" t="n">
        <v>0</v>
      </c>
      <c r="O112" t="n">
        <v>1</v>
      </c>
      <c r="P112" t="n">
        <v>1</v>
      </c>
      <c r="Q112" t="n">
        <v>2</v>
      </c>
      <c r="R112" s="2" t="inlineStr">
        <is>
          <t>Ask
Murgröna</t>
        </is>
      </c>
      <c r="S112">
        <f>HYPERLINK("https://klasma.github.io/Logging_0980/artfynd/A 21879-2025 artfynd.xlsx", "A 21879-2025")</f>
        <v/>
      </c>
      <c r="T112">
        <f>HYPERLINK("https://klasma.github.io/Logging_0980/kartor/A 21879-2025 karta.png", "A 21879-2025")</f>
        <v/>
      </c>
      <c r="V112">
        <f>HYPERLINK("https://klasma.github.io/Logging_0980/klagomål/A 21879-2025 FSC-klagomål.docx", "A 21879-2025")</f>
        <v/>
      </c>
      <c r="W112">
        <f>HYPERLINK("https://klasma.github.io/Logging_0980/klagomålsmail/A 21879-2025 FSC-klagomål mail.docx", "A 21879-2025")</f>
        <v/>
      </c>
      <c r="X112">
        <f>HYPERLINK("https://klasma.github.io/Logging_0980/tillsyn/A 21879-2025 tillsynsbegäran.docx", "A 21879-2025")</f>
        <v/>
      </c>
      <c r="Y112">
        <f>HYPERLINK("https://klasma.github.io/Logging_0980/tillsynsmail/A 21879-2025 tillsynsbegäran mail.docx", "A 21879-2025")</f>
        <v/>
      </c>
    </row>
    <row r="113" ht="15" customHeight="1">
      <c r="A113" t="inlineStr">
        <is>
          <t>A 43321-2020</t>
        </is>
      </c>
      <c r="B113" s="1" t="n">
        <v>44081</v>
      </c>
      <c r="C113" s="1" t="n">
        <v>45892</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58701-2020</t>
        </is>
      </c>
      <c r="B114" s="1" t="n">
        <v>44146</v>
      </c>
      <c r="C114" s="1" t="n">
        <v>45892</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26077-2024</t>
        </is>
      </c>
      <c r="B115" s="1" t="n">
        <v>45467</v>
      </c>
      <c r="C115" s="1" t="n">
        <v>45892</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48126-2022</t>
        </is>
      </c>
      <c r="B116" s="1" t="n">
        <v>44857</v>
      </c>
      <c r="C116" s="1" t="n">
        <v>45892</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45892</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64263-2020</t>
        </is>
      </c>
      <c r="B118" s="1" t="n">
        <v>44168</v>
      </c>
      <c r="C118" s="1" t="n">
        <v>45892</v>
      </c>
      <c r="D118" t="inlineStr">
        <is>
          <t>GOTLANDS LÄN</t>
        </is>
      </c>
      <c r="E118" t="inlineStr">
        <is>
          <t>GOTLAND</t>
        </is>
      </c>
      <c r="G118" t="n">
        <v>10.9</v>
      </c>
      <c r="H118" t="n">
        <v>1</v>
      </c>
      <c r="I118" t="n">
        <v>0</v>
      </c>
      <c r="J118" t="n">
        <v>2</v>
      </c>
      <c r="K118" t="n">
        <v>0</v>
      </c>
      <c r="L118" t="n">
        <v>0</v>
      </c>
      <c r="M118" t="n">
        <v>0</v>
      </c>
      <c r="N118" t="n">
        <v>0</v>
      </c>
      <c r="O118" t="n">
        <v>2</v>
      </c>
      <c r="P118" t="n">
        <v>0</v>
      </c>
      <c r="Q118" t="n">
        <v>2</v>
      </c>
      <c r="R118" s="2" t="inlineStr">
        <is>
          <t>Mindre hackspett
Ullticka</t>
        </is>
      </c>
      <c r="S118">
        <f>HYPERLINK("https://klasma.github.io/Logging_0980/artfynd/A 64263-2020 artfynd.xlsx", "A 64263-2020")</f>
        <v/>
      </c>
      <c r="T118">
        <f>HYPERLINK("https://klasma.github.io/Logging_0980/kartor/A 64263-2020 karta.png", "A 64263-2020")</f>
        <v/>
      </c>
      <c r="V118">
        <f>HYPERLINK("https://klasma.github.io/Logging_0980/klagomål/A 64263-2020 FSC-klagomål.docx", "A 64263-2020")</f>
        <v/>
      </c>
      <c r="W118">
        <f>HYPERLINK("https://klasma.github.io/Logging_0980/klagomålsmail/A 64263-2020 FSC-klagomål mail.docx", "A 64263-2020")</f>
        <v/>
      </c>
      <c r="X118">
        <f>HYPERLINK("https://klasma.github.io/Logging_0980/tillsyn/A 64263-2020 tillsynsbegäran.docx", "A 64263-2020")</f>
        <v/>
      </c>
      <c r="Y118">
        <f>HYPERLINK("https://klasma.github.io/Logging_0980/tillsynsmail/A 64263-2020 tillsynsbegäran mail.docx", "A 64263-2020")</f>
        <v/>
      </c>
      <c r="Z118">
        <f>HYPERLINK("https://klasma.github.io/Logging_0980/fåglar/A 64263-2020 prioriterade fågelarter.docx", "A 64263-2020")</f>
        <v/>
      </c>
    </row>
    <row r="119" ht="15" customHeight="1">
      <c r="A119" t="inlineStr">
        <is>
          <t>A 12914-2025</t>
        </is>
      </c>
      <c r="B119" s="1" t="n">
        <v>45733</v>
      </c>
      <c r="C119" s="1" t="n">
        <v>45892</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54357-2024</t>
        </is>
      </c>
      <c r="B120" s="1" t="n">
        <v>45617.40662037037</v>
      </c>
      <c r="C120" s="1" t="n">
        <v>45892</v>
      </c>
      <c r="D120" t="inlineStr">
        <is>
          <t>GOTLANDS LÄN</t>
        </is>
      </c>
      <c r="E120" t="inlineStr">
        <is>
          <t>GOTLAND</t>
        </is>
      </c>
      <c r="G120" t="n">
        <v>1.5</v>
      </c>
      <c r="H120" t="n">
        <v>1</v>
      </c>
      <c r="I120" t="n">
        <v>0</v>
      </c>
      <c r="J120" t="n">
        <v>1</v>
      </c>
      <c r="K120" t="n">
        <v>0</v>
      </c>
      <c r="L120" t="n">
        <v>0</v>
      </c>
      <c r="M120" t="n">
        <v>0</v>
      </c>
      <c r="N120" t="n">
        <v>0</v>
      </c>
      <c r="O120" t="n">
        <v>1</v>
      </c>
      <c r="P120" t="n">
        <v>0</v>
      </c>
      <c r="Q120" t="n">
        <v>2</v>
      </c>
      <c r="R120" s="2" t="inlineStr">
        <is>
          <t>Loppstarr
Fläcknycklar</t>
        </is>
      </c>
      <c r="S120">
        <f>HYPERLINK("https://klasma.github.io/Logging_0980/artfynd/A 54357-2024 artfynd.xlsx", "A 54357-2024")</f>
        <v/>
      </c>
      <c r="T120">
        <f>HYPERLINK("https://klasma.github.io/Logging_0980/kartor/A 54357-2024 karta.png", "A 54357-2024")</f>
        <v/>
      </c>
      <c r="V120">
        <f>HYPERLINK("https://klasma.github.io/Logging_0980/klagomål/A 54357-2024 FSC-klagomål.docx", "A 54357-2024")</f>
        <v/>
      </c>
      <c r="W120">
        <f>HYPERLINK("https://klasma.github.io/Logging_0980/klagomålsmail/A 54357-2024 FSC-klagomål mail.docx", "A 54357-2024")</f>
        <v/>
      </c>
      <c r="X120">
        <f>HYPERLINK("https://klasma.github.io/Logging_0980/tillsyn/A 54357-2024 tillsynsbegäran.docx", "A 54357-2024")</f>
        <v/>
      </c>
      <c r="Y120">
        <f>HYPERLINK("https://klasma.github.io/Logging_0980/tillsynsmail/A 54357-2024 tillsynsbegäran mail.docx", "A 54357-2024")</f>
        <v/>
      </c>
    </row>
    <row r="121" ht="15" customHeight="1">
      <c r="A121" t="inlineStr">
        <is>
          <t>A 28276-2024</t>
        </is>
      </c>
      <c r="B121" s="1" t="n">
        <v>45477</v>
      </c>
      <c r="C121" s="1" t="n">
        <v>45892</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45892</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45892</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45892</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45892</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45892</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45892</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45892</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2476-2025</t>
        </is>
      </c>
      <c r="B129" s="1" t="n">
        <v>45673</v>
      </c>
      <c r="C129" s="1" t="n">
        <v>45892</v>
      </c>
      <c r="D129" t="inlineStr">
        <is>
          <t>GOTLANDS LÄN</t>
        </is>
      </c>
      <c r="E129" t="inlineStr">
        <is>
          <t>GOTLAND</t>
        </is>
      </c>
      <c r="G129" t="n">
        <v>3.1</v>
      </c>
      <c r="H129" t="n">
        <v>0</v>
      </c>
      <c r="I129" t="n">
        <v>1</v>
      </c>
      <c r="J129" t="n">
        <v>0</v>
      </c>
      <c r="K129" t="n">
        <v>0</v>
      </c>
      <c r="L129" t="n">
        <v>0</v>
      </c>
      <c r="M129" t="n">
        <v>0</v>
      </c>
      <c r="N129" t="n">
        <v>0</v>
      </c>
      <c r="O129" t="n">
        <v>0</v>
      </c>
      <c r="P129" t="n">
        <v>0</v>
      </c>
      <c r="Q129" t="n">
        <v>1</v>
      </c>
      <c r="R129" s="2" t="inlineStr">
        <is>
          <t>Kryddspindling</t>
        </is>
      </c>
      <c r="S129">
        <f>HYPERLINK("https://klasma.github.io/Logging_0980/artfynd/A 2476-2025 artfynd.xlsx", "A 2476-2025")</f>
        <v/>
      </c>
      <c r="T129">
        <f>HYPERLINK("https://klasma.github.io/Logging_0980/kartor/A 2476-2025 karta.png", "A 2476-2025")</f>
        <v/>
      </c>
      <c r="V129">
        <f>HYPERLINK("https://klasma.github.io/Logging_0980/klagomål/A 2476-2025 FSC-klagomål.docx", "A 2476-2025")</f>
        <v/>
      </c>
      <c r="W129">
        <f>HYPERLINK("https://klasma.github.io/Logging_0980/klagomålsmail/A 2476-2025 FSC-klagomål mail.docx", "A 2476-2025")</f>
        <v/>
      </c>
      <c r="X129">
        <f>HYPERLINK("https://klasma.github.io/Logging_0980/tillsyn/A 2476-2025 tillsynsbegäran.docx", "A 2476-2025")</f>
        <v/>
      </c>
      <c r="Y129">
        <f>HYPERLINK("https://klasma.github.io/Logging_0980/tillsynsmail/A 2476-2025 tillsynsbegäran mail.docx", "A 2476-2025")</f>
        <v/>
      </c>
    </row>
    <row r="130" ht="15" customHeight="1">
      <c r="A130" t="inlineStr">
        <is>
          <t>A 20429-2025</t>
        </is>
      </c>
      <c r="B130" s="1" t="n">
        <v>45775.47728009259</v>
      </c>
      <c r="C130" s="1" t="n">
        <v>45892</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24245-2022</t>
        </is>
      </c>
      <c r="B131" s="1" t="n">
        <v>44725</v>
      </c>
      <c r="C131" s="1" t="n">
        <v>45892</v>
      </c>
      <c r="D131" t="inlineStr">
        <is>
          <t>GOTLANDS LÄN</t>
        </is>
      </c>
      <c r="E131" t="inlineStr">
        <is>
          <t>GOTLAND</t>
        </is>
      </c>
      <c r="G131" t="n">
        <v>4.9</v>
      </c>
      <c r="H131" t="n">
        <v>0</v>
      </c>
      <c r="I131" t="n">
        <v>0</v>
      </c>
      <c r="J131" t="n">
        <v>0</v>
      </c>
      <c r="K131" t="n">
        <v>0</v>
      </c>
      <c r="L131" t="n">
        <v>1</v>
      </c>
      <c r="M131" t="n">
        <v>0</v>
      </c>
      <c r="N131" t="n">
        <v>0</v>
      </c>
      <c r="O131" t="n">
        <v>1</v>
      </c>
      <c r="P131" t="n">
        <v>1</v>
      </c>
      <c r="Q131" t="n">
        <v>1</v>
      </c>
      <c r="R131" s="2" t="inlineStr">
        <is>
          <t>Slät taggsvamp</t>
        </is>
      </c>
      <c r="S131">
        <f>HYPERLINK("https://klasma.github.io/Logging_0980/artfynd/A 24245-2022 artfynd.xlsx", "A 24245-2022")</f>
        <v/>
      </c>
      <c r="T131">
        <f>HYPERLINK("https://klasma.github.io/Logging_0980/kartor/A 24245-2022 karta.png", "A 24245-2022")</f>
        <v/>
      </c>
      <c r="V131">
        <f>HYPERLINK("https://klasma.github.io/Logging_0980/klagomål/A 24245-2022 FSC-klagomål.docx", "A 24245-2022")</f>
        <v/>
      </c>
      <c r="W131">
        <f>HYPERLINK("https://klasma.github.io/Logging_0980/klagomålsmail/A 24245-2022 FSC-klagomål mail.docx", "A 24245-2022")</f>
        <v/>
      </c>
      <c r="X131">
        <f>HYPERLINK("https://klasma.github.io/Logging_0980/tillsyn/A 24245-2022 tillsynsbegäran.docx", "A 24245-2022")</f>
        <v/>
      </c>
      <c r="Y131">
        <f>HYPERLINK("https://klasma.github.io/Logging_0980/tillsynsmail/A 24245-2022 tillsynsbegäran mail.docx", "A 24245-2022")</f>
        <v/>
      </c>
    </row>
    <row r="132" ht="15" customHeight="1">
      <c r="A132" t="inlineStr">
        <is>
          <t>A 447-2023</t>
        </is>
      </c>
      <c r="B132" s="1" t="n">
        <v>44929</v>
      </c>
      <c r="C132" s="1" t="n">
        <v>45892</v>
      </c>
      <c r="D132" t="inlineStr">
        <is>
          <t>GOTLANDS LÄN</t>
        </is>
      </c>
      <c r="E132" t="inlineStr">
        <is>
          <t>GOTLAND</t>
        </is>
      </c>
      <c r="G132" t="n">
        <v>5.1</v>
      </c>
      <c r="H132" t="n">
        <v>0</v>
      </c>
      <c r="I132" t="n">
        <v>0</v>
      </c>
      <c r="J132" t="n">
        <v>1</v>
      </c>
      <c r="K132" t="n">
        <v>0</v>
      </c>
      <c r="L132" t="n">
        <v>0</v>
      </c>
      <c r="M132" t="n">
        <v>0</v>
      </c>
      <c r="N132" t="n">
        <v>0</v>
      </c>
      <c r="O132" t="n">
        <v>1</v>
      </c>
      <c r="P132" t="n">
        <v>0</v>
      </c>
      <c r="Q132" t="n">
        <v>1</v>
      </c>
      <c r="R132" s="2" t="inlineStr">
        <is>
          <t>Äggspindling</t>
        </is>
      </c>
      <c r="S132">
        <f>HYPERLINK("https://klasma.github.io/Logging_0980/artfynd/A 447-2023 artfynd.xlsx", "A 447-2023")</f>
        <v/>
      </c>
      <c r="T132">
        <f>HYPERLINK("https://klasma.github.io/Logging_0980/kartor/A 447-2023 karta.png", "A 447-2023")</f>
        <v/>
      </c>
      <c r="V132">
        <f>HYPERLINK("https://klasma.github.io/Logging_0980/klagomål/A 447-2023 FSC-klagomål.docx", "A 447-2023")</f>
        <v/>
      </c>
      <c r="W132">
        <f>HYPERLINK("https://klasma.github.io/Logging_0980/klagomålsmail/A 447-2023 FSC-klagomål mail.docx", "A 447-2023")</f>
        <v/>
      </c>
      <c r="X132">
        <f>HYPERLINK("https://klasma.github.io/Logging_0980/tillsyn/A 447-2023 tillsynsbegäran.docx", "A 447-2023")</f>
        <v/>
      </c>
      <c r="Y132">
        <f>HYPERLINK("https://klasma.github.io/Logging_0980/tillsynsmail/A 447-2023 tillsynsbegäran mail.docx", "A 447-2023")</f>
        <v/>
      </c>
    </row>
    <row r="133" ht="15" customHeight="1">
      <c r="A133" t="inlineStr">
        <is>
          <t>A 34809-2024</t>
        </is>
      </c>
      <c r="B133" s="1" t="n">
        <v>45526</v>
      </c>
      <c r="C133" s="1" t="n">
        <v>45892</v>
      </c>
      <c r="D133" t="inlineStr">
        <is>
          <t>GOTLANDS LÄN</t>
        </is>
      </c>
      <c r="E133" t="inlineStr">
        <is>
          <t>GOTLAND</t>
        </is>
      </c>
      <c r="G133" t="n">
        <v>9.9</v>
      </c>
      <c r="H133" t="n">
        <v>1</v>
      </c>
      <c r="I133" t="n">
        <v>0</v>
      </c>
      <c r="J133" t="n">
        <v>1</v>
      </c>
      <c r="K133" t="n">
        <v>0</v>
      </c>
      <c r="L133" t="n">
        <v>0</v>
      </c>
      <c r="M133" t="n">
        <v>0</v>
      </c>
      <c r="N133" t="n">
        <v>0</v>
      </c>
      <c r="O133" t="n">
        <v>1</v>
      </c>
      <c r="P133" t="n">
        <v>0</v>
      </c>
      <c r="Q133" t="n">
        <v>1</v>
      </c>
      <c r="R133" s="2" t="inlineStr">
        <is>
          <t>Brun ögontröst</t>
        </is>
      </c>
      <c r="S133">
        <f>HYPERLINK("https://klasma.github.io/Logging_0980/artfynd/A 34809-2024 artfynd.xlsx", "A 34809-2024")</f>
        <v/>
      </c>
      <c r="T133">
        <f>HYPERLINK("https://klasma.github.io/Logging_0980/kartor/A 34809-2024 karta.png", "A 34809-2024")</f>
        <v/>
      </c>
      <c r="V133">
        <f>HYPERLINK("https://klasma.github.io/Logging_0980/klagomål/A 34809-2024 FSC-klagomål.docx", "A 34809-2024")</f>
        <v/>
      </c>
      <c r="W133">
        <f>HYPERLINK("https://klasma.github.io/Logging_0980/klagomålsmail/A 34809-2024 FSC-klagomål mail.docx", "A 34809-2024")</f>
        <v/>
      </c>
      <c r="X133">
        <f>HYPERLINK("https://klasma.github.io/Logging_0980/tillsyn/A 34809-2024 tillsynsbegäran.docx", "A 34809-2024")</f>
        <v/>
      </c>
      <c r="Y133">
        <f>HYPERLINK("https://klasma.github.io/Logging_0980/tillsynsmail/A 34809-2024 tillsynsbegäran mail.docx", "A 34809-2024")</f>
        <v/>
      </c>
    </row>
    <row r="134" ht="15" customHeight="1">
      <c r="A134" t="inlineStr">
        <is>
          <t>A 10995-2023</t>
        </is>
      </c>
      <c r="B134" s="1" t="n">
        <v>44986</v>
      </c>
      <c r="C134" s="1" t="n">
        <v>45892</v>
      </c>
      <c r="D134" t="inlineStr">
        <is>
          <t>GOTLANDS LÄN</t>
        </is>
      </c>
      <c r="E134" t="inlineStr">
        <is>
          <t>GOTLAND</t>
        </is>
      </c>
      <c r="G134" t="n">
        <v>2.8</v>
      </c>
      <c r="H134" t="n">
        <v>0</v>
      </c>
      <c r="I134" t="n">
        <v>0</v>
      </c>
      <c r="J134" t="n">
        <v>0</v>
      </c>
      <c r="K134" t="n">
        <v>1</v>
      </c>
      <c r="L134" t="n">
        <v>0</v>
      </c>
      <c r="M134" t="n">
        <v>0</v>
      </c>
      <c r="N134" t="n">
        <v>0</v>
      </c>
      <c r="O134" t="n">
        <v>1</v>
      </c>
      <c r="P134" t="n">
        <v>1</v>
      </c>
      <c r="Q134" t="n">
        <v>1</v>
      </c>
      <c r="R134" s="2" t="inlineStr">
        <is>
          <t>Violettfläckig spindling</t>
        </is>
      </c>
      <c r="S134">
        <f>HYPERLINK("https://klasma.github.io/Logging_0980/artfynd/A 10995-2023 artfynd.xlsx", "A 10995-2023")</f>
        <v/>
      </c>
      <c r="T134">
        <f>HYPERLINK("https://klasma.github.io/Logging_0980/kartor/A 10995-2023 karta.png", "A 10995-2023")</f>
        <v/>
      </c>
      <c r="V134">
        <f>HYPERLINK("https://klasma.github.io/Logging_0980/klagomål/A 10995-2023 FSC-klagomål.docx", "A 10995-2023")</f>
        <v/>
      </c>
      <c r="W134">
        <f>HYPERLINK("https://klasma.github.io/Logging_0980/klagomålsmail/A 10995-2023 FSC-klagomål mail.docx", "A 10995-2023")</f>
        <v/>
      </c>
      <c r="X134">
        <f>HYPERLINK("https://klasma.github.io/Logging_0980/tillsyn/A 10995-2023 tillsynsbegäran.docx", "A 10995-2023")</f>
        <v/>
      </c>
      <c r="Y134">
        <f>HYPERLINK("https://klasma.github.io/Logging_0980/tillsynsmail/A 10995-2023 tillsynsbegäran mail.docx", "A 10995-2023")</f>
        <v/>
      </c>
    </row>
    <row r="135" ht="15" customHeight="1">
      <c r="A135" t="inlineStr">
        <is>
          <t>A 63576-2021</t>
        </is>
      </c>
      <c r="B135" s="1" t="n">
        <v>44508</v>
      </c>
      <c r="C135" s="1" t="n">
        <v>45892</v>
      </c>
      <c r="D135" t="inlineStr">
        <is>
          <t>GOTLANDS LÄN</t>
        </is>
      </c>
      <c r="E135" t="inlineStr">
        <is>
          <t>GOTLAND</t>
        </is>
      </c>
      <c r="F135" t="inlineStr">
        <is>
          <t>Kyrkan</t>
        </is>
      </c>
      <c r="G135" t="n">
        <v>4.1</v>
      </c>
      <c r="H135" t="n">
        <v>1</v>
      </c>
      <c r="I135" t="n">
        <v>0</v>
      </c>
      <c r="J135" t="n">
        <v>1</v>
      </c>
      <c r="K135" t="n">
        <v>0</v>
      </c>
      <c r="L135" t="n">
        <v>0</v>
      </c>
      <c r="M135" t="n">
        <v>0</v>
      </c>
      <c r="N135" t="n">
        <v>0</v>
      </c>
      <c r="O135" t="n">
        <v>1</v>
      </c>
      <c r="P135" t="n">
        <v>0</v>
      </c>
      <c r="Q135" t="n">
        <v>1</v>
      </c>
      <c r="R135" s="2" t="inlineStr">
        <is>
          <t>Dårgräsfjäril</t>
        </is>
      </c>
      <c r="S135">
        <f>HYPERLINK("https://klasma.github.io/Logging_0980/artfynd/A 63576-2021 artfynd.xlsx", "A 63576-2021")</f>
        <v/>
      </c>
      <c r="T135">
        <f>HYPERLINK("https://klasma.github.io/Logging_0980/kartor/A 63576-2021 karta.png", "A 63576-2021")</f>
        <v/>
      </c>
      <c r="V135">
        <f>HYPERLINK("https://klasma.github.io/Logging_0980/klagomål/A 63576-2021 FSC-klagomål.docx", "A 63576-2021")</f>
        <v/>
      </c>
      <c r="W135">
        <f>HYPERLINK("https://klasma.github.io/Logging_0980/klagomålsmail/A 63576-2021 FSC-klagomål mail.docx", "A 63576-2021")</f>
        <v/>
      </c>
      <c r="X135">
        <f>HYPERLINK("https://klasma.github.io/Logging_0980/tillsyn/A 63576-2021 tillsynsbegäran.docx", "A 63576-2021")</f>
        <v/>
      </c>
      <c r="Y135">
        <f>HYPERLINK("https://klasma.github.io/Logging_0980/tillsynsmail/A 63576-2021 tillsynsbegäran mail.docx", "A 63576-2021")</f>
        <v/>
      </c>
    </row>
    <row r="136" ht="15" customHeight="1">
      <c r="A136" t="inlineStr">
        <is>
          <t>A 49304-2024</t>
        </is>
      </c>
      <c r="B136" s="1" t="n">
        <v>45595.54996527778</v>
      </c>
      <c r="C136" s="1" t="n">
        <v>45892</v>
      </c>
      <c r="D136" t="inlineStr">
        <is>
          <t>GOTLANDS LÄN</t>
        </is>
      </c>
      <c r="E136" t="inlineStr">
        <is>
          <t>GOTLAND</t>
        </is>
      </c>
      <c r="G136" t="n">
        <v>10.8</v>
      </c>
      <c r="H136" t="n">
        <v>0</v>
      </c>
      <c r="I136" t="n">
        <v>0</v>
      </c>
      <c r="J136" t="n">
        <v>1</v>
      </c>
      <c r="K136" t="n">
        <v>0</v>
      </c>
      <c r="L136" t="n">
        <v>0</v>
      </c>
      <c r="M136" t="n">
        <v>0</v>
      </c>
      <c r="N136" t="n">
        <v>0</v>
      </c>
      <c r="O136" t="n">
        <v>1</v>
      </c>
      <c r="P136" t="n">
        <v>0</v>
      </c>
      <c r="Q136" t="n">
        <v>1</v>
      </c>
      <c r="R136" s="2" t="inlineStr">
        <is>
          <t>Åkerranunkel</t>
        </is>
      </c>
      <c r="S136">
        <f>HYPERLINK("https://klasma.github.io/Logging_0980/artfynd/A 49304-2024 artfynd.xlsx", "A 49304-2024")</f>
        <v/>
      </c>
      <c r="T136">
        <f>HYPERLINK("https://klasma.github.io/Logging_0980/kartor/A 49304-2024 karta.png", "A 49304-2024")</f>
        <v/>
      </c>
      <c r="V136">
        <f>HYPERLINK("https://klasma.github.io/Logging_0980/klagomål/A 49304-2024 FSC-klagomål.docx", "A 49304-2024")</f>
        <v/>
      </c>
      <c r="W136">
        <f>HYPERLINK("https://klasma.github.io/Logging_0980/klagomålsmail/A 49304-2024 FSC-klagomål mail.docx", "A 49304-2024")</f>
        <v/>
      </c>
      <c r="X136">
        <f>HYPERLINK("https://klasma.github.io/Logging_0980/tillsyn/A 49304-2024 tillsynsbegäran.docx", "A 49304-2024")</f>
        <v/>
      </c>
      <c r="Y136">
        <f>HYPERLINK("https://klasma.github.io/Logging_0980/tillsynsmail/A 49304-2024 tillsynsbegäran mail.docx", "A 49304-2024")</f>
        <v/>
      </c>
    </row>
    <row r="137" ht="15" customHeight="1">
      <c r="A137" t="inlineStr">
        <is>
          <t>A 22782-2023</t>
        </is>
      </c>
      <c r="B137" s="1" t="n">
        <v>45072</v>
      </c>
      <c r="C137" s="1" t="n">
        <v>45892</v>
      </c>
      <c r="D137" t="inlineStr">
        <is>
          <t>GOTLANDS LÄN</t>
        </is>
      </c>
      <c r="E137" t="inlineStr">
        <is>
          <t>GOTLAND</t>
        </is>
      </c>
      <c r="F137" t="inlineStr">
        <is>
          <t>Kyrkan</t>
        </is>
      </c>
      <c r="G137" t="n">
        <v>3.1</v>
      </c>
      <c r="H137" t="n">
        <v>1</v>
      </c>
      <c r="I137" t="n">
        <v>0</v>
      </c>
      <c r="J137" t="n">
        <v>0</v>
      </c>
      <c r="K137" t="n">
        <v>0</v>
      </c>
      <c r="L137" t="n">
        <v>0</v>
      </c>
      <c r="M137" t="n">
        <v>0</v>
      </c>
      <c r="N137" t="n">
        <v>0</v>
      </c>
      <c r="O137" t="n">
        <v>0</v>
      </c>
      <c r="P137" t="n">
        <v>0</v>
      </c>
      <c r="Q137" t="n">
        <v>1</v>
      </c>
      <c r="R137" s="2" t="inlineStr">
        <is>
          <t>Ängsnycklar × skogsnycklar</t>
        </is>
      </c>
      <c r="S137">
        <f>HYPERLINK("https://klasma.github.io/Logging_0980/artfynd/A 22782-2023 artfynd.xlsx", "A 22782-2023")</f>
        <v/>
      </c>
      <c r="T137">
        <f>HYPERLINK("https://klasma.github.io/Logging_0980/kartor/A 22782-2023 karta.png", "A 22782-2023")</f>
        <v/>
      </c>
      <c r="V137">
        <f>HYPERLINK("https://klasma.github.io/Logging_0980/klagomål/A 22782-2023 FSC-klagomål.docx", "A 22782-2023")</f>
        <v/>
      </c>
      <c r="W137">
        <f>HYPERLINK("https://klasma.github.io/Logging_0980/klagomålsmail/A 22782-2023 FSC-klagomål mail.docx", "A 22782-2023")</f>
        <v/>
      </c>
      <c r="X137">
        <f>HYPERLINK("https://klasma.github.io/Logging_0980/tillsyn/A 22782-2023 tillsynsbegäran.docx", "A 22782-2023")</f>
        <v/>
      </c>
      <c r="Y137">
        <f>HYPERLINK("https://klasma.github.io/Logging_0980/tillsynsmail/A 22782-2023 tillsynsbegäran mail.docx", "A 22782-2023")</f>
        <v/>
      </c>
    </row>
    <row r="138" ht="15" customHeight="1">
      <c r="A138" t="inlineStr">
        <is>
          <t>A 44308-2021</t>
        </is>
      </c>
      <c r="B138" s="1" t="n">
        <v>44434</v>
      </c>
      <c r="C138" s="1" t="n">
        <v>45892</v>
      </c>
      <c r="D138" t="inlineStr">
        <is>
          <t>GOTLANDS LÄN</t>
        </is>
      </c>
      <c r="E138" t="inlineStr">
        <is>
          <t>GOTLAND</t>
        </is>
      </c>
      <c r="G138" t="n">
        <v>5.9</v>
      </c>
      <c r="H138" t="n">
        <v>0</v>
      </c>
      <c r="I138" t="n">
        <v>1</v>
      </c>
      <c r="J138" t="n">
        <v>0</v>
      </c>
      <c r="K138" t="n">
        <v>0</v>
      </c>
      <c r="L138" t="n">
        <v>0</v>
      </c>
      <c r="M138" t="n">
        <v>0</v>
      </c>
      <c r="N138" t="n">
        <v>0</v>
      </c>
      <c r="O138" t="n">
        <v>0</v>
      </c>
      <c r="P138" t="n">
        <v>0</v>
      </c>
      <c r="Q138" t="n">
        <v>1</v>
      </c>
      <c r="R138" s="2" t="inlineStr">
        <is>
          <t>Svavelriska</t>
        </is>
      </c>
      <c r="S138">
        <f>HYPERLINK("https://klasma.github.io/Logging_0980/artfynd/A 44308-2021 artfynd.xlsx", "A 44308-2021")</f>
        <v/>
      </c>
      <c r="T138">
        <f>HYPERLINK("https://klasma.github.io/Logging_0980/kartor/A 44308-2021 karta.png", "A 44308-2021")</f>
        <v/>
      </c>
      <c r="V138">
        <f>HYPERLINK("https://klasma.github.io/Logging_0980/klagomål/A 44308-2021 FSC-klagomål.docx", "A 44308-2021")</f>
        <v/>
      </c>
      <c r="W138">
        <f>HYPERLINK("https://klasma.github.io/Logging_0980/klagomålsmail/A 44308-2021 FSC-klagomål mail.docx", "A 44308-2021")</f>
        <v/>
      </c>
      <c r="X138">
        <f>HYPERLINK("https://klasma.github.io/Logging_0980/tillsyn/A 44308-2021 tillsynsbegäran.docx", "A 44308-2021")</f>
        <v/>
      </c>
      <c r="Y138">
        <f>HYPERLINK("https://klasma.github.io/Logging_0980/tillsynsmail/A 44308-2021 tillsynsbegäran mail.docx", "A 44308-2021")</f>
        <v/>
      </c>
    </row>
    <row r="139" ht="15" customHeight="1">
      <c r="A139" t="inlineStr">
        <is>
          <t>A 21466-2025</t>
        </is>
      </c>
      <c r="B139" s="1" t="n">
        <v>45782</v>
      </c>
      <c r="C139" s="1" t="n">
        <v>45892</v>
      </c>
      <c r="D139" t="inlineStr">
        <is>
          <t>GOTLANDS LÄN</t>
        </is>
      </c>
      <c r="E139" t="inlineStr">
        <is>
          <t>GOTLAND</t>
        </is>
      </c>
      <c r="F139" t="inlineStr">
        <is>
          <t>Övriga statliga verk och myndigheter</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HYPERLINK("https://klasma.github.io/Logging_0980/artfynd/A 21466-2025 artfynd.xlsx", "A 21466-2025")</f>
        <v/>
      </c>
      <c r="T139">
        <f>HYPERLINK("https://klasma.github.io/Logging_0980/kartor/A 21466-2025 karta.png", "A 21466-2025")</f>
        <v/>
      </c>
      <c r="V139">
        <f>HYPERLINK("https://klasma.github.io/Logging_0980/klagomål/A 21466-2025 FSC-klagomål.docx", "A 21466-2025")</f>
        <v/>
      </c>
      <c r="W139">
        <f>HYPERLINK("https://klasma.github.io/Logging_0980/klagomålsmail/A 21466-2025 FSC-klagomål mail.docx", "A 21466-2025")</f>
        <v/>
      </c>
      <c r="X139">
        <f>HYPERLINK("https://klasma.github.io/Logging_0980/tillsyn/A 21466-2025 tillsynsbegäran.docx", "A 21466-2025")</f>
        <v/>
      </c>
      <c r="Y139">
        <f>HYPERLINK("https://klasma.github.io/Logging_0980/tillsynsmail/A 21466-2025 tillsynsbegäran mail.docx", "A 21466-2025")</f>
        <v/>
      </c>
    </row>
    <row r="140" ht="15" customHeight="1">
      <c r="A140" t="inlineStr">
        <is>
          <t>A 12924-2025</t>
        </is>
      </c>
      <c r="B140" s="1" t="n">
        <v>45734</v>
      </c>
      <c r="C140" s="1" t="n">
        <v>45892</v>
      </c>
      <c r="D140" t="inlineStr">
        <is>
          <t>GOTLANDS LÄN</t>
        </is>
      </c>
      <c r="E140" t="inlineStr">
        <is>
          <t>GOTLAND</t>
        </is>
      </c>
      <c r="G140" t="n">
        <v>11.7</v>
      </c>
      <c r="H140" t="n">
        <v>0</v>
      </c>
      <c r="I140" t="n">
        <v>0</v>
      </c>
      <c r="J140" t="n">
        <v>0</v>
      </c>
      <c r="K140" t="n">
        <v>1</v>
      </c>
      <c r="L140" t="n">
        <v>0</v>
      </c>
      <c r="M140" t="n">
        <v>0</v>
      </c>
      <c r="N140" t="n">
        <v>0</v>
      </c>
      <c r="O140" t="n">
        <v>1</v>
      </c>
      <c r="P140" t="n">
        <v>1</v>
      </c>
      <c r="Q140" t="n">
        <v>1</v>
      </c>
      <c r="R140" s="2" t="inlineStr">
        <is>
          <t>Gotlandsmåra</t>
        </is>
      </c>
      <c r="S140">
        <f>HYPERLINK("https://klasma.github.io/Logging_0980/artfynd/A 12924-2025 artfynd.xlsx", "A 12924-2025")</f>
        <v/>
      </c>
      <c r="T140">
        <f>HYPERLINK("https://klasma.github.io/Logging_0980/kartor/A 12924-2025 karta.png", "A 12924-2025")</f>
        <v/>
      </c>
      <c r="V140">
        <f>HYPERLINK("https://klasma.github.io/Logging_0980/klagomål/A 12924-2025 FSC-klagomål.docx", "A 12924-2025")</f>
        <v/>
      </c>
      <c r="W140">
        <f>HYPERLINK("https://klasma.github.io/Logging_0980/klagomålsmail/A 12924-2025 FSC-klagomål mail.docx", "A 12924-2025")</f>
        <v/>
      </c>
      <c r="X140">
        <f>HYPERLINK("https://klasma.github.io/Logging_0980/tillsyn/A 12924-2025 tillsynsbegäran.docx", "A 12924-2025")</f>
        <v/>
      </c>
      <c r="Y140">
        <f>HYPERLINK("https://klasma.github.io/Logging_0980/tillsynsmail/A 12924-2025 tillsynsbegäran mail.docx", "A 12924-2025")</f>
        <v/>
      </c>
    </row>
    <row r="141" ht="15" customHeight="1">
      <c r="A141" t="inlineStr">
        <is>
          <t>A 44088-2022</t>
        </is>
      </c>
      <c r="B141" s="1" t="n">
        <v>44839</v>
      </c>
      <c r="C141" s="1" t="n">
        <v>45892</v>
      </c>
      <c r="D141" t="inlineStr">
        <is>
          <t>GOTLANDS LÄN</t>
        </is>
      </c>
      <c r="E141" t="inlineStr">
        <is>
          <t>GOTLAND</t>
        </is>
      </c>
      <c r="G141" t="n">
        <v>1.5</v>
      </c>
      <c r="H141" t="n">
        <v>0</v>
      </c>
      <c r="I141" t="n">
        <v>1</v>
      </c>
      <c r="J141" t="n">
        <v>0</v>
      </c>
      <c r="K141" t="n">
        <v>0</v>
      </c>
      <c r="L141" t="n">
        <v>0</v>
      </c>
      <c r="M141" t="n">
        <v>0</v>
      </c>
      <c r="N141" t="n">
        <v>0</v>
      </c>
      <c r="O141" t="n">
        <v>0</v>
      </c>
      <c r="P141" t="n">
        <v>0</v>
      </c>
      <c r="Q141" t="n">
        <v>1</v>
      </c>
      <c r="R141" s="2" t="inlineStr">
        <is>
          <t>Strävlosta</t>
        </is>
      </c>
      <c r="S141">
        <f>HYPERLINK("https://klasma.github.io/Logging_0980/artfynd/A 44088-2022 artfynd.xlsx", "A 44088-2022")</f>
        <v/>
      </c>
      <c r="T141">
        <f>HYPERLINK("https://klasma.github.io/Logging_0980/kartor/A 44088-2022 karta.png", "A 44088-2022")</f>
        <v/>
      </c>
      <c r="V141">
        <f>HYPERLINK("https://klasma.github.io/Logging_0980/klagomål/A 44088-2022 FSC-klagomål.docx", "A 44088-2022")</f>
        <v/>
      </c>
      <c r="W141">
        <f>HYPERLINK("https://klasma.github.io/Logging_0980/klagomålsmail/A 44088-2022 FSC-klagomål mail.docx", "A 44088-2022")</f>
        <v/>
      </c>
      <c r="X141">
        <f>HYPERLINK("https://klasma.github.io/Logging_0980/tillsyn/A 44088-2022 tillsynsbegäran.docx", "A 44088-2022")</f>
        <v/>
      </c>
      <c r="Y141">
        <f>HYPERLINK("https://klasma.github.io/Logging_0980/tillsynsmail/A 44088-2022 tillsynsbegäran mail.docx", "A 44088-2022")</f>
        <v/>
      </c>
    </row>
    <row r="142" ht="15" customHeight="1">
      <c r="A142" t="inlineStr">
        <is>
          <t>A 2213-2023</t>
        </is>
      </c>
      <c r="B142" s="1" t="n">
        <v>44942</v>
      </c>
      <c r="C142" s="1" t="n">
        <v>45892</v>
      </c>
      <c r="D142" t="inlineStr">
        <is>
          <t>GOTLANDS LÄN</t>
        </is>
      </c>
      <c r="E142" t="inlineStr">
        <is>
          <t>GOTLAND</t>
        </is>
      </c>
      <c r="G142" t="n">
        <v>2.7</v>
      </c>
      <c r="H142" t="n">
        <v>0</v>
      </c>
      <c r="I142" t="n">
        <v>0</v>
      </c>
      <c r="J142" t="n">
        <v>1</v>
      </c>
      <c r="K142" t="n">
        <v>0</v>
      </c>
      <c r="L142" t="n">
        <v>0</v>
      </c>
      <c r="M142" t="n">
        <v>0</v>
      </c>
      <c r="N142" t="n">
        <v>0</v>
      </c>
      <c r="O142" t="n">
        <v>1</v>
      </c>
      <c r="P142" t="n">
        <v>0</v>
      </c>
      <c r="Q142" t="n">
        <v>1</v>
      </c>
      <c r="R142" s="2" t="inlineStr">
        <is>
          <t>Odörspindling</t>
        </is>
      </c>
      <c r="S142">
        <f>HYPERLINK("https://klasma.github.io/Logging_0980/artfynd/A 2213-2023 artfynd.xlsx", "A 2213-2023")</f>
        <v/>
      </c>
      <c r="T142">
        <f>HYPERLINK("https://klasma.github.io/Logging_0980/kartor/A 2213-2023 karta.png", "A 2213-2023")</f>
        <v/>
      </c>
      <c r="V142">
        <f>HYPERLINK("https://klasma.github.io/Logging_0980/klagomål/A 2213-2023 FSC-klagomål.docx", "A 2213-2023")</f>
        <v/>
      </c>
      <c r="W142">
        <f>HYPERLINK("https://klasma.github.io/Logging_0980/klagomålsmail/A 2213-2023 FSC-klagomål mail.docx", "A 2213-2023")</f>
        <v/>
      </c>
      <c r="X142">
        <f>HYPERLINK("https://klasma.github.io/Logging_0980/tillsyn/A 2213-2023 tillsynsbegäran.docx", "A 2213-2023")</f>
        <v/>
      </c>
      <c r="Y142">
        <f>HYPERLINK("https://klasma.github.io/Logging_0980/tillsynsmail/A 2213-2023 tillsynsbegäran mail.docx", "A 2213-2023")</f>
        <v/>
      </c>
    </row>
    <row r="143" ht="15" customHeight="1">
      <c r="A143" t="inlineStr">
        <is>
          <t>A 46527-2023</t>
        </is>
      </c>
      <c r="B143" s="1" t="n">
        <v>45197</v>
      </c>
      <c r="C143" s="1" t="n">
        <v>45892</v>
      </c>
      <c r="D143" t="inlineStr">
        <is>
          <t>GOTLANDS LÄN</t>
        </is>
      </c>
      <c r="E143" t="inlineStr">
        <is>
          <t>GOTLAND</t>
        </is>
      </c>
      <c r="G143" t="n">
        <v>0.9</v>
      </c>
      <c r="H143" t="n">
        <v>0</v>
      </c>
      <c r="I143" t="n">
        <v>0</v>
      </c>
      <c r="J143" t="n">
        <v>1</v>
      </c>
      <c r="K143" t="n">
        <v>0</v>
      </c>
      <c r="L143" t="n">
        <v>0</v>
      </c>
      <c r="M143" t="n">
        <v>0</v>
      </c>
      <c r="N143" t="n">
        <v>0</v>
      </c>
      <c r="O143" t="n">
        <v>1</v>
      </c>
      <c r="P143" t="n">
        <v>0</v>
      </c>
      <c r="Q143" t="n">
        <v>1</v>
      </c>
      <c r="R143" s="2" t="inlineStr">
        <is>
          <t>Guldgräshoppa</t>
        </is>
      </c>
      <c r="S143">
        <f>HYPERLINK("https://klasma.github.io/Logging_0980/artfynd/A 46527-2023 artfynd.xlsx", "A 46527-2023")</f>
        <v/>
      </c>
      <c r="T143">
        <f>HYPERLINK("https://klasma.github.io/Logging_0980/kartor/A 46527-2023 karta.png", "A 46527-2023")</f>
        <v/>
      </c>
      <c r="V143">
        <f>HYPERLINK("https://klasma.github.io/Logging_0980/klagomål/A 46527-2023 FSC-klagomål.docx", "A 46527-2023")</f>
        <v/>
      </c>
      <c r="W143">
        <f>HYPERLINK("https://klasma.github.io/Logging_0980/klagomålsmail/A 46527-2023 FSC-klagomål mail.docx", "A 46527-2023")</f>
        <v/>
      </c>
      <c r="X143">
        <f>HYPERLINK("https://klasma.github.io/Logging_0980/tillsyn/A 46527-2023 tillsynsbegäran.docx", "A 46527-2023")</f>
        <v/>
      </c>
      <c r="Y143">
        <f>HYPERLINK("https://klasma.github.io/Logging_0980/tillsynsmail/A 46527-2023 tillsynsbegäran mail.docx", "A 46527-2023")</f>
        <v/>
      </c>
    </row>
    <row r="144" ht="15" customHeight="1">
      <c r="A144" t="inlineStr">
        <is>
          <t>A 10440-2024</t>
        </is>
      </c>
      <c r="B144" s="1" t="n">
        <v>45366.32818287037</v>
      </c>
      <c r="C144" s="1" t="n">
        <v>45892</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8725-2025</t>
        </is>
      </c>
      <c r="B145" s="1" t="n">
        <v>45712</v>
      </c>
      <c r="C145" s="1" t="n">
        <v>45892</v>
      </c>
      <c r="D145" t="inlineStr">
        <is>
          <t>GOTLANDS LÄN</t>
        </is>
      </c>
      <c r="E145" t="inlineStr">
        <is>
          <t>GOTLAND</t>
        </is>
      </c>
      <c r="G145" t="n">
        <v>4.4</v>
      </c>
      <c r="H145" t="n">
        <v>1</v>
      </c>
      <c r="I145" t="n">
        <v>0</v>
      </c>
      <c r="J145" t="n">
        <v>1</v>
      </c>
      <c r="K145" t="n">
        <v>0</v>
      </c>
      <c r="L145" t="n">
        <v>0</v>
      </c>
      <c r="M145" t="n">
        <v>0</v>
      </c>
      <c r="N145" t="n">
        <v>0</v>
      </c>
      <c r="O145" t="n">
        <v>1</v>
      </c>
      <c r="P145" t="n">
        <v>0</v>
      </c>
      <c r="Q145" t="n">
        <v>1</v>
      </c>
      <c r="R145" s="2" t="inlineStr">
        <is>
          <t>Spillkråka</t>
        </is>
      </c>
      <c r="S145">
        <f>HYPERLINK("https://klasma.github.io/Logging_0980/artfynd/A 8725-2025 artfynd.xlsx", "A 8725-2025")</f>
        <v/>
      </c>
      <c r="T145">
        <f>HYPERLINK("https://klasma.github.io/Logging_0980/kartor/A 8725-2025 karta.png", "A 8725-2025")</f>
        <v/>
      </c>
      <c r="V145">
        <f>HYPERLINK("https://klasma.github.io/Logging_0980/klagomål/A 8725-2025 FSC-klagomål.docx", "A 8725-2025")</f>
        <v/>
      </c>
      <c r="W145">
        <f>HYPERLINK("https://klasma.github.io/Logging_0980/klagomålsmail/A 8725-2025 FSC-klagomål mail.docx", "A 8725-2025")</f>
        <v/>
      </c>
      <c r="X145">
        <f>HYPERLINK("https://klasma.github.io/Logging_0980/tillsyn/A 8725-2025 tillsynsbegäran.docx", "A 8725-2025")</f>
        <v/>
      </c>
      <c r="Y145">
        <f>HYPERLINK("https://klasma.github.io/Logging_0980/tillsynsmail/A 8725-2025 tillsynsbegäran mail.docx", "A 8725-2025")</f>
        <v/>
      </c>
      <c r="Z145">
        <f>HYPERLINK("https://klasma.github.io/Logging_0980/fåglar/A 8725-2025 prioriterade fågelarter.docx", "A 8725-2025")</f>
        <v/>
      </c>
    </row>
    <row r="146" ht="15" customHeight="1">
      <c r="A146" t="inlineStr">
        <is>
          <t>A 17723-2021</t>
        </is>
      </c>
      <c r="B146" s="1" t="n">
        <v>44300</v>
      </c>
      <c r="C146" s="1" t="n">
        <v>45892</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6303-2024</t>
        </is>
      </c>
      <c r="B147" s="1" t="n">
        <v>45338.35376157407</v>
      </c>
      <c r="C147" s="1" t="n">
        <v>45892</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45892</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27168-2022</t>
        </is>
      </c>
      <c r="B149" s="1" t="n">
        <v>44741</v>
      </c>
      <c r="C149" s="1" t="n">
        <v>45892</v>
      </c>
      <c r="D149" t="inlineStr">
        <is>
          <t>GOTLANDS LÄN</t>
        </is>
      </c>
      <c r="E149" t="inlineStr">
        <is>
          <t>GOTLAND</t>
        </is>
      </c>
      <c r="G149" t="n">
        <v>2.2</v>
      </c>
      <c r="H149" t="n">
        <v>1</v>
      </c>
      <c r="I149" t="n">
        <v>1</v>
      </c>
      <c r="J149" t="n">
        <v>0</v>
      </c>
      <c r="K149" t="n">
        <v>0</v>
      </c>
      <c r="L149" t="n">
        <v>0</v>
      </c>
      <c r="M149" t="n">
        <v>0</v>
      </c>
      <c r="N149" t="n">
        <v>0</v>
      </c>
      <c r="O149" t="n">
        <v>0</v>
      </c>
      <c r="P149" t="n">
        <v>0</v>
      </c>
      <c r="Q149" t="n">
        <v>1</v>
      </c>
      <c r="R149" s="2" t="inlineStr">
        <is>
          <t>Purpurknipprot</t>
        </is>
      </c>
      <c r="S149">
        <f>HYPERLINK("https://klasma.github.io/Logging_0980/artfynd/A 27168-2022 artfynd.xlsx", "A 27168-2022")</f>
        <v/>
      </c>
      <c r="T149">
        <f>HYPERLINK("https://klasma.github.io/Logging_0980/kartor/A 27168-2022 karta.png", "A 27168-2022")</f>
        <v/>
      </c>
      <c r="V149">
        <f>HYPERLINK("https://klasma.github.io/Logging_0980/klagomål/A 27168-2022 FSC-klagomål.docx", "A 27168-2022")</f>
        <v/>
      </c>
      <c r="W149">
        <f>HYPERLINK("https://klasma.github.io/Logging_0980/klagomålsmail/A 27168-2022 FSC-klagomål mail.docx", "A 27168-2022")</f>
        <v/>
      </c>
      <c r="X149">
        <f>HYPERLINK("https://klasma.github.io/Logging_0980/tillsyn/A 27168-2022 tillsynsbegäran.docx", "A 27168-2022")</f>
        <v/>
      </c>
      <c r="Y149">
        <f>HYPERLINK("https://klasma.github.io/Logging_0980/tillsynsmail/A 27168-2022 tillsynsbegäran mail.docx", "A 27168-2022")</f>
        <v/>
      </c>
    </row>
    <row r="150" ht="15" customHeight="1">
      <c r="A150" t="inlineStr">
        <is>
          <t>A 26461-2025</t>
        </is>
      </c>
      <c r="B150" s="1" t="n">
        <v>45807.43337962963</v>
      </c>
      <c r="C150" s="1" t="n">
        <v>45892</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25977-2024</t>
        </is>
      </c>
      <c r="B151" s="1" t="n">
        <v>45467.69356481481</v>
      </c>
      <c r="C151" s="1" t="n">
        <v>45892</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27589-2023</t>
        </is>
      </c>
      <c r="B152" s="1" t="n">
        <v>45097</v>
      </c>
      <c r="C152" s="1" t="n">
        <v>45892</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7637-2025</t>
        </is>
      </c>
      <c r="B153" s="1" t="n">
        <v>45705.77181712963</v>
      </c>
      <c r="C153" s="1" t="n">
        <v>45892</v>
      </c>
      <c r="D153" t="inlineStr">
        <is>
          <t>GOTLANDS LÄN</t>
        </is>
      </c>
      <c r="E153" t="inlineStr">
        <is>
          <t>GOTLAND</t>
        </is>
      </c>
      <c r="G153" t="n">
        <v>3.7</v>
      </c>
      <c r="H153" t="n">
        <v>0</v>
      </c>
      <c r="I153" t="n">
        <v>0</v>
      </c>
      <c r="J153" t="n">
        <v>0</v>
      </c>
      <c r="K153" t="n">
        <v>0</v>
      </c>
      <c r="L153" t="n">
        <v>0</v>
      </c>
      <c r="M153" t="n">
        <v>1</v>
      </c>
      <c r="N153" t="n">
        <v>0</v>
      </c>
      <c r="O153" t="n">
        <v>1</v>
      </c>
      <c r="P153" t="n">
        <v>1</v>
      </c>
      <c r="Q153" t="n">
        <v>1</v>
      </c>
      <c r="R153" s="2" t="inlineStr">
        <is>
          <t>Skogsalm</t>
        </is>
      </c>
      <c r="S153">
        <f>HYPERLINK("https://klasma.github.io/Logging_0980/artfynd/A 7637-2025 artfynd.xlsx", "A 7637-2025")</f>
        <v/>
      </c>
      <c r="T153">
        <f>HYPERLINK("https://klasma.github.io/Logging_0980/kartor/A 7637-2025 karta.png", "A 7637-2025")</f>
        <v/>
      </c>
      <c r="V153">
        <f>HYPERLINK("https://klasma.github.io/Logging_0980/klagomål/A 7637-2025 FSC-klagomål.docx", "A 7637-2025")</f>
        <v/>
      </c>
      <c r="W153">
        <f>HYPERLINK("https://klasma.github.io/Logging_0980/klagomålsmail/A 7637-2025 FSC-klagomål mail.docx", "A 7637-2025")</f>
        <v/>
      </c>
      <c r="X153">
        <f>HYPERLINK("https://klasma.github.io/Logging_0980/tillsyn/A 7637-2025 tillsynsbegäran.docx", "A 7637-2025")</f>
        <v/>
      </c>
      <c r="Y153">
        <f>HYPERLINK("https://klasma.github.io/Logging_0980/tillsynsmail/A 7637-2025 tillsynsbegäran mail.docx", "A 7637-2025")</f>
        <v/>
      </c>
    </row>
    <row r="154" ht="15" customHeight="1">
      <c r="A154" t="inlineStr">
        <is>
          <t>A 44468-2024</t>
        </is>
      </c>
      <c r="B154" s="1" t="n">
        <v>45574.36651620371</v>
      </c>
      <c r="C154" s="1" t="n">
        <v>45892</v>
      </c>
      <c r="D154" t="inlineStr">
        <is>
          <t>GOTLANDS LÄN</t>
        </is>
      </c>
      <c r="E154" t="inlineStr">
        <is>
          <t>GOTLAND</t>
        </is>
      </c>
      <c r="G154" t="n">
        <v>7</v>
      </c>
      <c r="H154" t="n">
        <v>0</v>
      </c>
      <c r="I154" t="n">
        <v>0</v>
      </c>
      <c r="J154" t="n">
        <v>0</v>
      </c>
      <c r="K154" t="n">
        <v>0</v>
      </c>
      <c r="L154" t="n">
        <v>0</v>
      </c>
      <c r="M154" t="n">
        <v>1</v>
      </c>
      <c r="N154" t="n">
        <v>0</v>
      </c>
      <c r="O154" t="n">
        <v>1</v>
      </c>
      <c r="P154" t="n">
        <v>1</v>
      </c>
      <c r="Q154" t="n">
        <v>1</v>
      </c>
      <c r="R154" s="2" t="inlineStr">
        <is>
          <t>Skogsalm</t>
        </is>
      </c>
      <c r="S154">
        <f>HYPERLINK("https://klasma.github.io/Logging_0980/artfynd/A 44468-2024 artfynd.xlsx", "A 44468-2024")</f>
        <v/>
      </c>
      <c r="T154">
        <f>HYPERLINK("https://klasma.github.io/Logging_0980/kartor/A 44468-2024 karta.png", "A 44468-2024")</f>
        <v/>
      </c>
      <c r="V154">
        <f>HYPERLINK("https://klasma.github.io/Logging_0980/klagomål/A 44468-2024 FSC-klagomål.docx", "A 44468-2024")</f>
        <v/>
      </c>
      <c r="W154">
        <f>HYPERLINK("https://klasma.github.io/Logging_0980/klagomålsmail/A 44468-2024 FSC-klagomål mail.docx", "A 44468-2024")</f>
        <v/>
      </c>
      <c r="X154">
        <f>HYPERLINK("https://klasma.github.io/Logging_0980/tillsyn/A 44468-2024 tillsynsbegäran.docx", "A 44468-2024")</f>
        <v/>
      </c>
      <c r="Y154">
        <f>HYPERLINK("https://klasma.github.io/Logging_0980/tillsynsmail/A 44468-2024 tillsynsbegäran mail.docx", "A 44468-2024")</f>
        <v/>
      </c>
    </row>
    <row r="155" ht="15" customHeight="1">
      <c r="A155" t="inlineStr">
        <is>
          <t>A 65927-2021</t>
        </is>
      </c>
      <c r="B155" s="1" t="n">
        <v>44516</v>
      </c>
      <c r="C155" s="1" t="n">
        <v>45892</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947-2023</t>
        </is>
      </c>
      <c r="B156" s="1" t="n">
        <v>44934</v>
      </c>
      <c r="C156" s="1" t="n">
        <v>45892</v>
      </c>
      <c r="D156" t="inlineStr">
        <is>
          <t>GOTLANDS LÄN</t>
        </is>
      </c>
      <c r="E156" t="inlineStr">
        <is>
          <t>GOTLAND</t>
        </is>
      </c>
      <c r="G156" t="n">
        <v>0.7</v>
      </c>
      <c r="H156" t="n">
        <v>1</v>
      </c>
      <c r="I156" t="n">
        <v>0</v>
      </c>
      <c r="J156" t="n">
        <v>0</v>
      </c>
      <c r="K156" t="n">
        <v>1</v>
      </c>
      <c r="L156" t="n">
        <v>0</v>
      </c>
      <c r="M156" t="n">
        <v>0</v>
      </c>
      <c r="N156" t="n">
        <v>0</v>
      </c>
      <c r="O156" t="n">
        <v>1</v>
      </c>
      <c r="P156" t="n">
        <v>1</v>
      </c>
      <c r="Q156" t="n">
        <v>1</v>
      </c>
      <c r="R156" s="2" t="inlineStr">
        <is>
          <t>Garderönn</t>
        </is>
      </c>
      <c r="S156">
        <f>HYPERLINK("https://klasma.github.io/Logging_0980/artfynd/A 947-2023 artfynd.xlsx", "A 947-2023")</f>
        <v/>
      </c>
      <c r="T156">
        <f>HYPERLINK("https://klasma.github.io/Logging_0980/kartor/A 947-2023 karta.png", "A 947-2023")</f>
        <v/>
      </c>
      <c r="V156">
        <f>HYPERLINK("https://klasma.github.io/Logging_0980/klagomål/A 947-2023 FSC-klagomål.docx", "A 947-2023")</f>
        <v/>
      </c>
      <c r="W156">
        <f>HYPERLINK("https://klasma.github.io/Logging_0980/klagomålsmail/A 947-2023 FSC-klagomål mail.docx", "A 947-2023")</f>
        <v/>
      </c>
      <c r="X156">
        <f>HYPERLINK("https://klasma.github.io/Logging_0980/tillsyn/A 947-2023 tillsynsbegäran.docx", "A 947-2023")</f>
        <v/>
      </c>
      <c r="Y156">
        <f>HYPERLINK("https://klasma.github.io/Logging_0980/tillsynsmail/A 947-2023 tillsynsbegäran mail.docx", "A 947-2023")</f>
        <v/>
      </c>
    </row>
    <row r="157" ht="15" customHeight="1">
      <c r="A157" t="inlineStr">
        <is>
          <t>A 61796-2022</t>
        </is>
      </c>
      <c r="B157" s="1" t="n">
        <v>44917</v>
      </c>
      <c r="C157" s="1" t="n">
        <v>45892</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10218-2025</t>
        </is>
      </c>
      <c r="B158" s="1" t="n">
        <v>45720</v>
      </c>
      <c r="C158" s="1" t="n">
        <v>45892</v>
      </c>
      <c r="D158" t="inlineStr">
        <is>
          <t>GOTLANDS LÄN</t>
        </is>
      </c>
      <c r="E158" t="inlineStr">
        <is>
          <t>GOTLAND</t>
        </is>
      </c>
      <c r="G158" t="n">
        <v>8.1</v>
      </c>
      <c r="H158" t="n">
        <v>0</v>
      </c>
      <c r="I158" t="n">
        <v>1</v>
      </c>
      <c r="J158" t="n">
        <v>0</v>
      </c>
      <c r="K158" t="n">
        <v>0</v>
      </c>
      <c r="L158" t="n">
        <v>0</v>
      </c>
      <c r="M158" t="n">
        <v>0</v>
      </c>
      <c r="N158" t="n">
        <v>0</v>
      </c>
      <c r="O158" t="n">
        <v>0</v>
      </c>
      <c r="P158" t="n">
        <v>0</v>
      </c>
      <c r="Q158" t="n">
        <v>1</v>
      </c>
      <c r="R158" s="2" t="inlineStr">
        <is>
          <t>Kalktallört</t>
        </is>
      </c>
      <c r="S158">
        <f>HYPERLINK("https://klasma.github.io/Logging_0980/artfynd/A 10218-2025 artfynd.xlsx", "A 10218-2025")</f>
        <v/>
      </c>
      <c r="T158">
        <f>HYPERLINK("https://klasma.github.io/Logging_0980/kartor/A 10218-2025 karta.png", "A 10218-2025")</f>
        <v/>
      </c>
      <c r="V158">
        <f>HYPERLINK("https://klasma.github.io/Logging_0980/klagomål/A 10218-2025 FSC-klagomål.docx", "A 10218-2025")</f>
        <v/>
      </c>
      <c r="W158">
        <f>HYPERLINK("https://klasma.github.io/Logging_0980/klagomålsmail/A 10218-2025 FSC-klagomål mail.docx", "A 10218-2025")</f>
        <v/>
      </c>
      <c r="X158">
        <f>HYPERLINK("https://klasma.github.io/Logging_0980/tillsyn/A 10218-2025 tillsynsbegäran.docx", "A 10218-2025")</f>
        <v/>
      </c>
      <c r="Y158">
        <f>HYPERLINK("https://klasma.github.io/Logging_0980/tillsynsmail/A 10218-2025 tillsynsbegäran mail.docx", "A 10218-2025")</f>
        <v/>
      </c>
    </row>
    <row r="159" ht="15" customHeight="1">
      <c r="A159" t="inlineStr">
        <is>
          <t>A 12379-2024</t>
        </is>
      </c>
      <c r="B159" s="1" t="n">
        <v>45379.28155092592</v>
      </c>
      <c r="C159" s="1" t="n">
        <v>45892</v>
      </c>
      <c r="D159" t="inlineStr">
        <is>
          <t>GOTLANDS LÄN</t>
        </is>
      </c>
      <c r="E159" t="inlineStr">
        <is>
          <t>GOTLAND</t>
        </is>
      </c>
      <c r="G159" t="n">
        <v>4.4</v>
      </c>
      <c r="H159" t="n">
        <v>0</v>
      </c>
      <c r="I159" t="n">
        <v>0</v>
      </c>
      <c r="J159" t="n">
        <v>1</v>
      </c>
      <c r="K159" t="n">
        <v>0</v>
      </c>
      <c r="L159" t="n">
        <v>0</v>
      </c>
      <c r="M159" t="n">
        <v>0</v>
      </c>
      <c r="N159" t="n">
        <v>0</v>
      </c>
      <c r="O159" t="n">
        <v>1</v>
      </c>
      <c r="P159" t="n">
        <v>0</v>
      </c>
      <c r="Q159" t="n">
        <v>1</v>
      </c>
      <c r="R159" s="2" t="inlineStr">
        <is>
          <t>Svinrot</t>
        </is>
      </c>
      <c r="S159">
        <f>HYPERLINK("https://klasma.github.io/Logging_0980/artfynd/A 12379-2024 artfynd.xlsx", "A 12379-2024")</f>
        <v/>
      </c>
      <c r="T159">
        <f>HYPERLINK("https://klasma.github.io/Logging_0980/kartor/A 12379-2024 karta.png", "A 12379-2024")</f>
        <v/>
      </c>
      <c r="V159">
        <f>HYPERLINK("https://klasma.github.io/Logging_0980/klagomål/A 12379-2024 FSC-klagomål.docx", "A 12379-2024")</f>
        <v/>
      </c>
      <c r="W159">
        <f>HYPERLINK("https://klasma.github.io/Logging_0980/klagomålsmail/A 12379-2024 FSC-klagomål mail.docx", "A 12379-2024")</f>
        <v/>
      </c>
      <c r="X159">
        <f>HYPERLINK("https://klasma.github.io/Logging_0980/tillsyn/A 12379-2024 tillsynsbegäran.docx", "A 12379-2024")</f>
        <v/>
      </c>
      <c r="Y159">
        <f>HYPERLINK("https://klasma.github.io/Logging_0980/tillsynsmail/A 12379-2024 tillsynsbegäran mail.docx", "A 12379-2024")</f>
        <v/>
      </c>
    </row>
    <row r="160" ht="15" customHeight="1">
      <c r="A160" t="inlineStr">
        <is>
          <t>A 61561-2023</t>
        </is>
      </c>
      <c r="B160" s="1" t="n">
        <v>45265</v>
      </c>
      <c r="C160" s="1" t="n">
        <v>45892</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64700-2021</t>
        </is>
      </c>
      <c r="B161" s="1" t="n">
        <v>44511</v>
      </c>
      <c r="C161" s="1" t="n">
        <v>45892</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35574-2024</t>
        </is>
      </c>
      <c r="B162" s="1" t="n">
        <v>45531</v>
      </c>
      <c r="C162" s="1" t="n">
        <v>45892</v>
      </c>
      <c r="D162" t="inlineStr">
        <is>
          <t>GOTLANDS LÄN</t>
        </is>
      </c>
      <c r="E162" t="inlineStr">
        <is>
          <t>GOTLAND</t>
        </is>
      </c>
      <c r="G162" t="n">
        <v>5.7</v>
      </c>
      <c r="H162" t="n">
        <v>0</v>
      </c>
      <c r="I162" t="n">
        <v>1</v>
      </c>
      <c r="J162" t="n">
        <v>0</v>
      </c>
      <c r="K162" t="n">
        <v>0</v>
      </c>
      <c r="L162" t="n">
        <v>0</v>
      </c>
      <c r="M162" t="n">
        <v>0</v>
      </c>
      <c r="N162" t="n">
        <v>0</v>
      </c>
      <c r="O162" t="n">
        <v>0</v>
      </c>
      <c r="P162" t="n">
        <v>0</v>
      </c>
      <c r="Q162" t="n">
        <v>1</v>
      </c>
      <c r="R162" s="2" t="inlineStr">
        <is>
          <t>Murgröna</t>
        </is>
      </c>
      <c r="S162">
        <f>HYPERLINK("https://klasma.github.io/Logging_0980/artfynd/A 35574-2024 artfynd.xlsx", "A 35574-2024")</f>
        <v/>
      </c>
      <c r="T162">
        <f>HYPERLINK("https://klasma.github.io/Logging_0980/kartor/A 35574-2024 karta.png", "A 35574-2024")</f>
        <v/>
      </c>
      <c r="V162">
        <f>HYPERLINK("https://klasma.github.io/Logging_0980/klagomål/A 35574-2024 FSC-klagomål.docx", "A 35574-2024")</f>
        <v/>
      </c>
      <c r="W162">
        <f>HYPERLINK("https://klasma.github.io/Logging_0980/klagomålsmail/A 35574-2024 FSC-klagomål mail.docx", "A 35574-2024")</f>
        <v/>
      </c>
      <c r="X162">
        <f>HYPERLINK("https://klasma.github.io/Logging_0980/tillsyn/A 35574-2024 tillsynsbegäran.docx", "A 35574-2024")</f>
        <v/>
      </c>
      <c r="Y162">
        <f>HYPERLINK("https://klasma.github.io/Logging_0980/tillsynsmail/A 35574-2024 tillsynsbegäran mail.docx", "A 35574-2024")</f>
        <v/>
      </c>
    </row>
    <row r="163" ht="15" customHeight="1">
      <c r="A163" t="inlineStr">
        <is>
          <t>A 15637-2024</t>
        </is>
      </c>
      <c r="B163" s="1" t="n">
        <v>45403.6684837963</v>
      </c>
      <c r="C163" s="1" t="n">
        <v>45892</v>
      </c>
      <c r="D163" t="inlineStr">
        <is>
          <t>GOTLANDS LÄN</t>
        </is>
      </c>
      <c r="E163" t="inlineStr">
        <is>
          <t>GOTLAND</t>
        </is>
      </c>
      <c r="G163" t="n">
        <v>4.1</v>
      </c>
      <c r="H163" t="n">
        <v>1</v>
      </c>
      <c r="I163" t="n">
        <v>0</v>
      </c>
      <c r="J163" t="n">
        <v>0</v>
      </c>
      <c r="K163" t="n">
        <v>0</v>
      </c>
      <c r="L163" t="n">
        <v>0</v>
      </c>
      <c r="M163" t="n">
        <v>0</v>
      </c>
      <c r="N163" t="n">
        <v>0</v>
      </c>
      <c r="O163" t="n">
        <v>0</v>
      </c>
      <c r="P163" t="n">
        <v>0</v>
      </c>
      <c r="Q163" t="n">
        <v>1</v>
      </c>
      <c r="R163" s="2" t="inlineStr">
        <is>
          <t>Blåsippa</t>
        </is>
      </c>
      <c r="S163">
        <f>HYPERLINK("https://klasma.github.io/Logging_0980/artfynd/A 15637-2024 artfynd.xlsx", "A 15637-2024")</f>
        <v/>
      </c>
      <c r="T163">
        <f>HYPERLINK("https://klasma.github.io/Logging_0980/kartor/A 15637-2024 karta.png", "A 15637-2024")</f>
        <v/>
      </c>
      <c r="V163">
        <f>HYPERLINK("https://klasma.github.io/Logging_0980/klagomål/A 15637-2024 FSC-klagomål.docx", "A 15637-2024")</f>
        <v/>
      </c>
      <c r="W163">
        <f>HYPERLINK("https://klasma.github.io/Logging_0980/klagomålsmail/A 15637-2024 FSC-klagomål mail.docx", "A 15637-2024")</f>
        <v/>
      </c>
      <c r="X163">
        <f>HYPERLINK("https://klasma.github.io/Logging_0980/tillsyn/A 15637-2024 tillsynsbegäran.docx", "A 15637-2024")</f>
        <v/>
      </c>
      <c r="Y163">
        <f>HYPERLINK("https://klasma.github.io/Logging_0980/tillsynsmail/A 15637-2024 tillsynsbegäran mail.docx", "A 15637-2024")</f>
        <v/>
      </c>
    </row>
    <row r="164" ht="15" customHeight="1">
      <c r="A164" t="inlineStr">
        <is>
          <t>A 9862-2024</t>
        </is>
      </c>
      <c r="B164" s="1" t="n">
        <v>45363</v>
      </c>
      <c r="C164" s="1" t="n">
        <v>45892</v>
      </c>
      <c r="D164" t="inlineStr">
        <is>
          <t>GOTLANDS LÄN</t>
        </is>
      </c>
      <c r="E164" t="inlineStr">
        <is>
          <t>GOTLAND</t>
        </is>
      </c>
      <c r="G164" t="n">
        <v>3.5</v>
      </c>
      <c r="H164" t="n">
        <v>1</v>
      </c>
      <c r="I164" t="n">
        <v>0</v>
      </c>
      <c r="J164" t="n">
        <v>0</v>
      </c>
      <c r="K164" t="n">
        <v>0</v>
      </c>
      <c r="L164" t="n">
        <v>0</v>
      </c>
      <c r="M164" t="n">
        <v>0</v>
      </c>
      <c r="N164" t="n">
        <v>0</v>
      </c>
      <c r="O164" t="n">
        <v>0</v>
      </c>
      <c r="P164" t="n">
        <v>0</v>
      </c>
      <c r="Q164" t="n">
        <v>1</v>
      </c>
      <c r="R164" s="2" t="inlineStr">
        <is>
          <t>Nattviol</t>
        </is>
      </c>
      <c r="S164">
        <f>HYPERLINK("https://klasma.github.io/Logging_0980/artfynd/A 9862-2024 artfynd.xlsx", "A 9862-2024")</f>
        <v/>
      </c>
      <c r="T164">
        <f>HYPERLINK("https://klasma.github.io/Logging_0980/kartor/A 9862-2024 karta.png", "A 9862-2024")</f>
        <v/>
      </c>
      <c r="V164">
        <f>HYPERLINK("https://klasma.github.io/Logging_0980/klagomål/A 9862-2024 FSC-klagomål.docx", "A 9862-2024")</f>
        <v/>
      </c>
      <c r="W164">
        <f>HYPERLINK("https://klasma.github.io/Logging_0980/klagomålsmail/A 9862-2024 FSC-klagomål mail.docx", "A 9862-2024")</f>
        <v/>
      </c>
      <c r="X164">
        <f>HYPERLINK("https://klasma.github.io/Logging_0980/tillsyn/A 9862-2024 tillsynsbegäran.docx", "A 9862-2024")</f>
        <v/>
      </c>
      <c r="Y164">
        <f>HYPERLINK("https://klasma.github.io/Logging_0980/tillsynsmail/A 9862-2024 tillsynsbegäran mail.docx", "A 9862-2024")</f>
        <v/>
      </c>
    </row>
    <row r="165" ht="15" customHeight="1">
      <c r="A165" t="inlineStr">
        <is>
          <t>A 34141-2024</t>
        </is>
      </c>
      <c r="B165" s="1" t="n">
        <v>45524.36229166666</v>
      </c>
      <c r="C165" s="1" t="n">
        <v>45892</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43219-2023</t>
        </is>
      </c>
      <c r="B166" s="1" t="n">
        <v>45183</v>
      </c>
      <c r="C166" s="1" t="n">
        <v>45892</v>
      </c>
      <c r="D166" t="inlineStr">
        <is>
          <t>GOTLANDS LÄN</t>
        </is>
      </c>
      <c r="E166" t="inlineStr">
        <is>
          <t>GOTLAND</t>
        </is>
      </c>
      <c r="G166" t="n">
        <v>3.6</v>
      </c>
      <c r="H166" t="n">
        <v>1</v>
      </c>
      <c r="I166" t="n">
        <v>0</v>
      </c>
      <c r="J166" t="n">
        <v>0</v>
      </c>
      <c r="K166" t="n">
        <v>0</v>
      </c>
      <c r="L166" t="n">
        <v>0</v>
      </c>
      <c r="M166" t="n">
        <v>0</v>
      </c>
      <c r="N166" t="n">
        <v>0</v>
      </c>
      <c r="O166" t="n">
        <v>0</v>
      </c>
      <c r="P166" t="n">
        <v>0</v>
      </c>
      <c r="Q166" t="n">
        <v>1</v>
      </c>
      <c r="R166" s="2" t="inlineStr">
        <is>
          <t>Skogsduva</t>
        </is>
      </c>
      <c r="S166">
        <f>HYPERLINK("https://klasma.github.io/Logging_0980/artfynd/A 43219-2023 artfynd.xlsx", "A 43219-2023")</f>
        <v/>
      </c>
      <c r="T166">
        <f>HYPERLINK("https://klasma.github.io/Logging_0980/kartor/A 43219-2023 karta.png", "A 43219-2023")</f>
        <v/>
      </c>
      <c r="V166">
        <f>HYPERLINK("https://klasma.github.io/Logging_0980/klagomål/A 43219-2023 FSC-klagomål.docx", "A 43219-2023")</f>
        <v/>
      </c>
      <c r="W166">
        <f>HYPERLINK("https://klasma.github.io/Logging_0980/klagomålsmail/A 43219-2023 FSC-klagomål mail.docx", "A 43219-2023")</f>
        <v/>
      </c>
      <c r="X166">
        <f>HYPERLINK("https://klasma.github.io/Logging_0980/tillsyn/A 43219-2023 tillsynsbegäran.docx", "A 43219-2023")</f>
        <v/>
      </c>
      <c r="Y166">
        <f>HYPERLINK("https://klasma.github.io/Logging_0980/tillsynsmail/A 43219-2023 tillsynsbegäran mail.docx", "A 43219-2023")</f>
        <v/>
      </c>
      <c r="Z166">
        <f>HYPERLINK("https://klasma.github.io/Logging_0980/fåglar/A 43219-2023 prioriterade fågelarter.docx", "A 43219-2023")</f>
        <v/>
      </c>
    </row>
    <row r="167" ht="15" customHeight="1">
      <c r="A167" t="inlineStr">
        <is>
          <t>A 12324-2025</t>
        </is>
      </c>
      <c r="B167" s="1" t="n">
        <v>45730</v>
      </c>
      <c r="C167" s="1" t="n">
        <v>45892</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39812-2025</t>
        </is>
      </c>
      <c r="B168" s="1" t="n">
        <v>45891</v>
      </c>
      <c r="C168" s="1" t="n">
        <v>45892</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63299-2020</t>
        </is>
      </c>
      <c r="B169" s="1" t="n">
        <v>44165</v>
      </c>
      <c r="C169" s="1" t="n">
        <v>45892</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44958-2020</t>
        </is>
      </c>
      <c r="B170" s="1" t="n">
        <v>44088</v>
      </c>
      <c r="C170" s="1" t="n">
        <v>45892</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49847-2023</t>
        </is>
      </c>
      <c r="B171" s="1" t="n">
        <v>45212</v>
      </c>
      <c r="C171" s="1" t="n">
        <v>45892</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19901-2021</t>
        </is>
      </c>
      <c r="B172" s="1" t="n">
        <v>44312</v>
      </c>
      <c r="C172" s="1" t="n">
        <v>45892</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45892</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45892</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45892</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45892</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45892</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45892</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45892</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26857-2021</t>
        </is>
      </c>
      <c r="B180" s="1" t="n">
        <v>44349.60091435185</v>
      </c>
      <c r="C180" s="1" t="n">
        <v>45892</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17199-2021</t>
        </is>
      </c>
      <c r="B181" s="1" t="n">
        <v>44298</v>
      </c>
      <c r="C181" s="1" t="n">
        <v>45892</v>
      </c>
      <c r="D181" t="inlineStr">
        <is>
          <t>GOTLANDS LÄN</t>
        </is>
      </c>
      <c r="E181" t="inlineStr">
        <is>
          <t>GOTLAND</t>
        </is>
      </c>
      <c r="G181" t="n">
        <v>9.6</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45892</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45892</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45892</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45892</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45892</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45892</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45892</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45892</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45892</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45892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45892</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45892</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45892</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45892</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45892</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45892</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45892</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45892</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45892</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45892</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45892</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45892</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45892</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45892</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45892</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45892</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45892</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45892</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45892</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45892</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45892</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45892</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58224-2021</t>
        </is>
      </c>
      <c r="B214" s="1" t="n">
        <v>44487</v>
      </c>
      <c r="C214" s="1" t="n">
        <v>45892</v>
      </c>
      <c r="D214" t="inlineStr">
        <is>
          <t>GOTLANDS LÄN</t>
        </is>
      </c>
      <c r="E214" t="inlineStr">
        <is>
          <t>GOTLAND</t>
        </is>
      </c>
      <c r="G214" t="n">
        <v>1.4</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45892</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45892</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45892</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45892</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45892</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45892</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45892</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45892</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45892</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45892</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45892</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45892</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45892</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45892</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45892</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45892</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45892</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45892</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22495-2022</t>
        </is>
      </c>
      <c r="B233" s="1" t="n">
        <v>44713.6452199074</v>
      </c>
      <c r="C233" s="1" t="n">
        <v>45892</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999-2023</t>
        </is>
      </c>
      <c r="B234" s="1" t="n">
        <v>44935</v>
      </c>
      <c r="C234" s="1" t="n">
        <v>45892</v>
      </c>
      <c r="D234" t="inlineStr">
        <is>
          <t>GOTLANDS LÄN</t>
        </is>
      </c>
      <c r="E234" t="inlineStr">
        <is>
          <t>GOTLAND</t>
        </is>
      </c>
      <c r="G234" t="n">
        <v>4.7</v>
      </c>
      <c r="H234" t="n">
        <v>0</v>
      </c>
      <c r="I234" t="n">
        <v>0</v>
      </c>
      <c r="J234" t="n">
        <v>0</v>
      </c>
      <c r="K234" t="n">
        <v>0</v>
      </c>
      <c r="L234" t="n">
        <v>0</v>
      </c>
      <c r="M234" t="n">
        <v>0</v>
      </c>
      <c r="N234" t="n">
        <v>0</v>
      </c>
      <c r="O234" t="n">
        <v>0</v>
      </c>
      <c r="P234" t="n">
        <v>0</v>
      </c>
      <c r="Q234" t="n">
        <v>0</v>
      </c>
      <c r="R234" s="2" t="inlineStr"/>
    </row>
    <row r="235" ht="15" customHeight="1">
      <c r="A235" t="inlineStr">
        <is>
          <t>A 53641-2020</t>
        </is>
      </c>
      <c r="B235" s="1" t="n">
        <v>44124</v>
      </c>
      <c r="C235" s="1" t="n">
        <v>45892</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1364-2025</t>
        </is>
      </c>
      <c r="B236" s="1" t="n">
        <v>45667.63929398148</v>
      </c>
      <c r="C236" s="1" t="n">
        <v>45892</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2125-2025</t>
        </is>
      </c>
      <c r="B237" s="1" t="n">
        <v>45672.64940972222</v>
      </c>
      <c r="C237" s="1" t="n">
        <v>45892</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45892</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14427-2024</t>
        </is>
      </c>
      <c r="B239" s="1" t="n">
        <v>45394</v>
      </c>
      <c r="C239" s="1" t="n">
        <v>45892</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8684-2025</t>
        </is>
      </c>
      <c r="B240" s="1" t="n">
        <v>45712.45605324074</v>
      </c>
      <c r="C240" s="1" t="n">
        <v>45892</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45892</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14141-2024</t>
        </is>
      </c>
      <c r="B242" s="1" t="n">
        <v>45392.85193287037</v>
      </c>
      <c r="C242" s="1" t="n">
        <v>45892</v>
      </c>
      <c r="D242" t="inlineStr">
        <is>
          <t>GOTLANDS LÄN</t>
        </is>
      </c>
      <c r="E242" t="inlineStr">
        <is>
          <t>GOTLAND</t>
        </is>
      </c>
      <c r="G242" t="n">
        <v>5.3</v>
      </c>
      <c r="H242" t="n">
        <v>0</v>
      </c>
      <c r="I242" t="n">
        <v>0</v>
      </c>
      <c r="J242" t="n">
        <v>0</v>
      </c>
      <c r="K242" t="n">
        <v>0</v>
      </c>
      <c r="L242" t="n">
        <v>0</v>
      </c>
      <c r="M242" t="n">
        <v>0</v>
      </c>
      <c r="N242" t="n">
        <v>0</v>
      </c>
      <c r="O242" t="n">
        <v>0</v>
      </c>
      <c r="P242" t="n">
        <v>0</v>
      </c>
      <c r="Q242" t="n">
        <v>0</v>
      </c>
      <c r="R242" s="2" t="inlineStr"/>
    </row>
    <row r="243" ht="15" customHeight="1">
      <c r="A243" t="inlineStr">
        <is>
          <t>A 37037-2021</t>
        </is>
      </c>
      <c r="B243" s="1" t="n">
        <v>44393.84688657407</v>
      </c>
      <c r="C243" s="1" t="n">
        <v>45892</v>
      </c>
      <c r="D243" t="inlineStr">
        <is>
          <t>GOTLANDS LÄN</t>
        </is>
      </c>
      <c r="E243" t="inlineStr">
        <is>
          <t>GOTLAND</t>
        </is>
      </c>
      <c r="G243" t="n">
        <v>10.2</v>
      </c>
      <c r="H243" t="n">
        <v>0</v>
      </c>
      <c r="I243" t="n">
        <v>0</v>
      </c>
      <c r="J243" t="n">
        <v>0</v>
      </c>
      <c r="K243" t="n">
        <v>0</v>
      </c>
      <c r="L243" t="n">
        <v>0</v>
      </c>
      <c r="M243" t="n">
        <v>0</v>
      </c>
      <c r="N243" t="n">
        <v>0</v>
      </c>
      <c r="O243" t="n">
        <v>0</v>
      </c>
      <c r="P243" t="n">
        <v>0</v>
      </c>
      <c r="Q243" t="n">
        <v>0</v>
      </c>
      <c r="R243" s="2" t="inlineStr"/>
    </row>
    <row r="244" ht="15" customHeight="1">
      <c r="A244" t="inlineStr">
        <is>
          <t>A 6153-2024</t>
        </is>
      </c>
      <c r="B244" s="1" t="n">
        <v>45337</v>
      </c>
      <c r="C244" s="1" t="n">
        <v>45892</v>
      </c>
      <c r="D244" t="inlineStr">
        <is>
          <t>GOTLANDS LÄN</t>
        </is>
      </c>
      <c r="E244" t="inlineStr">
        <is>
          <t>GOTLAND</t>
        </is>
      </c>
      <c r="G244" t="n">
        <v>14.2</v>
      </c>
      <c r="H244" t="n">
        <v>0</v>
      </c>
      <c r="I244" t="n">
        <v>0</v>
      </c>
      <c r="J244" t="n">
        <v>0</v>
      </c>
      <c r="K244" t="n">
        <v>0</v>
      </c>
      <c r="L244" t="n">
        <v>0</v>
      </c>
      <c r="M244" t="n">
        <v>0</v>
      </c>
      <c r="N244" t="n">
        <v>0</v>
      </c>
      <c r="O244" t="n">
        <v>0</v>
      </c>
      <c r="P244" t="n">
        <v>0</v>
      </c>
      <c r="Q244" t="n">
        <v>0</v>
      </c>
      <c r="R244" s="2" t="inlineStr"/>
    </row>
    <row r="245" ht="15" customHeight="1">
      <c r="A245" t="inlineStr">
        <is>
          <t>A 12155-2023</t>
        </is>
      </c>
      <c r="B245" s="1" t="n">
        <v>44998.49106481481</v>
      </c>
      <c r="C245" s="1" t="n">
        <v>45892</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49257-2024</t>
        </is>
      </c>
      <c r="B246" s="1" t="n">
        <v>45595.47627314815</v>
      </c>
      <c r="C246" s="1" t="n">
        <v>45892</v>
      </c>
      <c r="D246" t="inlineStr">
        <is>
          <t>GOTLANDS LÄN</t>
        </is>
      </c>
      <c r="E246" t="inlineStr">
        <is>
          <t>GOTLAND</t>
        </is>
      </c>
      <c r="G246" t="n">
        <v>6.3</v>
      </c>
      <c r="H246" t="n">
        <v>0</v>
      </c>
      <c r="I246" t="n">
        <v>0</v>
      </c>
      <c r="J246" t="n">
        <v>0</v>
      </c>
      <c r="K246" t="n">
        <v>0</v>
      </c>
      <c r="L246" t="n">
        <v>0</v>
      </c>
      <c r="M246" t="n">
        <v>0</v>
      </c>
      <c r="N246" t="n">
        <v>0</v>
      </c>
      <c r="O246" t="n">
        <v>0</v>
      </c>
      <c r="P246" t="n">
        <v>0</v>
      </c>
      <c r="Q246" t="n">
        <v>0</v>
      </c>
      <c r="R246" s="2" t="inlineStr"/>
    </row>
    <row r="247" ht="15" customHeight="1">
      <c r="A247" t="inlineStr">
        <is>
          <t>A 49315-2024</t>
        </is>
      </c>
      <c r="B247" s="1" t="n">
        <v>45595</v>
      </c>
      <c r="C247" s="1" t="n">
        <v>45892</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2774-2024</t>
        </is>
      </c>
      <c r="B248" s="1" t="n">
        <v>45314.62375</v>
      </c>
      <c r="C248" s="1" t="n">
        <v>45892</v>
      </c>
      <c r="D248" t="inlineStr">
        <is>
          <t>GOTLANDS LÄN</t>
        </is>
      </c>
      <c r="E248" t="inlineStr">
        <is>
          <t>GOTLAND</t>
        </is>
      </c>
      <c r="G248" t="n">
        <v>1</v>
      </c>
      <c r="H248" t="n">
        <v>0</v>
      </c>
      <c r="I248" t="n">
        <v>0</v>
      </c>
      <c r="J248" t="n">
        <v>0</v>
      </c>
      <c r="K248" t="n">
        <v>0</v>
      </c>
      <c r="L248" t="n">
        <v>0</v>
      </c>
      <c r="M248" t="n">
        <v>0</v>
      </c>
      <c r="N248" t="n">
        <v>0</v>
      </c>
      <c r="O248" t="n">
        <v>0</v>
      </c>
      <c r="P248" t="n">
        <v>0</v>
      </c>
      <c r="Q248" t="n">
        <v>0</v>
      </c>
      <c r="R248" s="2" t="inlineStr"/>
    </row>
    <row r="249" ht="15" customHeight="1">
      <c r="A249" t="inlineStr">
        <is>
          <t>A 18742-2025</t>
        </is>
      </c>
      <c r="B249" s="1" t="n">
        <v>45763</v>
      </c>
      <c r="C249" s="1" t="n">
        <v>45892</v>
      </c>
      <c r="D249" t="inlineStr">
        <is>
          <t>GOTLANDS LÄN</t>
        </is>
      </c>
      <c r="E249" t="inlineStr">
        <is>
          <t>GOTLAND</t>
        </is>
      </c>
      <c r="G249" t="n">
        <v>3.4</v>
      </c>
      <c r="H249" t="n">
        <v>0</v>
      </c>
      <c r="I249" t="n">
        <v>0</v>
      </c>
      <c r="J249" t="n">
        <v>0</v>
      </c>
      <c r="K249" t="n">
        <v>0</v>
      </c>
      <c r="L249" t="n">
        <v>0</v>
      </c>
      <c r="M249" t="n">
        <v>0</v>
      </c>
      <c r="N249" t="n">
        <v>0</v>
      </c>
      <c r="O249" t="n">
        <v>0</v>
      </c>
      <c r="P249" t="n">
        <v>0</v>
      </c>
      <c r="Q249" t="n">
        <v>0</v>
      </c>
      <c r="R249" s="2" t="inlineStr"/>
    </row>
    <row r="250" ht="15" customHeight="1">
      <c r="A250" t="inlineStr">
        <is>
          <t>A 9947-2024</t>
        </is>
      </c>
      <c r="B250" s="1" t="n">
        <v>45363</v>
      </c>
      <c r="C250" s="1" t="n">
        <v>45892</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42007-2023</t>
        </is>
      </c>
      <c r="B251" s="1" t="n">
        <v>45177</v>
      </c>
      <c r="C251" s="1" t="n">
        <v>45892</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2292-2021</t>
        </is>
      </c>
      <c r="B252" s="1" t="n">
        <v>44212</v>
      </c>
      <c r="C252" s="1" t="n">
        <v>45892</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58476-2022</t>
        </is>
      </c>
      <c r="B253" s="1" t="n">
        <v>44902</v>
      </c>
      <c r="C253" s="1" t="n">
        <v>45892</v>
      </c>
      <c r="D253" t="inlineStr">
        <is>
          <t>GOTLANDS LÄN</t>
        </is>
      </c>
      <c r="E253" t="inlineStr">
        <is>
          <t>GOTLAND</t>
        </is>
      </c>
      <c r="G253" t="n">
        <v>0.9</v>
      </c>
      <c r="H253" t="n">
        <v>0</v>
      </c>
      <c r="I253" t="n">
        <v>0</v>
      </c>
      <c r="J253" t="n">
        <v>0</v>
      </c>
      <c r="K253" t="n">
        <v>0</v>
      </c>
      <c r="L253" t="n">
        <v>0</v>
      </c>
      <c r="M253" t="n">
        <v>0</v>
      </c>
      <c r="N253" t="n">
        <v>0</v>
      </c>
      <c r="O253" t="n">
        <v>0</v>
      </c>
      <c r="P253" t="n">
        <v>0</v>
      </c>
      <c r="Q253" t="n">
        <v>0</v>
      </c>
      <c r="R253" s="2" t="inlineStr"/>
    </row>
    <row r="254" ht="15" customHeight="1">
      <c r="A254" t="inlineStr">
        <is>
          <t>A 63229-2021</t>
        </is>
      </c>
      <c r="B254" s="1" t="n">
        <v>44508.34518518519</v>
      </c>
      <c r="C254" s="1" t="n">
        <v>45892</v>
      </c>
      <c r="D254" t="inlineStr">
        <is>
          <t>GOTLANDS LÄN</t>
        </is>
      </c>
      <c r="E254" t="inlineStr">
        <is>
          <t>GOTLAND</t>
        </is>
      </c>
      <c r="F254" t="inlineStr">
        <is>
          <t>Kyrkan</t>
        </is>
      </c>
      <c r="G254" t="n">
        <v>3.8</v>
      </c>
      <c r="H254" t="n">
        <v>0</v>
      </c>
      <c r="I254" t="n">
        <v>0</v>
      </c>
      <c r="J254" t="n">
        <v>0</v>
      </c>
      <c r="K254" t="n">
        <v>0</v>
      </c>
      <c r="L254" t="n">
        <v>0</v>
      </c>
      <c r="M254" t="n">
        <v>0</v>
      </c>
      <c r="N254" t="n">
        <v>0</v>
      </c>
      <c r="O254" t="n">
        <v>0</v>
      </c>
      <c r="P254" t="n">
        <v>0</v>
      </c>
      <c r="Q254" t="n">
        <v>0</v>
      </c>
      <c r="R254" s="2" t="inlineStr"/>
    </row>
    <row r="255" ht="15" customHeight="1">
      <c r="A255" t="inlineStr">
        <is>
          <t>A 61596-2023</t>
        </is>
      </c>
      <c r="B255" s="1" t="n">
        <v>45265</v>
      </c>
      <c r="C255" s="1" t="n">
        <v>45892</v>
      </c>
      <c r="D255" t="inlineStr">
        <is>
          <t>GOTLANDS LÄN</t>
        </is>
      </c>
      <c r="E255" t="inlineStr">
        <is>
          <t>GOTLAND</t>
        </is>
      </c>
      <c r="G255" t="n">
        <v>1.7</v>
      </c>
      <c r="H255" t="n">
        <v>0</v>
      </c>
      <c r="I255" t="n">
        <v>0</v>
      </c>
      <c r="J255" t="n">
        <v>0</v>
      </c>
      <c r="K255" t="n">
        <v>0</v>
      </c>
      <c r="L255" t="n">
        <v>0</v>
      </c>
      <c r="M255" t="n">
        <v>0</v>
      </c>
      <c r="N255" t="n">
        <v>0</v>
      </c>
      <c r="O255" t="n">
        <v>0</v>
      </c>
      <c r="P255" t="n">
        <v>0</v>
      </c>
      <c r="Q255" t="n">
        <v>0</v>
      </c>
      <c r="R255" s="2" t="inlineStr"/>
    </row>
    <row r="256" ht="15" customHeight="1">
      <c r="A256" t="inlineStr">
        <is>
          <t>A 873-2024</t>
        </is>
      </c>
      <c r="B256" s="1" t="n">
        <v>45301</v>
      </c>
      <c r="C256" s="1" t="n">
        <v>45892</v>
      </c>
      <c r="D256" t="inlineStr">
        <is>
          <t>GOTLANDS LÄN</t>
        </is>
      </c>
      <c r="E256" t="inlineStr">
        <is>
          <t>GOTLAND</t>
        </is>
      </c>
      <c r="G256" t="n">
        <v>2.7</v>
      </c>
      <c r="H256" t="n">
        <v>0</v>
      </c>
      <c r="I256" t="n">
        <v>0</v>
      </c>
      <c r="J256" t="n">
        <v>0</v>
      </c>
      <c r="K256" t="n">
        <v>0</v>
      </c>
      <c r="L256" t="n">
        <v>0</v>
      </c>
      <c r="M256" t="n">
        <v>0</v>
      </c>
      <c r="N256" t="n">
        <v>0</v>
      </c>
      <c r="O256" t="n">
        <v>0</v>
      </c>
      <c r="P256" t="n">
        <v>0</v>
      </c>
      <c r="Q256" t="n">
        <v>0</v>
      </c>
      <c r="R256" s="2" t="inlineStr"/>
    </row>
    <row r="257" ht="15" customHeight="1">
      <c r="A257" t="inlineStr">
        <is>
          <t>A 44228-2022</t>
        </is>
      </c>
      <c r="B257" s="1" t="n">
        <v>44839.51599537037</v>
      </c>
      <c r="C257" s="1" t="n">
        <v>45892</v>
      </c>
      <c r="D257" t="inlineStr">
        <is>
          <t>GOTLANDS LÄN</t>
        </is>
      </c>
      <c r="E257" t="inlineStr">
        <is>
          <t>GOTLAND</t>
        </is>
      </c>
      <c r="G257" t="n">
        <v>2.1</v>
      </c>
      <c r="H257" t="n">
        <v>0</v>
      </c>
      <c r="I257" t="n">
        <v>0</v>
      </c>
      <c r="J257" t="n">
        <v>0</v>
      </c>
      <c r="K257" t="n">
        <v>0</v>
      </c>
      <c r="L257" t="n">
        <v>0</v>
      </c>
      <c r="M257" t="n">
        <v>0</v>
      </c>
      <c r="N257" t="n">
        <v>0</v>
      </c>
      <c r="O257" t="n">
        <v>0</v>
      </c>
      <c r="P257" t="n">
        <v>0</v>
      </c>
      <c r="Q257" t="n">
        <v>0</v>
      </c>
      <c r="R257" s="2" t="inlineStr"/>
    </row>
    <row r="258" ht="15" customHeight="1">
      <c r="A258" t="inlineStr">
        <is>
          <t>A 27596-2023</t>
        </is>
      </c>
      <c r="B258" s="1" t="n">
        <v>45097</v>
      </c>
      <c r="C258" s="1" t="n">
        <v>45892</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56115-2023</t>
        </is>
      </c>
      <c r="B259" s="1" t="n">
        <v>45236</v>
      </c>
      <c r="C259" s="1" t="n">
        <v>45892</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61386-2023</t>
        </is>
      </c>
      <c r="B260" s="1" t="n">
        <v>45264</v>
      </c>
      <c r="C260" s="1" t="n">
        <v>45892</v>
      </c>
      <c r="D260" t="inlineStr">
        <is>
          <t>GOTLANDS LÄN</t>
        </is>
      </c>
      <c r="E260" t="inlineStr">
        <is>
          <t>GOTLAND</t>
        </is>
      </c>
      <c r="G260" t="n">
        <v>0.7</v>
      </c>
      <c r="H260" t="n">
        <v>0</v>
      </c>
      <c r="I260" t="n">
        <v>0</v>
      </c>
      <c r="J260" t="n">
        <v>0</v>
      </c>
      <c r="K260" t="n">
        <v>0</v>
      </c>
      <c r="L260" t="n">
        <v>0</v>
      </c>
      <c r="M260" t="n">
        <v>0</v>
      </c>
      <c r="N260" t="n">
        <v>0</v>
      </c>
      <c r="O260" t="n">
        <v>0</v>
      </c>
      <c r="P260" t="n">
        <v>0</v>
      </c>
      <c r="Q260" t="n">
        <v>0</v>
      </c>
      <c r="R260" s="2" t="inlineStr"/>
    </row>
    <row r="261" ht="15" customHeight="1">
      <c r="A261" t="inlineStr">
        <is>
          <t>A 64969-2023</t>
        </is>
      </c>
      <c r="B261" s="1" t="n">
        <v>45284.54009259259</v>
      </c>
      <c r="C261" s="1" t="n">
        <v>45892</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44304-2021</t>
        </is>
      </c>
      <c r="B262" s="1" t="n">
        <v>44434</v>
      </c>
      <c r="C262" s="1" t="n">
        <v>45892</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22883-2024</t>
        </is>
      </c>
      <c r="B263" s="1" t="n">
        <v>45448.66368055555</v>
      </c>
      <c r="C263" s="1" t="n">
        <v>45892</v>
      </c>
      <c r="D263" t="inlineStr">
        <is>
          <t>GOTLANDS LÄN</t>
        </is>
      </c>
      <c r="E263" t="inlineStr">
        <is>
          <t>GOTLAND</t>
        </is>
      </c>
      <c r="G263" t="n">
        <v>0.5</v>
      </c>
      <c r="H263" t="n">
        <v>0</v>
      </c>
      <c r="I263" t="n">
        <v>0</v>
      </c>
      <c r="J263" t="n">
        <v>0</v>
      </c>
      <c r="K263" t="n">
        <v>0</v>
      </c>
      <c r="L263" t="n">
        <v>0</v>
      </c>
      <c r="M263" t="n">
        <v>0</v>
      </c>
      <c r="N263" t="n">
        <v>0</v>
      </c>
      <c r="O263" t="n">
        <v>0</v>
      </c>
      <c r="P263" t="n">
        <v>0</v>
      </c>
      <c r="Q263" t="n">
        <v>0</v>
      </c>
      <c r="R263" s="2" t="inlineStr"/>
    </row>
    <row r="264" ht="15" customHeight="1">
      <c r="A264" t="inlineStr">
        <is>
          <t>A 6108-2025</t>
        </is>
      </c>
      <c r="B264" s="1" t="n">
        <v>45698.29880787037</v>
      </c>
      <c r="C264" s="1" t="n">
        <v>45892</v>
      </c>
      <c r="D264" t="inlineStr">
        <is>
          <t>GOTLANDS LÄN</t>
        </is>
      </c>
      <c r="E264" t="inlineStr">
        <is>
          <t>GOTLAND</t>
        </is>
      </c>
      <c r="G264" t="n">
        <v>2.8</v>
      </c>
      <c r="H264" t="n">
        <v>0</v>
      </c>
      <c r="I264" t="n">
        <v>0</v>
      </c>
      <c r="J264" t="n">
        <v>0</v>
      </c>
      <c r="K264" t="n">
        <v>0</v>
      </c>
      <c r="L264" t="n">
        <v>0</v>
      </c>
      <c r="M264" t="n">
        <v>0</v>
      </c>
      <c r="N264" t="n">
        <v>0</v>
      </c>
      <c r="O264" t="n">
        <v>0</v>
      </c>
      <c r="P264" t="n">
        <v>0</v>
      </c>
      <c r="Q264" t="n">
        <v>0</v>
      </c>
      <c r="R264" s="2" t="inlineStr"/>
    </row>
    <row r="265" ht="15" customHeight="1">
      <c r="A265" t="inlineStr">
        <is>
          <t>A 33853-2024</t>
        </is>
      </c>
      <c r="B265" s="1" t="n">
        <v>45520.64298611111</v>
      </c>
      <c r="C265" s="1" t="n">
        <v>45892</v>
      </c>
      <c r="D265" t="inlineStr">
        <is>
          <t>GOTLANDS LÄN</t>
        </is>
      </c>
      <c r="E265" t="inlineStr">
        <is>
          <t>GOTLAND</t>
        </is>
      </c>
      <c r="G265" t="n">
        <v>3.9</v>
      </c>
      <c r="H265" t="n">
        <v>0</v>
      </c>
      <c r="I265" t="n">
        <v>0</v>
      </c>
      <c r="J265" t="n">
        <v>0</v>
      </c>
      <c r="K265" t="n">
        <v>0</v>
      </c>
      <c r="L265" t="n">
        <v>0</v>
      </c>
      <c r="M265" t="n">
        <v>0</v>
      </c>
      <c r="N265" t="n">
        <v>0</v>
      </c>
      <c r="O265" t="n">
        <v>0</v>
      </c>
      <c r="P265" t="n">
        <v>0</v>
      </c>
      <c r="Q265" t="n">
        <v>0</v>
      </c>
      <c r="R265" s="2" t="inlineStr"/>
    </row>
    <row r="266" ht="15" customHeight="1">
      <c r="A266" t="inlineStr">
        <is>
          <t>A 15083-2025</t>
        </is>
      </c>
      <c r="B266" s="1" t="n">
        <v>45743</v>
      </c>
      <c r="C266" s="1" t="n">
        <v>45892</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27593-2023</t>
        </is>
      </c>
      <c r="B267" s="1" t="n">
        <v>45097</v>
      </c>
      <c r="C267" s="1" t="n">
        <v>45892</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18223-2025</t>
        </is>
      </c>
      <c r="B268" s="1" t="n">
        <v>45761</v>
      </c>
      <c r="C268" s="1" t="n">
        <v>45892</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25129-2023</t>
        </is>
      </c>
      <c r="B269" s="1" t="n">
        <v>45086.44261574074</v>
      </c>
      <c r="C269" s="1" t="n">
        <v>45892</v>
      </c>
      <c r="D269" t="inlineStr">
        <is>
          <t>GOTLANDS LÄN</t>
        </is>
      </c>
      <c r="E269" t="inlineStr">
        <is>
          <t>GOTLAND</t>
        </is>
      </c>
      <c r="G269" t="n">
        <v>1.5</v>
      </c>
      <c r="H269" t="n">
        <v>0</v>
      </c>
      <c r="I269" t="n">
        <v>0</v>
      </c>
      <c r="J269" t="n">
        <v>0</v>
      </c>
      <c r="K269" t="n">
        <v>0</v>
      </c>
      <c r="L269" t="n">
        <v>0</v>
      </c>
      <c r="M269" t="n">
        <v>0</v>
      </c>
      <c r="N269" t="n">
        <v>0</v>
      </c>
      <c r="O269" t="n">
        <v>0</v>
      </c>
      <c r="P269" t="n">
        <v>0</v>
      </c>
      <c r="Q269" t="n">
        <v>0</v>
      </c>
      <c r="R269" s="2" t="inlineStr"/>
    </row>
    <row r="270" ht="15" customHeight="1">
      <c r="A270" t="inlineStr">
        <is>
          <t>A 44204-2022</t>
        </is>
      </c>
      <c r="B270" s="1" t="n">
        <v>44839</v>
      </c>
      <c r="C270" s="1" t="n">
        <v>45892</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10497-2025</t>
        </is>
      </c>
      <c r="B271" s="1" t="n">
        <v>45721</v>
      </c>
      <c r="C271" s="1" t="n">
        <v>45892</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10652-2025</t>
        </is>
      </c>
      <c r="B272" s="1" t="n">
        <v>45721.68640046296</v>
      </c>
      <c r="C272" s="1" t="n">
        <v>45892</v>
      </c>
      <c r="D272" t="inlineStr">
        <is>
          <t>GOTLANDS LÄN</t>
        </is>
      </c>
      <c r="E272" t="inlineStr">
        <is>
          <t>GOTLAND</t>
        </is>
      </c>
      <c r="G272" t="n">
        <v>3.6</v>
      </c>
      <c r="H272" t="n">
        <v>0</v>
      </c>
      <c r="I272" t="n">
        <v>0</v>
      </c>
      <c r="J272" t="n">
        <v>0</v>
      </c>
      <c r="K272" t="n">
        <v>0</v>
      </c>
      <c r="L272" t="n">
        <v>0</v>
      </c>
      <c r="M272" t="n">
        <v>0</v>
      </c>
      <c r="N272" t="n">
        <v>0</v>
      </c>
      <c r="O272" t="n">
        <v>0</v>
      </c>
      <c r="P272" t="n">
        <v>0</v>
      </c>
      <c r="Q272" t="n">
        <v>0</v>
      </c>
      <c r="R272" s="2" t="inlineStr"/>
    </row>
    <row r="273" ht="15" customHeight="1">
      <c r="A273" t="inlineStr">
        <is>
          <t>A 10813-2025</t>
        </is>
      </c>
      <c r="B273" s="1" t="n">
        <v>45722.54163194444</v>
      </c>
      <c r="C273" s="1" t="n">
        <v>45892</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1066-2024</t>
        </is>
      </c>
      <c r="B274" s="1" t="n">
        <v>45302.285</v>
      </c>
      <c r="C274" s="1" t="n">
        <v>45892</v>
      </c>
      <c r="D274" t="inlineStr">
        <is>
          <t>GOTLANDS LÄN</t>
        </is>
      </c>
      <c r="E274" t="inlineStr">
        <is>
          <t>GOTLAND</t>
        </is>
      </c>
      <c r="G274" t="n">
        <v>1.4</v>
      </c>
      <c r="H274" t="n">
        <v>0</v>
      </c>
      <c r="I274" t="n">
        <v>0</v>
      </c>
      <c r="J274" t="n">
        <v>0</v>
      </c>
      <c r="K274" t="n">
        <v>0</v>
      </c>
      <c r="L274" t="n">
        <v>0</v>
      </c>
      <c r="M274" t="n">
        <v>0</v>
      </c>
      <c r="N274" t="n">
        <v>0</v>
      </c>
      <c r="O274" t="n">
        <v>0</v>
      </c>
      <c r="P274" t="n">
        <v>0</v>
      </c>
      <c r="Q274" t="n">
        <v>0</v>
      </c>
      <c r="R274" s="2" t="inlineStr"/>
    </row>
    <row r="275" ht="15" customHeight="1">
      <c r="A275" t="inlineStr">
        <is>
          <t>A 2035-2025</t>
        </is>
      </c>
      <c r="B275" s="1" t="n">
        <v>45672</v>
      </c>
      <c r="C275" s="1" t="n">
        <v>45892</v>
      </c>
      <c r="D275" t="inlineStr">
        <is>
          <t>GOTLANDS LÄN</t>
        </is>
      </c>
      <c r="E275" t="inlineStr">
        <is>
          <t>GOTLAND</t>
        </is>
      </c>
      <c r="G275" t="n">
        <v>7.5</v>
      </c>
      <c r="H275" t="n">
        <v>0</v>
      </c>
      <c r="I275" t="n">
        <v>0</v>
      </c>
      <c r="J275" t="n">
        <v>0</v>
      </c>
      <c r="K275" t="n">
        <v>0</v>
      </c>
      <c r="L275" t="n">
        <v>0</v>
      </c>
      <c r="M275" t="n">
        <v>0</v>
      </c>
      <c r="N275" t="n">
        <v>0</v>
      </c>
      <c r="O275" t="n">
        <v>0</v>
      </c>
      <c r="P275" t="n">
        <v>0</v>
      </c>
      <c r="Q275" t="n">
        <v>0</v>
      </c>
      <c r="R275" s="2" t="inlineStr"/>
    </row>
    <row r="276" ht="15" customHeight="1">
      <c r="A276" t="inlineStr">
        <is>
          <t>A 37202-2024</t>
        </is>
      </c>
      <c r="B276" s="1" t="n">
        <v>45539.67310185185</v>
      </c>
      <c r="C276" s="1" t="n">
        <v>45892</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46949-2024</t>
        </is>
      </c>
      <c r="B277" s="1" t="n">
        <v>45585</v>
      </c>
      <c r="C277" s="1" t="n">
        <v>45892</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24001-2021</t>
        </is>
      </c>
      <c r="B278" s="1" t="n">
        <v>44335</v>
      </c>
      <c r="C278" s="1" t="n">
        <v>45892</v>
      </c>
      <c r="D278" t="inlineStr">
        <is>
          <t>GOTLANDS LÄN</t>
        </is>
      </c>
      <c r="E278" t="inlineStr">
        <is>
          <t>GOTLAND</t>
        </is>
      </c>
      <c r="G278" t="n">
        <v>3.4</v>
      </c>
      <c r="H278" t="n">
        <v>0</v>
      </c>
      <c r="I278" t="n">
        <v>0</v>
      </c>
      <c r="J278" t="n">
        <v>0</v>
      </c>
      <c r="K278" t="n">
        <v>0</v>
      </c>
      <c r="L278" t="n">
        <v>0</v>
      </c>
      <c r="M278" t="n">
        <v>0</v>
      </c>
      <c r="N278" t="n">
        <v>0</v>
      </c>
      <c r="O278" t="n">
        <v>0</v>
      </c>
      <c r="P278" t="n">
        <v>0</v>
      </c>
      <c r="Q278" t="n">
        <v>0</v>
      </c>
      <c r="R278" s="2" t="inlineStr"/>
    </row>
    <row r="279" ht="15" customHeight="1">
      <c r="A279" t="inlineStr">
        <is>
          <t>A 39479-2022</t>
        </is>
      </c>
      <c r="B279" s="1" t="n">
        <v>44818</v>
      </c>
      <c r="C279" s="1" t="n">
        <v>45892</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39496-2022</t>
        </is>
      </c>
      <c r="B280" s="1" t="n">
        <v>44818</v>
      </c>
      <c r="C280" s="1" t="n">
        <v>45892</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30815-2023</t>
        </is>
      </c>
      <c r="B281" s="1" t="n">
        <v>45112</v>
      </c>
      <c r="C281" s="1" t="n">
        <v>45892</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46400-2023</t>
        </is>
      </c>
      <c r="B282" s="1" t="n">
        <v>45197.49290509259</v>
      </c>
      <c r="C282" s="1" t="n">
        <v>45892</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10492-2023</t>
        </is>
      </c>
      <c r="B283" s="1" t="n">
        <v>44987</v>
      </c>
      <c r="C283" s="1" t="n">
        <v>45892</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56009-2024</t>
        </is>
      </c>
      <c r="B284" s="1" t="n">
        <v>45623.80864583333</v>
      </c>
      <c r="C284" s="1" t="n">
        <v>45892</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54073-2022</t>
        </is>
      </c>
      <c r="B285" s="1" t="n">
        <v>44881.50380787037</v>
      </c>
      <c r="C285" s="1" t="n">
        <v>45892</v>
      </c>
      <c r="D285" t="inlineStr">
        <is>
          <t>GOTLANDS LÄN</t>
        </is>
      </c>
      <c r="E285" t="inlineStr">
        <is>
          <t>GOTLAND</t>
        </is>
      </c>
      <c r="G285" t="n">
        <v>3.8</v>
      </c>
      <c r="H285" t="n">
        <v>0</v>
      </c>
      <c r="I285" t="n">
        <v>0</v>
      </c>
      <c r="J285" t="n">
        <v>0</v>
      </c>
      <c r="K285" t="n">
        <v>0</v>
      </c>
      <c r="L285" t="n">
        <v>0</v>
      </c>
      <c r="M285" t="n">
        <v>0</v>
      </c>
      <c r="N285" t="n">
        <v>0</v>
      </c>
      <c r="O285" t="n">
        <v>0</v>
      </c>
      <c r="P285" t="n">
        <v>0</v>
      </c>
      <c r="Q285" t="n">
        <v>0</v>
      </c>
      <c r="R285" s="2" t="inlineStr"/>
    </row>
    <row r="286" ht="15" customHeight="1">
      <c r="A286" t="inlineStr">
        <is>
          <t>A 46389-2021</t>
        </is>
      </c>
      <c r="B286" s="1" t="n">
        <v>44443</v>
      </c>
      <c r="C286" s="1" t="n">
        <v>45892</v>
      </c>
      <c r="D286" t="inlineStr">
        <is>
          <t>GOTLANDS LÄN</t>
        </is>
      </c>
      <c r="E286" t="inlineStr">
        <is>
          <t>GOTLAND</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3964-2024</t>
        </is>
      </c>
      <c r="B287" s="1" t="n">
        <v>45322</v>
      </c>
      <c r="C287" s="1" t="n">
        <v>45892</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44919-2022</t>
        </is>
      </c>
      <c r="B288" s="1" t="n">
        <v>44841</v>
      </c>
      <c r="C288" s="1" t="n">
        <v>45892</v>
      </c>
      <c r="D288" t="inlineStr">
        <is>
          <t>GOTLANDS LÄN</t>
        </is>
      </c>
      <c r="E288" t="inlineStr">
        <is>
          <t>GOTLAND</t>
        </is>
      </c>
      <c r="G288" t="n">
        <v>2.2</v>
      </c>
      <c r="H288" t="n">
        <v>0</v>
      </c>
      <c r="I288" t="n">
        <v>0</v>
      </c>
      <c r="J288" t="n">
        <v>0</v>
      </c>
      <c r="K288" t="n">
        <v>0</v>
      </c>
      <c r="L288" t="n">
        <v>0</v>
      </c>
      <c r="M288" t="n">
        <v>0</v>
      </c>
      <c r="N288" t="n">
        <v>0</v>
      </c>
      <c r="O288" t="n">
        <v>0</v>
      </c>
      <c r="P288" t="n">
        <v>0</v>
      </c>
      <c r="Q288" t="n">
        <v>0</v>
      </c>
      <c r="R288" s="2" t="inlineStr"/>
    </row>
    <row r="289" ht="15" customHeight="1">
      <c r="A289" t="inlineStr">
        <is>
          <t>A 44949-2023</t>
        </is>
      </c>
      <c r="B289" s="1" t="n">
        <v>45190.69520833333</v>
      </c>
      <c r="C289" s="1" t="n">
        <v>45892</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20307-2025</t>
        </is>
      </c>
      <c r="B290" s="1" t="n">
        <v>45774.95546296296</v>
      </c>
      <c r="C290" s="1" t="n">
        <v>45892</v>
      </c>
      <c r="D290" t="inlineStr">
        <is>
          <t>GOTLANDS LÄN</t>
        </is>
      </c>
      <c r="E290" t="inlineStr">
        <is>
          <t>GOTLAND</t>
        </is>
      </c>
      <c r="G290" t="n">
        <v>6.8</v>
      </c>
      <c r="H290" t="n">
        <v>0</v>
      </c>
      <c r="I290" t="n">
        <v>0</v>
      </c>
      <c r="J290" t="n">
        <v>0</v>
      </c>
      <c r="K290" t="n">
        <v>0</v>
      </c>
      <c r="L290" t="n">
        <v>0</v>
      </c>
      <c r="M290" t="n">
        <v>0</v>
      </c>
      <c r="N290" t="n">
        <v>0</v>
      </c>
      <c r="O290" t="n">
        <v>0</v>
      </c>
      <c r="P290" t="n">
        <v>0</v>
      </c>
      <c r="Q290" t="n">
        <v>0</v>
      </c>
      <c r="R290" s="2" t="inlineStr"/>
    </row>
    <row r="291" ht="15" customHeight="1">
      <c r="A291" t="inlineStr">
        <is>
          <t>A 16501-2023</t>
        </is>
      </c>
      <c r="B291" s="1" t="n">
        <v>45029</v>
      </c>
      <c r="C291" s="1" t="n">
        <v>45892</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45106-2024</t>
        </is>
      </c>
      <c r="B292" s="1" t="n">
        <v>45575</v>
      </c>
      <c r="C292" s="1" t="n">
        <v>45892</v>
      </c>
      <c r="D292" t="inlineStr">
        <is>
          <t>GOTLANDS LÄN</t>
        </is>
      </c>
      <c r="E292" t="inlineStr">
        <is>
          <t>GOTLAND</t>
        </is>
      </c>
      <c r="G292" t="n">
        <v>10</v>
      </c>
      <c r="H292" t="n">
        <v>0</v>
      </c>
      <c r="I292" t="n">
        <v>0</v>
      </c>
      <c r="J292" t="n">
        <v>0</v>
      </c>
      <c r="K292" t="n">
        <v>0</v>
      </c>
      <c r="L292" t="n">
        <v>0</v>
      </c>
      <c r="M292" t="n">
        <v>0</v>
      </c>
      <c r="N292" t="n">
        <v>0</v>
      </c>
      <c r="O292" t="n">
        <v>0</v>
      </c>
      <c r="P292" t="n">
        <v>0</v>
      </c>
      <c r="Q292" t="n">
        <v>0</v>
      </c>
      <c r="R292" s="2" t="inlineStr"/>
    </row>
    <row r="293" ht="15" customHeight="1">
      <c r="A293" t="inlineStr">
        <is>
          <t>A 45112-2024</t>
        </is>
      </c>
      <c r="B293" s="1" t="n">
        <v>45575</v>
      </c>
      <c r="C293" s="1" t="n">
        <v>45892</v>
      </c>
      <c r="D293" t="inlineStr">
        <is>
          <t>GOTLANDS LÄN</t>
        </is>
      </c>
      <c r="E293" t="inlineStr">
        <is>
          <t>GOTLAND</t>
        </is>
      </c>
      <c r="G293" t="n">
        <v>5.1</v>
      </c>
      <c r="H293" t="n">
        <v>0</v>
      </c>
      <c r="I293" t="n">
        <v>0</v>
      </c>
      <c r="J293" t="n">
        <v>0</v>
      </c>
      <c r="K293" t="n">
        <v>0</v>
      </c>
      <c r="L293" t="n">
        <v>0</v>
      </c>
      <c r="M293" t="n">
        <v>0</v>
      </c>
      <c r="N293" t="n">
        <v>0</v>
      </c>
      <c r="O293" t="n">
        <v>0</v>
      </c>
      <c r="P293" t="n">
        <v>0</v>
      </c>
      <c r="Q293" t="n">
        <v>0</v>
      </c>
      <c r="R293" s="2" t="inlineStr"/>
    </row>
    <row r="294" ht="15" customHeight="1">
      <c r="A294" t="inlineStr">
        <is>
          <t>A 27095-2022</t>
        </is>
      </c>
      <c r="B294" s="1" t="n">
        <v>44741</v>
      </c>
      <c r="C294" s="1" t="n">
        <v>45892</v>
      </c>
      <c r="D294" t="inlineStr">
        <is>
          <t>GOTLANDS LÄN</t>
        </is>
      </c>
      <c r="E294" t="inlineStr">
        <is>
          <t>GOTLAND</t>
        </is>
      </c>
      <c r="F294" t="inlineStr">
        <is>
          <t>Övriga Aktiebolag</t>
        </is>
      </c>
      <c r="G294" t="n">
        <v>2.9</v>
      </c>
      <c r="H294" t="n">
        <v>0</v>
      </c>
      <c r="I294" t="n">
        <v>0</v>
      </c>
      <c r="J294" t="n">
        <v>0</v>
      </c>
      <c r="K294" t="n">
        <v>0</v>
      </c>
      <c r="L294" t="n">
        <v>0</v>
      </c>
      <c r="M294" t="n">
        <v>0</v>
      </c>
      <c r="N294" t="n">
        <v>0</v>
      </c>
      <c r="O294" t="n">
        <v>0</v>
      </c>
      <c r="P294" t="n">
        <v>0</v>
      </c>
      <c r="Q294" t="n">
        <v>0</v>
      </c>
      <c r="R294" s="2" t="inlineStr"/>
    </row>
    <row r="295" ht="15" customHeight="1">
      <c r="A295" t="inlineStr">
        <is>
          <t>A 458-2023</t>
        </is>
      </c>
      <c r="B295" s="1" t="n">
        <v>44929</v>
      </c>
      <c r="C295" s="1" t="n">
        <v>45892</v>
      </c>
      <c r="D295" t="inlineStr">
        <is>
          <t>GOTLANDS LÄN</t>
        </is>
      </c>
      <c r="E295" t="inlineStr">
        <is>
          <t>GOTLAND</t>
        </is>
      </c>
      <c r="G295" t="n">
        <v>3.6</v>
      </c>
      <c r="H295" t="n">
        <v>0</v>
      </c>
      <c r="I295" t="n">
        <v>0</v>
      </c>
      <c r="J295" t="n">
        <v>0</v>
      </c>
      <c r="K295" t="n">
        <v>0</v>
      </c>
      <c r="L295" t="n">
        <v>0</v>
      </c>
      <c r="M295" t="n">
        <v>0</v>
      </c>
      <c r="N295" t="n">
        <v>0</v>
      </c>
      <c r="O295" t="n">
        <v>0</v>
      </c>
      <c r="P295" t="n">
        <v>0</v>
      </c>
      <c r="Q295" t="n">
        <v>0</v>
      </c>
      <c r="R295" s="2" t="inlineStr"/>
    </row>
    <row r="296" ht="15" customHeight="1">
      <c r="A296" t="inlineStr">
        <is>
          <t>A 1291-2023</t>
        </is>
      </c>
      <c r="B296" s="1" t="n">
        <v>44936.47561342592</v>
      </c>
      <c r="C296" s="1" t="n">
        <v>45892</v>
      </c>
      <c r="D296" t="inlineStr">
        <is>
          <t>GOTLANDS LÄN</t>
        </is>
      </c>
      <c r="E296" t="inlineStr">
        <is>
          <t>GOTLAND</t>
        </is>
      </c>
      <c r="G296" t="n">
        <v>7.4</v>
      </c>
      <c r="H296" t="n">
        <v>0</v>
      </c>
      <c r="I296" t="n">
        <v>0</v>
      </c>
      <c r="J296" t="n">
        <v>0</v>
      </c>
      <c r="K296" t="n">
        <v>0</v>
      </c>
      <c r="L296" t="n">
        <v>0</v>
      </c>
      <c r="M296" t="n">
        <v>0</v>
      </c>
      <c r="N296" t="n">
        <v>0</v>
      </c>
      <c r="O296" t="n">
        <v>0</v>
      </c>
      <c r="P296" t="n">
        <v>0</v>
      </c>
      <c r="Q296" t="n">
        <v>0</v>
      </c>
      <c r="R296" s="2" t="inlineStr"/>
    </row>
    <row r="297" ht="15" customHeight="1">
      <c r="A297" t="inlineStr">
        <is>
          <t>A 17682-2024</t>
        </is>
      </c>
      <c r="B297" s="1" t="n">
        <v>45418.42966435185</v>
      </c>
      <c r="C297" s="1" t="n">
        <v>45892</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61897-2024</t>
        </is>
      </c>
      <c r="B298" s="1" t="n">
        <v>45652.75685185185</v>
      </c>
      <c r="C298" s="1" t="n">
        <v>45892</v>
      </c>
      <c r="D298" t="inlineStr">
        <is>
          <t>GOTLANDS LÄN</t>
        </is>
      </c>
      <c r="E298" t="inlineStr">
        <is>
          <t>GOTLAND</t>
        </is>
      </c>
      <c r="G298" t="n">
        <v>6.4</v>
      </c>
      <c r="H298" t="n">
        <v>0</v>
      </c>
      <c r="I298" t="n">
        <v>0</v>
      </c>
      <c r="J298" t="n">
        <v>0</v>
      </c>
      <c r="K298" t="n">
        <v>0</v>
      </c>
      <c r="L298" t="n">
        <v>0</v>
      </c>
      <c r="M298" t="n">
        <v>0</v>
      </c>
      <c r="N298" t="n">
        <v>0</v>
      </c>
      <c r="O298" t="n">
        <v>0</v>
      </c>
      <c r="P298" t="n">
        <v>0</v>
      </c>
      <c r="Q298" t="n">
        <v>0</v>
      </c>
      <c r="R298" s="2" t="inlineStr"/>
    </row>
    <row r="299" ht="15" customHeight="1">
      <c r="A299" t="inlineStr">
        <is>
          <t>A 7026-2023</t>
        </is>
      </c>
      <c r="B299" s="1" t="n">
        <v>44968.30340277778</v>
      </c>
      <c r="C299" s="1" t="n">
        <v>45892</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12032-2025</t>
        </is>
      </c>
      <c r="B300" s="1" t="n">
        <v>45728.64472222222</v>
      </c>
      <c r="C300" s="1" t="n">
        <v>45892</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15595-2024</t>
        </is>
      </c>
      <c r="B301" s="1" t="n">
        <v>45401.81480324074</v>
      </c>
      <c r="C301" s="1" t="n">
        <v>45892</v>
      </c>
      <c r="D301" t="inlineStr">
        <is>
          <t>GOTLANDS LÄN</t>
        </is>
      </c>
      <c r="E301" t="inlineStr">
        <is>
          <t>GOTLAND</t>
        </is>
      </c>
      <c r="G301" t="n">
        <v>6.4</v>
      </c>
      <c r="H301" t="n">
        <v>0</v>
      </c>
      <c r="I301" t="n">
        <v>0</v>
      </c>
      <c r="J301" t="n">
        <v>0</v>
      </c>
      <c r="K301" t="n">
        <v>0</v>
      </c>
      <c r="L301" t="n">
        <v>0</v>
      </c>
      <c r="M301" t="n">
        <v>0</v>
      </c>
      <c r="N301" t="n">
        <v>0</v>
      </c>
      <c r="O301" t="n">
        <v>0</v>
      </c>
      <c r="P301" t="n">
        <v>0</v>
      </c>
      <c r="Q301" t="n">
        <v>0</v>
      </c>
      <c r="R301" s="2" t="inlineStr"/>
    </row>
    <row r="302" ht="15" customHeight="1">
      <c r="A302" t="inlineStr">
        <is>
          <t>A 32330-2024</t>
        </is>
      </c>
      <c r="B302" s="1" t="n">
        <v>45512</v>
      </c>
      <c r="C302" s="1" t="n">
        <v>45892</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52892-2021</t>
        </is>
      </c>
      <c r="B303" s="1" t="n">
        <v>44467.49048611111</v>
      </c>
      <c r="C303" s="1" t="n">
        <v>45892</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12599-2025</t>
        </is>
      </c>
      <c r="B304" s="1" t="n">
        <v>45733.29546296296</v>
      </c>
      <c r="C304" s="1" t="n">
        <v>45892</v>
      </c>
      <c r="D304" t="inlineStr">
        <is>
          <t>GOTLANDS LÄN</t>
        </is>
      </c>
      <c r="E304" t="inlineStr">
        <is>
          <t>GOTLAND</t>
        </is>
      </c>
      <c r="G304" t="n">
        <v>4.7</v>
      </c>
      <c r="H304" t="n">
        <v>0</v>
      </c>
      <c r="I304" t="n">
        <v>0</v>
      </c>
      <c r="J304" t="n">
        <v>0</v>
      </c>
      <c r="K304" t="n">
        <v>0</v>
      </c>
      <c r="L304" t="n">
        <v>0</v>
      </c>
      <c r="M304" t="n">
        <v>0</v>
      </c>
      <c r="N304" t="n">
        <v>0</v>
      </c>
      <c r="O304" t="n">
        <v>0</v>
      </c>
      <c r="P304" t="n">
        <v>0</v>
      </c>
      <c r="Q304" t="n">
        <v>0</v>
      </c>
      <c r="R304" s="2" t="inlineStr"/>
    </row>
    <row r="305" ht="15" customHeight="1">
      <c r="A305" t="inlineStr">
        <is>
          <t>A 1351-2025</t>
        </is>
      </c>
      <c r="B305" s="1" t="n">
        <v>45667.62246527777</v>
      </c>
      <c r="C305" s="1" t="n">
        <v>45892</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5891-2025</t>
        </is>
      </c>
      <c r="B306" s="1" t="n">
        <v>45695.38327546296</v>
      </c>
      <c r="C306" s="1" t="n">
        <v>45892</v>
      </c>
      <c r="D306" t="inlineStr">
        <is>
          <t>GOTLANDS LÄN</t>
        </is>
      </c>
      <c r="E306" t="inlineStr">
        <is>
          <t>GOTLAND</t>
        </is>
      </c>
      <c r="G306" t="n">
        <v>0.8</v>
      </c>
      <c r="H306" t="n">
        <v>0</v>
      </c>
      <c r="I306" t="n">
        <v>0</v>
      </c>
      <c r="J306" t="n">
        <v>0</v>
      </c>
      <c r="K306" t="n">
        <v>0</v>
      </c>
      <c r="L306" t="n">
        <v>0</v>
      </c>
      <c r="M306" t="n">
        <v>0</v>
      </c>
      <c r="N306" t="n">
        <v>0</v>
      </c>
      <c r="O306" t="n">
        <v>0</v>
      </c>
      <c r="P306" t="n">
        <v>0</v>
      </c>
      <c r="Q306" t="n">
        <v>0</v>
      </c>
      <c r="R306" s="2" t="inlineStr"/>
    </row>
    <row r="307" ht="15" customHeight="1">
      <c r="A307" t="inlineStr">
        <is>
          <t>A 14804-2021</t>
        </is>
      </c>
      <c r="B307" s="1" t="n">
        <v>44280</v>
      </c>
      <c r="C307" s="1" t="n">
        <v>45892</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49874-2024</t>
        </is>
      </c>
      <c r="B308" s="1" t="n">
        <v>45597.49274305555</v>
      </c>
      <c r="C308" s="1" t="n">
        <v>45892</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19002-2025</t>
        </is>
      </c>
      <c r="B309" s="1" t="n">
        <v>45764</v>
      </c>
      <c r="C309" s="1" t="n">
        <v>45892</v>
      </c>
      <c r="D309" t="inlineStr">
        <is>
          <t>GOTLANDS LÄN</t>
        </is>
      </c>
      <c r="E309" t="inlineStr">
        <is>
          <t>GOTLAND</t>
        </is>
      </c>
      <c r="G309" t="n">
        <v>2.1</v>
      </c>
      <c r="H309" t="n">
        <v>0</v>
      </c>
      <c r="I309" t="n">
        <v>0</v>
      </c>
      <c r="J309" t="n">
        <v>0</v>
      </c>
      <c r="K309" t="n">
        <v>0</v>
      </c>
      <c r="L309" t="n">
        <v>0</v>
      </c>
      <c r="M309" t="n">
        <v>0</v>
      </c>
      <c r="N309" t="n">
        <v>0</v>
      </c>
      <c r="O309" t="n">
        <v>0</v>
      </c>
      <c r="P309" t="n">
        <v>0</v>
      </c>
      <c r="Q309" t="n">
        <v>0</v>
      </c>
      <c r="R309" s="2" t="inlineStr"/>
    </row>
    <row r="310" ht="15" customHeight="1">
      <c r="A310" t="inlineStr">
        <is>
          <t>A 2719-2023</t>
        </is>
      </c>
      <c r="B310" s="1" t="n">
        <v>44944.55361111111</v>
      </c>
      <c r="C310" s="1" t="n">
        <v>45892</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17144-2025</t>
        </is>
      </c>
      <c r="B311" s="1" t="n">
        <v>45755.9499537037</v>
      </c>
      <c r="C311" s="1" t="n">
        <v>45892</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49314-2024</t>
        </is>
      </c>
      <c r="B312" s="1" t="n">
        <v>45595.55893518519</v>
      </c>
      <c r="C312" s="1" t="n">
        <v>45892</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9875-2025</t>
        </is>
      </c>
      <c r="B313" s="1" t="n">
        <v>45716</v>
      </c>
      <c r="C313" s="1" t="n">
        <v>45892</v>
      </c>
      <c r="D313" t="inlineStr">
        <is>
          <t>GOTLANDS LÄN</t>
        </is>
      </c>
      <c r="E313" t="inlineStr">
        <is>
          <t>GOTLAND</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8701-2025</t>
        </is>
      </c>
      <c r="B314" s="1" t="n">
        <v>45712</v>
      </c>
      <c r="C314" s="1" t="n">
        <v>45892</v>
      </c>
      <c r="D314" t="inlineStr">
        <is>
          <t>GOTLANDS LÄN</t>
        </is>
      </c>
      <c r="E314" t="inlineStr">
        <is>
          <t>GOTLAND</t>
        </is>
      </c>
      <c r="G314" t="n">
        <v>7</v>
      </c>
      <c r="H314" t="n">
        <v>0</v>
      </c>
      <c r="I314" t="n">
        <v>0</v>
      </c>
      <c r="J314" t="n">
        <v>0</v>
      </c>
      <c r="K314" t="n">
        <v>0</v>
      </c>
      <c r="L314" t="n">
        <v>0</v>
      </c>
      <c r="M314" t="n">
        <v>0</v>
      </c>
      <c r="N314" t="n">
        <v>0</v>
      </c>
      <c r="O314" t="n">
        <v>0</v>
      </c>
      <c r="P314" t="n">
        <v>0</v>
      </c>
      <c r="Q314" t="n">
        <v>0</v>
      </c>
      <c r="R314" s="2" t="inlineStr"/>
    </row>
    <row r="315" ht="15" customHeight="1">
      <c r="A315" t="inlineStr">
        <is>
          <t>A 29809-2022</t>
        </is>
      </c>
      <c r="B315" s="1" t="n">
        <v>44755.8713425926</v>
      </c>
      <c r="C315" s="1" t="n">
        <v>45892</v>
      </c>
      <c r="D315" t="inlineStr">
        <is>
          <t>GOTLANDS LÄN</t>
        </is>
      </c>
      <c r="E315" t="inlineStr">
        <is>
          <t>GOTLAND</t>
        </is>
      </c>
      <c r="G315" t="n">
        <v>11.5</v>
      </c>
      <c r="H315" t="n">
        <v>0</v>
      </c>
      <c r="I315" t="n">
        <v>0</v>
      </c>
      <c r="J315" t="n">
        <v>0</v>
      </c>
      <c r="K315" t="n">
        <v>0</v>
      </c>
      <c r="L315" t="n">
        <v>0</v>
      </c>
      <c r="M315" t="n">
        <v>0</v>
      </c>
      <c r="N315" t="n">
        <v>0</v>
      </c>
      <c r="O315" t="n">
        <v>0</v>
      </c>
      <c r="P315" t="n">
        <v>0</v>
      </c>
      <c r="Q315" t="n">
        <v>0</v>
      </c>
      <c r="R315" s="2" t="inlineStr"/>
    </row>
    <row r="316" ht="15" customHeight="1">
      <c r="A316" t="inlineStr">
        <is>
          <t>A 16361-2024</t>
        </is>
      </c>
      <c r="B316" s="1" t="n">
        <v>45407</v>
      </c>
      <c r="C316" s="1" t="n">
        <v>45892</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43081-2022</t>
        </is>
      </c>
      <c r="B317" s="1" t="n">
        <v>44833</v>
      </c>
      <c r="C317" s="1" t="n">
        <v>45892</v>
      </c>
      <c r="D317" t="inlineStr">
        <is>
          <t>GOTLANDS LÄN</t>
        </is>
      </c>
      <c r="E317" t="inlineStr">
        <is>
          <t>GOTLAND</t>
        </is>
      </c>
      <c r="G317" t="n">
        <v>6.8</v>
      </c>
      <c r="H317" t="n">
        <v>0</v>
      </c>
      <c r="I317" t="n">
        <v>0</v>
      </c>
      <c r="J317" t="n">
        <v>0</v>
      </c>
      <c r="K317" t="n">
        <v>0</v>
      </c>
      <c r="L317" t="n">
        <v>0</v>
      </c>
      <c r="M317" t="n">
        <v>0</v>
      </c>
      <c r="N317" t="n">
        <v>0</v>
      </c>
      <c r="O317" t="n">
        <v>0</v>
      </c>
      <c r="P317" t="n">
        <v>0</v>
      </c>
      <c r="Q317" t="n">
        <v>0</v>
      </c>
      <c r="R317" s="2" t="inlineStr"/>
    </row>
    <row r="318" ht="15" customHeight="1">
      <c r="A318" t="inlineStr">
        <is>
          <t>A 21164-2024</t>
        </is>
      </c>
      <c r="B318" s="1" t="n">
        <v>45440</v>
      </c>
      <c r="C318" s="1" t="n">
        <v>45892</v>
      </c>
      <c r="D318" t="inlineStr">
        <is>
          <t>GOTLANDS LÄN</t>
        </is>
      </c>
      <c r="E318" t="inlineStr">
        <is>
          <t>GOTLAND</t>
        </is>
      </c>
      <c r="G318" t="n">
        <v>6.3</v>
      </c>
      <c r="H318" t="n">
        <v>0</v>
      </c>
      <c r="I318" t="n">
        <v>0</v>
      </c>
      <c r="J318" t="n">
        <v>0</v>
      </c>
      <c r="K318" t="n">
        <v>0</v>
      </c>
      <c r="L318" t="n">
        <v>0</v>
      </c>
      <c r="M318" t="n">
        <v>0</v>
      </c>
      <c r="N318" t="n">
        <v>0</v>
      </c>
      <c r="O318" t="n">
        <v>0</v>
      </c>
      <c r="P318" t="n">
        <v>0</v>
      </c>
      <c r="Q318" t="n">
        <v>0</v>
      </c>
      <c r="R318" s="2" t="inlineStr"/>
    </row>
    <row r="319" ht="15" customHeight="1">
      <c r="A319" t="inlineStr">
        <is>
          <t>A 51782-2023</t>
        </is>
      </c>
      <c r="B319" s="1" t="n">
        <v>45222.80952546297</v>
      </c>
      <c r="C319" s="1" t="n">
        <v>45892</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17541-2024</t>
        </is>
      </c>
      <c r="B320" s="1" t="n">
        <v>45415</v>
      </c>
      <c r="C320" s="1" t="n">
        <v>45892</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883-2025</t>
        </is>
      </c>
      <c r="B321" s="1" t="n">
        <v>45665</v>
      </c>
      <c r="C321" s="1" t="n">
        <v>45892</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13910-2025</t>
        </is>
      </c>
      <c r="B322" s="1" t="n">
        <v>45737</v>
      </c>
      <c r="C322" s="1" t="n">
        <v>45892</v>
      </c>
      <c r="D322" t="inlineStr">
        <is>
          <t>GOTLANDS LÄN</t>
        </is>
      </c>
      <c r="E322" t="inlineStr">
        <is>
          <t>GOTLAND</t>
        </is>
      </c>
      <c r="F322" t="inlineStr">
        <is>
          <t>Kommuner</t>
        </is>
      </c>
      <c r="G322" t="n">
        <v>3.2</v>
      </c>
      <c r="H322" t="n">
        <v>0</v>
      </c>
      <c r="I322" t="n">
        <v>0</v>
      </c>
      <c r="J322" t="n">
        <v>0</v>
      </c>
      <c r="K322" t="n">
        <v>0</v>
      </c>
      <c r="L322" t="n">
        <v>0</v>
      </c>
      <c r="M322" t="n">
        <v>0</v>
      </c>
      <c r="N322" t="n">
        <v>0</v>
      </c>
      <c r="O322" t="n">
        <v>0</v>
      </c>
      <c r="P322" t="n">
        <v>0</v>
      </c>
      <c r="Q322" t="n">
        <v>0</v>
      </c>
      <c r="R322" s="2" t="inlineStr"/>
    </row>
    <row r="323" ht="15" customHeight="1">
      <c r="A323" t="inlineStr">
        <is>
          <t>A 1175-2025</t>
        </is>
      </c>
      <c r="B323" s="1" t="n">
        <v>45667.34449074074</v>
      </c>
      <c r="C323" s="1" t="n">
        <v>45892</v>
      </c>
      <c r="D323" t="inlineStr">
        <is>
          <t>GOTLANDS LÄN</t>
        </is>
      </c>
      <c r="E323" t="inlineStr">
        <is>
          <t>GOTLAND</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60675-2021</t>
        </is>
      </c>
      <c r="B324" s="1" t="n">
        <v>44496.64855324074</v>
      </c>
      <c r="C324" s="1" t="n">
        <v>45892</v>
      </c>
      <c r="D324" t="inlineStr">
        <is>
          <t>GOTLANDS LÄN</t>
        </is>
      </c>
      <c r="E324" t="inlineStr">
        <is>
          <t>GOTLAND</t>
        </is>
      </c>
      <c r="G324" t="n">
        <v>4.6</v>
      </c>
      <c r="H324" t="n">
        <v>0</v>
      </c>
      <c r="I324" t="n">
        <v>0</v>
      </c>
      <c r="J324" t="n">
        <v>0</v>
      </c>
      <c r="K324" t="n">
        <v>0</v>
      </c>
      <c r="L324" t="n">
        <v>0</v>
      </c>
      <c r="M324" t="n">
        <v>0</v>
      </c>
      <c r="N324" t="n">
        <v>0</v>
      </c>
      <c r="O324" t="n">
        <v>0</v>
      </c>
      <c r="P324" t="n">
        <v>0</v>
      </c>
      <c r="Q324" t="n">
        <v>0</v>
      </c>
      <c r="R324" s="2" t="inlineStr"/>
    </row>
    <row r="325" ht="15" customHeight="1">
      <c r="A325" t="inlineStr">
        <is>
          <t>A 5217-2023</t>
        </is>
      </c>
      <c r="B325" s="1" t="n">
        <v>44959.39582175926</v>
      </c>
      <c r="C325" s="1" t="n">
        <v>45892</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20794-2025</t>
        </is>
      </c>
      <c r="B326" s="1" t="n">
        <v>45776</v>
      </c>
      <c r="C326" s="1" t="n">
        <v>45892</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14638-2025</t>
        </is>
      </c>
      <c r="B327" s="1" t="n">
        <v>45742</v>
      </c>
      <c r="C327" s="1" t="n">
        <v>45892</v>
      </c>
      <c r="D327" t="inlineStr">
        <is>
          <t>GOTLANDS LÄN</t>
        </is>
      </c>
      <c r="E327" t="inlineStr">
        <is>
          <t>GOTLAND</t>
        </is>
      </c>
      <c r="G327" t="n">
        <v>13.4</v>
      </c>
      <c r="H327" t="n">
        <v>0</v>
      </c>
      <c r="I327" t="n">
        <v>0</v>
      </c>
      <c r="J327" t="n">
        <v>0</v>
      </c>
      <c r="K327" t="n">
        <v>0</v>
      </c>
      <c r="L327" t="n">
        <v>0</v>
      </c>
      <c r="M327" t="n">
        <v>0</v>
      </c>
      <c r="N327" t="n">
        <v>0</v>
      </c>
      <c r="O327" t="n">
        <v>0</v>
      </c>
      <c r="P327" t="n">
        <v>0</v>
      </c>
      <c r="Q327" t="n">
        <v>0</v>
      </c>
      <c r="R327" s="2" t="inlineStr"/>
    </row>
    <row r="328" ht="15" customHeight="1">
      <c r="A328" t="inlineStr">
        <is>
          <t>A 20812-2025</t>
        </is>
      </c>
      <c r="B328" s="1" t="n">
        <v>45776</v>
      </c>
      <c r="C328" s="1" t="n">
        <v>45892</v>
      </c>
      <c r="D328" t="inlineStr">
        <is>
          <t>GOTLANDS LÄN</t>
        </is>
      </c>
      <c r="E328" t="inlineStr">
        <is>
          <t>GOTLAND</t>
        </is>
      </c>
      <c r="G328" t="n">
        <v>3</v>
      </c>
      <c r="H328" t="n">
        <v>0</v>
      </c>
      <c r="I328" t="n">
        <v>0</v>
      </c>
      <c r="J328" t="n">
        <v>0</v>
      </c>
      <c r="K328" t="n">
        <v>0</v>
      </c>
      <c r="L328" t="n">
        <v>0</v>
      </c>
      <c r="M328" t="n">
        <v>0</v>
      </c>
      <c r="N328" t="n">
        <v>0</v>
      </c>
      <c r="O328" t="n">
        <v>0</v>
      </c>
      <c r="P328" t="n">
        <v>0</v>
      </c>
      <c r="Q328" t="n">
        <v>0</v>
      </c>
      <c r="R328" s="2" t="inlineStr"/>
    </row>
    <row r="329" ht="15" customHeight="1">
      <c r="A329" t="inlineStr">
        <is>
          <t>A 42201-2023</t>
        </is>
      </c>
      <c r="B329" s="1" t="n">
        <v>45179</v>
      </c>
      <c r="C329" s="1" t="n">
        <v>45892</v>
      </c>
      <c r="D329" t="inlineStr">
        <is>
          <t>GOTLANDS LÄN</t>
        </is>
      </c>
      <c r="E329" t="inlineStr">
        <is>
          <t>GOTLAND</t>
        </is>
      </c>
      <c r="G329" t="n">
        <v>11.9</v>
      </c>
      <c r="H329" t="n">
        <v>0</v>
      </c>
      <c r="I329" t="n">
        <v>0</v>
      </c>
      <c r="J329" t="n">
        <v>0</v>
      </c>
      <c r="K329" t="n">
        <v>0</v>
      </c>
      <c r="L329" t="n">
        <v>0</v>
      </c>
      <c r="M329" t="n">
        <v>0</v>
      </c>
      <c r="N329" t="n">
        <v>0</v>
      </c>
      <c r="O329" t="n">
        <v>0</v>
      </c>
      <c r="P329" t="n">
        <v>0</v>
      </c>
      <c r="Q329" t="n">
        <v>0</v>
      </c>
      <c r="R329" s="2" t="inlineStr"/>
    </row>
    <row r="330" ht="15" customHeight="1">
      <c r="A330" t="inlineStr">
        <is>
          <t>A 3150-2025</t>
        </is>
      </c>
      <c r="B330" s="1" t="n">
        <v>45679.28974537037</v>
      </c>
      <c r="C330" s="1" t="n">
        <v>45892</v>
      </c>
      <c r="D330" t="inlineStr">
        <is>
          <t>GOTLANDS LÄN</t>
        </is>
      </c>
      <c r="E330" t="inlineStr">
        <is>
          <t>GOTLAND</t>
        </is>
      </c>
      <c r="G330" t="n">
        <v>2.5</v>
      </c>
      <c r="H330" t="n">
        <v>0</v>
      </c>
      <c r="I330" t="n">
        <v>0</v>
      </c>
      <c r="J330" t="n">
        <v>0</v>
      </c>
      <c r="K330" t="n">
        <v>0</v>
      </c>
      <c r="L330" t="n">
        <v>0</v>
      </c>
      <c r="M330" t="n">
        <v>0</v>
      </c>
      <c r="N330" t="n">
        <v>0</v>
      </c>
      <c r="O330" t="n">
        <v>0</v>
      </c>
      <c r="P330" t="n">
        <v>0</v>
      </c>
      <c r="Q330" t="n">
        <v>0</v>
      </c>
      <c r="R330" s="2" t="inlineStr"/>
    </row>
    <row r="331" ht="15" customHeight="1">
      <c r="A331" t="inlineStr">
        <is>
          <t>A 4421-2024</t>
        </is>
      </c>
      <c r="B331" s="1" t="n">
        <v>45327.45173611111</v>
      </c>
      <c r="C331" s="1" t="n">
        <v>45892</v>
      </c>
      <c r="D331" t="inlineStr">
        <is>
          <t>GOTLANDS LÄN</t>
        </is>
      </c>
      <c r="E331" t="inlineStr">
        <is>
          <t>GOTLAND</t>
        </is>
      </c>
      <c r="G331" t="n">
        <v>5.1</v>
      </c>
      <c r="H331" t="n">
        <v>0</v>
      </c>
      <c r="I331" t="n">
        <v>0</v>
      </c>
      <c r="J331" t="n">
        <v>0</v>
      </c>
      <c r="K331" t="n">
        <v>0</v>
      </c>
      <c r="L331" t="n">
        <v>0</v>
      </c>
      <c r="M331" t="n">
        <v>0</v>
      </c>
      <c r="N331" t="n">
        <v>0</v>
      </c>
      <c r="O331" t="n">
        <v>0</v>
      </c>
      <c r="P331" t="n">
        <v>0</v>
      </c>
      <c r="Q331" t="n">
        <v>0</v>
      </c>
      <c r="R331" s="2" t="inlineStr"/>
    </row>
    <row r="332" ht="15" customHeight="1">
      <c r="A332" t="inlineStr">
        <is>
          <t>A 20805-2025</t>
        </is>
      </c>
      <c r="B332" s="1" t="n">
        <v>45776</v>
      </c>
      <c r="C332" s="1" t="n">
        <v>45892</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21389-2025</t>
        </is>
      </c>
      <c r="B333" s="1" t="n">
        <v>45782</v>
      </c>
      <c r="C333" s="1" t="n">
        <v>45892</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21142-2025</t>
        </is>
      </c>
      <c r="B334" s="1" t="n">
        <v>45779</v>
      </c>
      <c r="C334" s="1" t="n">
        <v>45892</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20165-2022</t>
        </is>
      </c>
      <c r="B335" s="1" t="n">
        <v>44698.49854166667</v>
      </c>
      <c r="C335" s="1" t="n">
        <v>45892</v>
      </c>
      <c r="D335" t="inlineStr">
        <is>
          <t>GOTLANDS LÄN</t>
        </is>
      </c>
      <c r="E335" t="inlineStr">
        <is>
          <t>GOTLAND</t>
        </is>
      </c>
      <c r="G335" t="n">
        <v>4.1</v>
      </c>
      <c r="H335" t="n">
        <v>0</v>
      </c>
      <c r="I335" t="n">
        <v>0</v>
      </c>
      <c r="J335" t="n">
        <v>0</v>
      </c>
      <c r="K335" t="n">
        <v>0</v>
      </c>
      <c r="L335" t="n">
        <v>0</v>
      </c>
      <c r="M335" t="n">
        <v>0</v>
      </c>
      <c r="N335" t="n">
        <v>0</v>
      </c>
      <c r="O335" t="n">
        <v>0</v>
      </c>
      <c r="P335" t="n">
        <v>0</v>
      </c>
      <c r="Q335" t="n">
        <v>0</v>
      </c>
      <c r="R335" s="2" t="inlineStr"/>
    </row>
    <row r="336" ht="15" customHeight="1">
      <c r="A336" t="inlineStr">
        <is>
          <t>A 31264-2021</t>
        </is>
      </c>
      <c r="B336" s="1" t="n">
        <v>44368</v>
      </c>
      <c r="C336" s="1" t="n">
        <v>45892</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33876-2024</t>
        </is>
      </c>
      <c r="B337" s="1" t="n">
        <v>45521.87988425926</v>
      </c>
      <c r="C337" s="1" t="n">
        <v>45892</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21651-2025</t>
        </is>
      </c>
      <c r="B338" s="1" t="n">
        <v>45783</v>
      </c>
      <c r="C338" s="1" t="n">
        <v>45892</v>
      </c>
      <c r="D338" t="inlineStr">
        <is>
          <t>GOTLANDS LÄN</t>
        </is>
      </c>
      <c r="E338" t="inlineStr">
        <is>
          <t>GOTLAND</t>
        </is>
      </c>
      <c r="G338" t="n">
        <v>4.2</v>
      </c>
      <c r="H338" t="n">
        <v>0</v>
      </c>
      <c r="I338" t="n">
        <v>0</v>
      </c>
      <c r="J338" t="n">
        <v>0</v>
      </c>
      <c r="K338" t="n">
        <v>0</v>
      </c>
      <c r="L338" t="n">
        <v>0</v>
      </c>
      <c r="M338" t="n">
        <v>0</v>
      </c>
      <c r="N338" t="n">
        <v>0</v>
      </c>
      <c r="O338" t="n">
        <v>0</v>
      </c>
      <c r="P338" t="n">
        <v>0</v>
      </c>
      <c r="Q338" t="n">
        <v>0</v>
      </c>
      <c r="R338" s="2" t="inlineStr"/>
    </row>
    <row r="339" ht="15" customHeight="1">
      <c r="A339" t="inlineStr">
        <is>
          <t>A 42041-2024</t>
        </is>
      </c>
      <c r="B339" s="1" t="n">
        <v>45561</v>
      </c>
      <c r="C339" s="1" t="n">
        <v>45892</v>
      </c>
      <c r="D339" t="inlineStr">
        <is>
          <t>GOTLANDS LÄN</t>
        </is>
      </c>
      <c r="E339" t="inlineStr">
        <is>
          <t>GOTLAND</t>
        </is>
      </c>
      <c r="G339" t="n">
        <v>3.2</v>
      </c>
      <c r="H339" t="n">
        <v>0</v>
      </c>
      <c r="I339" t="n">
        <v>0</v>
      </c>
      <c r="J339" t="n">
        <v>0</v>
      </c>
      <c r="K339" t="n">
        <v>0</v>
      </c>
      <c r="L339" t="n">
        <v>0</v>
      </c>
      <c r="M339" t="n">
        <v>0</v>
      </c>
      <c r="N339" t="n">
        <v>0</v>
      </c>
      <c r="O339" t="n">
        <v>0</v>
      </c>
      <c r="P339" t="n">
        <v>0</v>
      </c>
      <c r="Q339" t="n">
        <v>0</v>
      </c>
      <c r="R339" s="2" t="inlineStr"/>
    </row>
    <row r="340" ht="15" customHeight="1">
      <c r="A340" t="inlineStr">
        <is>
          <t>A 43223-2023</t>
        </is>
      </c>
      <c r="B340" s="1" t="n">
        <v>45183.45642361111</v>
      </c>
      <c r="C340" s="1" t="n">
        <v>45892</v>
      </c>
      <c r="D340" t="inlineStr">
        <is>
          <t>GOTLANDS LÄN</t>
        </is>
      </c>
      <c r="E340" t="inlineStr">
        <is>
          <t>GOTLAND</t>
        </is>
      </c>
      <c r="G340" t="n">
        <v>1.8</v>
      </c>
      <c r="H340" t="n">
        <v>0</v>
      </c>
      <c r="I340" t="n">
        <v>0</v>
      </c>
      <c r="J340" t="n">
        <v>0</v>
      </c>
      <c r="K340" t="n">
        <v>0</v>
      </c>
      <c r="L340" t="n">
        <v>0</v>
      </c>
      <c r="M340" t="n">
        <v>0</v>
      </c>
      <c r="N340" t="n">
        <v>0</v>
      </c>
      <c r="O340" t="n">
        <v>0</v>
      </c>
      <c r="P340" t="n">
        <v>0</v>
      </c>
      <c r="Q340" t="n">
        <v>0</v>
      </c>
      <c r="R340" s="2" t="inlineStr"/>
    </row>
    <row r="341" ht="15" customHeight="1">
      <c r="A341" t="inlineStr">
        <is>
          <t>A 61962-2024</t>
        </is>
      </c>
      <c r="B341" s="1" t="n">
        <v>45653.54340277778</v>
      </c>
      <c r="C341" s="1" t="n">
        <v>45892</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27930-2021</t>
        </is>
      </c>
      <c r="B342" s="1" t="n">
        <v>44354</v>
      </c>
      <c r="C342" s="1" t="n">
        <v>45892</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59469-2024</t>
        </is>
      </c>
      <c r="B343" s="1" t="n">
        <v>45638</v>
      </c>
      <c r="C343" s="1" t="n">
        <v>45892</v>
      </c>
      <c r="D343" t="inlineStr">
        <is>
          <t>GOTLANDS LÄN</t>
        </is>
      </c>
      <c r="E343" t="inlineStr">
        <is>
          <t>GOTLAND</t>
        </is>
      </c>
      <c r="G343" t="n">
        <v>0.4</v>
      </c>
      <c r="H343" t="n">
        <v>0</v>
      </c>
      <c r="I343" t="n">
        <v>0</v>
      </c>
      <c r="J343" t="n">
        <v>0</v>
      </c>
      <c r="K343" t="n">
        <v>0</v>
      </c>
      <c r="L343" t="n">
        <v>0</v>
      </c>
      <c r="M343" t="n">
        <v>0</v>
      </c>
      <c r="N343" t="n">
        <v>0</v>
      </c>
      <c r="O343" t="n">
        <v>0</v>
      </c>
      <c r="P343" t="n">
        <v>0</v>
      </c>
      <c r="Q343" t="n">
        <v>0</v>
      </c>
      <c r="R343" s="2" t="inlineStr"/>
    </row>
    <row r="344" ht="15" customHeight="1">
      <c r="A344" t="inlineStr">
        <is>
          <t>A 18993-2025</t>
        </is>
      </c>
      <c r="B344" s="1" t="n">
        <v>45764</v>
      </c>
      <c r="C344" s="1" t="n">
        <v>45892</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15436-2025</t>
        </is>
      </c>
      <c r="B345" s="1" t="n">
        <v>45747.47462962963</v>
      </c>
      <c r="C345" s="1" t="n">
        <v>45892</v>
      </c>
      <c r="D345" t="inlineStr">
        <is>
          <t>GOTLANDS LÄN</t>
        </is>
      </c>
      <c r="E345" t="inlineStr">
        <is>
          <t>GOTLAND</t>
        </is>
      </c>
      <c r="G345" t="n">
        <v>4.1</v>
      </c>
      <c r="H345" t="n">
        <v>0</v>
      </c>
      <c r="I345" t="n">
        <v>0</v>
      </c>
      <c r="J345" t="n">
        <v>0</v>
      </c>
      <c r="K345" t="n">
        <v>0</v>
      </c>
      <c r="L345" t="n">
        <v>0</v>
      </c>
      <c r="M345" t="n">
        <v>0</v>
      </c>
      <c r="N345" t="n">
        <v>0</v>
      </c>
      <c r="O345" t="n">
        <v>0</v>
      </c>
      <c r="P345" t="n">
        <v>0</v>
      </c>
      <c r="Q345" t="n">
        <v>0</v>
      </c>
      <c r="R345" s="2" t="inlineStr"/>
    </row>
    <row r="346" ht="15" customHeight="1">
      <c r="A346" t="inlineStr">
        <is>
          <t>A 5751-2024</t>
        </is>
      </c>
      <c r="B346" s="1" t="n">
        <v>45335.32702546296</v>
      </c>
      <c r="C346" s="1" t="n">
        <v>45892</v>
      </c>
      <c r="D346" t="inlineStr">
        <is>
          <t>GOTLANDS LÄN</t>
        </is>
      </c>
      <c r="E346" t="inlineStr">
        <is>
          <t>GOTLAND</t>
        </is>
      </c>
      <c r="G346" t="n">
        <v>4.2</v>
      </c>
      <c r="H346" t="n">
        <v>0</v>
      </c>
      <c r="I346" t="n">
        <v>0</v>
      </c>
      <c r="J346" t="n">
        <v>0</v>
      </c>
      <c r="K346" t="n">
        <v>0</v>
      </c>
      <c r="L346" t="n">
        <v>0</v>
      </c>
      <c r="M346" t="n">
        <v>0</v>
      </c>
      <c r="N346" t="n">
        <v>0</v>
      </c>
      <c r="O346" t="n">
        <v>0</v>
      </c>
      <c r="P346" t="n">
        <v>0</v>
      </c>
      <c r="Q346" t="n">
        <v>0</v>
      </c>
      <c r="R346" s="2" t="inlineStr"/>
    </row>
    <row r="347" ht="15" customHeight="1">
      <c r="A347" t="inlineStr">
        <is>
          <t>A 21247-2022</t>
        </is>
      </c>
      <c r="B347" s="1" t="n">
        <v>44705.38832175926</v>
      </c>
      <c r="C347" s="1" t="n">
        <v>45892</v>
      </c>
      <c r="D347" t="inlineStr">
        <is>
          <t>GOTLANDS LÄN</t>
        </is>
      </c>
      <c r="E347" t="inlineStr">
        <is>
          <t>GOTLAND</t>
        </is>
      </c>
      <c r="G347" t="n">
        <v>16.2</v>
      </c>
      <c r="H347" t="n">
        <v>0</v>
      </c>
      <c r="I347" t="n">
        <v>0</v>
      </c>
      <c r="J347" t="n">
        <v>0</v>
      </c>
      <c r="K347" t="n">
        <v>0</v>
      </c>
      <c r="L347" t="n">
        <v>0</v>
      </c>
      <c r="M347" t="n">
        <v>0</v>
      </c>
      <c r="N347" t="n">
        <v>0</v>
      </c>
      <c r="O347" t="n">
        <v>0</v>
      </c>
      <c r="P347" t="n">
        <v>0</v>
      </c>
      <c r="Q347" t="n">
        <v>0</v>
      </c>
      <c r="R347" s="2" t="inlineStr"/>
    </row>
    <row r="348" ht="15" customHeight="1">
      <c r="A348" t="inlineStr">
        <is>
          <t>A 6696-2023</t>
        </is>
      </c>
      <c r="B348" s="1" t="n">
        <v>44966.66425925926</v>
      </c>
      <c r="C348" s="1" t="n">
        <v>45892</v>
      </c>
      <c r="D348" t="inlineStr">
        <is>
          <t>GOTLANDS LÄN</t>
        </is>
      </c>
      <c r="E348" t="inlineStr">
        <is>
          <t>GOTLAND</t>
        </is>
      </c>
      <c r="G348" t="n">
        <v>1.5</v>
      </c>
      <c r="H348" t="n">
        <v>0</v>
      </c>
      <c r="I348" t="n">
        <v>0</v>
      </c>
      <c r="J348" t="n">
        <v>0</v>
      </c>
      <c r="K348" t="n">
        <v>0</v>
      </c>
      <c r="L348" t="n">
        <v>0</v>
      </c>
      <c r="M348" t="n">
        <v>0</v>
      </c>
      <c r="N348" t="n">
        <v>0</v>
      </c>
      <c r="O348" t="n">
        <v>0</v>
      </c>
      <c r="P348" t="n">
        <v>0</v>
      </c>
      <c r="Q348" t="n">
        <v>0</v>
      </c>
      <c r="R348" s="2" t="inlineStr"/>
    </row>
    <row r="349" ht="15" customHeight="1">
      <c r="A349" t="inlineStr">
        <is>
          <t>A 28480-2023</t>
        </is>
      </c>
      <c r="B349" s="1" t="n">
        <v>45103</v>
      </c>
      <c r="C349" s="1" t="n">
        <v>45892</v>
      </c>
      <c r="D349" t="inlineStr">
        <is>
          <t>GOTLANDS LÄN</t>
        </is>
      </c>
      <c r="E349" t="inlineStr">
        <is>
          <t>GOTLAND</t>
        </is>
      </c>
      <c r="G349" t="n">
        <v>5.7</v>
      </c>
      <c r="H349" t="n">
        <v>0</v>
      </c>
      <c r="I349" t="n">
        <v>0</v>
      </c>
      <c r="J349" t="n">
        <v>0</v>
      </c>
      <c r="K349" t="n">
        <v>0</v>
      </c>
      <c r="L349" t="n">
        <v>0</v>
      </c>
      <c r="M349" t="n">
        <v>0</v>
      </c>
      <c r="N349" t="n">
        <v>0</v>
      </c>
      <c r="O349" t="n">
        <v>0</v>
      </c>
      <c r="P349" t="n">
        <v>0</v>
      </c>
      <c r="Q349" t="n">
        <v>0</v>
      </c>
      <c r="R349" s="2" t="inlineStr"/>
    </row>
    <row r="350" ht="15" customHeight="1">
      <c r="A350" t="inlineStr">
        <is>
          <t>A 28485-2023</t>
        </is>
      </c>
      <c r="B350" s="1" t="n">
        <v>45103.43731481482</v>
      </c>
      <c r="C350" s="1" t="n">
        <v>45892</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45892</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38165-2023</t>
        </is>
      </c>
      <c r="B352" s="1" t="n">
        <v>45161</v>
      </c>
      <c r="C352" s="1" t="n">
        <v>45892</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21420-2024</t>
        </is>
      </c>
      <c r="B353" s="1" t="n">
        <v>45441.38293981482</v>
      </c>
      <c r="C353" s="1" t="n">
        <v>45892</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18914-2025</t>
        </is>
      </c>
      <c r="B354" s="1" t="n">
        <v>45764.46783564815</v>
      </c>
      <c r="C354" s="1" t="n">
        <v>45892</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10656-2024</t>
        </is>
      </c>
      <c r="B355" s="1" t="n">
        <v>45368</v>
      </c>
      <c r="C355" s="1" t="n">
        <v>45892</v>
      </c>
      <c r="D355" t="inlineStr">
        <is>
          <t>GOTLANDS LÄN</t>
        </is>
      </c>
      <c r="E355" t="inlineStr">
        <is>
          <t>GOTLAND</t>
        </is>
      </c>
      <c r="G355" t="n">
        <v>1.5</v>
      </c>
      <c r="H355" t="n">
        <v>0</v>
      </c>
      <c r="I355" t="n">
        <v>0</v>
      </c>
      <c r="J355" t="n">
        <v>0</v>
      </c>
      <c r="K355" t="n">
        <v>0</v>
      </c>
      <c r="L355" t="n">
        <v>0</v>
      </c>
      <c r="M355" t="n">
        <v>0</v>
      </c>
      <c r="N355" t="n">
        <v>0</v>
      </c>
      <c r="O355" t="n">
        <v>0</v>
      </c>
      <c r="P355" t="n">
        <v>0</v>
      </c>
      <c r="Q355" t="n">
        <v>0</v>
      </c>
      <c r="R355" s="2" t="inlineStr"/>
    </row>
    <row r="356" ht="15" customHeight="1">
      <c r="A356" t="inlineStr">
        <is>
          <t>A 17780-2022</t>
        </is>
      </c>
      <c r="B356" s="1" t="n">
        <v>44682.82622685185</v>
      </c>
      <c r="C356" s="1" t="n">
        <v>45892</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63516-2023</t>
        </is>
      </c>
      <c r="B357" s="1" t="n">
        <v>45274</v>
      </c>
      <c r="C357" s="1" t="n">
        <v>45892</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57356-2023</t>
        </is>
      </c>
      <c r="B358" s="1" t="n">
        <v>45240</v>
      </c>
      <c r="C358" s="1" t="n">
        <v>45892</v>
      </c>
      <c r="D358" t="inlineStr">
        <is>
          <t>GOTLANDS LÄN</t>
        </is>
      </c>
      <c r="E358" t="inlineStr">
        <is>
          <t>GOTLAND</t>
        </is>
      </c>
      <c r="G358" t="n">
        <v>6.4</v>
      </c>
      <c r="H358" t="n">
        <v>0</v>
      </c>
      <c r="I358" t="n">
        <v>0</v>
      </c>
      <c r="J358" t="n">
        <v>0</v>
      </c>
      <c r="K358" t="n">
        <v>0</v>
      </c>
      <c r="L358" t="n">
        <v>0</v>
      </c>
      <c r="M358" t="n">
        <v>0</v>
      </c>
      <c r="N358" t="n">
        <v>0</v>
      </c>
      <c r="O358" t="n">
        <v>0</v>
      </c>
      <c r="P358" t="n">
        <v>0</v>
      </c>
      <c r="Q358" t="n">
        <v>0</v>
      </c>
      <c r="R358" s="2" t="inlineStr"/>
    </row>
    <row r="359" ht="15" customHeight="1">
      <c r="A359" t="inlineStr">
        <is>
          <t>A 28506-2023</t>
        </is>
      </c>
      <c r="B359" s="1" t="n">
        <v>45103</v>
      </c>
      <c r="C359" s="1" t="n">
        <v>45892</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23188-2025</t>
        </is>
      </c>
      <c r="B360" s="1" t="n">
        <v>45791</v>
      </c>
      <c r="C360" s="1" t="n">
        <v>45892</v>
      </c>
      <c r="D360" t="inlineStr">
        <is>
          <t>GOTLANDS LÄN</t>
        </is>
      </c>
      <c r="E360" t="inlineStr">
        <is>
          <t>GOTLAND</t>
        </is>
      </c>
      <c r="G360" t="n">
        <v>6.2</v>
      </c>
      <c r="H360" t="n">
        <v>0</v>
      </c>
      <c r="I360" t="n">
        <v>0</v>
      </c>
      <c r="J360" t="n">
        <v>0</v>
      </c>
      <c r="K360" t="n">
        <v>0</v>
      </c>
      <c r="L360" t="n">
        <v>0</v>
      </c>
      <c r="M360" t="n">
        <v>0</v>
      </c>
      <c r="N360" t="n">
        <v>0</v>
      </c>
      <c r="O360" t="n">
        <v>0</v>
      </c>
      <c r="P360" t="n">
        <v>0</v>
      </c>
      <c r="Q360" t="n">
        <v>0</v>
      </c>
      <c r="R360" s="2" t="inlineStr"/>
    </row>
    <row r="361" ht="15" customHeight="1">
      <c r="A361" t="inlineStr">
        <is>
          <t>A 15216-2025</t>
        </is>
      </c>
      <c r="B361" s="1" t="n">
        <v>45744</v>
      </c>
      <c r="C361" s="1" t="n">
        <v>45892</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53935-2024</t>
        </is>
      </c>
      <c r="B362" s="1" t="n">
        <v>45615</v>
      </c>
      <c r="C362" s="1" t="n">
        <v>45892</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18938-2025</t>
        </is>
      </c>
      <c r="B363" s="1" t="n">
        <v>45764.49172453704</v>
      </c>
      <c r="C363" s="1" t="n">
        <v>45892</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69112-2021</t>
        </is>
      </c>
      <c r="B364" s="1" t="n">
        <v>44530</v>
      </c>
      <c r="C364" s="1" t="n">
        <v>45892</v>
      </c>
      <c r="D364" t="inlineStr">
        <is>
          <t>GOTLANDS LÄN</t>
        </is>
      </c>
      <c r="E364" t="inlineStr">
        <is>
          <t>GOTLAND</t>
        </is>
      </c>
      <c r="G364" t="n">
        <v>4.2</v>
      </c>
      <c r="H364" t="n">
        <v>0</v>
      </c>
      <c r="I364" t="n">
        <v>0</v>
      </c>
      <c r="J364" t="n">
        <v>0</v>
      </c>
      <c r="K364" t="n">
        <v>0</v>
      </c>
      <c r="L364" t="n">
        <v>0</v>
      </c>
      <c r="M364" t="n">
        <v>0</v>
      </c>
      <c r="N364" t="n">
        <v>0</v>
      </c>
      <c r="O364" t="n">
        <v>0</v>
      </c>
      <c r="P364" t="n">
        <v>0</v>
      </c>
      <c r="Q364" t="n">
        <v>0</v>
      </c>
      <c r="R364" s="2" t="inlineStr"/>
    </row>
    <row r="365" ht="15" customHeight="1">
      <c r="A365" t="inlineStr">
        <is>
          <t>A 48734-2022</t>
        </is>
      </c>
      <c r="B365" s="1" t="n">
        <v>44855</v>
      </c>
      <c r="C365" s="1" t="n">
        <v>45892</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23516-2023</t>
        </is>
      </c>
      <c r="B366" s="1" t="n">
        <v>45076.93391203704</v>
      </c>
      <c r="C366" s="1" t="n">
        <v>45892</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43231-2023</t>
        </is>
      </c>
      <c r="B367" s="1" t="n">
        <v>45183.47025462963</v>
      </c>
      <c r="C367" s="1" t="n">
        <v>45892</v>
      </c>
      <c r="D367" t="inlineStr">
        <is>
          <t>GOTLANDS LÄN</t>
        </is>
      </c>
      <c r="E367" t="inlineStr">
        <is>
          <t>GOTLAND</t>
        </is>
      </c>
      <c r="G367" t="n">
        <v>3.6</v>
      </c>
      <c r="H367" t="n">
        <v>0</v>
      </c>
      <c r="I367" t="n">
        <v>0</v>
      </c>
      <c r="J367" t="n">
        <v>0</v>
      </c>
      <c r="K367" t="n">
        <v>0</v>
      </c>
      <c r="L367" t="n">
        <v>0</v>
      </c>
      <c r="M367" t="n">
        <v>0</v>
      </c>
      <c r="N367" t="n">
        <v>0</v>
      </c>
      <c r="O367" t="n">
        <v>0</v>
      </c>
      <c r="P367" t="n">
        <v>0</v>
      </c>
      <c r="Q367" t="n">
        <v>0</v>
      </c>
      <c r="R367" s="2" t="inlineStr"/>
    </row>
    <row r="368" ht="15" customHeight="1">
      <c r="A368" t="inlineStr">
        <is>
          <t>A 58230-2024</t>
        </is>
      </c>
      <c r="B368" s="1" t="n">
        <v>45632.51625</v>
      </c>
      <c r="C368" s="1" t="n">
        <v>45892</v>
      </c>
      <c r="D368" t="inlineStr">
        <is>
          <t>GOTLANDS LÄN</t>
        </is>
      </c>
      <c r="E368" t="inlineStr">
        <is>
          <t>GOTLAND</t>
        </is>
      </c>
      <c r="G368" t="n">
        <v>7.3</v>
      </c>
      <c r="H368" t="n">
        <v>0</v>
      </c>
      <c r="I368" t="n">
        <v>0</v>
      </c>
      <c r="J368" t="n">
        <v>0</v>
      </c>
      <c r="K368" t="n">
        <v>0</v>
      </c>
      <c r="L368" t="n">
        <v>0</v>
      </c>
      <c r="M368" t="n">
        <v>0</v>
      </c>
      <c r="N368" t="n">
        <v>0</v>
      </c>
      <c r="O368" t="n">
        <v>0</v>
      </c>
      <c r="P368" t="n">
        <v>0</v>
      </c>
      <c r="Q368" t="n">
        <v>0</v>
      </c>
      <c r="R368" s="2" t="inlineStr"/>
    </row>
    <row r="369" ht="15" customHeight="1">
      <c r="A369" t="inlineStr">
        <is>
          <t>A 64555-2023</t>
        </is>
      </c>
      <c r="B369" s="1" t="n">
        <v>45281</v>
      </c>
      <c r="C369" s="1" t="n">
        <v>45892</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23856-2025</t>
        </is>
      </c>
      <c r="B370" s="1" t="n">
        <v>45793</v>
      </c>
      <c r="C370" s="1" t="n">
        <v>45892</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49693-2023</t>
        </is>
      </c>
      <c r="B371" s="1" t="n">
        <v>45212.38138888889</v>
      </c>
      <c r="C371" s="1" t="n">
        <v>45892</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49697-2023</t>
        </is>
      </c>
      <c r="B372" s="1" t="n">
        <v>45212.38909722222</v>
      </c>
      <c r="C372" s="1" t="n">
        <v>45892</v>
      </c>
      <c r="D372" t="inlineStr">
        <is>
          <t>GOTLANDS LÄN</t>
        </is>
      </c>
      <c r="E372" t="inlineStr">
        <is>
          <t>GOTLAND</t>
        </is>
      </c>
      <c r="G372" t="n">
        <v>4.4</v>
      </c>
      <c r="H372" t="n">
        <v>0</v>
      </c>
      <c r="I372" t="n">
        <v>0</v>
      </c>
      <c r="J372" t="n">
        <v>0</v>
      </c>
      <c r="K372" t="n">
        <v>0</v>
      </c>
      <c r="L372" t="n">
        <v>0</v>
      </c>
      <c r="M372" t="n">
        <v>0</v>
      </c>
      <c r="N372" t="n">
        <v>0</v>
      </c>
      <c r="O372" t="n">
        <v>0</v>
      </c>
      <c r="P372" t="n">
        <v>0</v>
      </c>
      <c r="Q372" t="n">
        <v>0</v>
      </c>
      <c r="R372" s="2" t="inlineStr"/>
    </row>
    <row r="373" ht="15" customHeight="1">
      <c r="A373" t="inlineStr">
        <is>
          <t>A 23473-2025</t>
        </is>
      </c>
      <c r="B373" s="1" t="n">
        <v>45792</v>
      </c>
      <c r="C373" s="1" t="n">
        <v>45892</v>
      </c>
      <c r="D373" t="inlineStr">
        <is>
          <t>GOTLANDS LÄN</t>
        </is>
      </c>
      <c r="E373" t="inlineStr">
        <is>
          <t>GOTLAND</t>
        </is>
      </c>
      <c r="G373" t="n">
        <v>3.6</v>
      </c>
      <c r="H373" t="n">
        <v>0</v>
      </c>
      <c r="I373" t="n">
        <v>0</v>
      </c>
      <c r="J373" t="n">
        <v>0</v>
      </c>
      <c r="K373" t="n">
        <v>0</v>
      </c>
      <c r="L373" t="n">
        <v>0</v>
      </c>
      <c r="M373" t="n">
        <v>0</v>
      </c>
      <c r="N373" t="n">
        <v>0</v>
      </c>
      <c r="O373" t="n">
        <v>0</v>
      </c>
      <c r="P373" t="n">
        <v>0</v>
      </c>
      <c r="Q373" t="n">
        <v>0</v>
      </c>
      <c r="R373" s="2" t="inlineStr"/>
    </row>
    <row r="374" ht="15" customHeight="1">
      <c r="A374" t="inlineStr">
        <is>
          <t>A 34312-2024</t>
        </is>
      </c>
      <c r="B374" s="1" t="n">
        <v>45524.69703703704</v>
      </c>
      <c r="C374" s="1" t="n">
        <v>45892</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23698-2025</t>
        </is>
      </c>
      <c r="B375" s="1" t="n">
        <v>45793</v>
      </c>
      <c r="C375" s="1" t="n">
        <v>45892</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457-2023</t>
        </is>
      </c>
      <c r="B376" s="1" t="n">
        <v>44929.87238425926</v>
      </c>
      <c r="C376" s="1" t="n">
        <v>45892</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459-2023</t>
        </is>
      </c>
      <c r="B377" s="1" t="n">
        <v>44929.87423611111</v>
      </c>
      <c r="C377" s="1" t="n">
        <v>45892</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23700-2025</t>
        </is>
      </c>
      <c r="B378" s="1" t="n">
        <v>45793</v>
      </c>
      <c r="C378" s="1" t="n">
        <v>45892</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15073-2025</t>
        </is>
      </c>
      <c r="B379" s="1" t="n">
        <v>45743</v>
      </c>
      <c r="C379" s="1" t="n">
        <v>45892</v>
      </c>
      <c r="D379" t="inlineStr">
        <is>
          <t>GOTLANDS LÄN</t>
        </is>
      </c>
      <c r="E379" t="inlineStr">
        <is>
          <t>GOTLAND</t>
        </is>
      </c>
      <c r="G379" t="n">
        <v>12.1</v>
      </c>
      <c r="H379" t="n">
        <v>0</v>
      </c>
      <c r="I379" t="n">
        <v>0</v>
      </c>
      <c r="J379" t="n">
        <v>0</v>
      </c>
      <c r="K379" t="n">
        <v>0</v>
      </c>
      <c r="L379" t="n">
        <v>0</v>
      </c>
      <c r="M379" t="n">
        <v>0</v>
      </c>
      <c r="N379" t="n">
        <v>0</v>
      </c>
      <c r="O379" t="n">
        <v>0</v>
      </c>
      <c r="P379" t="n">
        <v>0</v>
      </c>
      <c r="Q379" t="n">
        <v>0</v>
      </c>
      <c r="R379" s="2" t="inlineStr"/>
    </row>
    <row r="380" ht="15" customHeight="1">
      <c r="A380" t="inlineStr">
        <is>
          <t>A 15075-2025</t>
        </is>
      </c>
      <c r="B380" s="1" t="n">
        <v>45743</v>
      </c>
      <c r="C380" s="1" t="n">
        <v>45892</v>
      </c>
      <c r="D380" t="inlineStr">
        <is>
          <t>GOTLANDS LÄN</t>
        </is>
      </c>
      <c r="E380" t="inlineStr">
        <is>
          <t>GOTLAND</t>
        </is>
      </c>
      <c r="G380" t="n">
        <v>20.9</v>
      </c>
      <c r="H380" t="n">
        <v>0</v>
      </c>
      <c r="I380" t="n">
        <v>0</v>
      </c>
      <c r="J380" t="n">
        <v>0</v>
      </c>
      <c r="K380" t="n">
        <v>0</v>
      </c>
      <c r="L380" t="n">
        <v>0</v>
      </c>
      <c r="M380" t="n">
        <v>0</v>
      </c>
      <c r="N380" t="n">
        <v>0</v>
      </c>
      <c r="O380" t="n">
        <v>0</v>
      </c>
      <c r="P380" t="n">
        <v>0</v>
      </c>
      <c r="Q380" t="n">
        <v>0</v>
      </c>
      <c r="R380" s="2" t="inlineStr"/>
    </row>
    <row r="381" ht="15" customHeight="1">
      <c r="A381" t="inlineStr">
        <is>
          <t>A 6796-2025</t>
        </is>
      </c>
      <c r="B381" s="1" t="n">
        <v>45700.66559027778</v>
      </c>
      <c r="C381" s="1" t="n">
        <v>45892</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876-2024</t>
        </is>
      </c>
      <c r="B382" s="1" t="n">
        <v>45301</v>
      </c>
      <c r="C382" s="1" t="n">
        <v>45892</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26891-2024</t>
        </is>
      </c>
      <c r="B383" s="1" t="n">
        <v>45470.65540509259</v>
      </c>
      <c r="C383" s="1" t="n">
        <v>45892</v>
      </c>
      <c r="D383" t="inlineStr">
        <is>
          <t>GOTLANDS LÄN</t>
        </is>
      </c>
      <c r="E383" t="inlineStr">
        <is>
          <t>GOTLAND</t>
        </is>
      </c>
      <c r="G383" t="n">
        <v>0.8</v>
      </c>
      <c r="H383" t="n">
        <v>0</v>
      </c>
      <c r="I383" t="n">
        <v>0</v>
      </c>
      <c r="J383" t="n">
        <v>0</v>
      </c>
      <c r="K383" t="n">
        <v>0</v>
      </c>
      <c r="L383" t="n">
        <v>0</v>
      </c>
      <c r="M383" t="n">
        <v>0</v>
      </c>
      <c r="N383" t="n">
        <v>0</v>
      </c>
      <c r="O383" t="n">
        <v>0</v>
      </c>
      <c r="P383" t="n">
        <v>0</v>
      </c>
      <c r="Q383" t="n">
        <v>0</v>
      </c>
      <c r="R383" s="2" t="inlineStr"/>
    </row>
    <row r="384" ht="15" customHeight="1">
      <c r="A384" t="inlineStr">
        <is>
          <t>A 48503-2023</t>
        </is>
      </c>
      <c r="B384" s="1" t="n">
        <v>45207</v>
      </c>
      <c r="C384" s="1" t="n">
        <v>45892</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14536-2021</t>
        </is>
      </c>
      <c r="B385" s="1" t="n">
        <v>44279.66168981481</v>
      </c>
      <c r="C385" s="1" t="n">
        <v>45892</v>
      </c>
      <c r="D385" t="inlineStr">
        <is>
          <t>GOTLANDS LÄN</t>
        </is>
      </c>
      <c r="E385" t="inlineStr">
        <is>
          <t>GOTLAND</t>
        </is>
      </c>
      <c r="G385" t="n">
        <v>8.5</v>
      </c>
      <c r="H385" t="n">
        <v>0</v>
      </c>
      <c r="I385" t="n">
        <v>0</v>
      </c>
      <c r="J385" t="n">
        <v>0</v>
      </c>
      <c r="K385" t="n">
        <v>0</v>
      </c>
      <c r="L385" t="n">
        <v>0</v>
      </c>
      <c r="M385" t="n">
        <v>0</v>
      </c>
      <c r="N385" t="n">
        <v>0</v>
      </c>
      <c r="O385" t="n">
        <v>0</v>
      </c>
      <c r="P385" t="n">
        <v>0</v>
      </c>
      <c r="Q385" t="n">
        <v>0</v>
      </c>
      <c r="R385" s="2" t="inlineStr"/>
    </row>
    <row r="386" ht="15" customHeight="1">
      <c r="A386" t="inlineStr">
        <is>
          <t>A 5923-2023</t>
        </is>
      </c>
      <c r="B386" s="1" t="n">
        <v>44963.69503472222</v>
      </c>
      <c r="C386" s="1" t="n">
        <v>45892</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50482-2024</t>
        </is>
      </c>
      <c r="B387" s="1" t="n">
        <v>45601.48114583334</v>
      </c>
      <c r="C387" s="1" t="n">
        <v>45892</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24825-2024</t>
        </is>
      </c>
      <c r="B388" s="1" t="n">
        <v>45461</v>
      </c>
      <c r="C388" s="1" t="n">
        <v>45892</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6749-2025</t>
        </is>
      </c>
      <c r="B389" s="1" t="n">
        <v>45700</v>
      </c>
      <c r="C389" s="1" t="n">
        <v>45892</v>
      </c>
      <c r="D389" t="inlineStr">
        <is>
          <t>GOTLANDS LÄN</t>
        </is>
      </c>
      <c r="E389" t="inlineStr">
        <is>
          <t>GOTLAND</t>
        </is>
      </c>
      <c r="G389" t="n">
        <v>4.5</v>
      </c>
      <c r="H389" t="n">
        <v>0</v>
      </c>
      <c r="I389" t="n">
        <v>0</v>
      </c>
      <c r="J389" t="n">
        <v>0</v>
      </c>
      <c r="K389" t="n">
        <v>0</v>
      </c>
      <c r="L389" t="n">
        <v>0</v>
      </c>
      <c r="M389" t="n">
        <v>0</v>
      </c>
      <c r="N389" t="n">
        <v>0</v>
      </c>
      <c r="O389" t="n">
        <v>0</v>
      </c>
      <c r="P389" t="n">
        <v>0</v>
      </c>
      <c r="Q389" t="n">
        <v>0</v>
      </c>
      <c r="R389" s="2" t="inlineStr"/>
    </row>
    <row r="390" ht="15" customHeight="1">
      <c r="A390" t="inlineStr">
        <is>
          <t>A 5943-2024</t>
        </is>
      </c>
      <c r="B390" s="1" t="n">
        <v>45336</v>
      </c>
      <c r="C390" s="1" t="n">
        <v>45892</v>
      </c>
      <c r="D390" t="inlineStr">
        <is>
          <t>GOTLANDS LÄN</t>
        </is>
      </c>
      <c r="E390" t="inlineStr">
        <is>
          <t>GOTLAND</t>
        </is>
      </c>
      <c r="G390" t="n">
        <v>4.3</v>
      </c>
      <c r="H390" t="n">
        <v>0</v>
      </c>
      <c r="I390" t="n">
        <v>0</v>
      </c>
      <c r="J390" t="n">
        <v>0</v>
      </c>
      <c r="K390" t="n">
        <v>0</v>
      </c>
      <c r="L390" t="n">
        <v>0</v>
      </c>
      <c r="M390" t="n">
        <v>0</v>
      </c>
      <c r="N390" t="n">
        <v>0</v>
      </c>
      <c r="O390" t="n">
        <v>0</v>
      </c>
      <c r="P390" t="n">
        <v>0</v>
      </c>
      <c r="Q390" t="n">
        <v>0</v>
      </c>
      <c r="R390" s="2" t="inlineStr"/>
    </row>
    <row r="391" ht="15" customHeight="1">
      <c r="A391" t="inlineStr">
        <is>
          <t>A 38234-2023</t>
        </is>
      </c>
      <c r="B391" s="1" t="n">
        <v>45161.56663194444</v>
      </c>
      <c r="C391" s="1" t="n">
        <v>45892</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1273-2023</t>
        </is>
      </c>
      <c r="B392" s="1" t="n">
        <v>44936</v>
      </c>
      <c r="C392" s="1" t="n">
        <v>45892</v>
      </c>
      <c r="D392" t="inlineStr">
        <is>
          <t>GOTLANDS LÄN</t>
        </is>
      </c>
      <c r="E392" t="inlineStr">
        <is>
          <t>GOTLAND</t>
        </is>
      </c>
      <c r="G392" t="n">
        <v>4.5</v>
      </c>
      <c r="H392" t="n">
        <v>0</v>
      </c>
      <c r="I392" t="n">
        <v>0</v>
      </c>
      <c r="J392" t="n">
        <v>0</v>
      </c>
      <c r="K392" t="n">
        <v>0</v>
      </c>
      <c r="L392" t="n">
        <v>0</v>
      </c>
      <c r="M392" t="n">
        <v>0</v>
      </c>
      <c r="N392" t="n">
        <v>0</v>
      </c>
      <c r="O392" t="n">
        <v>0</v>
      </c>
      <c r="P392" t="n">
        <v>0</v>
      </c>
      <c r="Q392" t="n">
        <v>0</v>
      </c>
      <c r="R392" s="2" t="inlineStr"/>
    </row>
    <row r="393" ht="15" customHeight="1">
      <c r="A393" t="inlineStr">
        <is>
          <t>A 22031-2024</t>
        </is>
      </c>
      <c r="B393" s="1" t="n">
        <v>45443.60075231481</v>
      </c>
      <c r="C393" s="1" t="n">
        <v>45892</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17688-2024</t>
        </is>
      </c>
      <c r="B394" s="1" t="n">
        <v>45418.43575231481</v>
      </c>
      <c r="C394" s="1" t="n">
        <v>45892</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5462-2025</t>
        </is>
      </c>
      <c r="B395" s="1" t="n">
        <v>45693.29331018519</v>
      </c>
      <c r="C395" s="1" t="n">
        <v>45892</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17724-2024</t>
        </is>
      </c>
      <c r="B396" s="1" t="n">
        <v>45418.55096064815</v>
      </c>
      <c r="C396" s="1" t="n">
        <v>45892</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27694-2024</t>
        </is>
      </c>
      <c r="B397" s="1" t="n">
        <v>45475</v>
      </c>
      <c r="C397" s="1" t="n">
        <v>45892</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23978-2023</t>
        </is>
      </c>
      <c r="B398" s="1" t="n">
        <v>45078</v>
      </c>
      <c r="C398" s="1" t="n">
        <v>45892</v>
      </c>
      <c r="D398" t="inlineStr">
        <is>
          <t>GOTLANDS LÄN</t>
        </is>
      </c>
      <c r="E398" t="inlineStr">
        <is>
          <t>GOTLAND</t>
        </is>
      </c>
      <c r="F398" t="inlineStr">
        <is>
          <t>Naturvårdsverket</t>
        </is>
      </c>
      <c r="G398" t="n">
        <v>1.7</v>
      </c>
      <c r="H398" t="n">
        <v>0</v>
      </c>
      <c r="I398" t="n">
        <v>0</v>
      </c>
      <c r="J398" t="n">
        <v>0</v>
      </c>
      <c r="K398" t="n">
        <v>0</v>
      </c>
      <c r="L398" t="n">
        <v>0</v>
      </c>
      <c r="M398" t="n">
        <v>0</v>
      </c>
      <c r="N398" t="n">
        <v>0</v>
      </c>
      <c r="O398" t="n">
        <v>0</v>
      </c>
      <c r="P398" t="n">
        <v>0</v>
      </c>
      <c r="Q398" t="n">
        <v>0</v>
      </c>
      <c r="R398" s="2" t="inlineStr"/>
    </row>
    <row r="399" ht="15" customHeight="1">
      <c r="A399" t="inlineStr">
        <is>
          <t>A 49884-2023</t>
        </is>
      </c>
      <c r="B399" s="1" t="n">
        <v>45213</v>
      </c>
      <c r="C399" s="1" t="n">
        <v>45892</v>
      </c>
      <c r="D399" t="inlineStr">
        <is>
          <t>GOTLANDS LÄN</t>
        </is>
      </c>
      <c r="E399" t="inlineStr">
        <is>
          <t>GOTLAND</t>
        </is>
      </c>
      <c r="G399" t="n">
        <v>8.9</v>
      </c>
      <c r="H399" t="n">
        <v>0</v>
      </c>
      <c r="I399" t="n">
        <v>0</v>
      </c>
      <c r="J399" t="n">
        <v>0</v>
      </c>
      <c r="K399" t="n">
        <v>0</v>
      </c>
      <c r="L399" t="n">
        <v>0</v>
      </c>
      <c r="M399" t="n">
        <v>0</v>
      </c>
      <c r="N399" t="n">
        <v>0</v>
      </c>
      <c r="O399" t="n">
        <v>0</v>
      </c>
      <c r="P399" t="n">
        <v>0</v>
      </c>
      <c r="Q399" t="n">
        <v>0</v>
      </c>
      <c r="R399" s="2" t="inlineStr"/>
    </row>
    <row r="400" ht="15" customHeight="1">
      <c r="A400" t="inlineStr">
        <is>
          <t>A 39764-2022</t>
        </is>
      </c>
      <c r="B400" s="1" t="n">
        <v>44819</v>
      </c>
      <c r="C400" s="1" t="n">
        <v>45892</v>
      </c>
      <c r="D400" t="inlineStr">
        <is>
          <t>GOTLANDS LÄN</t>
        </is>
      </c>
      <c r="E400" t="inlineStr">
        <is>
          <t>GOTLAND</t>
        </is>
      </c>
      <c r="F400" t="inlineStr">
        <is>
          <t>Kyrkan</t>
        </is>
      </c>
      <c r="G400" t="n">
        <v>3.7</v>
      </c>
      <c r="H400" t="n">
        <v>0</v>
      </c>
      <c r="I400" t="n">
        <v>0</v>
      </c>
      <c r="J400" t="n">
        <v>0</v>
      </c>
      <c r="K400" t="n">
        <v>0</v>
      </c>
      <c r="L400" t="n">
        <v>0</v>
      </c>
      <c r="M400" t="n">
        <v>0</v>
      </c>
      <c r="N400" t="n">
        <v>0</v>
      </c>
      <c r="O400" t="n">
        <v>0</v>
      </c>
      <c r="P400" t="n">
        <v>0</v>
      </c>
      <c r="Q400" t="n">
        <v>0</v>
      </c>
      <c r="R400" s="2" t="inlineStr"/>
    </row>
    <row r="401" ht="15" customHeight="1">
      <c r="A401" t="inlineStr">
        <is>
          <t>A 6099-2024</t>
        </is>
      </c>
      <c r="B401" s="1" t="n">
        <v>45337</v>
      </c>
      <c r="C401" s="1" t="n">
        <v>45892</v>
      </c>
      <c r="D401" t="inlineStr">
        <is>
          <t>GOTLANDS LÄN</t>
        </is>
      </c>
      <c r="E401" t="inlineStr">
        <is>
          <t>GOTLAND</t>
        </is>
      </c>
      <c r="G401" t="n">
        <v>12.6</v>
      </c>
      <c r="H401" t="n">
        <v>0</v>
      </c>
      <c r="I401" t="n">
        <v>0</v>
      </c>
      <c r="J401" t="n">
        <v>0</v>
      </c>
      <c r="K401" t="n">
        <v>0</v>
      </c>
      <c r="L401" t="n">
        <v>0</v>
      </c>
      <c r="M401" t="n">
        <v>0</v>
      </c>
      <c r="N401" t="n">
        <v>0</v>
      </c>
      <c r="O401" t="n">
        <v>0</v>
      </c>
      <c r="P401" t="n">
        <v>0</v>
      </c>
      <c r="Q401" t="n">
        <v>0</v>
      </c>
      <c r="R401" s="2" t="inlineStr"/>
    </row>
    <row r="402" ht="15" customHeight="1">
      <c r="A402" t="inlineStr">
        <is>
          <t>A 8260-2023</t>
        </is>
      </c>
      <c r="B402" s="1" t="n">
        <v>44974.61608796296</v>
      </c>
      <c r="C402" s="1" t="n">
        <v>45892</v>
      </c>
      <c r="D402" t="inlineStr">
        <is>
          <t>GOTLANDS LÄN</t>
        </is>
      </c>
      <c r="E402" t="inlineStr">
        <is>
          <t>GOTLAND</t>
        </is>
      </c>
      <c r="G402" t="n">
        <v>2.9</v>
      </c>
      <c r="H402" t="n">
        <v>0</v>
      </c>
      <c r="I402" t="n">
        <v>0</v>
      </c>
      <c r="J402" t="n">
        <v>0</v>
      </c>
      <c r="K402" t="n">
        <v>0</v>
      </c>
      <c r="L402" t="n">
        <v>0</v>
      </c>
      <c r="M402" t="n">
        <v>0</v>
      </c>
      <c r="N402" t="n">
        <v>0</v>
      </c>
      <c r="O402" t="n">
        <v>0</v>
      </c>
      <c r="P402" t="n">
        <v>0</v>
      </c>
      <c r="Q402" t="n">
        <v>0</v>
      </c>
      <c r="R402" s="2" t="inlineStr"/>
    </row>
    <row r="403" ht="15" customHeight="1">
      <c r="A403" t="inlineStr">
        <is>
          <t>A 22287-2022</t>
        </is>
      </c>
      <c r="B403" s="1" t="n">
        <v>44712</v>
      </c>
      <c r="C403" s="1" t="n">
        <v>45892</v>
      </c>
      <c r="D403" t="inlineStr">
        <is>
          <t>GOTLANDS LÄN</t>
        </is>
      </c>
      <c r="E403" t="inlineStr">
        <is>
          <t>GOTLAND</t>
        </is>
      </c>
      <c r="G403" t="n">
        <v>6.1</v>
      </c>
      <c r="H403" t="n">
        <v>0</v>
      </c>
      <c r="I403" t="n">
        <v>0</v>
      </c>
      <c r="J403" t="n">
        <v>0</v>
      </c>
      <c r="K403" t="n">
        <v>0</v>
      </c>
      <c r="L403" t="n">
        <v>0</v>
      </c>
      <c r="M403" t="n">
        <v>0</v>
      </c>
      <c r="N403" t="n">
        <v>0</v>
      </c>
      <c r="O403" t="n">
        <v>0</v>
      </c>
      <c r="P403" t="n">
        <v>0</v>
      </c>
      <c r="Q403" t="n">
        <v>0</v>
      </c>
      <c r="R403" s="2" t="inlineStr"/>
    </row>
    <row r="404" ht="15" customHeight="1">
      <c r="A404" t="inlineStr">
        <is>
          <t>A 12846-2025</t>
        </is>
      </c>
      <c r="B404" s="1" t="n">
        <v>45733.65049768519</v>
      </c>
      <c r="C404" s="1" t="n">
        <v>45892</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17343-2025</t>
        </is>
      </c>
      <c r="B405" s="1" t="n">
        <v>45756.6687037037</v>
      </c>
      <c r="C405" s="1" t="n">
        <v>45892</v>
      </c>
      <c r="D405" t="inlineStr">
        <is>
          <t>GOTLANDS LÄN</t>
        </is>
      </c>
      <c r="E405" t="inlineStr">
        <is>
          <t>GOTLAND</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57534-2022</t>
        </is>
      </c>
      <c r="B406" s="1" t="n">
        <v>44896</v>
      </c>
      <c r="C406" s="1" t="n">
        <v>45892</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43200-2023</t>
        </is>
      </c>
      <c r="B407" s="1" t="n">
        <v>45183</v>
      </c>
      <c r="C407" s="1" t="n">
        <v>45892</v>
      </c>
      <c r="D407" t="inlineStr">
        <is>
          <t>GOTLANDS LÄN</t>
        </is>
      </c>
      <c r="E407" t="inlineStr">
        <is>
          <t>GOTLAND</t>
        </is>
      </c>
      <c r="G407" t="n">
        <v>0.5</v>
      </c>
      <c r="H407" t="n">
        <v>0</v>
      </c>
      <c r="I407" t="n">
        <v>0</v>
      </c>
      <c r="J407" t="n">
        <v>0</v>
      </c>
      <c r="K407" t="n">
        <v>0</v>
      </c>
      <c r="L407" t="n">
        <v>0</v>
      </c>
      <c r="M407" t="n">
        <v>0</v>
      </c>
      <c r="N407" t="n">
        <v>0</v>
      </c>
      <c r="O407" t="n">
        <v>0</v>
      </c>
      <c r="P407" t="n">
        <v>0</v>
      </c>
      <c r="Q407" t="n">
        <v>0</v>
      </c>
      <c r="R407" s="2" t="inlineStr"/>
    </row>
    <row r="408" ht="15" customHeight="1">
      <c r="A408" t="inlineStr">
        <is>
          <t>A 1477-2024</t>
        </is>
      </c>
      <c r="B408" s="1" t="n">
        <v>45305.37987268518</v>
      </c>
      <c r="C408" s="1" t="n">
        <v>45892</v>
      </c>
      <c r="D408" t="inlineStr">
        <is>
          <t>GOTLANDS LÄN</t>
        </is>
      </c>
      <c r="E408" t="inlineStr">
        <is>
          <t>GOTLAND</t>
        </is>
      </c>
      <c r="G408" t="n">
        <v>6.9</v>
      </c>
      <c r="H408" t="n">
        <v>0</v>
      </c>
      <c r="I408" t="n">
        <v>0</v>
      </c>
      <c r="J408" t="n">
        <v>0</v>
      </c>
      <c r="K408" t="n">
        <v>0</v>
      </c>
      <c r="L408" t="n">
        <v>0</v>
      </c>
      <c r="M408" t="n">
        <v>0</v>
      </c>
      <c r="N408" t="n">
        <v>0</v>
      </c>
      <c r="O408" t="n">
        <v>0</v>
      </c>
      <c r="P408" t="n">
        <v>0</v>
      </c>
      <c r="Q408" t="n">
        <v>0</v>
      </c>
      <c r="R408" s="2" t="inlineStr"/>
    </row>
    <row r="409" ht="15" customHeight="1">
      <c r="A409" t="inlineStr">
        <is>
          <t>A 3935-2025</t>
        </is>
      </c>
      <c r="B409" s="1" t="n">
        <v>45684.46070601852</v>
      </c>
      <c r="C409" s="1" t="n">
        <v>45892</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25678-2025</t>
        </is>
      </c>
      <c r="B410" s="1" t="n">
        <v>45803.64118055555</v>
      </c>
      <c r="C410" s="1" t="n">
        <v>45892</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21792-2024</t>
        </is>
      </c>
      <c r="B411" s="1" t="n">
        <v>45442.64326388889</v>
      </c>
      <c r="C411" s="1" t="n">
        <v>45892</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25796-2025</t>
        </is>
      </c>
      <c r="B412" s="1" t="n">
        <v>45804.39543981481</v>
      </c>
      <c r="C412" s="1" t="n">
        <v>45892</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64660-2023</t>
        </is>
      </c>
      <c r="B413" s="1" t="n">
        <v>45281.60122685185</v>
      </c>
      <c r="C413" s="1" t="n">
        <v>45892</v>
      </c>
      <c r="D413" t="inlineStr">
        <is>
          <t>GOTLANDS LÄN</t>
        </is>
      </c>
      <c r="E413" t="inlineStr">
        <is>
          <t>GOTLAND</t>
        </is>
      </c>
      <c r="G413" t="n">
        <v>6.3</v>
      </c>
      <c r="H413" t="n">
        <v>0</v>
      </c>
      <c r="I413" t="n">
        <v>0</v>
      </c>
      <c r="J413" t="n">
        <v>0</v>
      </c>
      <c r="K413" t="n">
        <v>0</v>
      </c>
      <c r="L413" t="n">
        <v>0</v>
      </c>
      <c r="M413" t="n">
        <v>0</v>
      </c>
      <c r="N413" t="n">
        <v>0</v>
      </c>
      <c r="O413" t="n">
        <v>0</v>
      </c>
      <c r="P413" t="n">
        <v>0</v>
      </c>
      <c r="Q413" t="n">
        <v>0</v>
      </c>
      <c r="R413" s="2" t="inlineStr"/>
    </row>
    <row r="414" ht="15" customHeight="1">
      <c r="A414" t="inlineStr">
        <is>
          <t>A 48843-2024</t>
        </is>
      </c>
      <c r="B414" s="1" t="n">
        <v>45593</v>
      </c>
      <c r="C414" s="1" t="n">
        <v>45892</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10158-2025</t>
        </is>
      </c>
      <c r="B415" s="1" t="n">
        <v>45719</v>
      </c>
      <c r="C415" s="1" t="n">
        <v>45892</v>
      </c>
      <c r="D415" t="inlineStr">
        <is>
          <t>GOTLANDS LÄN</t>
        </is>
      </c>
      <c r="E415" t="inlineStr">
        <is>
          <t>GOTLAND</t>
        </is>
      </c>
      <c r="G415" t="n">
        <v>3.5</v>
      </c>
      <c r="H415" t="n">
        <v>0</v>
      </c>
      <c r="I415" t="n">
        <v>0</v>
      </c>
      <c r="J415" t="n">
        <v>0</v>
      </c>
      <c r="K415" t="n">
        <v>0</v>
      </c>
      <c r="L415" t="n">
        <v>0</v>
      </c>
      <c r="M415" t="n">
        <v>0</v>
      </c>
      <c r="N415" t="n">
        <v>0</v>
      </c>
      <c r="O415" t="n">
        <v>0</v>
      </c>
      <c r="P415" t="n">
        <v>0</v>
      </c>
      <c r="Q415" t="n">
        <v>0</v>
      </c>
      <c r="R415" s="2" t="inlineStr"/>
    </row>
    <row r="416" ht="15" customHeight="1">
      <c r="A416" t="inlineStr">
        <is>
          <t>A 26391-2025</t>
        </is>
      </c>
      <c r="B416" s="1" t="n">
        <v>45806</v>
      </c>
      <c r="C416" s="1" t="n">
        <v>45892</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26465-2025</t>
        </is>
      </c>
      <c r="B417" s="1" t="n">
        <v>45807.44377314814</v>
      </c>
      <c r="C417" s="1" t="n">
        <v>45892</v>
      </c>
      <c r="D417" t="inlineStr">
        <is>
          <t>GOTLANDS LÄN</t>
        </is>
      </c>
      <c r="E417" t="inlineStr">
        <is>
          <t>GOTLAND</t>
        </is>
      </c>
      <c r="G417" t="n">
        <v>4.5</v>
      </c>
      <c r="H417" t="n">
        <v>0</v>
      </c>
      <c r="I417" t="n">
        <v>0</v>
      </c>
      <c r="J417" t="n">
        <v>0</v>
      </c>
      <c r="K417" t="n">
        <v>0</v>
      </c>
      <c r="L417" t="n">
        <v>0</v>
      </c>
      <c r="M417" t="n">
        <v>0</v>
      </c>
      <c r="N417" t="n">
        <v>0</v>
      </c>
      <c r="O417" t="n">
        <v>0</v>
      </c>
      <c r="P417" t="n">
        <v>0</v>
      </c>
      <c r="Q417" t="n">
        <v>0</v>
      </c>
      <c r="R417" s="2" t="inlineStr"/>
    </row>
    <row r="418" ht="15" customHeight="1">
      <c r="A418" t="inlineStr">
        <is>
          <t>A 10653-2023</t>
        </is>
      </c>
      <c r="B418" s="1" t="n">
        <v>44988.48859953704</v>
      </c>
      <c r="C418" s="1" t="n">
        <v>45892</v>
      </c>
      <c r="D418" t="inlineStr">
        <is>
          <t>GOTLANDS LÄN</t>
        </is>
      </c>
      <c r="E418" t="inlineStr">
        <is>
          <t>GOTLAND</t>
        </is>
      </c>
      <c r="F418" t="inlineStr">
        <is>
          <t>Kyrkan</t>
        </is>
      </c>
      <c r="G418" t="n">
        <v>3</v>
      </c>
      <c r="H418" t="n">
        <v>0</v>
      </c>
      <c r="I418" t="n">
        <v>0</v>
      </c>
      <c r="J418" t="n">
        <v>0</v>
      </c>
      <c r="K418" t="n">
        <v>0</v>
      </c>
      <c r="L418" t="n">
        <v>0</v>
      </c>
      <c r="M418" t="n">
        <v>0</v>
      </c>
      <c r="N418" t="n">
        <v>0</v>
      </c>
      <c r="O418" t="n">
        <v>0</v>
      </c>
      <c r="P418" t="n">
        <v>0</v>
      </c>
      <c r="Q418" t="n">
        <v>0</v>
      </c>
      <c r="R418" s="2" t="inlineStr"/>
    </row>
    <row r="419" ht="15" customHeight="1">
      <c r="A419" t="inlineStr">
        <is>
          <t>A 26457-2025</t>
        </is>
      </c>
      <c r="B419" s="1" t="n">
        <v>45807.42773148148</v>
      </c>
      <c r="C419" s="1" t="n">
        <v>45892</v>
      </c>
      <c r="D419" t="inlineStr">
        <is>
          <t>GOTLANDS LÄN</t>
        </is>
      </c>
      <c r="E419" t="inlineStr">
        <is>
          <t>GOTLAND</t>
        </is>
      </c>
      <c r="G419" t="n">
        <v>5.7</v>
      </c>
      <c r="H419" t="n">
        <v>0</v>
      </c>
      <c r="I419" t="n">
        <v>0</v>
      </c>
      <c r="J419" t="n">
        <v>0</v>
      </c>
      <c r="K419" t="n">
        <v>0</v>
      </c>
      <c r="L419" t="n">
        <v>0</v>
      </c>
      <c r="M419" t="n">
        <v>0</v>
      </c>
      <c r="N419" t="n">
        <v>0</v>
      </c>
      <c r="O419" t="n">
        <v>0</v>
      </c>
      <c r="P419" t="n">
        <v>0</v>
      </c>
      <c r="Q419" t="n">
        <v>0</v>
      </c>
      <c r="R419" s="2" t="inlineStr"/>
    </row>
    <row r="420" ht="15" customHeight="1">
      <c r="A420" t="inlineStr">
        <is>
          <t>A 26467-2025</t>
        </is>
      </c>
      <c r="B420" s="1" t="n">
        <v>45807.44640046296</v>
      </c>
      <c r="C420" s="1" t="n">
        <v>45892</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32669-2024</t>
        </is>
      </c>
      <c r="B421" s="1" t="n">
        <v>45514</v>
      </c>
      <c r="C421" s="1" t="n">
        <v>45892</v>
      </c>
      <c r="D421" t="inlineStr">
        <is>
          <t>GOTLANDS LÄN</t>
        </is>
      </c>
      <c r="E421" t="inlineStr">
        <is>
          <t>GOTLAND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35123-2025</t>
        </is>
      </c>
      <c r="B422" s="1" t="n">
        <v>45852.614375</v>
      </c>
      <c r="C422" s="1" t="n">
        <v>45892</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35129-2025</t>
        </is>
      </c>
      <c r="B423" s="1" t="n">
        <v>45852.63224537037</v>
      </c>
      <c r="C423" s="1" t="n">
        <v>45892</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35133-2025</t>
        </is>
      </c>
      <c r="B424" s="1" t="n">
        <v>45852.6363425926</v>
      </c>
      <c r="C424" s="1" t="n">
        <v>45892</v>
      </c>
      <c r="D424" t="inlineStr">
        <is>
          <t>GOTLANDS LÄN</t>
        </is>
      </c>
      <c r="E424" t="inlineStr">
        <is>
          <t>GOTLAND</t>
        </is>
      </c>
      <c r="G424" t="n">
        <v>1.9</v>
      </c>
      <c r="H424" t="n">
        <v>0</v>
      </c>
      <c r="I424" t="n">
        <v>0</v>
      </c>
      <c r="J424" t="n">
        <v>0</v>
      </c>
      <c r="K424" t="n">
        <v>0</v>
      </c>
      <c r="L424" t="n">
        <v>0</v>
      </c>
      <c r="M424" t="n">
        <v>0</v>
      </c>
      <c r="N424" t="n">
        <v>0</v>
      </c>
      <c r="O424" t="n">
        <v>0</v>
      </c>
      <c r="P424" t="n">
        <v>0</v>
      </c>
      <c r="Q424" t="n">
        <v>0</v>
      </c>
      <c r="R424" s="2" t="inlineStr"/>
    </row>
    <row r="425" ht="15" customHeight="1">
      <c r="A425" t="inlineStr">
        <is>
          <t>A 35512-2023</t>
        </is>
      </c>
      <c r="B425" s="1" t="n">
        <v>45147.25623842593</v>
      </c>
      <c r="C425" s="1" t="n">
        <v>45892</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35096-2025</t>
        </is>
      </c>
      <c r="B426" s="1" t="n">
        <v>45852.54356481481</v>
      </c>
      <c r="C426" s="1" t="n">
        <v>45892</v>
      </c>
      <c r="D426" t="inlineStr">
        <is>
          <t>GOTLANDS LÄN</t>
        </is>
      </c>
      <c r="E426" t="inlineStr">
        <is>
          <t>GOTLAND</t>
        </is>
      </c>
      <c r="F426" t="inlineStr">
        <is>
          <t>Kyrkan</t>
        </is>
      </c>
      <c r="G426" t="n">
        <v>1</v>
      </c>
      <c r="H426" t="n">
        <v>0</v>
      </c>
      <c r="I426" t="n">
        <v>0</v>
      </c>
      <c r="J426" t="n">
        <v>0</v>
      </c>
      <c r="K426" t="n">
        <v>0</v>
      </c>
      <c r="L426" t="n">
        <v>0</v>
      </c>
      <c r="M426" t="n">
        <v>0</v>
      </c>
      <c r="N426" t="n">
        <v>0</v>
      </c>
      <c r="O426" t="n">
        <v>0</v>
      </c>
      <c r="P426" t="n">
        <v>0</v>
      </c>
      <c r="Q426" t="n">
        <v>0</v>
      </c>
      <c r="R426" s="2" t="inlineStr"/>
    </row>
    <row r="427" ht="15" customHeight="1">
      <c r="A427" t="inlineStr">
        <is>
          <t>A 35141-2025</t>
        </is>
      </c>
      <c r="B427" s="1" t="n">
        <v>45852.65206018519</v>
      </c>
      <c r="C427" s="1" t="n">
        <v>45892</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11874-2024</t>
        </is>
      </c>
      <c r="B428" s="1" t="n">
        <v>45376.46956018519</v>
      </c>
      <c r="C428" s="1" t="n">
        <v>45892</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20855-2023</t>
        </is>
      </c>
      <c r="B429" s="1" t="n">
        <v>45058.82172453704</v>
      </c>
      <c r="C429" s="1" t="n">
        <v>45892</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35142-2025</t>
        </is>
      </c>
      <c r="B430" s="1" t="n">
        <v>45852.65532407408</v>
      </c>
      <c r="C430" s="1" t="n">
        <v>45892</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60709-2023</t>
        </is>
      </c>
      <c r="B431" s="1" t="n">
        <v>45260</v>
      </c>
      <c r="C431" s="1" t="n">
        <v>45892</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26660-2025</t>
        </is>
      </c>
      <c r="B432" s="1" t="n">
        <v>45810.39737268518</v>
      </c>
      <c r="C432" s="1" t="n">
        <v>45892</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1000-2024</t>
        </is>
      </c>
      <c r="B433" s="1" t="n">
        <v>45301.63371527778</v>
      </c>
      <c r="C433" s="1" t="n">
        <v>45892</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1010-2024</t>
        </is>
      </c>
      <c r="B434" s="1" t="n">
        <v>45301</v>
      </c>
      <c r="C434" s="1" t="n">
        <v>45892</v>
      </c>
      <c r="D434" t="inlineStr">
        <is>
          <t>GOTLANDS LÄN</t>
        </is>
      </c>
      <c r="E434" t="inlineStr">
        <is>
          <t>GOTLAND</t>
        </is>
      </c>
      <c r="G434" t="n">
        <v>2.4</v>
      </c>
      <c r="H434" t="n">
        <v>0</v>
      </c>
      <c r="I434" t="n">
        <v>0</v>
      </c>
      <c r="J434" t="n">
        <v>0</v>
      </c>
      <c r="K434" t="n">
        <v>0</v>
      </c>
      <c r="L434" t="n">
        <v>0</v>
      </c>
      <c r="M434" t="n">
        <v>0</v>
      </c>
      <c r="N434" t="n">
        <v>0</v>
      </c>
      <c r="O434" t="n">
        <v>0</v>
      </c>
      <c r="P434" t="n">
        <v>0</v>
      </c>
      <c r="Q434" t="n">
        <v>0</v>
      </c>
      <c r="R434" s="2" t="inlineStr"/>
    </row>
    <row r="435" ht="15" customHeight="1">
      <c r="A435" t="inlineStr">
        <is>
          <t>A 65249-2023</t>
        </is>
      </c>
      <c r="B435" s="1" t="n">
        <v>45290</v>
      </c>
      <c r="C435" s="1" t="n">
        <v>45892</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30956-2024</t>
        </is>
      </c>
      <c r="B436" s="1" t="n">
        <v>45499.42527777778</v>
      </c>
      <c r="C436" s="1" t="n">
        <v>45892</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20225-2025</t>
        </is>
      </c>
      <c r="B437" s="1" t="n">
        <v>45772.65802083333</v>
      </c>
      <c r="C437" s="1" t="n">
        <v>45892</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12596-2023</t>
        </is>
      </c>
      <c r="B438" s="1" t="n">
        <v>45000.43310185185</v>
      </c>
      <c r="C438" s="1" t="n">
        <v>45892</v>
      </c>
      <c r="D438" t="inlineStr">
        <is>
          <t>GOTLANDS LÄN</t>
        </is>
      </c>
      <c r="E438" t="inlineStr">
        <is>
          <t>GOTLAND</t>
        </is>
      </c>
      <c r="G438" t="n">
        <v>4.1</v>
      </c>
      <c r="H438" t="n">
        <v>0</v>
      </c>
      <c r="I438" t="n">
        <v>0</v>
      </c>
      <c r="J438" t="n">
        <v>0</v>
      </c>
      <c r="K438" t="n">
        <v>0</v>
      </c>
      <c r="L438" t="n">
        <v>0</v>
      </c>
      <c r="M438" t="n">
        <v>0</v>
      </c>
      <c r="N438" t="n">
        <v>0</v>
      </c>
      <c r="O438" t="n">
        <v>0</v>
      </c>
      <c r="P438" t="n">
        <v>0</v>
      </c>
      <c r="Q438" t="n">
        <v>0</v>
      </c>
      <c r="R438" s="2" t="inlineStr"/>
    </row>
    <row r="439" ht="15" customHeight="1">
      <c r="A439" t="inlineStr">
        <is>
          <t>A 1677-2023</t>
        </is>
      </c>
      <c r="B439" s="1" t="n">
        <v>44938</v>
      </c>
      <c r="C439" s="1" t="n">
        <v>45892</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8045-2022</t>
        </is>
      </c>
      <c r="B440" s="1" t="n">
        <v>44609</v>
      </c>
      <c r="C440" s="1" t="n">
        <v>45892</v>
      </c>
      <c r="D440" t="inlineStr">
        <is>
          <t>GOTLANDS LÄN</t>
        </is>
      </c>
      <c r="E440" t="inlineStr">
        <is>
          <t>GOTLAND</t>
        </is>
      </c>
      <c r="G440" t="n">
        <v>7</v>
      </c>
      <c r="H440" t="n">
        <v>0</v>
      </c>
      <c r="I440" t="n">
        <v>0</v>
      </c>
      <c r="J440" t="n">
        <v>0</v>
      </c>
      <c r="K440" t="n">
        <v>0</v>
      </c>
      <c r="L440" t="n">
        <v>0</v>
      </c>
      <c r="M440" t="n">
        <v>0</v>
      </c>
      <c r="N440" t="n">
        <v>0</v>
      </c>
      <c r="O440" t="n">
        <v>0</v>
      </c>
      <c r="P440" t="n">
        <v>0</v>
      </c>
      <c r="Q440" t="n">
        <v>0</v>
      </c>
      <c r="R440" s="2" t="inlineStr"/>
    </row>
    <row r="441" ht="15" customHeight="1">
      <c r="A441" t="inlineStr">
        <is>
          <t>A 64831-2023</t>
        </is>
      </c>
      <c r="B441" s="1" t="n">
        <v>45282.44924768519</v>
      </c>
      <c r="C441" s="1" t="n">
        <v>45892</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8036-2022</t>
        </is>
      </c>
      <c r="B442" s="1" t="n">
        <v>44609.44362268518</v>
      </c>
      <c r="C442" s="1" t="n">
        <v>45892</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27355-2025</t>
        </is>
      </c>
      <c r="B443" s="1" t="n">
        <v>45812</v>
      </c>
      <c r="C443" s="1" t="n">
        <v>45892</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46375-2024</t>
        </is>
      </c>
      <c r="B444" s="1" t="n">
        <v>45582</v>
      </c>
      <c r="C444" s="1" t="n">
        <v>45892</v>
      </c>
      <c r="D444" t="inlineStr">
        <is>
          <t>GOTLANDS LÄN</t>
        </is>
      </c>
      <c r="E444" t="inlineStr">
        <is>
          <t>GOTLAND</t>
        </is>
      </c>
      <c r="G444" t="n">
        <v>3</v>
      </c>
      <c r="H444" t="n">
        <v>0</v>
      </c>
      <c r="I444" t="n">
        <v>0</v>
      </c>
      <c r="J444" t="n">
        <v>0</v>
      </c>
      <c r="K444" t="n">
        <v>0</v>
      </c>
      <c r="L444" t="n">
        <v>0</v>
      </c>
      <c r="M444" t="n">
        <v>0</v>
      </c>
      <c r="N444" t="n">
        <v>0</v>
      </c>
      <c r="O444" t="n">
        <v>0</v>
      </c>
      <c r="P444" t="n">
        <v>0</v>
      </c>
      <c r="Q444" t="n">
        <v>0</v>
      </c>
      <c r="R444" s="2" t="inlineStr"/>
    </row>
    <row r="445" ht="15" customHeight="1">
      <c r="A445" t="inlineStr">
        <is>
          <t>A 27348-2025</t>
        </is>
      </c>
      <c r="B445" s="1" t="n">
        <v>45812.62451388889</v>
      </c>
      <c r="C445" s="1" t="n">
        <v>45892</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27371-2025</t>
        </is>
      </c>
      <c r="B446" s="1" t="n">
        <v>45812</v>
      </c>
      <c r="C446" s="1" t="n">
        <v>45892</v>
      </c>
      <c r="D446" t="inlineStr">
        <is>
          <t>GOTLANDS LÄN</t>
        </is>
      </c>
      <c r="E446" t="inlineStr">
        <is>
          <t>GOTLAND</t>
        </is>
      </c>
      <c r="G446" t="n">
        <v>8</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45892</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999-2024</t>
        </is>
      </c>
      <c r="B448" s="1" t="n">
        <v>45301</v>
      </c>
      <c r="C448" s="1" t="n">
        <v>45892</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65901-2021</t>
        </is>
      </c>
      <c r="B449" s="1" t="n">
        <v>44516</v>
      </c>
      <c r="C449" s="1" t="n">
        <v>45892</v>
      </c>
      <c r="D449" t="inlineStr">
        <is>
          <t>GOTLANDS LÄN</t>
        </is>
      </c>
      <c r="E449" t="inlineStr">
        <is>
          <t>GOTLAND</t>
        </is>
      </c>
      <c r="G449" t="n">
        <v>4.9</v>
      </c>
      <c r="H449" t="n">
        <v>0</v>
      </c>
      <c r="I449" t="n">
        <v>0</v>
      </c>
      <c r="J449" t="n">
        <v>0</v>
      </c>
      <c r="K449" t="n">
        <v>0</v>
      </c>
      <c r="L449" t="n">
        <v>0</v>
      </c>
      <c r="M449" t="n">
        <v>0</v>
      </c>
      <c r="N449" t="n">
        <v>0</v>
      </c>
      <c r="O449" t="n">
        <v>0</v>
      </c>
      <c r="P449" t="n">
        <v>0</v>
      </c>
      <c r="Q449" t="n">
        <v>0</v>
      </c>
      <c r="R449" s="2" t="inlineStr"/>
    </row>
    <row r="450" ht="15" customHeight="1">
      <c r="A450" t="inlineStr">
        <is>
          <t>A 47762-2023</t>
        </is>
      </c>
      <c r="B450" s="1" t="n">
        <v>45203.86256944444</v>
      </c>
      <c r="C450" s="1" t="n">
        <v>45892</v>
      </c>
      <c r="D450" t="inlineStr">
        <is>
          <t>GOTLANDS LÄN</t>
        </is>
      </c>
      <c r="E450" t="inlineStr">
        <is>
          <t>GOTLAND</t>
        </is>
      </c>
      <c r="G450" t="n">
        <v>1.3</v>
      </c>
      <c r="H450" t="n">
        <v>0</v>
      </c>
      <c r="I450" t="n">
        <v>0</v>
      </c>
      <c r="J450" t="n">
        <v>0</v>
      </c>
      <c r="K450" t="n">
        <v>0</v>
      </c>
      <c r="L450" t="n">
        <v>0</v>
      </c>
      <c r="M450" t="n">
        <v>0</v>
      </c>
      <c r="N450" t="n">
        <v>0</v>
      </c>
      <c r="O450" t="n">
        <v>0</v>
      </c>
      <c r="P450" t="n">
        <v>0</v>
      </c>
      <c r="Q450" t="n">
        <v>0</v>
      </c>
      <c r="R450" s="2" t="inlineStr"/>
    </row>
    <row r="451" ht="15" customHeight="1">
      <c r="A451" t="inlineStr">
        <is>
          <t>A 7638-2025</t>
        </is>
      </c>
      <c r="B451" s="1" t="n">
        <v>45705.77306712963</v>
      </c>
      <c r="C451" s="1" t="n">
        <v>45892</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35290-2025</t>
        </is>
      </c>
      <c r="B452" s="1" t="n">
        <v>45854.38502314815</v>
      </c>
      <c r="C452" s="1" t="n">
        <v>45892</v>
      </c>
      <c r="D452" t="inlineStr">
        <is>
          <t>GOTLANDS LÄN</t>
        </is>
      </c>
      <c r="E452" t="inlineStr">
        <is>
          <t>GOTLAND</t>
        </is>
      </c>
      <c r="G452" t="n">
        <v>5.4</v>
      </c>
      <c r="H452" t="n">
        <v>0</v>
      </c>
      <c r="I452" t="n">
        <v>0</v>
      </c>
      <c r="J452" t="n">
        <v>0</v>
      </c>
      <c r="K452" t="n">
        <v>0</v>
      </c>
      <c r="L452" t="n">
        <v>0</v>
      </c>
      <c r="M452" t="n">
        <v>0</v>
      </c>
      <c r="N452" t="n">
        <v>0</v>
      </c>
      <c r="O452" t="n">
        <v>0</v>
      </c>
      <c r="P452" t="n">
        <v>0</v>
      </c>
      <c r="Q452" t="n">
        <v>0</v>
      </c>
      <c r="R452" s="2" t="inlineStr"/>
    </row>
    <row r="453" ht="15" customHeight="1">
      <c r="A453" t="inlineStr">
        <is>
          <t>A 40294-2022</t>
        </is>
      </c>
      <c r="B453" s="1" t="n">
        <v>44821</v>
      </c>
      <c r="C453" s="1" t="n">
        <v>45892</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27602-2023</t>
        </is>
      </c>
      <c r="B454" s="1" t="n">
        <v>45097</v>
      </c>
      <c r="C454" s="1" t="n">
        <v>45892</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4377-2023</t>
        </is>
      </c>
      <c r="B455" s="1" t="n">
        <v>44955.5502662037</v>
      </c>
      <c r="C455" s="1" t="n">
        <v>45892</v>
      </c>
      <c r="D455" t="inlineStr">
        <is>
          <t>GOTLANDS LÄN</t>
        </is>
      </c>
      <c r="E455" t="inlineStr">
        <is>
          <t>GOTLAND</t>
        </is>
      </c>
      <c r="F455" t="inlineStr">
        <is>
          <t>Kyrkan</t>
        </is>
      </c>
      <c r="G455" t="n">
        <v>0.6</v>
      </c>
      <c r="H455" t="n">
        <v>0</v>
      </c>
      <c r="I455" t="n">
        <v>0</v>
      </c>
      <c r="J455" t="n">
        <v>0</v>
      </c>
      <c r="K455" t="n">
        <v>0</v>
      </c>
      <c r="L455" t="n">
        <v>0</v>
      </c>
      <c r="M455" t="n">
        <v>0</v>
      </c>
      <c r="N455" t="n">
        <v>0</v>
      </c>
      <c r="O455" t="n">
        <v>0</v>
      </c>
      <c r="P455" t="n">
        <v>0</v>
      </c>
      <c r="Q455" t="n">
        <v>0</v>
      </c>
      <c r="R455" s="2" t="inlineStr"/>
    </row>
    <row r="456" ht="15" customHeight="1">
      <c r="A456" t="inlineStr">
        <is>
          <t>A 58780-2024</t>
        </is>
      </c>
      <c r="B456" s="1" t="n">
        <v>45635.84113425926</v>
      </c>
      <c r="C456" s="1" t="n">
        <v>45892</v>
      </c>
      <c r="D456" t="inlineStr">
        <is>
          <t>GOTLANDS LÄN</t>
        </is>
      </c>
      <c r="E456" t="inlineStr">
        <is>
          <t>GOTLAND</t>
        </is>
      </c>
      <c r="G456" t="n">
        <v>2.6</v>
      </c>
      <c r="H456" t="n">
        <v>0</v>
      </c>
      <c r="I456" t="n">
        <v>0</v>
      </c>
      <c r="J456" t="n">
        <v>0</v>
      </c>
      <c r="K456" t="n">
        <v>0</v>
      </c>
      <c r="L456" t="n">
        <v>0</v>
      </c>
      <c r="M456" t="n">
        <v>0</v>
      </c>
      <c r="N456" t="n">
        <v>0</v>
      </c>
      <c r="O456" t="n">
        <v>0</v>
      </c>
      <c r="P456" t="n">
        <v>0</v>
      </c>
      <c r="Q456" t="n">
        <v>0</v>
      </c>
      <c r="R456" s="2" t="inlineStr"/>
    </row>
    <row r="457" ht="15" customHeight="1">
      <c r="A457" t="inlineStr">
        <is>
          <t>A 12322-2025</t>
        </is>
      </c>
      <c r="B457" s="1" t="n">
        <v>45730</v>
      </c>
      <c r="C457" s="1" t="n">
        <v>45892</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35537-2025</t>
        </is>
      </c>
      <c r="B458" s="1" t="n">
        <v>45856</v>
      </c>
      <c r="C458" s="1" t="n">
        <v>45892</v>
      </c>
      <c r="D458" t="inlineStr">
        <is>
          <t>GOTLANDS LÄN</t>
        </is>
      </c>
      <c r="E458" t="inlineStr">
        <is>
          <t>GOTLAND</t>
        </is>
      </c>
      <c r="G458" t="n">
        <v>16.8</v>
      </c>
      <c r="H458" t="n">
        <v>0</v>
      </c>
      <c r="I458" t="n">
        <v>0</v>
      </c>
      <c r="J458" t="n">
        <v>0</v>
      </c>
      <c r="K458" t="n">
        <v>0</v>
      </c>
      <c r="L458" t="n">
        <v>0</v>
      </c>
      <c r="M458" t="n">
        <v>0</v>
      </c>
      <c r="N458" t="n">
        <v>0</v>
      </c>
      <c r="O458" t="n">
        <v>0</v>
      </c>
      <c r="P458" t="n">
        <v>0</v>
      </c>
      <c r="Q458" t="n">
        <v>0</v>
      </c>
      <c r="R458" s="2" t="inlineStr"/>
    </row>
    <row r="459" ht="15" customHeight="1">
      <c r="A459" t="inlineStr">
        <is>
          <t>A 35550-2025</t>
        </is>
      </c>
      <c r="B459" s="1" t="n">
        <v>45856.49324074074</v>
      </c>
      <c r="C459" s="1" t="n">
        <v>45892</v>
      </c>
      <c r="D459" t="inlineStr">
        <is>
          <t>GOTLANDS LÄN</t>
        </is>
      </c>
      <c r="E459" t="inlineStr">
        <is>
          <t>GOTLAND</t>
        </is>
      </c>
      <c r="G459" t="n">
        <v>3.2</v>
      </c>
      <c r="H459" t="n">
        <v>0</v>
      </c>
      <c r="I459" t="n">
        <v>0</v>
      </c>
      <c r="J459" t="n">
        <v>0</v>
      </c>
      <c r="K459" t="n">
        <v>0</v>
      </c>
      <c r="L459" t="n">
        <v>0</v>
      </c>
      <c r="M459" t="n">
        <v>0</v>
      </c>
      <c r="N459" t="n">
        <v>0</v>
      </c>
      <c r="O459" t="n">
        <v>0</v>
      </c>
      <c r="P459" t="n">
        <v>0</v>
      </c>
      <c r="Q459" t="n">
        <v>0</v>
      </c>
      <c r="R459" s="2" t="inlineStr"/>
    </row>
    <row r="460" ht="15" customHeight="1">
      <c r="A460" t="inlineStr">
        <is>
          <t>A 7850-2025</t>
        </is>
      </c>
      <c r="B460" s="1" t="n">
        <v>45706</v>
      </c>
      <c r="C460" s="1" t="n">
        <v>45892</v>
      </c>
      <c r="D460" t="inlineStr">
        <is>
          <t>GOTLANDS LÄN</t>
        </is>
      </c>
      <c r="E460" t="inlineStr">
        <is>
          <t>GOTLAND</t>
        </is>
      </c>
      <c r="G460" t="n">
        <v>0.5</v>
      </c>
      <c r="H460" t="n">
        <v>0</v>
      </c>
      <c r="I460" t="n">
        <v>0</v>
      </c>
      <c r="J460" t="n">
        <v>0</v>
      </c>
      <c r="K460" t="n">
        <v>0</v>
      </c>
      <c r="L460" t="n">
        <v>0</v>
      </c>
      <c r="M460" t="n">
        <v>0</v>
      </c>
      <c r="N460" t="n">
        <v>0</v>
      </c>
      <c r="O460" t="n">
        <v>0</v>
      </c>
      <c r="P460" t="n">
        <v>0</v>
      </c>
      <c r="Q460" t="n">
        <v>0</v>
      </c>
      <c r="R460" s="2" t="inlineStr"/>
    </row>
    <row r="461" ht="15" customHeight="1">
      <c r="A461" t="inlineStr">
        <is>
          <t>A 43901-2023</t>
        </is>
      </c>
      <c r="B461" s="1" t="n">
        <v>45187</v>
      </c>
      <c r="C461" s="1" t="n">
        <v>45892</v>
      </c>
      <c r="D461" t="inlineStr">
        <is>
          <t>GOTLANDS LÄN</t>
        </is>
      </c>
      <c r="E461" t="inlineStr">
        <is>
          <t>GOTLAND</t>
        </is>
      </c>
      <c r="G461" t="n">
        <v>5.4</v>
      </c>
      <c r="H461" t="n">
        <v>0</v>
      </c>
      <c r="I461" t="n">
        <v>0</v>
      </c>
      <c r="J461" t="n">
        <v>0</v>
      </c>
      <c r="K461" t="n">
        <v>0</v>
      </c>
      <c r="L461" t="n">
        <v>0</v>
      </c>
      <c r="M461" t="n">
        <v>0</v>
      </c>
      <c r="N461" t="n">
        <v>0</v>
      </c>
      <c r="O461" t="n">
        <v>0</v>
      </c>
      <c r="P461" t="n">
        <v>0</v>
      </c>
      <c r="Q461" t="n">
        <v>0</v>
      </c>
      <c r="R461" s="2" t="inlineStr"/>
    </row>
    <row r="462" ht="15" customHeight="1">
      <c r="A462" t="inlineStr">
        <is>
          <t>A 17532-2024</t>
        </is>
      </c>
      <c r="B462" s="1" t="n">
        <v>45415</v>
      </c>
      <c r="C462" s="1" t="n">
        <v>45892</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45692-2023</t>
        </is>
      </c>
      <c r="B463" s="1" t="n">
        <v>45195</v>
      </c>
      <c r="C463" s="1" t="n">
        <v>45892</v>
      </c>
      <c r="D463" t="inlineStr">
        <is>
          <t>GOTLANDS LÄN</t>
        </is>
      </c>
      <c r="E463" t="inlineStr">
        <is>
          <t>GOTLAND</t>
        </is>
      </c>
      <c r="G463" t="n">
        <v>5.3</v>
      </c>
      <c r="H463" t="n">
        <v>0</v>
      </c>
      <c r="I463" t="n">
        <v>0</v>
      </c>
      <c r="J463" t="n">
        <v>0</v>
      </c>
      <c r="K463" t="n">
        <v>0</v>
      </c>
      <c r="L463" t="n">
        <v>0</v>
      </c>
      <c r="M463" t="n">
        <v>0</v>
      </c>
      <c r="N463" t="n">
        <v>0</v>
      </c>
      <c r="O463" t="n">
        <v>0</v>
      </c>
      <c r="P463" t="n">
        <v>0</v>
      </c>
      <c r="Q463" t="n">
        <v>0</v>
      </c>
      <c r="R463" s="2" t="inlineStr"/>
    </row>
    <row r="464" ht="15" customHeight="1">
      <c r="A464" t="inlineStr">
        <is>
          <t>A 46778-2020</t>
        </is>
      </c>
      <c r="B464" s="1" t="n">
        <v>44096</v>
      </c>
      <c r="C464" s="1" t="n">
        <v>45892</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6739-2025</t>
        </is>
      </c>
      <c r="B465" s="1" t="n">
        <v>45700</v>
      </c>
      <c r="C465" s="1" t="n">
        <v>45892</v>
      </c>
      <c r="D465" t="inlineStr">
        <is>
          <t>GOTLANDS LÄN</t>
        </is>
      </c>
      <c r="E465" t="inlineStr">
        <is>
          <t>GOTLAND</t>
        </is>
      </c>
      <c r="G465" t="n">
        <v>4.5</v>
      </c>
      <c r="H465" t="n">
        <v>0</v>
      </c>
      <c r="I465" t="n">
        <v>0</v>
      </c>
      <c r="J465" t="n">
        <v>0</v>
      </c>
      <c r="K465" t="n">
        <v>0</v>
      </c>
      <c r="L465" t="n">
        <v>0</v>
      </c>
      <c r="M465" t="n">
        <v>0</v>
      </c>
      <c r="N465" t="n">
        <v>0</v>
      </c>
      <c r="O465" t="n">
        <v>0</v>
      </c>
      <c r="P465" t="n">
        <v>0</v>
      </c>
      <c r="Q465" t="n">
        <v>0</v>
      </c>
      <c r="R465" s="2" t="inlineStr"/>
    </row>
    <row r="466" ht="15" customHeight="1">
      <c r="A466" t="inlineStr">
        <is>
          <t>A 24192-2023</t>
        </is>
      </c>
      <c r="B466" s="1" t="n">
        <v>45079</v>
      </c>
      <c r="C466" s="1" t="n">
        <v>45892</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30282-2022</t>
        </is>
      </c>
      <c r="B467" s="1" t="n">
        <v>44760</v>
      </c>
      <c r="C467" s="1" t="n">
        <v>45892</v>
      </c>
      <c r="D467" t="inlineStr">
        <is>
          <t>GOTLANDS LÄN</t>
        </is>
      </c>
      <c r="E467" t="inlineStr">
        <is>
          <t>GOTLAND</t>
        </is>
      </c>
      <c r="G467" t="n">
        <v>2.6</v>
      </c>
      <c r="H467" t="n">
        <v>0</v>
      </c>
      <c r="I467" t="n">
        <v>0</v>
      </c>
      <c r="J467" t="n">
        <v>0</v>
      </c>
      <c r="K467" t="n">
        <v>0</v>
      </c>
      <c r="L467" t="n">
        <v>0</v>
      </c>
      <c r="M467" t="n">
        <v>0</v>
      </c>
      <c r="N467" t="n">
        <v>0</v>
      </c>
      <c r="O467" t="n">
        <v>0</v>
      </c>
      <c r="P467" t="n">
        <v>0</v>
      </c>
      <c r="Q467" t="n">
        <v>0</v>
      </c>
      <c r="R467" s="2" t="inlineStr"/>
    </row>
    <row r="468" ht="15" customHeight="1">
      <c r="A468" t="inlineStr">
        <is>
          <t>A 37222-2021</t>
        </is>
      </c>
      <c r="B468" s="1" t="n">
        <v>44396</v>
      </c>
      <c r="C468" s="1" t="n">
        <v>45892</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7835-2024</t>
        </is>
      </c>
      <c r="B469" s="1" t="n">
        <v>45349.83138888889</v>
      </c>
      <c r="C469" s="1" t="n">
        <v>45892</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10650-2022</t>
        </is>
      </c>
      <c r="B470" s="1" t="n">
        <v>44624.57945601852</v>
      </c>
      <c r="C470" s="1" t="n">
        <v>45892</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8444-2025</t>
        </is>
      </c>
      <c r="B471" s="1" t="n">
        <v>45709</v>
      </c>
      <c r="C471" s="1" t="n">
        <v>45892</v>
      </c>
      <c r="D471" t="inlineStr">
        <is>
          <t>GOTLANDS LÄN</t>
        </is>
      </c>
      <c r="E471" t="inlineStr">
        <is>
          <t>GOTLAND</t>
        </is>
      </c>
      <c r="G471" t="n">
        <v>5.2</v>
      </c>
      <c r="H471" t="n">
        <v>0</v>
      </c>
      <c r="I471" t="n">
        <v>0</v>
      </c>
      <c r="J471" t="n">
        <v>0</v>
      </c>
      <c r="K471" t="n">
        <v>0</v>
      </c>
      <c r="L471" t="n">
        <v>0</v>
      </c>
      <c r="M471" t="n">
        <v>0</v>
      </c>
      <c r="N471" t="n">
        <v>0</v>
      </c>
      <c r="O471" t="n">
        <v>0</v>
      </c>
      <c r="P471" t="n">
        <v>0</v>
      </c>
      <c r="Q471" t="n">
        <v>0</v>
      </c>
      <c r="R471" s="2" t="inlineStr"/>
    </row>
    <row r="472" ht="15" customHeight="1">
      <c r="A472" t="inlineStr">
        <is>
          <t>A 19905-2025</t>
        </is>
      </c>
      <c r="B472" s="1" t="n">
        <v>45771</v>
      </c>
      <c r="C472" s="1" t="n">
        <v>45892</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46396-2023</t>
        </is>
      </c>
      <c r="B473" s="1" t="n">
        <v>45197</v>
      </c>
      <c r="C473" s="1" t="n">
        <v>45892</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26810-2021</t>
        </is>
      </c>
      <c r="B474" s="1" t="n">
        <v>44349.55087962963</v>
      </c>
      <c r="C474" s="1" t="n">
        <v>45892</v>
      </c>
      <c r="D474" t="inlineStr">
        <is>
          <t>GOTLANDS LÄN</t>
        </is>
      </c>
      <c r="E474" t="inlineStr">
        <is>
          <t>GOTLAND</t>
        </is>
      </c>
      <c r="G474" t="n">
        <v>3.5</v>
      </c>
      <c r="H474" t="n">
        <v>0</v>
      </c>
      <c r="I474" t="n">
        <v>0</v>
      </c>
      <c r="J474" t="n">
        <v>0</v>
      </c>
      <c r="K474" t="n">
        <v>0</v>
      </c>
      <c r="L474" t="n">
        <v>0</v>
      </c>
      <c r="M474" t="n">
        <v>0</v>
      </c>
      <c r="N474" t="n">
        <v>0</v>
      </c>
      <c r="O474" t="n">
        <v>0</v>
      </c>
      <c r="P474" t="n">
        <v>0</v>
      </c>
      <c r="Q474" t="n">
        <v>0</v>
      </c>
      <c r="R474" s="2" t="inlineStr"/>
    </row>
    <row r="475" ht="15" customHeight="1">
      <c r="A475" t="inlineStr">
        <is>
          <t>A 58388-2022</t>
        </is>
      </c>
      <c r="B475" s="1" t="n">
        <v>44894</v>
      </c>
      <c r="C475" s="1" t="n">
        <v>45892</v>
      </c>
      <c r="D475" t="inlineStr">
        <is>
          <t>GOTLANDS LÄN</t>
        </is>
      </c>
      <c r="E475" t="inlineStr">
        <is>
          <t>GOTLAND</t>
        </is>
      </c>
      <c r="F475" t="inlineStr">
        <is>
          <t>Övriga statliga verk och myndigheter</t>
        </is>
      </c>
      <c r="G475" t="n">
        <v>3.1</v>
      </c>
      <c r="H475" t="n">
        <v>0</v>
      </c>
      <c r="I475" t="n">
        <v>0</v>
      </c>
      <c r="J475" t="n">
        <v>0</v>
      </c>
      <c r="K475" t="n">
        <v>0</v>
      </c>
      <c r="L475" t="n">
        <v>0</v>
      </c>
      <c r="M475" t="n">
        <v>0</v>
      </c>
      <c r="N475" t="n">
        <v>0</v>
      </c>
      <c r="O475" t="n">
        <v>0</v>
      </c>
      <c r="P475" t="n">
        <v>0</v>
      </c>
      <c r="Q475" t="n">
        <v>0</v>
      </c>
      <c r="R475" s="2" t="inlineStr"/>
    </row>
    <row r="476" ht="15" customHeight="1">
      <c r="A476" t="inlineStr">
        <is>
          <t>A 28425-2023</t>
        </is>
      </c>
      <c r="B476" s="1" t="n">
        <v>45102</v>
      </c>
      <c r="C476" s="1" t="n">
        <v>45892</v>
      </c>
      <c r="D476" t="inlineStr">
        <is>
          <t>GOTLANDS LÄN</t>
        </is>
      </c>
      <c r="E476" t="inlineStr">
        <is>
          <t>GOTLAND</t>
        </is>
      </c>
      <c r="G476" t="n">
        <v>0.5</v>
      </c>
      <c r="H476" t="n">
        <v>0</v>
      </c>
      <c r="I476" t="n">
        <v>0</v>
      </c>
      <c r="J476" t="n">
        <v>0</v>
      </c>
      <c r="K476" t="n">
        <v>0</v>
      </c>
      <c r="L476" t="n">
        <v>0</v>
      </c>
      <c r="M476" t="n">
        <v>0</v>
      </c>
      <c r="N476" t="n">
        <v>0</v>
      </c>
      <c r="O476" t="n">
        <v>0</v>
      </c>
      <c r="P476" t="n">
        <v>0</v>
      </c>
      <c r="Q476" t="n">
        <v>0</v>
      </c>
      <c r="R476" s="2" t="inlineStr"/>
    </row>
    <row r="477" ht="15" customHeight="1">
      <c r="A477" t="inlineStr">
        <is>
          <t>A 29207-2025</t>
        </is>
      </c>
      <c r="B477" s="1" t="n">
        <v>45823</v>
      </c>
      <c r="C477" s="1" t="n">
        <v>45892</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29196-2025</t>
        </is>
      </c>
      <c r="B478" s="1" t="n">
        <v>45822</v>
      </c>
      <c r="C478" s="1" t="n">
        <v>45892</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13037-2025</t>
        </is>
      </c>
      <c r="B479" s="1" t="n">
        <v>45734</v>
      </c>
      <c r="C479" s="1" t="n">
        <v>45892</v>
      </c>
      <c r="D479" t="inlineStr">
        <is>
          <t>GOTLANDS LÄN</t>
        </is>
      </c>
      <c r="E479" t="inlineStr">
        <is>
          <t>GOTLAND</t>
        </is>
      </c>
      <c r="G479" t="n">
        <v>9.5</v>
      </c>
      <c r="H479" t="n">
        <v>0</v>
      </c>
      <c r="I479" t="n">
        <v>0</v>
      </c>
      <c r="J479" t="n">
        <v>0</v>
      </c>
      <c r="K479" t="n">
        <v>0</v>
      </c>
      <c r="L479" t="n">
        <v>0</v>
      </c>
      <c r="M479" t="n">
        <v>0</v>
      </c>
      <c r="N479" t="n">
        <v>0</v>
      </c>
      <c r="O479" t="n">
        <v>0</v>
      </c>
      <c r="P479" t="n">
        <v>0</v>
      </c>
      <c r="Q479" t="n">
        <v>0</v>
      </c>
      <c r="R479" s="2" t="inlineStr"/>
    </row>
    <row r="480" ht="15" customHeight="1">
      <c r="A480" t="inlineStr">
        <is>
          <t>A 53934-2024</t>
        </is>
      </c>
      <c r="B480" s="1" t="n">
        <v>45615</v>
      </c>
      <c r="C480" s="1" t="n">
        <v>45892</v>
      </c>
      <c r="D480" t="inlineStr">
        <is>
          <t>GOTLANDS LÄN</t>
        </is>
      </c>
      <c r="E480" t="inlineStr">
        <is>
          <t>GOTLAND</t>
        </is>
      </c>
      <c r="G480" t="n">
        <v>5</v>
      </c>
      <c r="H480" t="n">
        <v>0</v>
      </c>
      <c r="I480" t="n">
        <v>0</v>
      </c>
      <c r="J480" t="n">
        <v>0</v>
      </c>
      <c r="K480" t="n">
        <v>0</v>
      </c>
      <c r="L480" t="n">
        <v>0</v>
      </c>
      <c r="M480" t="n">
        <v>0</v>
      </c>
      <c r="N480" t="n">
        <v>0</v>
      </c>
      <c r="O480" t="n">
        <v>0</v>
      </c>
      <c r="P480" t="n">
        <v>0</v>
      </c>
      <c r="Q480" t="n">
        <v>0</v>
      </c>
      <c r="R480" s="2" t="inlineStr"/>
    </row>
    <row r="481" ht="15" customHeight="1">
      <c r="A481" t="inlineStr">
        <is>
          <t>A 36319-2025</t>
        </is>
      </c>
      <c r="B481" s="1" t="n">
        <v>45868.38543981482</v>
      </c>
      <c r="C481" s="1" t="n">
        <v>45892</v>
      </c>
      <c r="D481" t="inlineStr">
        <is>
          <t>GOTLANDS LÄN</t>
        </is>
      </c>
      <c r="E481" t="inlineStr">
        <is>
          <t>GOTLAND</t>
        </is>
      </c>
      <c r="G481" t="n">
        <v>2.9</v>
      </c>
      <c r="H481" t="n">
        <v>0</v>
      </c>
      <c r="I481" t="n">
        <v>0</v>
      </c>
      <c r="J481" t="n">
        <v>0</v>
      </c>
      <c r="K481" t="n">
        <v>0</v>
      </c>
      <c r="L481" t="n">
        <v>0</v>
      </c>
      <c r="M481" t="n">
        <v>0</v>
      </c>
      <c r="N481" t="n">
        <v>0</v>
      </c>
      <c r="O481" t="n">
        <v>0</v>
      </c>
      <c r="P481" t="n">
        <v>0</v>
      </c>
      <c r="Q481" t="n">
        <v>0</v>
      </c>
      <c r="R481" s="2" t="inlineStr"/>
    </row>
    <row r="482" ht="15" customHeight="1">
      <c r="A482" t="inlineStr">
        <is>
          <t>A 58132-2023</t>
        </is>
      </c>
      <c r="B482" s="1" t="n">
        <v>45250</v>
      </c>
      <c r="C482" s="1" t="n">
        <v>45892</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22899-2023</t>
        </is>
      </c>
      <c r="B483" s="1" t="n">
        <v>45072</v>
      </c>
      <c r="C483" s="1" t="n">
        <v>45892</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28285-2024</t>
        </is>
      </c>
      <c r="B484" s="1" t="n">
        <v>45477</v>
      </c>
      <c r="C484" s="1" t="n">
        <v>45892</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51963-2024</t>
        </is>
      </c>
      <c r="B485" s="1" t="n">
        <v>45607.64833333333</v>
      </c>
      <c r="C485" s="1" t="n">
        <v>45892</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30061-2025</t>
        </is>
      </c>
      <c r="B486" s="1" t="n">
        <v>45826.61488425926</v>
      </c>
      <c r="C486" s="1" t="n">
        <v>45892</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55334-2024</t>
        </is>
      </c>
      <c r="B487" s="1" t="n">
        <v>45621</v>
      </c>
      <c r="C487" s="1" t="n">
        <v>45892</v>
      </c>
      <c r="D487" t="inlineStr">
        <is>
          <t>GOTLANDS LÄN</t>
        </is>
      </c>
      <c r="E487" t="inlineStr">
        <is>
          <t>GOTLAND</t>
        </is>
      </c>
      <c r="G487" t="n">
        <v>21.7</v>
      </c>
      <c r="H487" t="n">
        <v>0</v>
      </c>
      <c r="I487" t="n">
        <v>0</v>
      </c>
      <c r="J487" t="n">
        <v>0</v>
      </c>
      <c r="K487" t="n">
        <v>0</v>
      </c>
      <c r="L487" t="n">
        <v>0</v>
      </c>
      <c r="M487" t="n">
        <v>0</v>
      </c>
      <c r="N487" t="n">
        <v>0</v>
      </c>
      <c r="O487" t="n">
        <v>0</v>
      </c>
      <c r="P487" t="n">
        <v>0</v>
      </c>
      <c r="Q487" t="n">
        <v>0</v>
      </c>
      <c r="R487" s="2" t="inlineStr"/>
    </row>
    <row r="488" ht="15" customHeight="1">
      <c r="A488" t="inlineStr">
        <is>
          <t>A 30104-2025</t>
        </is>
      </c>
      <c r="B488" s="1" t="n">
        <v>45826.68806712963</v>
      </c>
      <c r="C488" s="1" t="n">
        <v>45892</v>
      </c>
      <c r="D488" t="inlineStr">
        <is>
          <t>GOTLANDS LÄN</t>
        </is>
      </c>
      <c r="E488" t="inlineStr">
        <is>
          <t>GOTLAND</t>
        </is>
      </c>
      <c r="G488" t="n">
        <v>15.4</v>
      </c>
      <c r="H488" t="n">
        <v>0</v>
      </c>
      <c r="I488" t="n">
        <v>0</v>
      </c>
      <c r="J488" t="n">
        <v>0</v>
      </c>
      <c r="K488" t="n">
        <v>0</v>
      </c>
      <c r="L488" t="n">
        <v>0</v>
      </c>
      <c r="M488" t="n">
        <v>0</v>
      </c>
      <c r="N488" t="n">
        <v>0</v>
      </c>
      <c r="O488" t="n">
        <v>0</v>
      </c>
      <c r="P488" t="n">
        <v>0</v>
      </c>
      <c r="Q488" t="n">
        <v>0</v>
      </c>
      <c r="R488" s="2" t="inlineStr"/>
    </row>
    <row r="489" ht="15" customHeight="1">
      <c r="A489" t="inlineStr">
        <is>
          <t>A 30157-2025</t>
        </is>
      </c>
      <c r="B489" s="1" t="n">
        <v>45826</v>
      </c>
      <c r="C489" s="1" t="n">
        <v>45892</v>
      </c>
      <c r="D489" t="inlineStr">
        <is>
          <t>GOTLANDS LÄN</t>
        </is>
      </c>
      <c r="E489" t="inlineStr">
        <is>
          <t>GOTLAND</t>
        </is>
      </c>
      <c r="G489" t="n">
        <v>2.5</v>
      </c>
      <c r="H489" t="n">
        <v>0</v>
      </c>
      <c r="I489" t="n">
        <v>0</v>
      </c>
      <c r="J489" t="n">
        <v>0</v>
      </c>
      <c r="K489" t="n">
        <v>0</v>
      </c>
      <c r="L489" t="n">
        <v>0</v>
      </c>
      <c r="M489" t="n">
        <v>0</v>
      </c>
      <c r="N489" t="n">
        <v>0</v>
      </c>
      <c r="O489" t="n">
        <v>0</v>
      </c>
      <c r="P489" t="n">
        <v>0</v>
      </c>
      <c r="Q489" t="n">
        <v>0</v>
      </c>
      <c r="R489" s="2" t="inlineStr"/>
    </row>
    <row r="490" ht="15" customHeight="1">
      <c r="A490" t="inlineStr">
        <is>
          <t>A 10746-2025</t>
        </is>
      </c>
      <c r="B490" s="1" t="n">
        <v>45722.42766203704</v>
      </c>
      <c r="C490" s="1" t="n">
        <v>45892</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30488-2025</t>
        </is>
      </c>
      <c r="B491" s="1" t="n">
        <v>45830</v>
      </c>
      <c r="C491" s="1" t="n">
        <v>45892</v>
      </c>
      <c r="D491" t="inlineStr">
        <is>
          <t>GOTLANDS LÄN</t>
        </is>
      </c>
      <c r="E491" t="inlineStr">
        <is>
          <t>GOTLAND</t>
        </is>
      </c>
      <c r="F491" t="inlineStr">
        <is>
          <t>Kyrkan</t>
        </is>
      </c>
      <c r="G491" t="n">
        <v>3.9</v>
      </c>
      <c r="H491" t="n">
        <v>0</v>
      </c>
      <c r="I491" t="n">
        <v>0</v>
      </c>
      <c r="J491" t="n">
        <v>0</v>
      </c>
      <c r="K491" t="n">
        <v>0</v>
      </c>
      <c r="L491" t="n">
        <v>0</v>
      </c>
      <c r="M491" t="n">
        <v>0</v>
      </c>
      <c r="N491" t="n">
        <v>0</v>
      </c>
      <c r="O491" t="n">
        <v>0</v>
      </c>
      <c r="P491" t="n">
        <v>0</v>
      </c>
      <c r="Q491" t="n">
        <v>0</v>
      </c>
      <c r="R491" s="2" t="inlineStr"/>
    </row>
    <row r="492" ht="15" customHeight="1">
      <c r="A492" t="inlineStr">
        <is>
          <t>A 1734-2025</t>
        </is>
      </c>
      <c r="B492" s="1" t="n">
        <v>45671.3840625</v>
      </c>
      <c r="C492" s="1" t="n">
        <v>45892</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30489-2025</t>
        </is>
      </c>
      <c r="B493" s="1" t="n">
        <v>45830</v>
      </c>
      <c r="C493" s="1" t="n">
        <v>45892</v>
      </c>
      <c r="D493" t="inlineStr">
        <is>
          <t>GOTLANDS LÄN</t>
        </is>
      </c>
      <c r="E493" t="inlineStr">
        <is>
          <t>GOTLAND</t>
        </is>
      </c>
      <c r="G493" t="n">
        <v>4.6</v>
      </c>
      <c r="H493" t="n">
        <v>0</v>
      </c>
      <c r="I493" t="n">
        <v>0</v>
      </c>
      <c r="J493" t="n">
        <v>0</v>
      </c>
      <c r="K493" t="n">
        <v>0</v>
      </c>
      <c r="L493" t="n">
        <v>0</v>
      </c>
      <c r="M493" t="n">
        <v>0</v>
      </c>
      <c r="N493" t="n">
        <v>0</v>
      </c>
      <c r="O493" t="n">
        <v>0</v>
      </c>
      <c r="P493" t="n">
        <v>0</v>
      </c>
      <c r="Q493" t="n">
        <v>0</v>
      </c>
      <c r="R493" s="2" t="inlineStr"/>
    </row>
    <row r="494" ht="15" customHeight="1">
      <c r="A494" t="inlineStr">
        <is>
          <t>A 30365-2024</t>
        </is>
      </c>
      <c r="B494" s="1" t="n">
        <v>45491.3716087963</v>
      </c>
      <c r="C494" s="1" t="n">
        <v>45892</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2674-2023</t>
        </is>
      </c>
      <c r="B495" s="1" t="n">
        <v>44944</v>
      </c>
      <c r="C495" s="1" t="n">
        <v>45892</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14915-2025</t>
        </is>
      </c>
      <c r="B496" s="1" t="n">
        <v>45743.53121527778</v>
      </c>
      <c r="C496" s="1" t="n">
        <v>45892</v>
      </c>
      <c r="D496" t="inlineStr">
        <is>
          <t>GOTLANDS LÄN</t>
        </is>
      </c>
      <c r="E496" t="inlineStr">
        <is>
          <t>GOTLAND</t>
        </is>
      </c>
      <c r="G496" t="n">
        <v>5.9</v>
      </c>
      <c r="H496" t="n">
        <v>0</v>
      </c>
      <c r="I496" t="n">
        <v>0</v>
      </c>
      <c r="J496" t="n">
        <v>0</v>
      </c>
      <c r="K496" t="n">
        <v>0</v>
      </c>
      <c r="L496" t="n">
        <v>0</v>
      </c>
      <c r="M496" t="n">
        <v>0</v>
      </c>
      <c r="N496" t="n">
        <v>0</v>
      </c>
      <c r="O496" t="n">
        <v>0</v>
      </c>
      <c r="P496" t="n">
        <v>0</v>
      </c>
      <c r="Q496" t="n">
        <v>0</v>
      </c>
      <c r="R496" s="2" t="inlineStr"/>
    </row>
    <row r="497" ht="15" customHeight="1">
      <c r="A497" t="inlineStr">
        <is>
          <t>A 58160-2024</t>
        </is>
      </c>
      <c r="B497" s="1" t="n">
        <v>45632.44927083333</v>
      </c>
      <c r="C497" s="1" t="n">
        <v>45892</v>
      </c>
      <c r="D497" t="inlineStr">
        <is>
          <t>GOTLANDS LÄN</t>
        </is>
      </c>
      <c r="E497" t="inlineStr">
        <is>
          <t>GOTLAND</t>
        </is>
      </c>
      <c r="G497" t="n">
        <v>5.6</v>
      </c>
      <c r="H497" t="n">
        <v>0</v>
      </c>
      <c r="I497" t="n">
        <v>0</v>
      </c>
      <c r="J497" t="n">
        <v>0</v>
      </c>
      <c r="K497" t="n">
        <v>0</v>
      </c>
      <c r="L497" t="n">
        <v>0</v>
      </c>
      <c r="M497" t="n">
        <v>0</v>
      </c>
      <c r="N497" t="n">
        <v>0</v>
      </c>
      <c r="O497" t="n">
        <v>0</v>
      </c>
      <c r="P497" t="n">
        <v>0</v>
      </c>
      <c r="Q497" t="n">
        <v>0</v>
      </c>
      <c r="R497" s="2" t="inlineStr"/>
    </row>
    <row r="498" ht="15" customHeight="1">
      <c r="A498" t="inlineStr">
        <is>
          <t>A 61100-2022</t>
        </is>
      </c>
      <c r="B498" s="1" t="n">
        <v>44915</v>
      </c>
      <c r="C498" s="1" t="n">
        <v>45892</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43785-2024</t>
        </is>
      </c>
      <c r="B499" s="1" t="n">
        <v>45570</v>
      </c>
      <c r="C499" s="1" t="n">
        <v>45892</v>
      </c>
      <c r="D499" t="inlineStr">
        <is>
          <t>GOTLANDS LÄN</t>
        </is>
      </c>
      <c r="E499" t="inlineStr">
        <is>
          <t>GOTLAND</t>
        </is>
      </c>
      <c r="G499" t="n">
        <v>12.6</v>
      </c>
      <c r="H499" t="n">
        <v>0</v>
      </c>
      <c r="I499" t="n">
        <v>0</v>
      </c>
      <c r="J499" t="n">
        <v>0</v>
      </c>
      <c r="K499" t="n">
        <v>0</v>
      </c>
      <c r="L499" t="n">
        <v>0</v>
      </c>
      <c r="M499" t="n">
        <v>0</v>
      </c>
      <c r="N499" t="n">
        <v>0</v>
      </c>
      <c r="O499" t="n">
        <v>0</v>
      </c>
      <c r="P499" t="n">
        <v>0</v>
      </c>
      <c r="Q499" t="n">
        <v>0</v>
      </c>
      <c r="R499" s="2" t="inlineStr"/>
    </row>
    <row r="500" ht="15" customHeight="1">
      <c r="A500" t="inlineStr">
        <is>
          <t>A 43790-2024</t>
        </is>
      </c>
      <c r="B500" s="1" t="n">
        <v>45571</v>
      </c>
      <c r="C500" s="1" t="n">
        <v>45892</v>
      </c>
      <c r="D500" t="inlineStr">
        <is>
          <t>GOTLANDS LÄN</t>
        </is>
      </c>
      <c r="E500" t="inlineStr">
        <is>
          <t>GOTLAND</t>
        </is>
      </c>
      <c r="G500" t="n">
        <v>3.5</v>
      </c>
      <c r="H500" t="n">
        <v>0</v>
      </c>
      <c r="I500" t="n">
        <v>0</v>
      </c>
      <c r="J500" t="n">
        <v>0</v>
      </c>
      <c r="K500" t="n">
        <v>0</v>
      </c>
      <c r="L500" t="n">
        <v>0</v>
      </c>
      <c r="M500" t="n">
        <v>0</v>
      </c>
      <c r="N500" t="n">
        <v>0</v>
      </c>
      <c r="O500" t="n">
        <v>0</v>
      </c>
      <c r="P500" t="n">
        <v>0</v>
      </c>
      <c r="Q500" t="n">
        <v>0</v>
      </c>
      <c r="R500" s="2" t="inlineStr"/>
    </row>
    <row r="501" ht="15" customHeight="1">
      <c r="A501" t="inlineStr">
        <is>
          <t>A 581-2023</t>
        </is>
      </c>
      <c r="B501" s="1" t="n">
        <v>44930</v>
      </c>
      <c r="C501" s="1" t="n">
        <v>45892</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10655-2023</t>
        </is>
      </c>
      <c r="B502" s="1" t="n">
        <v>44988.49543981482</v>
      </c>
      <c r="C502" s="1" t="n">
        <v>45892</v>
      </c>
      <c r="D502" t="inlineStr">
        <is>
          <t>GOTLANDS LÄN</t>
        </is>
      </c>
      <c r="E502" t="inlineStr">
        <is>
          <t>GOTLAND</t>
        </is>
      </c>
      <c r="F502" t="inlineStr">
        <is>
          <t>Kyrkan</t>
        </is>
      </c>
      <c r="G502" t="n">
        <v>2</v>
      </c>
      <c r="H502" t="n">
        <v>0</v>
      </c>
      <c r="I502" t="n">
        <v>0</v>
      </c>
      <c r="J502" t="n">
        <v>0</v>
      </c>
      <c r="K502" t="n">
        <v>0</v>
      </c>
      <c r="L502" t="n">
        <v>0</v>
      </c>
      <c r="M502" t="n">
        <v>0</v>
      </c>
      <c r="N502" t="n">
        <v>0</v>
      </c>
      <c r="O502" t="n">
        <v>0</v>
      </c>
      <c r="P502" t="n">
        <v>0</v>
      </c>
      <c r="Q502" t="n">
        <v>0</v>
      </c>
      <c r="R502" s="2" t="inlineStr"/>
    </row>
    <row r="503" ht="15" customHeight="1">
      <c r="A503" t="inlineStr">
        <is>
          <t>A 43229-2023</t>
        </is>
      </c>
      <c r="B503" s="1" t="n">
        <v>45183.46704861111</v>
      </c>
      <c r="C503" s="1" t="n">
        <v>45892</v>
      </c>
      <c r="D503" t="inlineStr">
        <is>
          <t>GOTLANDS LÄN</t>
        </is>
      </c>
      <c r="E503" t="inlineStr">
        <is>
          <t>GOTLAND</t>
        </is>
      </c>
      <c r="G503" t="n">
        <v>7.1</v>
      </c>
      <c r="H503" t="n">
        <v>0</v>
      </c>
      <c r="I503" t="n">
        <v>0</v>
      </c>
      <c r="J503" t="n">
        <v>0</v>
      </c>
      <c r="K503" t="n">
        <v>0</v>
      </c>
      <c r="L503" t="n">
        <v>0</v>
      </c>
      <c r="M503" t="n">
        <v>0</v>
      </c>
      <c r="N503" t="n">
        <v>0</v>
      </c>
      <c r="O503" t="n">
        <v>0</v>
      </c>
      <c r="P503" t="n">
        <v>0</v>
      </c>
      <c r="Q503" t="n">
        <v>0</v>
      </c>
      <c r="R503" s="2" t="inlineStr"/>
    </row>
    <row r="504" ht="15" customHeight="1">
      <c r="A504" t="inlineStr">
        <is>
          <t>A 3930-2025</t>
        </is>
      </c>
      <c r="B504" s="1" t="n">
        <v>45684.45427083333</v>
      </c>
      <c r="C504" s="1" t="n">
        <v>45892</v>
      </c>
      <c r="D504" t="inlineStr">
        <is>
          <t>GOTLANDS LÄN</t>
        </is>
      </c>
      <c r="E504" t="inlineStr">
        <is>
          <t>GOTLAND</t>
        </is>
      </c>
      <c r="G504" t="n">
        <v>5.2</v>
      </c>
      <c r="H504" t="n">
        <v>0</v>
      </c>
      <c r="I504" t="n">
        <v>0</v>
      </c>
      <c r="J504" t="n">
        <v>0</v>
      </c>
      <c r="K504" t="n">
        <v>0</v>
      </c>
      <c r="L504" t="n">
        <v>0</v>
      </c>
      <c r="M504" t="n">
        <v>0</v>
      </c>
      <c r="N504" t="n">
        <v>0</v>
      </c>
      <c r="O504" t="n">
        <v>0</v>
      </c>
      <c r="P504" t="n">
        <v>0</v>
      </c>
      <c r="Q504" t="n">
        <v>0</v>
      </c>
      <c r="R504" s="2" t="inlineStr"/>
    </row>
    <row r="505" ht="15" customHeight="1">
      <c r="A505" t="inlineStr">
        <is>
          <t>A 44649-2021</t>
        </is>
      </c>
      <c r="B505" s="1" t="n">
        <v>44437</v>
      </c>
      <c r="C505" s="1" t="n">
        <v>45892</v>
      </c>
      <c r="D505" t="inlineStr">
        <is>
          <t>GOTLANDS LÄN</t>
        </is>
      </c>
      <c r="E505" t="inlineStr">
        <is>
          <t>GOTLAND</t>
        </is>
      </c>
      <c r="G505" t="n">
        <v>8.1</v>
      </c>
      <c r="H505" t="n">
        <v>0</v>
      </c>
      <c r="I505" t="n">
        <v>0</v>
      </c>
      <c r="J505" t="n">
        <v>0</v>
      </c>
      <c r="K505" t="n">
        <v>0</v>
      </c>
      <c r="L505" t="n">
        <v>0</v>
      </c>
      <c r="M505" t="n">
        <v>0</v>
      </c>
      <c r="N505" t="n">
        <v>0</v>
      </c>
      <c r="O505" t="n">
        <v>0</v>
      </c>
      <c r="P505" t="n">
        <v>0</v>
      </c>
      <c r="Q505" t="n">
        <v>0</v>
      </c>
      <c r="R505" s="2" t="inlineStr"/>
    </row>
    <row r="506" ht="15" customHeight="1">
      <c r="A506" t="inlineStr">
        <is>
          <t>A 8484-2025</t>
        </is>
      </c>
      <c r="B506" s="1" t="n">
        <v>45709</v>
      </c>
      <c r="C506" s="1" t="n">
        <v>45892</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41038-2023</t>
        </is>
      </c>
      <c r="B507" s="1" t="n">
        <v>45173.60959490741</v>
      </c>
      <c r="C507" s="1" t="n">
        <v>45892</v>
      </c>
      <c r="D507" t="inlineStr">
        <is>
          <t>GOTLANDS LÄN</t>
        </is>
      </c>
      <c r="E507" t="inlineStr">
        <is>
          <t>GOTLAND</t>
        </is>
      </c>
      <c r="G507" t="n">
        <v>2.7</v>
      </c>
      <c r="H507" t="n">
        <v>0</v>
      </c>
      <c r="I507" t="n">
        <v>0</v>
      </c>
      <c r="J507" t="n">
        <v>0</v>
      </c>
      <c r="K507" t="n">
        <v>0</v>
      </c>
      <c r="L507" t="n">
        <v>0</v>
      </c>
      <c r="M507" t="n">
        <v>0</v>
      </c>
      <c r="N507" t="n">
        <v>0</v>
      </c>
      <c r="O507" t="n">
        <v>0</v>
      </c>
      <c r="P507" t="n">
        <v>0</v>
      </c>
      <c r="Q507" t="n">
        <v>0</v>
      </c>
      <c r="R507" s="2" t="inlineStr"/>
    </row>
    <row r="508" ht="15" customHeight="1">
      <c r="A508" t="inlineStr">
        <is>
          <t>A 30135-2025</t>
        </is>
      </c>
      <c r="B508" s="1" t="n">
        <v>45826</v>
      </c>
      <c r="C508" s="1" t="n">
        <v>45892</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1713-2025</t>
        </is>
      </c>
      <c r="B509" s="1" t="n">
        <v>45671.32342592593</v>
      </c>
      <c r="C509" s="1" t="n">
        <v>45892</v>
      </c>
      <c r="D509" t="inlineStr">
        <is>
          <t>GOTLANDS LÄN</t>
        </is>
      </c>
      <c r="E509" t="inlineStr">
        <is>
          <t>GOTLAND</t>
        </is>
      </c>
      <c r="G509" t="n">
        <v>10.1</v>
      </c>
      <c r="H509" t="n">
        <v>0</v>
      </c>
      <c r="I509" t="n">
        <v>0</v>
      </c>
      <c r="J509" t="n">
        <v>0</v>
      </c>
      <c r="K509" t="n">
        <v>0</v>
      </c>
      <c r="L509" t="n">
        <v>0</v>
      </c>
      <c r="M509" t="n">
        <v>0</v>
      </c>
      <c r="N509" t="n">
        <v>0</v>
      </c>
      <c r="O509" t="n">
        <v>0</v>
      </c>
      <c r="P509" t="n">
        <v>0</v>
      </c>
      <c r="Q509" t="n">
        <v>0</v>
      </c>
      <c r="R509" s="2" t="inlineStr"/>
    </row>
    <row r="510" ht="15" customHeight="1">
      <c r="A510" t="inlineStr">
        <is>
          <t>A 49962-2023</t>
        </is>
      </c>
      <c r="B510" s="1" t="n">
        <v>45215.38775462963</v>
      </c>
      <c r="C510" s="1" t="n">
        <v>45892</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37591-2023</t>
        </is>
      </c>
      <c r="B511" s="1" t="n">
        <v>45159</v>
      </c>
      <c r="C511" s="1" t="n">
        <v>45892</v>
      </c>
      <c r="D511" t="inlineStr">
        <is>
          <t>GOTLANDS LÄN</t>
        </is>
      </c>
      <c r="E511" t="inlineStr">
        <is>
          <t>GOTLAND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24966-2023</t>
        </is>
      </c>
      <c r="B512" s="1" t="n">
        <v>45085</v>
      </c>
      <c r="C512" s="1" t="n">
        <v>45892</v>
      </c>
      <c r="D512" t="inlineStr">
        <is>
          <t>GOTLANDS LÄN</t>
        </is>
      </c>
      <c r="E512" t="inlineStr">
        <is>
          <t>GOTLAND</t>
        </is>
      </c>
      <c r="G512" t="n">
        <v>7</v>
      </c>
      <c r="H512" t="n">
        <v>0</v>
      </c>
      <c r="I512" t="n">
        <v>0</v>
      </c>
      <c r="J512" t="n">
        <v>0</v>
      </c>
      <c r="K512" t="n">
        <v>0</v>
      </c>
      <c r="L512" t="n">
        <v>0</v>
      </c>
      <c r="M512" t="n">
        <v>0</v>
      </c>
      <c r="N512" t="n">
        <v>0</v>
      </c>
      <c r="O512" t="n">
        <v>0</v>
      </c>
      <c r="P512" t="n">
        <v>0</v>
      </c>
      <c r="Q512" t="n">
        <v>0</v>
      </c>
      <c r="R512" s="2" t="inlineStr"/>
    </row>
    <row r="513" ht="15" customHeight="1">
      <c r="A513" t="inlineStr">
        <is>
          <t>A 50744-2024</t>
        </is>
      </c>
      <c r="B513" s="1" t="n">
        <v>45602.4187037037</v>
      </c>
      <c r="C513" s="1" t="n">
        <v>45892</v>
      </c>
      <c r="D513" t="inlineStr">
        <is>
          <t>GOTLANDS LÄN</t>
        </is>
      </c>
      <c r="E513" t="inlineStr">
        <is>
          <t>GOTLAND</t>
        </is>
      </c>
      <c r="G513" t="n">
        <v>3.2</v>
      </c>
      <c r="H513" t="n">
        <v>0</v>
      </c>
      <c r="I513" t="n">
        <v>0</v>
      </c>
      <c r="J513" t="n">
        <v>0</v>
      </c>
      <c r="K513" t="n">
        <v>0</v>
      </c>
      <c r="L513" t="n">
        <v>0</v>
      </c>
      <c r="M513" t="n">
        <v>0</v>
      </c>
      <c r="N513" t="n">
        <v>0</v>
      </c>
      <c r="O513" t="n">
        <v>0</v>
      </c>
      <c r="P513" t="n">
        <v>0</v>
      </c>
      <c r="Q513" t="n">
        <v>0</v>
      </c>
      <c r="R513" s="2" t="inlineStr"/>
    </row>
    <row r="514" ht="15" customHeight="1">
      <c r="A514" t="inlineStr">
        <is>
          <t>A 57652-2023</t>
        </is>
      </c>
      <c r="B514" s="1" t="n">
        <v>45246</v>
      </c>
      <c r="C514" s="1" t="n">
        <v>45892</v>
      </c>
      <c r="D514" t="inlineStr">
        <is>
          <t>GOTLANDS LÄN</t>
        </is>
      </c>
      <c r="E514" t="inlineStr">
        <is>
          <t>GOTLAND</t>
        </is>
      </c>
      <c r="G514" t="n">
        <v>7.2</v>
      </c>
      <c r="H514" t="n">
        <v>0</v>
      </c>
      <c r="I514" t="n">
        <v>0</v>
      </c>
      <c r="J514" t="n">
        <v>0</v>
      </c>
      <c r="K514" t="n">
        <v>0</v>
      </c>
      <c r="L514" t="n">
        <v>0</v>
      </c>
      <c r="M514" t="n">
        <v>0</v>
      </c>
      <c r="N514" t="n">
        <v>0</v>
      </c>
      <c r="O514" t="n">
        <v>0</v>
      </c>
      <c r="P514" t="n">
        <v>0</v>
      </c>
      <c r="Q514" t="n">
        <v>0</v>
      </c>
      <c r="R514" s="2" t="inlineStr"/>
    </row>
    <row r="515" ht="15" customHeight="1">
      <c r="A515" t="inlineStr">
        <is>
          <t>A 16109-2025</t>
        </is>
      </c>
      <c r="B515" s="1" t="n">
        <v>45750</v>
      </c>
      <c r="C515" s="1" t="n">
        <v>45892</v>
      </c>
      <c r="D515" t="inlineStr">
        <is>
          <t>GOTLANDS LÄN</t>
        </is>
      </c>
      <c r="E515" t="inlineStr">
        <is>
          <t>GOTLAND</t>
        </is>
      </c>
      <c r="G515" t="n">
        <v>4.9</v>
      </c>
      <c r="H515" t="n">
        <v>0</v>
      </c>
      <c r="I515" t="n">
        <v>0</v>
      </c>
      <c r="J515" t="n">
        <v>0</v>
      </c>
      <c r="K515" t="n">
        <v>0</v>
      </c>
      <c r="L515" t="n">
        <v>0</v>
      </c>
      <c r="M515" t="n">
        <v>0</v>
      </c>
      <c r="N515" t="n">
        <v>0</v>
      </c>
      <c r="O515" t="n">
        <v>0</v>
      </c>
      <c r="P515" t="n">
        <v>0</v>
      </c>
      <c r="Q515" t="n">
        <v>0</v>
      </c>
      <c r="R515" s="2" t="inlineStr"/>
    </row>
    <row r="516" ht="15" customHeight="1">
      <c r="A516" t="inlineStr">
        <is>
          <t>A 46189-2022</t>
        </is>
      </c>
      <c r="B516" s="1" t="n">
        <v>44847</v>
      </c>
      <c r="C516" s="1" t="n">
        <v>45892</v>
      </c>
      <c r="D516" t="inlineStr">
        <is>
          <t>GOTLANDS LÄN</t>
        </is>
      </c>
      <c r="E516" t="inlineStr">
        <is>
          <t>GOTLAND</t>
        </is>
      </c>
      <c r="G516" t="n">
        <v>0.4</v>
      </c>
      <c r="H516" t="n">
        <v>0</v>
      </c>
      <c r="I516" t="n">
        <v>0</v>
      </c>
      <c r="J516" t="n">
        <v>0</v>
      </c>
      <c r="K516" t="n">
        <v>0</v>
      </c>
      <c r="L516" t="n">
        <v>0</v>
      </c>
      <c r="M516" t="n">
        <v>0</v>
      </c>
      <c r="N516" t="n">
        <v>0</v>
      </c>
      <c r="O516" t="n">
        <v>0</v>
      </c>
      <c r="P516" t="n">
        <v>0</v>
      </c>
      <c r="Q516" t="n">
        <v>0</v>
      </c>
      <c r="R516" s="2" t="inlineStr"/>
    </row>
    <row r="517" ht="15" customHeight="1">
      <c r="A517" t="inlineStr">
        <is>
          <t>A 45244-2024</t>
        </is>
      </c>
      <c r="B517" s="1" t="n">
        <v>45576</v>
      </c>
      <c r="C517" s="1" t="n">
        <v>45892</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32467-2025</t>
        </is>
      </c>
      <c r="B518" s="1" t="n">
        <v>45838.42111111111</v>
      </c>
      <c r="C518" s="1" t="n">
        <v>45892</v>
      </c>
      <c r="D518" t="inlineStr">
        <is>
          <t>GOTLANDS LÄN</t>
        </is>
      </c>
      <c r="E518" t="inlineStr">
        <is>
          <t>GOTLAND</t>
        </is>
      </c>
      <c r="G518" t="n">
        <v>4.3</v>
      </c>
      <c r="H518" t="n">
        <v>0</v>
      </c>
      <c r="I518" t="n">
        <v>0</v>
      </c>
      <c r="J518" t="n">
        <v>0</v>
      </c>
      <c r="K518" t="n">
        <v>0</v>
      </c>
      <c r="L518" t="n">
        <v>0</v>
      </c>
      <c r="M518" t="n">
        <v>0</v>
      </c>
      <c r="N518" t="n">
        <v>0</v>
      </c>
      <c r="O518" t="n">
        <v>0</v>
      </c>
      <c r="P518" t="n">
        <v>0</v>
      </c>
      <c r="Q518" t="n">
        <v>0</v>
      </c>
      <c r="R518" s="2" t="inlineStr"/>
    </row>
    <row r="519" ht="15" customHeight="1">
      <c r="A519" t="inlineStr">
        <is>
          <t>A 57522-2022</t>
        </is>
      </c>
      <c r="B519" s="1" t="n">
        <v>44896</v>
      </c>
      <c r="C519" s="1" t="n">
        <v>45892</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14797-2024</t>
        </is>
      </c>
      <c r="B520" s="1" t="n">
        <v>45397.87030092593</v>
      </c>
      <c r="C520" s="1" t="n">
        <v>45892</v>
      </c>
      <c r="D520" t="inlineStr">
        <is>
          <t>GOTLANDS LÄN</t>
        </is>
      </c>
      <c r="E520" t="inlineStr">
        <is>
          <t>GOTLAND</t>
        </is>
      </c>
      <c r="G520" t="n">
        <v>8.1</v>
      </c>
      <c r="H520" t="n">
        <v>0</v>
      </c>
      <c r="I520" t="n">
        <v>0</v>
      </c>
      <c r="J520" t="n">
        <v>0</v>
      </c>
      <c r="K520" t="n">
        <v>0</v>
      </c>
      <c r="L520" t="n">
        <v>0</v>
      </c>
      <c r="M520" t="n">
        <v>0</v>
      </c>
      <c r="N520" t="n">
        <v>0</v>
      </c>
      <c r="O520" t="n">
        <v>0</v>
      </c>
      <c r="P520" t="n">
        <v>0</v>
      </c>
      <c r="Q520" t="n">
        <v>0</v>
      </c>
      <c r="R520" s="2" t="inlineStr"/>
    </row>
    <row r="521" ht="15" customHeight="1">
      <c r="A521" t="inlineStr">
        <is>
          <t>A 38787-2023</t>
        </is>
      </c>
      <c r="B521" s="1" t="n">
        <v>45163</v>
      </c>
      <c r="C521" s="1" t="n">
        <v>45892</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32378-2025</t>
        </is>
      </c>
      <c r="B522" s="1" t="n">
        <v>45837</v>
      </c>
      <c r="C522" s="1" t="n">
        <v>45892</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32686-2025</t>
        </is>
      </c>
      <c r="B523" s="1" t="n">
        <v>45838</v>
      </c>
      <c r="C523" s="1" t="n">
        <v>45892</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20660-2025</t>
        </is>
      </c>
      <c r="B524" s="1" t="n">
        <v>45776</v>
      </c>
      <c r="C524" s="1" t="n">
        <v>45892</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7837-2024</t>
        </is>
      </c>
      <c r="B525" s="1" t="n">
        <v>45349.83787037037</v>
      </c>
      <c r="C525" s="1" t="n">
        <v>45892</v>
      </c>
      <c r="D525" t="inlineStr">
        <is>
          <t>GOTLANDS LÄN</t>
        </is>
      </c>
      <c r="E525" t="inlineStr">
        <is>
          <t>GOTLAND</t>
        </is>
      </c>
      <c r="G525" t="n">
        <v>5</v>
      </c>
      <c r="H525" t="n">
        <v>0</v>
      </c>
      <c r="I525" t="n">
        <v>0</v>
      </c>
      <c r="J525" t="n">
        <v>0</v>
      </c>
      <c r="K525" t="n">
        <v>0</v>
      </c>
      <c r="L525" t="n">
        <v>0</v>
      </c>
      <c r="M525" t="n">
        <v>0</v>
      </c>
      <c r="N525" t="n">
        <v>0</v>
      </c>
      <c r="O525" t="n">
        <v>0</v>
      </c>
      <c r="P525" t="n">
        <v>0</v>
      </c>
      <c r="Q525" t="n">
        <v>0</v>
      </c>
      <c r="R525" s="2" t="inlineStr"/>
    </row>
    <row r="526" ht="15" customHeight="1">
      <c r="A526" t="inlineStr">
        <is>
          <t>A 32379-2025</t>
        </is>
      </c>
      <c r="B526" s="1" t="n">
        <v>45837</v>
      </c>
      <c r="C526" s="1" t="n">
        <v>45892</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2714-2023</t>
        </is>
      </c>
      <c r="B527" s="1" t="n">
        <v>44944.54896990741</v>
      </c>
      <c r="C527" s="1" t="n">
        <v>45892</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22897-2023</t>
        </is>
      </c>
      <c r="B528" s="1" t="n">
        <v>45072.55239583334</v>
      </c>
      <c r="C528" s="1" t="n">
        <v>45892</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34142-2024</t>
        </is>
      </c>
      <c r="B529" s="1" t="n">
        <v>45524.36521990741</v>
      </c>
      <c r="C529" s="1" t="n">
        <v>45892</v>
      </c>
      <c r="D529" t="inlineStr">
        <is>
          <t>GOTLANDS LÄN</t>
        </is>
      </c>
      <c r="E529" t="inlineStr">
        <is>
          <t>GOTLAND</t>
        </is>
      </c>
      <c r="G529" t="n">
        <v>6</v>
      </c>
      <c r="H529" t="n">
        <v>0</v>
      </c>
      <c r="I529" t="n">
        <v>0</v>
      </c>
      <c r="J529" t="n">
        <v>0</v>
      </c>
      <c r="K529" t="n">
        <v>0</v>
      </c>
      <c r="L529" t="n">
        <v>0</v>
      </c>
      <c r="M529" t="n">
        <v>0</v>
      </c>
      <c r="N529" t="n">
        <v>0</v>
      </c>
      <c r="O529" t="n">
        <v>0</v>
      </c>
      <c r="P529" t="n">
        <v>0</v>
      </c>
      <c r="Q529" t="n">
        <v>0</v>
      </c>
      <c r="R529" s="2" t="inlineStr"/>
    </row>
    <row r="530" ht="15" customHeight="1">
      <c r="A530" t="inlineStr">
        <is>
          <t>A 4568-2025</t>
        </is>
      </c>
      <c r="B530" s="1" t="n">
        <v>45687</v>
      </c>
      <c r="C530" s="1" t="n">
        <v>45892</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1681-2023</t>
        </is>
      </c>
      <c r="B531" s="1" t="n">
        <v>44938.39715277778</v>
      </c>
      <c r="C531" s="1" t="n">
        <v>45892</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33078-2025</t>
        </is>
      </c>
      <c r="B532" s="1" t="n">
        <v>45840</v>
      </c>
      <c r="C532" s="1" t="n">
        <v>45892</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42338-2023</t>
        </is>
      </c>
      <c r="B533" s="1" t="n">
        <v>45180</v>
      </c>
      <c r="C533" s="1" t="n">
        <v>45892</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1394-2023</t>
        </is>
      </c>
      <c r="B534" s="1" t="n">
        <v>44936.72997685185</v>
      </c>
      <c r="C534" s="1" t="n">
        <v>45892</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18918-2025</t>
        </is>
      </c>
      <c r="B535" s="1" t="n">
        <v>45764</v>
      </c>
      <c r="C535" s="1" t="n">
        <v>45892</v>
      </c>
      <c r="D535" t="inlineStr">
        <is>
          <t>GOTLANDS LÄN</t>
        </is>
      </c>
      <c r="E535" t="inlineStr">
        <is>
          <t>GOTLAND</t>
        </is>
      </c>
      <c r="G535" t="n">
        <v>1.7</v>
      </c>
      <c r="H535" t="n">
        <v>0</v>
      </c>
      <c r="I535" t="n">
        <v>0</v>
      </c>
      <c r="J535" t="n">
        <v>0</v>
      </c>
      <c r="K535" t="n">
        <v>0</v>
      </c>
      <c r="L535" t="n">
        <v>0</v>
      </c>
      <c r="M535" t="n">
        <v>0</v>
      </c>
      <c r="N535" t="n">
        <v>0</v>
      </c>
      <c r="O535" t="n">
        <v>0</v>
      </c>
      <c r="P535" t="n">
        <v>0</v>
      </c>
      <c r="Q535" t="n">
        <v>0</v>
      </c>
      <c r="R535" s="2" t="inlineStr"/>
    </row>
    <row r="536" ht="15" customHeight="1">
      <c r="A536" t="inlineStr">
        <is>
          <t>A 11013-2024</t>
        </is>
      </c>
      <c r="B536" s="1" t="n">
        <v>45370</v>
      </c>
      <c r="C536" s="1" t="n">
        <v>45892</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2676-2023</t>
        </is>
      </c>
      <c r="B537" s="1" t="n">
        <v>44944</v>
      </c>
      <c r="C537" s="1" t="n">
        <v>45892</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4387-2023</t>
        </is>
      </c>
      <c r="B538" s="1" t="n">
        <v>44955.73359953704</v>
      </c>
      <c r="C538" s="1" t="n">
        <v>45892</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33007-2025</t>
        </is>
      </c>
      <c r="B539" s="1" t="n">
        <v>45840</v>
      </c>
      <c r="C539" s="1" t="n">
        <v>45892</v>
      </c>
      <c r="D539" t="inlineStr">
        <is>
          <t>GOTLANDS LÄN</t>
        </is>
      </c>
      <c r="E539" t="inlineStr">
        <is>
          <t>GOTLAND</t>
        </is>
      </c>
      <c r="G539" t="n">
        <v>4.9</v>
      </c>
      <c r="H539" t="n">
        <v>0</v>
      </c>
      <c r="I539" t="n">
        <v>0</v>
      </c>
      <c r="J539" t="n">
        <v>0</v>
      </c>
      <c r="K539" t="n">
        <v>0</v>
      </c>
      <c r="L539" t="n">
        <v>0</v>
      </c>
      <c r="M539" t="n">
        <v>0</v>
      </c>
      <c r="N539" t="n">
        <v>0</v>
      </c>
      <c r="O539" t="n">
        <v>0</v>
      </c>
      <c r="P539" t="n">
        <v>0</v>
      </c>
      <c r="Q539" t="n">
        <v>0</v>
      </c>
      <c r="R539" s="2" t="inlineStr"/>
    </row>
    <row r="540" ht="15" customHeight="1">
      <c r="A540" t="inlineStr">
        <is>
          <t>A 33011-2025</t>
        </is>
      </c>
      <c r="B540" s="1" t="n">
        <v>45840</v>
      </c>
      <c r="C540" s="1" t="n">
        <v>45892</v>
      </c>
      <c r="D540" t="inlineStr">
        <is>
          <t>GOTLANDS LÄN</t>
        </is>
      </c>
      <c r="E540" t="inlineStr">
        <is>
          <t>GOTLAND</t>
        </is>
      </c>
      <c r="G540" t="n">
        <v>1.7</v>
      </c>
      <c r="H540" t="n">
        <v>0</v>
      </c>
      <c r="I540" t="n">
        <v>0</v>
      </c>
      <c r="J540" t="n">
        <v>0</v>
      </c>
      <c r="K540" t="n">
        <v>0</v>
      </c>
      <c r="L540" t="n">
        <v>0</v>
      </c>
      <c r="M540" t="n">
        <v>0</v>
      </c>
      <c r="N540" t="n">
        <v>0</v>
      </c>
      <c r="O540" t="n">
        <v>0</v>
      </c>
      <c r="P540" t="n">
        <v>0</v>
      </c>
      <c r="Q540" t="n">
        <v>0</v>
      </c>
      <c r="R540" s="2" t="inlineStr"/>
    </row>
    <row r="541" ht="15" customHeight="1">
      <c r="A541" t="inlineStr">
        <is>
          <t>A 49411-2023</t>
        </is>
      </c>
      <c r="B541" s="1" t="n">
        <v>45205</v>
      </c>
      <c r="C541" s="1" t="n">
        <v>45892</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37728-2024</t>
        </is>
      </c>
      <c r="B542" s="1" t="n">
        <v>45541</v>
      </c>
      <c r="C542" s="1" t="n">
        <v>45892</v>
      </c>
      <c r="D542" t="inlineStr">
        <is>
          <t>GOTLANDS LÄN</t>
        </is>
      </c>
      <c r="E542" t="inlineStr">
        <is>
          <t>GOTLAND</t>
        </is>
      </c>
      <c r="G542" t="n">
        <v>0.4</v>
      </c>
      <c r="H542" t="n">
        <v>0</v>
      </c>
      <c r="I542" t="n">
        <v>0</v>
      </c>
      <c r="J542" t="n">
        <v>0</v>
      </c>
      <c r="K542" t="n">
        <v>0</v>
      </c>
      <c r="L542" t="n">
        <v>0</v>
      </c>
      <c r="M542" t="n">
        <v>0</v>
      </c>
      <c r="N542" t="n">
        <v>0</v>
      </c>
      <c r="O542" t="n">
        <v>0</v>
      </c>
      <c r="P542" t="n">
        <v>0</v>
      </c>
      <c r="Q542" t="n">
        <v>0</v>
      </c>
      <c r="R542" s="2" t="inlineStr"/>
    </row>
    <row r="543" ht="15" customHeight="1">
      <c r="A543" t="inlineStr">
        <is>
          <t>A 45084-2024</t>
        </is>
      </c>
      <c r="B543" s="1" t="n">
        <v>45575</v>
      </c>
      <c r="C543" s="1" t="n">
        <v>45892</v>
      </c>
      <c r="D543" t="inlineStr">
        <is>
          <t>GOTLANDS LÄN</t>
        </is>
      </c>
      <c r="E543" t="inlineStr">
        <is>
          <t>GOTLAND</t>
        </is>
      </c>
      <c r="G543" t="n">
        <v>6.8</v>
      </c>
      <c r="H543" t="n">
        <v>0</v>
      </c>
      <c r="I543" t="n">
        <v>0</v>
      </c>
      <c r="J543" t="n">
        <v>0</v>
      </c>
      <c r="K543" t="n">
        <v>0</v>
      </c>
      <c r="L543" t="n">
        <v>0</v>
      </c>
      <c r="M543" t="n">
        <v>0</v>
      </c>
      <c r="N543" t="n">
        <v>0</v>
      </c>
      <c r="O543" t="n">
        <v>0</v>
      </c>
      <c r="P543" t="n">
        <v>0</v>
      </c>
      <c r="Q543" t="n">
        <v>0</v>
      </c>
      <c r="R543" s="2" t="inlineStr"/>
    </row>
    <row r="544" ht="15" customHeight="1">
      <c r="A544" t="inlineStr">
        <is>
          <t>A 13627-2023</t>
        </is>
      </c>
      <c r="B544" s="1" t="n">
        <v>45006</v>
      </c>
      <c r="C544" s="1" t="n">
        <v>45892</v>
      </c>
      <c r="D544" t="inlineStr">
        <is>
          <t>GOTLANDS LÄN</t>
        </is>
      </c>
      <c r="E544" t="inlineStr">
        <is>
          <t>GOTLAND</t>
        </is>
      </c>
      <c r="G544" t="n">
        <v>10.7</v>
      </c>
      <c r="H544" t="n">
        <v>0</v>
      </c>
      <c r="I544" t="n">
        <v>0</v>
      </c>
      <c r="J544" t="n">
        <v>0</v>
      </c>
      <c r="K544" t="n">
        <v>0</v>
      </c>
      <c r="L544" t="n">
        <v>0</v>
      </c>
      <c r="M544" t="n">
        <v>0</v>
      </c>
      <c r="N544" t="n">
        <v>0</v>
      </c>
      <c r="O544" t="n">
        <v>0</v>
      </c>
      <c r="P544" t="n">
        <v>0</v>
      </c>
      <c r="Q544" t="n">
        <v>0</v>
      </c>
      <c r="R544" s="2" t="inlineStr"/>
    </row>
    <row r="545" ht="15" customHeight="1">
      <c r="A545" t="inlineStr">
        <is>
          <t>A 20356-2022</t>
        </is>
      </c>
      <c r="B545" s="1" t="n">
        <v>44699</v>
      </c>
      <c r="C545" s="1" t="n">
        <v>45892</v>
      </c>
      <c r="D545" t="inlineStr">
        <is>
          <t>GOTLANDS LÄN</t>
        </is>
      </c>
      <c r="E545" t="inlineStr">
        <is>
          <t>GOTLAND</t>
        </is>
      </c>
      <c r="F545" t="inlineStr">
        <is>
          <t>Övriga Aktiebolag</t>
        </is>
      </c>
      <c r="G545" t="n">
        <v>4.4</v>
      </c>
      <c r="H545" t="n">
        <v>0</v>
      </c>
      <c r="I545" t="n">
        <v>0</v>
      </c>
      <c r="J545" t="n">
        <v>0</v>
      </c>
      <c r="K545" t="n">
        <v>0</v>
      </c>
      <c r="L545" t="n">
        <v>0</v>
      </c>
      <c r="M545" t="n">
        <v>0</v>
      </c>
      <c r="N545" t="n">
        <v>0</v>
      </c>
      <c r="O545" t="n">
        <v>0</v>
      </c>
      <c r="P545" t="n">
        <v>0</v>
      </c>
      <c r="Q545" t="n">
        <v>0</v>
      </c>
      <c r="R545" s="2" t="inlineStr"/>
    </row>
    <row r="546" ht="15" customHeight="1">
      <c r="A546" t="inlineStr">
        <is>
          <t>A 2241-2025</t>
        </is>
      </c>
      <c r="B546" s="1" t="n">
        <v>45673.48710648148</v>
      </c>
      <c r="C546" s="1" t="n">
        <v>45892</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16373-2025</t>
        </is>
      </c>
      <c r="B547" s="1" t="n">
        <v>45751</v>
      </c>
      <c r="C547" s="1" t="n">
        <v>45892</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4868-2024</t>
        </is>
      </c>
      <c r="B548" s="1" t="n">
        <v>45329</v>
      </c>
      <c r="C548" s="1" t="n">
        <v>45892</v>
      </c>
      <c r="D548" t="inlineStr">
        <is>
          <t>GOTLANDS LÄN</t>
        </is>
      </c>
      <c r="E548" t="inlineStr">
        <is>
          <t>GOTLAND</t>
        </is>
      </c>
      <c r="G548" t="n">
        <v>7.1</v>
      </c>
      <c r="H548" t="n">
        <v>0</v>
      </c>
      <c r="I548" t="n">
        <v>0</v>
      </c>
      <c r="J548" t="n">
        <v>0</v>
      </c>
      <c r="K548" t="n">
        <v>0</v>
      </c>
      <c r="L548" t="n">
        <v>0</v>
      </c>
      <c r="M548" t="n">
        <v>0</v>
      </c>
      <c r="N548" t="n">
        <v>0</v>
      </c>
      <c r="O548" t="n">
        <v>0</v>
      </c>
      <c r="P548" t="n">
        <v>0</v>
      </c>
      <c r="Q548" t="n">
        <v>0</v>
      </c>
      <c r="R548" s="2" t="inlineStr"/>
    </row>
    <row r="549" ht="15" customHeight="1">
      <c r="A549" t="inlineStr">
        <is>
          <t>A 9613-2025</t>
        </is>
      </c>
      <c r="B549" s="1" t="n">
        <v>45715</v>
      </c>
      <c r="C549" s="1" t="n">
        <v>45892</v>
      </c>
      <c r="D549" t="inlineStr">
        <is>
          <t>GOTLANDS LÄN</t>
        </is>
      </c>
      <c r="E549" t="inlineStr">
        <is>
          <t>GOTLAND</t>
        </is>
      </c>
      <c r="G549" t="n">
        <v>3.5</v>
      </c>
      <c r="H549" t="n">
        <v>0</v>
      </c>
      <c r="I549" t="n">
        <v>0</v>
      </c>
      <c r="J549" t="n">
        <v>0</v>
      </c>
      <c r="K549" t="n">
        <v>0</v>
      </c>
      <c r="L549" t="n">
        <v>0</v>
      </c>
      <c r="M549" t="n">
        <v>0</v>
      </c>
      <c r="N549" t="n">
        <v>0</v>
      </c>
      <c r="O549" t="n">
        <v>0</v>
      </c>
      <c r="P549" t="n">
        <v>0</v>
      </c>
      <c r="Q549" t="n">
        <v>0</v>
      </c>
      <c r="R549" s="2" t="inlineStr"/>
    </row>
    <row r="550" ht="15" customHeight="1">
      <c r="A550" t="inlineStr">
        <is>
          <t>A 5386-2023</t>
        </is>
      </c>
      <c r="B550" s="1" t="n">
        <v>44959</v>
      </c>
      <c r="C550" s="1" t="n">
        <v>45892</v>
      </c>
      <c r="D550" t="inlineStr">
        <is>
          <t>GOTLANDS LÄN</t>
        </is>
      </c>
      <c r="E550" t="inlineStr">
        <is>
          <t>GOTLAND</t>
        </is>
      </c>
      <c r="G550" t="n">
        <v>5.4</v>
      </c>
      <c r="H550" t="n">
        <v>0</v>
      </c>
      <c r="I550" t="n">
        <v>0</v>
      </c>
      <c r="J550" t="n">
        <v>0</v>
      </c>
      <c r="K550" t="n">
        <v>0</v>
      </c>
      <c r="L550" t="n">
        <v>0</v>
      </c>
      <c r="M550" t="n">
        <v>0</v>
      </c>
      <c r="N550" t="n">
        <v>0</v>
      </c>
      <c r="O550" t="n">
        <v>0</v>
      </c>
      <c r="P550" t="n">
        <v>0</v>
      </c>
      <c r="Q550" t="n">
        <v>0</v>
      </c>
      <c r="R550" s="2" t="inlineStr"/>
    </row>
    <row r="551" ht="15" customHeight="1">
      <c r="A551" t="inlineStr">
        <is>
          <t>A 38649-2025</t>
        </is>
      </c>
      <c r="B551" s="1" t="n">
        <v>45884</v>
      </c>
      <c r="C551" s="1" t="n">
        <v>45892</v>
      </c>
      <c r="D551" t="inlineStr">
        <is>
          <t>GOTLANDS LÄN</t>
        </is>
      </c>
      <c r="E551" t="inlineStr">
        <is>
          <t>GOTLAND</t>
        </is>
      </c>
      <c r="G551" t="n">
        <v>1.5</v>
      </c>
      <c r="H551" t="n">
        <v>0</v>
      </c>
      <c r="I551" t="n">
        <v>0</v>
      </c>
      <c r="J551" t="n">
        <v>0</v>
      </c>
      <c r="K551" t="n">
        <v>0</v>
      </c>
      <c r="L551" t="n">
        <v>0</v>
      </c>
      <c r="M551" t="n">
        <v>0</v>
      </c>
      <c r="N551" t="n">
        <v>0</v>
      </c>
      <c r="O551" t="n">
        <v>0</v>
      </c>
      <c r="P551" t="n">
        <v>0</v>
      </c>
      <c r="Q551" t="n">
        <v>0</v>
      </c>
      <c r="R551" s="2" t="inlineStr"/>
    </row>
    <row r="552" ht="15" customHeight="1">
      <c r="A552" t="inlineStr">
        <is>
          <t>A 58211-2024</t>
        </is>
      </c>
      <c r="B552" s="1" t="n">
        <v>45632.49292824074</v>
      </c>
      <c r="C552" s="1" t="n">
        <v>45892</v>
      </c>
      <c r="D552" t="inlineStr">
        <is>
          <t>GOTLANDS LÄN</t>
        </is>
      </c>
      <c r="E552" t="inlineStr">
        <is>
          <t>GOTLAND</t>
        </is>
      </c>
      <c r="G552" t="n">
        <v>5.4</v>
      </c>
      <c r="H552" t="n">
        <v>0</v>
      </c>
      <c r="I552" t="n">
        <v>0</v>
      </c>
      <c r="J552" t="n">
        <v>0</v>
      </c>
      <c r="K552" t="n">
        <v>0</v>
      </c>
      <c r="L552" t="n">
        <v>0</v>
      </c>
      <c r="M552" t="n">
        <v>0</v>
      </c>
      <c r="N552" t="n">
        <v>0</v>
      </c>
      <c r="O552" t="n">
        <v>0</v>
      </c>
      <c r="P552" t="n">
        <v>0</v>
      </c>
      <c r="Q552" t="n">
        <v>0</v>
      </c>
      <c r="R552" s="2" t="inlineStr"/>
    </row>
    <row r="553" ht="15" customHeight="1">
      <c r="A553" t="inlineStr">
        <is>
          <t>A 11634-2024</t>
        </is>
      </c>
      <c r="B553" s="1" t="n">
        <v>45373</v>
      </c>
      <c r="C553" s="1" t="n">
        <v>45892</v>
      </c>
      <c r="D553" t="inlineStr">
        <is>
          <t>GOTLANDS LÄN</t>
        </is>
      </c>
      <c r="E553" t="inlineStr">
        <is>
          <t>GOTLAND</t>
        </is>
      </c>
      <c r="G553" t="n">
        <v>3</v>
      </c>
      <c r="H553" t="n">
        <v>0</v>
      </c>
      <c r="I553" t="n">
        <v>0</v>
      </c>
      <c r="J553" t="n">
        <v>0</v>
      </c>
      <c r="K553" t="n">
        <v>0</v>
      </c>
      <c r="L553" t="n">
        <v>0</v>
      </c>
      <c r="M553" t="n">
        <v>0</v>
      </c>
      <c r="N553" t="n">
        <v>0</v>
      </c>
      <c r="O553" t="n">
        <v>0</v>
      </c>
      <c r="P553" t="n">
        <v>0</v>
      </c>
      <c r="Q553" t="n">
        <v>0</v>
      </c>
      <c r="R553" s="2" t="inlineStr"/>
    </row>
    <row r="554" ht="15" customHeight="1">
      <c r="A554" t="inlineStr">
        <is>
          <t>A 22275-2023</t>
        </is>
      </c>
      <c r="B554" s="1" t="n">
        <v>45070.39875</v>
      </c>
      <c r="C554" s="1" t="n">
        <v>45892</v>
      </c>
      <c r="D554" t="inlineStr">
        <is>
          <t>GOTLANDS LÄN</t>
        </is>
      </c>
      <c r="E554" t="inlineStr">
        <is>
          <t>GOTLAND</t>
        </is>
      </c>
      <c r="G554" t="n">
        <v>7.2</v>
      </c>
      <c r="H554" t="n">
        <v>0</v>
      </c>
      <c r="I554" t="n">
        <v>0</v>
      </c>
      <c r="J554" t="n">
        <v>0</v>
      </c>
      <c r="K554" t="n">
        <v>0</v>
      </c>
      <c r="L554" t="n">
        <v>0</v>
      </c>
      <c r="M554" t="n">
        <v>0</v>
      </c>
      <c r="N554" t="n">
        <v>0</v>
      </c>
      <c r="O554" t="n">
        <v>0</v>
      </c>
      <c r="P554" t="n">
        <v>0</v>
      </c>
      <c r="Q554" t="n">
        <v>0</v>
      </c>
      <c r="R554" s="2" t="inlineStr"/>
    </row>
    <row r="555" ht="15" customHeight="1">
      <c r="A555" t="inlineStr">
        <is>
          <t>A 5884-2025</t>
        </is>
      </c>
      <c r="B555" s="1" t="n">
        <v>45695.37482638889</v>
      </c>
      <c r="C555" s="1" t="n">
        <v>45892</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5897-2025</t>
        </is>
      </c>
      <c r="B556" s="1" t="n">
        <v>45695.39273148148</v>
      </c>
      <c r="C556" s="1" t="n">
        <v>45892</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5909-2025</t>
        </is>
      </c>
      <c r="B557" s="1" t="n">
        <v>45695.40634259259</v>
      </c>
      <c r="C557" s="1" t="n">
        <v>45892</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14635-2023</t>
        </is>
      </c>
      <c r="B558" s="1" t="n">
        <v>45013.69365740741</v>
      </c>
      <c r="C558" s="1" t="n">
        <v>45892</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45892</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63763-2023</t>
        </is>
      </c>
      <c r="B560" s="1" t="n">
        <v>45278.33944444444</v>
      </c>
      <c r="C560" s="1" t="n">
        <v>45892</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22704-2023</t>
        </is>
      </c>
      <c r="B561" s="1" t="n">
        <v>45071</v>
      </c>
      <c r="C561" s="1" t="n">
        <v>45892</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7635-2025</t>
        </is>
      </c>
      <c r="B562" s="1" t="n">
        <v>45705</v>
      </c>
      <c r="C562" s="1" t="n">
        <v>45892</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7636-2025</t>
        </is>
      </c>
      <c r="B563" s="1" t="n">
        <v>45705.7687962963</v>
      </c>
      <c r="C563" s="1" t="n">
        <v>45892</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7639-2025</t>
        </is>
      </c>
      <c r="B564" s="1" t="n">
        <v>45705.77465277778</v>
      </c>
      <c r="C564" s="1" t="n">
        <v>45892</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61682-2024</t>
        </is>
      </c>
      <c r="B565" s="1" t="n">
        <v>45647.48824074074</v>
      </c>
      <c r="C565" s="1" t="n">
        <v>45892</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39278-2025</t>
        </is>
      </c>
      <c r="B566" s="1" t="n">
        <v>45889</v>
      </c>
      <c r="C566" s="1" t="n">
        <v>45892</v>
      </c>
      <c r="D566" t="inlineStr">
        <is>
          <t>GOTLANDS LÄN</t>
        </is>
      </c>
      <c r="E566" t="inlineStr">
        <is>
          <t>GOTLAND</t>
        </is>
      </c>
      <c r="G566" t="n">
        <v>3.7</v>
      </c>
      <c r="H566" t="n">
        <v>0</v>
      </c>
      <c r="I566" t="n">
        <v>0</v>
      </c>
      <c r="J566" t="n">
        <v>0</v>
      </c>
      <c r="K566" t="n">
        <v>0</v>
      </c>
      <c r="L566" t="n">
        <v>0</v>
      </c>
      <c r="M566" t="n">
        <v>0</v>
      </c>
      <c r="N566" t="n">
        <v>0</v>
      </c>
      <c r="O566" t="n">
        <v>0</v>
      </c>
      <c r="P566" t="n">
        <v>0</v>
      </c>
      <c r="Q566" t="n">
        <v>0</v>
      </c>
      <c r="R566" s="2" t="inlineStr"/>
    </row>
    <row r="567" ht="15" customHeight="1">
      <c r="A567" t="inlineStr">
        <is>
          <t>A 15434-2024</t>
        </is>
      </c>
      <c r="B567" s="1" t="n">
        <v>45401.38836805556</v>
      </c>
      <c r="C567" s="1" t="n">
        <v>45892</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17847-2025</t>
        </is>
      </c>
      <c r="B568" s="1" t="n">
        <v>45758</v>
      </c>
      <c r="C568" s="1" t="n">
        <v>45892</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39816-2025</t>
        </is>
      </c>
      <c r="B569" s="1" t="n">
        <v>45891</v>
      </c>
      <c r="C569" s="1" t="n">
        <v>45892</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39814-2025</t>
        </is>
      </c>
      <c r="B570" s="1" t="n">
        <v>45891.52694444444</v>
      </c>
      <c r="C570" s="1" t="n">
        <v>45892</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39849-2025</t>
        </is>
      </c>
      <c r="B571" s="1" t="n">
        <v>45891.58502314815</v>
      </c>
      <c r="C571" s="1" t="n">
        <v>45892</v>
      </c>
      <c r="D571" t="inlineStr">
        <is>
          <t>GOTLANDS LÄN</t>
        </is>
      </c>
      <c r="E571" t="inlineStr">
        <is>
          <t>GOTLAND</t>
        </is>
      </c>
      <c r="G571" t="n">
        <v>6.1</v>
      </c>
      <c r="H571" t="n">
        <v>0</v>
      </c>
      <c r="I571" t="n">
        <v>0</v>
      </c>
      <c r="J571" t="n">
        <v>0</v>
      </c>
      <c r="K571" t="n">
        <v>0</v>
      </c>
      <c r="L571" t="n">
        <v>0</v>
      </c>
      <c r="M571" t="n">
        <v>0</v>
      </c>
      <c r="N571" t="n">
        <v>0</v>
      </c>
      <c r="O571" t="n">
        <v>0</v>
      </c>
      <c r="P571" t="n">
        <v>0</v>
      </c>
      <c r="Q571" t="n">
        <v>0</v>
      </c>
      <c r="R571" s="2" t="inlineStr"/>
    </row>
    <row r="572" ht="15" customHeight="1">
      <c r="A572" t="inlineStr">
        <is>
          <t>A 25866-2022</t>
        </is>
      </c>
      <c r="B572" s="1" t="n">
        <v>44733</v>
      </c>
      <c r="C572" s="1" t="n">
        <v>45892</v>
      </c>
      <c r="D572" t="inlineStr">
        <is>
          <t>GOTLANDS LÄN</t>
        </is>
      </c>
      <c r="E572" t="inlineStr">
        <is>
          <t>GOTLAND</t>
        </is>
      </c>
      <c r="G572" t="n">
        <v>2.9</v>
      </c>
      <c r="H572" t="n">
        <v>0</v>
      </c>
      <c r="I572" t="n">
        <v>0</v>
      </c>
      <c r="J572" t="n">
        <v>0</v>
      </c>
      <c r="K572" t="n">
        <v>0</v>
      </c>
      <c r="L572" t="n">
        <v>0</v>
      </c>
      <c r="M572" t="n">
        <v>0</v>
      </c>
      <c r="N572" t="n">
        <v>0</v>
      </c>
      <c r="O572" t="n">
        <v>0</v>
      </c>
      <c r="P572" t="n">
        <v>0</v>
      </c>
      <c r="Q572" t="n">
        <v>0</v>
      </c>
      <c r="R572" s="2" t="inlineStr"/>
    </row>
    <row r="573" ht="15" customHeight="1">
      <c r="A573" t="inlineStr">
        <is>
          <t>A 7034-2023</t>
        </is>
      </c>
      <c r="B573" s="1" t="n">
        <v>44968.32108796296</v>
      </c>
      <c r="C573" s="1" t="n">
        <v>45892</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7042-2023</t>
        </is>
      </c>
      <c r="B574" s="1" t="n">
        <v>44968</v>
      </c>
      <c r="C574" s="1" t="n">
        <v>45892</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2180-2025</t>
        </is>
      </c>
      <c r="B575" s="1" t="n">
        <v>45673</v>
      </c>
      <c r="C575" s="1" t="n">
        <v>45892</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15413-2025</t>
        </is>
      </c>
      <c r="B576" s="1" t="n">
        <v>45747.451875</v>
      </c>
      <c r="C576" s="1" t="n">
        <v>45892</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39819-2025</t>
        </is>
      </c>
      <c r="B577" s="1" t="n">
        <v>45891.53418981482</v>
      </c>
      <c r="C577" s="1" t="n">
        <v>45892</v>
      </c>
      <c r="D577" t="inlineStr">
        <is>
          <t>GOTLANDS LÄN</t>
        </is>
      </c>
      <c r="E577" t="inlineStr">
        <is>
          <t>GOTLAND</t>
        </is>
      </c>
      <c r="G577" t="n">
        <v>3.1</v>
      </c>
      <c r="H577" t="n">
        <v>0</v>
      </c>
      <c r="I577" t="n">
        <v>0</v>
      </c>
      <c r="J577" t="n">
        <v>0</v>
      </c>
      <c r="K577" t="n">
        <v>0</v>
      </c>
      <c r="L577" t="n">
        <v>0</v>
      </c>
      <c r="M577" t="n">
        <v>0</v>
      </c>
      <c r="N577" t="n">
        <v>0</v>
      </c>
      <c r="O577" t="n">
        <v>0</v>
      </c>
      <c r="P577" t="n">
        <v>0</v>
      </c>
      <c r="Q577" t="n">
        <v>0</v>
      </c>
      <c r="R577" s="2" t="inlineStr"/>
    </row>
    <row r="578" ht="15" customHeight="1">
      <c r="A578" t="inlineStr">
        <is>
          <t>A 15001-2025</t>
        </is>
      </c>
      <c r="B578" s="1" t="n">
        <v>45743</v>
      </c>
      <c r="C578" s="1" t="n">
        <v>45892</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39752-2025</t>
        </is>
      </c>
      <c r="B579" s="1" t="n">
        <v>45891</v>
      </c>
      <c r="C579" s="1" t="n">
        <v>45892</v>
      </c>
      <c r="D579" t="inlineStr">
        <is>
          <t>GOTLANDS LÄN</t>
        </is>
      </c>
      <c r="E579" t="inlineStr">
        <is>
          <t>GOTLAND</t>
        </is>
      </c>
      <c r="G579" t="n">
        <v>5.3</v>
      </c>
      <c r="H579" t="n">
        <v>0</v>
      </c>
      <c r="I579" t="n">
        <v>0</v>
      </c>
      <c r="J579" t="n">
        <v>0</v>
      </c>
      <c r="K579" t="n">
        <v>0</v>
      </c>
      <c r="L579" t="n">
        <v>0</v>
      </c>
      <c r="M579" t="n">
        <v>0</v>
      </c>
      <c r="N579" t="n">
        <v>0</v>
      </c>
      <c r="O579" t="n">
        <v>0</v>
      </c>
      <c r="P579" t="n">
        <v>0</v>
      </c>
      <c r="Q579" t="n">
        <v>0</v>
      </c>
      <c r="R579" s="2" t="inlineStr"/>
    </row>
    <row r="580" ht="15" customHeight="1">
      <c r="A580" t="inlineStr">
        <is>
          <t>A 9887-2025</t>
        </is>
      </c>
      <c r="B580" s="1" t="n">
        <v>45716</v>
      </c>
      <c r="C580" s="1" t="n">
        <v>45892</v>
      </c>
      <c r="D580" t="inlineStr">
        <is>
          <t>GOTLANDS LÄN</t>
        </is>
      </c>
      <c r="E580" t="inlineStr">
        <is>
          <t>GOTLAND</t>
        </is>
      </c>
      <c r="G580" t="n">
        <v>7.5</v>
      </c>
      <c r="H580" t="n">
        <v>0</v>
      </c>
      <c r="I580" t="n">
        <v>0</v>
      </c>
      <c r="J580" t="n">
        <v>0</v>
      </c>
      <c r="K580" t="n">
        <v>0</v>
      </c>
      <c r="L580" t="n">
        <v>0</v>
      </c>
      <c r="M580" t="n">
        <v>0</v>
      </c>
      <c r="N580" t="n">
        <v>0</v>
      </c>
      <c r="O580" t="n">
        <v>0</v>
      </c>
      <c r="P580" t="n">
        <v>0</v>
      </c>
      <c r="Q580" t="n">
        <v>0</v>
      </c>
      <c r="R580" s="2" t="inlineStr"/>
    </row>
    <row r="581" ht="15" customHeight="1">
      <c r="A581" t="inlineStr">
        <is>
          <t>A 54074-2022</t>
        </is>
      </c>
      <c r="B581" s="1" t="n">
        <v>44881</v>
      </c>
      <c r="C581" s="1" t="n">
        <v>45892</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12209-2024</t>
        </is>
      </c>
      <c r="B582" s="1" t="n">
        <v>45378</v>
      </c>
      <c r="C582" s="1" t="n">
        <v>45892</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12210-2024</t>
        </is>
      </c>
      <c r="B583" s="1" t="n">
        <v>45378</v>
      </c>
      <c r="C583" s="1" t="n">
        <v>45892</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61694-2023</t>
        </is>
      </c>
      <c r="B584" s="1" t="n">
        <v>45264</v>
      </c>
      <c r="C584" s="1" t="n">
        <v>45892</v>
      </c>
      <c r="D584" t="inlineStr">
        <is>
          <t>GOTLANDS LÄN</t>
        </is>
      </c>
      <c r="E584" t="inlineStr">
        <is>
          <t>GOTLAND</t>
        </is>
      </c>
      <c r="G584" t="n">
        <v>4.6</v>
      </c>
      <c r="H584" t="n">
        <v>0</v>
      </c>
      <c r="I584" t="n">
        <v>0</v>
      </c>
      <c r="J584" t="n">
        <v>0</v>
      </c>
      <c r="K584" t="n">
        <v>0</v>
      </c>
      <c r="L584" t="n">
        <v>0</v>
      </c>
      <c r="M584" t="n">
        <v>0</v>
      </c>
      <c r="N584" t="n">
        <v>0</v>
      </c>
      <c r="O584" t="n">
        <v>0</v>
      </c>
      <c r="P584" t="n">
        <v>0</v>
      </c>
      <c r="Q584" t="n">
        <v>0</v>
      </c>
      <c r="R584" s="2" t="inlineStr"/>
    </row>
    <row r="585" ht="15" customHeight="1">
      <c r="A585" t="inlineStr">
        <is>
          <t>A 59986-2022</t>
        </is>
      </c>
      <c r="B585" s="1" t="n">
        <v>44909</v>
      </c>
      <c r="C585" s="1" t="n">
        <v>45892</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64208-2021</t>
        </is>
      </c>
      <c r="B586" s="1" t="n">
        <v>44510</v>
      </c>
      <c r="C586" s="1" t="n">
        <v>45892</v>
      </c>
      <c r="D586" t="inlineStr">
        <is>
          <t>GOTLANDS LÄN</t>
        </is>
      </c>
      <c r="E586" t="inlineStr">
        <is>
          <t>GOTLAND</t>
        </is>
      </c>
      <c r="G586" t="n">
        <v>4.7</v>
      </c>
      <c r="H586" t="n">
        <v>0</v>
      </c>
      <c r="I586" t="n">
        <v>0</v>
      </c>
      <c r="J586" t="n">
        <v>0</v>
      </c>
      <c r="K586" t="n">
        <v>0</v>
      </c>
      <c r="L586" t="n">
        <v>0</v>
      </c>
      <c r="M586" t="n">
        <v>0</v>
      </c>
      <c r="N586" t="n">
        <v>0</v>
      </c>
      <c r="O586" t="n">
        <v>0</v>
      </c>
      <c r="P586" t="n">
        <v>0</v>
      </c>
      <c r="Q586" t="n">
        <v>0</v>
      </c>
      <c r="R586" s="2" t="inlineStr"/>
    </row>
    <row r="587" ht="15" customHeight="1">
      <c r="A587" t="inlineStr">
        <is>
          <t>A 54268-2022</t>
        </is>
      </c>
      <c r="B587" s="1" t="n">
        <v>44882</v>
      </c>
      <c r="C587" s="1" t="n">
        <v>45892</v>
      </c>
      <c r="D587" t="inlineStr">
        <is>
          <t>GOTLANDS LÄN</t>
        </is>
      </c>
      <c r="E587" t="inlineStr">
        <is>
          <t>GOTLAND</t>
        </is>
      </c>
      <c r="G587" t="n">
        <v>2.7</v>
      </c>
      <c r="H587" t="n">
        <v>0</v>
      </c>
      <c r="I587" t="n">
        <v>0</v>
      </c>
      <c r="J587" t="n">
        <v>0</v>
      </c>
      <c r="K587" t="n">
        <v>0</v>
      </c>
      <c r="L587" t="n">
        <v>0</v>
      </c>
      <c r="M587" t="n">
        <v>0</v>
      </c>
      <c r="N587" t="n">
        <v>0</v>
      </c>
      <c r="O587" t="n">
        <v>0</v>
      </c>
      <c r="P587" t="n">
        <v>0</v>
      </c>
      <c r="Q587" t="n">
        <v>0</v>
      </c>
      <c r="R587" s="2" t="inlineStr"/>
    </row>
    <row r="588" ht="15" customHeight="1">
      <c r="A588" t="inlineStr">
        <is>
          <t>A 1446-2025</t>
        </is>
      </c>
      <c r="B588" s="1" t="n">
        <v>45669.86035879629</v>
      </c>
      <c r="C588" s="1" t="n">
        <v>45892</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1462-2025</t>
        </is>
      </c>
      <c r="B589" s="1" t="n">
        <v>45670.36319444444</v>
      </c>
      <c r="C589" s="1" t="n">
        <v>45892</v>
      </c>
      <c r="D589" t="inlineStr">
        <is>
          <t>GOTLANDS LÄN</t>
        </is>
      </c>
      <c r="E589" t="inlineStr">
        <is>
          <t>GOTLAND</t>
        </is>
      </c>
      <c r="G589" t="n">
        <v>2.8</v>
      </c>
      <c r="H589" t="n">
        <v>0</v>
      </c>
      <c r="I589" t="n">
        <v>0</v>
      </c>
      <c r="J589" t="n">
        <v>0</v>
      </c>
      <c r="K589" t="n">
        <v>0</v>
      </c>
      <c r="L589" t="n">
        <v>0</v>
      </c>
      <c r="M589" t="n">
        <v>0</v>
      </c>
      <c r="N589" t="n">
        <v>0</v>
      </c>
      <c r="O589" t="n">
        <v>0</v>
      </c>
      <c r="P589" t="n">
        <v>0</v>
      </c>
      <c r="Q589" t="n">
        <v>0</v>
      </c>
      <c r="R589" s="2" t="inlineStr"/>
    </row>
    <row r="590" ht="15" customHeight="1">
      <c r="A590" t="inlineStr">
        <is>
          <t>A 57685-2022</t>
        </is>
      </c>
      <c r="B590" s="1" t="n">
        <v>44897.4777662037</v>
      </c>
      <c r="C590" s="1" t="n">
        <v>45892</v>
      </c>
      <c r="D590" t="inlineStr">
        <is>
          <t>GOTLANDS LÄN</t>
        </is>
      </c>
      <c r="E590" t="inlineStr">
        <is>
          <t>GOTLAND</t>
        </is>
      </c>
      <c r="G590" t="n">
        <v>3.7</v>
      </c>
      <c r="H590" t="n">
        <v>0</v>
      </c>
      <c r="I590" t="n">
        <v>0</v>
      </c>
      <c r="J590" t="n">
        <v>0</v>
      </c>
      <c r="K590" t="n">
        <v>0</v>
      </c>
      <c r="L590" t="n">
        <v>0</v>
      </c>
      <c r="M590" t="n">
        <v>0</v>
      </c>
      <c r="N590" t="n">
        <v>0</v>
      </c>
      <c r="O590" t="n">
        <v>0</v>
      </c>
      <c r="P590" t="n">
        <v>0</v>
      </c>
      <c r="Q590" t="n">
        <v>0</v>
      </c>
      <c r="R590" s="2" t="inlineStr"/>
    </row>
    <row r="591" ht="15" customHeight="1">
      <c r="A591" t="inlineStr">
        <is>
          <t>A 31802-2024</t>
        </is>
      </c>
      <c r="B591" s="1" t="n">
        <v>45509</v>
      </c>
      <c r="C591" s="1" t="n">
        <v>45892</v>
      </c>
      <c r="D591" t="inlineStr">
        <is>
          <t>GOTLANDS LÄN</t>
        </is>
      </c>
      <c r="E591" t="inlineStr">
        <is>
          <t>GOTLAND</t>
        </is>
      </c>
      <c r="G591" t="n">
        <v>2.8</v>
      </c>
      <c r="H591" t="n">
        <v>0</v>
      </c>
      <c r="I591" t="n">
        <v>0</v>
      </c>
      <c r="J591" t="n">
        <v>0</v>
      </c>
      <c r="K591" t="n">
        <v>0</v>
      </c>
      <c r="L591" t="n">
        <v>0</v>
      </c>
      <c r="M591" t="n">
        <v>0</v>
      </c>
      <c r="N591" t="n">
        <v>0</v>
      </c>
      <c r="O591" t="n">
        <v>0</v>
      </c>
      <c r="P591" t="n">
        <v>0</v>
      </c>
      <c r="Q591" t="n">
        <v>0</v>
      </c>
      <c r="R591" s="2" t="inlineStr"/>
    </row>
    <row r="592" ht="15" customHeight="1">
      <c r="A592" t="inlineStr">
        <is>
          <t>A 811-2023</t>
        </is>
      </c>
      <c r="B592" s="1" t="n">
        <v>44931</v>
      </c>
      <c r="C592" s="1" t="n">
        <v>45892</v>
      </c>
      <c r="D592" t="inlineStr">
        <is>
          <t>GOTLANDS LÄN</t>
        </is>
      </c>
      <c r="E592" t="inlineStr">
        <is>
          <t>GOTLAND</t>
        </is>
      </c>
      <c r="G592" t="n">
        <v>0.6</v>
      </c>
      <c r="H592" t="n">
        <v>0</v>
      </c>
      <c r="I592" t="n">
        <v>0</v>
      </c>
      <c r="J592" t="n">
        <v>0</v>
      </c>
      <c r="K592" t="n">
        <v>0</v>
      </c>
      <c r="L592" t="n">
        <v>0</v>
      </c>
      <c r="M592" t="n">
        <v>0</v>
      </c>
      <c r="N592" t="n">
        <v>0</v>
      </c>
      <c r="O592" t="n">
        <v>0</v>
      </c>
      <c r="P592" t="n">
        <v>0</v>
      </c>
      <c r="Q592" t="n">
        <v>0</v>
      </c>
      <c r="R592" s="2" t="inlineStr"/>
    </row>
    <row r="593" ht="15" customHeight="1">
      <c r="A593" t="inlineStr">
        <is>
          <t>A 1728-2025</t>
        </is>
      </c>
      <c r="B593" s="1" t="n">
        <v>45671.3565162037</v>
      </c>
      <c r="C593" s="1" t="n">
        <v>45892</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20993-2023</t>
        </is>
      </c>
      <c r="B594" s="1" t="n">
        <v>45056</v>
      </c>
      <c r="C594" s="1" t="n">
        <v>45892</v>
      </c>
      <c r="D594" t="inlineStr">
        <is>
          <t>GOTLANDS LÄN</t>
        </is>
      </c>
      <c r="E594" t="inlineStr">
        <is>
          <t>GOTLAND</t>
        </is>
      </c>
      <c r="G594" t="n">
        <v>7.1</v>
      </c>
      <c r="H594" t="n">
        <v>0</v>
      </c>
      <c r="I594" t="n">
        <v>0</v>
      </c>
      <c r="J594" t="n">
        <v>0</v>
      </c>
      <c r="K594" t="n">
        <v>0</v>
      </c>
      <c r="L594" t="n">
        <v>0</v>
      </c>
      <c r="M594" t="n">
        <v>0</v>
      </c>
      <c r="N594" t="n">
        <v>0</v>
      </c>
      <c r="O594" t="n">
        <v>0</v>
      </c>
      <c r="P594" t="n">
        <v>0</v>
      </c>
      <c r="Q594" t="n">
        <v>0</v>
      </c>
      <c r="R594" s="2" t="inlineStr"/>
    </row>
    <row r="595" ht="15" customHeight="1">
      <c r="A595" t="inlineStr">
        <is>
          <t>A 15042-2025</t>
        </is>
      </c>
      <c r="B595" s="1" t="n">
        <v>45743</v>
      </c>
      <c r="C595" s="1" t="n">
        <v>45892</v>
      </c>
      <c r="D595" t="inlineStr">
        <is>
          <t>GOTLANDS LÄN</t>
        </is>
      </c>
      <c r="E595" t="inlineStr">
        <is>
          <t>GOTLAND</t>
        </is>
      </c>
      <c r="G595" t="n">
        <v>8.5</v>
      </c>
      <c r="H595" t="n">
        <v>0</v>
      </c>
      <c r="I595" t="n">
        <v>0</v>
      </c>
      <c r="J595" t="n">
        <v>0</v>
      </c>
      <c r="K595" t="n">
        <v>0</v>
      </c>
      <c r="L595" t="n">
        <v>0</v>
      </c>
      <c r="M595" t="n">
        <v>0</v>
      </c>
      <c r="N595" t="n">
        <v>0</v>
      </c>
      <c r="O595" t="n">
        <v>0</v>
      </c>
      <c r="P595" t="n">
        <v>0</v>
      </c>
      <c r="Q595" t="n">
        <v>0</v>
      </c>
      <c r="R595" s="2" t="inlineStr"/>
    </row>
    <row r="596" ht="15" customHeight="1">
      <c r="A596" t="inlineStr">
        <is>
          <t>A 12327-2025</t>
        </is>
      </c>
      <c r="B596" s="1" t="n">
        <v>45730</v>
      </c>
      <c r="C596" s="1" t="n">
        <v>45892</v>
      </c>
      <c r="D596" t="inlineStr">
        <is>
          <t>GOTLANDS LÄN</t>
        </is>
      </c>
      <c r="E596" t="inlineStr">
        <is>
          <t>GOTLAND</t>
        </is>
      </c>
      <c r="G596" t="n">
        <v>1.8</v>
      </c>
      <c r="H596" t="n">
        <v>0</v>
      </c>
      <c r="I596" t="n">
        <v>0</v>
      </c>
      <c r="J596" t="n">
        <v>0</v>
      </c>
      <c r="K596" t="n">
        <v>0</v>
      </c>
      <c r="L596" t="n">
        <v>0</v>
      </c>
      <c r="M596" t="n">
        <v>0</v>
      </c>
      <c r="N596" t="n">
        <v>0</v>
      </c>
      <c r="O596" t="n">
        <v>0</v>
      </c>
      <c r="P596" t="n">
        <v>0</v>
      </c>
      <c r="Q596" t="n">
        <v>0</v>
      </c>
      <c r="R596" s="2" t="inlineStr"/>
    </row>
    <row r="597" ht="15" customHeight="1">
      <c r="A597" t="inlineStr">
        <is>
          <t>A 5905-2024</t>
        </is>
      </c>
      <c r="B597" s="1" t="n">
        <v>45335.88993055555</v>
      </c>
      <c r="C597" s="1" t="n">
        <v>45892</v>
      </c>
      <c r="D597" t="inlineStr">
        <is>
          <t>GOTLANDS LÄN</t>
        </is>
      </c>
      <c r="E597" t="inlineStr">
        <is>
          <t>GOTLAND</t>
        </is>
      </c>
      <c r="G597" t="n">
        <v>3</v>
      </c>
      <c r="H597" t="n">
        <v>0</v>
      </c>
      <c r="I597" t="n">
        <v>0</v>
      </c>
      <c r="J597" t="n">
        <v>0</v>
      </c>
      <c r="K597" t="n">
        <v>0</v>
      </c>
      <c r="L597" t="n">
        <v>0</v>
      </c>
      <c r="M597" t="n">
        <v>0</v>
      </c>
      <c r="N597" t="n">
        <v>0</v>
      </c>
      <c r="O597" t="n">
        <v>0</v>
      </c>
      <c r="P597" t="n">
        <v>0</v>
      </c>
      <c r="Q597" t="n">
        <v>0</v>
      </c>
      <c r="R597" s="2" t="inlineStr"/>
    </row>
    <row r="598" ht="15" customHeight="1">
      <c r="A598" t="inlineStr">
        <is>
          <t>A 4420-2025</t>
        </is>
      </c>
      <c r="B598" s="1" t="n">
        <v>45686.47157407407</v>
      </c>
      <c r="C598" s="1" t="n">
        <v>45892</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3431-2025</t>
        </is>
      </c>
      <c r="B599" s="1" t="n">
        <v>45680.42935185185</v>
      </c>
      <c r="C599" s="1" t="n">
        <v>45892</v>
      </c>
      <c r="D599" t="inlineStr">
        <is>
          <t>GOTLANDS LÄN</t>
        </is>
      </c>
      <c r="E599" t="inlineStr">
        <is>
          <t>GOTLAND</t>
        </is>
      </c>
      <c r="G599" t="n">
        <v>4.8</v>
      </c>
      <c r="H599" t="n">
        <v>0</v>
      </c>
      <c r="I599" t="n">
        <v>0</v>
      </c>
      <c r="J599" t="n">
        <v>0</v>
      </c>
      <c r="K599" t="n">
        <v>0</v>
      </c>
      <c r="L599" t="n">
        <v>0</v>
      </c>
      <c r="M599" t="n">
        <v>0</v>
      </c>
      <c r="N599" t="n">
        <v>0</v>
      </c>
      <c r="O599" t="n">
        <v>0</v>
      </c>
      <c r="P599" t="n">
        <v>0</v>
      </c>
      <c r="Q599" t="n">
        <v>0</v>
      </c>
      <c r="R599" s="2" t="inlineStr"/>
    </row>
    <row r="600" ht="15" customHeight="1">
      <c r="A600" t="inlineStr">
        <is>
          <t>A 34407-2023</t>
        </is>
      </c>
      <c r="B600" s="1" t="n">
        <v>45132</v>
      </c>
      <c r="C600" s="1" t="n">
        <v>45892</v>
      </c>
      <c r="D600" t="inlineStr">
        <is>
          <t>GOTLANDS LÄN</t>
        </is>
      </c>
      <c r="E600" t="inlineStr">
        <is>
          <t>GOTLAND</t>
        </is>
      </c>
      <c r="G600" t="n">
        <v>4.4</v>
      </c>
      <c r="H600" t="n">
        <v>0</v>
      </c>
      <c r="I600" t="n">
        <v>0</v>
      </c>
      <c r="J600" t="n">
        <v>0</v>
      </c>
      <c r="K600" t="n">
        <v>0</v>
      </c>
      <c r="L600" t="n">
        <v>0</v>
      </c>
      <c r="M600" t="n">
        <v>0</v>
      </c>
      <c r="N600" t="n">
        <v>0</v>
      </c>
      <c r="O600" t="n">
        <v>0</v>
      </c>
      <c r="P600" t="n">
        <v>0</v>
      </c>
      <c r="Q600" t="n">
        <v>0</v>
      </c>
      <c r="R600" s="2" t="inlineStr"/>
    </row>
    <row r="601" ht="15" customHeight="1">
      <c r="A601" t="inlineStr">
        <is>
          <t>A 30892-2024</t>
        </is>
      </c>
      <c r="B601" s="1" t="n">
        <v>45491</v>
      </c>
      <c r="C601" s="1" t="n">
        <v>45892</v>
      </c>
      <c r="D601" t="inlineStr">
        <is>
          <t>GOTLANDS LÄN</t>
        </is>
      </c>
      <c r="E601" t="inlineStr">
        <is>
          <t>GOTLAND</t>
        </is>
      </c>
      <c r="G601" t="n">
        <v>6.1</v>
      </c>
      <c r="H601" t="n">
        <v>0</v>
      </c>
      <c r="I601" t="n">
        <v>0</v>
      </c>
      <c r="J601" t="n">
        <v>0</v>
      </c>
      <c r="K601" t="n">
        <v>0</v>
      </c>
      <c r="L601" t="n">
        <v>0</v>
      </c>
      <c r="M601" t="n">
        <v>0</v>
      </c>
      <c r="N601" t="n">
        <v>0</v>
      </c>
      <c r="O601" t="n">
        <v>0</v>
      </c>
      <c r="P601" t="n">
        <v>0</v>
      </c>
      <c r="Q601" t="n">
        <v>0</v>
      </c>
      <c r="R601" s="2" t="inlineStr"/>
    </row>
    <row r="602" ht="15" customHeight="1">
      <c r="A602" t="inlineStr">
        <is>
          <t>A 32958-2021</t>
        </is>
      </c>
      <c r="B602" s="1" t="n">
        <v>44376</v>
      </c>
      <c r="C602" s="1" t="n">
        <v>45892</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ht="15" customHeight="1">
      <c r="A603" t="inlineStr">
        <is>
          <t>A 7858-2025</t>
        </is>
      </c>
      <c r="B603" s="1" t="n">
        <v>45706.68633101852</v>
      </c>
      <c r="C603" s="1" t="n">
        <v>45892</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row r="604">
      <c r="A604" t="inlineStr">
        <is>
          <t>A 46545-2024</t>
        </is>
      </c>
      <c r="B604" s="1" t="n">
        <v>45582.65831018519</v>
      </c>
      <c r="C604" s="1" t="n">
        <v>45892</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2025-08-23T08:38:30Z</dcterms:created>
  <dcterms:modified xmlns:dcterms="http://purl.org/dc/terms/" xmlns:xsi="http://www.w3.org/2001/XMLSchema-instance" xsi:type="dcterms:W3CDTF">2025-08-23T08:38:31Z</dcterms:modified>
</cp:coreProperties>
</file>