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46176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46176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30542-2025</t>
        </is>
      </c>
      <c r="B8" s="1" t="n">
        <v>45831</v>
      </c>
      <c r="C8" s="1" t="n">
        <v>46176</v>
      </c>
      <c r="D8" t="inlineStr">
        <is>
          <t>GOTLANDS LÄN</t>
        </is>
      </c>
      <c r="E8" t="inlineStr">
        <is>
          <t>GOTLAND</t>
        </is>
      </c>
      <c r="G8" t="n">
        <v>8.300000000000001</v>
      </c>
      <c r="H8" t="n">
        <v>6</v>
      </c>
      <c r="I8" t="n">
        <v>11</v>
      </c>
      <c r="J8" t="n">
        <v>9</v>
      </c>
      <c r="K8" t="n">
        <v>6</v>
      </c>
      <c r="L8" t="n">
        <v>2</v>
      </c>
      <c r="M8" t="n">
        <v>0</v>
      </c>
      <c r="N8" t="n">
        <v>0</v>
      </c>
      <c r="O8" t="n">
        <v>18</v>
      </c>
      <c r="P8" t="n">
        <v>8</v>
      </c>
      <c r="Q8" t="n">
        <v>31</v>
      </c>
      <c r="R8"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43785-2024</t>
        </is>
      </c>
      <c r="B9" s="1" t="n">
        <v>45570</v>
      </c>
      <c r="C9" s="1" t="n">
        <v>46176</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30236-2025</t>
        </is>
      </c>
      <c r="B10" s="1" t="n">
        <v>45827</v>
      </c>
      <c r="C10" s="1" t="n">
        <v>46176</v>
      </c>
      <c r="D10" t="inlineStr">
        <is>
          <t>GOTLANDS LÄN</t>
        </is>
      </c>
      <c r="E10" t="inlineStr">
        <is>
          <t>GOTLAND</t>
        </is>
      </c>
      <c r="G10" t="n">
        <v>13.6</v>
      </c>
      <c r="H10" t="n">
        <v>8</v>
      </c>
      <c r="I10" t="n">
        <v>13</v>
      </c>
      <c r="J10" t="n">
        <v>6</v>
      </c>
      <c r="K10" t="n">
        <v>8</v>
      </c>
      <c r="L10" t="n">
        <v>0</v>
      </c>
      <c r="M10" t="n">
        <v>0</v>
      </c>
      <c r="N10" t="n">
        <v>0</v>
      </c>
      <c r="O10" t="n">
        <v>14</v>
      </c>
      <c r="P10" t="n">
        <v>8</v>
      </c>
      <c r="Q10" t="n">
        <v>30</v>
      </c>
      <c r="R10"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0">
        <f>HYPERLINK("https://klasma.github.io/Logging_0980/artfynd/A 30236-2025 artfynd.xlsx", "A 30236-2025")</f>
        <v/>
      </c>
      <c r="T10">
        <f>HYPERLINK("https://klasma.github.io/Logging_0980/kartor/A 30236-2025 karta.png", "A 30236-2025")</f>
        <v/>
      </c>
      <c r="V10">
        <f>HYPERLINK("https://klasma.github.io/Logging_0980/klagomål/A 30236-2025 FSC-klagomål.docx", "A 30236-2025")</f>
        <v/>
      </c>
      <c r="W10">
        <f>HYPERLINK("https://klasma.github.io/Logging_0980/klagomålsmail/A 30236-2025 FSC-klagomål mail.docx", "A 30236-2025")</f>
        <v/>
      </c>
      <c r="X10">
        <f>HYPERLINK("https://klasma.github.io/Logging_0980/tillsyn/A 30236-2025 tillsynsbegäran.docx", "A 30236-2025")</f>
        <v/>
      </c>
      <c r="Y10">
        <f>HYPERLINK("https://klasma.github.io/Logging_0980/tillsynsmail/A 30236-2025 tillsynsbegäran mail.docx", "A 30236-2025")</f>
        <v/>
      </c>
      <c r="Z10">
        <f>HYPERLINK("https://klasma.github.io/Logging_0980/fåglar/A 30236-2025 prioriterade fågelarter.docx", "A 30236-2025")</f>
        <v/>
      </c>
    </row>
    <row r="11" ht="15" customHeight="1">
      <c r="A11" t="inlineStr">
        <is>
          <t>A 15075-2025</t>
        </is>
      </c>
      <c r="B11" s="1" t="n">
        <v>45743</v>
      </c>
      <c r="C11" s="1" t="n">
        <v>46176</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46176</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46176</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46176</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46176</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46176</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46176</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46176</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46176</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46176</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46176</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6153-2024</t>
        </is>
      </c>
      <c r="B22" s="1" t="n">
        <v>45337</v>
      </c>
      <c r="C22" s="1" t="n">
        <v>46176</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24575-2025</t>
        </is>
      </c>
      <c r="B23" s="1" t="n">
        <v>45798</v>
      </c>
      <c r="C23" s="1" t="n">
        <v>46176</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15629-2024</t>
        </is>
      </c>
      <c r="B24" s="1" t="n">
        <v>45402.78372685185</v>
      </c>
      <c r="C24" s="1" t="n">
        <v>46176</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61697-2023</t>
        </is>
      </c>
      <c r="B25" s="1" t="n">
        <v>45265</v>
      </c>
      <c r="C25" s="1" t="n">
        <v>46176</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17762-2024</t>
        </is>
      </c>
      <c r="B26" s="1" t="n">
        <v>45418</v>
      </c>
      <c r="C26" s="1" t="n">
        <v>46176</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46176</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25779-2022</t>
        </is>
      </c>
      <c r="B28" s="1" t="n">
        <v>44733</v>
      </c>
      <c r="C28" s="1" t="n">
        <v>46176</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46176</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44928-2022</t>
        </is>
      </c>
      <c r="B30" s="1" t="n">
        <v>44841</v>
      </c>
      <c r="C30" s="1" t="n">
        <v>46176</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44204-2022</t>
        </is>
      </c>
      <c r="B31" s="1" t="n">
        <v>44839</v>
      </c>
      <c r="C31" s="1" t="n">
        <v>46176</v>
      </c>
      <c r="D31" t="inlineStr">
        <is>
          <t>GOTLANDS LÄN</t>
        </is>
      </c>
      <c r="E31" t="inlineStr">
        <is>
          <t>GOTLAND</t>
        </is>
      </c>
      <c r="G31" t="n">
        <v>2.3</v>
      </c>
      <c r="H31" t="n">
        <v>2</v>
      </c>
      <c r="I31" t="n">
        <v>5</v>
      </c>
      <c r="J31" t="n">
        <v>3</v>
      </c>
      <c r="K31" t="n">
        <v>4</v>
      </c>
      <c r="L31" t="n">
        <v>1</v>
      </c>
      <c r="M31" t="n">
        <v>0</v>
      </c>
      <c r="N31" t="n">
        <v>0</v>
      </c>
      <c r="O31" t="n">
        <v>8</v>
      </c>
      <c r="P31" t="n">
        <v>5</v>
      </c>
      <c r="Q31" t="n">
        <v>13</v>
      </c>
      <c r="R31" s="2" t="inlineStr">
        <is>
          <t>Sienamusseron
Bitter taggsvamp
Fläckfingersvamp
Granrotspindling
Violettfläckig spindling
Duvhök
Odörspindling
Spillkråka
Anisspindling
Blomkålssvamp
Blå slemspindling
Olivspindling
Tjockfotad fingersvamp</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2804-2023</t>
        </is>
      </c>
      <c r="B32" s="1" t="n">
        <v>44944</v>
      </c>
      <c r="C32" s="1" t="n">
        <v>46176</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46176</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3324-2023</t>
        </is>
      </c>
      <c r="B34" s="1" t="n">
        <v>44949</v>
      </c>
      <c r="C34" s="1" t="n">
        <v>46176</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46176</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46176</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46176</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46176</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46176</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11176-2024</t>
        </is>
      </c>
      <c r="B40" s="1" t="n">
        <v>45371</v>
      </c>
      <c r="C40" s="1" t="n">
        <v>46176</v>
      </c>
      <c r="D40" t="inlineStr">
        <is>
          <t>GOTLANDS LÄN</t>
        </is>
      </c>
      <c r="E40" t="inlineStr">
        <is>
          <t>GOTLAND</t>
        </is>
      </c>
      <c r="G40" t="n">
        <v>1.7</v>
      </c>
      <c r="H40" t="n">
        <v>0</v>
      </c>
      <c r="I40" t="n">
        <v>3</v>
      </c>
      <c r="J40" t="n">
        <v>2</v>
      </c>
      <c r="K40" t="n">
        <v>6</v>
      </c>
      <c r="L40" t="n">
        <v>0</v>
      </c>
      <c r="M40" t="n">
        <v>0</v>
      </c>
      <c r="N40" t="n">
        <v>0</v>
      </c>
      <c r="O40" t="n">
        <v>8</v>
      </c>
      <c r="P40" t="n">
        <v>6</v>
      </c>
      <c r="Q40" t="n">
        <v>11</v>
      </c>
      <c r="R40" s="2" t="inlineStr">
        <is>
          <t>Gul lammticka
Gulsträngad fagerspindling
Svartgrön spindling
Tvillingspindling
Violettfläckig spindling
Vit taggsvamp
Bittermusseron
Odörspindling
Blå slemspindling
Olivspindling
Svavelriska</t>
        </is>
      </c>
      <c r="S40">
        <f>HYPERLINK("https://klasma.github.io/Logging_0980/artfynd/A 11176-2024 artfynd.xlsx", "A 11176-2024")</f>
        <v/>
      </c>
      <c r="T40">
        <f>HYPERLINK("https://klasma.github.io/Logging_0980/kartor/A 11176-2024 karta.png", "A 11176-2024")</f>
        <v/>
      </c>
      <c r="V40">
        <f>HYPERLINK("https://klasma.github.io/Logging_0980/klagomål/A 11176-2024 FSC-klagomål.docx", "A 11176-2024")</f>
        <v/>
      </c>
      <c r="W40">
        <f>HYPERLINK("https://klasma.github.io/Logging_0980/klagomålsmail/A 11176-2024 FSC-klagomål mail.docx", "A 11176-2024")</f>
        <v/>
      </c>
      <c r="X40">
        <f>HYPERLINK("https://klasma.github.io/Logging_0980/tillsyn/A 11176-2024 tillsynsbegäran.docx", "A 11176-2024")</f>
        <v/>
      </c>
      <c r="Y40">
        <f>HYPERLINK("https://klasma.github.io/Logging_0980/tillsynsmail/A 11176-2024 tillsynsbegäran mail.docx", "A 11176-2024")</f>
        <v/>
      </c>
    </row>
    <row r="41" ht="15" customHeight="1">
      <c r="A41" t="inlineStr">
        <is>
          <t>A 6052-2024</t>
        </is>
      </c>
      <c r="B41" s="1" t="n">
        <v>45336</v>
      </c>
      <c r="C41" s="1" t="n">
        <v>46176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10274-2026</t>
        </is>
      </c>
      <c r="B42" s="1" t="n">
        <v>46076</v>
      </c>
      <c r="C42" s="1" t="n">
        <v>46176</v>
      </c>
      <c r="D42" t="inlineStr">
        <is>
          <t>GOTLANDS LÄN</t>
        </is>
      </c>
      <c r="E42" t="inlineStr">
        <is>
          <t>GOTLAND</t>
        </is>
      </c>
      <c r="G42" t="n">
        <v>9.800000000000001</v>
      </c>
      <c r="H42" t="n">
        <v>4</v>
      </c>
      <c r="I42" t="n">
        <v>3</v>
      </c>
      <c r="J42" t="n">
        <v>4</v>
      </c>
      <c r="K42" t="n">
        <v>1</v>
      </c>
      <c r="L42" t="n">
        <v>0</v>
      </c>
      <c r="M42" t="n">
        <v>0</v>
      </c>
      <c r="N42" t="n">
        <v>0</v>
      </c>
      <c r="O42" t="n">
        <v>5</v>
      </c>
      <c r="P42" t="n">
        <v>1</v>
      </c>
      <c r="Q42" t="n">
        <v>11</v>
      </c>
      <c r="R42" s="2" t="inlineStr">
        <is>
          <t>Gråfingerört
Backstarr
Backtimjan
Reliktbock
Spillkråka
Axag
Grönpyrola
Kragjordstjärna
Alvarstånds
Nattviol
Sankt pers nycklar</t>
        </is>
      </c>
      <c r="S42">
        <f>HYPERLINK("https://klasma.github.io/Logging_0980/artfynd/A 10274-2026 artfynd.xlsx", "A 10274-2026")</f>
        <v/>
      </c>
      <c r="T42">
        <f>HYPERLINK("https://klasma.github.io/Logging_0980/kartor/A 10274-2026 karta.png", "A 10274-2026")</f>
        <v/>
      </c>
      <c r="V42">
        <f>HYPERLINK("https://klasma.github.io/Logging_0980/klagomål/A 10274-2026 FSC-klagomål.docx", "A 10274-2026")</f>
        <v/>
      </c>
      <c r="W42">
        <f>HYPERLINK("https://klasma.github.io/Logging_0980/klagomålsmail/A 10274-2026 FSC-klagomål mail.docx", "A 10274-2026")</f>
        <v/>
      </c>
      <c r="X42">
        <f>HYPERLINK("https://klasma.github.io/Logging_0980/tillsyn/A 10274-2026 tillsynsbegäran.docx", "A 10274-2026")</f>
        <v/>
      </c>
      <c r="Y42">
        <f>HYPERLINK("https://klasma.github.io/Logging_0980/tillsynsmail/A 10274-2026 tillsynsbegäran mail.docx", "A 10274-2026")</f>
        <v/>
      </c>
      <c r="Z42">
        <f>HYPERLINK("https://klasma.github.io/Logging_0980/fåglar/A 10274-2026 prioriterade fågelarter.docx", "A 10274-2026")</f>
        <v/>
      </c>
    </row>
    <row r="43" ht="15" customHeight="1">
      <c r="A43" t="inlineStr">
        <is>
          <t>A 52223-2025</t>
        </is>
      </c>
      <c r="B43" s="1" t="n">
        <v>45953.44509259259</v>
      </c>
      <c r="C43" s="1" t="n">
        <v>46176</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46176</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584-2023</t>
        </is>
      </c>
      <c r="B45" s="1" t="n">
        <v>44930</v>
      </c>
      <c r="C45" s="1" t="n">
        <v>46176</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1719-2025</t>
        </is>
      </c>
      <c r="B46" s="1" t="n">
        <v>45671</v>
      </c>
      <c r="C46" s="1" t="n">
        <v>46176</v>
      </c>
      <c r="D46" t="inlineStr">
        <is>
          <t>GOTLANDS LÄN</t>
        </is>
      </c>
      <c r="E46" t="inlineStr">
        <is>
          <t>GOTLAND</t>
        </is>
      </c>
      <c r="G46" t="n">
        <v>6</v>
      </c>
      <c r="H46" t="n">
        <v>3</v>
      </c>
      <c r="I46" t="n">
        <v>2</v>
      </c>
      <c r="J46" t="n">
        <v>3</v>
      </c>
      <c r="K46" t="n">
        <v>3</v>
      </c>
      <c r="L46" t="n">
        <v>1</v>
      </c>
      <c r="M46" t="n">
        <v>0</v>
      </c>
      <c r="N46" t="n">
        <v>0</v>
      </c>
      <c r="O46" t="n">
        <v>7</v>
      </c>
      <c r="P46" t="n">
        <v>4</v>
      </c>
      <c r="Q46" t="n">
        <v>10</v>
      </c>
      <c r="R46" s="2" t="inlineStr">
        <is>
          <t>Ask
Gulsträngad fagerspindling
Skogskorn
Vit taggsvamp
Backtimjan
Doftskinn
Spillkråka
Besk kastanjemusseron
Skogsknipprot
Blåsippa</t>
        </is>
      </c>
      <c r="S46">
        <f>HYPERLINK("https://klasma.github.io/Logging_0980/artfynd/A 1719-2025 artfynd.xlsx", "A 1719-2025")</f>
        <v/>
      </c>
      <c r="T46">
        <f>HYPERLINK("https://klasma.github.io/Logging_0980/kartor/A 1719-2025 karta.png", "A 1719-2025")</f>
        <v/>
      </c>
      <c r="V46">
        <f>HYPERLINK("https://klasma.github.io/Logging_0980/klagomål/A 1719-2025 FSC-klagomål.docx", "A 1719-2025")</f>
        <v/>
      </c>
      <c r="W46">
        <f>HYPERLINK("https://klasma.github.io/Logging_0980/klagomålsmail/A 1719-2025 FSC-klagomål mail.docx", "A 1719-2025")</f>
        <v/>
      </c>
      <c r="X46">
        <f>HYPERLINK("https://klasma.github.io/Logging_0980/tillsyn/A 1719-2025 tillsynsbegäran.docx", "A 1719-2025")</f>
        <v/>
      </c>
      <c r="Y46">
        <f>HYPERLINK("https://klasma.github.io/Logging_0980/tillsynsmail/A 1719-2025 tillsynsbegäran mail.docx", "A 1719-2025")</f>
        <v/>
      </c>
      <c r="Z46">
        <f>HYPERLINK("https://klasma.github.io/Logging_0980/fåglar/A 1719-2025 prioriterade fågelarter.docx", "A 1719-2025")</f>
        <v/>
      </c>
    </row>
    <row r="47" ht="15" customHeight="1">
      <c r="A47" t="inlineStr">
        <is>
          <t>A 14354-2024</t>
        </is>
      </c>
      <c r="B47" s="1" t="n">
        <v>45393</v>
      </c>
      <c r="C47" s="1" t="n">
        <v>46176</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46176</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46176</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46176</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33153-2024</t>
        </is>
      </c>
      <c r="B51" s="1" t="n">
        <v>45518</v>
      </c>
      <c r="C51" s="1" t="n">
        <v>46176</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46176</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39376-2023</t>
        </is>
      </c>
      <c r="B53" s="1" t="n">
        <v>45166</v>
      </c>
      <c r="C53" s="1" t="n">
        <v>46176</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46176</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46176</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7039-2023</t>
        </is>
      </c>
      <c r="B56" s="1" t="n">
        <v>44968</v>
      </c>
      <c r="C56" s="1" t="n">
        <v>46176</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21467-2024</t>
        </is>
      </c>
      <c r="B57" s="1" t="n">
        <v>45441</v>
      </c>
      <c r="C57" s="1" t="n">
        <v>46176</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46176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Grönvit nattviol
Kärrknipprot
Vanliga ängsnycklar</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2649-2023</t>
        </is>
      </c>
      <c r="B59" s="1" t="n">
        <v>44943</v>
      </c>
      <c r="C59" s="1" t="n">
        <v>46176</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51737-2021</t>
        </is>
      </c>
      <c r="B60" s="1" t="n">
        <v>44462.57368055556</v>
      </c>
      <c r="C60" s="1" t="n">
        <v>46176</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56687-2025</t>
        </is>
      </c>
      <c r="B61" s="1" t="n">
        <v>45975.84065972222</v>
      </c>
      <c r="C61" s="1" t="n">
        <v>46176</v>
      </c>
      <c r="D61" t="inlineStr">
        <is>
          <t>GOTLANDS LÄN</t>
        </is>
      </c>
      <c r="E61" t="inlineStr">
        <is>
          <t>GOTLAND</t>
        </is>
      </c>
      <c r="G61" t="n">
        <v>2.4</v>
      </c>
      <c r="H61" t="n">
        <v>4</v>
      </c>
      <c r="I61" t="n">
        <v>2</v>
      </c>
      <c r="J61" t="n">
        <v>3</v>
      </c>
      <c r="K61" t="n">
        <v>0</v>
      </c>
      <c r="L61" t="n">
        <v>0</v>
      </c>
      <c r="M61" t="n">
        <v>0</v>
      </c>
      <c r="N61" t="n">
        <v>0</v>
      </c>
      <c r="O61" t="n">
        <v>3</v>
      </c>
      <c r="P61" t="n">
        <v>0</v>
      </c>
      <c r="Q61" t="n">
        <v>7</v>
      </c>
      <c r="R61" s="2" t="inlineStr">
        <is>
          <t>Backtimjan
Dårgräsfjäril
Solvända
Blåmossa
Skogsknipprot
Brudsporre
Nattviol</t>
        </is>
      </c>
      <c r="S61">
        <f>HYPERLINK("https://klasma.github.io/Logging_0980/artfynd/A 56687-2025 artfynd.xlsx", "A 56687-2025")</f>
        <v/>
      </c>
      <c r="T61">
        <f>HYPERLINK("https://klasma.github.io/Logging_0980/kartor/A 56687-2025 karta.png", "A 56687-2025")</f>
        <v/>
      </c>
      <c r="V61">
        <f>HYPERLINK("https://klasma.github.io/Logging_0980/klagomål/A 56687-2025 FSC-klagomål.docx", "A 56687-2025")</f>
        <v/>
      </c>
      <c r="W61">
        <f>HYPERLINK("https://klasma.github.io/Logging_0980/klagomålsmail/A 56687-2025 FSC-klagomål mail.docx", "A 56687-2025")</f>
        <v/>
      </c>
      <c r="X61">
        <f>HYPERLINK("https://klasma.github.io/Logging_0980/tillsyn/A 56687-2025 tillsynsbegäran.docx", "A 56687-2025")</f>
        <v/>
      </c>
      <c r="Y61">
        <f>HYPERLINK("https://klasma.github.io/Logging_0980/tillsynsmail/A 56687-2025 tillsynsbegäran mail.docx", "A 56687-2025")</f>
        <v/>
      </c>
    </row>
    <row r="62" ht="15" customHeight="1">
      <c r="A62" t="inlineStr">
        <is>
          <t>A 44944-2022</t>
        </is>
      </c>
      <c r="B62" s="1" t="n">
        <v>44841</v>
      </c>
      <c r="C62" s="1" t="n">
        <v>46176</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34142-2024</t>
        </is>
      </c>
      <c r="B63" s="1" t="n">
        <v>45524.36521990741</v>
      </c>
      <c r="C63" s="1" t="n">
        <v>46176</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46176</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46176</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10419-2025</t>
        </is>
      </c>
      <c r="B66" s="1" t="n">
        <v>45720</v>
      </c>
      <c r="C66" s="1" t="n">
        <v>46176</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2085-2023</t>
        </is>
      </c>
      <c r="B67" s="1" t="n">
        <v>44939</v>
      </c>
      <c r="C67" s="1" t="n">
        <v>46176</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16823-2024</t>
        </is>
      </c>
      <c r="B68" s="1" t="n">
        <v>45411</v>
      </c>
      <c r="C68" s="1" t="n">
        <v>46176</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54527-2023</t>
        </is>
      </c>
      <c r="B69" s="1" t="n">
        <v>45233</v>
      </c>
      <c r="C69" s="1" t="n">
        <v>46176</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57773-2025</t>
        </is>
      </c>
      <c r="B70" s="1" t="n">
        <v>45981.56349537037</v>
      </c>
      <c r="C70" s="1" t="n">
        <v>46176</v>
      </c>
      <c r="D70" t="inlineStr">
        <is>
          <t>GOTLANDS LÄN</t>
        </is>
      </c>
      <c r="E70" t="inlineStr">
        <is>
          <t>GOTLAND</t>
        </is>
      </c>
      <c r="G70" t="n">
        <v>4.4</v>
      </c>
      <c r="H70" t="n">
        <v>0</v>
      </c>
      <c r="I70" t="n">
        <v>4</v>
      </c>
      <c r="J70" t="n">
        <v>0</v>
      </c>
      <c r="K70" t="n">
        <v>2</v>
      </c>
      <c r="L70" t="n">
        <v>0</v>
      </c>
      <c r="M70" t="n">
        <v>0</v>
      </c>
      <c r="N70" t="n">
        <v>0</v>
      </c>
      <c r="O70" t="n">
        <v>2</v>
      </c>
      <c r="P70" t="n">
        <v>2</v>
      </c>
      <c r="Q70" t="n">
        <v>6</v>
      </c>
      <c r="R70" s="2" t="inlineStr">
        <is>
          <t>Duvspindling
Mörkfjällig olivspindling
Besk kastanjemusseron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63149-2025</t>
        </is>
      </c>
      <c r="B71" s="1" t="n">
        <v>46010</v>
      </c>
      <c r="C71" s="1" t="n">
        <v>46176</v>
      </c>
      <c r="D71" t="inlineStr">
        <is>
          <t>GOTLANDS LÄN</t>
        </is>
      </c>
      <c r="E71" t="inlineStr">
        <is>
          <t>GOTLAND</t>
        </is>
      </c>
      <c r="G71" t="n">
        <v>4.3</v>
      </c>
      <c r="H71" t="n">
        <v>4</v>
      </c>
      <c r="I71" t="n">
        <v>2</v>
      </c>
      <c r="J71" t="n">
        <v>3</v>
      </c>
      <c r="K71" t="n">
        <v>0</v>
      </c>
      <c r="L71" t="n">
        <v>0</v>
      </c>
      <c r="M71" t="n">
        <v>0</v>
      </c>
      <c r="N71" t="n">
        <v>0</v>
      </c>
      <c r="O71" t="n">
        <v>3</v>
      </c>
      <c r="P71" t="n">
        <v>0</v>
      </c>
      <c r="Q71" t="n">
        <v>6</v>
      </c>
      <c r="R71" s="2" t="inlineStr">
        <is>
          <t>Gulsparv
Spillkråka
Svinrot
Anisspindling
Skogsknipprot
Sankt pers nycklar</t>
        </is>
      </c>
      <c r="S71">
        <f>HYPERLINK("https://klasma.github.io/Logging_0980/artfynd/A 63149-2025 artfynd.xlsx", "A 63149-2025")</f>
        <v/>
      </c>
      <c r="T71">
        <f>HYPERLINK("https://klasma.github.io/Logging_0980/kartor/A 63149-2025 karta.png", "A 63149-2025")</f>
        <v/>
      </c>
      <c r="V71">
        <f>HYPERLINK("https://klasma.github.io/Logging_0980/klagomål/A 63149-2025 FSC-klagomål.docx", "A 63149-2025")</f>
        <v/>
      </c>
      <c r="W71">
        <f>HYPERLINK("https://klasma.github.io/Logging_0980/klagomålsmail/A 63149-2025 FSC-klagomål mail.docx", "A 63149-2025")</f>
        <v/>
      </c>
      <c r="X71">
        <f>HYPERLINK("https://klasma.github.io/Logging_0980/tillsyn/A 63149-2025 tillsynsbegäran.docx", "A 63149-2025")</f>
        <v/>
      </c>
      <c r="Y71">
        <f>HYPERLINK("https://klasma.github.io/Logging_0980/tillsynsmail/A 63149-2025 tillsynsbegäran mail.docx", "A 63149-2025")</f>
        <v/>
      </c>
      <c r="Z71">
        <f>HYPERLINK("https://klasma.github.io/Logging_0980/fåglar/A 63149-2025 prioriterade fågelarter.docx", "A 63149-2025")</f>
        <v/>
      </c>
    </row>
    <row r="72" ht="15" customHeight="1">
      <c r="A72" t="inlineStr">
        <is>
          <t>A 7038-2023</t>
        </is>
      </c>
      <c r="B72" s="1" t="n">
        <v>44968</v>
      </c>
      <c r="C72" s="1" t="n">
        <v>46176</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53584-2025</t>
        </is>
      </c>
      <c r="B73" s="1" t="n">
        <v>45960.43130787037</v>
      </c>
      <c r="C73" s="1" t="n">
        <v>46176</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46176</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54527-2023</t>
        </is>
      </c>
      <c r="B75" s="1" t="n">
        <v>45233</v>
      </c>
      <c r="C75" s="1" t="n">
        <v>46176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66091-2021</t>
        </is>
      </c>
      <c r="B76" s="1" t="n">
        <v>44517</v>
      </c>
      <c r="C76" s="1" t="n">
        <v>46176</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35293-2025</t>
        </is>
      </c>
      <c r="B77" s="1" t="n">
        <v>45854.39438657407</v>
      </c>
      <c r="C77" s="1" t="n">
        <v>46176</v>
      </c>
      <c r="D77" t="inlineStr">
        <is>
          <t>GOTLANDS LÄN</t>
        </is>
      </c>
      <c r="E77" t="inlineStr">
        <is>
          <t>GOTLAND</t>
        </is>
      </c>
      <c r="G77" t="n">
        <v>9.199999999999999</v>
      </c>
      <c r="H77" t="n">
        <v>1</v>
      </c>
      <c r="I77" t="n">
        <v>1</v>
      </c>
      <c r="J77" t="n">
        <v>4</v>
      </c>
      <c r="K77" t="n">
        <v>0</v>
      </c>
      <c r="L77" t="n">
        <v>0</v>
      </c>
      <c r="M77" t="n">
        <v>0</v>
      </c>
      <c r="N77" t="n">
        <v>0</v>
      </c>
      <c r="O77" t="n">
        <v>4</v>
      </c>
      <c r="P77" t="n">
        <v>0</v>
      </c>
      <c r="Q77" t="n">
        <v>5</v>
      </c>
      <c r="R77" s="2" t="inlineStr">
        <is>
          <t>Krusfrö
Loppstarr
Svinrot
Ängsstarr
Skogsknipprot</t>
        </is>
      </c>
      <c r="S77">
        <f>HYPERLINK("https://klasma.github.io/Logging_0980/artfynd/A 35293-2025 artfynd.xlsx", "A 35293-2025")</f>
        <v/>
      </c>
      <c r="T77">
        <f>HYPERLINK("https://klasma.github.io/Logging_0980/kartor/A 35293-2025 karta.png", "A 35293-2025")</f>
        <v/>
      </c>
      <c r="V77">
        <f>HYPERLINK("https://klasma.github.io/Logging_0980/klagomål/A 35293-2025 FSC-klagomål.docx", "A 35293-2025")</f>
        <v/>
      </c>
      <c r="W77">
        <f>HYPERLINK("https://klasma.github.io/Logging_0980/klagomålsmail/A 35293-2025 FSC-klagomål mail.docx", "A 35293-2025")</f>
        <v/>
      </c>
      <c r="X77">
        <f>HYPERLINK("https://klasma.github.io/Logging_0980/tillsyn/A 35293-2025 tillsynsbegäran.docx", "A 35293-2025")</f>
        <v/>
      </c>
      <c r="Y77">
        <f>HYPERLINK("https://klasma.github.io/Logging_0980/tillsynsmail/A 35293-2025 tillsynsbegäran mail.docx", "A 35293-2025")</f>
        <v/>
      </c>
    </row>
    <row r="78" ht="15" customHeight="1">
      <c r="A78" t="inlineStr">
        <is>
          <t>A 32326-2024</t>
        </is>
      </c>
      <c r="B78" s="1" t="n">
        <v>45512</v>
      </c>
      <c r="C78" s="1" t="n">
        <v>46176</v>
      </c>
      <c r="D78" t="inlineStr">
        <is>
          <t>GOTLANDS LÄN</t>
        </is>
      </c>
      <c r="E78" t="inlineStr">
        <is>
          <t>GOTLAND</t>
        </is>
      </c>
      <c r="G78" t="n">
        <v>9.199999999999999</v>
      </c>
      <c r="H78" t="n">
        <v>3</v>
      </c>
      <c r="I78" t="n">
        <v>2</v>
      </c>
      <c r="J78" t="n">
        <v>2</v>
      </c>
      <c r="K78" t="n">
        <v>0</v>
      </c>
      <c r="L78" t="n">
        <v>0</v>
      </c>
      <c r="M78" t="n">
        <v>0</v>
      </c>
      <c r="N78" t="n">
        <v>0</v>
      </c>
      <c r="O78" t="n">
        <v>2</v>
      </c>
      <c r="P78" t="n">
        <v>0</v>
      </c>
      <c r="Q78" t="n">
        <v>5</v>
      </c>
      <c r="R78" s="2" t="inlineStr">
        <is>
          <t>Jordtistel
Svinrot
Purpurknipprot
Skogsknipprot
Brudsporre</t>
        </is>
      </c>
      <c r="S78">
        <f>HYPERLINK("https://klasma.github.io/Logging_0980/artfynd/A 32326-2024 artfynd.xlsx", "A 32326-2024")</f>
        <v/>
      </c>
      <c r="T78">
        <f>HYPERLINK("https://klasma.github.io/Logging_0980/kartor/A 32326-2024 karta.png", "A 32326-2024")</f>
        <v/>
      </c>
      <c r="V78">
        <f>HYPERLINK("https://klasma.github.io/Logging_0980/klagomål/A 32326-2024 FSC-klagomål.docx", "A 32326-2024")</f>
        <v/>
      </c>
      <c r="W78">
        <f>HYPERLINK("https://klasma.github.io/Logging_0980/klagomålsmail/A 32326-2024 FSC-klagomål mail.docx", "A 32326-2024")</f>
        <v/>
      </c>
      <c r="X78">
        <f>HYPERLINK("https://klasma.github.io/Logging_0980/tillsyn/A 32326-2024 tillsynsbegäran.docx", "A 32326-2024")</f>
        <v/>
      </c>
      <c r="Y78">
        <f>HYPERLINK("https://klasma.github.io/Logging_0980/tillsynsmail/A 32326-2024 tillsynsbegäran mail.docx", "A 32326-2024")</f>
        <v/>
      </c>
    </row>
    <row r="79" ht="15" customHeight="1">
      <c r="A79" t="inlineStr">
        <is>
          <t>A 6839-2026</t>
        </is>
      </c>
      <c r="B79" s="1" t="n">
        <v>46057.41193287037</v>
      </c>
      <c r="C79" s="1" t="n">
        <v>46176</v>
      </c>
      <c r="D79" t="inlineStr">
        <is>
          <t>GOTLANDS LÄN</t>
        </is>
      </c>
      <c r="E79" t="inlineStr">
        <is>
          <t>GOTLAND</t>
        </is>
      </c>
      <c r="G79" t="n">
        <v>4.9</v>
      </c>
      <c r="H79" t="n">
        <v>0</v>
      </c>
      <c r="I79" t="n">
        <v>1</v>
      </c>
      <c r="J79" t="n">
        <v>2</v>
      </c>
      <c r="K79" t="n">
        <v>2</v>
      </c>
      <c r="L79" t="n">
        <v>0</v>
      </c>
      <c r="M79" t="n">
        <v>0</v>
      </c>
      <c r="N79" t="n">
        <v>0</v>
      </c>
      <c r="O79" t="n">
        <v>4</v>
      </c>
      <c r="P79" t="n">
        <v>2</v>
      </c>
      <c r="Q79" t="n">
        <v>5</v>
      </c>
      <c r="R79" s="2" t="inlineStr">
        <is>
          <t>Mörk kraterlav
Skogskorn
Ekvaxskivling
Mjölmusseron
Besk kastanjemusseron</t>
        </is>
      </c>
      <c r="S79">
        <f>HYPERLINK("https://klasma.github.io/Logging_0980/artfynd/A 6839-2026 artfynd.xlsx", "A 6839-2026")</f>
        <v/>
      </c>
      <c r="T79">
        <f>HYPERLINK("https://klasma.github.io/Logging_0980/kartor/A 6839-2026 karta.png", "A 6839-2026")</f>
        <v/>
      </c>
      <c r="V79">
        <f>HYPERLINK("https://klasma.github.io/Logging_0980/klagomål/A 6839-2026 FSC-klagomål.docx", "A 6839-2026")</f>
        <v/>
      </c>
      <c r="W79">
        <f>HYPERLINK("https://klasma.github.io/Logging_0980/klagomålsmail/A 6839-2026 FSC-klagomål mail.docx", "A 6839-2026")</f>
        <v/>
      </c>
      <c r="X79">
        <f>HYPERLINK("https://klasma.github.io/Logging_0980/tillsyn/A 6839-2026 tillsynsbegäran.docx", "A 6839-2026")</f>
        <v/>
      </c>
      <c r="Y79">
        <f>HYPERLINK("https://klasma.github.io/Logging_0980/tillsynsmail/A 6839-2026 tillsynsbegäran mail.docx", "A 6839-2026")</f>
        <v/>
      </c>
    </row>
    <row r="80" ht="15" customHeight="1">
      <c r="A80" t="inlineStr">
        <is>
          <t>A 39425-2023</t>
        </is>
      </c>
      <c r="B80" s="1" t="n">
        <v>45166</v>
      </c>
      <c r="C80" s="1" t="n">
        <v>46176</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46176</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52245-2025</t>
        </is>
      </c>
      <c r="B82" s="1" t="n">
        <v>45953.47115740741</v>
      </c>
      <c r="C82" s="1" t="n">
        <v>46176</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42936-2024</t>
        </is>
      </c>
      <c r="B83" s="1" t="n">
        <v>45567</v>
      </c>
      <c r="C83" s="1" t="n">
        <v>46176</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54055-2022</t>
        </is>
      </c>
      <c r="B84" s="1" t="n">
        <v>44881</v>
      </c>
      <c r="C84" s="1" t="n">
        <v>46176</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16375-2025</t>
        </is>
      </c>
      <c r="B85" s="1" t="n">
        <v>45751.41064814815</v>
      </c>
      <c r="C85" s="1" t="n">
        <v>46176</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29331-2021</t>
        </is>
      </c>
      <c r="B86" s="1" t="n">
        <v>44361</v>
      </c>
      <c r="C86" s="1" t="n">
        <v>46176</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56717-2024</t>
        </is>
      </c>
      <c r="B87" s="1" t="n">
        <v>45628.3166550926</v>
      </c>
      <c r="C87" s="1" t="n">
        <v>46176</v>
      </c>
      <c r="D87" t="inlineStr">
        <is>
          <t>GOTLANDS LÄN</t>
        </is>
      </c>
      <c r="E87" t="inlineStr">
        <is>
          <t>GOTLAND</t>
        </is>
      </c>
      <c r="G87" t="n">
        <v>9.699999999999999</v>
      </c>
      <c r="H87" t="n">
        <v>0</v>
      </c>
      <c r="I87" t="n">
        <v>2</v>
      </c>
      <c r="J87" t="n">
        <v>2</v>
      </c>
      <c r="K87" t="n">
        <v>0</v>
      </c>
      <c r="L87" t="n">
        <v>0</v>
      </c>
      <c r="M87" t="n">
        <v>0</v>
      </c>
      <c r="N87" t="n">
        <v>0</v>
      </c>
      <c r="O87" t="n">
        <v>2</v>
      </c>
      <c r="P87" t="n">
        <v>0</v>
      </c>
      <c r="Q87" t="n">
        <v>4</v>
      </c>
      <c r="R87" s="2" t="inlineStr">
        <is>
          <t>Ekvaxskivling
Odörspindling
Fjällig taggsvamp s.str.
Kattfotslav</t>
        </is>
      </c>
      <c r="S87">
        <f>HYPERLINK("https://klasma.github.io/Logging_0980/artfynd/A 56717-2024 artfynd.xlsx", "A 56717-2024")</f>
        <v/>
      </c>
      <c r="T87">
        <f>HYPERLINK("https://klasma.github.io/Logging_0980/kartor/A 56717-2024 karta.png", "A 56717-2024")</f>
        <v/>
      </c>
      <c r="V87">
        <f>HYPERLINK("https://klasma.github.io/Logging_0980/klagomål/A 56717-2024 FSC-klagomål.docx", "A 56717-2024")</f>
        <v/>
      </c>
      <c r="W87">
        <f>HYPERLINK("https://klasma.github.io/Logging_0980/klagomålsmail/A 56717-2024 FSC-klagomål mail.docx", "A 56717-2024")</f>
        <v/>
      </c>
      <c r="X87">
        <f>HYPERLINK("https://klasma.github.io/Logging_0980/tillsyn/A 56717-2024 tillsynsbegäran.docx", "A 56717-2024")</f>
        <v/>
      </c>
      <c r="Y87">
        <f>HYPERLINK("https://klasma.github.io/Logging_0980/tillsynsmail/A 56717-2024 tillsynsbegäran mail.docx", "A 56717-2024")</f>
        <v/>
      </c>
    </row>
    <row r="88" ht="15" customHeight="1">
      <c r="A88" t="inlineStr">
        <is>
          <t>A 13203-2026</t>
        </is>
      </c>
      <c r="B88" s="1" t="n">
        <v>46093</v>
      </c>
      <c r="C88" s="1" t="n">
        <v>46176</v>
      </c>
      <c r="D88" t="inlineStr">
        <is>
          <t>GOTLANDS LÄN</t>
        </is>
      </c>
      <c r="E88" t="inlineStr">
        <is>
          <t>GOTLAND</t>
        </is>
      </c>
      <c r="G88" t="n">
        <v>4.5</v>
      </c>
      <c r="H88" t="n">
        <v>2</v>
      </c>
      <c r="I88" t="n">
        <v>1</v>
      </c>
      <c r="J88" t="n">
        <v>1</v>
      </c>
      <c r="K88" t="n">
        <v>1</v>
      </c>
      <c r="L88" t="n">
        <v>0</v>
      </c>
      <c r="M88" t="n">
        <v>0</v>
      </c>
      <c r="N88" t="n">
        <v>0</v>
      </c>
      <c r="O88" t="n">
        <v>2</v>
      </c>
      <c r="P88" t="n">
        <v>1</v>
      </c>
      <c r="Q88" t="n">
        <v>4</v>
      </c>
      <c r="R88" s="2" t="inlineStr">
        <is>
          <t>Gotlandsmåra
Svinrot
Nästrot
Grönvit nattviol</t>
        </is>
      </c>
      <c r="S88">
        <f>HYPERLINK("https://klasma.github.io/Logging_0980/artfynd/A 13203-2026 artfynd.xlsx", "A 13203-2026")</f>
        <v/>
      </c>
      <c r="T88">
        <f>HYPERLINK("https://klasma.github.io/Logging_0980/kartor/A 13203-2026 karta.png", "A 13203-2026")</f>
        <v/>
      </c>
      <c r="V88">
        <f>HYPERLINK("https://klasma.github.io/Logging_0980/klagomål/A 13203-2026 FSC-klagomål.docx", "A 13203-2026")</f>
        <v/>
      </c>
      <c r="W88">
        <f>HYPERLINK("https://klasma.github.io/Logging_0980/klagomålsmail/A 13203-2026 FSC-klagomål mail.docx", "A 13203-2026")</f>
        <v/>
      </c>
      <c r="X88">
        <f>HYPERLINK("https://klasma.github.io/Logging_0980/tillsyn/A 13203-2026 tillsynsbegäran.docx", "A 13203-2026")</f>
        <v/>
      </c>
      <c r="Y88">
        <f>HYPERLINK("https://klasma.github.io/Logging_0980/tillsynsmail/A 13203-2026 tillsynsbegäran mail.docx", "A 13203-2026")</f>
        <v/>
      </c>
    </row>
    <row r="89" ht="15" customHeight="1">
      <c r="A89" t="inlineStr">
        <is>
          <t>A 40099-2025</t>
        </is>
      </c>
      <c r="B89" s="1" t="n">
        <v>45894.48462962963</v>
      </c>
      <c r="C89" s="1" t="n">
        <v>46176</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5904-2024</t>
        </is>
      </c>
      <c r="B90" s="1" t="n">
        <v>45335</v>
      </c>
      <c r="C90" s="1" t="n">
        <v>46176</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20833-2024</t>
        </is>
      </c>
      <c r="B91" s="1" t="n">
        <v>45439</v>
      </c>
      <c r="C91" s="1" t="n">
        <v>46176</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57463-2025</t>
        </is>
      </c>
      <c r="B92" s="1" t="n">
        <v>45980</v>
      </c>
      <c r="C92" s="1" t="n">
        <v>46176</v>
      </c>
      <c r="D92" t="inlineStr">
        <is>
          <t>GOTLANDS LÄN</t>
        </is>
      </c>
      <c r="E92" t="inlineStr">
        <is>
          <t>GOTLAND</t>
        </is>
      </c>
      <c r="G92" t="n">
        <v>3.8</v>
      </c>
      <c r="H92" t="n">
        <v>0</v>
      </c>
      <c r="I92" t="n">
        <v>1</v>
      </c>
      <c r="J92" t="n">
        <v>1</v>
      </c>
      <c r="K92" t="n">
        <v>2</v>
      </c>
      <c r="L92" t="n">
        <v>0</v>
      </c>
      <c r="M92" t="n">
        <v>0</v>
      </c>
      <c r="N92" t="n">
        <v>0</v>
      </c>
      <c r="O92" t="n">
        <v>3</v>
      </c>
      <c r="P92" t="n">
        <v>2</v>
      </c>
      <c r="Q92" t="n">
        <v>4</v>
      </c>
      <c r="R92" s="2" t="inlineStr">
        <is>
          <t>Gulsträngad fagerspindling
Tvillingspindling
Odörspindling
Blå slemspindling</t>
        </is>
      </c>
      <c r="S92">
        <f>HYPERLINK("https://klasma.github.io/Logging_0980/artfynd/A 57463-2025 artfynd.xlsx", "A 57463-2025")</f>
        <v/>
      </c>
      <c r="T92">
        <f>HYPERLINK("https://klasma.github.io/Logging_0980/kartor/A 57463-2025 karta.png", "A 57463-2025")</f>
        <v/>
      </c>
      <c r="V92">
        <f>HYPERLINK("https://klasma.github.io/Logging_0980/klagomål/A 57463-2025 FSC-klagomål.docx", "A 57463-2025")</f>
        <v/>
      </c>
      <c r="W92">
        <f>HYPERLINK("https://klasma.github.io/Logging_0980/klagomålsmail/A 57463-2025 FSC-klagomål mail.docx", "A 57463-2025")</f>
        <v/>
      </c>
      <c r="X92">
        <f>HYPERLINK("https://klasma.github.io/Logging_0980/tillsyn/A 57463-2025 tillsynsbegäran.docx", "A 57463-2025")</f>
        <v/>
      </c>
      <c r="Y92">
        <f>HYPERLINK("https://klasma.github.io/Logging_0980/tillsynsmail/A 57463-2025 tillsynsbegäran mail.docx", "A 57463-2025")</f>
        <v/>
      </c>
    </row>
    <row r="93" ht="15" customHeight="1">
      <c r="A93" t="inlineStr">
        <is>
          <t>A 6836-2026</t>
        </is>
      </c>
      <c r="B93" s="1" t="n">
        <v>46057</v>
      </c>
      <c r="C93" s="1" t="n">
        <v>46176</v>
      </c>
      <c r="D93" t="inlineStr">
        <is>
          <t>GOTLANDS LÄN</t>
        </is>
      </c>
      <c r="E93" t="inlineStr">
        <is>
          <t>GOTLAND</t>
        </is>
      </c>
      <c r="G93" t="n">
        <v>3.8</v>
      </c>
      <c r="H93" t="n">
        <v>1</v>
      </c>
      <c r="I93" t="n">
        <v>3</v>
      </c>
      <c r="J93" t="n">
        <v>0</v>
      </c>
      <c r="K93" t="n">
        <v>1</v>
      </c>
      <c r="L93" t="n">
        <v>0</v>
      </c>
      <c r="M93" t="n">
        <v>0</v>
      </c>
      <c r="N93" t="n">
        <v>0</v>
      </c>
      <c r="O93" t="n">
        <v>1</v>
      </c>
      <c r="P93" t="n">
        <v>1</v>
      </c>
      <c r="Q93" t="n">
        <v>4</v>
      </c>
      <c r="R93" s="2" t="inlineStr">
        <is>
          <t>Knärot
Fransig jordstjärna
Rödgul trumpetsvamp
Svavelriska</t>
        </is>
      </c>
      <c r="S93">
        <f>HYPERLINK("https://klasma.github.io/Logging_0980/artfynd/A 6836-2026 artfynd.xlsx", "A 6836-2026")</f>
        <v/>
      </c>
      <c r="T93">
        <f>HYPERLINK("https://klasma.github.io/Logging_0980/kartor/A 6836-2026 karta.png", "A 6836-2026")</f>
        <v/>
      </c>
      <c r="U93">
        <f>HYPERLINK("https://klasma.github.io/Logging_0980/knärot/A 6836-2026 karta knärot.png", "A 6836-2026")</f>
        <v/>
      </c>
      <c r="V93">
        <f>HYPERLINK("https://klasma.github.io/Logging_0980/klagomål/A 6836-2026 FSC-klagomål.docx", "A 6836-2026")</f>
        <v/>
      </c>
      <c r="W93">
        <f>HYPERLINK("https://klasma.github.io/Logging_0980/klagomålsmail/A 6836-2026 FSC-klagomål mail.docx", "A 6836-2026")</f>
        <v/>
      </c>
      <c r="X93">
        <f>HYPERLINK("https://klasma.github.io/Logging_0980/tillsyn/A 6836-2026 tillsynsbegäran.docx", "A 6836-2026")</f>
        <v/>
      </c>
      <c r="Y93">
        <f>HYPERLINK("https://klasma.github.io/Logging_0980/tillsynsmail/A 6836-2026 tillsynsbegäran mail.docx", "A 6836-2026")</f>
        <v/>
      </c>
    </row>
    <row r="94" ht="15" customHeight="1">
      <c r="A94" t="inlineStr">
        <is>
          <t>A 2485-2025</t>
        </is>
      </c>
      <c r="B94" s="1" t="n">
        <v>45673</v>
      </c>
      <c r="C94" s="1" t="n">
        <v>46176</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46176</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46176</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54523-2023</t>
        </is>
      </c>
      <c r="B97" s="1" t="n">
        <v>45233</v>
      </c>
      <c r="C97" s="1" t="n">
        <v>46176</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1971-2023</t>
        </is>
      </c>
      <c r="B98" s="1" t="n">
        <v>44939</v>
      </c>
      <c r="C98" s="1" t="n">
        <v>46176</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186-2023</t>
        </is>
      </c>
      <c r="B99" s="1" t="n">
        <v>44928</v>
      </c>
      <c r="C99" s="1" t="n">
        <v>46176</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52250-2025</t>
        </is>
      </c>
      <c r="B100" s="1" t="n">
        <v>45953.48998842593</v>
      </c>
      <c r="C100" s="1" t="n">
        <v>46176</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8265-2023</t>
        </is>
      </c>
      <c r="B101" s="1" t="n">
        <v>44974</v>
      </c>
      <c r="C101" s="1" t="n">
        <v>46176</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44933-2022</t>
        </is>
      </c>
      <c r="B102" s="1" t="n">
        <v>44841</v>
      </c>
      <c r="C102" s="1" t="n">
        <v>46176</v>
      </c>
      <c r="D102" t="inlineStr">
        <is>
          <t>GOTLANDS LÄN</t>
        </is>
      </c>
      <c r="E102" t="inlineStr">
        <is>
          <t>GOTLAND</t>
        </is>
      </c>
      <c r="G102" t="n">
        <v>4.5</v>
      </c>
      <c r="H102" t="n">
        <v>1</v>
      </c>
      <c r="I102" t="n">
        <v>2</v>
      </c>
      <c r="J102" t="n">
        <v>2</v>
      </c>
      <c r="K102" t="n">
        <v>0</v>
      </c>
      <c r="L102" t="n">
        <v>0</v>
      </c>
      <c r="M102" t="n">
        <v>0</v>
      </c>
      <c r="N102" t="n">
        <v>0</v>
      </c>
      <c r="O102" t="n">
        <v>2</v>
      </c>
      <c r="P102" t="n">
        <v>0</v>
      </c>
      <c r="Q102" t="n">
        <v>4</v>
      </c>
      <c r="R102" s="2" t="inlineStr">
        <is>
          <t>Ekvaxskivling
Odörspindling
Skarp dropptaggsvamp
Skogsknipprot</t>
        </is>
      </c>
      <c r="S102">
        <f>HYPERLINK("https://klasma.github.io/Logging_0980/artfynd/A 44933-2022 artfynd.xlsx", "A 44933-2022")</f>
        <v/>
      </c>
      <c r="T102">
        <f>HYPERLINK("https://klasma.github.io/Logging_0980/kartor/A 44933-2022 karta.png", "A 44933-2022")</f>
        <v/>
      </c>
      <c r="V102">
        <f>HYPERLINK("https://klasma.github.io/Logging_0980/klagomål/A 44933-2022 FSC-klagomål.docx", "A 44933-2022")</f>
        <v/>
      </c>
      <c r="W102">
        <f>HYPERLINK("https://klasma.github.io/Logging_0980/klagomålsmail/A 44933-2022 FSC-klagomål mail.docx", "A 44933-2022")</f>
        <v/>
      </c>
      <c r="X102">
        <f>HYPERLINK("https://klasma.github.io/Logging_0980/tillsyn/A 44933-2022 tillsynsbegäran.docx", "A 44933-2022")</f>
        <v/>
      </c>
      <c r="Y102">
        <f>HYPERLINK("https://klasma.github.io/Logging_0980/tillsynsmail/A 44933-2022 tillsynsbegäran mail.docx", "A 44933-2022")</f>
        <v/>
      </c>
    </row>
    <row r="103" ht="15" customHeight="1">
      <c r="A103" t="inlineStr">
        <is>
          <t>A 44323-2021</t>
        </is>
      </c>
      <c r="B103" s="1" t="n">
        <v>44434</v>
      </c>
      <c r="C103" s="1" t="n">
        <v>46176</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46176</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46176</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73144-2021</t>
        </is>
      </c>
      <c r="B106" s="1" t="n">
        <v>44550</v>
      </c>
      <c r="C106" s="1" t="n">
        <v>46176</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43013-2022</t>
        </is>
      </c>
      <c r="B107" s="1" t="n">
        <v>44833</v>
      </c>
      <c r="C107" s="1" t="n">
        <v>46176</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13499-2022</t>
        </is>
      </c>
      <c r="B108" s="1" t="n">
        <v>44647.79203703703</v>
      </c>
      <c r="C108" s="1" t="n">
        <v>46176</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46176</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48126-2022</t>
        </is>
      </c>
      <c r="B110" s="1" t="n">
        <v>44857</v>
      </c>
      <c r="C110" s="1" t="n">
        <v>46176</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1520-2026</t>
        </is>
      </c>
      <c r="B111" s="1" t="n">
        <v>46034.35891203704</v>
      </c>
      <c r="C111" s="1" t="n">
        <v>46176</v>
      </c>
      <c r="D111" t="inlineStr">
        <is>
          <t>GOTLANDS LÄN</t>
        </is>
      </c>
      <c r="E111" t="inlineStr">
        <is>
          <t>GOTLAND</t>
        </is>
      </c>
      <c r="G111" t="n">
        <v>7.4</v>
      </c>
      <c r="H111" t="n">
        <v>0</v>
      </c>
      <c r="I111" t="n">
        <v>1</v>
      </c>
      <c r="J111" t="n">
        <v>0</v>
      </c>
      <c r="K111" t="n">
        <v>2</v>
      </c>
      <c r="L111" t="n">
        <v>0</v>
      </c>
      <c r="M111" t="n">
        <v>0</v>
      </c>
      <c r="N111" t="n">
        <v>0</v>
      </c>
      <c r="O111" t="n">
        <v>2</v>
      </c>
      <c r="P111" t="n">
        <v>2</v>
      </c>
      <c r="Q111" t="n">
        <v>3</v>
      </c>
      <c r="R111" s="2" t="inlineStr">
        <is>
          <t>Granrotspindling
Gulsträngad fagerspindling
Brandmusseron</t>
        </is>
      </c>
      <c r="S111">
        <f>HYPERLINK("https://klasma.github.io/Logging_0980/artfynd/A 1520-2026 artfynd.xlsx", "A 1520-2026")</f>
        <v/>
      </c>
      <c r="T111">
        <f>HYPERLINK("https://klasma.github.io/Logging_0980/kartor/A 1520-2026 karta.png", "A 1520-2026")</f>
        <v/>
      </c>
      <c r="V111">
        <f>HYPERLINK("https://klasma.github.io/Logging_0980/klagomål/A 1520-2026 FSC-klagomål.docx", "A 1520-2026")</f>
        <v/>
      </c>
      <c r="W111">
        <f>HYPERLINK("https://klasma.github.io/Logging_0980/klagomålsmail/A 1520-2026 FSC-klagomål mail.docx", "A 1520-2026")</f>
        <v/>
      </c>
      <c r="X111">
        <f>HYPERLINK("https://klasma.github.io/Logging_0980/tillsyn/A 1520-2026 tillsynsbegäran.docx", "A 1520-2026")</f>
        <v/>
      </c>
      <c r="Y111">
        <f>HYPERLINK("https://klasma.github.io/Logging_0980/tillsynsmail/A 1520-2026 tillsynsbegäran mail.docx", "A 1520-2026")</f>
        <v/>
      </c>
    </row>
    <row r="112" ht="15" customHeight="1">
      <c r="A112" t="inlineStr">
        <is>
          <t>A 20831-2024</t>
        </is>
      </c>
      <c r="B112" s="1" t="n">
        <v>45439</v>
      </c>
      <c r="C112" s="1" t="n">
        <v>46176</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55334-2024</t>
        </is>
      </c>
      <c r="B113" s="1" t="n">
        <v>45621</v>
      </c>
      <c r="C113" s="1" t="n">
        <v>46176</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46176</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17975-2024</t>
        </is>
      </c>
      <c r="B115" s="1" t="n">
        <v>45419.85546296297</v>
      </c>
      <c r="C115" s="1" t="n">
        <v>46176</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17982-2023</t>
        </is>
      </c>
      <c r="B116" s="1" t="n">
        <v>45040</v>
      </c>
      <c r="C116" s="1" t="n">
        <v>46176</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53552-2021</t>
        </is>
      </c>
      <c r="B117" s="1" t="n">
        <v>44468</v>
      </c>
      <c r="C117" s="1" t="n">
        <v>46176</v>
      </c>
      <c r="D117" t="inlineStr">
        <is>
          <t>GOTLANDS LÄN</t>
        </is>
      </c>
      <c r="E117" t="inlineStr">
        <is>
          <t>GOTLAND</t>
        </is>
      </c>
      <c r="G117" t="n">
        <v>6.2</v>
      </c>
      <c r="H117" t="n">
        <v>2</v>
      </c>
      <c r="I117" t="n">
        <v>0</v>
      </c>
      <c r="J117" t="n">
        <v>1</v>
      </c>
      <c r="K117" t="n">
        <v>0</v>
      </c>
      <c r="L117" t="n">
        <v>0</v>
      </c>
      <c r="M117" t="n">
        <v>0</v>
      </c>
      <c r="N117" t="n">
        <v>0</v>
      </c>
      <c r="O117" t="n">
        <v>1</v>
      </c>
      <c r="P117" t="n">
        <v>0</v>
      </c>
      <c r="Q117" t="n">
        <v>3</v>
      </c>
      <c r="R117" s="2" t="inlineStr">
        <is>
          <t>Bredbrämad bastardsvärmare
Grönvit nattviol
Gullviva</t>
        </is>
      </c>
      <c r="S117">
        <f>HYPERLINK("https://klasma.github.io/Logging_0980/artfynd/A 53552-2021 artfynd.xlsx", "A 53552-2021")</f>
        <v/>
      </c>
      <c r="T117">
        <f>HYPERLINK("https://klasma.github.io/Logging_0980/kartor/A 53552-2021 karta.png", "A 53552-2021")</f>
        <v/>
      </c>
      <c r="V117">
        <f>HYPERLINK("https://klasma.github.io/Logging_0980/klagomål/A 53552-2021 FSC-klagomål.docx", "A 53552-2021")</f>
        <v/>
      </c>
      <c r="W117">
        <f>HYPERLINK("https://klasma.github.io/Logging_0980/klagomålsmail/A 53552-2021 FSC-klagomål mail.docx", "A 53552-2021")</f>
        <v/>
      </c>
      <c r="X117">
        <f>HYPERLINK("https://klasma.github.io/Logging_0980/tillsyn/A 53552-2021 tillsynsbegäran.docx", "A 53552-2021")</f>
        <v/>
      </c>
      <c r="Y117">
        <f>HYPERLINK("https://klasma.github.io/Logging_0980/tillsynsmail/A 53552-2021 tillsynsbegäran mail.docx", "A 53552-2021")</f>
        <v/>
      </c>
    </row>
    <row r="118" ht="15" customHeight="1">
      <c r="A118" t="inlineStr">
        <is>
          <t>A 12315-2024</t>
        </is>
      </c>
      <c r="B118" s="1" t="n">
        <v>45378.6434837963</v>
      </c>
      <c r="C118" s="1" t="n">
        <v>46176</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30490-2025</t>
        </is>
      </c>
      <c r="B119" s="1" t="n">
        <v>45830</v>
      </c>
      <c r="C119" s="1" t="n">
        <v>46176</v>
      </c>
      <c r="D119" t="inlineStr">
        <is>
          <t>GOTLANDS LÄN</t>
        </is>
      </c>
      <c r="E119" t="inlineStr">
        <is>
          <t>GOTLAND</t>
        </is>
      </c>
      <c r="G119" t="n">
        <v>7.9</v>
      </c>
      <c r="H119" t="n">
        <v>1</v>
      </c>
      <c r="I119" t="n">
        <v>0</v>
      </c>
      <c r="J119" t="n">
        <v>2</v>
      </c>
      <c r="K119" t="n">
        <v>0</v>
      </c>
      <c r="L119" t="n">
        <v>0</v>
      </c>
      <c r="M119" t="n">
        <v>0</v>
      </c>
      <c r="N119" t="n">
        <v>0</v>
      </c>
      <c r="O119" t="n">
        <v>2</v>
      </c>
      <c r="P119" t="n">
        <v>0</v>
      </c>
      <c r="Q119" t="n">
        <v>3</v>
      </c>
      <c r="R119" s="2" t="inlineStr">
        <is>
          <t>Klasefibbla
Majviva
Nattviol</t>
        </is>
      </c>
      <c r="S119">
        <f>HYPERLINK("https://klasma.github.io/Logging_0980/artfynd/A 30490-2025 artfynd.xlsx", "A 30490-2025")</f>
        <v/>
      </c>
      <c r="T119">
        <f>HYPERLINK("https://klasma.github.io/Logging_0980/kartor/A 30490-2025 karta.png", "A 30490-2025")</f>
        <v/>
      </c>
      <c r="V119">
        <f>HYPERLINK("https://klasma.github.io/Logging_0980/klagomål/A 30490-2025 FSC-klagomål.docx", "A 30490-2025")</f>
        <v/>
      </c>
      <c r="W119">
        <f>HYPERLINK("https://klasma.github.io/Logging_0980/klagomålsmail/A 30490-2025 FSC-klagomål mail.docx", "A 30490-2025")</f>
        <v/>
      </c>
      <c r="X119">
        <f>HYPERLINK("https://klasma.github.io/Logging_0980/tillsyn/A 30490-2025 tillsynsbegäran.docx", "A 30490-2025")</f>
        <v/>
      </c>
      <c r="Y119">
        <f>HYPERLINK("https://klasma.github.io/Logging_0980/tillsynsmail/A 30490-2025 tillsynsbegäran mail.docx", "A 30490-2025")</f>
        <v/>
      </c>
    </row>
    <row r="120" ht="15" customHeight="1">
      <c r="A120" t="inlineStr">
        <is>
          <t>A 29870-2021</t>
        </is>
      </c>
      <c r="B120" s="1" t="n">
        <v>44362</v>
      </c>
      <c r="C120" s="1" t="n">
        <v>46176</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60665-2021</t>
        </is>
      </c>
      <c r="B121" s="1" t="n">
        <v>44496</v>
      </c>
      <c r="C121" s="1" t="n">
        <v>46176</v>
      </c>
      <c r="D121" t="inlineStr">
        <is>
          <t>GOTLANDS LÄN</t>
        </is>
      </c>
      <c r="E121" t="inlineStr">
        <is>
          <t>GOTLAND</t>
        </is>
      </c>
      <c r="G121" t="n">
        <v>1.6</v>
      </c>
      <c r="H121" t="n">
        <v>0</v>
      </c>
      <c r="I121" t="n">
        <v>0</v>
      </c>
      <c r="J121" t="n">
        <v>0</v>
      </c>
      <c r="K121" t="n">
        <v>1</v>
      </c>
      <c r="L121" t="n">
        <v>1</v>
      </c>
      <c r="M121" t="n">
        <v>0</v>
      </c>
      <c r="N121" t="n">
        <v>0</v>
      </c>
      <c r="O121" t="n">
        <v>2</v>
      </c>
      <c r="P121" t="n">
        <v>2</v>
      </c>
      <c r="Q121" t="n">
        <v>2</v>
      </c>
      <c r="R121" s="2" t="inlineStr">
        <is>
          <t>Ädellav
Skogskorn</t>
        </is>
      </c>
      <c r="S121">
        <f>HYPERLINK("https://klasma.github.io/Logging_0980/artfynd/A 60665-2021 artfynd.xlsx", "A 60665-2021")</f>
        <v/>
      </c>
      <c r="T121">
        <f>HYPERLINK("https://klasma.github.io/Logging_0980/kartor/A 60665-2021 karta.png", "A 60665-2021")</f>
        <v/>
      </c>
      <c r="V121">
        <f>HYPERLINK("https://klasma.github.io/Logging_0980/klagomål/A 60665-2021 FSC-klagomål.docx", "A 60665-2021")</f>
        <v/>
      </c>
      <c r="W121">
        <f>HYPERLINK("https://klasma.github.io/Logging_0980/klagomålsmail/A 60665-2021 FSC-klagomål mail.docx", "A 60665-2021")</f>
        <v/>
      </c>
      <c r="X121">
        <f>HYPERLINK("https://klasma.github.io/Logging_0980/tillsyn/A 60665-2021 tillsynsbegäran.docx", "A 60665-2021")</f>
        <v/>
      </c>
      <c r="Y121">
        <f>HYPERLINK("https://klasma.github.io/Logging_0980/tillsynsmail/A 60665-2021 tillsynsbegäran mail.docx", "A 60665-2021")</f>
        <v/>
      </c>
    </row>
    <row r="122" ht="15" customHeight="1">
      <c r="A122" t="inlineStr">
        <is>
          <t>A 20218-2022</t>
        </is>
      </c>
      <c r="B122" s="1" t="n">
        <v>44698</v>
      </c>
      <c r="C122" s="1" t="n">
        <v>46176</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28261-2024</t>
        </is>
      </c>
      <c r="B123" s="1" t="n">
        <v>45477</v>
      </c>
      <c r="C123" s="1" t="n">
        <v>46176</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28261-2024 artfynd.xlsx", "A 28261-2024")</f>
        <v/>
      </c>
      <c r="T123">
        <f>HYPERLINK("https://klasma.github.io/Logging_0980/kartor/A 28261-2024 karta.png", "A 28261-2024")</f>
        <v/>
      </c>
      <c r="V123">
        <f>HYPERLINK("https://klasma.github.io/Logging_0980/klagomål/A 28261-2024 FSC-klagomål.docx", "A 28261-2024")</f>
        <v/>
      </c>
      <c r="W123">
        <f>HYPERLINK("https://klasma.github.io/Logging_0980/klagomålsmail/A 28261-2024 FSC-klagomål mail.docx", "A 28261-2024")</f>
        <v/>
      </c>
      <c r="X123">
        <f>HYPERLINK("https://klasma.github.io/Logging_0980/tillsyn/A 28261-2024 tillsynsbegäran.docx", "A 28261-2024")</f>
        <v/>
      </c>
      <c r="Y123">
        <f>HYPERLINK("https://klasma.github.io/Logging_0980/tillsynsmail/A 28261-2024 tillsynsbegäran mail.docx", "A 28261-2024")</f>
        <v/>
      </c>
    </row>
    <row r="124" ht="15" customHeight="1">
      <c r="A124" t="inlineStr">
        <is>
          <t>A 55649-2024</t>
        </is>
      </c>
      <c r="B124" s="1" t="n">
        <v>45622.63053240741</v>
      </c>
      <c r="C124" s="1" t="n">
        <v>46176</v>
      </c>
      <c r="D124" t="inlineStr">
        <is>
          <t>GOTLANDS LÄN</t>
        </is>
      </c>
      <c r="E124" t="inlineStr">
        <is>
          <t>GOTLAND</t>
        </is>
      </c>
      <c r="G124" t="n">
        <v>4.6</v>
      </c>
      <c r="H124" t="n">
        <v>2</v>
      </c>
      <c r="I124" t="n">
        <v>0</v>
      </c>
      <c r="J124" t="n">
        <v>0</v>
      </c>
      <c r="K124" t="n">
        <v>0</v>
      </c>
      <c r="L124" t="n">
        <v>0</v>
      </c>
      <c r="M124" t="n">
        <v>0</v>
      </c>
      <c r="N124" t="n">
        <v>0</v>
      </c>
      <c r="O124" t="n">
        <v>0</v>
      </c>
      <c r="P124" t="n">
        <v>0</v>
      </c>
      <c r="Q124" t="n">
        <v>2</v>
      </c>
      <c r="R124" s="2" t="inlineStr">
        <is>
          <t>Sankt pers nycklar
Blåsippa</t>
        </is>
      </c>
      <c r="S124">
        <f>HYPERLINK("https://klasma.github.io/Logging_0980/artfynd/A 55649-2024 artfynd.xlsx", "A 55649-2024")</f>
        <v/>
      </c>
      <c r="T124">
        <f>HYPERLINK("https://klasma.github.io/Logging_0980/kartor/A 55649-2024 karta.png", "A 55649-2024")</f>
        <v/>
      </c>
      <c r="V124">
        <f>HYPERLINK("https://klasma.github.io/Logging_0980/klagomål/A 55649-2024 FSC-klagomål.docx", "A 55649-2024")</f>
        <v/>
      </c>
      <c r="W124">
        <f>HYPERLINK("https://klasma.github.io/Logging_0980/klagomålsmail/A 55649-2024 FSC-klagomål mail.docx", "A 55649-2024")</f>
        <v/>
      </c>
      <c r="X124">
        <f>HYPERLINK("https://klasma.github.io/Logging_0980/tillsyn/A 55649-2024 tillsynsbegäran.docx", "A 55649-2024")</f>
        <v/>
      </c>
      <c r="Y124">
        <f>HYPERLINK("https://klasma.github.io/Logging_0980/tillsynsmail/A 55649-2024 tillsynsbegäran mail.docx", "A 55649-2024")</f>
        <v/>
      </c>
    </row>
    <row r="125" ht="15" customHeight="1">
      <c r="A125" t="inlineStr">
        <is>
          <t>A 7070-2022</t>
        </is>
      </c>
      <c r="B125" s="1" t="n">
        <v>44603</v>
      </c>
      <c r="C125" s="1" t="n">
        <v>46176</v>
      </c>
      <c r="D125" t="inlineStr">
        <is>
          <t>GOTLANDS LÄN</t>
        </is>
      </c>
      <c r="E125" t="inlineStr">
        <is>
          <t>GOTLAND</t>
        </is>
      </c>
      <c r="G125" t="n">
        <v>2.6</v>
      </c>
      <c r="H125" t="n">
        <v>0</v>
      </c>
      <c r="I125" t="n">
        <v>2</v>
      </c>
      <c r="J125" t="n">
        <v>0</v>
      </c>
      <c r="K125" t="n">
        <v>0</v>
      </c>
      <c r="L125" t="n">
        <v>0</v>
      </c>
      <c r="M125" t="n">
        <v>0</v>
      </c>
      <c r="N125" t="n">
        <v>0</v>
      </c>
      <c r="O125" t="n">
        <v>0</v>
      </c>
      <c r="P125" t="n">
        <v>0</v>
      </c>
      <c r="Q125" t="n">
        <v>2</v>
      </c>
      <c r="R125" s="2" t="inlineStr">
        <is>
          <t>Blåmossa
Kattfotslav</t>
        </is>
      </c>
      <c r="S125">
        <f>HYPERLINK("https://klasma.github.io/Logging_0980/artfynd/A 7070-2022 artfynd.xlsx", "A 7070-2022")</f>
        <v/>
      </c>
      <c r="T125">
        <f>HYPERLINK("https://klasma.github.io/Logging_0980/kartor/A 7070-2022 karta.png", "A 7070-2022")</f>
        <v/>
      </c>
      <c r="V125">
        <f>HYPERLINK("https://klasma.github.io/Logging_0980/klagomål/A 7070-2022 FSC-klagomål.docx", "A 7070-2022")</f>
        <v/>
      </c>
      <c r="W125">
        <f>HYPERLINK("https://klasma.github.io/Logging_0980/klagomålsmail/A 7070-2022 FSC-klagomål mail.docx", "A 7070-2022")</f>
        <v/>
      </c>
      <c r="X125">
        <f>HYPERLINK("https://klasma.github.io/Logging_0980/tillsyn/A 7070-2022 tillsynsbegäran.docx", "A 7070-2022")</f>
        <v/>
      </c>
      <c r="Y125">
        <f>HYPERLINK("https://klasma.github.io/Logging_0980/tillsynsmail/A 7070-2022 tillsynsbegäran mail.docx", "A 7070-2022")</f>
        <v/>
      </c>
    </row>
    <row r="126" ht="15" customHeight="1">
      <c r="A126" t="inlineStr">
        <is>
          <t>A 16997-2026</t>
        </is>
      </c>
      <c r="B126" s="1" t="n">
        <v>46114.42539351852</v>
      </c>
      <c r="C126" s="1" t="n">
        <v>46176</v>
      </c>
      <c r="D126" t="inlineStr">
        <is>
          <t>GOTLANDS LÄN</t>
        </is>
      </c>
      <c r="E126" t="inlineStr">
        <is>
          <t>GOTLAND</t>
        </is>
      </c>
      <c r="G126" t="n">
        <v>0.7</v>
      </c>
      <c r="H126" t="n">
        <v>0</v>
      </c>
      <c r="I126" t="n">
        <v>1</v>
      </c>
      <c r="J126" t="n">
        <v>0</v>
      </c>
      <c r="K126" t="n">
        <v>0</v>
      </c>
      <c r="L126" t="n">
        <v>1</v>
      </c>
      <c r="M126" t="n">
        <v>0</v>
      </c>
      <c r="N126" t="n">
        <v>0</v>
      </c>
      <c r="O126" t="n">
        <v>1</v>
      </c>
      <c r="P126" t="n">
        <v>1</v>
      </c>
      <c r="Q126" t="n">
        <v>2</v>
      </c>
      <c r="R126" s="2" t="inlineStr">
        <is>
          <t>Ask
Hasselticka</t>
        </is>
      </c>
      <c r="S126">
        <f>HYPERLINK("https://klasma.github.io/Logging_0980/artfynd/A 16997-2026 artfynd.xlsx", "A 16997-2026")</f>
        <v/>
      </c>
      <c r="T126">
        <f>HYPERLINK("https://klasma.github.io/Logging_0980/kartor/A 16997-2026 karta.png", "A 16997-2026")</f>
        <v/>
      </c>
      <c r="V126">
        <f>HYPERLINK("https://klasma.github.io/Logging_0980/klagomål/A 16997-2026 FSC-klagomål.docx", "A 16997-2026")</f>
        <v/>
      </c>
      <c r="W126">
        <f>HYPERLINK("https://klasma.github.io/Logging_0980/klagomålsmail/A 16997-2026 FSC-klagomål mail.docx", "A 16997-2026")</f>
        <v/>
      </c>
      <c r="X126">
        <f>HYPERLINK("https://klasma.github.io/Logging_0980/tillsyn/A 16997-2026 tillsynsbegäran.docx", "A 16997-2026")</f>
        <v/>
      </c>
      <c r="Y126">
        <f>HYPERLINK("https://klasma.github.io/Logging_0980/tillsynsmail/A 16997-2026 tillsynsbegäran mail.docx", "A 16997-2026")</f>
        <v/>
      </c>
    </row>
    <row r="127" ht="15" customHeight="1">
      <c r="A127" t="inlineStr">
        <is>
          <t>A 12914-2025</t>
        </is>
      </c>
      <c r="B127" s="1" t="n">
        <v>45733</v>
      </c>
      <c r="C127" s="1" t="n">
        <v>46176</v>
      </c>
      <c r="D127" t="inlineStr">
        <is>
          <t>GOTLANDS LÄN</t>
        </is>
      </c>
      <c r="E127" t="inlineStr">
        <is>
          <t>GOTLAND</t>
        </is>
      </c>
      <c r="G127" t="n">
        <v>24.8</v>
      </c>
      <c r="H127" t="n">
        <v>2</v>
      </c>
      <c r="I127" t="n">
        <v>1</v>
      </c>
      <c r="J127" t="n">
        <v>0</v>
      </c>
      <c r="K127" t="n">
        <v>0</v>
      </c>
      <c r="L127" t="n">
        <v>0</v>
      </c>
      <c r="M127" t="n">
        <v>0</v>
      </c>
      <c r="N127" t="n">
        <v>0</v>
      </c>
      <c r="O127" t="n">
        <v>0</v>
      </c>
      <c r="P127" t="n">
        <v>0</v>
      </c>
      <c r="Q127" t="n">
        <v>2</v>
      </c>
      <c r="R127" s="2" t="inlineStr">
        <is>
          <t>Purpurknipprot
Brudsporre</t>
        </is>
      </c>
      <c r="S127">
        <f>HYPERLINK("https://klasma.github.io/Logging_0980/artfynd/A 12914-2025 artfynd.xlsx", "A 12914-2025")</f>
        <v/>
      </c>
      <c r="T127">
        <f>HYPERLINK("https://klasma.github.io/Logging_0980/kartor/A 12914-2025 karta.png", "A 12914-2025")</f>
        <v/>
      </c>
      <c r="V127">
        <f>HYPERLINK("https://klasma.github.io/Logging_0980/klagomål/A 12914-2025 FSC-klagomål.docx", "A 12914-2025")</f>
        <v/>
      </c>
      <c r="W127">
        <f>HYPERLINK("https://klasma.github.io/Logging_0980/klagomålsmail/A 12914-2025 FSC-klagomål mail.docx", "A 12914-2025")</f>
        <v/>
      </c>
      <c r="X127">
        <f>HYPERLINK("https://klasma.github.io/Logging_0980/tillsyn/A 12914-2025 tillsynsbegäran.docx", "A 12914-2025")</f>
        <v/>
      </c>
      <c r="Y127">
        <f>HYPERLINK("https://klasma.github.io/Logging_0980/tillsynsmail/A 12914-2025 tillsynsbegäran mail.docx", "A 12914-2025")</f>
        <v/>
      </c>
    </row>
    <row r="128" ht="15" customHeight="1">
      <c r="A128" t="inlineStr">
        <is>
          <t>A 20429-2025</t>
        </is>
      </c>
      <c r="B128" s="1" t="n">
        <v>45775.47728009259</v>
      </c>
      <c r="C128" s="1" t="n">
        <v>46176</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17328-2026</t>
        </is>
      </c>
      <c r="B129" s="1" t="n">
        <v>46119.61216435185</v>
      </c>
      <c r="C129" s="1" t="n">
        <v>46176</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54357-2024</t>
        </is>
      </c>
      <c r="B130" s="1" t="n">
        <v>45617.40662037037</v>
      </c>
      <c r="C130" s="1" t="n">
        <v>46176</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20838-2024</t>
        </is>
      </c>
      <c r="B131" s="1" t="n">
        <v>45439</v>
      </c>
      <c r="C131" s="1" t="n">
        <v>46176</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26077-2024</t>
        </is>
      </c>
      <c r="B132" s="1" t="n">
        <v>45467</v>
      </c>
      <c r="C132" s="1" t="n">
        <v>46176</v>
      </c>
      <c r="D132" t="inlineStr">
        <is>
          <t>GOTLANDS LÄN</t>
        </is>
      </c>
      <c r="E132" t="inlineStr">
        <is>
          <t>GOTLAND</t>
        </is>
      </c>
      <c r="G132" t="n">
        <v>4.6</v>
      </c>
      <c r="H132" t="n">
        <v>0</v>
      </c>
      <c r="I132" t="n">
        <v>0</v>
      </c>
      <c r="J132" t="n">
        <v>1</v>
      </c>
      <c r="K132" t="n">
        <v>0</v>
      </c>
      <c r="L132" t="n">
        <v>1</v>
      </c>
      <c r="M132" t="n">
        <v>0</v>
      </c>
      <c r="N132" t="n">
        <v>0</v>
      </c>
      <c r="O132" t="n">
        <v>2</v>
      </c>
      <c r="P132" t="n">
        <v>1</v>
      </c>
      <c r="Q132" t="n">
        <v>2</v>
      </c>
      <c r="R132" s="2" t="inlineStr">
        <is>
          <t>Ask
Tallticka</t>
        </is>
      </c>
      <c r="S132">
        <f>HYPERLINK("https://klasma.github.io/Logging_0980/artfynd/A 26077-2024 artfynd.xlsx", "A 26077-2024")</f>
        <v/>
      </c>
      <c r="T132">
        <f>HYPERLINK("https://klasma.github.io/Logging_0980/kartor/A 26077-2024 karta.png", "A 26077-2024")</f>
        <v/>
      </c>
      <c r="V132">
        <f>HYPERLINK("https://klasma.github.io/Logging_0980/klagomål/A 26077-2024 FSC-klagomål.docx", "A 26077-2024")</f>
        <v/>
      </c>
      <c r="W132">
        <f>HYPERLINK("https://klasma.github.io/Logging_0980/klagomålsmail/A 26077-2024 FSC-klagomål mail.docx", "A 26077-2024")</f>
        <v/>
      </c>
      <c r="X132">
        <f>HYPERLINK("https://klasma.github.io/Logging_0980/tillsyn/A 26077-2024 tillsynsbegäran.docx", "A 26077-2024")</f>
        <v/>
      </c>
      <c r="Y132">
        <f>HYPERLINK("https://klasma.github.io/Logging_0980/tillsynsmail/A 26077-2024 tillsynsbegäran mail.docx", "A 26077-2024")</f>
        <v/>
      </c>
    </row>
    <row r="133" ht="15" customHeight="1">
      <c r="A133" t="inlineStr">
        <is>
          <t>A 63162-2025</t>
        </is>
      </c>
      <c r="B133" s="1" t="n">
        <v>46010.37629629629</v>
      </c>
      <c r="C133" s="1" t="n">
        <v>46176</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62760-2025</t>
        </is>
      </c>
      <c r="B134" s="1" t="n">
        <v>46008</v>
      </c>
      <c r="C134" s="1" t="n">
        <v>46176</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43219-2023</t>
        </is>
      </c>
      <c r="B135" s="1" t="n">
        <v>45183</v>
      </c>
      <c r="C135" s="1" t="n">
        <v>46176</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28276-2024</t>
        </is>
      </c>
      <c r="B136" s="1" t="n">
        <v>45477</v>
      </c>
      <c r="C136" s="1" t="n">
        <v>46176</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21879-2025</t>
        </is>
      </c>
      <c r="B137" s="1" t="n">
        <v>45784.40533564815</v>
      </c>
      <c r="C137" s="1" t="n">
        <v>46176</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46362-2021</t>
        </is>
      </c>
      <c r="B138" s="1" t="n">
        <v>44442</v>
      </c>
      <c r="C138" s="1" t="n">
        <v>46176</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22883-2024</t>
        </is>
      </c>
      <c r="B139" s="1" t="n">
        <v>45448.66368055555</v>
      </c>
      <c r="C139" s="1" t="n">
        <v>46176</v>
      </c>
      <c r="D139" t="inlineStr">
        <is>
          <t>GOTLANDS LÄN</t>
        </is>
      </c>
      <c r="E139" t="inlineStr">
        <is>
          <t>GOTLAND</t>
        </is>
      </c>
      <c r="G139" t="n">
        <v>0.5</v>
      </c>
      <c r="H139" t="n">
        <v>0</v>
      </c>
      <c r="I139" t="n">
        <v>0</v>
      </c>
      <c r="J139" t="n">
        <v>0</v>
      </c>
      <c r="K139" t="n">
        <v>1</v>
      </c>
      <c r="L139" t="n">
        <v>0</v>
      </c>
      <c r="M139" t="n">
        <v>0</v>
      </c>
      <c r="N139" t="n">
        <v>0</v>
      </c>
      <c r="O139" t="n">
        <v>1</v>
      </c>
      <c r="P139" t="n">
        <v>1</v>
      </c>
      <c r="Q139" t="n">
        <v>1</v>
      </c>
      <c r="R139" s="2" t="inlineStr">
        <is>
          <t>Gotlandsmåra</t>
        </is>
      </c>
      <c r="S139">
        <f>HYPERLINK("https://klasma.github.io/Logging_0980/artfynd/A 22883-2024 artfynd.xlsx", "A 22883-2024")</f>
        <v/>
      </c>
      <c r="T139">
        <f>HYPERLINK("https://klasma.github.io/Logging_0980/kartor/A 22883-2024 karta.png", "A 22883-2024")</f>
        <v/>
      </c>
      <c r="V139">
        <f>HYPERLINK("https://klasma.github.io/Logging_0980/klagomål/A 22883-2024 FSC-klagomål.docx", "A 22883-2024")</f>
        <v/>
      </c>
      <c r="W139">
        <f>HYPERLINK("https://klasma.github.io/Logging_0980/klagomålsmail/A 22883-2024 FSC-klagomål mail.docx", "A 22883-2024")</f>
        <v/>
      </c>
      <c r="X139">
        <f>HYPERLINK("https://klasma.github.io/Logging_0980/tillsyn/A 22883-2024 tillsynsbegäran.docx", "A 22883-2024")</f>
        <v/>
      </c>
      <c r="Y139">
        <f>HYPERLINK("https://klasma.github.io/Logging_0980/tillsynsmail/A 22883-2024 tillsynsbegäran mail.docx", "A 22883-2024")</f>
        <v/>
      </c>
    </row>
    <row r="140" ht="15" customHeight="1">
      <c r="A140" t="inlineStr">
        <is>
          <t>A 24245-2022</t>
        </is>
      </c>
      <c r="B140" s="1" t="n">
        <v>44725</v>
      </c>
      <c r="C140" s="1" t="n">
        <v>46176</v>
      </c>
      <c r="D140" t="inlineStr">
        <is>
          <t>GOTLANDS LÄN</t>
        </is>
      </c>
      <c r="E140" t="inlineStr">
        <is>
          <t>GOTLAND</t>
        </is>
      </c>
      <c r="G140" t="n">
        <v>4.9</v>
      </c>
      <c r="H140" t="n">
        <v>0</v>
      </c>
      <c r="I140" t="n">
        <v>0</v>
      </c>
      <c r="J140" t="n">
        <v>0</v>
      </c>
      <c r="K140" t="n">
        <v>0</v>
      </c>
      <c r="L140" t="n">
        <v>1</v>
      </c>
      <c r="M140" t="n">
        <v>0</v>
      </c>
      <c r="N140" t="n">
        <v>0</v>
      </c>
      <c r="O140" t="n">
        <v>1</v>
      </c>
      <c r="P140" t="n">
        <v>1</v>
      </c>
      <c r="Q140" t="n">
        <v>1</v>
      </c>
      <c r="R140" s="2" t="inlineStr">
        <is>
          <t>Slät taggsvamp</t>
        </is>
      </c>
      <c r="S140">
        <f>HYPERLINK("https://klasma.github.io/Logging_0980/artfynd/A 24245-2022 artfynd.xlsx", "A 24245-2022")</f>
        <v/>
      </c>
      <c r="T140">
        <f>HYPERLINK("https://klasma.github.io/Logging_0980/kartor/A 24245-2022 karta.png", "A 24245-2022")</f>
        <v/>
      </c>
      <c r="V140">
        <f>HYPERLINK("https://klasma.github.io/Logging_0980/klagomål/A 24245-2022 FSC-klagomål.docx", "A 24245-2022")</f>
        <v/>
      </c>
      <c r="W140">
        <f>HYPERLINK("https://klasma.github.io/Logging_0980/klagomålsmail/A 24245-2022 FSC-klagomål mail.docx", "A 24245-2022")</f>
        <v/>
      </c>
      <c r="X140">
        <f>HYPERLINK("https://klasma.github.io/Logging_0980/tillsyn/A 24245-2022 tillsynsbegäran.docx", "A 24245-2022")</f>
        <v/>
      </c>
      <c r="Y140">
        <f>HYPERLINK("https://klasma.github.io/Logging_0980/tillsynsmail/A 24245-2022 tillsynsbegäran mail.docx", "A 24245-2022")</f>
        <v/>
      </c>
    </row>
    <row r="141" ht="15" customHeight="1">
      <c r="A141" t="inlineStr">
        <is>
          <t>A 44308-2021</t>
        </is>
      </c>
      <c r="B141" s="1" t="n">
        <v>44434</v>
      </c>
      <c r="C141" s="1" t="n">
        <v>46176</v>
      </c>
      <c r="D141" t="inlineStr">
        <is>
          <t>GOTLANDS LÄN</t>
        </is>
      </c>
      <c r="E141" t="inlineStr">
        <is>
          <t>GOTLAND</t>
        </is>
      </c>
      <c r="G141" t="n">
        <v>5.9</v>
      </c>
      <c r="H141" t="n">
        <v>0</v>
      </c>
      <c r="I141" t="n">
        <v>1</v>
      </c>
      <c r="J141" t="n">
        <v>0</v>
      </c>
      <c r="K141" t="n">
        <v>0</v>
      </c>
      <c r="L141" t="n">
        <v>0</v>
      </c>
      <c r="M141" t="n">
        <v>0</v>
      </c>
      <c r="N141" t="n">
        <v>0</v>
      </c>
      <c r="O141" t="n">
        <v>0</v>
      </c>
      <c r="P141" t="n">
        <v>0</v>
      </c>
      <c r="Q141" t="n">
        <v>1</v>
      </c>
      <c r="R141" s="2" t="inlineStr">
        <is>
          <t>Svavelriska</t>
        </is>
      </c>
      <c r="S141">
        <f>HYPERLINK("https://klasma.github.io/Logging_0980/artfynd/A 44308-2021 artfynd.xlsx", "A 44308-2021")</f>
        <v/>
      </c>
      <c r="T141">
        <f>HYPERLINK("https://klasma.github.io/Logging_0980/kartor/A 44308-2021 karta.png", "A 44308-2021")</f>
        <v/>
      </c>
      <c r="V141">
        <f>HYPERLINK("https://klasma.github.io/Logging_0980/klagomål/A 44308-2021 FSC-klagomål.docx", "A 44308-2021")</f>
        <v/>
      </c>
      <c r="W141">
        <f>HYPERLINK("https://klasma.github.io/Logging_0980/klagomålsmail/A 44308-2021 FSC-klagomål mail.docx", "A 44308-2021")</f>
        <v/>
      </c>
      <c r="X141">
        <f>HYPERLINK("https://klasma.github.io/Logging_0980/tillsyn/A 44308-2021 tillsynsbegäran.docx", "A 44308-2021")</f>
        <v/>
      </c>
      <c r="Y141">
        <f>HYPERLINK("https://klasma.github.io/Logging_0980/tillsynsmail/A 44308-2021 tillsynsbegäran mail.docx", "A 44308-2021")</f>
        <v/>
      </c>
    </row>
    <row r="142" ht="15" customHeight="1">
      <c r="A142" t="inlineStr">
        <is>
          <t>A 46527-2023</t>
        </is>
      </c>
      <c r="B142" s="1" t="n">
        <v>45197</v>
      </c>
      <c r="C142" s="1" t="n">
        <v>46176</v>
      </c>
      <c r="D142" t="inlineStr">
        <is>
          <t>GOTLANDS LÄN</t>
        </is>
      </c>
      <c r="E142" t="inlineStr">
        <is>
          <t>GOTLAND</t>
        </is>
      </c>
      <c r="G142" t="n">
        <v>0.9</v>
      </c>
      <c r="H142" t="n">
        <v>0</v>
      </c>
      <c r="I142" t="n">
        <v>0</v>
      </c>
      <c r="J142" t="n">
        <v>1</v>
      </c>
      <c r="K142" t="n">
        <v>0</v>
      </c>
      <c r="L142" t="n">
        <v>0</v>
      </c>
      <c r="M142" t="n">
        <v>0</v>
      </c>
      <c r="N142" t="n">
        <v>0</v>
      </c>
      <c r="O142" t="n">
        <v>1</v>
      </c>
      <c r="P142" t="n">
        <v>0</v>
      </c>
      <c r="Q142" t="n">
        <v>1</v>
      </c>
      <c r="R142" s="2" t="inlineStr">
        <is>
          <t>Guldgräshoppa</t>
        </is>
      </c>
      <c r="S142">
        <f>HYPERLINK("https://klasma.github.io/Logging_0980/artfynd/A 46527-2023 artfynd.xlsx", "A 46527-2023")</f>
        <v/>
      </c>
      <c r="T142">
        <f>HYPERLINK("https://klasma.github.io/Logging_0980/kartor/A 46527-2023 karta.png", "A 46527-2023")</f>
        <v/>
      </c>
      <c r="V142">
        <f>HYPERLINK("https://klasma.github.io/Logging_0980/klagomål/A 46527-2023 FSC-klagomål.docx", "A 46527-2023")</f>
        <v/>
      </c>
      <c r="W142">
        <f>HYPERLINK("https://klasma.github.io/Logging_0980/klagomålsmail/A 46527-2023 FSC-klagomål mail.docx", "A 46527-2023")</f>
        <v/>
      </c>
      <c r="X142">
        <f>HYPERLINK("https://klasma.github.io/Logging_0980/tillsyn/A 46527-2023 tillsynsbegäran.docx", "A 46527-2023")</f>
        <v/>
      </c>
      <c r="Y142">
        <f>HYPERLINK("https://klasma.github.io/Logging_0980/tillsynsmail/A 46527-2023 tillsynsbegäran mail.docx", "A 46527-2023")</f>
        <v/>
      </c>
    </row>
    <row r="143" ht="15" customHeight="1">
      <c r="A143" t="inlineStr">
        <is>
          <t>A 6303-2024</t>
        </is>
      </c>
      <c r="B143" s="1" t="n">
        <v>45338.35376157407</v>
      </c>
      <c r="C143" s="1" t="n">
        <v>46176</v>
      </c>
      <c r="D143" t="inlineStr">
        <is>
          <t>GOTLANDS LÄN</t>
        </is>
      </c>
      <c r="E143" t="inlineStr">
        <is>
          <t>GOTLAND</t>
        </is>
      </c>
      <c r="G143" t="n">
        <v>0.6</v>
      </c>
      <c r="H143" t="n">
        <v>0</v>
      </c>
      <c r="I143" t="n">
        <v>1</v>
      </c>
      <c r="J143" t="n">
        <v>0</v>
      </c>
      <c r="K143" t="n">
        <v>0</v>
      </c>
      <c r="L143" t="n">
        <v>0</v>
      </c>
      <c r="M143" t="n">
        <v>0</v>
      </c>
      <c r="N143" t="n">
        <v>0</v>
      </c>
      <c r="O143" t="n">
        <v>0</v>
      </c>
      <c r="P143" t="n">
        <v>0</v>
      </c>
      <c r="Q143" t="n">
        <v>1</v>
      </c>
      <c r="R143" s="2" t="inlineStr">
        <is>
          <t>Strävlosta</t>
        </is>
      </c>
      <c r="S143">
        <f>HYPERLINK("https://klasma.github.io/Logging_0980/artfynd/A 6303-2024 artfynd.xlsx", "A 6303-2024")</f>
        <v/>
      </c>
      <c r="T143">
        <f>HYPERLINK("https://klasma.github.io/Logging_0980/kartor/A 6303-2024 karta.png", "A 6303-2024")</f>
        <v/>
      </c>
      <c r="V143">
        <f>HYPERLINK("https://klasma.github.io/Logging_0980/klagomål/A 6303-2024 FSC-klagomål.docx", "A 6303-2024")</f>
        <v/>
      </c>
      <c r="W143">
        <f>HYPERLINK("https://klasma.github.io/Logging_0980/klagomålsmail/A 6303-2024 FSC-klagomål mail.docx", "A 6303-2024")</f>
        <v/>
      </c>
      <c r="X143">
        <f>HYPERLINK("https://klasma.github.io/Logging_0980/tillsyn/A 6303-2024 tillsynsbegäran.docx", "A 6303-2024")</f>
        <v/>
      </c>
      <c r="Y143">
        <f>HYPERLINK("https://klasma.github.io/Logging_0980/tillsynsmail/A 6303-2024 tillsynsbegäran mail.docx", "A 6303-2024")</f>
        <v/>
      </c>
    </row>
    <row r="144" ht="15" customHeight="1">
      <c r="A144" t="inlineStr">
        <is>
          <t>A 62552-2022</t>
        </is>
      </c>
      <c r="B144" s="1" t="n">
        <v>44924</v>
      </c>
      <c r="C144" s="1" t="n">
        <v>46176</v>
      </c>
      <c r="D144" t="inlineStr">
        <is>
          <t>GOTLANDS LÄN</t>
        </is>
      </c>
      <c r="E144" t="inlineStr">
        <is>
          <t>GOTLAND</t>
        </is>
      </c>
      <c r="G144" t="n">
        <v>1.6</v>
      </c>
      <c r="H144" t="n">
        <v>0</v>
      </c>
      <c r="I144" t="n">
        <v>0</v>
      </c>
      <c r="J144" t="n">
        <v>1</v>
      </c>
      <c r="K144" t="n">
        <v>0</v>
      </c>
      <c r="L144" t="n">
        <v>0</v>
      </c>
      <c r="M144" t="n">
        <v>0</v>
      </c>
      <c r="N144" t="n">
        <v>0</v>
      </c>
      <c r="O144" t="n">
        <v>1</v>
      </c>
      <c r="P144" t="n">
        <v>0</v>
      </c>
      <c r="Q144" t="n">
        <v>1</v>
      </c>
      <c r="R144" s="2" t="inlineStr">
        <is>
          <t>Äggspindling</t>
        </is>
      </c>
      <c r="S144">
        <f>HYPERLINK("https://klasma.github.io/Logging_0980/artfynd/A 62552-2022 artfynd.xlsx", "A 62552-2022")</f>
        <v/>
      </c>
      <c r="T144">
        <f>HYPERLINK("https://klasma.github.io/Logging_0980/kartor/A 62552-2022 karta.png", "A 62552-2022")</f>
        <v/>
      </c>
      <c r="V144">
        <f>HYPERLINK("https://klasma.github.io/Logging_0980/klagomål/A 62552-2022 FSC-klagomål.docx", "A 62552-2022")</f>
        <v/>
      </c>
      <c r="W144">
        <f>HYPERLINK("https://klasma.github.io/Logging_0980/klagomålsmail/A 62552-2022 FSC-klagomål mail.docx", "A 62552-2022")</f>
        <v/>
      </c>
      <c r="X144">
        <f>HYPERLINK("https://klasma.github.io/Logging_0980/tillsyn/A 62552-2022 tillsynsbegäran.docx", "A 62552-2022")</f>
        <v/>
      </c>
      <c r="Y144">
        <f>HYPERLINK("https://klasma.github.io/Logging_0980/tillsynsmail/A 62552-2022 tillsynsbegäran mail.docx", "A 62552-2022")</f>
        <v/>
      </c>
    </row>
    <row r="145" ht="15" customHeight="1">
      <c r="A145" t="inlineStr">
        <is>
          <t>A 25977-2024</t>
        </is>
      </c>
      <c r="B145" s="1" t="n">
        <v>45467.69356481481</v>
      </c>
      <c r="C145" s="1" t="n">
        <v>46176</v>
      </c>
      <c r="D145" t="inlineStr">
        <is>
          <t>GOTLANDS LÄN</t>
        </is>
      </c>
      <c r="E145" t="inlineStr">
        <is>
          <t>GOTLAND</t>
        </is>
      </c>
      <c r="G145" t="n">
        <v>3</v>
      </c>
      <c r="H145" t="n">
        <v>1</v>
      </c>
      <c r="I145" t="n">
        <v>0</v>
      </c>
      <c r="J145" t="n">
        <v>0</v>
      </c>
      <c r="K145" t="n">
        <v>0</v>
      </c>
      <c r="L145" t="n">
        <v>0</v>
      </c>
      <c r="M145" t="n">
        <v>0</v>
      </c>
      <c r="N145" t="n">
        <v>0</v>
      </c>
      <c r="O145" t="n">
        <v>0</v>
      </c>
      <c r="P145" t="n">
        <v>0</v>
      </c>
      <c r="Q145" t="n">
        <v>1</v>
      </c>
      <c r="R145" s="2" t="inlineStr">
        <is>
          <t>Nattviol</t>
        </is>
      </c>
      <c r="S145">
        <f>HYPERLINK("https://klasma.github.io/Logging_0980/artfynd/A 25977-2024 artfynd.xlsx", "A 25977-2024")</f>
        <v/>
      </c>
      <c r="T145">
        <f>HYPERLINK("https://klasma.github.io/Logging_0980/kartor/A 25977-2024 karta.png", "A 25977-2024")</f>
        <v/>
      </c>
      <c r="V145">
        <f>HYPERLINK("https://klasma.github.io/Logging_0980/klagomål/A 25977-2024 FSC-klagomål.docx", "A 25977-2024")</f>
        <v/>
      </c>
      <c r="W145">
        <f>HYPERLINK("https://klasma.github.io/Logging_0980/klagomålsmail/A 25977-2024 FSC-klagomål mail.docx", "A 25977-2024")</f>
        <v/>
      </c>
      <c r="X145">
        <f>HYPERLINK("https://klasma.github.io/Logging_0980/tillsyn/A 25977-2024 tillsynsbegäran.docx", "A 25977-2024")</f>
        <v/>
      </c>
      <c r="Y145">
        <f>HYPERLINK("https://klasma.github.io/Logging_0980/tillsynsmail/A 25977-2024 tillsynsbegäran mail.docx", "A 25977-2024")</f>
        <v/>
      </c>
    </row>
    <row r="146" ht="15" customHeight="1">
      <c r="A146" t="inlineStr">
        <is>
          <t>A 9862-2024</t>
        </is>
      </c>
      <c r="B146" s="1" t="n">
        <v>45363</v>
      </c>
      <c r="C146" s="1" t="n">
        <v>46176</v>
      </c>
      <c r="D146" t="inlineStr">
        <is>
          <t>GOTLANDS LÄN</t>
        </is>
      </c>
      <c r="E146" t="inlineStr">
        <is>
          <t>GOTLAND</t>
        </is>
      </c>
      <c r="G146" t="n">
        <v>3.5</v>
      </c>
      <c r="H146" t="n">
        <v>1</v>
      </c>
      <c r="I146" t="n">
        <v>0</v>
      </c>
      <c r="J146" t="n">
        <v>0</v>
      </c>
      <c r="K146" t="n">
        <v>0</v>
      </c>
      <c r="L146" t="n">
        <v>0</v>
      </c>
      <c r="M146" t="n">
        <v>0</v>
      </c>
      <c r="N146" t="n">
        <v>0</v>
      </c>
      <c r="O146" t="n">
        <v>0</v>
      </c>
      <c r="P146" t="n">
        <v>0</v>
      </c>
      <c r="Q146" t="n">
        <v>1</v>
      </c>
      <c r="R146" s="2" t="inlineStr">
        <is>
          <t>Nattviol</t>
        </is>
      </c>
      <c r="S146">
        <f>HYPERLINK("https://klasma.github.io/Logging_0980/artfynd/A 9862-2024 artfynd.xlsx", "A 9862-2024")</f>
        <v/>
      </c>
      <c r="T146">
        <f>HYPERLINK("https://klasma.github.io/Logging_0980/kartor/A 9862-2024 karta.png", "A 9862-2024")</f>
        <v/>
      </c>
      <c r="V146">
        <f>HYPERLINK("https://klasma.github.io/Logging_0980/klagomål/A 9862-2024 FSC-klagomål.docx", "A 9862-2024")</f>
        <v/>
      </c>
      <c r="W146">
        <f>HYPERLINK("https://klasma.github.io/Logging_0980/klagomålsmail/A 9862-2024 FSC-klagomål mail.docx", "A 9862-2024")</f>
        <v/>
      </c>
      <c r="X146">
        <f>HYPERLINK("https://klasma.github.io/Logging_0980/tillsyn/A 9862-2024 tillsynsbegäran.docx", "A 9862-2024")</f>
        <v/>
      </c>
      <c r="Y146">
        <f>HYPERLINK("https://klasma.github.io/Logging_0980/tillsynsmail/A 9862-2024 tillsynsbegäran mail.docx", "A 9862-2024")</f>
        <v/>
      </c>
    </row>
    <row r="147" ht="15" customHeight="1">
      <c r="A147" t="inlineStr">
        <is>
          <t>A 34141-2024</t>
        </is>
      </c>
      <c r="B147" s="1" t="n">
        <v>45524.36229166666</v>
      </c>
      <c r="C147" s="1" t="n">
        <v>46176</v>
      </c>
      <c r="D147" t="inlineStr">
        <is>
          <t>GOTLANDS LÄN</t>
        </is>
      </c>
      <c r="E147" t="inlineStr">
        <is>
          <t>GOTLAND</t>
        </is>
      </c>
      <c r="G147" t="n">
        <v>0.9</v>
      </c>
      <c r="H147" t="n">
        <v>0</v>
      </c>
      <c r="I147" t="n">
        <v>1</v>
      </c>
      <c r="J147" t="n">
        <v>0</v>
      </c>
      <c r="K147" t="n">
        <v>0</v>
      </c>
      <c r="L147" t="n">
        <v>0</v>
      </c>
      <c r="M147" t="n">
        <v>0</v>
      </c>
      <c r="N147" t="n">
        <v>0</v>
      </c>
      <c r="O147" t="n">
        <v>0</v>
      </c>
      <c r="P147" t="n">
        <v>0</v>
      </c>
      <c r="Q147" t="n">
        <v>1</v>
      </c>
      <c r="R147" s="2" t="inlineStr">
        <is>
          <t>Strävlosta</t>
        </is>
      </c>
      <c r="S147">
        <f>HYPERLINK("https://klasma.github.io/Logging_0980/artfynd/A 34141-2024 artfynd.xlsx", "A 34141-2024")</f>
        <v/>
      </c>
      <c r="T147">
        <f>HYPERLINK("https://klasma.github.io/Logging_0980/kartor/A 34141-2024 karta.png", "A 34141-2024")</f>
        <v/>
      </c>
      <c r="V147">
        <f>HYPERLINK("https://klasma.github.io/Logging_0980/klagomål/A 34141-2024 FSC-klagomål.docx", "A 34141-2024")</f>
        <v/>
      </c>
      <c r="W147">
        <f>HYPERLINK("https://klasma.github.io/Logging_0980/klagomålsmail/A 34141-2024 FSC-klagomål mail.docx", "A 34141-2024")</f>
        <v/>
      </c>
      <c r="X147">
        <f>HYPERLINK("https://klasma.github.io/Logging_0980/tillsyn/A 34141-2024 tillsynsbegäran.docx", "A 34141-2024")</f>
        <v/>
      </c>
      <c r="Y147">
        <f>HYPERLINK("https://klasma.github.io/Logging_0980/tillsynsmail/A 34141-2024 tillsynsbegäran mail.docx", "A 34141-2024")</f>
        <v/>
      </c>
    </row>
    <row r="148" ht="15" customHeight="1">
      <c r="A148" t="inlineStr">
        <is>
          <t>A 27589-2023</t>
        </is>
      </c>
      <c r="B148" s="1" t="n">
        <v>45097</v>
      </c>
      <c r="C148" s="1" t="n">
        <v>46176</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13482-2026</t>
        </is>
      </c>
      <c r="B149" s="1" t="n">
        <v>46094</v>
      </c>
      <c r="C149" s="1" t="n">
        <v>46176</v>
      </c>
      <c r="D149" t="inlineStr">
        <is>
          <t>GOTLANDS LÄN</t>
        </is>
      </c>
      <c r="E149" t="inlineStr">
        <is>
          <t>GOTLAND</t>
        </is>
      </c>
      <c r="G149" t="n">
        <v>1.7</v>
      </c>
      <c r="H149" t="n">
        <v>1</v>
      </c>
      <c r="I149" t="n">
        <v>0</v>
      </c>
      <c r="J149" t="n">
        <v>1</v>
      </c>
      <c r="K149" t="n">
        <v>0</v>
      </c>
      <c r="L149" t="n">
        <v>0</v>
      </c>
      <c r="M149" t="n">
        <v>0</v>
      </c>
      <c r="N149" t="n">
        <v>0</v>
      </c>
      <c r="O149" t="n">
        <v>1</v>
      </c>
      <c r="P149" t="n">
        <v>0</v>
      </c>
      <c r="Q149" t="n">
        <v>1</v>
      </c>
      <c r="R149" s="2" t="inlineStr">
        <is>
          <t>Spillkråka</t>
        </is>
      </c>
      <c r="S149">
        <f>HYPERLINK("https://klasma.github.io/Logging_0980/artfynd/A 13482-2026 artfynd.xlsx", "A 13482-2026")</f>
        <v/>
      </c>
      <c r="T149">
        <f>HYPERLINK("https://klasma.github.io/Logging_0980/kartor/A 13482-2026 karta.png", "A 13482-2026")</f>
        <v/>
      </c>
      <c r="V149">
        <f>HYPERLINK("https://klasma.github.io/Logging_0980/klagomål/A 13482-2026 FSC-klagomål.docx", "A 13482-2026")</f>
        <v/>
      </c>
      <c r="W149">
        <f>HYPERLINK("https://klasma.github.io/Logging_0980/klagomålsmail/A 13482-2026 FSC-klagomål mail.docx", "A 13482-2026")</f>
        <v/>
      </c>
      <c r="X149">
        <f>HYPERLINK("https://klasma.github.io/Logging_0980/tillsyn/A 13482-2026 tillsynsbegäran.docx", "A 13482-2026")</f>
        <v/>
      </c>
      <c r="Y149">
        <f>HYPERLINK("https://klasma.github.io/Logging_0980/tillsynsmail/A 13482-2026 tillsynsbegäran mail.docx", "A 13482-2026")</f>
        <v/>
      </c>
      <c r="Z149">
        <f>HYPERLINK("https://klasma.github.io/Logging_0980/fåglar/A 13482-2026 prioriterade fågelarter.docx", "A 13482-2026")</f>
        <v/>
      </c>
    </row>
    <row r="150" ht="15" customHeight="1">
      <c r="A150" t="inlineStr">
        <is>
          <t>A 39812-2025</t>
        </is>
      </c>
      <c r="B150" s="1" t="n">
        <v>45891</v>
      </c>
      <c r="C150" s="1" t="n">
        <v>46176</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12924-2025</t>
        </is>
      </c>
      <c r="B151" s="1" t="n">
        <v>45734</v>
      </c>
      <c r="C151" s="1" t="n">
        <v>46176</v>
      </c>
      <c r="D151" t="inlineStr">
        <is>
          <t>GOTLANDS LÄN</t>
        </is>
      </c>
      <c r="E151" t="inlineStr">
        <is>
          <t>GOTLAND</t>
        </is>
      </c>
      <c r="G151" t="n">
        <v>11.7</v>
      </c>
      <c r="H151" t="n">
        <v>0</v>
      </c>
      <c r="I151" t="n">
        <v>0</v>
      </c>
      <c r="J151" t="n">
        <v>0</v>
      </c>
      <c r="K151" t="n">
        <v>1</v>
      </c>
      <c r="L151" t="n">
        <v>0</v>
      </c>
      <c r="M151" t="n">
        <v>0</v>
      </c>
      <c r="N151" t="n">
        <v>0</v>
      </c>
      <c r="O151" t="n">
        <v>1</v>
      </c>
      <c r="P151" t="n">
        <v>1</v>
      </c>
      <c r="Q151" t="n">
        <v>1</v>
      </c>
      <c r="R151" s="2" t="inlineStr">
        <is>
          <t>Gotlandsmåra</t>
        </is>
      </c>
      <c r="S151">
        <f>HYPERLINK("https://klasma.github.io/Logging_0980/artfynd/A 12924-2025 artfynd.xlsx", "A 12924-2025")</f>
        <v/>
      </c>
      <c r="T151">
        <f>HYPERLINK("https://klasma.github.io/Logging_0980/kartor/A 12924-2025 karta.png", "A 12924-2025")</f>
        <v/>
      </c>
      <c r="V151">
        <f>HYPERLINK("https://klasma.github.io/Logging_0980/klagomål/A 12924-2025 FSC-klagomål.docx", "A 12924-2025")</f>
        <v/>
      </c>
      <c r="W151">
        <f>HYPERLINK("https://klasma.github.io/Logging_0980/klagomålsmail/A 12924-2025 FSC-klagomål mail.docx", "A 12924-2025")</f>
        <v/>
      </c>
      <c r="X151">
        <f>HYPERLINK("https://klasma.github.io/Logging_0980/tillsyn/A 12924-2025 tillsynsbegäran.docx", "A 12924-2025")</f>
        <v/>
      </c>
      <c r="Y151">
        <f>HYPERLINK("https://klasma.github.io/Logging_0980/tillsynsmail/A 12924-2025 tillsynsbegäran mail.docx", "A 12924-2025")</f>
        <v/>
      </c>
    </row>
    <row r="152" ht="15" customHeight="1">
      <c r="A152" t="inlineStr">
        <is>
          <t>A 35467-2021</t>
        </is>
      </c>
      <c r="B152" s="1" t="n">
        <v>44385</v>
      </c>
      <c r="C152" s="1" t="n">
        <v>46176</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65927-2021</t>
        </is>
      </c>
      <c r="B153" s="1" t="n">
        <v>44516</v>
      </c>
      <c r="C153" s="1" t="n">
        <v>46176</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44619-2025</t>
        </is>
      </c>
      <c r="B154" s="1" t="n">
        <v>45917</v>
      </c>
      <c r="C154" s="1" t="n">
        <v>46176</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947-2023</t>
        </is>
      </c>
      <c r="B155" s="1" t="n">
        <v>44934</v>
      </c>
      <c r="C155" s="1" t="n">
        <v>46176</v>
      </c>
      <c r="D155" t="inlineStr">
        <is>
          <t>GOTLANDS LÄN</t>
        </is>
      </c>
      <c r="E155" t="inlineStr">
        <is>
          <t>GOTLAND</t>
        </is>
      </c>
      <c r="G155" t="n">
        <v>0.7</v>
      </c>
      <c r="H155" t="n">
        <v>1</v>
      </c>
      <c r="I155" t="n">
        <v>0</v>
      </c>
      <c r="J155" t="n">
        <v>0</v>
      </c>
      <c r="K155" t="n">
        <v>1</v>
      </c>
      <c r="L155" t="n">
        <v>0</v>
      </c>
      <c r="M155" t="n">
        <v>0</v>
      </c>
      <c r="N155" t="n">
        <v>0</v>
      </c>
      <c r="O155" t="n">
        <v>1</v>
      </c>
      <c r="P155" t="n">
        <v>1</v>
      </c>
      <c r="Q155" t="n">
        <v>1</v>
      </c>
      <c r="R155" s="2" t="inlineStr">
        <is>
          <t>Garderönn</t>
        </is>
      </c>
      <c r="S155">
        <f>HYPERLINK("https://klasma.github.io/Logging_0980/artfynd/A 947-2023 artfynd.xlsx", "A 947-2023")</f>
        <v/>
      </c>
      <c r="T155">
        <f>HYPERLINK("https://klasma.github.io/Logging_0980/kartor/A 947-2023 karta.png", "A 947-2023")</f>
        <v/>
      </c>
      <c r="V155">
        <f>HYPERLINK("https://klasma.github.io/Logging_0980/klagomål/A 947-2023 FSC-klagomål.docx", "A 947-2023")</f>
        <v/>
      </c>
      <c r="W155">
        <f>HYPERLINK("https://klasma.github.io/Logging_0980/klagomålsmail/A 947-2023 FSC-klagomål mail.docx", "A 947-2023")</f>
        <v/>
      </c>
      <c r="X155">
        <f>HYPERLINK("https://klasma.github.io/Logging_0980/tillsyn/A 947-2023 tillsynsbegäran.docx", "A 947-2023")</f>
        <v/>
      </c>
      <c r="Y155">
        <f>HYPERLINK("https://klasma.github.io/Logging_0980/tillsynsmail/A 947-2023 tillsynsbegäran mail.docx", "A 947-2023")</f>
        <v/>
      </c>
    </row>
    <row r="156" ht="15" customHeight="1">
      <c r="A156" t="inlineStr">
        <is>
          <t>A 22281-2026</t>
        </is>
      </c>
      <c r="B156" s="1" t="n">
        <v>46154</v>
      </c>
      <c r="C156" s="1" t="n">
        <v>46176</v>
      </c>
      <c r="D156" t="inlineStr">
        <is>
          <t>GOTLANDS LÄN</t>
        </is>
      </c>
      <c r="E156" t="inlineStr">
        <is>
          <t>GOTLAND</t>
        </is>
      </c>
      <c r="G156" t="n">
        <v>8.1</v>
      </c>
      <c r="H156" t="n">
        <v>0</v>
      </c>
      <c r="I156" t="n">
        <v>0</v>
      </c>
      <c r="J156" t="n">
        <v>1</v>
      </c>
      <c r="K156" t="n">
        <v>0</v>
      </c>
      <c r="L156" t="n">
        <v>0</v>
      </c>
      <c r="M156" t="n">
        <v>0</v>
      </c>
      <c r="N156" t="n">
        <v>0</v>
      </c>
      <c r="O156" t="n">
        <v>1</v>
      </c>
      <c r="P156" t="n">
        <v>0</v>
      </c>
      <c r="Q156" t="n">
        <v>1</v>
      </c>
      <c r="R156" s="2" t="inlineStr">
        <is>
          <t>Vasstandad trädbasbagge</t>
        </is>
      </c>
      <c r="S156">
        <f>HYPERLINK("https://klasma.github.io/Logging_0980/artfynd/A 22281-2026 artfynd.xlsx", "A 22281-2026")</f>
        <v/>
      </c>
      <c r="T156">
        <f>HYPERLINK("https://klasma.github.io/Logging_0980/kartor/A 22281-2026 karta.png", "A 22281-2026")</f>
        <v/>
      </c>
      <c r="V156">
        <f>HYPERLINK("https://klasma.github.io/Logging_0980/klagomål/A 22281-2026 FSC-klagomål.docx", "A 22281-2026")</f>
        <v/>
      </c>
      <c r="W156">
        <f>HYPERLINK("https://klasma.github.io/Logging_0980/klagomålsmail/A 22281-2026 FSC-klagomål mail.docx", "A 22281-2026")</f>
        <v/>
      </c>
      <c r="X156">
        <f>HYPERLINK("https://klasma.github.io/Logging_0980/tillsyn/A 22281-2026 tillsynsbegäran.docx", "A 22281-2026")</f>
        <v/>
      </c>
      <c r="Y156">
        <f>HYPERLINK("https://klasma.github.io/Logging_0980/tillsynsmail/A 22281-2026 tillsynsbegäran mail.docx", "A 22281-2026")</f>
        <v/>
      </c>
    </row>
    <row r="157" ht="15" customHeight="1">
      <c r="A157" t="inlineStr">
        <is>
          <t>A 17854-2026</t>
        </is>
      </c>
      <c r="B157" s="1" t="n">
        <v>46121</v>
      </c>
      <c r="C157" s="1" t="n">
        <v>46176</v>
      </c>
      <c r="D157" t="inlineStr">
        <is>
          <t>GOTLANDS LÄN</t>
        </is>
      </c>
      <c r="E157" t="inlineStr">
        <is>
          <t>GOTLAND</t>
        </is>
      </c>
      <c r="G157" t="n">
        <v>6.6</v>
      </c>
      <c r="H157" t="n">
        <v>0</v>
      </c>
      <c r="I157" t="n">
        <v>1</v>
      </c>
      <c r="J157" t="n">
        <v>0</v>
      </c>
      <c r="K157" t="n">
        <v>0</v>
      </c>
      <c r="L157" t="n">
        <v>0</v>
      </c>
      <c r="M157" t="n">
        <v>0</v>
      </c>
      <c r="N157" t="n">
        <v>0</v>
      </c>
      <c r="O157" t="n">
        <v>0</v>
      </c>
      <c r="P157" t="n">
        <v>0</v>
      </c>
      <c r="Q157" t="n">
        <v>1</v>
      </c>
      <c r="R157" s="2" t="inlineStr">
        <is>
          <t>Blå slemspindling</t>
        </is>
      </c>
      <c r="S157">
        <f>HYPERLINK("https://klasma.github.io/Logging_0980/artfynd/A 17854-2026 artfynd.xlsx", "A 17854-2026")</f>
        <v/>
      </c>
      <c r="T157">
        <f>HYPERLINK("https://klasma.github.io/Logging_0980/kartor/A 17854-2026 karta.png", "A 17854-2026")</f>
        <v/>
      </c>
      <c r="V157">
        <f>HYPERLINK("https://klasma.github.io/Logging_0980/klagomål/A 17854-2026 FSC-klagomål.docx", "A 17854-2026")</f>
        <v/>
      </c>
      <c r="W157">
        <f>HYPERLINK("https://klasma.github.io/Logging_0980/klagomålsmail/A 17854-2026 FSC-klagomål mail.docx", "A 17854-2026")</f>
        <v/>
      </c>
      <c r="X157">
        <f>HYPERLINK("https://klasma.github.io/Logging_0980/tillsyn/A 17854-2026 tillsynsbegäran.docx", "A 17854-2026")</f>
        <v/>
      </c>
      <c r="Y157">
        <f>HYPERLINK("https://klasma.github.io/Logging_0980/tillsynsmail/A 17854-2026 tillsynsbegäran mail.docx", "A 17854-2026")</f>
        <v/>
      </c>
    </row>
    <row r="158" ht="15" customHeight="1">
      <c r="A158" t="inlineStr">
        <is>
          <t>A 61561-2023</t>
        </is>
      </c>
      <c r="B158" s="1" t="n">
        <v>45265</v>
      </c>
      <c r="C158" s="1" t="n">
        <v>46176</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18036-2026</t>
        </is>
      </c>
      <c r="B159" s="1" t="n">
        <v>46125.39576388889</v>
      </c>
      <c r="C159" s="1" t="n">
        <v>46176</v>
      </c>
      <c r="D159" t="inlineStr">
        <is>
          <t>GOTLANDS LÄN</t>
        </is>
      </c>
      <c r="E159" t="inlineStr">
        <is>
          <t>GOTLAND</t>
        </is>
      </c>
      <c r="G159" t="n">
        <v>1.8</v>
      </c>
      <c r="H159" t="n">
        <v>0</v>
      </c>
      <c r="I159" t="n">
        <v>0</v>
      </c>
      <c r="J159" t="n">
        <v>1</v>
      </c>
      <c r="K159" t="n">
        <v>0</v>
      </c>
      <c r="L159" t="n">
        <v>0</v>
      </c>
      <c r="M159" t="n">
        <v>0</v>
      </c>
      <c r="N159" t="n">
        <v>0</v>
      </c>
      <c r="O159" t="n">
        <v>1</v>
      </c>
      <c r="P159" t="n">
        <v>0</v>
      </c>
      <c r="Q159" t="n">
        <v>1</v>
      </c>
      <c r="R159" s="2" t="inlineStr">
        <is>
          <t>Sommarfibbla</t>
        </is>
      </c>
      <c r="S159">
        <f>HYPERLINK("https://klasma.github.io/Logging_0980/artfynd/A 18036-2026 artfynd.xlsx", "A 18036-2026")</f>
        <v/>
      </c>
      <c r="T159">
        <f>HYPERLINK("https://klasma.github.io/Logging_0980/kartor/A 18036-2026 karta.png", "A 18036-2026")</f>
        <v/>
      </c>
      <c r="V159">
        <f>HYPERLINK("https://klasma.github.io/Logging_0980/klagomål/A 18036-2026 FSC-klagomål.docx", "A 18036-2026")</f>
        <v/>
      </c>
      <c r="W159">
        <f>HYPERLINK("https://klasma.github.io/Logging_0980/klagomålsmail/A 18036-2026 FSC-klagomål mail.docx", "A 18036-2026")</f>
        <v/>
      </c>
      <c r="X159">
        <f>HYPERLINK("https://klasma.github.io/Logging_0980/tillsyn/A 18036-2026 tillsynsbegäran.docx", "A 18036-2026")</f>
        <v/>
      </c>
      <c r="Y159">
        <f>HYPERLINK("https://klasma.github.io/Logging_0980/tillsynsmail/A 18036-2026 tillsynsbegäran mail.docx", "A 18036-2026")</f>
        <v/>
      </c>
    </row>
    <row r="160" ht="15" customHeight="1">
      <c r="A160" t="inlineStr">
        <is>
          <t>A 10013-2026</t>
        </is>
      </c>
      <c r="B160" s="1" t="n">
        <v>46073</v>
      </c>
      <c r="C160" s="1" t="n">
        <v>46176</v>
      </c>
      <c r="D160" t="inlineStr">
        <is>
          <t>GOTLANDS LÄN</t>
        </is>
      </c>
      <c r="E160" t="inlineStr">
        <is>
          <t>GOTLAND</t>
        </is>
      </c>
      <c r="G160" t="n">
        <v>10.5</v>
      </c>
      <c r="H160" t="n">
        <v>0</v>
      </c>
      <c r="I160" t="n">
        <v>0</v>
      </c>
      <c r="J160" t="n">
        <v>0</v>
      </c>
      <c r="K160" t="n">
        <v>1</v>
      </c>
      <c r="L160" t="n">
        <v>0</v>
      </c>
      <c r="M160" t="n">
        <v>0</v>
      </c>
      <c r="N160" t="n">
        <v>0</v>
      </c>
      <c r="O160" t="n">
        <v>1</v>
      </c>
      <c r="P160" t="n">
        <v>1</v>
      </c>
      <c r="Q160" t="n">
        <v>1</v>
      </c>
      <c r="R160" s="2" t="inlineStr">
        <is>
          <t>Skogskorn</t>
        </is>
      </c>
      <c r="S160">
        <f>HYPERLINK("https://klasma.github.io/Logging_0980/artfynd/A 10013-2026 artfynd.xlsx", "A 10013-2026")</f>
        <v/>
      </c>
      <c r="T160">
        <f>HYPERLINK("https://klasma.github.io/Logging_0980/kartor/A 10013-2026 karta.png", "A 10013-2026")</f>
        <v/>
      </c>
      <c r="V160">
        <f>HYPERLINK("https://klasma.github.io/Logging_0980/klagomål/A 10013-2026 FSC-klagomål.docx", "A 10013-2026")</f>
        <v/>
      </c>
      <c r="W160">
        <f>HYPERLINK("https://klasma.github.io/Logging_0980/klagomålsmail/A 10013-2026 FSC-klagomål mail.docx", "A 10013-2026")</f>
        <v/>
      </c>
      <c r="X160">
        <f>HYPERLINK("https://klasma.github.io/Logging_0980/tillsyn/A 10013-2026 tillsynsbegäran.docx", "A 10013-2026")</f>
        <v/>
      </c>
      <c r="Y160">
        <f>HYPERLINK("https://klasma.github.io/Logging_0980/tillsynsmail/A 10013-2026 tillsynsbegäran mail.docx", "A 10013-2026")</f>
        <v/>
      </c>
    </row>
    <row r="161" ht="15" customHeight="1">
      <c r="A161" t="inlineStr">
        <is>
          <t>A 49726-2025</t>
        </is>
      </c>
      <c r="B161" s="1" t="n">
        <v>45939.84466435185</v>
      </c>
      <c r="C161" s="1" t="n">
        <v>46176</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12324-2025</t>
        </is>
      </c>
      <c r="B162" s="1" t="n">
        <v>45730</v>
      </c>
      <c r="C162" s="1" t="n">
        <v>46176</v>
      </c>
      <c r="D162" t="inlineStr">
        <is>
          <t>GOTLANDS LÄN</t>
        </is>
      </c>
      <c r="E162" t="inlineStr">
        <is>
          <t>GOTLAND</t>
        </is>
      </c>
      <c r="G162" t="n">
        <v>5</v>
      </c>
      <c r="H162" t="n">
        <v>0</v>
      </c>
      <c r="I162" t="n">
        <v>0</v>
      </c>
      <c r="J162" t="n">
        <v>0</v>
      </c>
      <c r="K162" t="n">
        <v>1</v>
      </c>
      <c r="L162" t="n">
        <v>0</v>
      </c>
      <c r="M162" t="n">
        <v>0</v>
      </c>
      <c r="N162" t="n">
        <v>0</v>
      </c>
      <c r="O162" t="n">
        <v>1</v>
      </c>
      <c r="P162" t="n">
        <v>1</v>
      </c>
      <c r="Q162" t="n">
        <v>1</v>
      </c>
      <c r="R162" s="2" t="inlineStr">
        <is>
          <t>Sommarklynne</t>
        </is>
      </c>
      <c r="S162">
        <f>HYPERLINK("https://klasma.github.io/Logging_0980/artfynd/A 12324-2025 artfynd.xlsx", "A 12324-2025")</f>
        <v/>
      </c>
      <c r="T162">
        <f>HYPERLINK("https://klasma.github.io/Logging_0980/kartor/A 12324-2025 karta.png", "A 12324-2025")</f>
        <v/>
      </c>
      <c r="V162">
        <f>HYPERLINK("https://klasma.github.io/Logging_0980/klagomål/A 12324-2025 FSC-klagomål.docx", "A 12324-2025")</f>
        <v/>
      </c>
      <c r="W162">
        <f>HYPERLINK("https://klasma.github.io/Logging_0980/klagomålsmail/A 12324-2025 FSC-klagomål mail.docx", "A 12324-2025")</f>
        <v/>
      </c>
      <c r="X162">
        <f>HYPERLINK("https://klasma.github.io/Logging_0980/tillsyn/A 12324-2025 tillsynsbegäran.docx", "A 12324-2025")</f>
        <v/>
      </c>
      <c r="Y162">
        <f>HYPERLINK("https://klasma.github.io/Logging_0980/tillsynsmail/A 12324-2025 tillsynsbegäran mail.docx", "A 12324-2025")</f>
        <v/>
      </c>
    </row>
    <row r="163" ht="15" customHeight="1">
      <c r="A163" t="inlineStr">
        <is>
          <t>A 2476-2025</t>
        </is>
      </c>
      <c r="B163" s="1" t="n">
        <v>45673</v>
      </c>
      <c r="C163" s="1" t="n">
        <v>46176</v>
      </c>
      <c r="D163" t="inlineStr">
        <is>
          <t>GOTLANDS LÄN</t>
        </is>
      </c>
      <c r="E163" t="inlineStr">
        <is>
          <t>GOTLAND</t>
        </is>
      </c>
      <c r="G163" t="n">
        <v>3.1</v>
      </c>
      <c r="H163" t="n">
        <v>0</v>
      </c>
      <c r="I163" t="n">
        <v>1</v>
      </c>
      <c r="J163" t="n">
        <v>0</v>
      </c>
      <c r="K163" t="n">
        <v>0</v>
      </c>
      <c r="L163" t="n">
        <v>0</v>
      </c>
      <c r="M163" t="n">
        <v>0</v>
      </c>
      <c r="N163" t="n">
        <v>0</v>
      </c>
      <c r="O163" t="n">
        <v>0</v>
      </c>
      <c r="P163" t="n">
        <v>0</v>
      </c>
      <c r="Q163" t="n">
        <v>1</v>
      </c>
      <c r="R163" s="2" t="inlineStr">
        <is>
          <t>Kryddspindling</t>
        </is>
      </c>
      <c r="S163">
        <f>HYPERLINK("https://klasma.github.io/Logging_0980/artfynd/A 2476-2025 artfynd.xlsx", "A 2476-2025")</f>
        <v/>
      </c>
      <c r="T163">
        <f>HYPERLINK("https://klasma.github.io/Logging_0980/kartor/A 2476-2025 karta.png", "A 2476-2025")</f>
        <v/>
      </c>
      <c r="V163">
        <f>HYPERLINK("https://klasma.github.io/Logging_0980/klagomål/A 2476-2025 FSC-klagomål.docx", "A 2476-2025")</f>
        <v/>
      </c>
      <c r="W163">
        <f>HYPERLINK("https://klasma.github.io/Logging_0980/klagomålsmail/A 2476-2025 FSC-klagomål mail.docx", "A 2476-2025")</f>
        <v/>
      </c>
      <c r="X163">
        <f>HYPERLINK("https://klasma.github.io/Logging_0980/tillsyn/A 2476-2025 tillsynsbegäran.docx", "A 2476-2025")</f>
        <v/>
      </c>
      <c r="Y163">
        <f>HYPERLINK("https://klasma.github.io/Logging_0980/tillsynsmail/A 2476-2025 tillsynsbegäran mail.docx", "A 2476-2025")</f>
        <v/>
      </c>
    </row>
    <row r="164" ht="15" customHeight="1">
      <c r="A164" t="inlineStr">
        <is>
          <t>A 44304-2021</t>
        </is>
      </c>
      <c r="B164" s="1" t="n">
        <v>44434</v>
      </c>
      <c r="C164" s="1" t="n">
        <v>46176</v>
      </c>
      <c r="D164" t="inlineStr">
        <is>
          <t>GOTLANDS LÄN</t>
        </is>
      </c>
      <c r="E164" t="inlineStr">
        <is>
          <t>GOTLAND</t>
        </is>
      </c>
      <c r="G164" t="n">
        <v>5.8</v>
      </c>
      <c r="H164" t="n">
        <v>0</v>
      </c>
      <c r="I164" t="n">
        <v>0</v>
      </c>
      <c r="J164" t="n">
        <v>1</v>
      </c>
      <c r="K164" t="n">
        <v>0</v>
      </c>
      <c r="L164" t="n">
        <v>0</v>
      </c>
      <c r="M164" t="n">
        <v>0</v>
      </c>
      <c r="N164" t="n">
        <v>0</v>
      </c>
      <c r="O164" t="n">
        <v>1</v>
      </c>
      <c r="P164" t="n">
        <v>0</v>
      </c>
      <c r="Q164" t="n">
        <v>1</v>
      </c>
      <c r="R164" s="2" t="inlineStr">
        <is>
          <t>Svinrot</t>
        </is>
      </c>
      <c r="S164">
        <f>HYPERLINK("https://klasma.github.io/Logging_0980/artfynd/A 44304-2021 artfynd.xlsx", "A 44304-2021")</f>
        <v/>
      </c>
      <c r="T164">
        <f>HYPERLINK("https://klasma.github.io/Logging_0980/kartor/A 44304-2021 karta.png", "A 44304-2021")</f>
        <v/>
      </c>
      <c r="V164">
        <f>HYPERLINK("https://klasma.github.io/Logging_0980/klagomål/A 44304-2021 FSC-klagomål.docx", "A 44304-2021")</f>
        <v/>
      </c>
      <c r="W164">
        <f>HYPERLINK("https://klasma.github.io/Logging_0980/klagomålsmail/A 44304-2021 FSC-klagomål mail.docx", "A 44304-2021")</f>
        <v/>
      </c>
      <c r="X164">
        <f>HYPERLINK("https://klasma.github.io/Logging_0980/tillsyn/A 44304-2021 tillsynsbegäran.docx", "A 44304-2021")</f>
        <v/>
      </c>
      <c r="Y164">
        <f>HYPERLINK("https://klasma.github.io/Logging_0980/tillsynsmail/A 44304-2021 tillsynsbegäran mail.docx", "A 44304-2021")</f>
        <v/>
      </c>
    </row>
    <row r="165" ht="15" customHeight="1">
      <c r="A165" t="inlineStr">
        <is>
          <t>A 447-2023</t>
        </is>
      </c>
      <c r="B165" s="1" t="n">
        <v>44929</v>
      </c>
      <c r="C165" s="1" t="n">
        <v>46176</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34809-2024</t>
        </is>
      </c>
      <c r="B166" s="1" t="n">
        <v>45526</v>
      </c>
      <c r="C166" s="1" t="n">
        <v>46176</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49304-2024</t>
        </is>
      </c>
      <c r="B167" s="1" t="n">
        <v>45595.54996527778</v>
      </c>
      <c r="C167" s="1" t="n">
        <v>46176</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22782-2023</t>
        </is>
      </c>
      <c r="B168" s="1" t="n">
        <v>45072</v>
      </c>
      <c r="C168" s="1" t="n">
        <v>46176</v>
      </c>
      <c r="D168" t="inlineStr">
        <is>
          <t>GOTLANDS LÄN</t>
        </is>
      </c>
      <c r="E168" t="inlineStr">
        <is>
          <t>GOTLAND</t>
        </is>
      </c>
      <c r="F168" t="inlineStr">
        <is>
          <t>Kyrkan</t>
        </is>
      </c>
      <c r="G168" t="n">
        <v>3.1</v>
      </c>
      <c r="H168" t="n">
        <v>1</v>
      </c>
      <c r="I168" t="n">
        <v>0</v>
      </c>
      <c r="J168" t="n">
        <v>0</v>
      </c>
      <c r="K168" t="n">
        <v>0</v>
      </c>
      <c r="L168" t="n">
        <v>0</v>
      </c>
      <c r="M168" t="n">
        <v>0</v>
      </c>
      <c r="N168" t="n">
        <v>0</v>
      </c>
      <c r="O168" t="n">
        <v>0</v>
      </c>
      <c r="P168" t="n">
        <v>0</v>
      </c>
      <c r="Q168" t="n">
        <v>1</v>
      </c>
      <c r="R168" s="2" t="inlineStr">
        <is>
          <t>Ängsnycklar × skogsnycklar</t>
        </is>
      </c>
      <c r="S168">
        <f>HYPERLINK("https://klasma.github.io/Logging_0980/artfynd/A 22782-2023 artfynd.xlsx", "A 22782-2023")</f>
        <v/>
      </c>
      <c r="T168">
        <f>HYPERLINK("https://klasma.github.io/Logging_0980/kartor/A 22782-2023 karta.png", "A 22782-2023")</f>
        <v/>
      </c>
      <c r="V168">
        <f>HYPERLINK("https://klasma.github.io/Logging_0980/klagomål/A 22782-2023 FSC-klagomål.docx", "A 22782-2023")</f>
        <v/>
      </c>
      <c r="W168">
        <f>HYPERLINK("https://klasma.github.io/Logging_0980/klagomålsmail/A 22782-2023 FSC-klagomål mail.docx", "A 22782-2023")</f>
        <v/>
      </c>
      <c r="X168">
        <f>HYPERLINK("https://klasma.github.io/Logging_0980/tillsyn/A 22782-2023 tillsynsbegäran.docx", "A 22782-2023")</f>
        <v/>
      </c>
      <c r="Y168">
        <f>HYPERLINK("https://klasma.github.io/Logging_0980/tillsynsmail/A 22782-2023 tillsynsbegäran mail.docx", "A 22782-2023")</f>
        <v/>
      </c>
    </row>
    <row r="169" ht="15" customHeight="1">
      <c r="A169" t="inlineStr">
        <is>
          <t>A 44088-2022</t>
        </is>
      </c>
      <c r="B169" s="1" t="n">
        <v>44839</v>
      </c>
      <c r="C169" s="1" t="n">
        <v>46176</v>
      </c>
      <c r="D169" t="inlineStr">
        <is>
          <t>GOTLANDS LÄN</t>
        </is>
      </c>
      <c r="E169" t="inlineStr">
        <is>
          <t>GOTLAND</t>
        </is>
      </c>
      <c r="G169" t="n">
        <v>1.5</v>
      </c>
      <c r="H169" t="n">
        <v>0</v>
      </c>
      <c r="I169" t="n">
        <v>1</v>
      </c>
      <c r="J169" t="n">
        <v>0</v>
      </c>
      <c r="K169" t="n">
        <v>0</v>
      </c>
      <c r="L169" t="n">
        <v>0</v>
      </c>
      <c r="M169" t="n">
        <v>0</v>
      </c>
      <c r="N169" t="n">
        <v>0</v>
      </c>
      <c r="O169" t="n">
        <v>0</v>
      </c>
      <c r="P169" t="n">
        <v>0</v>
      </c>
      <c r="Q169" t="n">
        <v>1</v>
      </c>
      <c r="R169" s="2" t="inlineStr">
        <is>
          <t>Strävlosta</t>
        </is>
      </c>
      <c r="S169">
        <f>HYPERLINK("https://klasma.github.io/Logging_0980/artfynd/A 44088-2022 artfynd.xlsx", "A 44088-2022")</f>
        <v/>
      </c>
      <c r="T169">
        <f>HYPERLINK("https://klasma.github.io/Logging_0980/kartor/A 44088-2022 karta.png", "A 44088-2022")</f>
        <v/>
      </c>
      <c r="V169">
        <f>HYPERLINK("https://klasma.github.io/Logging_0980/klagomål/A 44088-2022 FSC-klagomål.docx", "A 44088-2022")</f>
        <v/>
      </c>
      <c r="W169">
        <f>HYPERLINK("https://klasma.github.io/Logging_0980/klagomålsmail/A 44088-2022 FSC-klagomål mail.docx", "A 44088-2022")</f>
        <v/>
      </c>
      <c r="X169">
        <f>HYPERLINK("https://klasma.github.io/Logging_0980/tillsyn/A 44088-2022 tillsynsbegäran.docx", "A 44088-2022")</f>
        <v/>
      </c>
      <c r="Y169">
        <f>HYPERLINK("https://klasma.github.io/Logging_0980/tillsynsmail/A 44088-2022 tillsynsbegäran mail.docx", "A 44088-2022")</f>
        <v/>
      </c>
    </row>
    <row r="170" ht="15" customHeight="1">
      <c r="A170" t="inlineStr">
        <is>
          <t>A 1477-2024</t>
        </is>
      </c>
      <c r="B170" s="1" t="n">
        <v>45305.37987268518</v>
      </c>
      <c r="C170" s="1" t="n">
        <v>46176</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11708-2026</t>
        </is>
      </c>
      <c r="B171" s="1" t="n">
        <v>46084</v>
      </c>
      <c r="C171" s="1" t="n">
        <v>46176</v>
      </c>
      <c r="D171" t="inlineStr">
        <is>
          <t>GOTLANDS LÄN</t>
        </is>
      </c>
      <c r="E171" t="inlineStr">
        <is>
          <t>GOTLAND</t>
        </is>
      </c>
      <c r="G171" t="n">
        <v>8.4</v>
      </c>
      <c r="H171" t="n">
        <v>1</v>
      </c>
      <c r="I171" t="n">
        <v>0</v>
      </c>
      <c r="J171" t="n">
        <v>1</v>
      </c>
      <c r="K171" t="n">
        <v>0</v>
      </c>
      <c r="L171" t="n">
        <v>0</v>
      </c>
      <c r="M171" t="n">
        <v>0</v>
      </c>
      <c r="N171" t="n">
        <v>0</v>
      </c>
      <c r="O171" t="n">
        <v>1</v>
      </c>
      <c r="P171" t="n">
        <v>0</v>
      </c>
      <c r="Q171" t="n">
        <v>1</v>
      </c>
      <c r="R171" s="2" t="inlineStr">
        <is>
          <t>Bredarun</t>
        </is>
      </c>
      <c r="S171">
        <f>HYPERLINK("https://klasma.github.io/Logging_0980/artfynd/A 11708-2026 artfynd.xlsx", "A 11708-2026")</f>
        <v/>
      </c>
      <c r="T171">
        <f>HYPERLINK("https://klasma.github.io/Logging_0980/kartor/A 11708-2026 karta.png", "A 11708-2026")</f>
        <v/>
      </c>
      <c r="V171">
        <f>HYPERLINK("https://klasma.github.io/Logging_0980/klagomål/A 11708-2026 FSC-klagomål.docx", "A 11708-2026")</f>
        <v/>
      </c>
      <c r="W171">
        <f>HYPERLINK("https://klasma.github.io/Logging_0980/klagomålsmail/A 11708-2026 FSC-klagomål mail.docx", "A 11708-2026")</f>
        <v/>
      </c>
      <c r="X171">
        <f>HYPERLINK("https://klasma.github.io/Logging_0980/tillsyn/A 11708-2026 tillsynsbegäran.docx", "A 11708-2026")</f>
        <v/>
      </c>
      <c r="Y171">
        <f>HYPERLINK("https://klasma.github.io/Logging_0980/tillsynsmail/A 11708-2026 tillsynsbegäran mail.docx", "A 11708-2026")</f>
        <v/>
      </c>
    </row>
    <row r="172" ht="15" customHeight="1">
      <c r="A172" t="inlineStr">
        <is>
          <t>A 7637-2025</t>
        </is>
      </c>
      <c r="B172" s="1" t="n">
        <v>45705.77181712963</v>
      </c>
      <c r="C172" s="1" t="n">
        <v>46176</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61796-2022</t>
        </is>
      </c>
      <c r="B173" s="1" t="n">
        <v>44917</v>
      </c>
      <c r="C173" s="1" t="n">
        <v>46176</v>
      </c>
      <c r="D173" t="inlineStr">
        <is>
          <t>GOTLANDS LÄN</t>
        </is>
      </c>
      <c r="E173" t="inlineStr">
        <is>
          <t>GOTLAND</t>
        </is>
      </c>
      <c r="G173" t="n">
        <v>1.5</v>
      </c>
      <c r="H173" t="n">
        <v>1</v>
      </c>
      <c r="I173" t="n">
        <v>0</v>
      </c>
      <c r="J173" t="n">
        <v>0</v>
      </c>
      <c r="K173" t="n">
        <v>0</v>
      </c>
      <c r="L173" t="n">
        <v>0</v>
      </c>
      <c r="M173" t="n">
        <v>0</v>
      </c>
      <c r="N173" t="n">
        <v>0</v>
      </c>
      <c r="O173" t="n">
        <v>0</v>
      </c>
      <c r="P173" t="n">
        <v>0</v>
      </c>
      <c r="Q173" t="n">
        <v>1</v>
      </c>
      <c r="R173" s="2" t="inlineStr">
        <is>
          <t>Skogsduva</t>
        </is>
      </c>
      <c r="S173">
        <f>HYPERLINK("https://klasma.github.io/Logging_0980/artfynd/A 61796-2022 artfynd.xlsx", "A 61796-2022")</f>
        <v/>
      </c>
      <c r="T173">
        <f>HYPERLINK("https://klasma.github.io/Logging_0980/kartor/A 61796-2022 karta.png", "A 61796-2022")</f>
        <v/>
      </c>
      <c r="V173">
        <f>HYPERLINK("https://klasma.github.io/Logging_0980/klagomål/A 61796-2022 FSC-klagomål.docx", "A 61796-2022")</f>
        <v/>
      </c>
      <c r="W173">
        <f>HYPERLINK("https://klasma.github.io/Logging_0980/klagomålsmail/A 61796-2022 FSC-klagomål mail.docx", "A 61796-2022")</f>
        <v/>
      </c>
      <c r="X173">
        <f>HYPERLINK("https://klasma.github.io/Logging_0980/tillsyn/A 61796-2022 tillsynsbegäran.docx", "A 61796-2022")</f>
        <v/>
      </c>
      <c r="Y173">
        <f>HYPERLINK("https://klasma.github.io/Logging_0980/tillsynsmail/A 61796-2022 tillsynsbegäran mail.docx", "A 61796-2022")</f>
        <v/>
      </c>
      <c r="Z173">
        <f>HYPERLINK("https://klasma.github.io/Logging_0980/fåglar/A 61796-2022 prioriterade fågelarter.docx", "A 61796-2022")</f>
        <v/>
      </c>
    </row>
    <row r="174" ht="15" customHeight="1">
      <c r="A174" t="inlineStr">
        <is>
          <t>A 10218-2025</t>
        </is>
      </c>
      <c r="B174" s="1" t="n">
        <v>45720</v>
      </c>
      <c r="C174" s="1" t="n">
        <v>46176</v>
      </c>
      <c r="D174" t="inlineStr">
        <is>
          <t>GOTLANDS LÄN</t>
        </is>
      </c>
      <c r="E174" t="inlineStr">
        <is>
          <t>GOTLAND</t>
        </is>
      </c>
      <c r="G174" t="n">
        <v>8.1</v>
      </c>
      <c r="H174" t="n">
        <v>0</v>
      </c>
      <c r="I174" t="n">
        <v>1</v>
      </c>
      <c r="J174" t="n">
        <v>0</v>
      </c>
      <c r="K174" t="n">
        <v>0</v>
      </c>
      <c r="L174" t="n">
        <v>0</v>
      </c>
      <c r="M174" t="n">
        <v>0</v>
      </c>
      <c r="N174" t="n">
        <v>0</v>
      </c>
      <c r="O174" t="n">
        <v>0</v>
      </c>
      <c r="P174" t="n">
        <v>0</v>
      </c>
      <c r="Q174" t="n">
        <v>1</v>
      </c>
      <c r="R174" s="2" t="inlineStr">
        <is>
          <t>Kalktallört</t>
        </is>
      </c>
      <c r="S174">
        <f>HYPERLINK("https://klasma.github.io/Logging_0980/artfynd/A 10218-2025 artfynd.xlsx", "A 10218-2025")</f>
        <v/>
      </c>
      <c r="T174">
        <f>HYPERLINK("https://klasma.github.io/Logging_0980/kartor/A 10218-2025 karta.png", "A 10218-2025")</f>
        <v/>
      </c>
      <c r="V174">
        <f>HYPERLINK("https://klasma.github.io/Logging_0980/klagomål/A 10218-2025 FSC-klagomål.docx", "A 10218-2025")</f>
        <v/>
      </c>
      <c r="W174">
        <f>HYPERLINK("https://klasma.github.io/Logging_0980/klagomålsmail/A 10218-2025 FSC-klagomål mail.docx", "A 10218-2025")</f>
        <v/>
      </c>
      <c r="X174">
        <f>HYPERLINK("https://klasma.github.io/Logging_0980/tillsyn/A 10218-2025 tillsynsbegäran.docx", "A 10218-2025")</f>
        <v/>
      </c>
      <c r="Y174">
        <f>HYPERLINK("https://klasma.github.io/Logging_0980/tillsynsmail/A 10218-2025 tillsynsbegäran mail.docx", "A 10218-2025")</f>
        <v/>
      </c>
    </row>
    <row r="175" ht="15" customHeight="1">
      <c r="A175" t="inlineStr">
        <is>
          <t>A 12379-2024</t>
        </is>
      </c>
      <c r="B175" s="1" t="n">
        <v>45379.28155092592</v>
      </c>
      <c r="C175" s="1" t="n">
        <v>46176</v>
      </c>
      <c r="D175" t="inlineStr">
        <is>
          <t>GOTLANDS LÄN</t>
        </is>
      </c>
      <c r="E175" t="inlineStr">
        <is>
          <t>GOTLAND</t>
        </is>
      </c>
      <c r="G175" t="n">
        <v>4.4</v>
      </c>
      <c r="H175" t="n">
        <v>0</v>
      </c>
      <c r="I175" t="n">
        <v>0</v>
      </c>
      <c r="J175" t="n">
        <v>1</v>
      </c>
      <c r="K175" t="n">
        <v>0</v>
      </c>
      <c r="L175" t="n">
        <v>0</v>
      </c>
      <c r="M175" t="n">
        <v>0</v>
      </c>
      <c r="N175" t="n">
        <v>0</v>
      </c>
      <c r="O175" t="n">
        <v>1</v>
      </c>
      <c r="P175" t="n">
        <v>0</v>
      </c>
      <c r="Q175" t="n">
        <v>1</v>
      </c>
      <c r="R175" s="2" t="inlineStr">
        <is>
          <t>Svinrot</t>
        </is>
      </c>
      <c r="S175">
        <f>HYPERLINK("https://klasma.github.io/Logging_0980/artfynd/A 12379-2024 artfynd.xlsx", "A 12379-2024")</f>
        <v/>
      </c>
      <c r="T175">
        <f>HYPERLINK("https://klasma.github.io/Logging_0980/kartor/A 12379-2024 karta.png", "A 12379-2024")</f>
        <v/>
      </c>
      <c r="V175">
        <f>HYPERLINK("https://klasma.github.io/Logging_0980/klagomål/A 12379-2024 FSC-klagomål.docx", "A 12379-2024")</f>
        <v/>
      </c>
      <c r="W175">
        <f>HYPERLINK("https://klasma.github.io/Logging_0980/klagomålsmail/A 12379-2024 FSC-klagomål mail.docx", "A 12379-2024")</f>
        <v/>
      </c>
      <c r="X175">
        <f>HYPERLINK("https://klasma.github.io/Logging_0980/tillsyn/A 12379-2024 tillsynsbegäran.docx", "A 12379-2024")</f>
        <v/>
      </c>
      <c r="Y175">
        <f>HYPERLINK("https://klasma.github.io/Logging_0980/tillsynsmail/A 12379-2024 tillsynsbegäran mail.docx", "A 12379-2024")</f>
        <v/>
      </c>
    </row>
    <row r="176" ht="15" customHeight="1">
      <c r="A176" t="inlineStr">
        <is>
          <t>A 64700-2021</t>
        </is>
      </c>
      <c r="B176" s="1" t="n">
        <v>44511</v>
      </c>
      <c r="C176" s="1" t="n">
        <v>46176</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35574-2024</t>
        </is>
      </c>
      <c r="B177" s="1" t="n">
        <v>45531</v>
      </c>
      <c r="C177" s="1" t="n">
        <v>46176</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37591-2023</t>
        </is>
      </c>
      <c r="B178" s="1" t="n">
        <v>45159</v>
      </c>
      <c r="C178" s="1" t="n">
        <v>46176</v>
      </c>
      <c r="D178" t="inlineStr">
        <is>
          <t>GOTLANDS LÄN</t>
        </is>
      </c>
      <c r="E178" t="inlineStr">
        <is>
          <t>GOTLAND</t>
        </is>
      </c>
      <c r="G178" t="n">
        <v>8.300000000000001</v>
      </c>
      <c r="H178" t="n">
        <v>0</v>
      </c>
      <c r="I178" t="n">
        <v>0</v>
      </c>
      <c r="J178" t="n">
        <v>1</v>
      </c>
      <c r="K178" t="n">
        <v>0</v>
      </c>
      <c r="L178" t="n">
        <v>0</v>
      </c>
      <c r="M178" t="n">
        <v>0</v>
      </c>
      <c r="N178" t="n">
        <v>0</v>
      </c>
      <c r="O178" t="n">
        <v>1</v>
      </c>
      <c r="P178" t="n">
        <v>0</v>
      </c>
      <c r="Q178" t="n">
        <v>1</v>
      </c>
      <c r="R178" s="2" t="inlineStr">
        <is>
          <t>Ängsstarr</t>
        </is>
      </c>
      <c r="S178">
        <f>HYPERLINK("https://klasma.github.io/Logging_0980/artfynd/A 37591-2023 artfynd.xlsx", "A 37591-2023")</f>
        <v/>
      </c>
      <c r="T178">
        <f>HYPERLINK("https://klasma.github.io/Logging_0980/kartor/A 37591-2023 karta.png", "A 37591-2023")</f>
        <v/>
      </c>
      <c r="V178">
        <f>HYPERLINK("https://klasma.github.io/Logging_0980/klagomål/A 37591-2023 FSC-klagomål.docx", "A 37591-2023")</f>
        <v/>
      </c>
      <c r="W178">
        <f>HYPERLINK("https://klasma.github.io/Logging_0980/klagomålsmail/A 37591-2023 FSC-klagomål mail.docx", "A 37591-2023")</f>
        <v/>
      </c>
      <c r="X178">
        <f>HYPERLINK("https://klasma.github.io/Logging_0980/tillsyn/A 37591-2023 tillsynsbegäran.docx", "A 37591-2023")</f>
        <v/>
      </c>
      <c r="Y178">
        <f>HYPERLINK("https://klasma.github.io/Logging_0980/tillsynsmail/A 37591-2023 tillsynsbegäran mail.docx", "A 37591-2023")</f>
        <v/>
      </c>
    </row>
    <row r="179" ht="15" customHeight="1">
      <c r="A179" t="inlineStr">
        <is>
          <t>A 15637-2024</t>
        </is>
      </c>
      <c r="B179" s="1" t="n">
        <v>45403.6684837963</v>
      </c>
      <c r="C179" s="1" t="n">
        <v>46176</v>
      </c>
      <c r="D179" t="inlineStr">
        <is>
          <t>GOTLANDS LÄN</t>
        </is>
      </c>
      <c r="E179" t="inlineStr">
        <is>
          <t>GOTLAND</t>
        </is>
      </c>
      <c r="G179" t="n">
        <v>4.1</v>
      </c>
      <c r="H179" t="n">
        <v>1</v>
      </c>
      <c r="I179" t="n">
        <v>0</v>
      </c>
      <c r="J179" t="n">
        <v>0</v>
      </c>
      <c r="K179" t="n">
        <v>0</v>
      </c>
      <c r="L179" t="n">
        <v>0</v>
      </c>
      <c r="M179" t="n">
        <v>0</v>
      </c>
      <c r="N179" t="n">
        <v>0</v>
      </c>
      <c r="O179" t="n">
        <v>0</v>
      </c>
      <c r="P179" t="n">
        <v>0</v>
      </c>
      <c r="Q179" t="n">
        <v>1</v>
      </c>
      <c r="R179" s="2" t="inlineStr">
        <is>
          <t>Blåsippa</t>
        </is>
      </c>
      <c r="S179">
        <f>HYPERLINK("https://klasma.github.io/Logging_0980/artfynd/A 15637-2024 artfynd.xlsx", "A 15637-2024")</f>
        <v/>
      </c>
      <c r="T179">
        <f>HYPERLINK("https://klasma.github.io/Logging_0980/kartor/A 15637-2024 karta.png", "A 15637-2024")</f>
        <v/>
      </c>
      <c r="V179">
        <f>HYPERLINK("https://klasma.github.io/Logging_0980/klagomål/A 15637-2024 FSC-klagomål.docx", "A 15637-2024")</f>
        <v/>
      </c>
      <c r="W179">
        <f>HYPERLINK("https://klasma.github.io/Logging_0980/klagomålsmail/A 15637-2024 FSC-klagomål mail.docx", "A 15637-2024")</f>
        <v/>
      </c>
      <c r="X179">
        <f>HYPERLINK("https://klasma.github.io/Logging_0980/tillsyn/A 15637-2024 tillsynsbegäran.docx", "A 15637-2024")</f>
        <v/>
      </c>
      <c r="Y179">
        <f>HYPERLINK("https://klasma.github.io/Logging_0980/tillsynsmail/A 15637-2024 tillsynsbegäran mail.docx", "A 15637-2024")</f>
        <v/>
      </c>
    </row>
    <row r="180" ht="15" customHeight="1">
      <c r="A180" t="inlineStr">
        <is>
          <t>A 49847-2023</t>
        </is>
      </c>
      <c r="B180" s="1" t="n">
        <v>45212</v>
      </c>
      <c r="C180" s="1" t="n">
        <v>46176</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10995-2023</t>
        </is>
      </c>
      <c r="B181" s="1" t="n">
        <v>44986</v>
      </c>
      <c r="C181" s="1" t="n">
        <v>46176</v>
      </c>
      <c r="D181" t="inlineStr">
        <is>
          <t>GOTLANDS LÄN</t>
        </is>
      </c>
      <c r="E181" t="inlineStr">
        <is>
          <t>GOTLAND</t>
        </is>
      </c>
      <c r="G181" t="n">
        <v>2.8</v>
      </c>
      <c r="H181" t="n">
        <v>0</v>
      </c>
      <c r="I181" t="n">
        <v>0</v>
      </c>
      <c r="J181" t="n">
        <v>0</v>
      </c>
      <c r="K181" t="n">
        <v>1</v>
      </c>
      <c r="L181" t="n">
        <v>0</v>
      </c>
      <c r="M181" t="n">
        <v>0</v>
      </c>
      <c r="N181" t="n">
        <v>0</v>
      </c>
      <c r="O181" t="n">
        <v>1</v>
      </c>
      <c r="P181" t="n">
        <v>1</v>
      </c>
      <c r="Q181" t="n">
        <v>1</v>
      </c>
      <c r="R181" s="2" t="inlineStr">
        <is>
          <t>Violettfläckig spindling</t>
        </is>
      </c>
      <c r="S181">
        <f>HYPERLINK("https://klasma.github.io/Logging_0980/artfynd/A 10995-2023 artfynd.xlsx", "A 10995-2023")</f>
        <v/>
      </c>
      <c r="T181">
        <f>HYPERLINK("https://klasma.github.io/Logging_0980/kartor/A 10995-2023 karta.png", "A 10995-2023")</f>
        <v/>
      </c>
      <c r="V181">
        <f>HYPERLINK("https://klasma.github.io/Logging_0980/klagomål/A 10995-2023 FSC-klagomål.docx", "A 10995-2023")</f>
        <v/>
      </c>
      <c r="W181">
        <f>HYPERLINK("https://klasma.github.io/Logging_0980/klagomålsmail/A 10995-2023 FSC-klagomål mail.docx", "A 10995-2023")</f>
        <v/>
      </c>
      <c r="X181">
        <f>HYPERLINK("https://klasma.github.io/Logging_0980/tillsyn/A 10995-2023 tillsynsbegäran.docx", "A 10995-2023")</f>
        <v/>
      </c>
      <c r="Y181">
        <f>HYPERLINK("https://klasma.github.io/Logging_0980/tillsynsmail/A 10995-2023 tillsynsbegäran mail.docx", "A 10995-2023")</f>
        <v/>
      </c>
    </row>
    <row r="182" ht="15" customHeight="1">
      <c r="A182" t="inlineStr">
        <is>
          <t>A 63576-2021</t>
        </is>
      </c>
      <c r="B182" s="1" t="n">
        <v>44508</v>
      </c>
      <c r="C182" s="1" t="n">
        <v>46176</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21466-2025</t>
        </is>
      </c>
      <c r="B183" s="1" t="n">
        <v>45782</v>
      </c>
      <c r="C183" s="1" t="n">
        <v>46176</v>
      </c>
      <c r="D183" t="inlineStr">
        <is>
          <t>GOTLANDS LÄN</t>
        </is>
      </c>
      <c r="E183" t="inlineStr">
        <is>
          <t>GOTLAND</t>
        </is>
      </c>
      <c r="F183" t="inlineStr">
        <is>
          <t>Övriga statliga verk och myndigheter</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HYPERLINK("https://klasma.github.io/Logging_0980/artfynd/A 21466-2025 artfynd.xlsx", "A 21466-2025")</f>
        <v/>
      </c>
      <c r="T183">
        <f>HYPERLINK("https://klasma.github.io/Logging_0980/kartor/A 21466-2025 karta.png", "A 21466-2025")</f>
        <v/>
      </c>
      <c r="V183">
        <f>HYPERLINK("https://klasma.github.io/Logging_0980/klagomål/A 21466-2025 FSC-klagomål.docx", "A 21466-2025")</f>
        <v/>
      </c>
      <c r="W183">
        <f>HYPERLINK("https://klasma.github.io/Logging_0980/klagomålsmail/A 21466-2025 FSC-klagomål mail.docx", "A 21466-2025")</f>
        <v/>
      </c>
      <c r="X183">
        <f>HYPERLINK("https://klasma.github.io/Logging_0980/tillsyn/A 21466-2025 tillsynsbegäran.docx", "A 21466-2025")</f>
        <v/>
      </c>
      <c r="Y183">
        <f>HYPERLINK("https://klasma.github.io/Logging_0980/tillsynsmail/A 21466-2025 tillsynsbegäran mail.docx", "A 21466-2025")</f>
        <v/>
      </c>
    </row>
    <row r="184" ht="15" customHeight="1">
      <c r="A184" t="inlineStr">
        <is>
          <t>A 10440-2024</t>
        </is>
      </c>
      <c r="B184" s="1" t="n">
        <v>45366.32818287037</v>
      </c>
      <c r="C184" s="1" t="n">
        <v>46176</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26461-2025</t>
        </is>
      </c>
      <c r="B185" s="1" t="n">
        <v>45807.43337962963</v>
      </c>
      <c r="C185" s="1" t="n">
        <v>46176</v>
      </c>
      <c r="D185" t="inlineStr">
        <is>
          <t>GOTLANDS LÄN</t>
        </is>
      </c>
      <c r="E185" t="inlineStr">
        <is>
          <t>GOTLAND</t>
        </is>
      </c>
      <c r="G185" t="n">
        <v>4.1</v>
      </c>
      <c r="H185" t="n">
        <v>0</v>
      </c>
      <c r="I185" t="n">
        <v>0</v>
      </c>
      <c r="J185" t="n">
        <v>0</v>
      </c>
      <c r="K185" t="n">
        <v>1</v>
      </c>
      <c r="L185" t="n">
        <v>0</v>
      </c>
      <c r="M185" t="n">
        <v>0</v>
      </c>
      <c r="N185" t="n">
        <v>0</v>
      </c>
      <c r="O185" t="n">
        <v>1</v>
      </c>
      <c r="P185" t="n">
        <v>1</v>
      </c>
      <c r="Q185" t="n">
        <v>1</v>
      </c>
      <c r="R185" s="2" t="inlineStr">
        <is>
          <t>Gotlandsmåra</t>
        </is>
      </c>
      <c r="S185">
        <f>HYPERLINK("https://klasma.github.io/Logging_0980/artfynd/A 26461-2025 artfynd.xlsx", "A 26461-2025")</f>
        <v/>
      </c>
      <c r="T185">
        <f>HYPERLINK("https://klasma.github.io/Logging_0980/kartor/A 26461-2025 karta.png", "A 26461-2025")</f>
        <v/>
      </c>
      <c r="V185">
        <f>HYPERLINK("https://klasma.github.io/Logging_0980/klagomål/A 26461-2025 FSC-klagomål.docx", "A 26461-2025")</f>
        <v/>
      </c>
      <c r="W185">
        <f>HYPERLINK("https://klasma.github.io/Logging_0980/klagomålsmail/A 26461-2025 FSC-klagomål mail.docx", "A 26461-2025")</f>
        <v/>
      </c>
      <c r="X185">
        <f>HYPERLINK("https://klasma.github.io/Logging_0980/tillsyn/A 26461-2025 tillsynsbegäran.docx", "A 26461-2025")</f>
        <v/>
      </c>
      <c r="Y185">
        <f>HYPERLINK("https://klasma.github.io/Logging_0980/tillsynsmail/A 26461-2025 tillsynsbegäran mail.docx", "A 26461-2025")</f>
        <v/>
      </c>
    </row>
    <row r="186" ht="15" customHeight="1">
      <c r="A186" t="inlineStr">
        <is>
          <t>A 6739-2025</t>
        </is>
      </c>
      <c r="B186" s="1" t="n">
        <v>45700</v>
      </c>
      <c r="C186" s="1" t="n">
        <v>46176</v>
      </c>
      <c r="D186" t="inlineStr">
        <is>
          <t>GOTLANDS LÄN</t>
        </is>
      </c>
      <c r="E186" t="inlineStr">
        <is>
          <t>GOTLAND</t>
        </is>
      </c>
      <c r="G186" t="n">
        <v>4.5</v>
      </c>
      <c r="H186" t="n">
        <v>1</v>
      </c>
      <c r="I186" t="n">
        <v>0</v>
      </c>
      <c r="J186" t="n">
        <v>0</v>
      </c>
      <c r="K186" t="n">
        <v>0</v>
      </c>
      <c r="L186" t="n">
        <v>0</v>
      </c>
      <c r="M186" t="n">
        <v>0</v>
      </c>
      <c r="N186" t="n">
        <v>0</v>
      </c>
      <c r="O186" t="n">
        <v>0</v>
      </c>
      <c r="P186" t="n">
        <v>0</v>
      </c>
      <c r="Q186" t="n">
        <v>1</v>
      </c>
      <c r="R186" s="2" t="inlineStr">
        <is>
          <t>Röd glada</t>
        </is>
      </c>
      <c r="S186">
        <f>HYPERLINK("https://klasma.github.io/Logging_0980/artfynd/A 6739-2025 artfynd.xlsx", "A 6739-2025")</f>
        <v/>
      </c>
      <c r="T186">
        <f>HYPERLINK("https://klasma.github.io/Logging_0980/kartor/A 6739-2025 karta.png", "A 6739-2025")</f>
        <v/>
      </c>
      <c r="V186">
        <f>HYPERLINK("https://klasma.github.io/Logging_0980/klagomål/A 6739-2025 FSC-klagomål.docx", "A 6739-2025")</f>
        <v/>
      </c>
      <c r="W186">
        <f>HYPERLINK("https://klasma.github.io/Logging_0980/klagomålsmail/A 6739-2025 FSC-klagomål mail.docx", "A 6739-2025")</f>
        <v/>
      </c>
      <c r="X186">
        <f>HYPERLINK("https://klasma.github.io/Logging_0980/tillsyn/A 6739-2025 tillsynsbegäran.docx", "A 6739-2025")</f>
        <v/>
      </c>
      <c r="Y186">
        <f>HYPERLINK("https://klasma.github.io/Logging_0980/tillsynsmail/A 6739-2025 tillsynsbegäran mail.docx", "A 6739-2025")</f>
        <v/>
      </c>
      <c r="Z186">
        <f>HYPERLINK("https://klasma.github.io/Logging_0980/fåglar/A 6739-2025 prioriterade fågelarter.docx", "A 6739-2025")</f>
        <v/>
      </c>
    </row>
    <row r="187" ht="15" customHeight="1">
      <c r="A187" t="inlineStr">
        <is>
          <t>A 36313-2021</t>
        </is>
      </c>
      <c r="B187" s="1" t="n">
        <v>44390</v>
      </c>
      <c r="C187" s="1" t="n">
        <v>46176</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46176</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46176</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46176</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46176</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46176</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46176</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39909-2021</t>
        </is>
      </c>
      <c r="B194" s="1" t="n">
        <v>44417.82444444444</v>
      </c>
      <c r="C194" s="1" t="n">
        <v>46176</v>
      </c>
      <c r="D194" t="inlineStr">
        <is>
          <t>GOTLANDS LÄN</t>
        </is>
      </c>
      <c r="E194" t="inlineStr">
        <is>
          <t>GOTLAND</t>
        </is>
      </c>
      <c r="G194" t="n">
        <v>1.1</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46176</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42688-2021</t>
        </is>
      </c>
      <c r="B196" s="1" t="n">
        <v>44428</v>
      </c>
      <c r="C196" s="1" t="n">
        <v>46176</v>
      </c>
      <c r="D196" t="inlineStr">
        <is>
          <t>GOTLANDS LÄN</t>
        </is>
      </c>
      <c r="E196" t="inlineStr">
        <is>
          <t>GOTLAND</t>
        </is>
      </c>
      <c r="G196" t="n">
        <v>0.6</v>
      </c>
      <c r="H196" t="n">
        <v>0</v>
      </c>
      <c r="I196" t="n">
        <v>0</v>
      </c>
      <c r="J196" t="n">
        <v>0</v>
      </c>
      <c r="K196" t="n">
        <v>0</v>
      </c>
      <c r="L196" t="n">
        <v>0</v>
      </c>
      <c r="M196" t="n">
        <v>0</v>
      </c>
      <c r="N196" t="n">
        <v>0</v>
      </c>
      <c r="O196" t="n">
        <v>0</v>
      </c>
      <c r="P196" t="n">
        <v>0</v>
      </c>
      <c r="Q196" t="n">
        <v>0</v>
      </c>
      <c r="R196" s="2" t="inlineStr"/>
    </row>
    <row r="197" ht="15" customHeight="1">
      <c r="A197" t="inlineStr">
        <is>
          <t>A 24123-2022</t>
        </is>
      </c>
      <c r="B197" s="1" t="n">
        <v>44725.4384375</v>
      </c>
      <c r="C197" s="1" t="n">
        <v>46176</v>
      </c>
      <c r="D197" t="inlineStr">
        <is>
          <t>GOTLANDS LÄN</t>
        </is>
      </c>
      <c r="E197" t="inlineStr">
        <is>
          <t>GOTLAND</t>
        </is>
      </c>
      <c r="G197" t="n">
        <v>6</v>
      </c>
      <c r="H197" t="n">
        <v>0</v>
      </c>
      <c r="I197" t="n">
        <v>0</v>
      </c>
      <c r="J197" t="n">
        <v>0</v>
      </c>
      <c r="K197" t="n">
        <v>0</v>
      </c>
      <c r="L197" t="n">
        <v>0</v>
      </c>
      <c r="M197" t="n">
        <v>0</v>
      </c>
      <c r="N197" t="n">
        <v>0</v>
      </c>
      <c r="O197" t="n">
        <v>0</v>
      </c>
      <c r="P197" t="n">
        <v>0</v>
      </c>
      <c r="Q197" t="n">
        <v>0</v>
      </c>
      <c r="R197" s="2" t="inlineStr"/>
    </row>
    <row r="198" ht="15" customHeight="1">
      <c r="A198" t="inlineStr">
        <is>
          <t>A 44207-2022</t>
        </is>
      </c>
      <c r="B198" s="1" t="n">
        <v>44839</v>
      </c>
      <c r="C198" s="1" t="n">
        <v>46176</v>
      </c>
      <c r="D198" t="inlineStr">
        <is>
          <t>GOTLANDS LÄN</t>
        </is>
      </c>
      <c r="E198" t="inlineStr">
        <is>
          <t>GOTLAND</t>
        </is>
      </c>
      <c r="G198" t="n">
        <v>3.8</v>
      </c>
      <c r="H198" t="n">
        <v>0</v>
      </c>
      <c r="I198" t="n">
        <v>0</v>
      </c>
      <c r="J198" t="n">
        <v>0</v>
      </c>
      <c r="K198" t="n">
        <v>0</v>
      </c>
      <c r="L198" t="n">
        <v>0</v>
      </c>
      <c r="M198" t="n">
        <v>0</v>
      </c>
      <c r="N198" t="n">
        <v>0</v>
      </c>
      <c r="O198" t="n">
        <v>0</v>
      </c>
      <c r="P198" t="n">
        <v>0</v>
      </c>
      <c r="Q198" t="n">
        <v>0</v>
      </c>
      <c r="R198" s="2" t="inlineStr"/>
    </row>
    <row r="199" ht="15" customHeight="1">
      <c r="A199" t="inlineStr">
        <is>
          <t>A 32691-2021</t>
        </is>
      </c>
      <c r="B199" s="1" t="n">
        <v>44375</v>
      </c>
      <c r="C199" s="1" t="n">
        <v>46176</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60607-2021</t>
        </is>
      </c>
      <c r="B200" s="1" t="n">
        <v>44496.58627314815</v>
      </c>
      <c r="C200" s="1" t="n">
        <v>46176</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47369-2021</t>
        </is>
      </c>
      <c r="B201" s="1" t="n">
        <v>44447</v>
      </c>
      <c r="C201" s="1" t="n">
        <v>46176</v>
      </c>
      <c r="D201" t="inlineStr">
        <is>
          <t>GOTLANDS LÄN</t>
        </is>
      </c>
      <c r="E201" t="inlineStr">
        <is>
          <t>GOTLAND</t>
        </is>
      </c>
      <c r="G201" t="n">
        <v>2.3</v>
      </c>
      <c r="H201" t="n">
        <v>0</v>
      </c>
      <c r="I201" t="n">
        <v>0</v>
      </c>
      <c r="J201" t="n">
        <v>0</v>
      </c>
      <c r="K201" t="n">
        <v>0</v>
      </c>
      <c r="L201" t="n">
        <v>0</v>
      </c>
      <c r="M201" t="n">
        <v>0</v>
      </c>
      <c r="N201" t="n">
        <v>0</v>
      </c>
      <c r="O201" t="n">
        <v>0</v>
      </c>
      <c r="P201" t="n">
        <v>0</v>
      </c>
      <c r="Q201" t="n">
        <v>0</v>
      </c>
      <c r="R201" s="2" t="inlineStr"/>
    </row>
    <row r="202" ht="15" customHeight="1">
      <c r="A202" t="inlineStr">
        <is>
          <t>A 11029-2022</t>
        </is>
      </c>
      <c r="B202" s="1" t="n">
        <v>44628</v>
      </c>
      <c r="C202" s="1" t="n">
        <v>46176</v>
      </c>
      <c r="D202" t="inlineStr">
        <is>
          <t>GOTLANDS LÄN</t>
        </is>
      </c>
      <c r="E202" t="inlineStr">
        <is>
          <t>GOTLAND</t>
        </is>
      </c>
      <c r="G202" t="n">
        <v>1.8</v>
      </c>
      <c r="H202" t="n">
        <v>0</v>
      </c>
      <c r="I202" t="n">
        <v>0</v>
      </c>
      <c r="J202" t="n">
        <v>0</v>
      </c>
      <c r="K202" t="n">
        <v>0</v>
      </c>
      <c r="L202" t="n">
        <v>0</v>
      </c>
      <c r="M202" t="n">
        <v>0</v>
      </c>
      <c r="N202" t="n">
        <v>0</v>
      </c>
      <c r="O202" t="n">
        <v>0</v>
      </c>
      <c r="P202" t="n">
        <v>0</v>
      </c>
      <c r="Q202" t="n">
        <v>0</v>
      </c>
      <c r="R202" s="2" t="inlineStr"/>
    </row>
    <row r="203" ht="15" customHeight="1">
      <c r="A203" t="inlineStr">
        <is>
          <t>A 31239-2022</t>
        </is>
      </c>
      <c r="B203" s="1" t="n">
        <v>44771.49383101852</v>
      </c>
      <c r="C203" s="1" t="n">
        <v>46176</v>
      </c>
      <c r="D203" t="inlineStr">
        <is>
          <t>GOTLANDS LÄN</t>
        </is>
      </c>
      <c r="E203" t="inlineStr">
        <is>
          <t>GOTLAND</t>
        </is>
      </c>
      <c r="G203" t="n">
        <v>1.9</v>
      </c>
      <c r="H203" t="n">
        <v>0</v>
      </c>
      <c r="I203" t="n">
        <v>0</v>
      </c>
      <c r="J203" t="n">
        <v>0</v>
      </c>
      <c r="K203" t="n">
        <v>0</v>
      </c>
      <c r="L203" t="n">
        <v>0</v>
      </c>
      <c r="M203" t="n">
        <v>0</v>
      </c>
      <c r="N203" t="n">
        <v>0</v>
      </c>
      <c r="O203" t="n">
        <v>0</v>
      </c>
      <c r="P203" t="n">
        <v>0</v>
      </c>
      <c r="Q203" t="n">
        <v>0</v>
      </c>
      <c r="R203" s="2" t="inlineStr"/>
    </row>
    <row r="204" ht="15" customHeight="1">
      <c r="A204" t="inlineStr">
        <is>
          <t>A 58224-2021</t>
        </is>
      </c>
      <c r="B204" s="1" t="n">
        <v>44487</v>
      </c>
      <c r="C204" s="1" t="n">
        <v>46176</v>
      </c>
      <c r="D204" t="inlineStr">
        <is>
          <t>GOTLANDS LÄN</t>
        </is>
      </c>
      <c r="E204" t="inlineStr">
        <is>
          <t>GOTLAND</t>
        </is>
      </c>
      <c r="G204" t="n">
        <v>1.4</v>
      </c>
      <c r="H204" t="n">
        <v>0</v>
      </c>
      <c r="I204" t="n">
        <v>0</v>
      </c>
      <c r="J204" t="n">
        <v>0</v>
      </c>
      <c r="K204" t="n">
        <v>0</v>
      </c>
      <c r="L204" t="n">
        <v>0</v>
      </c>
      <c r="M204" t="n">
        <v>0</v>
      </c>
      <c r="N204" t="n">
        <v>0</v>
      </c>
      <c r="O204" t="n">
        <v>0</v>
      </c>
      <c r="P204" t="n">
        <v>0</v>
      </c>
      <c r="Q204" t="n">
        <v>0</v>
      </c>
      <c r="R204" s="2" t="inlineStr"/>
    </row>
    <row r="205" ht="15" customHeight="1">
      <c r="A205" t="inlineStr">
        <is>
          <t>A 58815-2021</t>
        </is>
      </c>
      <c r="B205" s="1" t="n">
        <v>44489</v>
      </c>
      <c r="C205" s="1" t="n">
        <v>46176</v>
      </c>
      <c r="D205" t="inlineStr">
        <is>
          <t>GOTLANDS LÄN</t>
        </is>
      </c>
      <c r="E205" t="inlineStr">
        <is>
          <t>GOTLAND</t>
        </is>
      </c>
      <c r="G205" t="n">
        <v>4.1</v>
      </c>
      <c r="H205" t="n">
        <v>0</v>
      </c>
      <c r="I205" t="n">
        <v>0</v>
      </c>
      <c r="J205" t="n">
        <v>0</v>
      </c>
      <c r="K205" t="n">
        <v>0</v>
      </c>
      <c r="L205" t="n">
        <v>0</v>
      </c>
      <c r="M205" t="n">
        <v>0</v>
      </c>
      <c r="N205" t="n">
        <v>0</v>
      </c>
      <c r="O205" t="n">
        <v>0</v>
      </c>
      <c r="P205" t="n">
        <v>0</v>
      </c>
      <c r="Q205" t="n">
        <v>0</v>
      </c>
      <c r="R205" s="2" t="inlineStr"/>
    </row>
    <row r="206" ht="15" customHeight="1">
      <c r="A206" t="inlineStr">
        <is>
          <t>A 71010-2021</t>
        </is>
      </c>
      <c r="B206" s="1" t="n">
        <v>44538.63775462963</v>
      </c>
      <c r="C206" s="1" t="n">
        <v>46176</v>
      </c>
      <c r="D206" t="inlineStr">
        <is>
          <t>GOTLANDS LÄN</t>
        </is>
      </c>
      <c r="E206" t="inlineStr">
        <is>
          <t>GOTLAND</t>
        </is>
      </c>
      <c r="G206" t="n">
        <v>0.5</v>
      </c>
      <c r="H206" t="n">
        <v>0</v>
      </c>
      <c r="I206" t="n">
        <v>0</v>
      </c>
      <c r="J206" t="n">
        <v>0</v>
      </c>
      <c r="K206" t="n">
        <v>0</v>
      </c>
      <c r="L206" t="n">
        <v>0</v>
      </c>
      <c r="M206" t="n">
        <v>0</v>
      </c>
      <c r="N206" t="n">
        <v>0</v>
      </c>
      <c r="O206" t="n">
        <v>0</v>
      </c>
      <c r="P206" t="n">
        <v>0</v>
      </c>
      <c r="Q206" t="n">
        <v>0</v>
      </c>
      <c r="R206" s="2" t="inlineStr"/>
    </row>
    <row r="207" ht="15" customHeight="1">
      <c r="A207" t="inlineStr">
        <is>
          <t>A 22495-2022</t>
        </is>
      </c>
      <c r="B207" s="1" t="n">
        <v>44713.6452199074</v>
      </c>
      <c r="C207" s="1" t="n">
        <v>46176</v>
      </c>
      <c r="D207" t="inlineStr">
        <is>
          <t>GOTLANDS LÄN</t>
        </is>
      </c>
      <c r="E207" t="inlineStr">
        <is>
          <t>GOTLAND</t>
        </is>
      </c>
      <c r="G207" t="n">
        <v>0.5</v>
      </c>
      <c r="H207" t="n">
        <v>0</v>
      </c>
      <c r="I207" t="n">
        <v>0</v>
      </c>
      <c r="J207" t="n">
        <v>0</v>
      </c>
      <c r="K207" t="n">
        <v>0</v>
      </c>
      <c r="L207" t="n">
        <v>0</v>
      </c>
      <c r="M207" t="n">
        <v>0</v>
      </c>
      <c r="N207" t="n">
        <v>0</v>
      </c>
      <c r="O207" t="n">
        <v>0</v>
      </c>
      <c r="P207" t="n">
        <v>0</v>
      </c>
      <c r="Q207" t="n">
        <v>0</v>
      </c>
      <c r="R207" s="2" t="inlineStr"/>
    </row>
    <row r="208" ht="15" customHeight="1">
      <c r="A208" t="inlineStr">
        <is>
          <t>A 44942-2022</t>
        </is>
      </c>
      <c r="B208" s="1" t="n">
        <v>44841</v>
      </c>
      <c r="C208" s="1" t="n">
        <v>46176</v>
      </c>
      <c r="D208" t="inlineStr">
        <is>
          <t>GOTLANDS LÄN</t>
        </is>
      </c>
      <c r="E208" t="inlineStr">
        <is>
          <t>GOTLAND</t>
        </is>
      </c>
      <c r="G208" t="n">
        <v>2</v>
      </c>
      <c r="H208" t="n">
        <v>0</v>
      </c>
      <c r="I208" t="n">
        <v>0</v>
      </c>
      <c r="J208" t="n">
        <v>0</v>
      </c>
      <c r="K208" t="n">
        <v>0</v>
      </c>
      <c r="L208" t="n">
        <v>0</v>
      </c>
      <c r="M208" t="n">
        <v>0</v>
      </c>
      <c r="N208" t="n">
        <v>0</v>
      </c>
      <c r="O208" t="n">
        <v>0</v>
      </c>
      <c r="P208" t="n">
        <v>0</v>
      </c>
      <c r="Q208" t="n">
        <v>0</v>
      </c>
      <c r="R208" s="2" t="inlineStr"/>
    </row>
    <row r="209" ht="15" customHeight="1">
      <c r="A209" t="inlineStr">
        <is>
          <t>A 53225-2022</t>
        </is>
      </c>
      <c r="B209" s="1" t="n">
        <v>44876</v>
      </c>
      <c r="C209" s="1" t="n">
        <v>46176</v>
      </c>
      <c r="D209" t="inlineStr">
        <is>
          <t>GOTLANDS LÄN</t>
        </is>
      </c>
      <c r="E209" t="inlineStr">
        <is>
          <t>GOTLAND</t>
        </is>
      </c>
      <c r="F209" t="inlineStr">
        <is>
          <t>Kyrkan</t>
        </is>
      </c>
      <c r="G209" t="n">
        <v>0.9</v>
      </c>
      <c r="H209" t="n">
        <v>0</v>
      </c>
      <c r="I209" t="n">
        <v>0</v>
      </c>
      <c r="J209" t="n">
        <v>0</v>
      </c>
      <c r="K209" t="n">
        <v>0</v>
      </c>
      <c r="L209" t="n">
        <v>0</v>
      </c>
      <c r="M209" t="n">
        <v>0</v>
      </c>
      <c r="N209" t="n">
        <v>0</v>
      </c>
      <c r="O209" t="n">
        <v>0</v>
      </c>
      <c r="P209" t="n">
        <v>0</v>
      </c>
      <c r="Q209" t="n">
        <v>0</v>
      </c>
      <c r="R209" s="2" t="inlineStr"/>
    </row>
    <row r="210" ht="15" customHeight="1">
      <c r="A210" t="inlineStr">
        <is>
          <t>A 30055-2021</t>
        </is>
      </c>
      <c r="B210" s="1" t="n">
        <v>44363</v>
      </c>
      <c r="C210" s="1" t="n">
        <v>46176</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65393-2021</t>
        </is>
      </c>
      <c r="B211" s="1" t="n">
        <v>44515</v>
      </c>
      <c r="C211" s="1" t="n">
        <v>46176</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17354-2022</t>
        </is>
      </c>
      <c r="B212" s="1" t="n">
        <v>44678</v>
      </c>
      <c r="C212" s="1" t="n">
        <v>46176</v>
      </c>
      <c r="D212" t="inlineStr">
        <is>
          <t>GOTLANDS LÄN</t>
        </is>
      </c>
      <c r="E212" t="inlineStr">
        <is>
          <t>GOTLAND</t>
        </is>
      </c>
      <c r="G212" t="n">
        <v>7.1</v>
      </c>
      <c r="H212" t="n">
        <v>0</v>
      </c>
      <c r="I212" t="n">
        <v>0</v>
      </c>
      <c r="J212" t="n">
        <v>0</v>
      </c>
      <c r="K212" t="n">
        <v>0</v>
      </c>
      <c r="L212" t="n">
        <v>0</v>
      </c>
      <c r="M212" t="n">
        <v>0</v>
      </c>
      <c r="N212" t="n">
        <v>0</v>
      </c>
      <c r="O212" t="n">
        <v>0</v>
      </c>
      <c r="P212" t="n">
        <v>0</v>
      </c>
      <c r="Q212" t="n">
        <v>0</v>
      </c>
      <c r="R212" s="2" t="inlineStr"/>
    </row>
    <row r="213" ht="15" customHeight="1">
      <c r="A213" t="inlineStr">
        <is>
          <t>A 14413-2022</t>
        </is>
      </c>
      <c r="B213" s="1" t="n">
        <v>44652</v>
      </c>
      <c r="C213" s="1" t="n">
        <v>46176</v>
      </c>
      <c r="D213" t="inlineStr">
        <is>
          <t>GOTLANDS LÄN</t>
        </is>
      </c>
      <c r="E213" t="inlineStr">
        <is>
          <t>GOTLAND</t>
        </is>
      </c>
      <c r="G213" t="n">
        <v>3.1</v>
      </c>
      <c r="H213" t="n">
        <v>0</v>
      </c>
      <c r="I213" t="n">
        <v>0</v>
      </c>
      <c r="J213" t="n">
        <v>0</v>
      </c>
      <c r="K213" t="n">
        <v>0</v>
      </c>
      <c r="L213" t="n">
        <v>0</v>
      </c>
      <c r="M213" t="n">
        <v>0</v>
      </c>
      <c r="N213" t="n">
        <v>0</v>
      </c>
      <c r="O213" t="n">
        <v>0</v>
      </c>
      <c r="P213" t="n">
        <v>0</v>
      </c>
      <c r="Q213" t="n">
        <v>0</v>
      </c>
      <c r="R213" s="2" t="inlineStr"/>
    </row>
    <row r="214" ht="15" customHeight="1">
      <c r="A214" t="inlineStr">
        <is>
          <t>A 56951-2021</t>
        </is>
      </c>
      <c r="B214" s="1" t="n">
        <v>44482.37388888889</v>
      </c>
      <c r="C214" s="1" t="n">
        <v>46176</v>
      </c>
      <c r="D214" t="inlineStr">
        <is>
          <t>GOTLANDS LÄN</t>
        </is>
      </c>
      <c r="E214" t="inlineStr">
        <is>
          <t>GOTLAND</t>
        </is>
      </c>
      <c r="G214" t="n">
        <v>2.1</v>
      </c>
      <c r="H214" t="n">
        <v>0</v>
      </c>
      <c r="I214" t="n">
        <v>0</v>
      </c>
      <c r="J214" t="n">
        <v>0</v>
      </c>
      <c r="K214" t="n">
        <v>0</v>
      </c>
      <c r="L214" t="n">
        <v>0</v>
      </c>
      <c r="M214" t="n">
        <v>0</v>
      </c>
      <c r="N214" t="n">
        <v>0</v>
      </c>
      <c r="O214" t="n">
        <v>0</v>
      </c>
      <c r="P214" t="n">
        <v>0</v>
      </c>
      <c r="Q214" t="n">
        <v>0</v>
      </c>
      <c r="R214" s="2" t="inlineStr"/>
    </row>
    <row r="215" ht="15" customHeight="1">
      <c r="A215" t="inlineStr">
        <is>
          <t>A 13498-2022</t>
        </is>
      </c>
      <c r="B215" s="1" t="n">
        <v>44647.78866898148</v>
      </c>
      <c r="C215" s="1" t="n">
        <v>46176</v>
      </c>
      <c r="D215" t="inlineStr">
        <is>
          <t>GOTLANDS LÄN</t>
        </is>
      </c>
      <c r="E215" t="inlineStr">
        <is>
          <t>GOTLAND</t>
        </is>
      </c>
      <c r="G215" t="n">
        <v>1.2</v>
      </c>
      <c r="H215" t="n">
        <v>0</v>
      </c>
      <c r="I215" t="n">
        <v>0</v>
      </c>
      <c r="J215" t="n">
        <v>0</v>
      </c>
      <c r="K215" t="n">
        <v>0</v>
      </c>
      <c r="L215" t="n">
        <v>0</v>
      </c>
      <c r="M215" t="n">
        <v>0</v>
      </c>
      <c r="N215" t="n">
        <v>0</v>
      </c>
      <c r="O215" t="n">
        <v>0</v>
      </c>
      <c r="P215" t="n">
        <v>0</v>
      </c>
      <c r="Q215" t="n">
        <v>0</v>
      </c>
      <c r="R215" s="2" t="inlineStr"/>
    </row>
    <row r="216" ht="15" customHeight="1">
      <c r="A216" t="inlineStr">
        <is>
          <t>A 13500-2022</t>
        </is>
      </c>
      <c r="B216" s="1" t="n">
        <v>44647.79513888889</v>
      </c>
      <c r="C216" s="1" t="n">
        <v>46176</v>
      </c>
      <c r="D216" t="inlineStr">
        <is>
          <t>GOTLANDS LÄN</t>
        </is>
      </c>
      <c r="E216" t="inlineStr">
        <is>
          <t>GOTLAND</t>
        </is>
      </c>
      <c r="G216" t="n">
        <v>1.2</v>
      </c>
      <c r="H216" t="n">
        <v>0</v>
      </c>
      <c r="I216" t="n">
        <v>0</v>
      </c>
      <c r="J216" t="n">
        <v>0</v>
      </c>
      <c r="K216" t="n">
        <v>0</v>
      </c>
      <c r="L216" t="n">
        <v>0</v>
      </c>
      <c r="M216" t="n">
        <v>0</v>
      </c>
      <c r="N216" t="n">
        <v>0</v>
      </c>
      <c r="O216" t="n">
        <v>0</v>
      </c>
      <c r="P216" t="n">
        <v>0</v>
      </c>
      <c r="Q216" t="n">
        <v>0</v>
      </c>
      <c r="R216" s="2" t="inlineStr"/>
    </row>
    <row r="217" ht="15" customHeight="1">
      <c r="A217" t="inlineStr">
        <is>
          <t>A 57219-2021</t>
        </is>
      </c>
      <c r="B217" s="1" t="n">
        <v>44483</v>
      </c>
      <c r="C217" s="1" t="n">
        <v>46176</v>
      </c>
      <c r="D217" t="inlineStr">
        <is>
          <t>GOTLANDS LÄN</t>
        </is>
      </c>
      <c r="E217" t="inlineStr">
        <is>
          <t>GOTLAND</t>
        </is>
      </c>
      <c r="F217" t="inlineStr">
        <is>
          <t>Kyrkan</t>
        </is>
      </c>
      <c r="G217" t="n">
        <v>4</v>
      </c>
      <c r="H217" t="n">
        <v>0</v>
      </c>
      <c r="I217" t="n">
        <v>0</v>
      </c>
      <c r="J217" t="n">
        <v>0</v>
      </c>
      <c r="K217" t="n">
        <v>0</v>
      </c>
      <c r="L217" t="n">
        <v>0</v>
      </c>
      <c r="M217" t="n">
        <v>0</v>
      </c>
      <c r="N217" t="n">
        <v>0</v>
      </c>
      <c r="O217" t="n">
        <v>0</v>
      </c>
      <c r="P217" t="n">
        <v>0</v>
      </c>
      <c r="Q217" t="n">
        <v>0</v>
      </c>
      <c r="R217" s="2" t="inlineStr"/>
    </row>
    <row r="218" ht="15" customHeight="1">
      <c r="A218" t="inlineStr">
        <is>
          <t>A 456-2023</t>
        </is>
      </c>
      <c r="B218" s="1" t="n">
        <v>44929.87122685185</v>
      </c>
      <c r="C218" s="1" t="n">
        <v>46176</v>
      </c>
      <c r="D218" t="inlineStr">
        <is>
          <t>GOTLANDS LÄN</t>
        </is>
      </c>
      <c r="E218" t="inlineStr">
        <is>
          <t>GOTLAND</t>
        </is>
      </c>
      <c r="G218" t="n">
        <v>3.2</v>
      </c>
      <c r="H218" t="n">
        <v>0</v>
      </c>
      <c r="I218" t="n">
        <v>0</v>
      </c>
      <c r="J218" t="n">
        <v>0</v>
      </c>
      <c r="K218" t="n">
        <v>0</v>
      </c>
      <c r="L218" t="n">
        <v>0</v>
      </c>
      <c r="M218" t="n">
        <v>0</v>
      </c>
      <c r="N218" t="n">
        <v>0</v>
      </c>
      <c r="O218" t="n">
        <v>0</v>
      </c>
      <c r="P218" t="n">
        <v>0</v>
      </c>
      <c r="Q218" t="n">
        <v>0</v>
      </c>
      <c r="R218" s="2" t="inlineStr"/>
    </row>
    <row r="219" ht="15" customHeight="1">
      <c r="A219" t="inlineStr">
        <is>
          <t>A 58476-2022</t>
        </is>
      </c>
      <c r="B219" s="1" t="n">
        <v>44902</v>
      </c>
      <c r="C219" s="1" t="n">
        <v>46176</v>
      </c>
      <c r="D219" t="inlineStr">
        <is>
          <t>GOTLANDS LÄN</t>
        </is>
      </c>
      <c r="E219" t="inlineStr">
        <is>
          <t>GOTLAND</t>
        </is>
      </c>
      <c r="G219" t="n">
        <v>0.9</v>
      </c>
      <c r="H219" t="n">
        <v>0</v>
      </c>
      <c r="I219" t="n">
        <v>0</v>
      </c>
      <c r="J219" t="n">
        <v>0</v>
      </c>
      <c r="K219" t="n">
        <v>0</v>
      </c>
      <c r="L219" t="n">
        <v>0</v>
      </c>
      <c r="M219" t="n">
        <v>0</v>
      </c>
      <c r="N219" t="n">
        <v>0</v>
      </c>
      <c r="O219" t="n">
        <v>0</v>
      </c>
      <c r="P219" t="n">
        <v>0</v>
      </c>
      <c r="Q219" t="n">
        <v>0</v>
      </c>
      <c r="R219" s="2" t="inlineStr"/>
    </row>
    <row r="220" ht="15" customHeight="1">
      <c r="A220" t="inlineStr">
        <is>
          <t>A 61596-2023</t>
        </is>
      </c>
      <c r="B220" s="1" t="n">
        <v>45265</v>
      </c>
      <c r="C220" s="1" t="n">
        <v>46176</v>
      </c>
      <c r="D220" t="inlineStr">
        <is>
          <t>GOTLANDS LÄN</t>
        </is>
      </c>
      <c r="E220" t="inlineStr">
        <is>
          <t>GOTLAND</t>
        </is>
      </c>
      <c r="G220" t="n">
        <v>1.7</v>
      </c>
      <c r="H220" t="n">
        <v>0</v>
      </c>
      <c r="I220" t="n">
        <v>0</v>
      </c>
      <c r="J220" t="n">
        <v>0</v>
      </c>
      <c r="K220" t="n">
        <v>0</v>
      </c>
      <c r="L220" t="n">
        <v>0</v>
      </c>
      <c r="M220" t="n">
        <v>0</v>
      </c>
      <c r="N220" t="n">
        <v>0</v>
      </c>
      <c r="O220" t="n">
        <v>0</v>
      </c>
      <c r="P220" t="n">
        <v>0</v>
      </c>
      <c r="Q220" t="n">
        <v>0</v>
      </c>
      <c r="R220" s="2" t="inlineStr"/>
    </row>
    <row r="221" ht="15" customHeight="1">
      <c r="A221" t="inlineStr">
        <is>
          <t>A 873-2024</t>
        </is>
      </c>
      <c r="B221" s="1" t="n">
        <v>45301</v>
      </c>
      <c r="C221" s="1" t="n">
        <v>46176</v>
      </c>
      <c r="D221" t="inlineStr">
        <is>
          <t>GOTLANDS LÄN</t>
        </is>
      </c>
      <c r="E221" t="inlineStr">
        <is>
          <t>GOTLAND</t>
        </is>
      </c>
      <c r="G221" t="n">
        <v>2.7</v>
      </c>
      <c r="H221" t="n">
        <v>0</v>
      </c>
      <c r="I221" t="n">
        <v>0</v>
      </c>
      <c r="J221" t="n">
        <v>0</v>
      </c>
      <c r="K221" t="n">
        <v>0</v>
      </c>
      <c r="L221" t="n">
        <v>0</v>
      </c>
      <c r="M221" t="n">
        <v>0</v>
      </c>
      <c r="N221" t="n">
        <v>0</v>
      </c>
      <c r="O221" t="n">
        <v>0</v>
      </c>
      <c r="P221" t="n">
        <v>0</v>
      </c>
      <c r="Q221" t="n">
        <v>0</v>
      </c>
      <c r="R221" s="2" t="inlineStr"/>
    </row>
    <row r="222" ht="15" customHeight="1">
      <c r="A222" t="inlineStr">
        <is>
          <t>A 63229-2021</t>
        </is>
      </c>
      <c r="B222" s="1" t="n">
        <v>44508.34518518519</v>
      </c>
      <c r="C222" s="1" t="n">
        <v>46176</v>
      </c>
      <c r="D222" t="inlineStr">
        <is>
          <t>GOTLANDS LÄN</t>
        </is>
      </c>
      <c r="E222" t="inlineStr">
        <is>
          <t>GOTLAND</t>
        </is>
      </c>
      <c r="F222" t="inlineStr">
        <is>
          <t>Kyrkan</t>
        </is>
      </c>
      <c r="G222" t="n">
        <v>3.8</v>
      </c>
      <c r="H222" t="n">
        <v>0</v>
      </c>
      <c r="I222" t="n">
        <v>0</v>
      </c>
      <c r="J222" t="n">
        <v>0</v>
      </c>
      <c r="K222" t="n">
        <v>0</v>
      </c>
      <c r="L222" t="n">
        <v>0</v>
      </c>
      <c r="M222" t="n">
        <v>0</v>
      </c>
      <c r="N222" t="n">
        <v>0</v>
      </c>
      <c r="O222" t="n">
        <v>0</v>
      </c>
      <c r="P222" t="n">
        <v>0</v>
      </c>
      <c r="Q222" t="n">
        <v>0</v>
      </c>
      <c r="R222" s="2" t="inlineStr"/>
    </row>
    <row r="223" ht="15" customHeight="1">
      <c r="A223" t="inlineStr">
        <is>
          <t>A 44228-2022</t>
        </is>
      </c>
      <c r="B223" s="1" t="n">
        <v>44839.51599537037</v>
      </c>
      <c r="C223" s="1" t="n">
        <v>46176</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61386-2023</t>
        </is>
      </c>
      <c r="B224" s="1" t="n">
        <v>45264</v>
      </c>
      <c r="C224" s="1" t="n">
        <v>46176</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27593-2023</t>
        </is>
      </c>
      <c r="B225" s="1" t="n">
        <v>45097</v>
      </c>
      <c r="C225" s="1" t="n">
        <v>46176</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25129-2023</t>
        </is>
      </c>
      <c r="B226" s="1" t="n">
        <v>45086.44261574074</v>
      </c>
      <c r="C226" s="1" t="n">
        <v>46176</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17901-2023</t>
        </is>
      </c>
      <c r="B227" s="1" t="n">
        <v>45039</v>
      </c>
      <c r="C227" s="1" t="n">
        <v>46176</v>
      </c>
      <c r="D227" t="inlineStr">
        <is>
          <t>GOTLANDS LÄN</t>
        </is>
      </c>
      <c r="E227" t="inlineStr">
        <is>
          <t>GOTLAND</t>
        </is>
      </c>
      <c r="F227" t="inlineStr">
        <is>
          <t>Kyrkan</t>
        </is>
      </c>
      <c r="G227" t="n">
        <v>0.6</v>
      </c>
      <c r="H227" t="n">
        <v>0</v>
      </c>
      <c r="I227" t="n">
        <v>0</v>
      </c>
      <c r="J227" t="n">
        <v>0</v>
      </c>
      <c r="K227" t="n">
        <v>0</v>
      </c>
      <c r="L227" t="n">
        <v>0</v>
      </c>
      <c r="M227" t="n">
        <v>0</v>
      </c>
      <c r="N227" t="n">
        <v>0</v>
      </c>
      <c r="O227" t="n">
        <v>0</v>
      </c>
      <c r="P227" t="n">
        <v>0</v>
      </c>
      <c r="Q227" t="n">
        <v>0</v>
      </c>
      <c r="R227" s="2" t="inlineStr"/>
    </row>
    <row r="228" ht="15" customHeight="1">
      <c r="A228" t="inlineStr">
        <is>
          <t>A 45106-2024</t>
        </is>
      </c>
      <c r="B228" s="1" t="n">
        <v>45575</v>
      </c>
      <c r="C228" s="1" t="n">
        <v>46176</v>
      </c>
      <c r="D228" t="inlineStr">
        <is>
          <t>GOTLANDS LÄN</t>
        </is>
      </c>
      <c r="E228" t="inlineStr">
        <is>
          <t>GOTLAND</t>
        </is>
      </c>
      <c r="G228" t="n">
        <v>10</v>
      </c>
      <c r="H228" t="n">
        <v>0</v>
      </c>
      <c r="I228" t="n">
        <v>0</v>
      </c>
      <c r="J228" t="n">
        <v>0</v>
      </c>
      <c r="K228" t="n">
        <v>0</v>
      </c>
      <c r="L228" t="n">
        <v>0</v>
      </c>
      <c r="M228" t="n">
        <v>0</v>
      </c>
      <c r="N228" t="n">
        <v>0</v>
      </c>
      <c r="O228" t="n">
        <v>0</v>
      </c>
      <c r="P228" t="n">
        <v>0</v>
      </c>
      <c r="Q228" t="n">
        <v>0</v>
      </c>
      <c r="R228" s="2" t="inlineStr"/>
    </row>
    <row r="229" ht="15" customHeight="1">
      <c r="A229" t="inlineStr">
        <is>
          <t>A 45112-2024</t>
        </is>
      </c>
      <c r="B229" s="1" t="n">
        <v>45575</v>
      </c>
      <c r="C229" s="1" t="n">
        <v>46176</v>
      </c>
      <c r="D229" t="inlineStr">
        <is>
          <t>GOTLANDS LÄN</t>
        </is>
      </c>
      <c r="E229" t="inlineStr">
        <is>
          <t>GOTLAND</t>
        </is>
      </c>
      <c r="G229" t="n">
        <v>5.1</v>
      </c>
      <c r="H229" t="n">
        <v>0</v>
      </c>
      <c r="I229" t="n">
        <v>0</v>
      </c>
      <c r="J229" t="n">
        <v>0</v>
      </c>
      <c r="K229" t="n">
        <v>0</v>
      </c>
      <c r="L229" t="n">
        <v>0</v>
      </c>
      <c r="M229" t="n">
        <v>0</v>
      </c>
      <c r="N229" t="n">
        <v>0</v>
      </c>
      <c r="O229" t="n">
        <v>0</v>
      </c>
      <c r="P229" t="n">
        <v>0</v>
      </c>
      <c r="Q229" t="n">
        <v>0</v>
      </c>
      <c r="R229" s="2" t="inlineStr"/>
    </row>
    <row r="230" ht="15" customHeight="1">
      <c r="A230" t="inlineStr">
        <is>
          <t>A 56009-2024</t>
        </is>
      </c>
      <c r="B230" s="1" t="n">
        <v>45623.80864583333</v>
      </c>
      <c r="C230" s="1" t="n">
        <v>46176</v>
      </c>
      <c r="D230" t="inlineStr">
        <is>
          <t>GOTLANDS LÄN</t>
        </is>
      </c>
      <c r="E230" t="inlineStr">
        <is>
          <t>GOTLAND</t>
        </is>
      </c>
      <c r="G230" t="n">
        <v>2.8</v>
      </c>
      <c r="H230" t="n">
        <v>0</v>
      </c>
      <c r="I230" t="n">
        <v>0</v>
      </c>
      <c r="J230" t="n">
        <v>0</v>
      </c>
      <c r="K230" t="n">
        <v>0</v>
      </c>
      <c r="L230" t="n">
        <v>0</v>
      </c>
      <c r="M230" t="n">
        <v>0</v>
      </c>
      <c r="N230" t="n">
        <v>0</v>
      </c>
      <c r="O230" t="n">
        <v>0</v>
      </c>
      <c r="P230" t="n">
        <v>0</v>
      </c>
      <c r="Q230" t="n">
        <v>0</v>
      </c>
      <c r="R230" s="2" t="inlineStr"/>
    </row>
    <row r="231" ht="15" customHeight="1">
      <c r="A231" t="inlineStr">
        <is>
          <t>A 54073-2022</t>
        </is>
      </c>
      <c r="B231" s="1" t="n">
        <v>44881.50380787037</v>
      </c>
      <c r="C231" s="1" t="n">
        <v>46176</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3964-2024</t>
        </is>
      </c>
      <c r="B232" s="1" t="n">
        <v>45322</v>
      </c>
      <c r="C232" s="1" t="n">
        <v>46176</v>
      </c>
      <c r="D232" t="inlineStr">
        <is>
          <t>GOTLANDS LÄN</t>
        </is>
      </c>
      <c r="E232" t="inlineStr">
        <is>
          <t>GOTLAND</t>
        </is>
      </c>
      <c r="G232" t="n">
        <v>1.4</v>
      </c>
      <c r="H232" t="n">
        <v>0</v>
      </c>
      <c r="I232" t="n">
        <v>0</v>
      </c>
      <c r="J232" t="n">
        <v>0</v>
      </c>
      <c r="K232" t="n">
        <v>0</v>
      </c>
      <c r="L232" t="n">
        <v>0</v>
      </c>
      <c r="M232" t="n">
        <v>0</v>
      </c>
      <c r="N232" t="n">
        <v>0</v>
      </c>
      <c r="O232" t="n">
        <v>0</v>
      </c>
      <c r="P232" t="n">
        <v>0</v>
      </c>
      <c r="Q232" t="n">
        <v>0</v>
      </c>
      <c r="R232" s="2" t="inlineStr"/>
    </row>
    <row r="233" ht="15" customHeight="1">
      <c r="A233" t="inlineStr">
        <is>
          <t>A 7026-2023</t>
        </is>
      </c>
      <c r="B233" s="1" t="n">
        <v>44968.30340277778</v>
      </c>
      <c r="C233" s="1" t="n">
        <v>46176</v>
      </c>
      <c r="D233" t="inlineStr">
        <is>
          <t>GOTLANDS LÄN</t>
        </is>
      </c>
      <c r="E233" t="inlineStr">
        <is>
          <t>GOTLAND</t>
        </is>
      </c>
      <c r="G233" t="n">
        <v>2.9</v>
      </c>
      <c r="H233" t="n">
        <v>0</v>
      </c>
      <c r="I233" t="n">
        <v>0</v>
      </c>
      <c r="J233" t="n">
        <v>0</v>
      </c>
      <c r="K233" t="n">
        <v>0</v>
      </c>
      <c r="L233" t="n">
        <v>0</v>
      </c>
      <c r="M233" t="n">
        <v>0</v>
      </c>
      <c r="N233" t="n">
        <v>0</v>
      </c>
      <c r="O233" t="n">
        <v>0</v>
      </c>
      <c r="P233" t="n">
        <v>0</v>
      </c>
      <c r="Q233" t="n">
        <v>0</v>
      </c>
      <c r="R233" s="2" t="inlineStr"/>
    </row>
    <row r="234" ht="15" customHeight="1">
      <c r="A234" t="inlineStr">
        <is>
          <t>A 49874-2024</t>
        </is>
      </c>
      <c r="B234" s="1" t="n">
        <v>45597.49274305555</v>
      </c>
      <c r="C234" s="1" t="n">
        <v>46176</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52892-2021</t>
        </is>
      </c>
      <c r="B235" s="1" t="n">
        <v>44467.49048611111</v>
      </c>
      <c r="C235" s="1" t="n">
        <v>46176</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1351-2025</t>
        </is>
      </c>
      <c r="B236" s="1" t="n">
        <v>45667.62246527777</v>
      </c>
      <c r="C236" s="1" t="n">
        <v>46176</v>
      </c>
      <c r="D236" t="inlineStr">
        <is>
          <t>GOTLANDS LÄN</t>
        </is>
      </c>
      <c r="E236" t="inlineStr">
        <is>
          <t>GOTLAND</t>
        </is>
      </c>
      <c r="G236" t="n">
        <v>1.3</v>
      </c>
      <c r="H236" t="n">
        <v>0</v>
      </c>
      <c r="I236" t="n">
        <v>0</v>
      </c>
      <c r="J236" t="n">
        <v>0</v>
      </c>
      <c r="K236" t="n">
        <v>0</v>
      </c>
      <c r="L236" t="n">
        <v>0</v>
      </c>
      <c r="M236" t="n">
        <v>0</v>
      </c>
      <c r="N236" t="n">
        <v>0</v>
      </c>
      <c r="O236" t="n">
        <v>0</v>
      </c>
      <c r="P236" t="n">
        <v>0</v>
      </c>
      <c r="Q236" t="n">
        <v>0</v>
      </c>
      <c r="R236" s="2" t="inlineStr"/>
    </row>
    <row r="237" ht="15" customHeight="1">
      <c r="A237" t="inlineStr">
        <is>
          <t>A 51782-2023</t>
        </is>
      </c>
      <c r="B237" s="1" t="n">
        <v>45222.80952546297</v>
      </c>
      <c r="C237" s="1" t="n">
        <v>46176</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60675-2021</t>
        </is>
      </c>
      <c r="B238" s="1" t="n">
        <v>44496.64855324074</v>
      </c>
      <c r="C238" s="1" t="n">
        <v>46176</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4421-2024</t>
        </is>
      </c>
      <c r="B239" s="1" t="n">
        <v>45327.45173611111</v>
      </c>
      <c r="C239" s="1" t="n">
        <v>46176</v>
      </c>
      <c r="D239" t="inlineStr">
        <is>
          <t>GOTLANDS LÄN</t>
        </is>
      </c>
      <c r="E239" t="inlineStr">
        <is>
          <t>GOTLAND</t>
        </is>
      </c>
      <c r="G239" t="n">
        <v>5.1</v>
      </c>
      <c r="H239" t="n">
        <v>0</v>
      </c>
      <c r="I239" t="n">
        <v>0</v>
      </c>
      <c r="J239" t="n">
        <v>0</v>
      </c>
      <c r="K239" t="n">
        <v>0</v>
      </c>
      <c r="L239" t="n">
        <v>0</v>
      </c>
      <c r="M239" t="n">
        <v>0</v>
      </c>
      <c r="N239" t="n">
        <v>0</v>
      </c>
      <c r="O239" t="n">
        <v>0</v>
      </c>
      <c r="P239" t="n">
        <v>0</v>
      </c>
      <c r="Q239" t="n">
        <v>0</v>
      </c>
      <c r="R239" s="2" t="inlineStr"/>
    </row>
    <row r="240" ht="15" customHeight="1">
      <c r="A240" t="inlineStr">
        <is>
          <t>A 33876-2024</t>
        </is>
      </c>
      <c r="B240" s="1" t="n">
        <v>45521.87988425926</v>
      </c>
      <c r="C240" s="1" t="n">
        <v>46176</v>
      </c>
      <c r="D240" t="inlineStr">
        <is>
          <t>GOTLANDS LÄN</t>
        </is>
      </c>
      <c r="E240" t="inlineStr">
        <is>
          <t>GOTLAND</t>
        </is>
      </c>
      <c r="G240" t="n">
        <v>1.3</v>
      </c>
      <c r="H240" t="n">
        <v>0</v>
      </c>
      <c r="I240" t="n">
        <v>0</v>
      </c>
      <c r="J240" t="n">
        <v>0</v>
      </c>
      <c r="K240" t="n">
        <v>0</v>
      </c>
      <c r="L240" t="n">
        <v>0</v>
      </c>
      <c r="M240" t="n">
        <v>0</v>
      </c>
      <c r="N240" t="n">
        <v>0</v>
      </c>
      <c r="O240" t="n">
        <v>0</v>
      </c>
      <c r="P240" t="n">
        <v>0</v>
      </c>
      <c r="Q240" t="n">
        <v>0</v>
      </c>
      <c r="R240" s="2" t="inlineStr"/>
    </row>
    <row r="241" ht="15" customHeight="1">
      <c r="A241" t="inlineStr">
        <is>
          <t>A 5217-2023</t>
        </is>
      </c>
      <c r="B241" s="1" t="n">
        <v>44959.39582175926</v>
      </c>
      <c r="C241" s="1" t="n">
        <v>46176</v>
      </c>
      <c r="D241" t="inlineStr">
        <is>
          <t>GOTLANDS LÄN</t>
        </is>
      </c>
      <c r="E241" t="inlineStr">
        <is>
          <t>GOTLAND</t>
        </is>
      </c>
      <c r="G241" t="n">
        <v>1.9</v>
      </c>
      <c r="H241" t="n">
        <v>0</v>
      </c>
      <c r="I241" t="n">
        <v>0</v>
      </c>
      <c r="J241" t="n">
        <v>0</v>
      </c>
      <c r="K241" t="n">
        <v>0</v>
      </c>
      <c r="L241" t="n">
        <v>0</v>
      </c>
      <c r="M241" t="n">
        <v>0</v>
      </c>
      <c r="N241" t="n">
        <v>0</v>
      </c>
      <c r="O241" t="n">
        <v>0</v>
      </c>
      <c r="P241" t="n">
        <v>0</v>
      </c>
      <c r="Q241" t="n">
        <v>0</v>
      </c>
      <c r="R241" s="2" t="inlineStr"/>
    </row>
    <row r="242" ht="15" customHeight="1">
      <c r="A242" t="inlineStr">
        <is>
          <t>A 20165-2022</t>
        </is>
      </c>
      <c r="B242" s="1" t="n">
        <v>44698.49854166667</v>
      </c>
      <c r="C242" s="1" t="n">
        <v>46176</v>
      </c>
      <c r="D242" t="inlineStr">
        <is>
          <t>GOTLANDS LÄN</t>
        </is>
      </c>
      <c r="E242" t="inlineStr">
        <is>
          <t>GOTLAND</t>
        </is>
      </c>
      <c r="G242" t="n">
        <v>4.1</v>
      </c>
      <c r="H242" t="n">
        <v>0</v>
      </c>
      <c r="I242" t="n">
        <v>0</v>
      </c>
      <c r="J242" t="n">
        <v>0</v>
      </c>
      <c r="K242" t="n">
        <v>0</v>
      </c>
      <c r="L242" t="n">
        <v>0</v>
      </c>
      <c r="M242" t="n">
        <v>0</v>
      </c>
      <c r="N242" t="n">
        <v>0</v>
      </c>
      <c r="O242" t="n">
        <v>0</v>
      </c>
      <c r="P242" t="n">
        <v>0</v>
      </c>
      <c r="Q242" t="n">
        <v>0</v>
      </c>
      <c r="R242" s="2" t="inlineStr"/>
    </row>
    <row r="243" ht="15" customHeight="1">
      <c r="A243" t="inlineStr">
        <is>
          <t>A 14638-2025</t>
        </is>
      </c>
      <c r="B243" s="1" t="n">
        <v>45742</v>
      </c>
      <c r="C243" s="1" t="n">
        <v>46176</v>
      </c>
      <c r="D243" t="inlineStr">
        <is>
          <t>GOTLANDS LÄN</t>
        </is>
      </c>
      <c r="E243" t="inlineStr">
        <is>
          <t>GOTLAND</t>
        </is>
      </c>
      <c r="G243" t="n">
        <v>13.4</v>
      </c>
      <c r="H243" t="n">
        <v>0</v>
      </c>
      <c r="I243" t="n">
        <v>0</v>
      </c>
      <c r="J243" t="n">
        <v>0</v>
      </c>
      <c r="K243" t="n">
        <v>0</v>
      </c>
      <c r="L243" t="n">
        <v>0</v>
      </c>
      <c r="M243" t="n">
        <v>0</v>
      </c>
      <c r="N243" t="n">
        <v>0</v>
      </c>
      <c r="O243" t="n">
        <v>0</v>
      </c>
      <c r="P243" t="n">
        <v>0</v>
      </c>
      <c r="Q243" t="n">
        <v>0</v>
      </c>
      <c r="R243" s="2" t="inlineStr"/>
    </row>
    <row r="244" ht="15" customHeight="1">
      <c r="A244" t="inlineStr">
        <is>
          <t>A 61962-2024</t>
        </is>
      </c>
      <c r="B244" s="1" t="n">
        <v>45653.54340277778</v>
      </c>
      <c r="C244" s="1" t="n">
        <v>46176</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43223-2023</t>
        </is>
      </c>
      <c r="B245" s="1" t="n">
        <v>45183.45642361111</v>
      </c>
      <c r="C245" s="1" t="n">
        <v>46176</v>
      </c>
      <c r="D245" t="inlineStr">
        <is>
          <t>GOTLANDS LÄN</t>
        </is>
      </c>
      <c r="E245" t="inlineStr">
        <is>
          <t>GOTLAND</t>
        </is>
      </c>
      <c r="G245" t="n">
        <v>1.8</v>
      </c>
      <c r="H245" t="n">
        <v>0</v>
      </c>
      <c r="I245" t="n">
        <v>0</v>
      </c>
      <c r="J245" t="n">
        <v>0</v>
      </c>
      <c r="K245" t="n">
        <v>0</v>
      </c>
      <c r="L245" t="n">
        <v>0</v>
      </c>
      <c r="M245" t="n">
        <v>0</v>
      </c>
      <c r="N245" t="n">
        <v>0</v>
      </c>
      <c r="O245" t="n">
        <v>0</v>
      </c>
      <c r="P245" t="n">
        <v>0</v>
      </c>
      <c r="Q245" t="n">
        <v>0</v>
      </c>
      <c r="R245" s="2" t="inlineStr"/>
    </row>
    <row r="246" ht="15" customHeight="1">
      <c r="A246" t="inlineStr">
        <is>
          <t>A 27930-2021</t>
        </is>
      </c>
      <c r="B246" s="1" t="n">
        <v>44354</v>
      </c>
      <c r="C246" s="1" t="n">
        <v>46176</v>
      </c>
      <c r="D246" t="inlineStr">
        <is>
          <t>GOTLANDS LÄN</t>
        </is>
      </c>
      <c r="E246" t="inlineStr">
        <is>
          <t>GOTLAND</t>
        </is>
      </c>
      <c r="G246" t="n">
        <v>2.5</v>
      </c>
      <c r="H246" t="n">
        <v>0</v>
      </c>
      <c r="I246" t="n">
        <v>0</v>
      </c>
      <c r="J246" t="n">
        <v>0</v>
      </c>
      <c r="K246" t="n">
        <v>0</v>
      </c>
      <c r="L246" t="n">
        <v>0</v>
      </c>
      <c r="M246" t="n">
        <v>0</v>
      </c>
      <c r="N246" t="n">
        <v>0</v>
      </c>
      <c r="O246" t="n">
        <v>0</v>
      </c>
      <c r="P246" t="n">
        <v>0</v>
      </c>
      <c r="Q246" t="n">
        <v>0</v>
      </c>
      <c r="R246" s="2" t="inlineStr"/>
    </row>
    <row r="247" ht="15" customHeight="1">
      <c r="A247" t="inlineStr">
        <is>
          <t>A 59469-2024</t>
        </is>
      </c>
      <c r="B247" s="1" t="n">
        <v>45638</v>
      </c>
      <c r="C247" s="1" t="n">
        <v>46176</v>
      </c>
      <c r="D247" t="inlineStr">
        <is>
          <t>GOTLANDS LÄN</t>
        </is>
      </c>
      <c r="E247" t="inlineStr">
        <is>
          <t>GOTLAND</t>
        </is>
      </c>
      <c r="G247" t="n">
        <v>0.4</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46176</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4990-2025</t>
        </is>
      </c>
      <c r="B249" s="1" t="n">
        <v>45691</v>
      </c>
      <c r="C249" s="1" t="n">
        <v>46176</v>
      </c>
      <c r="D249" t="inlineStr">
        <is>
          <t>GOTLANDS LÄN</t>
        </is>
      </c>
      <c r="E249" t="inlineStr">
        <is>
          <t>GOTLAND</t>
        </is>
      </c>
      <c r="G249" t="n">
        <v>7.7</v>
      </c>
      <c r="H249" t="n">
        <v>0</v>
      </c>
      <c r="I249" t="n">
        <v>0</v>
      </c>
      <c r="J249" t="n">
        <v>0</v>
      </c>
      <c r="K249" t="n">
        <v>0</v>
      </c>
      <c r="L249" t="n">
        <v>0</v>
      </c>
      <c r="M249" t="n">
        <v>0</v>
      </c>
      <c r="N249" t="n">
        <v>0</v>
      </c>
      <c r="O249" t="n">
        <v>0</v>
      </c>
      <c r="P249" t="n">
        <v>0</v>
      </c>
      <c r="Q249" t="n">
        <v>0</v>
      </c>
      <c r="R249" s="2" t="inlineStr"/>
    </row>
    <row r="250" ht="15" customHeight="1">
      <c r="A250" t="inlineStr">
        <is>
          <t>A 6696-2023</t>
        </is>
      </c>
      <c r="B250" s="1" t="n">
        <v>44966.66425925926</v>
      </c>
      <c r="C250" s="1" t="n">
        <v>46176</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28480-2023</t>
        </is>
      </c>
      <c r="B251" s="1" t="n">
        <v>45103</v>
      </c>
      <c r="C251" s="1" t="n">
        <v>46176</v>
      </c>
      <c r="D251" t="inlineStr">
        <is>
          <t>GOTLANDS LÄN</t>
        </is>
      </c>
      <c r="E251" t="inlineStr">
        <is>
          <t>GOTLAND</t>
        </is>
      </c>
      <c r="G251" t="n">
        <v>5.7</v>
      </c>
      <c r="H251" t="n">
        <v>0</v>
      </c>
      <c r="I251" t="n">
        <v>0</v>
      </c>
      <c r="J251" t="n">
        <v>0</v>
      </c>
      <c r="K251" t="n">
        <v>0</v>
      </c>
      <c r="L251" t="n">
        <v>0</v>
      </c>
      <c r="M251" t="n">
        <v>0</v>
      </c>
      <c r="N251" t="n">
        <v>0</v>
      </c>
      <c r="O251" t="n">
        <v>0</v>
      </c>
      <c r="P251" t="n">
        <v>0</v>
      </c>
      <c r="Q251" t="n">
        <v>0</v>
      </c>
      <c r="R251" s="2" t="inlineStr"/>
    </row>
    <row r="252" ht="15" customHeight="1">
      <c r="A252" t="inlineStr">
        <is>
          <t>A 28485-2023</t>
        </is>
      </c>
      <c r="B252" s="1" t="n">
        <v>45103.43731481482</v>
      </c>
      <c r="C252" s="1" t="n">
        <v>46176</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31264-2021</t>
        </is>
      </c>
      <c r="B253" s="1" t="n">
        <v>44368</v>
      </c>
      <c r="C253" s="1" t="n">
        <v>46176</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38165-2023</t>
        </is>
      </c>
      <c r="B254" s="1" t="n">
        <v>45161</v>
      </c>
      <c r="C254" s="1" t="n">
        <v>46176</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49693-2023</t>
        </is>
      </c>
      <c r="B255" s="1" t="n">
        <v>45212.38138888889</v>
      </c>
      <c r="C255" s="1" t="n">
        <v>46176</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49697-2023</t>
        </is>
      </c>
      <c r="B256" s="1" t="n">
        <v>45212.38909722222</v>
      </c>
      <c r="C256" s="1" t="n">
        <v>46176</v>
      </c>
      <c r="D256" t="inlineStr">
        <is>
          <t>GOTLANDS LÄN</t>
        </is>
      </c>
      <c r="E256" t="inlineStr">
        <is>
          <t>GOTLAND</t>
        </is>
      </c>
      <c r="G256" t="n">
        <v>4.4</v>
      </c>
      <c r="H256" t="n">
        <v>0</v>
      </c>
      <c r="I256" t="n">
        <v>0</v>
      </c>
      <c r="J256" t="n">
        <v>0</v>
      </c>
      <c r="K256" t="n">
        <v>0</v>
      </c>
      <c r="L256" t="n">
        <v>0</v>
      </c>
      <c r="M256" t="n">
        <v>0</v>
      </c>
      <c r="N256" t="n">
        <v>0</v>
      </c>
      <c r="O256" t="n">
        <v>0</v>
      </c>
      <c r="P256" t="n">
        <v>0</v>
      </c>
      <c r="Q256" t="n">
        <v>0</v>
      </c>
      <c r="R256" s="2" t="inlineStr"/>
    </row>
    <row r="257" ht="15" customHeight="1">
      <c r="A257" t="inlineStr">
        <is>
          <t>A 34312-2024</t>
        </is>
      </c>
      <c r="B257" s="1" t="n">
        <v>45524.69703703704</v>
      </c>
      <c r="C257" s="1" t="n">
        <v>46176</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46176</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24825-2024</t>
        </is>
      </c>
      <c r="B259" s="1" t="n">
        <v>45461</v>
      </c>
      <c r="C259" s="1" t="n">
        <v>46176</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22031-2024</t>
        </is>
      </c>
      <c r="B260" s="1" t="n">
        <v>45443.60075231481</v>
      </c>
      <c r="C260" s="1" t="n">
        <v>46176</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17688-2024</t>
        </is>
      </c>
      <c r="B261" s="1" t="n">
        <v>45418.43575231481</v>
      </c>
      <c r="C261" s="1" t="n">
        <v>46176</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8260-2023</t>
        </is>
      </c>
      <c r="B262" s="1" t="n">
        <v>44974.61608796296</v>
      </c>
      <c r="C262" s="1" t="n">
        <v>46176</v>
      </c>
      <c r="D262" t="inlineStr">
        <is>
          <t>GOTLANDS LÄN</t>
        </is>
      </c>
      <c r="E262" t="inlineStr">
        <is>
          <t>GOTLAND</t>
        </is>
      </c>
      <c r="G262" t="n">
        <v>2.9</v>
      </c>
      <c r="H262" t="n">
        <v>0</v>
      </c>
      <c r="I262" t="n">
        <v>0</v>
      </c>
      <c r="J262" t="n">
        <v>0</v>
      </c>
      <c r="K262" t="n">
        <v>0</v>
      </c>
      <c r="L262" t="n">
        <v>0</v>
      </c>
      <c r="M262" t="n">
        <v>0</v>
      </c>
      <c r="N262" t="n">
        <v>0</v>
      </c>
      <c r="O262" t="n">
        <v>0</v>
      </c>
      <c r="P262" t="n">
        <v>0</v>
      </c>
      <c r="Q262" t="n">
        <v>0</v>
      </c>
      <c r="R262" s="2" t="inlineStr"/>
    </row>
    <row r="263" ht="15" customHeight="1">
      <c r="A263" t="inlineStr">
        <is>
          <t>A 27694-2024</t>
        </is>
      </c>
      <c r="B263" s="1" t="n">
        <v>45475</v>
      </c>
      <c r="C263" s="1" t="n">
        <v>46176</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22287-2022</t>
        </is>
      </c>
      <c r="B264" s="1" t="n">
        <v>44712</v>
      </c>
      <c r="C264" s="1" t="n">
        <v>46176</v>
      </c>
      <c r="D264" t="inlineStr">
        <is>
          <t>GOTLANDS LÄN</t>
        </is>
      </c>
      <c r="E264" t="inlineStr">
        <is>
          <t>GOTLAND</t>
        </is>
      </c>
      <c r="G264" t="n">
        <v>6.1</v>
      </c>
      <c r="H264" t="n">
        <v>0</v>
      </c>
      <c r="I264" t="n">
        <v>0</v>
      </c>
      <c r="J264" t="n">
        <v>0</v>
      </c>
      <c r="K264" t="n">
        <v>0</v>
      </c>
      <c r="L264" t="n">
        <v>0</v>
      </c>
      <c r="M264" t="n">
        <v>0</v>
      </c>
      <c r="N264" t="n">
        <v>0</v>
      </c>
      <c r="O264" t="n">
        <v>0</v>
      </c>
      <c r="P264" t="n">
        <v>0</v>
      </c>
      <c r="Q264" t="n">
        <v>0</v>
      </c>
      <c r="R264" s="2" t="inlineStr"/>
    </row>
    <row r="265" ht="15" customHeight="1">
      <c r="A265" t="inlineStr">
        <is>
          <t>A 39764-2022</t>
        </is>
      </c>
      <c r="B265" s="1" t="n">
        <v>44819</v>
      </c>
      <c r="C265" s="1" t="n">
        <v>46176</v>
      </c>
      <c r="D265" t="inlineStr">
        <is>
          <t>GOTLANDS LÄN</t>
        </is>
      </c>
      <c r="E265" t="inlineStr">
        <is>
          <t>GOTLAND</t>
        </is>
      </c>
      <c r="F265" t="inlineStr">
        <is>
          <t>Kyrkan</t>
        </is>
      </c>
      <c r="G265" t="n">
        <v>3.7</v>
      </c>
      <c r="H265" t="n">
        <v>0</v>
      </c>
      <c r="I265" t="n">
        <v>0</v>
      </c>
      <c r="J265" t="n">
        <v>0</v>
      </c>
      <c r="K265" t="n">
        <v>0</v>
      </c>
      <c r="L265" t="n">
        <v>0</v>
      </c>
      <c r="M265" t="n">
        <v>0</v>
      </c>
      <c r="N265" t="n">
        <v>0</v>
      </c>
      <c r="O265" t="n">
        <v>0</v>
      </c>
      <c r="P265" t="n">
        <v>0</v>
      </c>
      <c r="Q265" t="n">
        <v>0</v>
      </c>
      <c r="R265" s="2" t="inlineStr"/>
    </row>
    <row r="266" ht="15" customHeight="1">
      <c r="A266" t="inlineStr">
        <is>
          <t>A 57534-2022</t>
        </is>
      </c>
      <c r="B266" s="1" t="n">
        <v>44896</v>
      </c>
      <c r="C266" s="1" t="n">
        <v>46176</v>
      </c>
      <c r="D266" t="inlineStr">
        <is>
          <t>GOTLANDS LÄN</t>
        </is>
      </c>
      <c r="E266" t="inlineStr">
        <is>
          <t>GOTLAND</t>
        </is>
      </c>
      <c r="G266" t="n">
        <v>0.6</v>
      </c>
      <c r="H266" t="n">
        <v>0</v>
      </c>
      <c r="I266" t="n">
        <v>0</v>
      </c>
      <c r="J266" t="n">
        <v>0</v>
      </c>
      <c r="K266" t="n">
        <v>0</v>
      </c>
      <c r="L266" t="n">
        <v>0</v>
      </c>
      <c r="M266" t="n">
        <v>0</v>
      </c>
      <c r="N266" t="n">
        <v>0</v>
      </c>
      <c r="O266" t="n">
        <v>0</v>
      </c>
      <c r="P266" t="n">
        <v>0</v>
      </c>
      <c r="Q266" t="n">
        <v>0</v>
      </c>
      <c r="R266" s="2" t="inlineStr"/>
    </row>
    <row r="267" ht="15" customHeight="1">
      <c r="A267" t="inlineStr">
        <is>
          <t>A 6099-2024</t>
        </is>
      </c>
      <c r="B267" s="1" t="n">
        <v>45337</v>
      </c>
      <c r="C267" s="1" t="n">
        <v>46176</v>
      </c>
      <c r="D267" t="inlineStr">
        <is>
          <t>GOTLANDS LÄN</t>
        </is>
      </c>
      <c r="E267" t="inlineStr">
        <is>
          <t>GOTLAND</t>
        </is>
      </c>
      <c r="G267" t="n">
        <v>12.6</v>
      </c>
      <c r="H267" t="n">
        <v>0</v>
      </c>
      <c r="I267" t="n">
        <v>0</v>
      </c>
      <c r="J267" t="n">
        <v>0</v>
      </c>
      <c r="K267" t="n">
        <v>0</v>
      </c>
      <c r="L267" t="n">
        <v>0</v>
      </c>
      <c r="M267" t="n">
        <v>0</v>
      </c>
      <c r="N267" t="n">
        <v>0</v>
      </c>
      <c r="O267" t="n">
        <v>0</v>
      </c>
      <c r="P267" t="n">
        <v>0</v>
      </c>
      <c r="Q267" t="n">
        <v>0</v>
      </c>
      <c r="R267" s="2" t="inlineStr"/>
    </row>
    <row r="268" ht="15" customHeight="1">
      <c r="A268" t="inlineStr">
        <is>
          <t>A 16109-2025</t>
        </is>
      </c>
      <c r="B268" s="1" t="n">
        <v>45750</v>
      </c>
      <c r="C268" s="1" t="n">
        <v>46176</v>
      </c>
      <c r="D268" t="inlineStr">
        <is>
          <t>GOTLANDS LÄN</t>
        </is>
      </c>
      <c r="E268" t="inlineStr">
        <is>
          <t>GOTLAND</t>
        </is>
      </c>
      <c r="G268" t="n">
        <v>4.9</v>
      </c>
      <c r="H268" t="n">
        <v>0</v>
      </c>
      <c r="I268" t="n">
        <v>0</v>
      </c>
      <c r="J268" t="n">
        <v>0</v>
      </c>
      <c r="K268" t="n">
        <v>0</v>
      </c>
      <c r="L268" t="n">
        <v>0</v>
      </c>
      <c r="M268" t="n">
        <v>0</v>
      </c>
      <c r="N268" t="n">
        <v>0</v>
      </c>
      <c r="O268" t="n">
        <v>0</v>
      </c>
      <c r="P268" t="n">
        <v>0</v>
      </c>
      <c r="Q268" t="n">
        <v>0</v>
      </c>
      <c r="R268" s="2" t="inlineStr"/>
    </row>
    <row r="269" ht="15" customHeight="1">
      <c r="A269" t="inlineStr">
        <is>
          <t>A 64660-2023</t>
        </is>
      </c>
      <c r="B269" s="1" t="n">
        <v>45281.60122685185</v>
      </c>
      <c r="C269" s="1" t="n">
        <v>46176</v>
      </c>
      <c r="D269" t="inlineStr">
        <is>
          <t>GOTLANDS LÄN</t>
        </is>
      </c>
      <c r="E269" t="inlineStr">
        <is>
          <t>GOTLAND</t>
        </is>
      </c>
      <c r="G269" t="n">
        <v>6.3</v>
      </c>
      <c r="H269" t="n">
        <v>0</v>
      </c>
      <c r="I269" t="n">
        <v>0</v>
      </c>
      <c r="J269" t="n">
        <v>0</v>
      </c>
      <c r="K269" t="n">
        <v>0</v>
      </c>
      <c r="L269" t="n">
        <v>0</v>
      </c>
      <c r="M269" t="n">
        <v>0</v>
      </c>
      <c r="N269" t="n">
        <v>0</v>
      </c>
      <c r="O269" t="n">
        <v>0</v>
      </c>
      <c r="P269" t="n">
        <v>0</v>
      </c>
      <c r="Q269" t="n">
        <v>0</v>
      </c>
      <c r="R269" s="2" t="inlineStr"/>
    </row>
    <row r="270" ht="15" customHeight="1">
      <c r="A270" t="inlineStr">
        <is>
          <t>A 32467-2025</t>
        </is>
      </c>
      <c r="B270" s="1" t="n">
        <v>45838.42111111111</v>
      </c>
      <c r="C270" s="1" t="n">
        <v>46176</v>
      </c>
      <c r="D270" t="inlineStr">
        <is>
          <t>GOTLANDS LÄN</t>
        </is>
      </c>
      <c r="E270" t="inlineStr">
        <is>
          <t>GOTLAND</t>
        </is>
      </c>
      <c r="G270" t="n">
        <v>4.3</v>
      </c>
      <c r="H270" t="n">
        <v>0</v>
      </c>
      <c r="I270" t="n">
        <v>0</v>
      </c>
      <c r="J270" t="n">
        <v>0</v>
      </c>
      <c r="K270" t="n">
        <v>0</v>
      </c>
      <c r="L270" t="n">
        <v>0</v>
      </c>
      <c r="M270" t="n">
        <v>0</v>
      </c>
      <c r="N270" t="n">
        <v>0</v>
      </c>
      <c r="O270" t="n">
        <v>0</v>
      </c>
      <c r="P270" t="n">
        <v>0</v>
      </c>
      <c r="Q270" t="n">
        <v>0</v>
      </c>
      <c r="R270" s="2" t="inlineStr"/>
    </row>
    <row r="271" ht="15" customHeight="1">
      <c r="A271" t="inlineStr">
        <is>
          <t>A 12135-2026</t>
        </is>
      </c>
      <c r="B271" s="1" t="n">
        <v>46086</v>
      </c>
      <c r="C271" s="1" t="n">
        <v>46176</v>
      </c>
      <c r="D271" t="inlineStr">
        <is>
          <t>GOTLANDS LÄN</t>
        </is>
      </c>
      <c r="E271" t="inlineStr">
        <is>
          <t>GOTLAND</t>
        </is>
      </c>
      <c r="G271" t="n">
        <v>3</v>
      </c>
      <c r="H271" t="n">
        <v>0</v>
      </c>
      <c r="I271" t="n">
        <v>0</v>
      </c>
      <c r="J271" t="n">
        <v>0</v>
      </c>
      <c r="K271" t="n">
        <v>0</v>
      </c>
      <c r="L271" t="n">
        <v>0</v>
      </c>
      <c r="M271" t="n">
        <v>0</v>
      </c>
      <c r="N271" t="n">
        <v>0</v>
      </c>
      <c r="O271" t="n">
        <v>0</v>
      </c>
      <c r="P271" t="n">
        <v>0</v>
      </c>
      <c r="Q271" t="n">
        <v>0</v>
      </c>
      <c r="R271" s="2" t="inlineStr"/>
    </row>
    <row r="272" ht="15" customHeight="1">
      <c r="A272" t="inlineStr">
        <is>
          <t>A 20356-2022</t>
        </is>
      </c>
      <c r="B272" s="1" t="n">
        <v>44699</v>
      </c>
      <c r="C272" s="1" t="n">
        <v>46176</v>
      </c>
      <c r="D272" t="inlineStr">
        <is>
          <t>GOTLANDS LÄN</t>
        </is>
      </c>
      <c r="E272" t="inlineStr">
        <is>
          <t>GOTLAND</t>
        </is>
      </c>
      <c r="F272" t="inlineStr">
        <is>
          <t>Övriga Aktiebolag</t>
        </is>
      </c>
      <c r="G272" t="n">
        <v>4.4</v>
      </c>
      <c r="H272" t="n">
        <v>0</v>
      </c>
      <c r="I272" t="n">
        <v>0</v>
      </c>
      <c r="J272" t="n">
        <v>0</v>
      </c>
      <c r="K272" t="n">
        <v>0</v>
      </c>
      <c r="L272" t="n">
        <v>0</v>
      </c>
      <c r="M272" t="n">
        <v>0</v>
      </c>
      <c r="N272" t="n">
        <v>0</v>
      </c>
      <c r="O272" t="n">
        <v>0</v>
      </c>
      <c r="P272" t="n">
        <v>0</v>
      </c>
      <c r="Q272" t="n">
        <v>0</v>
      </c>
      <c r="R272" s="2" t="inlineStr"/>
    </row>
    <row r="273" ht="15" customHeight="1">
      <c r="A273" t="inlineStr">
        <is>
          <t>A 11982-2026</t>
        </is>
      </c>
      <c r="B273" s="1" t="n">
        <v>46085.6434375</v>
      </c>
      <c r="C273" s="1" t="n">
        <v>46176</v>
      </c>
      <c r="D273" t="inlineStr">
        <is>
          <t>GOTLANDS LÄN</t>
        </is>
      </c>
      <c r="E273" t="inlineStr">
        <is>
          <t>GOTLAND</t>
        </is>
      </c>
      <c r="G273" t="n">
        <v>2.2</v>
      </c>
      <c r="H273" t="n">
        <v>0</v>
      </c>
      <c r="I273" t="n">
        <v>0</v>
      </c>
      <c r="J273" t="n">
        <v>0</v>
      </c>
      <c r="K273" t="n">
        <v>0</v>
      </c>
      <c r="L273" t="n">
        <v>0</v>
      </c>
      <c r="M273" t="n">
        <v>0</v>
      </c>
      <c r="N273" t="n">
        <v>0</v>
      </c>
      <c r="O273" t="n">
        <v>0</v>
      </c>
      <c r="P273" t="n">
        <v>0</v>
      </c>
      <c r="Q273" t="n">
        <v>0</v>
      </c>
      <c r="R273" s="2" t="inlineStr"/>
    </row>
    <row r="274" ht="15" customHeight="1">
      <c r="A274" t="inlineStr">
        <is>
          <t>A 32379-2025</t>
        </is>
      </c>
      <c r="B274" s="1" t="n">
        <v>45837</v>
      </c>
      <c r="C274" s="1" t="n">
        <v>46176</v>
      </c>
      <c r="D274" t="inlineStr">
        <is>
          <t>GOTLANDS LÄN</t>
        </is>
      </c>
      <c r="E274" t="inlineStr">
        <is>
          <t>GOTLAND</t>
        </is>
      </c>
      <c r="G274" t="n">
        <v>1</v>
      </c>
      <c r="H274" t="n">
        <v>0</v>
      </c>
      <c r="I274" t="n">
        <v>0</v>
      </c>
      <c r="J274" t="n">
        <v>0</v>
      </c>
      <c r="K274" t="n">
        <v>0</v>
      </c>
      <c r="L274" t="n">
        <v>0</v>
      </c>
      <c r="M274" t="n">
        <v>0</v>
      </c>
      <c r="N274" t="n">
        <v>0</v>
      </c>
      <c r="O274" t="n">
        <v>0</v>
      </c>
      <c r="P274" t="n">
        <v>0</v>
      </c>
      <c r="Q274" t="n">
        <v>0</v>
      </c>
      <c r="R274" s="2" t="inlineStr"/>
    </row>
    <row r="275" ht="15" customHeight="1">
      <c r="A275" t="inlineStr">
        <is>
          <t>A 33007-2025</t>
        </is>
      </c>
      <c r="B275" s="1" t="n">
        <v>45840</v>
      </c>
      <c r="C275" s="1" t="n">
        <v>46176</v>
      </c>
      <c r="D275" t="inlineStr">
        <is>
          <t>GOTLANDS LÄN</t>
        </is>
      </c>
      <c r="E275" t="inlineStr">
        <is>
          <t>GOTLAND</t>
        </is>
      </c>
      <c r="G275" t="n">
        <v>4.9</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46176</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42201-2023</t>
        </is>
      </c>
      <c r="B277" s="1" t="n">
        <v>45179</v>
      </c>
      <c r="C277" s="1" t="n">
        <v>46176</v>
      </c>
      <c r="D277" t="inlineStr">
        <is>
          <t>GOTLANDS LÄN</t>
        </is>
      </c>
      <c r="E277" t="inlineStr">
        <is>
          <t>GOTLAND</t>
        </is>
      </c>
      <c r="G277" t="n">
        <v>11.9</v>
      </c>
      <c r="H277" t="n">
        <v>0</v>
      </c>
      <c r="I277" t="n">
        <v>0</v>
      </c>
      <c r="J277" t="n">
        <v>0</v>
      </c>
      <c r="K277" t="n">
        <v>0</v>
      </c>
      <c r="L277" t="n">
        <v>0</v>
      </c>
      <c r="M277" t="n">
        <v>0</v>
      </c>
      <c r="N277" t="n">
        <v>0</v>
      </c>
      <c r="O277" t="n">
        <v>0</v>
      </c>
      <c r="P277" t="n">
        <v>0</v>
      </c>
      <c r="Q277" t="n">
        <v>0</v>
      </c>
      <c r="R277" s="2" t="inlineStr"/>
    </row>
    <row r="278" ht="15" customHeight="1">
      <c r="A278" t="inlineStr">
        <is>
          <t>A 35141-2025</t>
        </is>
      </c>
      <c r="B278" s="1" t="n">
        <v>45852.65206018519</v>
      </c>
      <c r="C278" s="1" t="n">
        <v>46176</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20855-2023</t>
        </is>
      </c>
      <c r="B279" s="1" t="n">
        <v>45058.82172453704</v>
      </c>
      <c r="C279" s="1" t="n">
        <v>46176</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63000-2025</t>
        </is>
      </c>
      <c r="B280" s="1" t="n">
        <v>46009</v>
      </c>
      <c r="C280" s="1" t="n">
        <v>46176</v>
      </c>
      <c r="D280" t="inlineStr">
        <is>
          <t>GOTLANDS LÄN</t>
        </is>
      </c>
      <c r="E280" t="inlineStr">
        <is>
          <t>GOTLAND</t>
        </is>
      </c>
      <c r="F280" t="inlineStr">
        <is>
          <t>Övriga Aktiebolag</t>
        </is>
      </c>
      <c r="G280" t="n">
        <v>1.7</v>
      </c>
      <c r="H280" t="n">
        <v>0</v>
      </c>
      <c r="I280" t="n">
        <v>0</v>
      </c>
      <c r="J280" t="n">
        <v>0</v>
      </c>
      <c r="K280" t="n">
        <v>0</v>
      </c>
      <c r="L280" t="n">
        <v>0</v>
      </c>
      <c r="M280" t="n">
        <v>0</v>
      </c>
      <c r="N280" t="n">
        <v>0</v>
      </c>
      <c r="O280" t="n">
        <v>0</v>
      </c>
      <c r="P280" t="n">
        <v>0</v>
      </c>
      <c r="Q280" t="n">
        <v>0</v>
      </c>
      <c r="R280" s="2" t="inlineStr"/>
    </row>
    <row r="281" ht="15" customHeight="1">
      <c r="A281" t="inlineStr">
        <is>
          <t>A 15413-2025</t>
        </is>
      </c>
      <c r="B281" s="1" t="n">
        <v>45747.451875</v>
      </c>
      <c r="C281" s="1" t="n">
        <v>46176</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35096-2025</t>
        </is>
      </c>
      <c r="B282" s="1" t="n">
        <v>45852.54356481481</v>
      </c>
      <c r="C282" s="1" t="n">
        <v>46176</v>
      </c>
      <c r="D282" t="inlineStr">
        <is>
          <t>GOTLANDS LÄN</t>
        </is>
      </c>
      <c r="E282" t="inlineStr">
        <is>
          <t>GOTLAND</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35123-2025</t>
        </is>
      </c>
      <c r="B283" s="1" t="n">
        <v>45852.614375</v>
      </c>
      <c r="C283" s="1" t="n">
        <v>46176</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62751-2025</t>
        </is>
      </c>
      <c r="B284" s="1" t="n">
        <v>46008</v>
      </c>
      <c r="C284" s="1" t="n">
        <v>46176</v>
      </c>
      <c r="D284" t="inlineStr">
        <is>
          <t>GOTLANDS LÄN</t>
        </is>
      </c>
      <c r="E284" t="inlineStr">
        <is>
          <t>GOTLAND</t>
        </is>
      </c>
      <c r="F284" t="inlineStr">
        <is>
          <t>Övriga Aktiebolag</t>
        </is>
      </c>
      <c r="G284" t="n">
        <v>7.8</v>
      </c>
      <c r="H284" t="n">
        <v>0</v>
      </c>
      <c r="I284" t="n">
        <v>0</v>
      </c>
      <c r="J284" t="n">
        <v>0</v>
      </c>
      <c r="K284" t="n">
        <v>0</v>
      </c>
      <c r="L284" t="n">
        <v>0</v>
      </c>
      <c r="M284" t="n">
        <v>0</v>
      </c>
      <c r="N284" t="n">
        <v>0</v>
      </c>
      <c r="O284" t="n">
        <v>0</v>
      </c>
      <c r="P284" t="n">
        <v>0</v>
      </c>
      <c r="Q284" t="n">
        <v>0</v>
      </c>
      <c r="R284" s="2" t="inlineStr"/>
    </row>
    <row r="285" ht="15" customHeight="1">
      <c r="A285" t="inlineStr">
        <is>
          <t>A 39849-2025</t>
        </is>
      </c>
      <c r="B285" s="1" t="n">
        <v>45891.58502314815</v>
      </c>
      <c r="C285" s="1" t="n">
        <v>46176</v>
      </c>
      <c r="D285" t="inlineStr">
        <is>
          <t>GOTLANDS LÄN</t>
        </is>
      </c>
      <c r="E285" t="inlineStr">
        <is>
          <t>GOTLAND</t>
        </is>
      </c>
      <c r="G285" t="n">
        <v>6.1</v>
      </c>
      <c r="H285" t="n">
        <v>0</v>
      </c>
      <c r="I285" t="n">
        <v>0</v>
      </c>
      <c r="J285" t="n">
        <v>0</v>
      </c>
      <c r="K285" t="n">
        <v>0</v>
      </c>
      <c r="L285" t="n">
        <v>0</v>
      </c>
      <c r="M285" t="n">
        <v>0</v>
      </c>
      <c r="N285" t="n">
        <v>0</v>
      </c>
      <c r="O285" t="n">
        <v>0</v>
      </c>
      <c r="P285" t="n">
        <v>0</v>
      </c>
      <c r="Q285" t="n">
        <v>0</v>
      </c>
      <c r="R285" s="2" t="inlineStr"/>
    </row>
    <row r="286" ht="15" customHeight="1">
      <c r="A286" t="inlineStr">
        <is>
          <t>A 62754-2025</t>
        </is>
      </c>
      <c r="B286" s="1" t="n">
        <v>46008</v>
      </c>
      <c r="C286" s="1" t="n">
        <v>46176</v>
      </c>
      <c r="D286" t="inlineStr">
        <is>
          <t>GOTLANDS LÄN</t>
        </is>
      </c>
      <c r="E286" t="inlineStr">
        <is>
          <t>GOTLAND</t>
        </is>
      </c>
      <c r="F286" t="inlineStr">
        <is>
          <t>Övriga Aktiebolag</t>
        </is>
      </c>
      <c r="G286" t="n">
        <v>2.9</v>
      </c>
      <c r="H286" t="n">
        <v>0</v>
      </c>
      <c r="I286" t="n">
        <v>0</v>
      </c>
      <c r="J286" t="n">
        <v>0</v>
      </c>
      <c r="K286" t="n">
        <v>0</v>
      </c>
      <c r="L286" t="n">
        <v>0</v>
      </c>
      <c r="M286" t="n">
        <v>0</v>
      </c>
      <c r="N286" t="n">
        <v>0</v>
      </c>
      <c r="O286" t="n">
        <v>0</v>
      </c>
      <c r="P286" t="n">
        <v>0</v>
      </c>
      <c r="Q286" t="n">
        <v>0</v>
      </c>
      <c r="R286" s="2" t="inlineStr"/>
    </row>
    <row r="287" ht="15" customHeight="1">
      <c r="A287" t="inlineStr">
        <is>
          <t>A 35290-2025</t>
        </is>
      </c>
      <c r="B287" s="1" t="n">
        <v>45854.38502314815</v>
      </c>
      <c r="C287" s="1" t="n">
        <v>46176</v>
      </c>
      <c r="D287" t="inlineStr">
        <is>
          <t>GOTLANDS LÄN</t>
        </is>
      </c>
      <c r="E287" t="inlineStr">
        <is>
          <t>GOTLAND</t>
        </is>
      </c>
      <c r="G287" t="n">
        <v>5.4</v>
      </c>
      <c r="H287" t="n">
        <v>0</v>
      </c>
      <c r="I287" t="n">
        <v>0</v>
      </c>
      <c r="J287" t="n">
        <v>0</v>
      </c>
      <c r="K287" t="n">
        <v>0</v>
      </c>
      <c r="L287" t="n">
        <v>0</v>
      </c>
      <c r="M287" t="n">
        <v>0</v>
      </c>
      <c r="N287" t="n">
        <v>0</v>
      </c>
      <c r="O287" t="n">
        <v>0</v>
      </c>
      <c r="P287" t="n">
        <v>0</v>
      </c>
      <c r="Q287" t="n">
        <v>0</v>
      </c>
      <c r="R287" s="2" t="inlineStr"/>
    </row>
    <row r="288" ht="15" customHeight="1">
      <c r="A288" t="inlineStr">
        <is>
          <t>A 39814-2025</t>
        </is>
      </c>
      <c r="B288" s="1" t="n">
        <v>45891.52694444444</v>
      </c>
      <c r="C288" s="1" t="n">
        <v>46176</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13486-2026</t>
        </is>
      </c>
      <c r="B289" s="1" t="n">
        <v>46094</v>
      </c>
      <c r="C289" s="1" t="n">
        <v>46176</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30104-2025</t>
        </is>
      </c>
      <c r="B290" s="1" t="n">
        <v>45826.68806712963</v>
      </c>
      <c r="C290" s="1" t="n">
        <v>46176</v>
      </c>
      <c r="D290" t="inlineStr">
        <is>
          <t>GOTLANDS LÄN</t>
        </is>
      </c>
      <c r="E290" t="inlineStr">
        <is>
          <t>GOTLAND</t>
        </is>
      </c>
      <c r="G290" t="n">
        <v>15.4</v>
      </c>
      <c r="H290" t="n">
        <v>0</v>
      </c>
      <c r="I290" t="n">
        <v>0</v>
      </c>
      <c r="J290" t="n">
        <v>0</v>
      </c>
      <c r="K290" t="n">
        <v>0</v>
      </c>
      <c r="L290" t="n">
        <v>0</v>
      </c>
      <c r="M290" t="n">
        <v>0</v>
      </c>
      <c r="N290" t="n">
        <v>0</v>
      </c>
      <c r="O290" t="n">
        <v>0</v>
      </c>
      <c r="P290" t="n">
        <v>0</v>
      </c>
      <c r="Q290" t="n">
        <v>0</v>
      </c>
      <c r="R290" s="2" t="inlineStr"/>
    </row>
    <row r="291" ht="15" customHeight="1">
      <c r="A291" t="inlineStr">
        <is>
          <t>A 39819-2025</t>
        </is>
      </c>
      <c r="B291" s="1" t="n">
        <v>45891.53418981482</v>
      </c>
      <c r="C291" s="1" t="n">
        <v>46176</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32669-2024</t>
        </is>
      </c>
      <c r="B292" s="1" t="n">
        <v>45514</v>
      </c>
      <c r="C292" s="1" t="n">
        <v>46176</v>
      </c>
      <c r="D292" t="inlineStr">
        <is>
          <t>GOTLANDS LÄN</t>
        </is>
      </c>
      <c r="E292" t="inlineStr">
        <is>
          <t>GOTLAND</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35537-2025</t>
        </is>
      </c>
      <c r="B293" s="1" t="n">
        <v>45856</v>
      </c>
      <c r="C293" s="1" t="n">
        <v>46176</v>
      </c>
      <c r="D293" t="inlineStr">
        <is>
          <t>GOTLANDS LÄN</t>
        </is>
      </c>
      <c r="E293" t="inlineStr">
        <is>
          <t>GOTLAND</t>
        </is>
      </c>
      <c r="G293" t="n">
        <v>16.8</v>
      </c>
      <c r="H293" t="n">
        <v>0</v>
      </c>
      <c r="I293" t="n">
        <v>0</v>
      </c>
      <c r="J293" t="n">
        <v>0</v>
      </c>
      <c r="K293" t="n">
        <v>0</v>
      </c>
      <c r="L293" t="n">
        <v>0</v>
      </c>
      <c r="M293" t="n">
        <v>0</v>
      </c>
      <c r="N293" t="n">
        <v>0</v>
      </c>
      <c r="O293" t="n">
        <v>0</v>
      </c>
      <c r="P293" t="n">
        <v>0</v>
      </c>
      <c r="Q293" t="n">
        <v>0</v>
      </c>
      <c r="R293" s="2" t="inlineStr"/>
    </row>
    <row r="294" ht="15" customHeight="1">
      <c r="A294" t="inlineStr">
        <is>
          <t>A 39752-2025</t>
        </is>
      </c>
      <c r="B294" s="1" t="n">
        <v>45891</v>
      </c>
      <c r="C294" s="1" t="n">
        <v>46176</v>
      </c>
      <c r="D294" t="inlineStr">
        <is>
          <t>GOTLANDS LÄN</t>
        </is>
      </c>
      <c r="E294" t="inlineStr">
        <is>
          <t>GOTLAND</t>
        </is>
      </c>
      <c r="G294" t="n">
        <v>5.3</v>
      </c>
      <c r="H294" t="n">
        <v>0</v>
      </c>
      <c r="I294" t="n">
        <v>0</v>
      </c>
      <c r="J294" t="n">
        <v>0</v>
      </c>
      <c r="K294" t="n">
        <v>0</v>
      </c>
      <c r="L294" t="n">
        <v>0</v>
      </c>
      <c r="M294" t="n">
        <v>0</v>
      </c>
      <c r="N294" t="n">
        <v>0</v>
      </c>
      <c r="O294" t="n">
        <v>0</v>
      </c>
      <c r="P294" t="n">
        <v>0</v>
      </c>
      <c r="Q294" t="n">
        <v>0</v>
      </c>
      <c r="R294" s="2" t="inlineStr"/>
    </row>
    <row r="295" ht="15" customHeight="1">
      <c r="A295" t="inlineStr">
        <is>
          <t>A 39816-2025</t>
        </is>
      </c>
      <c r="B295" s="1" t="n">
        <v>45891</v>
      </c>
      <c r="C295" s="1" t="n">
        <v>46176</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40372-2025</t>
        </is>
      </c>
      <c r="B296" s="1" t="n">
        <v>45895.5162037037</v>
      </c>
      <c r="C296" s="1" t="n">
        <v>46176</v>
      </c>
      <c r="D296" t="inlineStr">
        <is>
          <t>GOTLANDS LÄN</t>
        </is>
      </c>
      <c r="E296" t="inlineStr">
        <is>
          <t>GOTLAND</t>
        </is>
      </c>
      <c r="G296" t="n">
        <v>3.3</v>
      </c>
      <c r="H296" t="n">
        <v>0</v>
      </c>
      <c r="I296" t="n">
        <v>0</v>
      </c>
      <c r="J296" t="n">
        <v>0</v>
      </c>
      <c r="K296" t="n">
        <v>0</v>
      </c>
      <c r="L296" t="n">
        <v>0</v>
      </c>
      <c r="M296" t="n">
        <v>0</v>
      </c>
      <c r="N296" t="n">
        <v>0</v>
      </c>
      <c r="O296" t="n">
        <v>0</v>
      </c>
      <c r="P296" t="n">
        <v>0</v>
      </c>
      <c r="Q296" t="n">
        <v>0</v>
      </c>
      <c r="R296" s="2" t="inlineStr"/>
    </row>
    <row r="297" ht="15" customHeight="1">
      <c r="A297" t="inlineStr">
        <is>
          <t>A 40373-2025</t>
        </is>
      </c>
      <c r="B297" s="1" t="n">
        <v>45895.51821759259</v>
      </c>
      <c r="C297" s="1" t="n">
        <v>46176</v>
      </c>
      <c r="D297" t="inlineStr">
        <is>
          <t>GOTLANDS LÄN</t>
        </is>
      </c>
      <c r="E297" t="inlineStr">
        <is>
          <t>GOTLAND</t>
        </is>
      </c>
      <c r="G297" t="n">
        <v>0.6</v>
      </c>
      <c r="H297" t="n">
        <v>0</v>
      </c>
      <c r="I297" t="n">
        <v>0</v>
      </c>
      <c r="J297" t="n">
        <v>0</v>
      </c>
      <c r="K297" t="n">
        <v>0</v>
      </c>
      <c r="L297" t="n">
        <v>0</v>
      </c>
      <c r="M297" t="n">
        <v>0</v>
      </c>
      <c r="N297" t="n">
        <v>0</v>
      </c>
      <c r="O297" t="n">
        <v>0</v>
      </c>
      <c r="P297" t="n">
        <v>0</v>
      </c>
      <c r="Q297" t="n">
        <v>0</v>
      </c>
      <c r="R297" s="2" t="inlineStr"/>
    </row>
    <row r="298" ht="15" customHeight="1">
      <c r="A298" t="inlineStr">
        <is>
          <t>A 40103-2025</t>
        </is>
      </c>
      <c r="B298" s="1" t="n">
        <v>45894.4880324074</v>
      </c>
      <c r="C298" s="1" t="n">
        <v>46176</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60709-2023</t>
        </is>
      </c>
      <c r="B299" s="1" t="n">
        <v>45260</v>
      </c>
      <c r="C299" s="1" t="n">
        <v>46176</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40499-2025</t>
        </is>
      </c>
      <c r="B300" s="1" t="n">
        <v>45896.32517361111</v>
      </c>
      <c r="C300" s="1" t="n">
        <v>46176</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30488-2025</t>
        </is>
      </c>
      <c r="B301" s="1" t="n">
        <v>45830</v>
      </c>
      <c r="C301" s="1" t="n">
        <v>46176</v>
      </c>
      <c r="D301" t="inlineStr">
        <is>
          <t>GOTLANDS LÄN</t>
        </is>
      </c>
      <c r="E301" t="inlineStr">
        <is>
          <t>GOTLAND</t>
        </is>
      </c>
      <c r="F301" t="inlineStr">
        <is>
          <t>Kyrkan</t>
        </is>
      </c>
      <c r="G301" t="n">
        <v>3.9</v>
      </c>
      <c r="H301" t="n">
        <v>0</v>
      </c>
      <c r="I301" t="n">
        <v>0</v>
      </c>
      <c r="J301" t="n">
        <v>0</v>
      </c>
      <c r="K301" t="n">
        <v>0</v>
      </c>
      <c r="L301" t="n">
        <v>0</v>
      </c>
      <c r="M301" t="n">
        <v>0</v>
      </c>
      <c r="N301" t="n">
        <v>0</v>
      </c>
      <c r="O301" t="n">
        <v>0</v>
      </c>
      <c r="P301" t="n">
        <v>0</v>
      </c>
      <c r="Q301" t="n">
        <v>0</v>
      </c>
      <c r="R301" s="2" t="inlineStr"/>
    </row>
    <row r="302" ht="15" customHeight="1">
      <c r="A302" t="inlineStr">
        <is>
          <t>A 15216-2025</t>
        </is>
      </c>
      <c r="B302" s="1" t="n">
        <v>45744</v>
      </c>
      <c r="C302" s="1" t="n">
        <v>46176</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15001-2025</t>
        </is>
      </c>
      <c r="B303" s="1" t="n">
        <v>45743</v>
      </c>
      <c r="C303" s="1" t="n">
        <v>46176</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43790-2024</t>
        </is>
      </c>
      <c r="B304" s="1" t="n">
        <v>45571</v>
      </c>
      <c r="C304" s="1" t="n">
        <v>46176</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17847-2025</t>
        </is>
      </c>
      <c r="B305" s="1" t="n">
        <v>45758</v>
      </c>
      <c r="C305" s="1" t="n">
        <v>46176</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18742-2025</t>
        </is>
      </c>
      <c r="B306" s="1" t="n">
        <v>45763</v>
      </c>
      <c r="C306" s="1" t="n">
        <v>46176</v>
      </c>
      <c r="D306" t="inlineStr">
        <is>
          <t>GOTLANDS LÄN</t>
        </is>
      </c>
      <c r="E306" t="inlineStr">
        <is>
          <t>GOTLAND</t>
        </is>
      </c>
      <c r="G306" t="n">
        <v>3.4</v>
      </c>
      <c r="H306" t="n">
        <v>0</v>
      </c>
      <c r="I306" t="n">
        <v>0</v>
      </c>
      <c r="J306" t="n">
        <v>0</v>
      </c>
      <c r="K306" t="n">
        <v>0</v>
      </c>
      <c r="L306" t="n">
        <v>0</v>
      </c>
      <c r="M306" t="n">
        <v>0</v>
      </c>
      <c r="N306" t="n">
        <v>0</v>
      </c>
      <c r="O306" t="n">
        <v>0</v>
      </c>
      <c r="P306" t="n">
        <v>0</v>
      </c>
      <c r="Q306" t="n">
        <v>0</v>
      </c>
      <c r="R306" s="2" t="inlineStr"/>
    </row>
    <row r="307" ht="15" customHeight="1">
      <c r="A307" t="inlineStr">
        <is>
          <t>A 35129-2025</t>
        </is>
      </c>
      <c r="B307" s="1" t="n">
        <v>45852.63224537037</v>
      </c>
      <c r="C307" s="1" t="n">
        <v>46176</v>
      </c>
      <c r="D307" t="inlineStr">
        <is>
          <t>GOTLANDS LÄN</t>
        </is>
      </c>
      <c r="E307" t="inlineStr">
        <is>
          <t>GOTLAND</t>
        </is>
      </c>
      <c r="G307" t="n">
        <v>3.2</v>
      </c>
      <c r="H307" t="n">
        <v>0</v>
      </c>
      <c r="I307" t="n">
        <v>0</v>
      </c>
      <c r="J307" t="n">
        <v>0</v>
      </c>
      <c r="K307" t="n">
        <v>0</v>
      </c>
      <c r="L307" t="n">
        <v>0</v>
      </c>
      <c r="M307" t="n">
        <v>0</v>
      </c>
      <c r="N307" t="n">
        <v>0</v>
      </c>
      <c r="O307" t="n">
        <v>0</v>
      </c>
      <c r="P307" t="n">
        <v>0</v>
      </c>
      <c r="Q307" t="n">
        <v>0</v>
      </c>
      <c r="R307" s="2" t="inlineStr"/>
    </row>
    <row r="308" ht="15" customHeight="1">
      <c r="A308" t="inlineStr">
        <is>
          <t>A 41551-2025</t>
        </is>
      </c>
      <c r="B308" s="1" t="n">
        <v>45901.58854166666</v>
      </c>
      <c r="C308" s="1" t="n">
        <v>46176</v>
      </c>
      <c r="D308" t="inlineStr">
        <is>
          <t>GOTLANDS LÄN</t>
        </is>
      </c>
      <c r="E308" t="inlineStr">
        <is>
          <t>GOTLAND</t>
        </is>
      </c>
      <c r="G308" t="n">
        <v>5.6</v>
      </c>
      <c r="H308" t="n">
        <v>0</v>
      </c>
      <c r="I308" t="n">
        <v>0</v>
      </c>
      <c r="J308" t="n">
        <v>0</v>
      </c>
      <c r="K308" t="n">
        <v>0</v>
      </c>
      <c r="L308" t="n">
        <v>0</v>
      </c>
      <c r="M308" t="n">
        <v>0</v>
      </c>
      <c r="N308" t="n">
        <v>0</v>
      </c>
      <c r="O308" t="n">
        <v>0</v>
      </c>
      <c r="P308" t="n">
        <v>0</v>
      </c>
      <c r="Q308" t="n">
        <v>0</v>
      </c>
      <c r="R308" s="2" t="inlineStr"/>
    </row>
    <row r="309" ht="15" customHeight="1">
      <c r="A309" t="inlineStr">
        <is>
          <t>A 1000-2024</t>
        </is>
      </c>
      <c r="B309" s="1" t="n">
        <v>45301.63371527778</v>
      </c>
      <c r="C309" s="1" t="n">
        <v>46176</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39278-2025</t>
        </is>
      </c>
      <c r="B310" s="1" t="n">
        <v>45889</v>
      </c>
      <c r="C310" s="1" t="n">
        <v>46176</v>
      </c>
      <c r="D310" t="inlineStr">
        <is>
          <t>GOTLANDS LÄN</t>
        </is>
      </c>
      <c r="E310" t="inlineStr">
        <is>
          <t>GOTLAND</t>
        </is>
      </c>
      <c r="G310" t="n">
        <v>3.7</v>
      </c>
      <c r="H310" t="n">
        <v>0</v>
      </c>
      <c r="I310" t="n">
        <v>0</v>
      </c>
      <c r="J310" t="n">
        <v>0</v>
      </c>
      <c r="K310" t="n">
        <v>0</v>
      </c>
      <c r="L310" t="n">
        <v>0</v>
      </c>
      <c r="M310" t="n">
        <v>0</v>
      </c>
      <c r="N310" t="n">
        <v>0</v>
      </c>
      <c r="O310" t="n">
        <v>0</v>
      </c>
      <c r="P310" t="n">
        <v>0</v>
      </c>
      <c r="Q310" t="n">
        <v>0</v>
      </c>
      <c r="R310" s="2" t="inlineStr"/>
    </row>
    <row r="311" ht="15" customHeight="1">
      <c r="A311" t="inlineStr">
        <is>
          <t>A 1010-2024</t>
        </is>
      </c>
      <c r="B311" s="1" t="n">
        <v>45301</v>
      </c>
      <c r="C311" s="1" t="n">
        <v>46176</v>
      </c>
      <c r="D311" t="inlineStr">
        <is>
          <t>GOTLANDS LÄN</t>
        </is>
      </c>
      <c r="E311" t="inlineStr">
        <is>
          <t>GOTLAND</t>
        </is>
      </c>
      <c r="G311" t="n">
        <v>2.4</v>
      </c>
      <c r="H311" t="n">
        <v>0</v>
      </c>
      <c r="I311" t="n">
        <v>0</v>
      </c>
      <c r="J311" t="n">
        <v>0</v>
      </c>
      <c r="K311" t="n">
        <v>0</v>
      </c>
      <c r="L311" t="n">
        <v>0</v>
      </c>
      <c r="M311" t="n">
        <v>0</v>
      </c>
      <c r="N311" t="n">
        <v>0</v>
      </c>
      <c r="O311" t="n">
        <v>0</v>
      </c>
      <c r="P311" t="n">
        <v>0</v>
      </c>
      <c r="Q311" t="n">
        <v>0</v>
      </c>
      <c r="R311" s="2" t="inlineStr"/>
    </row>
    <row r="312" ht="15" customHeight="1">
      <c r="A312" t="inlineStr">
        <is>
          <t>A 65249-2023</t>
        </is>
      </c>
      <c r="B312" s="1" t="n">
        <v>45290</v>
      </c>
      <c r="C312" s="1" t="n">
        <v>46176</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41435-2025</t>
        </is>
      </c>
      <c r="B313" s="1" t="n">
        <v>45901.39974537037</v>
      </c>
      <c r="C313" s="1" t="n">
        <v>46176</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14840-2026</t>
        </is>
      </c>
      <c r="B314" s="1" t="n">
        <v>46104.39498842593</v>
      </c>
      <c r="C314" s="1" t="n">
        <v>46176</v>
      </c>
      <c r="D314" t="inlineStr">
        <is>
          <t>GOTLANDS LÄN</t>
        </is>
      </c>
      <c r="E314" t="inlineStr">
        <is>
          <t>GOTLAND</t>
        </is>
      </c>
      <c r="G314" t="n">
        <v>2.5</v>
      </c>
      <c r="H314" t="n">
        <v>0</v>
      </c>
      <c r="I314" t="n">
        <v>0</v>
      </c>
      <c r="J314" t="n">
        <v>0</v>
      </c>
      <c r="K314" t="n">
        <v>0</v>
      </c>
      <c r="L314" t="n">
        <v>0</v>
      </c>
      <c r="M314" t="n">
        <v>0</v>
      </c>
      <c r="N314" t="n">
        <v>0</v>
      </c>
      <c r="O314" t="n">
        <v>0</v>
      </c>
      <c r="P314" t="n">
        <v>0</v>
      </c>
      <c r="Q314" t="n">
        <v>0</v>
      </c>
      <c r="R314" s="2" t="inlineStr"/>
    </row>
    <row r="315" ht="15" customHeight="1">
      <c r="A315" t="inlineStr">
        <is>
          <t>A 30956-2024</t>
        </is>
      </c>
      <c r="B315" s="1" t="n">
        <v>45499.42527777778</v>
      </c>
      <c r="C315" s="1" t="n">
        <v>46176</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12596-2023</t>
        </is>
      </c>
      <c r="B316" s="1" t="n">
        <v>45000.43310185185</v>
      </c>
      <c r="C316" s="1" t="n">
        <v>46176</v>
      </c>
      <c r="D316" t="inlineStr">
        <is>
          <t>GOTLANDS LÄN</t>
        </is>
      </c>
      <c r="E316" t="inlineStr">
        <is>
          <t>GOTLAND</t>
        </is>
      </c>
      <c r="G316" t="n">
        <v>4.1</v>
      </c>
      <c r="H316" t="n">
        <v>0</v>
      </c>
      <c r="I316" t="n">
        <v>0</v>
      </c>
      <c r="J316" t="n">
        <v>0</v>
      </c>
      <c r="K316" t="n">
        <v>0</v>
      </c>
      <c r="L316" t="n">
        <v>0</v>
      </c>
      <c r="M316" t="n">
        <v>0</v>
      </c>
      <c r="N316" t="n">
        <v>0</v>
      </c>
      <c r="O316" t="n">
        <v>0</v>
      </c>
      <c r="P316" t="n">
        <v>0</v>
      </c>
      <c r="Q316" t="n">
        <v>0</v>
      </c>
      <c r="R316" s="2" t="inlineStr"/>
    </row>
    <row r="317" ht="15" customHeight="1">
      <c r="A317" t="inlineStr">
        <is>
          <t>A 8045-2022</t>
        </is>
      </c>
      <c r="B317" s="1" t="n">
        <v>44609</v>
      </c>
      <c r="C317" s="1" t="n">
        <v>46176</v>
      </c>
      <c r="D317" t="inlineStr">
        <is>
          <t>GOTLANDS LÄN</t>
        </is>
      </c>
      <c r="E317" t="inlineStr">
        <is>
          <t>GOTLAND</t>
        </is>
      </c>
      <c r="G317" t="n">
        <v>7</v>
      </c>
      <c r="H317" t="n">
        <v>0</v>
      </c>
      <c r="I317" t="n">
        <v>0</v>
      </c>
      <c r="J317" t="n">
        <v>0</v>
      </c>
      <c r="K317" t="n">
        <v>0</v>
      </c>
      <c r="L317" t="n">
        <v>0</v>
      </c>
      <c r="M317" t="n">
        <v>0</v>
      </c>
      <c r="N317" t="n">
        <v>0</v>
      </c>
      <c r="O317" t="n">
        <v>0</v>
      </c>
      <c r="P317" t="n">
        <v>0</v>
      </c>
      <c r="Q317" t="n">
        <v>0</v>
      </c>
      <c r="R317" s="2" t="inlineStr"/>
    </row>
    <row r="318" ht="15" customHeight="1">
      <c r="A318" t="inlineStr">
        <is>
          <t>A 42608-2025</t>
        </is>
      </c>
      <c r="B318" s="1" t="n">
        <v>45905</v>
      </c>
      <c r="C318" s="1" t="n">
        <v>46176</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30489-2025</t>
        </is>
      </c>
      <c r="B319" s="1" t="n">
        <v>45830</v>
      </c>
      <c r="C319" s="1" t="n">
        <v>46176</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21142-2025</t>
        </is>
      </c>
      <c r="B320" s="1" t="n">
        <v>45779</v>
      </c>
      <c r="C320" s="1" t="n">
        <v>46176</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6108-2025</t>
        </is>
      </c>
      <c r="B321" s="1" t="n">
        <v>45698.29880787037</v>
      </c>
      <c r="C321" s="1" t="n">
        <v>46176</v>
      </c>
      <c r="D321" t="inlineStr">
        <is>
          <t>GOTLANDS LÄN</t>
        </is>
      </c>
      <c r="E321" t="inlineStr">
        <is>
          <t>GOTLAND</t>
        </is>
      </c>
      <c r="G321" t="n">
        <v>2.8</v>
      </c>
      <c r="H321" t="n">
        <v>0</v>
      </c>
      <c r="I321" t="n">
        <v>0</v>
      </c>
      <c r="J321" t="n">
        <v>0</v>
      </c>
      <c r="K321" t="n">
        <v>0</v>
      </c>
      <c r="L321" t="n">
        <v>0</v>
      </c>
      <c r="M321" t="n">
        <v>0</v>
      </c>
      <c r="N321" t="n">
        <v>0</v>
      </c>
      <c r="O321" t="n">
        <v>0</v>
      </c>
      <c r="P321" t="n">
        <v>0</v>
      </c>
      <c r="Q321" t="n">
        <v>0</v>
      </c>
      <c r="R321" s="2" t="inlineStr"/>
    </row>
    <row r="322" ht="15" customHeight="1">
      <c r="A322" t="inlineStr">
        <is>
          <t>A 17343-2025</t>
        </is>
      </c>
      <c r="B322" s="1" t="n">
        <v>45756.6687037037</v>
      </c>
      <c r="C322" s="1" t="n">
        <v>46176</v>
      </c>
      <c r="D322" t="inlineStr">
        <is>
          <t>GOTLANDS LÄN</t>
        </is>
      </c>
      <c r="E322" t="inlineStr">
        <is>
          <t>GOTLAND</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21396-2026</t>
        </is>
      </c>
      <c r="B323" s="1" t="n">
        <v>46148.30710648148</v>
      </c>
      <c r="C323" s="1" t="n">
        <v>46176</v>
      </c>
      <c r="D323" t="inlineStr">
        <is>
          <t>GOTLANDS LÄN</t>
        </is>
      </c>
      <c r="E323" t="inlineStr">
        <is>
          <t>GOTLAND</t>
        </is>
      </c>
      <c r="G323" t="n">
        <v>6.1</v>
      </c>
      <c r="H323" t="n">
        <v>0</v>
      </c>
      <c r="I323" t="n">
        <v>0</v>
      </c>
      <c r="J323" t="n">
        <v>0</v>
      </c>
      <c r="K323" t="n">
        <v>0</v>
      </c>
      <c r="L323" t="n">
        <v>0</v>
      </c>
      <c r="M323" t="n">
        <v>0</v>
      </c>
      <c r="N323" t="n">
        <v>0</v>
      </c>
      <c r="O323" t="n">
        <v>0</v>
      </c>
      <c r="P323" t="n">
        <v>0</v>
      </c>
      <c r="Q323" t="n">
        <v>0</v>
      </c>
      <c r="R323" s="2" t="inlineStr"/>
    </row>
    <row r="324" ht="15" customHeight="1">
      <c r="A324" t="inlineStr">
        <is>
          <t>A 18938-2025</t>
        </is>
      </c>
      <c r="B324" s="1" t="n">
        <v>45764.49172453704</v>
      </c>
      <c r="C324" s="1" t="n">
        <v>46176</v>
      </c>
      <c r="D324" t="inlineStr">
        <is>
          <t>GOTLANDS LÄN</t>
        </is>
      </c>
      <c r="E324" t="inlineStr">
        <is>
          <t>GOTLAND</t>
        </is>
      </c>
      <c r="G324" t="n">
        <v>1.1</v>
      </c>
      <c r="H324" t="n">
        <v>0</v>
      </c>
      <c r="I324" t="n">
        <v>0</v>
      </c>
      <c r="J324" t="n">
        <v>0</v>
      </c>
      <c r="K324" t="n">
        <v>0</v>
      </c>
      <c r="L324" t="n">
        <v>0</v>
      </c>
      <c r="M324" t="n">
        <v>0</v>
      </c>
      <c r="N324" t="n">
        <v>0</v>
      </c>
      <c r="O324" t="n">
        <v>0</v>
      </c>
      <c r="P324" t="n">
        <v>0</v>
      </c>
      <c r="Q324" t="n">
        <v>0</v>
      </c>
      <c r="R324" s="2" t="inlineStr"/>
    </row>
    <row r="325" ht="15" customHeight="1">
      <c r="A325" t="inlineStr">
        <is>
          <t>A 16373-2025</t>
        </is>
      </c>
      <c r="B325" s="1" t="n">
        <v>45751</v>
      </c>
      <c r="C325" s="1" t="n">
        <v>46176</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20307-2025</t>
        </is>
      </c>
      <c r="B326" s="1" t="n">
        <v>45774.95546296296</v>
      </c>
      <c r="C326" s="1" t="n">
        <v>46176</v>
      </c>
      <c r="D326" t="inlineStr">
        <is>
          <t>GOTLANDS LÄN</t>
        </is>
      </c>
      <c r="E326" t="inlineStr">
        <is>
          <t>GOTLAND</t>
        </is>
      </c>
      <c r="G326" t="n">
        <v>6.8</v>
      </c>
      <c r="H326" t="n">
        <v>0</v>
      </c>
      <c r="I326" t="n">
        <v>0</v>
      </c>
      <c r="J326" t="n">
        <v>0</v>
      </c>
      <c r="K326" t="n">
        <v>0</v>
      </c>
      <c r="L326" t="n">
        <v>0</v>
      </c>
      <c r="M326" t="n">
        <v>0</v>
      </c>
      <c r="N326" t="n">
        <v>0</v>
      </c>
      <c r="O326" t="n">
        <v>0</v>
      </c>
      <c r="P326" t="n">
        <v>0</v>
      </c>
      <c r="Q326" t="n">
        <v>0</v>
      </c>
      <c r="R326" s="2" t="inlineStr"/>
    </row>
    <row r="327" ht="15" customHeight="1">
      <c r="A327" t="inlineStr">
        <is>
          <t>A 999-2024</t>
        </is>
      </c>
      <c r="B327" s="1" t="n">
        <v>45301</v>
      </c>
      <c r="C327" s="1" t="n">
        <v>46176</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65901-2021</t>
        </is>
      </c>
      <c r="B328" s="1" t="n">
        <v>44516</v>
      </c>
      <c r="C328" s="1" t="n">
        <v>46176</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47762-2023</t>
        </is>
      </c>
      <c r="B329" s="1" t="n">
        <v>45203.86256944444</v>
      </c>
      <c r="C329" s="1" t="n">
        <v>46176</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40294-2022</t>
        </is>
      </c>
      <c r="B330" s="1" t="n">
        <v>44821</v>
      </c>
      <c r="C330" s="1" t="n">
        <v>46176</v>
      </c>
      <c r="D330" t="inlineStr">
        <is>
          <t>GOTLANDS LÄN</t>
        </is>
      </c>
      <c r="E330" t="inlineStr">
        <is>
          <t>GOTLAND</t>
        </is>
      </c>
      <c r="G330" t="n">
        <v>1.6</v>
      </c>
      <c r="H330" t="n">
        <v>0</v>
      </c>
      <c r="I330" t="n">
        <v>0</v>
      </c>
      <c r="J330" t="n">
        <v>0</v>
      </c>
      <c r="K330" t="n">
        <v>0</v>
      </c>
      <c r="L330" t="n">
        <v>0</v>
      </c>
      <c r="M330" t="n">
        <v>0</v>
      </c>
      <c r="N330" t="n">
        <v>0</v>
      </c>
      <c r="O330" t="n">
        <v>0</v>
      </c>
      <c r="P330" t="n">
        <v>0</v>
      </c>
      <c r="Q330" t="n">
        <v>0</v>
      </c>
      <c r="R330" s="2" t="inlineStr"/>
    </row>
    <row r="331" ht="15" customHeight="1">
      <c r="A331" t="inlineStr">
        <is>
          <t>A 4662-2026</t>
        </is>
      </c>
      <c r="B331" s="1" t="n">
        <v>46048.40949074074</v>
      </c>
      <c r="C331" s="1" t="n">
        <v>46176</v>
      </c>
      <c r="D331" t="inlineStr">
        <is>
          <t>GOTLANDS LÄN</t>
        </is>
      </c>
      <c r="E331" t="inlineStr">
        <is>
          <t>GOTLAND</t>
        </is>
      </c>
      <c r="G331" t="n">
        <v>7.6</v>
      </c>
      <c r="H331" t="n">
        <v>0</v>
      </c>
      <c r="I331" t="n">
        <v>0</v>
      </c>
      <c r="J331" t="n">
        <v>0</v>
      </c>
      <c r="K331" t="n">
        <v>0</v>
      </c>
      <c r="L331" t="n">
        <v>0</v>
      </c>
      <c r="M331" t="n">
        <v>0</v>
      </c>
      <c r="N331" t="n">
        <v>0</v>
      </c>
      <c r="O331" t="n">
        <v>0</v>
      </c>
      <c r="P331" t="n">
        <v>0</v>
      </c>
      <c r="Q331" t="n">
        <v>0</v>
      </c>
      <c r="R331" s="2" t="inlineStr"/>
    </row>
    <row r="332" ht="15" customHeight="1">
      <c r="A332" t="inlineStr">
        <is>
          <t>A 27602-2023</t>
        </is>
      </c>
      <c r="B332" s="1" t="n">
        <v>45097</v>
      </c>
      <c r="C332" s="1" t="n">
        <v>46176</v>
      </c>
      <c r="D332" t="inlineStr">
        <is>
          <t>GOTLANDS LÄN</t>
        </is>
      </c>
      <c r="E332" t="inlineStr">
        <is>
          <t>GOTLAND</t>
        </is>
      </c>
      <c r="G332" t="n">
        <v>2.7</v>
      </c>
      <c r="H332" t="n">
        <v>0</v>
      </c>
      <c r="I332" t="n">
        <v>0</v>
      </c>
      <c r="J332" t="n">
        <v>0</v>
      </c>
      <c r="K332" t="n">
        <v>0</v>
      </c>
      <c r="L332" t="n">
        <v>0</v>
      </c>
      <c r="M332" t="n">
        <v>0</v>
      </c>
      <c r="N332" t="n">
        <v>0</v>
      </c>
      <c r="O332" t="n">
        <v>0</v>
      </c>
      <c r="P332" t="n">
        <v>0</v>
      </c>
      <c r="Q332" t="n">
        <v>0</v>
      </c>
      <c r="R332" s="2" t="inlineStr"/>
    </row>
    <row r="333" ht="15" customHeight="1">
      <c r="A333" t="inlineStr">
        <is>
          <t>A 58780-2024</t>
        </is>
      </c>
      <c r="B333" s="1" t="n">
        <v>45635.84113425926</v>
      </c>
      <c r="C333" s="1" t="n">
        <v>46176</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12322-2025</t>
        </is>
      </c>
      <c r="B334" s="1" t="n">
        <v>45730</v>
      </c>
      <c r="C334" s="1" t="n">
        <v>46176</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10158-2025</t>
        </is>
      </c>
      <c r="B335" s="1" t="n">
        <v>45719</v>
      </c>
      <c r="C335" s="1" t="n">
        <v>46176</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18993-2025</t>
        </is>
      </c>
      <c r="B336" s="1" t="n">
        <v>45764</v>
      </c>
      <c r="C336" s="1" t="n">
        <v>46176</v>
      </c>
      <c r="D336" t="inlineStr">
        <is>
          <t>GOTLANDS LÄN</t>
        </is>
      </c>
      <c r="E336" t="inlineStr">
        <is>
          <t>GOTLAND</t>
        </is>
      </c>
      <c r="G336" t="n">
        <v>3</v>
      </c>
      <c r="H336" t="n">
        <v>0</v>
      </c>
      <c r="I336" t="n">
        <v>0</v>
      </c>
      <c r="J336" t="n">
        <v>0</v>
      </c>
      <c r="K336" t="n">
        <v>0</v>
      </c>
      <c r="L336" t="n">
        <v>0</v>
      </c>
      <c r="M336" t="n">
        <v>0</v>
      </c>
      <c r="N336" t="n">
        <v>0</v>
      </c>
      <c r="O336" t="n">
        <v>0</v>
      </c>
      <c r="P336" t="n">
        <v>0</v>
      </c>
      <c r="Q336" t="n">
        <v>0</v>
      </c>
      <c r="R336" s="2" t="inlineStr"/>
    </row>
    <row r="337" ht="15" customHeight="1">
      <c r="A337" t="inlineStr">
        <is>
          <t>A 30135-2025</t>
        </is>
      </c>
      <c r="B337" s="1" t="n">
        <v>45826</v>
      </c>
      <c r="C337" s="1" t="n">
        <v>46176</v>
      </c>
      <c r="D337" t="inlineStr">
        <is>
          <t>GOTLANDS LÄN</t>
        </is>
      </c>
      <c r="E337" t="inlineStr">
        <is>
          <t>GOTLAND</t>
        </is>
      </c>
      <c r="G337" t="n">
        <v>2.7</v>
      </c>
      <c r="H337" t="n">
        <v>0</v>
      </c>
      <c r="I337" t="n">
        <v>0</v>
      </c>
      <c r="J337" t="n">
        <v>0</v>
      </c>
      <c r="K337" t="n">
        <v>0</v>
      </c>
      <c r="L337" t="n">
        <v>0</v>
      </c>
      <c r="M337" t="n">
        <v>0</v>
      </c>
      <c r="N337" t="n">
        <v>0</v>
      </c>
      <c r="O337" t="n">
        <v>0</v>
      </c>
      <c r="P337" t="n">
        <v>0</v>
      </c>
      <c r="Q337" t="n">
        <v>0</v>
      </c>
      <c r="R337" s="2" t="inlineStr"/>
    </row>
    <row r="338" ht="15" customHeight="1">
      <c r="A338" t="inlineStr">
        <is>
          <t>A 1854-2026</t>
        </is>
      </c>
      <c r="B338" s="1" t="n">
        <v>46035.4171875</v>
      </c>
      <c r="C338" s="1" t="n">
        <v>46176</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24192-2023</t>
        </is>
      </c>
      <c r="B339" s="1" t="n">
        <v>45079</v>
      </c>
      <c r="C339" s="1" t="n">
        <v>46176</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22351-2026</t>
        </is>
      </c>
      <c r="B340" s="1" t="n">
        <v>46154.58350694444</v>
      </c>
      <c r="C340" s="1" t="n">
        <v>46176</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22348-2026</t>
        </is>
      </c>
      <c r="B341" s="1" t="n">
        <v>46154.58071759259</v>
      </c>
      <c r="C341" s="1" t="n">
        <v>46176</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30282-2022</t>
        </is>
      </c>
      <c r="B342" s="1" t="n">
        <v>44760</v>
      </c>
      <c r="C342" s="1" t="n">
        <v>46176</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7835-2024</t>
        </is>
      </c>
      <c r="B343" s="1" t="n">
        <v>45349.83138888889</v>
      </c>
      <c r="C343" s="1" t="n">
        <v>46176</v>
      </c>
      <c r="D343" t="inlineStr">
        <is>
          <t>GOTLANDS LÄN</t>
        </is>
      </c>
      <c r="E343" t="inlineStr">
        <is>
          <t>GOTLAND</t>
        </is>
      </c>
      <c r="G343" t="n">
        <v>3.8</v>
      </c>
      <c r="H343" t="n">
        <v>0</v>
      </c>
      <c r="I343" t="n">
        <v>0</v>
      </c>
      <c r="J343" t="n">
        <v>0</v>
      </c>
      <c r="K343" t="n">
        <v>0</v>
      </c>
      <c r="L343" t="n">
        <v>0</v>
      </c>
      <c r="M343" t="n">
        <v>0</v>
      </c>
      <c r="N343" t="n">
        <v>0</v>
      </c>
      <c r="O343" t="n">
        <v>0</v>
      </c>
      <c r="P343" t="n">
        <v>0</v>
      </c>
      <c r="Q343" t="n">
        <v>0</v>
      </c>
      <c r="R343" s="2" t="inlineStr"/>
    </row>
    <row r="344" ht="15" customHeight="1">
      <c r="A344" t="inlineStr">
        <is>
          <t>A 43911-2025</t>
        </is>
      </c>
      <c r="B344" s="1" t="n">
        <v>45914.3881712963</v>
      </c>
      <c r="C344" s="1" t="n">
        <v>46176</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10650-2022</t>
        </is>
      </c>
      <c r="B345" s="1" t="n">
        <v>44624.57945601852</v>
      </c>
      <c r="C345" s="1" t="n">
        <v>46176</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12599-2025</t>
        </is>
      </c>
      <c r="B346" s="1" t="n">
        <v>45733.29546296296</v>
      </c>
      <c r="C346" s="1" t="n">
        <v>46176</v>
      </c>
      <c r="D346" t="inlineStr">
        <is>
          <t>GOTLANDS LÄN</t>
        </is>
      </c>
      <c r="E346" t="inlineStr">
        <is>
          <t>GOTLAND</t>
        </is>
      </c>
      <c r="G346" t="n">
        <v>4.7</v>
      </c>
      <c r="H346" t="n">
        <v>0</v>
      </c>
      <c r="I346" t="n">
        <v>0</v>
      </c>
      <c r="J346" t="n">
        <v>0</v>
      </c>
      <c r="K346" t="n">
        <v>0</v>
      </c>
      <c r="L346" t="n">
        <v>0</v>
      </c>
      <c r="M346" t="n">
        <v>0</v>
      </c>
      <c r="N346" t="n">
        <v>0</v>
      </c>
      <c r="O346" t="n">
        <v>0</v>
      </c>
      <c r="P346" t="n">
        <v>0</v>
      </c>
      <c r="Q346" t="n">
        <v>0</v>
      </c>
      <c r="R346" s="2" t="inlineStr"/>
    </row>
    <row r="347" ht="15" customHeight="1">
      <c r="A347" t="inlineStr">
        <is>
          <t>A 22275-2026</t>
        </is>
      </c>
      <c r="B347" s="1" t="n">
        <v>46154.41924768518</v>
      </c>
      <c r="C347" s="1" t="n">
        <v>46176</v>
      </c>
      <c r="D347" t="inlineStr">
        <is>
          <t>GOTLANDS LÄN</t>
        </is>
      </c>
      <c r="E347" t="inlineStr">
        <is>
          <t>GOTLAND</t>
        </is>
      </c>
      <c r="G347" t="n">
        <v>3.7</v>
      </c>
      <c r="H347" t="n">
        <v>0</v>
      </c>
      <c r="I347" t="n">
        <v>0</v>
      </c>
      <c r="J347" t="n">
        <v>0</v>
      </c>
      <c r="K347" t="n">
        <v>0</v>
      </c>
      <c r="L347" t="n">
        <v>0</v>
      </c>
      <c r="M347" t="n">
        <v>0</v>
      </c>
      <c r="N347" t="n">
        <v>0</v>
      </c>
      <c r="O347" t="n">
        <v>0</v>
      </c>
      <c r="P347" t="n">
        <v>0</v>
      </c>
      <c r="Q347" t="n">
        <v>0</v>
      </c>
      <c r="R347" s="2" t="inlineStr"/>
    </row>
    <row r="348" ht="15" customHeight="1">
      <c r="A348" t="inlineStr">
        <is>
          <t>A 28425-2023</t>
        </is>
      </c>
      <c r="B348" s="1" t="n">
        <v>45102</v>
      </c>
      <c r="C348" s="1" t="n">
        <v>46176</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17000-2026</t>
        </is>
      </c>
      <c r="B349" s="1" t="n">
        <v>46114.42690972222</v>
      </c>
      <c r="C349" s="1" t="n">
        <v>46176</v>
      </c>
      <c r="D349" t="inlineStr">
        <is>
          <t>GOTLANDS LÄN</t>
        </is>
      </c>
      <c r="E349" t="inlineStr">
        <is>
          <t>GOTLAND</t>
        </is>
      </c>
      <c r="G349" t="n">
        <v>1.9</v>
      </c>
      <c r="H349" t="n">
        <v>0</v>
      </c>
      <c r="I349" t="n">
        <v>0</v>
      </c>
      <c r="J349" t="n">
        <v>0</v>
      </c>
      <c r="K349" t="n">
        <v>0</v>
      </c>
      <c r="L349" t="n">
        <v>0</v>
      </c>
      <c r="M349" t="n">
        <v>0</v>
      </c>
      <c r="N349" t="n">
        <v>0</v>
      </c>
      <c r="O349" t="n">
        <v>0</v>
      </c>
      <c r="P349" t="n">
        <v>0</v>
      </c>
      <c r="Q349" t="n">
        <v>0</v>
      </c>
      <c r="R349" s="2" t="inlineStr"/>
    </row>
    <row r="350" ht="15" customHeight="1">
      <c r="A350" t="inlineStr">
        <is>
          <t>A 43951-2025</t>
        </is>
      </c>
      <c r="B350" s="1" t="n">
        <v>45915.38119212963</v>
      </c>
      <c r="C350" s="1" t="n">
        <v>46176</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13037-2025</t>
        </is>
      </c>
      <c r="B351" s="1" t="n">
        <v>45734</v>
      </c>
      <c r="C351" s="1" t="n">
        <v>46176</v>
      </c>
      <c r="D351" t="inlineStr">
        <is>
          <t>GOTLANDS LÄN</t>
        </is>
      </c>
      <c r="E351" t="inlineStr">
        <is>
          <t>GOTLAND</t>
        </is>
      </c>
      <c r="G351" t="n">
        <v>9.5</v>
      </c>
      <c r="H351" t="n">
        <v>0</v>
      </c>
      <c r="I351" t="n">
        <v>0</v>
      </c>
      <c r="J351" t="n">
        <v>0</v>
      </c>
      <c r="K351" t="n">
        <v>0</v>
      </c>
      <c r="L351" t="n">
        <v>0</v>
      </c>
      <c r="M351" t="n">
        <v>0</v>
      </c>
      <c r="N351" t="n">
        <v>0</v>
      </c>
      <c r="O351" t="n">
        <v>0</v>
      </c>
      <c r="P351" t="n">
        <v>0</v>
      </c>
      <c r="Q351" t="n">
        <v>0</v>
      </c>
      <c r="R351" s="2" t="inlineStr"/>
    </row>
    <row r="352" ht="15" customHeight="1">
      <c r="A352" t="inlineStr">
        <is>
          <t>A 44410-2025</t>
        </is>
      </c>
      <c r="B352" s="1" t="n">
        <v>45916.53699074074</v>
      </c>
      <c r="C352" s="1" t="n">
        <v>46176</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16993-2026</t>
        </is>
      </c>
      <c r="B353" s="1" t="n">
        <v>46114.41918981481</v>
      </c>
      <c r="C353" s="1" t="n">
        <v>46176</v>
      </c>
      <c r="D353" t="inlineStr">
        <is>
          <t>GOTLANDS LÄN</t>
        </is>
      </c>
      <c r="E353" t="inlineStr">
        <is>
          <t>GOTLAND</t>
        </is>
      </c>
      <c r="G353" t="n">
        <v>3</v>
      </c>
      <c r="H353" t="n">
        <v>0</v>
      </c>
      <c r="I353" t="n">
        <v>0</v>
      </c>
      <c r="J353" t="n">
        <v>0</v>
      </c>
      <c r="K353" t="n">
        <v>0</v>
      </c>
      <c r="L353" t="n">
        <v>0</v>
      </c>
      <c r="M353" t="n">
        <v>0</v>
      </c>
      <c r="N353" t="n">
        <v>0</v>
      </c>
      <c r="O353" t="n">
        <v>0</v>
      </c>
      <c r="P353" t="n">
        <v>0</v>
      </c>
      <c r="Q353" t="n">
        <v>0</v>
      </c>
      <c r="R353" s="2" t="inlineStr"/>
    </row>
    <row r="354" ht="15" customHeight="1">
      <c r="A354" t="inlineStr">
        <is>
          <t>A 44405-2025</t>
        </is>
      </c>
      <c r="B354" s="1" t="n">
        <v>45916.52405092592</v>
      </c>
      <c r="C354" s="1" t="n">
        <v>46176</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22887-2026</t>
        </is>
      </c>
      <c r="B355" s="1" t="n">
        <v>46160.47591435185</v>
      </c>
      <c r="C355" s="1" t="n">
        <v>46176</v>
      </c>
      <c r="D355" t="inlineStr">
        <is>
          <t>GOTLANDS LÄN</t>
        </is>
      </c>
      <c r="E355" t="inlineStr">
        <is>
          <t>GOTLAND</t>
        </is>
      </c>
      <c r="G355" t="n">
        <v>3.6</v>
      </c>
      <c r="H355" t="n">
        <v>0</v>
      </c>
      <c r="I355" t="n">
        <v>0</v>
      </c>
      <c r="J355" t="n">
        <v>0</v>
      </c>
      <c r="K355" t="n">
        <v>0</v>
      </c>
      <c r="L355" t="n">
        <v>0</v>
      </c>
      <c r="M355" t="n">
        <v>0</v>
      </c>
      <c r="N355" t="n">
        <v>0</v>
      </c>
      <c r="O355" t="n">
        <v>0</v>
      </c>
      <c r="P355" t="n">
        <v>0</v>
      </c>
      <c r="Q355" t="n">
        <v>0</v>
      </c>
      <c r="R355" s="2" t="inlineStr"/>
    </row>
    <row r="356" ht="15" customHeight="1">
      <c r="A356" t="inlineStr">
        <is>
          <t>A 63152-2025</t>
        </is>
      </c>
      <c r="B356" s="1" t="n">
        <v>46010</v>
      </c>
      <c r="C356" s="1" t="n">
        <v>46176</v>
      </c>
      <c r="D356" t="inlineStr">
        <is>
          <t>GOTLANDS LÄN</t>
        </is>
      </c>
      <c r="E356" t="inlineStr">
        <is>
          <t>GOTLAND</t>
        </is>
      </c>
      <c r="G356" t="n">
        <v>1.5</v>
      </c>
      <c r="H356" t="n">
        <v>0</v>
      </c>
      <c r="I356" t="n">
        <v>0</v>
      </c>
      <c r="J356" t="n">
        <v>0</v>
      </c>
      <c r="K356" t="n">
        <v>0</v>
      </c>
      <c r="L356" t="n">
        <v>0</v>
      </c>
      <c r="M356" t="n">
        <v>0</v>
      </c>
      <c r="N356" t="n">
        <v>0</v>
      </c>
      <c r="O356" t="n">
        <v>0</v>
      </c>
      <c r="P356" t="n">
        <v>0</v>
      </c>
      <c r="Q356" t="n">
        <v>0</v>
      </c>
      <c r="R356" s="2" t="inlineStr"/>
    </row>
    <row r="357" ht="15" customHeight="1">
      <c r="A357" t="inlineStr">
        <is>
          <t>A 10746-2025</t>
        </is>
      </c>
      <c r="B357" s="1" t="n">
        <v>45722.42766203704</v>
      </c>
      <c r="C357" s="1" t="n">
        <v>46176</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23103-2026</t>
        </is>
      </c>
      <c r="B358" s="1" t="n">
        <v>46161.57108796296</v>
      </c>
      <c r="C358" s="1" t="n">
        <v>46176</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17935-2026</t>
        </is>
      </c>
      <c r="B359" s="1" t="n">
        <v>46122</v>
      </c>
      <c r="C359" s="1" t="n">
        <v>46176</v>
      </c>
      <c r="D359" t="inlineStr">
        <is>
          <t>GOTLANDS LÄN</t>
        </is>
      </c>
      <c r="E359" t="inlineStr">
        <is>
          <t>GOTLAND</t>
        </is>
      </c>
      <c r="G359" t="n">
        <v>0.9</v>
      </c>
      <c r="H359" t="n">
        <v>0</v>
      </c>
      <c r="I359" t="n">
        <v>0</v>
      </c>
      <c r="J359" t="n">
        <v>0</v>
      </c>
      <c r="K359" t="n">
        <v>0</v>
      </c>
      <c r="L359" t="n">
        <v>0</v>
      </c>
      <c r="M359" t="n">
        <v>0</v>
      </c>
      <c r="N359" t="n">
        <v>0</v>
      </c>
      <c r="O359" t="n">
        <v>0</v>
      </c>
      <c r="P359" t="n">
        <v>0</v>
      </c>
      <c r="Q359" t="n">
        <v>0</v>
      </c>
      <c r="R359" s="2" t="inlineStr"/>
    </row>
    <row r="360" ht="15" customHeight="1">
      <c r="A360" t="inlineStr">
        <is>
          <t>A 23504-2026</t>
        </is>
      </c>
      <c r="B360" s="1" t="n">
        <v>46163.45875</v>
      </c>
      <c r="C360" s="1" t="n">
        <v>46176</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62674-2025</t>
        </is>
      </c>
      <c r="B361" s="1" t="n">
        <v>46008</v>
      </c>
      <c r="C361" s="1" t="n">
        <v>46176</v>
      </c>
      <c r="D361" t="inlineStr">
        <is>
          <t>GOTLANDS LÄN</t>
        </is>
      </c>
      <c r="E361" t="inlineStr">
        <is>
          <t>GOTLAND</t>
        </is>
      </c>
      <c r="G361" t="n">
        <v>5</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46176</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46836-2025</t>
        </is>
      </c>
      <c r="B363" s="1" t="n">
        <v>45928.31511574074</v>
      </c>
      <c r="C363" s="1" t="n">
        <v>46176</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43229-2023</t>
        </is>
      </c>
      <c r="B364" s="1" t="n">
        <v>45183.46704861111</v>
      </c>
      <c r="C364" s="1" t="n">
        <v>46176</v>
      </c>
      <c r="D364" t="inlineStr">
        <is>
          <t>GOTLANDS LÄN</t>
        </is>
      </c>
      <c r="E364" t="inlineStr">
        <is>
          <t>GOTLAND</t>
        </is>
      </c>
      <c r="G364" t="n">
        <v>7.1</v>
      </c>
      <c r="H364" t="n">
        <v>0</v>
      </c>
      <c r="I364" t="n">
        <v>0</v>
      </c>
      <c r="J364" t="n">
        <v>0</v>
      </c>
      <c r="K364" t="n">
        <v>0</v>
      </c>
      <c r="L364" t="n">
        <v>0</v>
      </c>
      <c r="M364" t="n">
        <v>0</v>
      </c>
      <c r="N364" t="n">
        <v>0</v>
      </c>
      <c r="O364" t="n">
        <v>0</v>
      </c>
      <c r="P364" t="n">
        <v>0</v>
      </c>
      <c r="Q364" t="n">
        <v>0</v>
      </c>
      <c r="R364" s="2" t="inlineStr"/>
    </row>
    <row r="365" ht="15" customHeight="1">
      <c r="A365" t="inlineStr">
        <is>
          <t>A 41038-2023</t>
        </is>
      </c>
      <c r="B365" s="1" t="n">
        <v>45173.60959490741</v>
      </c>
      <c r="C365" s="1" t="n">
        <v>46176</v>
      </c>
      <c r="D365" t="inlineStr">
        <is>
          <t>GOTLANDS LÄN</t>
        </is>
      </c>
      <c r="E365" t="inlineStr">
        <is>
          <t>GOTLAND</t>
        </is>
      </c>
      <c r="G365" t="n">
        <v>2.7</v>
      </c>
      <c r="H365" t="n">
        <v>0</v>
      </c>
      <c r="I365" t="n">
        <v>0</v>
      </c>
      <c r="J365" t="n">
        <v>0</v>
      </c>
      <c r="K365" t="n">
        <v>0</v>
      </c>
      <c r="L365" t="n">
        <v>0</v>
      </c>
      <c r="M365" t="n">
        <v>0</v>
      </c>
      <c r="N365" t="n">
        <v>0</v>
      </c>
      <c r="O365" t="n">
        <v>0</v>
      </c>
      <c r="P365" t="n">
        <v>0</v>
      </c>
      <c r="Q365" t="n">
        <v>0</v>
      </c>
      <c r="R365" s="2" t="inlineStr"/>
    </row>
    <row r="366" ht="15" customHeight="1">
      <c r="A366" t="inlineStr">
        <is>
          <t>A 47637-2025</t>
        </is>
      </c>
      <c r="B366" s="1" t="n">
        <v>45931.49753472222</v>
      </c>
      <c r="C366" s="1" t="n">
        <v>46176</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32378-2025</t>
        </is>
      </c>
      <c r="B367" s="1" t="n">
        <v>45837</v>
      </c>
      <c r="C367" s="1" t="n">
        <v>46176</v>
      </c>
      <c r="D367" t="inlineStr">
        <is>
          <t>GOTLANDS LÄN</t>
        </is>
      </c>
      <c r="E367" t="inlineStr">
        <is>
          <t>GOTLAND</t>
        </is>
      </c>
      <c r="G367" t="n">
        <v>4.1</v>
      </c>
      <c r="H367" t="n">
        <v>0</v>
      </c>
      <c r="I367" t="n">
        <v>0</v>
      </c>
      <c r="J367" t="n">
        <v>0</v>
      </c>
      <c r="K367" t="n">
        <v>0</v>
      </c>
      <c r="L367" t="n">
        <v>0</v>
      </c>
      <c r="M367" t="n">
        <v>0</v>
      </c>
      <c r="N367" t="n">
        <v>0</v>
      </c>
      <c r="O367" t="n">
        <v>0</v>
      </c>
      <c r="P367" t="n">
        <v>0</v>
      </c>
      <c r="Q367" t="n">
        <v>0</v>
      </c>
      <c r="R367" s="2" t="inlineStr"/>
    </row>
    <row r="368" ht="15" customHeight="1">
      <c r="A368" t="inlineStr">
        <is>
          <t>A 35550-2025</t>
        </is>
      </c>
      <c r="B368" s="1" t="n">
        <v>45856.49324074074</v>
      </c>
      <c r="C368" s="1" t="n">
        <v>46176</v>
      </c>
      <c r="D368" t="inlineStr">
        <is>
          <t>GOTLANDS LÄN</t>
        </is>
      </c>
      <c r="E368" t="inlineStr">
        <is>
          <t>GOTLAND</t>
        </is>
      </c>
      <c r="G368" t="n">
        <v>3.2</v>
      </c>
      <c r="H368" t="n">
        <v>0</v>
      </c>
      <c r="I368" t="n">
        <v>0</v>
      </c>
      <c r="J368" t="n">
        <v>0</v>
      </c>
      <c r="K368" t="n">
        <v>0</v>
      </c>
      <c r="L368" t="n">
        <v>0</v>
      </c>
      <c r="M368" t="n">
        <v>0</v>
      </c>
      <c r="N368" t="n">
        <v>0</v>
      </c>
      <c r="O368" t="n">
        <v>0</v>
      </c>
      <c r="P368" t="n">
        <v>0</v>
      </c>
      <c r="Q368" t="n">
        <v>0</v>
      </c>
      <c r="R368" s="2" t="inlineStr"/>
    </row>
    <row r="369" ht="15" customHeight="1">
      <c r="A369" t="inlineStr">
        <is>
          <t>A 18804-2026</t>
        </is>
      </c>
      <c r="B369" s="1" t="n">
        <v>46128.62366898148</v>
      </c>
      <c r="C369" s="1" t="n">
        <v>46176</v>
      </c>
      <c r="D369" t="inlineStr">
        <is>
          <t>GOTLANDS LÄN</t>
        </is>
      </c>
      <c r="E369" t="inlineStr">
        <is>
          <t>GOTLAND</t>
        </is>
      </c>
      <c r="F369" t="inlineStr">
        <is>
          <t>Kyrkan</t>
        </is>
      </c>
      <c r="G369" t="n">
        <v>2.6</v>
      </c>
      <c r="H369" t="n">
        <v>0</v>
      </c>
      <c r="I369" t="n">
        <v>0</v>
      </c>
      <c r="J369" t="n">
        <v>0</v>
      </c>
      <c r="K369" t="n">
        <v>0</v>
      </c>
      <c r="L369" t="n">
        <v>0</v>
      </c>
      <c r="M369" t="n">
        <v>0</v>
      </c>
      <c r="N369" t="n">
        <v>0</v>
      </c>
      <c r="O369" t="n">
        <v>0</v>
      </c>
      <c r="P369" t="n">
        <v>0</v>
      </c>
      <c r="Q369" t="n">
        <v>0</v>
      </c>
      <c r="R369" s="2" t="inlineStr"/>
    </row>
    <row r="370" ht="15" customHeight="1">
      <c r="A370" t="inlineStr">
        <is>
          <t>A 4639-2026</t>
        </is>
      </c>
      <c r="B370" s="1" t="n">
        <v>46048.39880787037</v>
      </c>
      <c r="C370" s="1" t="n">
        <v>46176</v>
      </c>
      <c r="D370" t="inlineStr">
        <is>
          <t>GOTLANDS LÄN</t>
        </is>
      </c>
      <c r="E370" t="inlineStr">
        <is>
          <t>GOTLAND</t>
        </is>
      </c>
      <c r="G370" t="n">
        <v>0.8</v>
      </c>
      <c r="H370" t="n">
        <v>0</v>
      </c>
      <c r="I370" t="n">
        <v>0</v>
      </c>
      <c r="J370" t="n">
        <v>0</v>
      </c>
      <c r="K370" t="n">
        <v>0</v>
      </c>
      <c r="L370" t="n">
        <v>0</v>
      </c>
      <c r="M370" t="n">
        <v>0</v>
      </c>
      <c r="N370" t="n">
        <v>0</v>
      </c>
      <c r="O370" t="n">
        <v>0</v>
      </c>
      <c r="P370" t="n">
        <v>0</v>
      </c>
      <c r="Q370" t="n">
        <v>0</v>
      </c>
      <c r="R370" s="2" t="inlineStr"/>
    </row>
    <row r="371" ht="15" customHeight="1">
      <c r="A371" t="inlineStr">
        <is>
          <t>A 47578-2025</t>
        </is>
      </c>
      <c r="B371" s="1" t="n">
        <v>45931</v>
      </c>
      <c r="C371" s="1" t="n">
        <v>46176</v>
      </c>
      <c r="D371" t="inlineStr">
        <is>
          <t>GOTLANDS LÄN</t>
        </is>
      </c>
      <c r="E371" t="inlineStr">
        <is>
          <t>GOTLAND</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24448-2026</t>
        </is>
      </c>
      <c r="B372" s="1" t="n">
        <v>46170.35354166666</v>
      </c>
      <c r="C372" s="1" t="n">
        <v>46176</v>
      </c>
      <c r="D372" t="inlineStr">
        <is>
          <t>GOTLANDS LÄN</t>
        </is>
      </c>
      <c r="E372" t="inlineStr">
        <is>
          <t>GOTLAND</t>
        </is>
      </c>
      <c r="G372" t="n">
        <v>1.4</v>
      </c>
      <c r="H372" t="n">
        <v>0</v>
      </c>
      <c r="I372" t="n">
        <v>0</v>
      </c>
      <c r="J372" t="n">
        <v>0</v>
      </c>
      <c r="K372" t="n">
        <v>0</v>
      </c>
      <c r="L372" t="n">
        <v>0</v>
      </c>
      <c r="M372" t="n">
        <v>0</v>
      </c>
      <c r="N372" t="n">
        <v>0</v>
      </c>
      <c r="O372" t="n">
        <v>0</v>
      </c>
      <c r="P372" t="n">
        <v>0</v>
      </c>
      <c r="Q372" t="n">
        <v>0</v>
      </c>
      <c r="R372" s="2" t="inlineStr"/>
    </row>
    <row r="373" ht="15" customHeight="1">
      <c r="A373" t="inlineStr">
        <is>
          <t>A 62836-2025</t>
        </is>
      </c>
      <c r="B373" s="1" t="n">
        <v>46008</v>
      </c>
      <c r="C373" s="1" t="n">
        <v>46176</v>
      </c>
      <c r="D373" t="inlineStr">
        <is>
          <t>GOTLANDS LÄN</t>
        </is>
      </c>
      <c r="E373" t="inlineStr">
        <is>
          <t>GOTLAND</t>
        </is>
      </c>
      <c r="G373" t="n">
        <v>6.5</v>
      </c>
      <c r="H373" t="n">
        <v>0</v>
      </c>
      <c r="I373" t="n">
        <v>0</v>
      </c>
      <c r="J373" t="n">
        <v>0</v>
      </c>
      <c r="K373" t="n">
        <v>0</v>
      </c>
      <c r="L373" t="n">
        <v>0</v>
      </c>
      <c r="M373" t="n">
        <v>0</v>
      </c>
      <c r="N373" t="n">
        <v>0</v>
      </c>
      <c r="O373" t="n">
        <v>0</v>
      </c>
      <c r="P373" t="n">
        <v>0</v>
      </c>
      <c r="Q373" t="n">
        <v>0</v>
      </c>
      <c r="R373" s="2" t="inlineStr"/>
    </row>
    <row r="374" ht="15" customHeight="1">
      <c r="A374" t="inlineStr">
        <is>
          <t>A 33011-2025</t>
        </is>
      </c>
      <c r="B374" s="1" t="n">
        <v>45840</v>
      </c>
      <c r="C374" s="1" t="n">
        <v>46176</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49690-2025</t>
        </is>
      </c>
      <c r="B375" s="1" t="n">
        <v>45939.66730324074</v>
      </c>
      <c r="C375" s="1" t="n">
        <v>46176</v>
      </c>
      <c r="D375" t="inlineStr">
        <is>
          <t>GOTLANDS LÄN</t>
        </is>
      </c>
      <c r="E375" t="inlineStr">
        <is>
          <t>GOTLAND</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19322-2026</t>
        </is>
      </c>
      <c r="B376" s="1" t="n">
        <v>46129</v>
      </c>
      <c r="C376" s="1" t="n">
        <v>46176</v>
      </c>
      <c r="D376" t="inlineStr">
        <is>
          <t>GOTLANDS LÄN</t>
        </is>
      </c>
      <c r="E376" t="inlineStr">
        <is>
          <t>GOTLAND</t>
        </is>
      </c>
      <c r="G376" t="n">
        <v>1</v>
      </c>
      <c r="H376" t="n">
        <v>0</v>
      </c>
      <c r="I376" t="n">
        <v>0</v>
      </c>
      <c r="J376" t="n">
        <v>0</v>
      </c>
      <c r="K376" t="n">
        <v>0</v>
      </c>
      <c r="L376" t="n">
        <v>0</v>
      </c>
      <c r="M376" t="n">
        <v>0</v>
      </c>
      <c r="N376" t="n">
        <v>0</v>
      </c>
      <c r="O376" t="n">
        <v>0</v>
      </c>
      <c r="P376" t="n">
        <v>0</v>
      </c>
      <c r="Q376" t="n">
        <v>0</v>
      </c>
      <c r="R376" s="2" t="inlineStr"/>
    </row>
    <row r="377" ht="15" customHeight="1">
      <c r="A377" t="inlineStr">
        <is>
          <t>A 24966-2023</t>
        </is>
      </c>
      <c r="B377" s="1" t="n">
        <v>45085</v>
      </c>
      <c r="C377" s="1" t="n">
        <v>46176</v>
      </c>
      <c r="D377" t="inlineStr">
        <is>
          <t>GOTLANDS LÄN</t>
        </is>
      </c>
      <c r="E377" t="inlineStr">
        <is>
          <t>GOTLAND</t>
        </is>
      </c>
      <c r="G377" t="n">
        <v>7</v>
      </c>
      <c r="H377" t="n">
        <v>0</v>
      </c>
      <c r="I377" t="n">
        <v>0</v>
      </c>
      <c r="J377" t="n">
        <v>0</v>
      </c>
      <c r="K377" t="n">
        <v>0</v>
      </c>
      <c r="L377" t="n">
        <v>0</v>
      </c>
      <c r="M377" t="n">
        <v>0</v>
      </c>
      <c r="N377" t="n">
        <v>0</v>
      </c>
      <c r="O377" t="n">
        <v>0</v>
      </c>
      <c r="P377" t="n">
        <v>0</v>
      </c>
      <c r="Q377" t="n">
        <v>0</v>
      </c>
      <c r="R377" s="2" t="inlineStr"/>
    </row>
    <row r="378" ht="15" customHeight="1">
      <c r="A378" t="inlineStr">
        <is>
          <t>A 57652-2023</t>
        </is>
      </c>
      <c r="B378" s="1" t="n">
        <v>45246</v>
      </c>
      <c r="C378" s="1" t="n">
        <v>46176</v>
      </c>
      <c r="D378" t="inlineStr">
        <is>
          <t>GOTLANDS LÄN</t>
        </is>
      </c>
      <c r="E378" t="inlineStr">
        <is>
          <t>GOTLAND</t>
        </is>
      </c>
      <c r="G378" t="n">
        <v>7.2</v>
      </c>
      <c r="H378" t="n">
        <v>0</v>
      </c>
      <c r="I378" t="n">
        <v>0</v>
      </c>
      <c r="J378" t="n">
        <v>0</v>
      </c>
      <c r="K378" t="n">
        <v>0</v>
      </c>
      <c r="L378" t="n">
        <v>0</v>
      </c>
      <c r="M378" t="n">
        <v>0</v>
      </c>
      <c r="N378" t="n">
        <v>0</v>
      </c>
      <c r="O378" t="n">
        <v>0</v>
      </c>
      <c r="P378" t="n">
        <v>0</v>
      </c>
      <c r="Q378" t="n">
        <v>0</v>
      </c>
      <c r="R378" s="2" t="inlineStr"/>
    </row>
    <row r="379" ht="15" customHeight="1">
      <c r="A379" t="inlineStr">
        <is>
          <t>A 46189-2022</t>
        </is>
      </c>
      <c r="B379" s="1" t="n">
        <v>44847</v>
      </c>
      <c r="C379" s="1" t="n">
        <v>46176</v>
      </c>
      <c r="D379" t="inlineStr">
        <is>
          <t>GOTLANDS LÄN</t>
        </is>
      </c>
      <c r="E379" t="inlineStr">
        <is>
          <t>GOTLAND</t>
        </is>
      </c>
      <c r="G379" t="n">
        <v>0.4</v>
      </c>
      <c r="H379" t="n">
        <v>0</v>
      </c>
      <c r="I379" t="n">
        <v>0</v>
      </c>
      <c r="J379" t="n">
        <v>0</v>
      </c>
      <c r="K379" t="n">
        <v>0</v>
      </c>
      <c r="L379" t="n">
        <v>0</v>
      </c>
      <c r="M379" t="n">
        <v>0</v>
      </c>
      <c r="N379" t="n">
        <v>0</v>
      </c>
      <c r="O379" t="n">
        <v>0</v>
      </c>
      <c r="P379" t="n">
        <v>0</v>
      </c>
      <c r="Q379" t="n">
        <v>0</v>
      </c>
      <c r="R379" s="2" t="inlineStr"/>
    </row>
    <row r="380" ht="15" customHeight="1">
      <c r="A380" t="inlineStr">
        <is>
          <t>A 49724-2025</t>
        </is>
      </c>
      <c r="B380" s="1" t="n">
        <v>45939.83730324074</v>
      </c>
      <c r="C380" s="1" t="n">
        <v>46176</v>
      </c>
      <c r="D380" t="inlineStr">
        <is>
          <t>GOTLANDS LÄN</t>
        </is>
      </c>
      <c r="E380" t="inlineStr">
        <is>
          <t>GOTLAND</t>
        </is>
      </c>
      <c r="F380" t="inlineStr">
        <is>
          <t>Kyrkan</t>
        </is>
      </c>
      <c r="G380" t="n">
        <v>3.1</v>
      </c>
      <c r="H380" t="n">
        <v>0</v>
      </c>
      <c r="I380" t="n">
        <v>0</v>
      </c>
      <c r="J380" t="n">
        <v>0</v>
      </c>
      <c r="K380" t="n">
        <v>0</v>
      </c>
      <c r="L380" t="n">
        <v>0</v>
      </c>
      <c r="M380" t="n">
        <v>0</v>
      </c>
      <c r="N380" t="n">
        <v>0</v>
      </c>
      <c r="O380" t="n">
        <v>0</v>
      </c>
      <c r="P380" t="n">
        <v>0</v>
      </c>
      <c r="Q380" t="n">
        <v>0</v>
      </c>
      <c r="R380" s="2" t="inlineStr"/>
    </row>
    <row r="381" ht="15" customHeight="1">
      <c r="A381" t="inlineStr">
        <is>
          <t>A 49730-2025</t>
        </is>
      </c>
      <c r="B381" s="1" t="n">
        <v>45939.87613425926</v>
      </c>
      <c r="C381" s="1" t="n">
        <v>46176</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57522-2022</t>
        </is>
      </c>
      <c r="B382" s="1" t="n">
        <v>44896</v>
      </c>
      <c r="C382" s="1" t="n">
        <v>46176</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17943-2026</t>
        </is>
      </c>
      <c r="B383" s="1" t="n">
        <v>46122</v>
      </c>
      <c r="C383" s="1" t="n">
        <v>46176</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14797-2024</t>
        </is>
      </c>
      <c r="B384" s="1" t="n">
        <v>45397.87030092593</v>
      </c>
      <c r="C384" s="1" t="n">
        <v>46176</v>
      </c>
      <c r="D384" t="inlineStr">
        <is>
          <t>GOTLANDS LÄN</t>
        </is>
      </c>
      <c r="E384" t="inlineStr">
        <is>
          <t>GOTLAND</t>
        </is>
      </c>
      <c r="G384" t="n">
        <v>8.1</v>
      </c>
      <c r="H384" t="n">
        <v>0</v>
      </c>
      <c r="I384" t="n">
        <v>0</v>
      </c>
      <c r="J384" t="n">
        <v>0</v>
      </c>
      <c r="K384" t="n">
        <v>0</v>
      </c>
      <c r="L384" t="n">
        <v>0</v>
      </c>
      <c r="M384" t="n">
        <v>0</v>
      </c>
      <c r="N384" t="n">
        <v>0</v>
      </c>
      <c r="O384" t="n">
        <v>0</v>
      </c>
      <c r="P384" t="n">
        <v>0</v>
      </c>
      <c r="Q384" t="n">
        <v>0</v>
      </c>
      <c r="R384" s="2" t="inlineStr"/>
    </row>
    <row r="385" ht="15" customHeight="1">
      <c r="A385" t="inlineStr">
        <is>
          <t>A 50421-2025</t>
        </is>
      </c>
      <c r="B385" s="1" t="n">
        <v>45944.66049768519</v>
      </c>
      <c r="C385" s="1" t="n">
        <v>46176</v>
      </c>
      <c r="D385" t="inlineStr">
        <is>
          <t>GOTLANDS LÄN</t>
        </is>
      </c>
      <c r="E385" t="inlineStr">
        <is>
          <t>GOTLAND</t>
        </is>
      </c>
      <c r="G385" t="n">
        <v>3.9</v>
      </c>
      <c r="H385" t="n">
        <v>0</v>
      </c>
      <c r="I385" t="n">
        <v>0</v>
      </c>
      <c r="J385" t="n">
        <v>0</v>
      </c>
      <c r="K385" t="n">
        <v>0</v>
      </c>
      <c r="L385" t="n">
        <v>0</v>
      </c>
      <c r="M385" t="n">
        <v>0</v>
      </c>
      <c r="N385" t="n">
        <v>0</v>
      </c>
      <c r="O385" t="n">
        <v>0</v>
      </c>
      <c r="P385" t="n">
        <v>0</v>
      </c>
      <c r="Q385" t="n">
        <v>0</v>
      </c>
      <c r="R385" s="2" t="inlineStr"/>
    </row>
    <row r="386" ht="15" customHeight="1">
      <c r="A386" t="inlineStr">
        <is>
          <t>A 50431-2025</t>
        </is>
      </c>
      <c r="B386" s="1" t="n">
        <v>45944.68453703704</v>
      </c>
      <c r="C386" s="1" t="n">
        <v>46176</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7837-2024</t>
        </is>
      </c>
      <c r="B387" s="1" t="n">
        <v>45349.83787037037</v>
      </c>
      <c r="C387" s="1" t="n">
        <v>46176</v>
      </c>
      <c r="D387" t="inlineStr">
        <is>
          <t>GOTLANDS LÄN</t>
        </is>
      </c>
      <c r="E387" t="inlineStr">
        <is>
          <t>GOTLAND</t>
        </is>
      </c>
      <c r="G387" t="n">
        <v>5</v>
      </c>
      <c r="H387" t="n">
        <v>0</v>
      </c>
      <c r="I387" t="n">
        <v>0</v>
      </c>
      <c r="J387" t="n">
        <v>0</v>
      </c>
      <c r="K387" t="n">
        <v>0</v>
      </c>
      <c r="L387" t="n">
        <v>0</v>
      </c>
      <c r="M387" t="n">
        <v>0</v>
      </c>
      <c r="N387" t="n">
        <v>0</v>
      </c>
      <c r="O387" t="n">
        <v>0</v>
      </c>
      <c r="P387" t="n">
        <v>0</v>
      </c>
      <c r="Q387" t="n">
        <v>0</v>
      </c>
      <c r="R387" s="2" t="inlineStr"/>
    </row>
    <row r="388" ht="15" customHeight="1">
      <c r="A388" t="inlineStr">
        <is>
          <t>A 1839-2026</t>
        </is>
      </c>
      <c r="B388" s="1" t="n">
        <v>46035.3942824074</v>
      </c>
      <c r="C388" s="1" t="n">
        <v>46176</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5863-2026</t>
        </is>
      </c>
      <c r="B389" s="1" t="n">
        <v>46052</v>
      </c>
      <c r="C389" s="1" t="n">
        <v>46176</v>
      </c>
      <c r="D389" t="inlineStr">
        <is>
          <t>GOTLANDS LÄN</t>
        </is>
      </c>
      <c r="E389" t="inlineStr">
        <is>
          <t>GOTLAND</t>
        </is>
      </c>
      <c r="G389" t="n">
        <v>1.8</v>
      </c>
      <c r="H389" t="n">
        <v>0</v>
      </c>
      <c r="I389" t="n">
        <v>0</v>
      </c>
      <c r="J389" t="n">
        <v>0</v>
      </c>
      <c r="K389" t="n">
        <v>0</v>
      </c>
      <c r="L389" t="n">
        <v>0</v>
      </c>
      <c r="M389" t="n">
        <v>0</v>
      </c>
      <c r="N389" t="n">
        <v>0</v>
      </c>
      <c r="O389" t="n">
        <v>0</v>
      </c>
      <c r="P389" t="n">
        <v>0</v>
      </c>
      <c r="Q389" t="n">
        <v>0</v>
      </c>
      <c r="R389" s="2" t="inlineStr"/>
    </row>
    <row r="390" ht="15" customHeight="1">
      <c r="A390" t="inlineStr">
        <is>
          <t>A 7625-2026</t>
        </is>
      </c>
      <c r="B390" s="1" t="n">
        <v>46062.35135416667</v>
      </c>
      <c r="C390" s="1" t="n">
        <v>46176</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1394-2023</t>
        </is>
      </c>
      <c r="B391" s="1" t="n">
        <v>44936.72997685185</v>
      </c>
      <c r="C391" s="1" t="n">
        <v>46176</v>
      </c>
      <c r="D391" t="inlineStr">
        <is>
          <t>GOTLANDS LÄN</t>
        </is>
      </c>
      <c r="E391" t="inlineStr">
        <is>
          <t>GOTLAND</t>
        </is>
      </c>
      <c r="G391" t="n">
        <v>2.1</v>
      </c>
      <c r="H391" t="n">
        <v>0</v>
      </c>
      <c r="I391" t="n">
        <v>0</v>
      </c>
      <c r="J391" t="n">
        <v>0</v>
      </c>
      <c r="K391" t="n">
        <v>0</v>
      </c>
      <c r="L391" t="n">
        <v>0</v>
      </c>
      <c r="M391" t="n">
        <v>0</v>
      </c>
      <c r="N391" t="n">
        <v>0</v>
      </c>
      <c r="O391" t="n">
        <v>0</v>
      </c>
      <c r="P391" t="n">
        <v>0</v>
      </c>
      <c r="Q391" t="n">
        <v>0</v>
      </c>
      <c r="R391" s="2" t="inlineStr"/>
    </row>
    <row r="392" ht="15" customHeight="1">
      <c r="A392" t="inlineStr">
        <is>
          <t>A 50928-2025</t>
        </is>
      </c>
      <c r="B392" s="1" t="n">
        <v>45946.67896990741</v>
      </c>
      <c r="C392" s="1" t="n">
        <v>46176</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51262-2025</t>
        </is>
      </c>
      <c r="B393" s="1" t="n">
        <v>45949.49872685185</v>
      </c>
      <c r="C393" s="1" t="n">
        <v>46176</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2676-2023</t>
        </is>
      </c>
      <c r="B394" s="1" t="n">
        <v>44944</v>
      </c>
      <c r="C394" s="1" t="n">
        <v>46176</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4387-2023</t>
        </is>
      </c>
      <c r="B395" s="1" t="n">
        <v>44955.73359953704</v>
      </c>
      <c r="C395" s="1" t="n">
        <v>46176</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49411-2023</t>
        </is>
      </c>
      <c r="B396" s="1" t="n">
        <v>45205</v>
      </c>
      <c r="C396" s="1" t="n">
        <v>46176</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37728-2024</t>
        </is>
      </c>
      <c r="B397" s="1" t="n">
        <v>45541</v>
      </c>
      <c r="C397" s="1" t="n">
        <v>46176</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2241-2025</t>
        </is>
      </c>
      <c r="B398" s="1" t="n">
        <v>45673.48710648148</v>
      </c>
      <c r="C398" s="1" t="n">
        <v>46176</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52249-2025</t>
        </is>
      </c>
      <c r="B399" s="1" t="n">
        <v>45953.48637731482</v>
      </c>
      <c r="C399" s="1" t="n">
        <v>46176</v>
      </c>
      <c r="D399" t="inlineStr">
        <is>
          <t>GOTLANDS LÄN</t>
        </is>
      </c>
      <c r="E399" t="inlineStr">
        <is>
          <t>GOTLAND</t>
        </is>
      </c>
      <c r="F399" t="inlineStr">
        <is>
          <t>Övriga Aktiebolag</t>
        </is>
      </c>
      <c r="G399" t="n">
        <v>1</v>
      </c>
      <c r="H399" t="n">
        <v>0</v>
      </c>
      <c r="I399" t="n">
        <v>0</v>
      </c>
      <c r="J399" t="n">
        <v>0</v>
      </c>
      <c r="K399" t="n">
        <v>0</v>
      </c>
      <c r="L399" t="n">
        <v>0</v>
      </c>
      <c r="M399" t="n">
        <v>0</v>
      </c>
      <c r="N399" t="n">
        <v>0</v>
      </c>
      <c r="O399" t="n">
        <v>0</v>
      </c>
      <c r="P399" t="n">
        <v>0</v>
      </c>
      <c r="Q399" t="n">
        <v>0</v>
      </c>
      <c r="R399" s="2" t="inlineStr"/>
    </row>
    <row r="400" ht="15" customHeight="1">
      <c r="A400" t="inlineStr">
        <is>
          <t>A 52637-2025</t>
        </is>
      </c>
      <c r="B400" s="1" t="n">
        <v>45954.75099537037</v>
      </c>
      <c r="C400" s="1" t="n">
        <v>46176</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22275-2023</t>
        </is>
      </c>
      <c r="B401" s="1" t="n">
        <v>45070.39875</v>
      </c>
      <c r="C401" s="1" t="n">
        <v>46176</v>
      </c>
      <c r="D401" t="inlineStr">
        <is>
          <t>GOTLANDS LÄN</t>
        </is>
      </c>
      <c r="E401" t="inlineStr">
        <is>
          <t>GOTLAND</t>
        </is>
      </c>
      <c r="G401" t="n">
        <v>7.2</v>
      </c>
      <c r="H401" t="n">
        <v>0</v>
      </c>
      <c r="I401" t="n">
        <v>0</v>
      </c>
      <c r="J401" t="n">
        <v>0</v>
      </c>
      <c r="K401" t="n">
        <v>0</v>
      </c>
      <c r="L401" t="n">
        <v>0</v>
      </c>
      <c r="M401" t="n">
        <v>0</v>
      </c>
      <c r="N401" t="n">
        <v>0</v>
      </c>
      <c r="O401" t="n">
        <v>0</v>
      </c>
      <c r="P401" t="n">
        <v>0</v>
      </c>
      <c r="Q401" t="n">
        <v>0</v>
      </c>
      <c r="R401" s="2" t="inlineStr"/>
    </row>
    <row r="402" ht="15" customHeight="1">
      <c r="A402" t="inlineStr">
        <is>
          <t>A 14635-2023</t>
        </is>
      </c>
      <c r="B402" s="1" t="n">
        <v>45013.69365740741</v>
      </c>
      <c r="C402" s="1" t="n">
        <v>46176</v>
      </c>
      <c r="D402" t="inlineStr">
        <is>
          <t>GOTLANDS LÄN</t>
        </is>
      </c>
      <c r="E402" t="inlineStr">
        <is>
          <t>GOTLAND</t>
        </is>
      </c>
      <c r="G402" t="n">
        <v>3.1</v>
      </c>
      <c r="H402" t="n">
        <v>0</v>
      </c>
      <c r="I402" t="n">
        <v>0</v>
      </c>
      <c r="J402" t="n">
        <v>0</v>
      </c>
      <c r="K402" t="n">
        <v>0</v>
      </c>
      <c r="L402" t="n">
        <v>0</v>
      </c>
      <c r="M402" t="n">
        <v>0</v>
      </c>
      <c r="N402" t="n">
        <v>0</v>
      </c>
      <c r="O402" t="n">
        <v>0</v>
      </c>
      <c r="P402" t="n">
        <v>0</v>
      </c>
      <c r="Q402" t="n">
        <v>0</v>
      </c>
      <c r="R402" s="2" t="inlineStr"/>
    </row>
    <row r="403" ht="15" customHeight="1">
      <c r="A403" t="inlineStr">
        <is>
          <t>A 63763-2023</t>
        </is>
      </c>
      <c r="B403" s="1" t="n">
        <v>45278.33944444444</v>
      </c>
      <c r="C403" s="1" t="n">
        <v>46176</v>
      </c>
      <c r="D403" t="inlineStr">
        <is>
          <t>GOTLANDS LÄN</t>
        </is>
      </c>
      <c r="E403" t="inlineStr">
        <is>
          <t>GOTLAND</t>
        </is>
      </c>
      <c r="G403" t="n">
        <v>0.5</v>
      </c>
      <c r="H403" t="n">
        <v>0</v>
      </c>
      <c r="I403" t="n">
        <v>0</v>
      </c>
      <c r="J403" t="n">
        <v>0</v>
      </c>
      <c r="K403" t="n">
        <v>0</v>
      </c>
      <c r="L403" t="n">
        <v>0</v>
      </c>
      <c r="M403" t="n">
        <v>0</v>
      </c>
      <c r="N403" t="n">
        <v>0</v>
      </c>
      <c r="O403" t="n">
        <v>0</v>
      </c>
      <c r="P403" t="n">
        <v>0</v>
      </c>
      <c r="Q403" t="n">
        <v>0</v>
      </c>
      <c r="R403" s="2" t="inlineStr"/>
    </row>
    <row r="404" ht="15" customHeight="1">
      <c r="A404" t="inlineStr">
        <is>
          <t>A 7635-2025</t>
        </is>
      </c>
      <c r="B404" s="1" t="n">
        <v>45705</v>
      </c>
      <c r="C404" s="1" t="n">
        <v>46176</v>
      </c>
      <c r="D404" t="inlineStr">
        <is>
          <t>GOTLANDS LÄN</t>
        </is>
      </c>
      <c r="E404" t="inlineStr">
        <is>
          <t>GOTLAND</t>
        </is>
      </c>
      <c r="G404" t="n">
        <v>0.9</v>
      </c>
      <c r="H404" t="n">
        <v>0</v>
      </c>
      <c r="I404" t="n">
        <v>0</v>
      </c>
      <c r="J404" t="n">
        <v>0</v>
      </c>
      <c r="K404" t="n">
        <v>0</v>
      </c>
      <c r="L404" t="n">
        <v>0</v>
      </c>
      <c r="M404" t="n">
        <v>0</v>
      </c>
      <c r="N404" t="n">
        <v>0</v>
      </c>
      <c r="O404" t="n">
        <v>0</v>
      </c>
      <c r="P404" t="n">
        <v>0</v>
      </c>
      <c r="Q404" t="n">
        <v>0</v>
      </c>
      <c r="R404" s="2" t="inlineStr"/>
    </row>
    <row r="405" ht="15" customHeight="1">
      <c r="A405" t="inlineStr">
        <is>
          <t>A 7636-2025</t>
        </is>
      </c>
      <c r="B405" s="1" t="n">
        <v>45705.7687962963</v>
      </c>
      <c r="C405" s="1" t="n">
        <v>46176</v>
      </c>
      <c r="D405" t="inlineStr">
        <is>
          <t>GOTLANDS LÄN</t>
        </is>
      </c>
      <c r="E405" t="inlineStr">
        <is>
          <t>GOTLAND</t>
        </is>
      </c>
      <c r="G405" t="n">
        <v>0.6</v>
      </c>
      <c r="H405" t="n">
        <v>0</v>
      </c>
      <c r="I405" t="n">
        <v>0</v>
      </c>
      <c r="J405" t="n">
        <v>0</v>
      </c>
      <c r="K405" t="n">
        <v>0</v>
      </c>
      <c r="L405" t="n">
        <v>0</v>
      </c>
      <c r="M405" t="n">
        <v>0</v>
      </c>
      <c r="N405" t="n">
        <v>0</v>
      </c>
      <c r="O405" t="n">
        <v>0</v>
      </c>
      <c r="P405" t="n">
        <v>0</v>
      </c>
      <c r="Q405" t="n">
        <v>0</v>
      </c>
      <c r="R405" s="2" t="inlineStr"/>
    </row>
    <row r="406" ht="15" customHeight="1">
      <c r="A406" t="inlineStr">
        <is>
          <t>A 7639-2025</t>
        </is>
      </c>
      <c r="B406" s="1" t="n">
        <v>45705.77465277778</v>
      </c>
      <c r="C406" s="1" t="n">
        <v>46176</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61682-2024</t>
        </is>
      </c>
      <c r="B407" s="1" t="n">
        <v>45647.48824074074</v>
      </c>
      <c r="C407" s="1" t="n">
        <v>46176</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15434-2024</t>
        </is>
      </c>
      <c r="B408" s="1" t="n">
        <v>45401.38836805556</v>
      </c>
      <c r="C408" s="1" t="n">
        <v>46176</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7034-2023</t>
        </is>
      </c>
      <c r="B409" s="1" t="n">
        <v>44968.32108796296</v>
      </c>
      <c r="C409" s="1" t="n">
        <v>46176</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7042-2023</t>
        </is>
      </c>
      <c r="B410" s="1" t="n">
        <v>44968</v>
      </c>
      <c r="C410" s="1" t="n">
        <v>46176</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2180-2025</t>
        </is>
      </c>
      <c r="B411" s="1" t="n">
        <v>45673</v>
      </c>
      <c r="C411" s="1" t="n">
        <v>46176</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53577-2025</t>
        </is>
      </c>
      <c r="B412" s="1" t="n">
        <v>45960.42224537037</v>
      </c>
      <c r="C412" s="1" t="n">
        <v>46176</v>
      </c>
      <c r="D412" t="inlineStr">
        <is>
          <t>GOTLANDS LÄN</t>
        </is>
      </c>
      <c r="E412" t="inlineStr">
        <is>
          <t>GOTLAND</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53569-2025</t>
        </is>
      </c>
      <c r="B413" s="1" t="n">
        <v>45960.41155092593</v>
      </c>
      <c r="C413" s="1" t="n">
        <v>46176</v>
      </c>
      <c r="D413" t="inlineStr">
        <is>
          <t>GOTLANDS LÄN</t>
        </is>
      </c>
      <c r="E413" t="inlineStr">
        <is>
          <t>GOTLAND</t>
        </is>
      </c>
      <c r="F413" t="inlineStr">
        <is>
          <t>Övriga Aktiebolag</t>
        </is>
      </c>
      <c r="G413" t="n">
        <v>11.3</v>
      </c>
      <c r="H413" t="n">
        <v>0</v>
      </c>
      <c r="I413" t="n">
        <v>0</v>
      </c>
      <c r="J413" t="n">
        <v>0</v>
      </c>
      <c r="K413" t="n">
        <v>0</v>
      </c>
      <c r="L413" t="n">
        <v>0</v>
      </c>
      <c r="M413" t="n">
        <v>0</v>
      </c>
      <c r="N413" t="n">
        <v>0</v>
      </c>
      <c r="O413" t="n">
        <v>0</v>
      </c>
      <c r="P413" t="n">
        <v>0</v>
      </c>
      <c r="Q413" t="n">
        <v>0</v>
      </c>
      <c r="R413" s="2" t="inlineStr"/>
    </row>
    <row r="414" ht="15" customHeight="1">
      <c r="A414" t="inlineStr">
        <is>
          <t>A 54074-2022</t>
        </is>
      </c>
      <c r="B414" s="1" t="n">
        <v>44881</v>
      </c>
      <c r="C414" s="1" t="n">
        <v>46176</v>
      </c>
      <c r="D414" t="inlineStr">
        <is>
          <t>GOTLANDS LÄN</t>
        </is>
      </c>
      <c r="E414" t="inlineStr">
        <is>
          <t>GOTLAND</t>
        </is>
      </c>
      <c r="G414" t="n">
        <v>0.9</v>
      </c>
      <c r="H414" t="n">
        <v>0</v>
      </c>
      <c r="I414" t="n">
        <v>0</v>
      </c>
      <c r="J414" t="n">
        <v>0</v>
      </c>
      <c r="K414" t="n">
        <v>0</v>
      </c>
      <c r="L414" t="n">
        <v>0</v>
      </c>
      <c r="M414" t="n">
        <v>0</v>
      </c>
      <c r="N414" t="n">
        <v>0</v>
      </c>
      <c r="O414" t="n">
        <v>0</v>
      </c>
      <c r="P414" t="n">
        <v>0</v>
      </c>
      <c r="Q414" t="n">
        <v>0</v>
      </c>
      <c r="R414" s="2" t="inlineStr"/>
    </row>
    <row r="415" ht="15" customHeight="1">
      <c r="A415" t="inlineStr">
        <is>
          <t>A 61694-2023</t>
        </is>
      </c>
      <c r="B415" s="1" t="n">
        <v>45264</v>
      </c>
      <c r="C415" s="1" t="n">
        <v>46176</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64208-2021</t>
        </is>
      </c>
      <c r="B416" s="1" t="n">
        <v>44510</v>
      </c>
      <c r="C416" s="1" t="n">
        <v>46176</v>
      </c>
      <c r="D416" t="inlineStr">
        <is>
          <t>GOTLANDS LÄN</t>
        </is>
      </c>
      <c r="E416" t="inlineStr">
        <is>
          <t>GOTLAND</t>
        </is>
      </c>
      <c r="G416" t="n">
        <v>4.7</v>
      </c>
      <c r="H416" t="n">
        <v>0</v>
      </c>
      <c r="I416" t="n">
        <v>0</v>
      </c>
      <c r="J416" t="n">
        <v>0</v>
      </c>
      <c r="K416" t="n">
        <v>0</v>
      </c>
      <c r="L416" t="n">
        <v>0</v>
      </c>
      <c r="M416" t="n">
        <v>0</v>
      </c>
      <c r="N416" t="n">
        <v>0</v>
      </c>
      <c r="O416" t="n">
        <v>0</v>
      </c>
      <c r="P416" t="n">
        <v>0</v>
      </c>
      <c r="Q416" t="n">
        <v>0</v>
      </c>
      <c r="R416" s="2" t="inlineStr"/>
    </row>
    <row r="417" ht="15" customHeight="1">
      <c r="A417" t="inlineStr">
        <is>
          <t>A 54268-2022</t>
        </is>
      </c>
      <c r="B417" s="1" t="n">
        <v>44882</v>
      </c>
      <c r="C417" s="1" t="n">
        <v>46176</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1446-2025</t>
        </is>
      </c>
      <c r="B418" s="1" t="n">
        <v>45669.86035879629</v>
      </c>
      <c r="C418" s="1" t="n">
        <v>46176</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1462-2025</t>
        </is>
      </c>
      <c r="B419" s="1" t="n">
        <v>45670.36319444444</v>
      </c>
      <c r="C419" s="1" t="n">
        <v>46176</v>
      </c>
      <c r="D419" t="inlineStr">
        <is>
          <t>GOTLANDS LÄN</t>
        </is>
      </c>
      <c r="E419" t="inlineStr">
        <is>
          <t>GOTLAND</t>
        </is>
      </c>
      <c r="G419" t="n">
        <v>2.8</v>
      </c>
      <c r="H419" t="n">
        <v>0</v>
      </c>
      <c r="I419" t="n">
        <v>0</v>
      </c>
      <c r="J419" t="n">
        <v>0</v>
      </c>
      <c r="K419" t="n">
        <v>0</v>
      </c>
      <c r="L419" t="n">
        <v>0</v>
      </c>
      <c r="M419" t="n">
        <v>0</v>
      </c>
      <c r="N419" t="n">
        <v>0</v>
      </c>
      <c r="O419" t="n">
        <v>0</v>
      </c>
      <c r="P419" t="n">
        <v>0</v>
      </c>
      <c r="Q419" t="n">
        <v>0</v>
      </c>
      <c r="R419" s="2" t="inlineStr"/>
    </row>
    <row r="420" ht="15" customHeight="1">
      <c r="A420" t="inlineStr">
        <is>
          <t>A 57685-2022</t>
        </is>
      </c>
      <c r="B420" s="1" t="n">
        <v>44897.4777662037</v>
      </c>
      <c r="C420" s="1" t="n">
        <v>46176</v>
      </c>
      <c r="D420" t="inlineStr">
        <is>
          <t>GOTLANDS LÄN</t>
        </is>
      </c>
      <c r="E420" t="inlineStr">
        <is>
          <t>GOTLAND</t>
        </is>
      </c>
      <c r="G420" t="n">
        <v>3.7</v>
      </c>
      <c r="H420" t="n">
        <v>0</v>
      </c>
      <c r="I420" t="n">
        <v>0</v>
      </c>
      <c r="J420" t="n">
        <v>0</v>
      </c>
      <c r="K420" t="n">
        <v>0</v>
      </c>
      <c r="L420" t="n">
        <v>0</v>
      </c>
      <c r="M420" t="n">
        <v>0</v>
      </c>
      <c r="N420" t="n">
        <v>0</v>
      </c>
      <c r="O420" t="n">
        <v>0</v>
      </c>
      <c r="P420" t="n">
        <v>0</v>
      </c>
      <c r="Q420" t="n">
        <v>0</v>
      </c>
      <c r="R420" s="2" t="inlineStr"/>
    </row>
    <row r="421" ht="15" customHeight="1">
      <c r="A421" t="inlineStr">
        <is>
          <t>A 811-2023</t>
        </is>
      </c>
      <c r="B421" s="1" t="n">
        <v>44931</v>
      </c>
      <c r="C421" s="1" t="n">
        <v>46176</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5905-2024</t>
        </is>
      </c>
      <c r="B422" s="1" t="n">
        <v>45335.88993055555</v>
      </c>
      <c r="C422" s="1" t="n">
        <v>46176</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3431-2025</t>
        </is>
      </c>
      <c r="B423" s="1" t="n">
        <v>45680.42935185185</v>
      </c>
      <c r="C423" s="1" t="n">
        <v>46176</v>
      </c>
      <c r="D423" t="inlineStr">
        <is>
          <t>GOTLANDS LÄN</t>
        </is>
      </c>
      <c r="E423" t="inlineStr">
        <is>
          <t>GOTLAND</t>
        </is>
      </c>
      <c r="G423" t="n">
        <v>4.8</v>
      </c>
      <c r="H423" t="n">
        <v>0</v>
      </c>
      <c r="I423" t="n">
        <v>0</v>
      </c>
      <c r="J423" t="n">
        <v>0</v>
      </c>
      <c r="K423" t="n">
        <v>0</v>
      </c>
      <c r="L423" t="n">
        <v>0</v>
      </c>
      <c r="M423" t="n">
        <v>0</v>
      </c>
      <c r="N423" t="n">
        <v>0</v>
      </c>
      <c r="O423" t="n">
        <v>0</v>
      </c>
      <c r="P423" t="n">
        <v>0</v>
      </c>
      <c r="Q423" t="n">
        <v>0</v>
      </c>
      <c r="R423" s="2" t="inlineStr"/>
    </row>
    <row r="424" ht="15" customHeight="1">
      <c r="A424" t="inlineStr">
        <is>
          <t>A 34407-2023</t>
        </is>
      </c>
      <c r="B424" s="1" t="n">
        <v>45132</v>
      </c>
      <c r="C424" s="1" t="n">
        <v>46176</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30892-2024</t>
        </is>
      </c>
      <c r="B425" s="1" t="n">
        <v>45491</v>
      </c>
      <c r="C425" s="1" t="n">
        <v>46176</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32958-2021</t>
        </is>
      </c>
      <c r="B426" s="1" t="n">
        <v>44376</v>
      </c>
      <c r="C426" s="1" t="n">
        <v>46176</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7858-2025</t>
        </is>
      </c>
      <c r="B427" s="1" t="n">
        <v>45706.68633101852</v>
      </c>
      <c r="C427" s="1" t="n">
        <v>46176</v>
      </c>
      <c r="D427" t="inlineStr">
        <is>
          <t>GOTLANDS LÄN</t>
        </is>
      </c>
      <c r="E427" t="inlineStr">
        <is>
          <t>GOTLAND</t>
        </is>
      </c>
      <c r="G427" t="n">
        <v>3</v>
      </c>
      <c r="H427" t="n">
        <v>0</v>
      </c>
      <c r="I427" t="n">
        <v>0</v>
      </c>
      <c r="J427" t="n">
        <v>0</v>
      </c>
      <c r="K427" t="n">
        <v>0</v>
      </c>
      <c r="L427" t="n">
        <v>0</v>
      </c>
      <c r="M427" t="n">
        <v>0</v>
      </c>
      <c r="N427" t="n">
        <v>0</v>
      </c>
      <c r="O427" t="n">
        <v>0</v>
      </c>
      <c r="P427" t="n">
        <v>0</v>
      </c>
      <c r="Q427" t="n">
        <v>0</v>
      </c>
      <c r="R427" s="2" t="inlineStr"/>
    </row>
    <row r="428" ht="15" customHeight="1">
      <c r="A428" t="inlineStr">
        <is>
          <t>A 46545-2024</t>
        </is>
      </c>
      <c r="B428" s="1" t="n">
        <v>45582.65831018519</v>
      </c>
      <c r="C428" s="1" t="n">
        <v>46176</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999-2023</t>
        </is>
      </c>
      <c r="B429" s="1" t="n">
        <v>44935</v>
      </c>
      <c r="C429" s="1" t="n">
        <v>46176</v>
      </c>
      <c r="D429" t="inlineStr">
        <is>
          <t>GOTLANDS LÄN</t>
        </is>
      </c>
      <c r="E429" t="inlineStr">
        <is>
          <t>GOTLAND</t>
        </is>
      </c>
      <c r="G429" t="n">
        <v>4.7</v>
      </c>
      <c r="H429" t="n">
        <v>0</v>
      </c>
      <c r="I429" t="n">
        <v>0</v>
      </c>
      <c r="J429" t="n">
        <v>0</v>
      </c>
      <c r="K429" t="n">
        <v>0</v>
      </c>
      <c r="L429" t="n">
        <v>0</v>
      </c>
      <c r="M429" t="n">
        <v>0</v>
      </c>
      <c r="N429" t="n">
        <v>0</v>
      </c>
      <c r="O429" t="n">
        <v>0</v>
      </c>
      <c r="P429" t="n">
        <v>0</v>
      </c>
      <c r="Q429" t="n">
        <v>0</v>
      </c>
      <c r="R429" s="2" t="inlineStr"/>
    </row>
    <row r="430" ht="15" customHeight="1">
      <c r="A430" t="inlineStr">
        <is>
          <t>A 1364-2025</t>
        </is>
      </c>
      <c r="B430" s="1" t="n">
        <v>45667.63929398148</v>
      </c>
      <c r="C430" s="1" t="n">
        <v>46176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2125-2025</t>
        </is>
      </c>
      <c r="B431" s="1" t="n">
        <v>45672.64940972222</v>
      </c>
      <c r="C431" s="1" t="n">
        <v>46176</v>
      </c>
      <c r="D431" t="inlineStr">
        <is>
          <t>GOTLANDS LÄN</t>
        </is>
      </c>
      <c r="E431" t="inlineStr">
        <is>
          <t>GOTLAND</t>
        </is>
      </c>
      <c r="G431" t="n">
        <v>2.3</v>
      </c>
      <c r="H431" t="n">
        <v>0</v>
      </c>
      <c r="I431" t="n">
        <v>0</v>
      </c>
      <c r="J431" t="n">
        <v>0</v>
      </c>
      <c r="K431" t="n">
        <v>0</v>
      </c>
      <c r="L431" t="n">
        <v>0</v>
      </c>
      <c r="M431" t="n">
        <v>0</v>
      </c>
      <c r="N431" t="n">
        <v>0</v>
      </c>
      <c r="O431" t="n">
        <v>0</v>
      </c>
      <c r="P431" t="n">
        <v>0</v>
      </c>
      <c r="Q431" t="n">
        <v>0</v>
      </c>
      <c r="R431" s="2" t="inlineStr"/>
    </row>
    <row r="432" ht="15" customHeight="1">
      <c r="A432" t="inlineStr">
        <is>
          <t>A 14141-2024</t>
        </is>
      </c>
      <c r="B432" s="1" t="n">
        <v>45392.85193287037</v>
      </c>
      <c r="C432" s="1" t="n">
        <v>46176</v>
      </c>
      <c r="D432" t="inlineStr">
        <is>
          <t>GOTLANDS LÄN</t>
        </is>
      </c>
      <c r="E432" t="inlineStr">
        <is>
          <t>GOTLAND</t>
        </is>
      </c>
      <c r="G432" t="n">
        <v>5.3</v>
      </c>
      <c r="H432" t="n">
        <v>0</v>
      </c>
      <c r="I432" t="n">
        <v>0</v>
      </c>
      <c r="J432" t="n">
        <v>0</v>
      </c>
      <c r="K432" t="n">
        <v>0</v>
      </c>
      <c r="L432" t="n">
        <v>0</v>
      </c>
      <c r="M432" t="n">
        <v>0</v>
      </c>
      <c r="N432" t="n">
        <v>0</v>
      </c>
      <c r="O432" t="n">
        <v>0</v>
      </c>
      <c r="P432" t="n">
        <v>0</v>
      </c>
      <c r="Q432" t="n">
        <v>0</v>
      </c>
      <c r="R432" s="2" t="inlineStr"/>
    </row>
    <row r="433" ht="15" customHeight="1">
      <c r="A433" t="inlineStr">
        <is>
          <t>A 12155-2023</t>
        </is>
      </c>
      <c r="B433" s="1" t="n">
        <v>44998.49106481481</v>
      </c>
      <c r="C433" s="1" t="n">
        <v>46176</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2774-2024</t>
        </is>
      </c>
      <c r="B434" s="1" t="n">
        <v>45314.62375</v>
      </c>
      <c r="C434" s="1" t="n">
        <v>46176</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56688-2025</t>
        </is>
      </c>
      <c r="B435" s="1" t="n">
        <v>45975.84331018518</v>
      </c>
      <c r="C435" s="1" t="n">
        <v>46176</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9947-2024</t>
        </is>
      </c>
      <c r="B436" s="1" t="n">
        <v>45363</v>
      </c>
      <c r="C436" s="1" t="n">
        <v>46176</v>
      </c>
      <c r="D436" t="inlineStr">
        <is>
          <t>GOTLANDS LÄN</t>
        </is>
      </c>
      <c r="E436" t="inlineStr">
        <is>
          <t>GOTLAND</t>
        </is>
      </c>
      <c r="G436" t="n">
        <v>2</v>
      </c>
      <c r="H436" t="n">
        <v>0</v>
      </c>
      <c r="I436" t="n">
        <v>0</v>
      </c>
      <c r="J436" t="n">
        <v>0</v>
      </c>
      <c r="K436" t="n">
        <v>0</v>
      </c>
      <c r="L436" t="n">
        <v>0</v>
      </c>
      <c r="M436" t="n">
        <v>0</v>
      </c>
      <c r="N436" t="n">
        <v>0</v>
      </c>
      <c r="O436" t="n">
        <v>0</v>
      </c>
      <c r="P436" t="n">
        <v>0</v>
      </c>
      <c r="Q436" t="n">
        <v>0</v>
      </c>
      <c r="R436" s="2" t="inlineStr"/>
    </row>
    <row r="437" ht="15" customHeight="1">
      <c r="A437" t="inlineStr">
        <is>
          <t>A 42007-2023</t>
        </is>
      </c>
      <c r="B437" s="1" t="n">
        <v>45177</v>
      </c>
      <c r="C437" s="1" t="n">
        <v>46176</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56799-2025</t>
        </is>
      </c>
      <c r="B438" s="1" t="n">
        <v>45978.43392361111</v>
      </c>
      <c r="C438" s="1" t="n">
        <v>46176</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15083-2025</t>
        </is>
      </c>
      <c r="B439" s="1" t="n">
        <v>45743</v>
      </c>
      <c r="C439" s="1" t="n">
        <v>46176</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59197-2025</t>
        </is>
      </c>
      <c r="B440" s="1" t="n">
        <v>45988.59846064815</v>
      </c>
      <c r="C440" s="1" t="n">
        <v>46176</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1066-2024</t>
        </is>
      </c>
      <c r="B441" s="1" t="n">
        <v>45302.285</v>
      </c>
      <c r="C441" s="1" t="n">
        <v>46176</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36319-2025</t>
        </is>
      </c>
      <c r="B442" s="1" t="n">
        <v>45868</v>
      </c>
      <c r="C442" s="1" t="n">
        <v>46176</v>
      </c>
      <c r="D442" t="inlineStr">
        <is>
          <t>GOTLANDS LÄN</t>
        </is>
      </c>
      <c r="E442" t="inlineStr">
        <is>
          <t>GOTLAND</t>
        </is>
      </c>
      <c r="G442" t="n">
        <v>2.9</v>
      </c>
      <c r="H442" t="n">
        <v>0</v>
      </c>
      <c r="I442" t="n">
        <v>0</v>
      </c>
      <c r="J442" t="n">
        <v>0</v>
      </c>
      <c r="K442" t="n">
        <v>0</v>
      </c>
      <c r="L442" t="n">
        <v>0</v>
      </c>
      <c r="M442" t="n">
        <v>0</v>
      </c>
      <c r="N442" t="n">
        <v>0</v>
      </c>
      <c r="O442" t="n">
        <v>0</v>
      </c>
      <c r="P442" t="n">
        <v>0</v>
      </c>
      <c r="Q442" t="n">
        <v>0</v>
      </c>
      <c r="R442" s="2" t="inlineStr"/>
    </row>
    <row r="443" ht="15" customHeight="1">
      <c r="A443" t="inlineStr">
        <is>
          <t>A 37202-2024</t>
        </is>
      </c>
      <c r="B443" s="1" t="n">
        <v>45539.67310185185</v>
      </c>
      <c r="C443" s="1" t="n">
        <v>46176</v>
      </c>
      <c r="D443" t="inlineStr">
        <is>
          <t>GOTLANDS LÄN</t>
        </is>
      </c>
      <c r="E443" t="inlineStr">
        <is>
          <t>GOTLAND</t>
        </is>
      </c>
      <c r="G443" t="n">
        <v>0.3</v>
      </c>
      <c r="H443" t="n">
        <v>0</v>
      </c>
      <c r="I443" t="n">
        <v>0</v>
      </c>
      <c r="J443" t="n">
        <v>0</v>
      </c>
      <c r="K443" t="n">
        <v>0</v>
      </c>
      <c r="L443" t="n">
        <v>0</v>
      </c>
      <c r="M443" t="n">
        <v>0</v>
      </c>
      <c r="N443" t="n">
        <v>0</v>
      </c>
      <c r="O443" t="n">
        <v>0</v>
      </c>
      <c r="P443" t="n">
        <v>0</v>
      </c>
      <c r="Q443" t="n">
        <v>0</v>
      </c>
      <c r="R443" s="2" t="inlineStr"/>
    </row>
    <row r="444" ht="15" customHeight="1">
      <c r="A444" t="inlineStr">
        <is>
          <t>A 30815-2023</t>
        </is>
      </c>
      <c r="B444" s="1" t="n">
        <v>45112</v>
      </c>
      <c r="C444" s="1" t="n">
        <v>46176</v>
      </c>
      <c r="D444" t="inlineStr">
        <is>
          <t>GOTLANDS LÄN</t>
        </is>
      </c>
      <c r="E444" t="inlineStr">
        <is>
          <t>GOTLAND</t>
        </is>
      </c>
      <c r="G444" t="n">
        <v>6</v>
      </c>
      <c r="H444" t="n">
        <v>0</v>
      </c>
      <c r="I444" t="n">
        <v>0</v>
      </c>
      <c r="J444" t="n">
        <v>0</v>
      </c>
      <c r="K444" t="n">
        <v>0</v>
      </c>
      <c r="L444" t="n">
        <v>0</v>
      </c>
      <c r="M444" t="n">
        <v>0</v>
      </c>
      <c r="N444" t="n">
        <v>0</v>
      </c>
      <c r="O444" t="n">
        <v>0</v>
      </c>
      <c r="P444" t="n">
        <v>0</v>
      </c>
      <c r="Q444" t="n">
        <v>0</v>
      </c>
      <c r="R444" s="2" t="inlineStr"/>
    </row>
    <row r="445" ht="15" customHeight="1">
      <c r="A445" t="inlineStr">
        <is>
          <t>A 46400-2023</t>
        </is>
      </c>
      <c r="B445" s="1" t="n">
        <v>45197.49290509259</v>
      </c>
      <c r="C445" s="1" t="n">
        <v>46176</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10492-2023</t>
        </is>
      </c>
      <c r="B446" s="1" t="n">
        <v>44987</v>
      </c>
      <c r="C446" s="1" t="n">
        <v>46176</v>
      </c>
      <c r="D446" t="inlineStr">
        <is>
          <t>GOTLANDS LÄN</t>
        </is>
      </c>
      <c r="E446" t="inlineStr">
        <is>
          <t>GOTLAND</t>
        </is>
      </c>
      <c r="G446" t="n">
        <v>1</v>
      </c>
      <c r="H446" t="n">
        <v>0</v>
      </c>
      <c r="I446" t="n">
        <v>0</v>
      </c>
      <c r="J446" t="n">
        <v>0</v>
      </c>
      <c r="K446" t="n">
        <v>0</v>
      </c>
      <c r="L446" t="n">
        <v>0</v>
      </c>
      <c r="M446" t="n">
        <v>0</v>
      </c>
      <c r="N446" t="n">
        <v>0</v>
      </c>
      <c r="O446" t="n">
        <v>0</v>
      </c>
      <c r="P446" t="n">
        <v>0</v>
      </c>
      <c r="Q446" t="n">
        <v>0</v>
      </c>
      <c r="R446" s="2" t="inlineStr"/>
    </row>
    <row r="447" ht="15" customHeight="1">
      <c r="A447" t="inlineStr">
        <is>
          <t>A 44919-2022</t>
        </is>
      </c>
      <c r="B447" s="1" t="n">
        <v>44841</v>
      </c>
      <c r="C447" s="1" t="n">
        <v>46176</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16501-2023</t>
        </is>
      </c>
      <c r="B448" s="1" t="n">
        <v>45029</v>
      </c>
      <c r="C448" s="1" t="n">
        <v>46176</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27095-2022</t>
        </is>
      </c>
      <c r="B449" s="1" t="n">
        <v>44741</v>
      </c>
      <c r="C449" s="1" t="n">
        <v>46176</v>
      </c>
      <c r="D449" t="inlineStr">
        <is>
          <t>GOTLANDS LÄN</t>
        </is>
      </c>
      <c r="E449" t="inlineStr">
        <is>
          <t>GOTLAND</t>
        </is>
      </c>
      <c r="F449" t="inlineStr">
        <is>
          <t>Övriga Aktiebolag</t>
        </is>
      </c>
      <c r="G449" t="n">
        <v>2.9</v>
      </c>
      <c r="H449" t="n">
        <v>0</v>
      </c>
      <c r="I449" t="n">
        <v>0</v>
      </c>
      <c r="J449" t="n">
        <v>0</v>
      </c>
      <c r="K449" t="n">
        <v>0</v>
      </c>
      <c r="L449" t="n">
        <v>0</v>
      </c>
      <c r="M449" t="n">
        <v>0</v>
      </c>
      <c r="N449" t="n">
        <v>0</v>
      </c>
      <c r="O449" t="n">
        <v>0</v>
      </c>
      <c r="P449" t="n">
        <v>0</v>
      </c>
      <c r="Q449" t="n">
        <v>0</v>
      </c>
      <c r="R449" s="2" t="inlineStr"/>
    </row>
    <row r="450" ht="15" customHeight="1">
      <c r="A450" t="inlineStr">
        <is>
          <t>A 458-2023</t>
        </is>
      </c>
      <c r="B450" s="1" t="n">
        <v>44929</v>
      </c>
      <c r="C450" s="1" t="n">
        <v>46176</v>
      </c>
      <c r="D450" t="inlineStr">
        <is>
          <t>GOTLANDS LÄN</t>
        </is>
      </c>
      <c r="E450" t="inlineStr">
        <is>
          <t>GOTLAND</t>
        </is>
      </c>
      <c r="G450" t="n">
        <v>3.6</v>
      </c>
      <c r="H450" t="n">
        <v>0</v>
      </c>
      <c r="I450" t="n">
        <v>0</v>
      </c>
      <c r="J450" t="n">
        <v>0</v>
      </c>
      <c r="K450" t="n">
        <v>0</v>
      </c>
      <c r="L450" t="n">
        <v>0</v>
      </c>
      <c r="M450" t="n">
        <v>0</v>
      </c>
      <c r="N450" t="n">
        <v>0</v>
      </c>
      <c r="O450" t="n">
        <v>0</v>
      </c>
      <c r="P450" t="n">
        <v>0</v>
      </c>
      <c r="Q450" t="n">
        <v>0</v>
      </c>
      <c r="R450" s="2" t="inlineStr"/>
    </row>
    <row r="451" ht="15" customHeight="1">
      <c r="A451" t="inlineStr">
        <is>
          <t>A 1291-2023</t>
        </is>
      </c>
      <c r="B451" s="1" t="n">
        <v>44936.47561342592</v>
      </c>
      <c r="C451" s="1" t="n">
        <v>46176</v>
      </c>
      <c r="D451" t="inlineStr">
        <is>
          <t>GOTLANDS LÄN</t>
        </is>
      </c>
      <c r="E451" t="inlineStr">
        <is>
          <t>GOTLAND</t>
        </is>
      </c>
      <c r="G451" t="n">
        <v>7.4</v>
      </c>
      <c r="H451" t="n">
        <v>0</v>
      </c>
      <c r="I451" t="n">
        <v>0</v>
      </c>
      <c r="J451" t="n">
        <v>0</v>
      </c>
      <c r="K451" t="n">
        <v>0</v>
      </c>
      <c r="L451" t="n">
        <v>0</v>
      </c>
      <c r="M451" t="n">
        <v>0</v>
      </c>
      <c r="N451" t="n">
        <v>0</v>
      </c>
      <c r="O451" t="n">
        <v>0</v>
      </c>
      <c r="P451" t="n">
        <v>0</v>
      </c>
      <c r="Q451" t="n">
        <v>0</v>
      </c>
      <c r="R451" s="2" t="inlineStr"/>
    </row>
    <row r="452" ht="15" customHeight="1">
      <c r="A452" t="inlineStr">
        <is>
          <t>A 32330-2024</t>
        </is>
      </c>
      <c r="B452" s="1" t="n">
        <v>45512</v>
      </c>
      <c r="C452" s="1" t="n">
        <v>46176</v>
      </c>
      <c r="D452" t="inlineStr">
        <is>
          <t>GOTLANDS LÄN</t>
        </is>
      </c>
      <c r="E452" t="inlineStr">
        <is>
          <t>GOTLAND</t>
        </is>
      </c>
      <c r="G452" t="n">
        <v>2.6</v>
      </c>
      <c r="H452" t="n">
        <v>0</v>
      </c>
      <c r="I452" t="n">
        <v>0</v>
      </c>
      <c r="J452" t="n">
        <v>0</v>
      </c>
      <c r="K452" t="n">
        <v>0</v>
      </c>
      <c r="L452" t="n">
        <v>0</v>
      </c>
      <c r="M452" t="n">
        <v>0</v>
      </c>
      <c r="N452" t="n">
        <v>0</v>
      </c>
      <c r="O452" t="n">
        <v>0</v>
      </c>
      <c r="P452" t="n">
        <v>0</v>
      </c>
      <c r="Q452" t="n">
        <v>0</v>
      </c>
      <c r="R452" s="2" t="inlineStr"/>
    </row>
    <row r="453" ht="15" customHeight="1">
      <c r="A453" t="inlineStr">
        <is>
          <t>A 5891-2025</t>
        </is>
      </c>
      <c r="B453" s="1" t="n">
        <v>45695.38327546296</v>
      </c>
      <c r="C453" s="1" t="n">
        <v>46176</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2719-2023</t>
        </is>
      </c>
      <c r="B454" s="1" t="n">
        <v>44944.55361111111</v>
      </c>
      <c r="C454" s="1" t="n">
        <v>46176</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17144-2025</t>
        </is>
      </c>
      <c r="B455" s="1" t="n">
        <v>45755.9499537037</v>
      </c>
      <c r="C455" s="1" t="n">
        <v>46176</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62066-2025</t>
        </is>
      </c>
      <c r="B456" s="1" t="n">
        <v>46006.34738425926</v>
      </c>
      <c r="C456" s="1" t="n">
        <v>46176</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62103-2025</t>
        </is>
      </c>
      <c r="B457" s="1" t="n">
        <v>46006</v>
      </c>
      <c r="C457" s="1" t="n">
        <v>46176</v>
      </c>
      <c r="D457" t="inlineStr">
        <is>
          <t>GOTLANDS LÄN</t>
        </is>
      </c>
      <c r="E457" t="inlineStr">
        <is>
          <t>GOTLAND</t>
        </is>
      </c>
      <c r="F457" t="inlineStr">
        <is>
          <t>Övriga Aktiebolag</t>
        </is>
      </c>
      <c r="G457" t="n">
        <v>1.7</v>
      </c>
      <c r="H457" t="n">
        <v>0</v>
      </c>
      <c r="I457" t="n">
        <v>0</v>
      </c>
      <c r="J457" t="n">
        <v>0</v>
      </c>
      <c r="K457" t="n">
        <v>0</v>
      </c>
      <c r="L457" t="n">
        <v>0</v>
      </c>
      <c r="M457" t="n">
        <v>0</v>
      </c>
      <c r="N457" t="n">
        <v>0</v>
      </c>
      <c r="O457" t="n">
        <v>0</v>
      </c>
      <c r="P457" t="n">
        <v>0</v>
      </c>
      <c r="Q457" t="n">
        <v>0</v>
      </c>
      <c r="R457" s="2" t="inlineStr"/>
    </row>
    <row r="458" ht="15" customHeight="1">
      <c r="A458" t="inlineStr">
        <is>
          <t>A 49314-2024</t>
        </is>
      </c>
      <c r="B458" s="1" t="n">
        <v>45595.55893518519</v>
      </c>
      <c r="C458" s="1" t="n">
        <v>46176</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9875-2025</t>
        </is>
      </c>
      <c r="B459" s="1" t="n">
        <v>45716</v>
      </c>
      <c r="C459" s="1" t="n">
        <v>46176</v>
      </c>
      <c r="D459" t="inlineStr">
        <is>
          <t>GOTLANDS LÄN</t>
        </is>
      </c>
      <c r="E459" t="inlineStr">
        <is>
          <t>GOTLAND</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29809-2022</t>
        </is>
      </c>
      <c r="B460" s="1" t="n">
        <v>44755.8713425926</v>
      </c>
      <c r="C460" s="1" t="n">
        <v>46176</v>
      </c>
      <c r="D460" t="inlineStr">
        <is>
          <t>GOTLANDS LÄN</t>
        </is>
      </c>
      <c r="E460" t="inlineStr">
        <is>
          <t>GOTLAND</t>
        </is>
      </c>
      <c r="G460" t="n">
        <v>11.5</v>
      </c>
      <c r="H460" t="n">
        <v>0</v>
      </c>
      <c r="I460" t="n">
        <v>0</v>
      </c>
      <c r="J460" t="n">
        <v>0</v>
      </c>
      <c r="K460" t="n">
        <v>0</v>
      </c>
      <c r="L460" t="n">
        <v>0</v>
      </c>
      <c r="M460" t="n">
        <v>0</v>
      </c>
      <c r="N460" t="n">
        <v>0</v>
      </c>
      <c r="O460" t="n">
        <v>0</v>
      </c>
      <c r="P460" t="n">
        <v>0</v>
      </c>
      <c r="Q460" t="n">
        <v>0</v>
      </c>
      <c r="R460" s="2" t="inlineStr"/>
    </row>
    <row r="461" ht="15" customHeight="1">
      <c r="A461" t="inlineStr">
        <is>
          <t>A 63002-2025</t>
        </is>
      </c>
      <c r="B461" s="1" t="n">
        <v>46009.56564814815</v>
      </c>
      <c r="C461" s="1" t="n">
        <v>46176</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16361-2024</t>
        </is>
      </c>
      <c r="B462" s="1" t="n">
        <v>45407</v>
      </c>
      <c r="C462" s="1" t="n">
        <v>46176</v>
      </c>
      <c r="D462" t="inlineStr">
        <is>
          <t>GOTLANDS LÄN</t>
        </is>
      </c>
      <c r="E462" t="inlineStr">
        <is>
          <t>GOTLAND</t>
        </is>
      </c>
      <c r="G462" t="n">
        <v>6</v>
      </c>
      <c r="H462" t="n">
        <v>0</v>
      </c>
      <c r="I462" t="n">
        <v>0</v>
      </c>
      <c r="J462" t="n">
        <v>0</v>
      </c>
      <c r="K462" t="n">
        <v>0</v>
      </c>
      <c r="L462" t="n">
        <v>0</v>
      </c>
      <c r="M462" t="n">
        <v>0</v>
      </c>
      <c r="N462" t="n">
        <v>0</v>
      </c>
      <c r="O462" t="n">
        <v>0</v>
      </c>
      <c r="P462" t="n">
        <v>0</v>
      </c>
      <c r="Q462" t="n">
        <v>0</v>
      </c>
      <c r="R462" s="2" t="inlineStr"/>
    </row>
    <row r="463" ht="15" customHeight="1">
      <c r="A463" t="inlineStr">
        <is>
          <t>A 43081-2022</t>
        </is>
      </c>
      <c r="B463" s="1" t="n">
        <v>44833</v>
      </c>
      <c r="C463" s="1" t="n">
        <v>46176</v>
      </c>
      <c r="D463" t="inlineStr">
        <is>
          <t>GOTLANDS LÄN</t>
        </is>
      </c>
      <c r="E463" t="inlineStr">
        <is>
          <t>GOTLAND</t>
        </is>
      </c>
      <c r="G463" t="n">
        <v>6.8</v>
      </c>
      <c r="H463" t="n">
        <v>0</v>
      </c>
      <c r="I463" t="n">
        <v>0</v>
      </c>
      <c r="J463" t="n">
        <v>0</v>
      </c>
      <c r="K463" t="n">
        <v>0</v>
      </c>
      <c r="L463" t="n">
        <v>0</v>
      </c>
      <c r="M463" t="n">
        <v>0</v>
      </c>
      <c r="N463" t="n">
        <v>0</v>
      </c>
      <c r="O463" t="n">
        <v>0</v>
      </c>
      <c r="P463" t="n">
        <v>0</v>
      </c>
      <c r="Q463" t="n">
        <v>0</v>
      </c>
      <c r="R463" s="2" t="inlineStr"/>
    </row>
    <row r="464" ht="15" customHeight="1">
      <c r="A464" t="inlineStr">
        <is>
          <t>A 1175-2025</t>
        </is>
      </c>
      <c r="B464" s="1" t="n">
        <v>45667.34449074074</v>
      </c>
      <c r="C464" s="1" t="n">
        <v>46176</v>
      </c>
      <c r="D464" t="inlineStr">
        <is>
          <t>GOTLANDS LÄN</t>
        </is>
      </c>
      <c r="E464" t="inlineStr">
        <is>
          <t>GOTLAND</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38649-2025</t>
        </is>
      </c>
      <c r="B465" s="1" t="n">
        <v>45884</v>
      </c>
      <c r="C465" s="1" t="n">
        <v>46176</v>
      </c>
      <c r="D465" t="inlineStr">
        <is>
          <t>GOTLANDS LÄN</t>
        </is>
      </c>
      <c r="E465" t="inlineStr">
        <is>
          <t>GOTLAND</t>
        </is>
      </c>
      <c r="G465" t="n">
        <v>1.5</v>
      </c>
      <c r="H465" t="n">
        <v>0</v>
      </c>
      <c r="I465" t="n">
        <v>0</v>
      </c>
      <c r="J465" t="n">
        <v>0</v>
      </c>
      <c r="K465" t="n">
        <v>0</v>
      </c>
      <c r="L465" t="n">
        <v>0</v>
      </c>
      <c r="M465" t="n">
        <v>0</v>
      </c>
      <c r="N465" t="n">
        <v>0</v>
      </c>
      <c r="O465" t="n">
        <v>0</v>
      </c>
      <c r="P465" t="n">
        <v>0</v>
      </c>
      <c r="Q465" t="n">
        <v>0</v>
      </c>
      <c r="R465" s="2" t="inlineStr"/>
    </row>
    <row r="466" ht="15" customHeight="1">
      <c r="A466" t="inlineStr">
        <is>
          <t>A 61078-2025</t>
        </is>
      </c>
      <c r="B466" s="1" t="n">
        <v>46000</v>
      </c>
      <c r="C466" s="1" t="n">
        <v>46176</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3150-2025</t>
        </is>
      </c>
      <c r="B467" s="1" t="n">
        <v>45679.28974537037</v>
      </c>
      <c r="C467" s="1" t="n">
        <v>46176</v>
      </c>
      <c r="D467" t="inlineStr">
        <is>
          <t>GOTLANDS LÄN</t>
        </is>
      </c>
      <c r="E467" t="inlineStr">
        <is>
          <t>GOTLAND</t>
        </is>
      </c>
      <c r="G467" t="n">
        <v>2.5</v>
      </c>
      <c r="H467" t="n">
        <v>0</v>
      </c>
      <c r="I467" t="n">
        <v>0</v>
      </c>
      <c r="J467" t="n">
        <v>0</v>
      </c>
      <c r="K467" t="n">
        <v>0</v>
      </c>
      <c r="L467" t="n">
        <v>0</v>
      </c>
      <c r="M467" t="n">
        <v>0</v>
      </c>
      <c r="N467" t="n">
        <v>0</v>
      </c>
      <c r="O467" t="n">
        <v>0</v>
      </c>
      <c r="P467" t="n">
        <v>0</v>
      </c>
      <c r="Q467" t="n">
        <v>0</v>
      </c>
      <c r="R467" s="2" t="inlineStr"/>
    </row>
    <row r="468" ht="15" customHeight="1">
      <c r="A468" t="inlineStr">
        <is>
          <t>A 36-2026</t>
        </is>
      </c>
      <c r="B468" s="1" t="n">
        <v>46024.38886574074</v>
      </c>
      <c r="C468" s="1" t="n">
        <v>46176</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42041-2024</t>
        </is>
      </c>
      <c r="B469" s="1" t="n">
        <v>45561</v>
      </c>
      <c r="C469" s="1" t="n">
        <v>46176</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1355-2026</t>
        </is>
      </c>
      <c r="B470" s="1" t="n">
        <v>46031.59909722222</v>
      </c>
      <c r="C470" s="1" t="n">
        <v>46176</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1898-2026</t>
        </is>
      </c>
      <c r="B471" s="1" t="n">
        <v>46035.52024305556</v>
      </c>
      <c r="C471" s="1" t="n">
        <v>46176</v>
      </c>
      <c r="D471" t="inlineStr">
        <is>
          <t>GOTLANDS LÄN</t>
        </is>
      </c>
      <c r="E471" t="inlineStr">
        <is>
          <t>GOTLAND</t>
        </is>
      </c>
      <c r="G471" t="n">
        <v>3.7</v>
      </c>
      <c r="H471" t="n">
        <v>0</v>
      </c>
      <c r="I471" t="n">
        <v>0</v>
      </c>
      <c r="J471" t="n">
        <v>0</v>
      </c>
      <c r="K471" t="n">
        <v>0</v>
      </c>
      <c r="L471" t="n">
        <v>0</v>
      </c>
      <c r="M471" t="n">
        <v>0</v>
      </c>
      <c r="N471" t="n">
        <v>0</v>
      </c>
      <c r="O471" t="n">
        <v>0</v>
      </c>
      <c r="P471" t="n">
        <v>0</v>
      </c>
      <c r="Q471" t="n">
        <v>0</v>
      </c>
      <c r="R471" s="2" t="inlineStr"/>
    </row>
    <row r="472" ht="15" customHeight="1">
      <c r="A472" t="inlineStr">
        <is>
          <t>A 15436-2025</t>
        </is>
      </c>
      <c r="B472" s="1" t="n">
        <v>45747.47462962963</v>
      </c>
      <c r="C472" s="1" t="n">
        <v>46176</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21247-2022</t>
        </is>
      </c>
      <c r="B473" s="1" t="n">
        <v>44705.38832175926</v>
      </c>
      <c r="C473" s="1" t="n">
        <v>46176</v>
      </c>
      <c r="D473" t="inlineStr">
        <is>
          <t>GOTLANDS LÄN</t>
        </is>
      </c>
      <c r="E473" t="inlineStr">
        <is>
          <t>GOTLAND</t>
        </is>
      </c>
      <c r="G473" t="n">
        <v>16.2</v>
      </c>
      <c r="H473" t="n">
        <v>0</v>
      </c>
      <c r="I473" t="n">
        <v>0</v>
      </c>
      <c r="J473" t="n">
        <v>0</v>
      </c>
      <c r="K473" t="n">
        <v>0</v>
      </c>
      <c r="L473" t="n">
        <v>0</v>
      </c>
      <c r="M473" t="n">
        <v>0</v>
      </c>
      <c r="N473" t="n">
        <v>0</v>
      </c>
      <c r="O473" t="n">
        <v>0</v>
      </c>
      <c r="P473" t="n">
        <v>0</v>
      </c>
      <c r="Q473" t="n">
        <v>0</v>
      </c>
      <c r="R473" s="2" t="inlineStr"/>
    </row>
    <row r="474" ht="15" customHeight="1">
      <c r="A474" t="inlineStr">
        <is>
          <t>A 2415-2026</t>
        </is>
      </c>
      <c r="B474" s="1" t="n">
        <v>46036.76203703704</v>
      </c>
      <c r="C474" s="1" t="n">
        <v>46176</v>
      </c>
      <c r="D474" t="inlineStr">
        <is>
          <t>GOTLANDS LÄN</t>
        </is>
      </c>
      <c r="E474" t="inlineStr">
        <is>
          <t>GOTLAND</t>
        </is>
      </c>
      <c r="G474" t="n">
        <v>6.9</v>
      </c>
      <c r="H474" t="n">
        <v>0</v>
      </c>
      <c r="I474" t="n">
        <v>0</v>
      </c>
      <c r="J474" t="n">
        <v>0</v>
      </c>
      <c r="K474" t="n">
        <v>0</v>
      </c>
      <c r="L474" t="n">
        <v>0</v>
      </c>
      <c r="M474" t="n">
        <v>0</v>
      </c>
      <c r="N474" t="n">
        <v>0</v>
      </c>
      <c r="O474" t="n">
        <v>0</v>
      </c>
      <c r="P474" t="n">
        <v>0</v>
      </c>
      <c r="Q474" t="n">
        <v>0</v>
      </c>
      <c r="R474" s="2" t="inlineStr"/>
    </row>
    <row r="475" ht="15" customHeight="1">
      <c r="A475" t="inlineStr">
        <is>
          <t>A 3253-2026</t>
        </is>
      </c>
      <c r="B475" s="1" t="n">
        <v>46041.58902777778</v>
      </c>
      <c r="C475" s="1" t="n">
        <v>46176</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44682.82622685185</v>
      </c>
      <c r="C476" s="1" t="n">
        <v>46176</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63516-2023</t>
        </is>
      </c>
      <c r="B477" s="1" t="n">
        <v>45274</v>
      </c>
      <c r="C477" s="1" t="n">
        <v>46176</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53935-2024</t>
        </is>
      </c>
      <c r="B478" s="1" t="n">
        <v>45615</v>
      </c>
      <c r="C478" s="1" t="n">
        <v>46176</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69112-2021</t>
        </is>
      </c>
      <c r="B479" s="1" t="n">
        <v>44530</v>
      </c>
      <c r="C479" s="1" t="n">
        <v>46176</v>
      </c>
      <c r="D479" t="inlineStr">
        <is>
          <t>GOTLANDS LÄN</t>
        </is>
      </c>
      <c r="E479" t="inlineStr">
        <is>
          <t>GOTLAND</t>
        </is>
      </c>
      <c r="G479" t="n">
        <v>4.2</v>
      </c>
      <c r="H479" t="n">
        <v>0</v>
      </c>
      <c r="I479" t="n">
        <v>0</v>
      </c>
      <c r="J479" t="n">
        <v>0</v>
      </c>
      <c r="K479" t="n">
        <v>0</v>
      </c>
      <c r="L479" t="n">
        <v>0</v>
      </c>
      <c r="M479" t="n">
        <v>0</v>
      </c>
      <c r="N479" t="n">
        <v>0</v>
      </c>
      <c r="O479" t="n">
        <v>0</v>
      </c>
      <c r="P479" t="n">
        <v>0</v>
      </c>
      <c r="Q479" t="n">
        <v>0</v>
      </c>
      <c r="R479" s="2" t="inlineStr"/>
    </row>
    <row r="480" ht="15" customHeight="1">
      <c r="A480" t="inlineStr">
        <is>
          <t>A 48734-2022</t>
        </is>
      </c>
      <c r="B480" s="1" t="n">
        <v>44855</v>
      </c>
      <c r="C480" s="1" t="n">
        <v>46176</v>
      </c>
      <c r="D480" t="inlineStr">
        <is>
          <t>GOTLANDS LÄN</t>
        </is>
      </c>
      <c r="E480" t="inlineStr">
        <is>
          <t>GOTLAND</t>
        </is>
      </c>
      <c r="G480" t="n">
        <v>1.6</v>
      </c>
      <c r="H480" t="n">
        <v>0</v>
      </c>
      <c r="I480" t="n">
        <v>0</v>
      </c>
      <c r="J480" t="n">
        <v>0</v>
      </c>
      <c r="K480" t="n">
        <v>0</v>
      </c>
      <c r="L480" t="n">
        <v>0</v>
      </c>
      <c r="M480" t="n">
        <v>0</v>
      </c>
      <c r="N480" t="n">
        <v>0</v>
      </c>
      <c r="O480" t="n">
        <v>0</v>
      </c>
      <c r="P480" t="n">
        <v>0</v>
      </c>
      <c r="Q480" t="n">
        <v>0</v>
      </c>
      <c r="R480" s="2" t="inlineStr"/>
    </row>
    <row r="481" ht="15" customHeight="1">
      <c r="A481" t="inlineStr">
        <is>
          <t>A 23516-2023</t>
        </is>
      </c>
      <c r="B481" s="1" t="n">
        <v>45076.93391203704</v>
      </c>
      <c r="C481" s="1" t="n">
        <v>46176</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43231-2023</t>
        </is>
      </c>
      <c r="B482" s="1" t="n">
        <v>45183.47025462963</v>
      </c>
      <c r="C482" s="1" t="n">
        <v>46176</v>
      </c>
      <c r="D482" t="inlineStr">
        <is>
          <t>GOTLANDS LÄN</t>
        </is>
      </c>
      <c r="E482" t="inlineStr">
        <is>
          <t>GOTLAND</t>
        </is>
      </c>
      <c r="G482" t="n">
        <v>3.6</v>
      </c>
      <c r="H482" t="n">
        <v>0</v>
      </c>
      <c r="I482" t="n">
        <v>0</v>
      </c>
      <c r="J482" t="n">
        <v>0</v>
      </c>
      <c r="K482" t="n">
        <v>0</v>
      </c>
      <c r="L482" t="n">
        <v>0</v>
      </c>
      <c r="M482" t="n">
        <v>0</v>
      </c>
      <c r="N482" t="n">
        <v>0</v>
      </c>
      <c r="O482" t="n">
        <v>0</v>
      </c>
      <c r="P482" t="n">
        <v>0</v>
      </c>
      <c r="Q482" t="n">
        <v>0</v>
      </c>
      <c r="R482" s="2" t="inlineStr"/>
    </row>
    <row r="483" ht="15" customHeight="1">
      <c r="A483" t="inlineStr">
        <is>
          <t>A 58230-2024</t>
        </is>
      </c>
      <c r="B483" s="1" t="n">
        <v>45632.51625</v>
      </c>
      <c r="C483" s="1" t="n">
        <v>46176</v>
      </c>
      <c r="D483" t="inlineStr">
        <is>
          <t>GOTLANDS LÄN</t>
        </is>
      </c>
      <c r="E483" t="inlineStr">
        <is>
          <t>GOTLAND</t>
        </is>
      </c>
      <c r="G483" t="n">
        <v>7.3</v>
      </c>
      <c r="H483" t="n">
        <v>0</v>
      </c>
      <c r="I483" t="n">
        <v>0</v>
      </c>
      <c r="J483" t="n">
        <v>0</v>
      </c>
      <c r="K483" t="n">
        <v>0</v>
      </c>
      <c r="L483" t="n">
        <v>0</v>
      </c>
      <c r="M483" t="n">
        <v>0</v>
      </c>
      <c r="N483" t="n">
        <v>0</v>
      </c>
      <c r="O483" t="n">
        <v>0</v>
      </c>
      <c r="P483" t="n">
        <v>0</v>
      </c>
      <c r="Q483" t="n">
        <v>0</v>
      </c>
      <c r="R483" s="2" t="inlineStr"/>
    </row>
    <row r="484" ht="15" customHeight="1">
      <c r="A484" t="inlineStr">
        <is>
          <t>A 64555-2023</t>
        </is>
      </c>
      <c r="B484" s="1" t="n">
        <v>45281</v>
      </c>
      <c r="C484" s="1" t="n">
        <v>46176</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4646-2026</t>
        </is>
      </c>
      <c r="B485" s="1" t="n">
        <v>46048.40357638889</v>
      </c>
      <c r="C485" s="1" t="n">
        <v>46176</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457-2023</t>
        </is>
      </c>
      <c r="B486" s="1" t="n">
        <v>44929.87238425926</v>
      </c>
      <c r="C486" s="1" t="n">
        <v>46176</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459-2023</t>
        </is>
      </c>
      <c r="B487" s="1" t="n">
        <v>44929.87423611111</v>
      </c>
      <c r="C487" s="1" t="n">
        <v>46176</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4634-2026</t>
        </is>
      </c>
      <c r="B488" s="1" t="n">
        <v>46048.39304398148</v>
      </c>
      <c r="C488" s="1" t="n">
        <v>46176</v>
      </c>
      <c r="D488" t="inlineStr">
        <is>
          <t>GOTLANDS LÄN</t>
        </is>
      </c>
      <c r="E488" t="inlineStr">
        <is>
          <t>GOTLAND</t>
        </is>
      </c>
      <c r="G488" t="n">
        <v>7.8</v>
      </c>
      <c r="H488" t="n">
        <v>0</v>
      </c>
      <c r="I488" t="n">
        <v>0</v>
      </c>
      <c r="J488" t="n">
        <v>0</v>
      </c>
      <c r="K488" t="n">
        <v>0</v>
      </c>
      <c r="L488" t="n">
        <v>0</v>
      </c>
      <c r="M488" t="n">
        <v>0</v>
      </c>
      <c r="N488" t="n">
        <v>0</v>
      </c>
      <c r="O488" t="n">
        <v>0</v>
      </c>
      <c r="P488" t="n">
        <v>0</v>
      </c>
      <c r="Q488" t="n">
        <v>0</v>
      </c>
      <c r="R488" s="2" t="inlineStr"/>
    </row>
    <row r="489" ht="15" customHeight="1">
      <c r="A489" t="inlineStr">
        <is>
          <t>A 4670-2026</t>
        </is>
      </c>
      <c r="B489" s="1" t="n">
        <v>46048.41733796296</v>
      </c>
      <c r="C489" s="1" t="n">
        <v>46176</v>
      </c>
      <c r="D489" t="inlineStr">
        <is>
          <t>GOTLANDS LÄN</t>
        </is>
      </c>
      <c r="E489" t="inlineStr">
        <is>
          <t>GOTLAND</t>
        </is>
      </c>
      <c r="G489" t="n">
        <v>1.7</v>
      </c>
      <c r="H489" t="n">
        <v>0</v>
      </c>
      <c r="I489" t="n">
        <v>0</v>
      </c>
      <c r="J489" t="n">
        <v>0</v>
      </c>
      <c r="K489" t="n">
        <v>0</v>
      </c>
      <c r="L489" t="n">
        <v>0</v>
      </c>
      <c r="M489" t="n">
        <v>0</v>
      </c>
      <c r="N489" t="n">
        <v>0</v>
      </c>
      <c r="O489" t="n">
        <v>0</v>
      </c>
      <c r="P489" t="n">
        <v>0</v>
      </c>
      <c r="Q489" t="n">
        <v>0</v>
      </c>
      <c r="R489" s="2" t="inlineStr"/>
    </row>
    <row r="490" ht="15" customHeight="1">
      <c r="A490" t="inlineStr">
        <is>
          <t>A 876-2024</t>
        </is>
      </c>
      <c r="B490" s="1" t="n">
        <v>45301</v>
      </c>
      <c r="C490" s="1" t="n">
        <v>46176</v>
      </c>
      <c r="D490" t="inlineStr">
        <is>
          <t>GOTLANDS LÄN</t>
        </is>
      </c>
      <c r="E490" t="inlineStr">
        <is>
          <t>GOTLAND</t>
        </is>
      </c>
      <c r="G490" t="n">
        <v>5.3</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46176</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5923-2023</t>
        </is>
      </c>
      <c r="B492" s="1" t="n">
        <v>44963.69503472222</v>
      </c>
      <c r="C492" s="1" t="n">
        <v>46176</v>
      </c>
      <c r="D492" t="inlineStr">
        <is>
          <t>GOTLANDS LÄN</t>
        </is>
      </c>
      <c r="E492" t="inlineStr">
        <is>
          <t>GOTLAND</t>
        </is>
      </c>
      <c r="G492" t="n">
        <v>2.6</v>
      </c>
      <c r="H492" t="n">
        <v>0</v>
      </c>
      <c r="I492" t="n">
        <v>0</v>
      </c>
      <c r="J492" t="n">
        <v>0</v>
      </c>
      <c r="K492" t="n">
        <v>0</v>
      </c>
      <c r="L492" t="n">
        <v>0</v>
      </c>
      <c r="M492" t="n">
        <v>0</v>
      </c>
      <c r="N492" t="n">
        <v>0</v>
      </c>
      <c r="O492" t="n">
        <v>0</v>
      </c>
      <c r="P492" t="n">
        <v>0</v>
      </c>
      <c r="Q492" t="n">
        <v>0</v>
      </c>
      <c r="R492" s="2" t="inlineStr"/>
    </row>
    <row r="493" ht="15" customHeight="1">
      <c r="A493" t="inlineStr">
        <is>
          <t>A 50482-2024</t>
        </is>
      </c>
      <c r="B493" s="1" t="n">
        <v>45601.48114583334</v>
      </c>
      <c r="C493" s="1" t="n">
        <v>46176</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5943-2024</t>
        </is>
      </c>
      <c r="B494" s="1" t="n">
        <v>45336</v>
      </c>
      <c r="C494" s="1" t="n">
        <v>46176</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38234-2023</t>
        </is>
      </c>
      <c r="B495" s="1" t="n">
        <v>45161.56663194444</v>
      </c>
      <c r="C495" s="1" t="n">
        <v>46176</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1273-2023</t>
        </is>
      </c>
      <c r="B496" s="1" t="n">
        <v>44936</v>
      </c>
      <c r="C496" s="1" t="n">
        <v>46176</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6207-2026</t>
        </is>
      </c>
      <c r="B497" s="1" t="n">
        <v>46055.42083333333</v>
      </c>
      <c r="C497" s="1" t="n">
        <v>46176</v>
      </c>
      <c r="D497" t="inlineStr">
        <is>
          <t>GOTLANDS LÄN</t>
        </is>
      </c>
      <c r="E497" t="inlineStr">
        <is>
          <t>GOTLAND</t>
        </is>
      </c>
      <c r="G497" t="n">
        <v>7.6</v>
      </c>
      <c r="H497" t="n">
        <v>0</v>
      </c>
      <c r="I497" t="n">
        <v>0</v>
      </c>
      <c r="J497" t="n">
        <v>0</v>
      </c>
      <c r="K497" t="n">
        <v>0</v>
      </c>
      <c r="L497" t="n">
        <v>0</v>
      </c>
      <c r="M497" t="n">
        <v>0</v>
      </c>
      <c r="N497" t="n">
        <v>0</v>
      </c>
      <c r="O497" t="n">
        <v>0</v>
      </c>
      <c r="P497" t="n">
        <v>0</v>
      </c>
      <c r="Q497" t="n">
        <v>0</v>
      </c>
      <c r="R497" s="2" t="inlineStr"/>
    </row>
    <row r="498" ht="15" customHeight="1">
      <c r="A498" t="inlineStr">
        <is>
          <t>A 6218-2026</t>
        </is>
      </c>
      <c r="B498" s="1" t="n">
        <v>46055.42859953704</v>
      </c>
      <c r="C498" s="1" t="n">
        <v>46176</v>
      </c>
      <c r="D498" t="inlineStr">
        <is>
          <t>GOTLANDS LÄN</t>
        </is>
      </c>
      <c r="E498" t="inlineStr">
        <is>
          <t>GOTLAND</t>
        </is>
      </c>
      <c r="G498" t="n">
        <v>4.3</v>
      </c>
      <c r="H498" t="n">
        <v>0</v>
      </c>
      <c r="I498" t="n">
        <v>0</v>
      </c>
      <c r="J498" t="n">
        <v>0</v>
      </c>
      <c r="K498" t="n">
        <v>0</v>
      </c>
      <c r="L498" t="n">
        <v>0</v>
      </c>
      <c r="M498" t="n">
        <v>0</v>
      </c>
      <c r="N498" t="n">
        <v>0</v>
      </c>
      <c r="O498" t="n">
        <v>0</v>
      </c>
      <c r="P498" t="n">
        <v>0</v>
      </c>
      <c r="Q498" t="n">
        <v>0</v>
      </c>
      <c r="R498" s="2" t="inlineStr"/>
    </row>
    <row r="499" ht="15" customHeight="1">
      <c r="A499" t="inlineStr">
        <is>
          <t>A 6959-2026</t>
        </is>
      </c>
      <c r="B499" s="1" t="n">
        <v>46057.580625</v>
      </c>
      <c r="C499" s="1" t="n">
        <v>46176</v>
      </c>
      <c r="D499" t="inlineStr">
        <is>
          <t>GOTLANDS LÄN</t>
        </is>
      </c>
      <c r="E499" t="inlineStr">
        <is>
          <t>GOTLAND</t>
        </is>
      </c>
      <c r="F499" t="inlineStr">
        <is>
          <t>Kyrkan</t>
        </is>
      </c>
      <c r="G499" t="n">
        <v>1.2</v>
      </c>
      <c r="H499" t="n">
        <v>0</v>
      </c>
      <c r="I499" t="n">
        <v>0</v>
      </c>
      <c r="J499" t="n">
        <v>0</v>
      </c>
      <c r="K499" t="n">
        <v>0</v>
      </c>
      <c r="L499" t="n">
        <v>0</v>
      </c>
      <c r="M499" t="n">
        <v>0</v>
      </c>
      <c r="N499" t="n">
        <v>0</v>
      </c>
      <c r="O499" t="n">
        <v>0</v>
      </c>
      <c r="P499" t="n">
        <v>0</v>
      </c>
      <c r="Q499" t="n">
        <v>0</v>
      </c>
      <c r="R499" s="2" t="inlineStr"/>
    </row>
    <row r="500" ht="15" customHeight="1">
      <c r="A500" t="inlineStr">
        <is>
          <t>A 6960-2026</t>
        </is>
      </c>
      <c r="B500" s="1" t="n">
        <v>46057.58105324074</v>
      </c>
      <c r="C500" s="1" t="n">
        <v>46176</v>
      </c>
      <c r="D500" t="inlineStr">
        <is>
          <t>GOTLANDS LÄN</t>
        </is>
      </c>
      <c r="E500" t="inlineStr">
        <is>
          <t>GOTLAND</t>
        </is>
      </c>
      <c r="F500" t="inlineStr">
        <is>
          <t>Kyrkan</t>
        </is>
      </c>
      <c r="G500" t="n">
        <v>2.4</v>
      </c>
      <c r="H500" t="n">
        <v>0</v>
      </c>
      <c r="I500" t="n">
        <v>0</v>
      </c>
      <c r="J500" t="n">
        <v>0</v>
      </c>
      <c r="K500" t="n">
        <v>0</v>
      </c>
      <c r="L500" t="n">
        <v>0</v>
      </c>
      <c r="M500" t="n">
        <v>0</v>
      </c>
      <c r="N500" t="n">
        <v>0</v>
      </c>
      <c r="O500" t="n">
        <v>0</v>
      </c>
      <c r="P500" t="n">
        <v>0</v>
      </c>
      <c r="Q500" t="n">
        <v>0</v>
      </c>
      <c r="R500" s="2" t="inlineStr"/>
    </row>
    <row r="501" ht="15" customHeight="1">
      <c r="A501" t="inlineStr">
        <is>
          <t>A 17724-2024</t>
        </is>
      </c>
      <c r="B501" s="1" t="n">
        <v>45418.55096064815</v>
      </c>
      <c r="C501" s="1" t="n">
        <v>46176</v>
      </c>
      <c r="D501" t="inlineStr">
        <is>
          <t>GOTLANDS LÄN</t>
        </is>
      </c>
      <c r="E501" t="inlineStr">
        <is>
          <t>GOTLAND</t>
        </is>
      </c>
      <c r="G501" t="n">
        <v>2</v>
      </c>
      <c r="H501" t="n">
        <v>0</v>
      </c>
      <c r="I501" t="n">
        <v>0</v>
      </c>
      <c r="J501" t="n">
        <v>0</v>
      </c>
      <c r="K501" t="n">
        <v>0</v>
      </c>
      <c r="L501" t="n">
        <v>0</v>
      </c>
      <c r="M501" t="n">
        <v>0</v>
      </c>
      <c r="N501" t="n">
        <v>0</v>
      </c>
      <c r="O501" t="n">
        <v>0</v>
      </c>
      <c r="P501" t="n">
        <v>0</v>
      </c>
      <c r="Q501" t="n">
        <v>0</v>
      </c>
      <c r="R501" s="2" t="inlineStr"/>
    </row>
    <row r="502" ht="15" customHeight="1">
      <c r="A502" t="inlineStr">
        <is>
          <t>A 23978-2023</t>
        </is>
      </c>
      <c r="B502" s="1" t="n">
        <v>45078</v>
      </c>
      <c r="C502" s="1" t="n">
        <v>46176</v>
      </c>
      <c r="D502" t="inlineStr">
        <is>
          <t>GOTLANDS LÄN</t>
        </is>
      </c>
      <c r="E502" t="inlineStr">
        <is>
          <t>GOTLAND</t>
        </is>
      </c>
      <c r="F502" t="inlineStr">
        <is>
          <t>Naturvårdsverket</t>
        </is>
      </c>
      <c r="G502" t="n">
        <v>1.7</v>
      </c>
      <c r="H502" t="n">
        <v>0</v>
      </c>
      <c r="I502" t="n">
        <v>0</v>
      </c>
      <c r="J502" t="n">
        <v>0</v>
      </c>
      <c r="K502" t="n">
        <v>0</v>
      </c>
      <c r="L502" t="n">
        <v>0</v>
      </c>
      <c r="M502" t="n">
        <v>0</v>
      </c>
      <c r="N502" t="n">
        <v>0</v>
      </c>
      <c r="O502" t="n">
        <v>0</v>
      </c>
      <c r="P502" t="n">
        <v>0</v>
      </c>
      <c r="Q502" t="n">
        <v>0</v>
      </c>
      <c r="R502" s="2" t="inlineStr"/>
    </row>
    <row r="503" ht="15" customHeight="1">
      <c r="A503" t="inlineStr">
        <is>
          <t>A 49884-2023</t>
        </is>
      </c>
      <c r="B503" s="1" t="n">
        <v>45213</v>
      </c>
      <c r="C503" s="1" t="n">
        <v>46176</v>
      </c>
      <c r="D503" t="inlineStr">
        <is>
          <t>GOTLANDS LÄN</t>
        </is>
      </c>
      <c r="E503" t="inlineStr">
        <is>
          <t>GOTLAND</t>
        </is>
      </c>
      <c r="G503" t="n">
        <v>8.9</v>
      </c>
      <c r="H503" t="n">
        <v>0</v>
      </c>
      <c r="I503" t="n">
        <v>0</v>
      </c>
      <c r="J503" t="n">
        <v>0</v>
      </c>
      <c r="K503" t="n">
        <v>0</v>
      </c>
      <c r="L503" t="n">
        <v>0</v>
      </c>
      <c r="M503" t="n">
        <v>0</v>
      </c>
      <c r="N503" t="n">
        <v>0</v>
      </c>
      <c r="O503" t="n">
        <v>0</v>
      </c>
      <c r="P503" t="n">
        <v>0</v>
      </c>
      <c r="Q503" t="n">
        <v>0</v>
      </c>
      <c r="R503" s="2" t="inlineStr"/>
    </row>
    <row r="504" ht="15" customHeight="1">
      <c r="A504" t="inlineStr">
        <is>
          <t>A 12846-2025</t>
        </is>
      </c>
      <c r="B504" s="1" t="n">
        <v>45733.65049768519</v>
      </c>
      <c r="C504" s="1" t="n">
        <v>46176</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7627-2026</t>
        </is>
      </c>
      <c r="B505" s="1" t="n">
        <v>46062.35465277778</v>
      </c>
      <c r="C505" s="1" t="n">
        <v>46176</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43200-2023</t>
        </is>
      </c>
      <c r="B506" s="1" t="n">
        <v>45183</v>
      </c>
      <c r="C506" s="1" t="n">
        <v>46176</v>
      </c>
      <c r="D506" t="inlineStr">
        <is>
          <t>GOTLANDS LÄN</t>
        </is>
      </c>
      <c r="E506" t="inlineStr">
        <is>
          <t>GOTLAND</t>
        </is>
      </c>
      <c r="G506" t="n">
        <v>0.5</v>
      </c>
      <c r="H506" t="n">
        <v>0</v>
      </c>
      <c r="I506" t="n">
        <v>0</v>
      </c>
      <c r="J506" t="n">
        <v>0</v>
      </c>
      <c r="K506" t="n">
        <v>0</v>
      </c>
      <c r="L506" t="n">
        <v>0</v>
      </c>
      <c r="M506" t="n">
        <v>0</v>
      </c>
      <c r="N506" t="n">
        <v>0</v>
      </c>
      <c r="O506" t="n">
        <v>0</v>
      </c>
      <c r="P506" t="n">
        <v>0</v>
      </c>
      <c r="Q506" t="n">
        <v>0</v>
      </c>
      <c r="R506" s="2" t="inlineStr"/>
    </row>
    <row r="507" ht="15" customHeight="1">
      <c r="A507" t="inlineStr">
        <is>
          <t>A 63105-2025</t>
        </is>
      </c>
      <c r="B507" s="1" t="n">
        <v>46009</v>
      </c>
      <c r="C507" s="1" t="n">
        <v>46176</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2135-2026</t>
        </is>
      </c>
      <c r="B508" s="1" t="n">
        <v>46036</v>
      </c>
      <c r="C508" s="1" t="n">
        <v>46176</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3935-2025</t>
        </is>
      </c>
      <c r="B509" s="1" t="n">
        <v>45684.46070601852</v>
      </c>
      <c r="C509" s="1" t="n">
        <v>46176</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2134-2026</t>
        </is>
      </c>
      <c r="B510" s="1" t="n">
        <v>46036</v>
      </c>
      <c r="C510" s="1" t="n">
        <v>46176</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21792-2024</t>
        </is>
      </c>
      <c r="B511" s="1" t="n">
        <v>45442.64326388889</v>
      </c>
      <c r="C511" s="1" t="n">
        <v>46176</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48843-2024</t>
        </is>
      </c>
      <c r="B512" s="1" t="n">
        <v>45593</v>
      </c>
      <c r="C512" s="1" t="n">
        <v>46176</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53561-2025</t>
        </is>
      </c>
      <c r="B513" s="1" t="n">
        <v>45960.4059375</v>
      </c>
      <c r="C513" s="1" t="n">
        <v>46176</v>
      </c>
      <c r="D513" t="inlineStr">
        <is>
          <t>GOTLANDS LÄN</t>
        </is>
      </c>
      <c r="E513" t="inlineStr">
        <is>
          <t>GOTLAND</t>
        </is>
      </c>
      <c r="F513" t="inlineStr">
        <is>
          <t>Övriga Aktiebolag</t>
        </is>
      </c>
      <c r="G513" t="n">
        <v>2.4</v>
      </c>
      <c r="H513" t="n">
        <v>0</v>
      </c>
      <c r="I513" t="n">
        <v>0</v>
      </c>
      <c r="J513" t="n">
        <v>0</v>
      </c>
      <c r="K513" t="n">
        <v>0</v>
      </c>
      <c r="L513" t="n">
        <v>0</v>
      </c>
      <c r="M513" t="n">
        <v>0</v>
      </c>
      <c r="N513" t="n">
        <v>0</v>
      </c>
      <c r="O513" t="n">
        <v>0</v>
      </c>
      <c r="P513" t="n">
        <v>0</v>
      </c>
      <c r="Q513" t="n">
        <v>0</v>
      </c>
      <c r="R513" s="2" t="inlineStr"/>
    </row>
    <row r="514" ht="15" customHeight="1">
      <c r="A514" t="inlineStr">
        <is>
          <t>A 53587-2025</t>
        </is>
      </c>
      <c r="B514" s="1" t="n">
        <v>45960.43681712963</v>
      </c>
      <c r="C514" s="1" t="n">
        <v>46176</v>
      </c>
      <c r="D514" t="inlineStr">
        <is>
          <t>GOTLANDS LÄN</t>
        </is>
      </c>
      <c r="E514" t="inlineStr">
        <is>
          <t>GOTLAND</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9540-2026</t>
        </is>
      </c>
      <c r="B515" s="1" t="n">
        <v>46071.61961805556</v>
      </c>
      <c r="C515" s="1" t="n">
        <v>46176</v>
      </c>
      <c r="D515" t="inlineStr">
        <is>
          <t>GOTLANDS LÄN</t>
        </is>
      </c>
      <c r="E515" t="inlineStr">
        <is>
          <t>GOTLAND</t>
        </is>
      </c>
      <c r="G515" t="n">
        <v>2.8</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46176</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46176</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9543-2026</t>
        </is>
      </c>
      <c r="B518" s="1" t="n">
        <v>46071.62486111111</v>
      </c>
      <c r="C518" s="1" t="n">
        <v>46176</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10653-2023</t>
        </is>
      </c>
      <c r="B519" s="1" t="n">
        <v>44988.48859953704</v>
      </c>
      <c r="C519" s="1" t="n">
        <v>46176</v>
      </c>
      <c r="D519" t="inlineStr">
        <is>
          <t>GOTLANDS LÄN</t>
        </is>
      </c>
      <c r="E519" t="inlineStr">
        <is>
          <t>GOTLAND</t>
        </is>
      </c>
      <c r="F519" t="inlineStr">
        <is>
          <t>Kyrkan</t>
        </is>
      </c>
      <c r="G519" t="n">
        <v>3</v>
      </c>
      <c r="H519" t="n">
        <v>0</v>
      </c>
      <c r="I519" t="n">
        <v>0</v>
      </c>
      <c r="J519" t="n">
        <v>0</v>
      </c>
      <c r="K519" t="n">
        <v>0</v>
      </c>
      <c r="L519" t="n">
        <v>0</v>
      </c>
      <c r="M519" t="n">
        <v>0</v>
      </c>
      <c r="N519" t="n">
        <v>0</v>
      </c>
      <c r="O519" t="n">
        <v>0</v>
      </c>
      <c r="P519" t="n">
        <v>0</v>
      </c>
      <c r="Q519" t="n">
        <v>0</v>
      </c>
      <c r="R519" s="2" t="inlineStr"/>
    </row>
    <row r="520" ht="15" customHeight="1">
      <c r="A520" t="inlineStr">
        <is>
          <t>A 9504-2026</t>
        </is>
      </c>
      <c r="B520" s="1" t="n">
        <v>46071.57730324074</v>
      </c>
      <c r="C520" s="1" t="n">
        <v>46176</v>
      </c>
      <c r="D520" t="inlineStr">
        <is>
          <t>GOTLANDS LÄN</t>
        </is>
      </c>
      <c r="E520" t="inlineStr">
        <is>
          <t>GOTLAND</t>
        </is>
      </c>
      <c r="G520" t="n">
        <v>0.6</v>
      </c>
      <c r="H520" t="n">
        <v>0</v>
      </c>
      <c r="I520" t="n">
        <v>0</v>
      </c>
      <c r="J520" t="n">
        <v>0</v>
      </c>
      <c r="K520" t="n">
        <v>0</v>
      </c>
      <c r="L520" t="n">
        <v>0</v>
      </c>
      <c r="M520" t="n">
        <v>0</v>
      </c>
      <c r="N520" t="n">
        <v>0</v>
      </c>
      <c r="O520" t="n">
        <v>0</v>
      </c>
      <c r="P520" t="n">
        <v>0</v>
      </c>
      <c r="Q520" t="n">
        <v>0</v>
      </c>
      <c r="R520" s="2" t="inlineStr"/>
    </row>
    <row r="521" ht="15" customHeight="1">
      <c r="A521" t="inlineStr">
        <is>
          <t>A 9518-2026</t>
        </is>
      </c>
      <c r="B521" s="1" t="n">
        <v>46071.59653935185</v>
      </c>
      <c r="C521" s="1" t="n">
        <v>46176</v>
      </c>
      <c r="D521" t="inlineStr">
        <is>
          <t>GOTLANDS LÄN</t>
        </is>
      </c>
      <c r="E521" t="inlineStr">
        <is>
          <t>GOTLAND</t>
        </is>
      </c>
      <c r="G521" t="n">
        <v>6.2</v>
      </c>
      <c r="H521" t="n">
        <v>0</v>
      </c>
      <c r="I521" t="n">
        <v>0</v>
      </c>
      <c r="J521" t="n">
        <v>0</v>
      </c>
      <c r="K521" t="n">
        <v>0</v>
      </c>
      <c r="L521" t="n">
        <v>0</v>
      </c>
      <c r="M521" t="n">
        <v>0</v>
      </c>
      <c r="N521" t="n">
        <v>0</v>
      </c>
      <c r="O521" t="n">
        <v>0</v>
      </c>
      <c r="P521" t="n">
        <v>0</v>
      </c>
      <c r="Q521" t="n">
        <v>0</v>
      </c>
      <c r="R521" s="2" t="inlineStr"/>
    </row>
    <row r="522" ht="15" customHeight="1">
      <c r="A522" t="inlineStr">
        <is>
          <t>A 9519-2026</t>
        </is>
      </c>
      <c r="B522" s="1" t="n">
        <v>46071.59820601852</v>
      </c>
      <c r="C522" s="1" t="n">
        <v>46176</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9901-2026</t>
        </is>
      </c>
      <c r="B523" s="1" t="n">
        <v>46073.40391203704</v>
      </c>
      <c r="C523" s="1" t="n">
        <v>46176</v>
      </c>
      <c r="D523" t="inlineStr">
        <is>
          <t>GOTLANDS LÄN</t>
        </is>
      </c>
      <c r="E523" t="inlineStr">
        <is>
          <t>GOTLAND</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35512-2023</t>
        </is>
      </c>
      <c r="B524" s="1" t="n">
        <v>45147.25623842593</v>
      </c>
      <c r="C524" s="1" t="n">
        <v>46176</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11874-2024</t>
        </is>
      </c>
      <c r="B525" s="1" t="n">
        <v>45376.46956018519</v>
      </c>
      <c r="C525" s="1" t="n">
        <v>46176</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10284-2026</t>
        </is>
      </c>
      <c r="B526" s="1" t="n">
        <v>46076</v>
      </c>
      <c r="C526" s="1" t="n">
        <v>46176</v>
      </c>
      <c r="D526" t="inlineStr">
        <is>
          <t>GOTLANDS LÄN</t>
        </is>
      </c>
      <c r="E526" t="inlineStr">
        <is>
          <t>GOTLAND</t>
        </is>
      </c>
      <c r="G526" t="n">
        <v>5.2</v>
      </c>
      <c r="H526" t="n">
        <v>0</v>
      </c>
      <c r="I526" t="n">
        <v>0</v>
      </c>
      <c r="J526" t="n">
        <v>0</v>
      </c>
      <c r="K526" t="n">
        <v>0</v>
      </c>
      <c r="L526" t="n">
        <v>0</v>
      </c>
      <c r="M526" t="n">
        <v>0</v>
      </c>
      <c r="N526" t="n">
        <v>0</v>
      </c>
      <c r="O526" t="n">
        <v>0</v>
      </c>
      <c r="P526" t="n">
        <v>0</v>
      </c>
      <c r="Q526" t="n">
        <v>0</v>
      </c>
      <c r="R526" s="2" t="inlineStr"/>
    </row>
    <row r="527" ht="15" customHeight="1">
      <c r="A527" t="inlineStr">
        <is>
          <t>A 10486-2026</t>
        </is>
      </c>
      <c r="B527" s="1" t="n">
        <v>46077.51425925926</v>
      </c>
      <c r="C527" s="1" t="n">
        <v>46176</v>
      </c>
      <c r="D527" t="inlineStr">
        <is>
          <t>GOTLANDS LÄN</t>
        </is>
      </c>
      <c r="E527" t="inlineStr">
        <is>
          <t>GOTLAND</t>
        </is>
      </c>
      <c r="G527" t="n">
        <v>3.5</v>
      </c>
      <c r="H527" t="n">
        <v>0</v>
      </c>
      <c r="I527" t="n">
        <v>0</v>
      </c>
      <c r="J527" t="n">
        <v>0</v>
      </c>
      <c r="K527" t="n">
        <v>0</v>
      </c>
      <c r="L527" t="n">
        <v>0</v>
      </c>
      <c r="M527" t="n">
        <v>0</v>
      </c>
      <c r="N527" t="n">
        <v>0</v>
      </c>
      <c r="O527" t="n">
        <v>0</v>
      </c>
      <c r="P527" t="n">
        <v>0</v>
      </c>
      <c r="Q527" t="n">
        <v>0</v>
      </c>
      <c r="R527" s="2" t="inlineStr"/>
    </row>
    <row r="528" ht="15" customHeight="1">
      <c r="A528" t="inlineStr">
        <is>
          <t>A 60384-2025</t>
        </is>
      </c>
      <c r="B528" s="1" t="n">
        <v>45995</v>
      </c>
      <c r="C528" s="1" t="n">
        <v>46176</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20225-2025</t>
        </is>
      </c>
      <c r="B529" s="1" t="n">
        <v>45772.65802083333</v>
      </c>
      <c r="C529" s="1" t="n">
        <v>46176</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1677-2023</t>
        </is>
      </c>
      <c r="B530" s="1" t="n">
        <v>44938</v>
      </c>
      <c r="C530" s="1" t="n">
        <v>46176</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64831-2023</t>
        </is>
      </c>
      <c r="B531" s="1" t="n">
        <v>45282.44924768519</v>
      </c>
      <c r="C531" s="1" t="n">
        <v>46176</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54584-2025</t>
        </is>
      </c>
      <c r="B532" s="1" t="n">
        <v>45965.71788194445</v>
      </c>
      <c r="C532" s="1" t="n">
        <v>46176</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11424-2026</t>
        </is>
      </c>
      <c r="B533" s="1" t="n">
        <v>46083.48068287037</v>
      </c>
      <c r="C533" s="1" t="n">
        <v>46176</v>
      </c>
      <c r="D533" t="inlineStr">
        <is>
          <t>GOTLANDS LÄN</t>
        </is>
      </c>
      <c r="E533" t="inlineStr">
        <is>
          <t>GOTLAND</t>
        </is>
      </c>
      <c r="G533" t="n">
        <v>1.3</v>
      </c>
      <c r="H533" t="n">
        <v>0</v>
      </c>
      <c r="I533" t="n">
        <v>0</v>
      </c>
      <c r="J533" t="n">
        <v>0</v>
      </c>
      <c r="K533" t="n">
        <v>0</v>
      </c>
      <c r="L533" t="n">
        <v>0</v>
      </c>
      <c r="M533" t="n">
        <v>0</v>
      </c>
      <c r="N533" t="n">
        <v>0</v>
      </c>
      <c r="O533" t="n">
        <v>0</v>
      </c>
      <c r="P533" t="n">
        <v>0</v>
      </c>
      <c r="Q533" t="n">
        <v>0</v>
      </c>
      <c r="R533" s="2" t="inlineStr"/>
    </row>
    <row r="534" ht="15" customHeight="1">
      <c r="A534" t="inlineStr">
        <is>
          <t>A 3067-2026</t>
        </is>
      </c>
      <c r="B534" s="1" t="n">
        <v>46040.59025462963</v>
      </c>
      <c r="C534" s="1" t="n">
        <v>46176</v>
      </c>
      <c r="D534" t="inlineStr">
        <is>
          <t>GOTLANDS LÄN</t>
        </is>
      </c>
      <c r="E534" t="inlineStr">
        <is>
          <t>GOTLAND</t>
        </is>
      </c>
      <c r="G534" t="n">
        <v>7.8</v>
      </c>
      <c r="H534" t="n">
        <v>0</v>
      </c>
      <c r="I534" t="n">
        <v>0</v>
      </c>
      <c r="J534" t="n">
        <v>0</v>
      </c>
      <c r="K534" t="n">
        <v>0</v>
      </c>
      <c r="L534" t="n">
        <v>0</v>
      </c>
      <c r="M534" t="n">
        <v>0</v>
      </c>
      <c r="N534" t="n">
        <v>0</v>
      </c>
      <c r="O534" t="n">
        <v>0</v>
      </c>
      <c r="P534" t="n">
        <v>0</v>
      </c>
      <c r="Q534" t="n">
        <v>0</v>
      </c>
      <c r="R534" s="2" t="inlineStr"/>
    </row>
    <row r="535" ht="15" customHeight="1">
      <c r="A535" t="inlineStr">
        <is>
          <t>A 8036-2022</t>
        </is>
      </c>
      <c r="B535" s="1" t="n">
        <v>44609.44362268518</v>
      </c>
      <c r="C535" s="1" t="n">
        <v>46176</v>
      </c>
      <c r="D535" t="inlineStr">
        <is>
          <t>GOTLANDS LÄN</t>
        </is>
      </c>
      <c r="E535" t="inlineStr">
        <is>
          <t>GOTLAND</t>
        </is>
      </c>
      <c r="G535" t="n">
        <v>6.1</v>
      </c>
      <c r="H535" t="n">
        <v>0</v>
      </c>
      <c r="I535" t="n">
        <v>0</v>
      </c>
      <c r="J535" t="n">
        <v>0</v>
      </c>
      <c r="K535" t="n">
        <v>0</v>
      </c>
      <c r="L535" t="n">
        <v>0</v>
      </c>
      <c r="M535" t="n">
        <v>0</v>
      </c>
      <c r="N535" t="n">
        <v>0</v>
      </c>
      <c r="O535" t="n">
        <v>0</v>
      </c>
      <c r="P535" t="n">
        <v>0</v>
      </c>
      <c r="Q535" t="n">
        <v>0</v>
      </c>
      <c r="R535" s="2" t="inlineStr"/>
    </row>
    <row r="536" ht="15" customHeight="1">
      <c r="A536" t="inlineStr">
        <is>
          <t>A 11414-2026</t>
        </is>
      </c>
      <c r="B536" s="1" t="n">
        <v>46083.46336805556</v>
      </c>
      <c r="C536" s="1" t="n">
        <v>46176</v>
      </c>
      <c r="D536" t="inlineStr">
        <is>
          <t>GOTLANDS LÄN</t>
        </is>
      </c>
      <c r="E536" t="inlineStr">
        <is>
          <t>GOTLAND</t>
        </is>
      </c>
      <c r="G536" t="n">
        <v>4.9</v>
      </c>
      <c r="H536" t="n">
        <v>0</v>
      </c>
      <c r="I536" t="n">
        <v>0</v>
      </c>
      <c r="J536" t="n">
        <v>0</v>
      </c>
      <c r="K536" t="n">
        <v>0</v>
      </c>
      <c r="L536" t="n">
        <v>0</v>
      </c>
      <c r="M536" t="n">
        <v>0</v>
      </c>
      <c r="N536" t="n">
        <v>0</v>
      </c>
      <c r="O536" t="n">
        <v>0</v>
      </c>
      <c r="P536" t="n">
        <v>0</v>
      </c>
      <c r="Q536" t="n">
        <v>0</v>
      </c>
      <c r="R536" s="2" t="inlineStr"/>
    </row>
    <row r="537" ht="15" customHeight="1">
      <c r="A537" t="inlineStr">
        <is>
          <t>A 46375-2024</t>
        </is>
      </c>
      <c r="B537" s="1" t="n">
        <v>45582</v>
      </c>
      <c r="C537" s="1" t="n">
        <v>46176</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62915-2021</t>
        </is>
      </c>
      <c r="B538" s="1" t="n">
        <v>44504</v>
      </c>
      <c r="C538" s="1" t="n">
        <v>46176</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7638-2025</t>
        </is>
      </c>
      <c r="B539" s="1" t="n">
        <v>45705.77306712963</v>
      </c>
      <c r="C539" s="1" t="n">
        <v>46176</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4377-2023</t>
        </is>
      </c>
      <c r="B540" s="1" t="n">
        <v>44955.5502662037</v>
      </c>
      <c r="C540" s="1" t="n">
        <v>46176</v>
      </c>
      <c r="D540" t="inlineStr">
        <is>
          <t>GOTLANDS LÄN</t>
        </is>
      </c>
      <c r="E540" t="inlineStr">
        <is>
          <t>GOTLAND</t>
        </is>
      </c>
      <c r="F540" t="inlineStr">
        <is>
          <t>Kyrkan</t>
        </is>
      </c>
      <c r="G540" t="n">
        <v>0.6</v>
      </c>
      <c r="H540" t="n">
        <v>0</v>
      </c>
      <c r="I540" t="n">
        <v>0</v>
      </c>
      <c r="J540" t="n">
        <v>0</v>
      </c>
      <c r="K540" t="n">
        <v>0</v>
      </c>
      <c r="L540" t="n">
        <v>0</v>
      </c>
      <c r="M540" t="n">
        <v>0</v>
      </c>
      <c r="N540" t="n">
        <v>0</v>
      </c>
      <c r="O540" t="n">
        <v>0</v>
      </c>
      <c r="P540" t="n">
        <v>0</v>
      </c>
      <c r="Q540" t="n">
        <v>0</v>
      </c>
      <c r="R540" s="2" t="inlineStr"/>
    </row>
    <row r="541" ht="15" customHeight="1">
      <c r="A541" t="inlineStr">
        <is>
          <t>A 43901-2023</t>
        </is>
      </c>
      <c r="B541" s="1" t="n">
        <v>45187</v>
      </c>
      <c r="C541" s="1" t="n">
        <v>46176</v>
      </c>
      <c r="D541" t="inlineStr">
        <is>
          <t>GOTLANDS LÄN</t>
        </is>
      </c>
      <c r="E541" t="inlineStr">
        <is>
          <t>GOTLAND</t>
        </is>
      </c>
      <c r="G541" t="n">
        <v>5.4</v>
      </c>
      <c r="H541" t="n">
        <v>0</v>
      </c>
      <c r="I541" t="n">
        <v>0</v>
      </c>
      <c r="J541" t="n">
        <v>0</v>
      </c>
      <c r="K541" t="n">
        <v>0</v>
      </c>
      <c r="L541" t="n">
        <v>0</v>
      </c>
      <c r="M541" t="n">
        <v>0</v>
      </c>
      <c r="N541" t="n">
        <v>0</v>
      </c>
      <c r="O541" t="n">
        <v>0</v>
      </c>
      <c r="P541" t="n">
        <v>0</v>
      </c>
      <c r="Q541" t="n">
        <v>0</v>
      </c>
      <c r="R541" s="2" t="inlineStr"/>
    </row>
    <row r="542" ht="15" customHeight="1">
      <c r="A542" t="inlineStr">
        <is>
          <t>A 17532-2024</t>
        </is>
      </c>
      <c r="B542" s="1" t="n">
        <v>45415</v>
      </c>
      <c r="C542" s="1" t="n">
        <v>46176</v>
      </c>
      <c r="D542" t="inlineStr">
        <is>
          <t>GOTLANDS LÄN</t>
        </is>
      </c>
      <c r="E542" t="inlineStr">
        <is>
          <t>GOTLAND</t>
        </is>
      </c>
      <c r="G542" t="n">
        <v>4.3</v>
      </c>
      <c r="H542" t="n">
        <v>0</v>
      </c>
      <c r="I542" t="n">
        <v>0</v>
      </c>
      <c r="J542" t="n">
        <v>0</v>
      </c>
      <c r="K542" t="n">
        <v>0</v>
      </c>
      <c r="L542" t="n">
        <v>0</v>
      </c>
      <c r="M542" t="n">
        <v>0</v>
      </c>
      <c r="N542" t="n">
        <v>0</v>
      </c>
      <c r="O542" t="n">
        <v>0</v>
      </c>
      <c r="P542" t="n">
        <v>0</v>
      </c>
      <c r="Q542" t="n">
        <v>0</v>
      </c>
      <c r="R542" s="2" t="inlineStr"/>
    </row>
    <row r="543" ht="15" customHeight="1">
      <c r="A543" t="inlineStr">
        <is>
          <t>A 45692-2023</t>
        </is>
      </c>
      <c r="B543" s="1" t="n">
        <v>45195</v>
      </c>
      <c r="C543" s="1" t="n">
        <v>46176</v>
      </c>
      <c r="D543" t="inlineStr">
        <is>
          <t>GOTLANDS LÄN</t>
        </is>
      </c>
      <c r="E543" t="inlineStr">
        <is>
          <t>GOTLAND</t>
        </is>
      </c>
      <c r="G543" t="n">
        <v>5.3</v>
      </c>
      <c r="H543" t="n">
        <v>0</v>
      </c>
      <c r="I543" t="n">
        <v>0</v>
      </c>
      <c r="J543" t="n">
        <v>0</v>
      </c>
      <c r="K543" t="n">
        <v>0</v>
      </c>
      <c r="L543" t="n">
        <v>0</v>
      </c>
      <c r="M543" t="n">
        <v>0</v>
      </c>
      <c r="N543" t="n">
        <v>0</v>
      </c>
      <c r="O543" t="n">
        <v>0</v>
      </c>
      <c r="P543" t="n">
        <v>0</v>
      </c>
      <c r="Q543" t="n">
        <v>0</v>
      </c>
      <c r="R543" s="2" t="inlineStr"/>
    </row>
    <row r="544" ht="15" customHeight="1">
      <c r="A544" t="inlineStr">
        <is>
          <t>A 37222-2021</t>
        </is>
      </c>
      <c r="B544" s="1" t="n">
        <v>44396</v>
      </c>
      <c r="C544" s="1" t="n">
        <v>46176</v>
      </c>
      <c r="D544" t="inlineStr">
        <is>
          <t>GOTLANDS LÄN</t>
        </is>
      </c>
      <c r="E544" t="inlineStr">
        <is>
          <t>GOTLAND</t>
        </is>
      </c>
      <c r="G544" t="n">
        <v>3</v>
      </c>
      <c r="H544" t="n">
        <v>0</v>
      </c>
      <c r="I544" t="n">
        <v>0</v>
      </c>
      <c r="J544" t="n">
        <v>0</v>
      </c>
      <c r="K544" t="n">
        <v>0</v>
      </c>
      <c r="L544" t="n">
        <v>0</v>
      </c>
      <c r="M544" t="n">
        <v>0</v>
      </c>
      <c r="N544" t="n">
        <v>0</v>
      </c>
      <c r="O544" t="n">
        <v>0</v>
      </c>
      <c r="P544" t="n">
        <v>0</v>
      </c>
      <c r="Q544" t="n">
        <v>0</v>
      </c>
      <c r="R544" s="2" t="inlineStr"/>
    </row>
    <row r="545" ht="15" customHeight="1">
      <c r="A545" t="inlineStr">
        <is>
          <t>A 46396-2023</t>
        </is>
      </c>
      <c r="B545" s="1" t="n">
        <v>45197</v>
      </c>
      <c r="C545" s="1" t="n">
        <v>46176</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58388-2022</t>
        </is>
      </c>
      <c r="B546" s="1" t="n">
        <v>44894</v>
      </c>
      <c r="C546" s="1" t="n">
        <v>46176</v>
      </c>
      <c r="D546" t="inlineStr">
        <is>
          <t>GOTLANDS LÄN</t>
        </is>
      </c>
      <c r="E546" t="inlineStr">
        <is>
          <t>GOTLAND</t>
        </is>
      </c>
      <c r="F546" t="inlineStr">
        <is>
          <t>Övriga statliga verk och myndigheter</t>
        </is>
      </c>
      <c r="G546" t="n">
        <v>3.1</v>
      </c>
      <c r="H546" t="n">
        <v>0</v>
      </c>
      <c r="I546" t="n">
        <v>0</v>
      </c>
      <c r="J546" t="n">
        <v>0</v>
      </c>
      <c r="K546" t="n">
        <v>0</v>
      </c>
      <c r="L546" t="n">
        <v>0</v>
      </c>
      <c r="M546" t="n">
        <v>0</v>
      </c>
      <c r="N546" t="n">
        <v>0</v>
      </c>
      <c r="O546" t="n">
        <v>0</v>
      </c>
      <c r="P546" t="n">
        <v>0</v>
      </c>
      <c r="Q546" t="n">
        <v>0</v>
      </c>
      <c r="R546" s="2" t="inlineStr"/>
    </row>
    <row r="547" ht="15" customHeight="1">
      <c r="A547" t="inlineStr">
        <is>
          <t>A 53934-2024</t>
        </is>
      </c>
      <c r="B547" s="1" t="n">
        <v>45615</v>
      </c>
      <c r="C547" s="1" t="n">
        <v>46176</v>
      </c>
      <c r="D547" t="inlineStr">
        <is>
          <t>GOTLANDS LÄN</t>
        </is>
      </c>
      <c r="E547" t="inlineStr">
        <is>
          <t>GOTLAND</t>
        </is>
      </c>
      <c r="G547" t="n">
        <v>5</v>
      </c>
      <c r="H547" t="n">
        <v>0</v>
      </c>
      <c r="I547" t="n">
        <v>0</v>
      </c>
      <c r="J547" t="n">
        <v>0</v>
      </c>
      <c r="K547" t="n">
        <v>0</v>
      </c>
      <c r="L547" t="n">
        <v>0</v>
      </c>
      <c r="M547" t="n">
        <v>0</v>
      </c>
      <c r="N547" t="n">
        <v>0</v>
      </c>
      <c r="O547" t="n">
        <v>0</v>
      </c>
      <c r="P547" t="n">
        <v>0</v>
      </c>
      <c r="Q547" t="n">
        <v>0</v>
      </c>
      <c r="R547" s="2" t="inlineStr"/>
    </row>
    <row r="548" ht="15" customHeight="1">
      <c r="A548" t="inlineStr">
        <is>
          <t>A 58132-2023</t>
        </is>
      </c>
      <c r="B548" s="1" t="n">
        <v>45250</v>
      </c>
      <c r="C548" s="1" t="n">
        <v>46176</v>
      </c>
      <c r="D548" t="inlineStr">
        <is>
          <t>GOTLANDS LÄN</t>
        </is>
      </c>
      <c r="E548" t="inlineStr">
        <is>
          <t>GOTLAND</t>
        </is>
      </c>
      <c r="G548" t="n">
        <v>3.1</v>
      </c>
      <c r="H548" t="n">
        <v>0</v>
      </c>
      <c r="I548" t="n">
        <v>0</v>
      </c>
      <c r="J548" t="n">
        <v>0</v>
      </c>
      <c r="K548" t="n">
        <v>0</v>
      </c>
      <c r="L548" t="n">
        <v>0</v>
      </c>
      <c r="M548" t="n">
        <v>0</v>
      </c>
      <c r="N548" t="n">
        <v>0</v>
      </c>
      <c r="O548" t="n">
        <v>0</v>
      </c>
      <c r="P548" t="n">
        <v>0</v>
      </c>
      <c r="Q548" t="n">
        <v>0</v>
      </c>
      <c r="R548" s="2" t="inlineStr"/>
    </row>
    <row r="549" ht="15" customHeight="1">
      <c r="A549" t="inlineStr">
        <is>
          <t>A 22899-2023</t>
        </is>
      </c>
      <c r="B549" s="1" t="n">
        <v>45072</v>
      </c>
      <c r="C549" s="1" t="n">
        <v>46176</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28285-2024</t>
        </is>
      </c>
      <c r="B550" s="1" t="n">
        <v>45477</v>
      </c>
      <c r="C550" s="1" t="n">
        <v>46176</v>
      </c>
      <c r="D550" t="inlineStr">
        <is>
          <t>GOTLANDS LÄN</t>
        </is>
      </c>
      <c r="E550" t="inlineStr">
        <is>
          <t>GOTLAND</t>
        </is>
      </c>
      <c r="G550" t="n">
        <v>1.6</v>
      </c>
      <c r="H550" t="n">
        <v>0</v>
      </c>
      <c r="I550" t="n">
        <v>0</v>
      </c>
      <c r="J550" t="n">
        <v>0</v>
      </c>
      <c r="K550" t="n">
        <v>0</v>
      </c>
      <c r="L550" t="n">
        <v>0</v>
      </c>
      <c r="M550" t="n">
        <v>0</v>
      </c>
      <c r="N550" t="n">
        <v>0</v>
      </c>
      <c r="O550" t="n">
        <v>0</v>
      </c>
      <c r="P550" t="n">
        <v>0</v>
      </c>
      <c r="Q550" t="n">
        <v>0</v>
      </c>
      <c r="R550" s="2" t="inlineStr"/>
    </row>
    <row r="551" ht="15" customHeight="1">
      <c r="A551" t="inlineStr">
        <is>
          <t>A 51963-2024</t>
        </is>
      </c>
      <c r="B551" s="1" t="n">
        <v>45607.64833333333</v>
      </c>
      <c r="C551" s="1" t="n">
        <v>46176</v>
      </c>
      <c r="D551" t="inlineStr">
        <is>
          <t>GOTLANDS LÄN</t>
        </is>
      </c>
      <c r="E551" t="inlineStr">
        <is>
          <t>GOTLAND</t>
        </is>
      </c>
      <c r="G551" t="n">
        <v>2.4</v>
      </c>
      <c r="H551" t="n">
        <v>0</v>
      </c>
      <c r="I551" t="n">
        <v>0</v>
      </c>
      <c r="J551" t="n">
        <v>0</v>
      </c>
      <c r="K551" t="n">
        <v>0</v>
      </c>
      <c r="L551" t="n">
        <v>0</v>
      </c>
      <c r="M551" t="n">
        <v>0</v>
      </c>
      <c r="N551" t="n">
        <v>0</v>
      </c>
      <c r="O551" t="n">
        <v>0</v>
      </c>
      <c r="P551" t="n">
        <v>0</v>
      </c>
      <c r="Q551" t="n">
        <v>0</v>
      </c>
      <c r="R551" s="2" t="inlineStr"/>
    </row>
    <row r="552" ht="15" customHeight="1">
      <c r="A552" t="inlineStr">
        <is>
          <t>A 1734-2025</t>
        </is>
      </c>
      <c r="B552" s="1" t="n">
        <v>45671.3840625</v>
      </c>
      <c r="C552" s="1" t="n">
        <v>46176</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30365-2024</t>
        </is>
      </c>
      <c r="B553" s="1" t="n">
        <v>45491.3716087963</v>
      </c>
      <c r="C553" s="1" t="n">
        <v>46176</v>
      </c>
      <c r="D553" t="inlineStr">
        <is>
          <t>GOTLANDS LÄN</t>
        </is>
      </c>
      <c r="E553" t="inlineStr">
        <is>
          <t>GOTLAND</t>
        </is>
      </c>
      <c r="G553" t="n">
        <v>0.5</v>
      </c>
      <c r="H553" t="n">
        <v>0</v>
      </c>
      <c r="I553" t="n">
        <v>0</v>
      </c>
      <c r="J553" t="n">
        <v>0</v>
      </c>
      <c r="K553" t="n">
        <v>0</v>
      </c>
      <c r="L553" t="n">
        <v>0</v>
      </c>
      <c r="M553" t="n">
        <v>0</v>
      </c>
      <c r="N553" t="n">
        <v>0</v>
      </c>
      <c r="O553" t="n">
        <v>0</v>
      </c>
      <c r="P553" t="n">
        <v>0</v>
      </c>
      <c r="Q553" t="n">
        <v>0</v>
      </c>
      <c r="R553" s="2" t="inlineStr"/>
    </row>
    <row r="554" ht="15" customHeight="1">
      <c r="A554" t="inlineStr">
        <is>
          <t>A 2674-2023</t>
        </is>
      </c>
      <c r="B554" s="1" t="n">
        <v>44944</v>
      </c>
      <c r="C554" s="1" t="n">
        <v>46176</v>
      </c>
      <c r="D554" t="inlineStr">
        <is>
          <t>GOTLANDS LÄN</t>
        </is>
      </c>
      <c r="E554" t="inlineStr">
        <is>
          <t>GOTLAND</t>
        </is>
      </c>
      <c r="G554" t="n">
        <v>2.5</v>
      </c>
      <c r="H554" t="n">
        <v>0</v>
      </c>
      <c r="I554" t="n">
        <v>0</v>
      </c>
      <c r="J554" t="n">
        <v>0</v>
      </c>
      <c r="K554" t="n">
        <v>0</v>
      </c>
      <c r="L554" t="n">
        <v>0</v>
      </c>
      <c r="M554" t="n">
        <v>0</v>
      </c>
      <c r="N554" t="n">
        <v>0</v>
      </c>
      <c r="O554" t="n">
        <v>0</v>
      </c>
      <c r="P554" t="n">
        <v>0</v>
      </c>
      <c r="Q554" t="n">
        <v>0</v>
      </c>
      <c r="R554" s="2" t="inlineStr"/>
    </row>
    <row r="555" ht="15" customHeight="1">
      <c r="A555" t="inlineStr">
        <is>
          <t>A 61100-2022</t>
        </is>
      </c>
      <c r="B555" s="1" t="n">
        <v>44915</v>
      </c>
      <c r="C555" s="1" t="n">
        <v>46176</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581-2023</t>
        </is>
      </c>
      <c r="B556" s="1" t="n">
        <v>44930</v>
      </c>
      <c r="C556" s="1" t="n">
        <v>46176</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10655-2023</t>
        </is>
      </c>
      <c r="B557" s="1" t="n">
        <v>44988.49543981482</v>
      </c>
      <c r="C557" s="1" t="n">
        <v>46176</v>
      </c>
      <c r="D557" t="inlineStr">
        <is>
          <t>GOTLANDS LÄN</t>
        </is>
      </c>
      <c r="E557" t="inlineStr">
        <is>
          <t>GOTLAND</t>
        </is>
      </c>
      <c r="F557" t="inlineStr">
        <is>
          <t>Kyrkan</t>
        </is>
      </c>
      <c r="G557" t="n">
        <v>2</v>
      </c>
      <c r="H557" t="n">
        <v>0</v>
      </c>
      <c r="I557" t="n">
        <v>0</v>
      </c>
      <c r="J557" t="n">
        <v>0</v>
      </c>
      <c r="K557" t="n">
        <v>0</v>
      </c>
      <c r="L557" t="n">
        <v>0</v>
      </c>
      <c r="M557" t="n">
        <v>0</v>
      </c>
      <c r="N557" t="n">
        <v>0</v>
      </c>
      <c r="O557" t="n">
        <v>0</v>
      </c>
      <c r="P557" t="n">
        <v>0</v>
      </c>
      <c r="Q557" t="n">
        <v>0</v>
      </c>
      <c r="R557" s="2" t="inlineStr"/>
    </row>
    <row r="558" ht="15" customHeight="1">
      <c r="A558" t="inlineStr">
        <is>
          <t>A 44649-2021</t>
        </is>
      </c>
      <c r="B558" s="1" t="n">
        <v>44437</v>
      </c>
      <c r="C558" s="1" t="n">
        <v>46176</v>
      </c>
      <c r="D558" t="inlineStr">
        <is>
          <t>GOTLANDS LÄN</t>
        </is>
      </c>
      <c r="E558" t="inlineStr">
        <is>
          <t>GOTLAND</t>
        </is>
      </c>
      <c r="G558" t="n">
        <v>8.1</v>
      </c>
      <c r="H558" t="n">
        <v>0</v>
      </c>
      <c r="I558" t="n">
        <v>0</v>
      </c>
      <c r="J558" t="n">
        <v>0</v>
      </c>
      <c r="K558" t="n">
        <v>0</v>
      </c>
      <c r="L558" t="n">
        <v>0</v>
      </c>
      <c r="M558" t="n">
        <v>0</v>
      </c>
      <c r="N558" t="n">
        <v>0</v>
      </c>
      <c r="O558" t="n">
        <v>0</v>
      </c>
      <c r="P558" t="n">
        <v>0</v>
      </c>
      <c r="Q558" t="n">
        <v>0</v>
      </c>
      <c r="R558" s="2" t="inlineStr"/>
    </row>
    <row r="559" ht="15" customHeight="1">
      <c r="A559" t="inlineStr">
        <is>
          <t>A 8484-2025</t>
        </is>
      </c>
      <c r="B559" s="1" t="n">
        <v>45709</v>
      </c>
      <c r="C559" s="1" t="n">
        <v>46176</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49962-2023</t>
        </is>
      </c>
      <c r="B560" s="1" t="n">
        <v>45215.38775462963</v>
      </c>
      <c r="C560" s="1" t="n">
        <v>46176</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50744-2024</t>
        </is>
      </c>
      <c r="B561" s="1" t="n">
        <v>45602.4187037037</v>
      </c>
      <c r="C561" s="1" t="n">
        <v>46176</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45244-2024</t>
        </is>
      </c>
      <c r="B562" s="1" t="n">
        <v>45576</v>
      </c>
      <c r="C562" s="1" t="n">
        <v>46176</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38787-2023</t>
        </is>
      </c>
      <c r="B563" s="1" t="n">
        <v>45163</v>
      </c>
      <c r="C563" s="1" t="n">
        <v>46176</v>
      </c>
      <c r="D563" t="inlineStr">
        <is>
          <t>GOTLANDS LÄN</t>
        </is>
      </c>
      <c r="E563" t="inlineStr">
        <is>
          <t>GOTLAND</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2714-2023</t>
        </is>
      </c>
      <c r="B564" s="1" t="n">
        <v>44944.54896990741</v>
      </c>
      <c r="C564" s="1" t="n">
        <v>46176</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22897-2023</t>
        </is>
      </c>
      <c r="B565" s="1" t="n">
        <v>45072.55239583334</v>
      </c>
      <c r="C565" s="1" t="n">
        <v>46176</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4568-2025</t>
        </is>
      </c>
      <c r="B566" s="1" t="n">
        <v>45687</v>
      </c>
      <c r="C566" s="1" t="n">
        <v>46176</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44938.39715277778</v>
      </c>
      <c r="C567" s="1" t="n">
        <v>46176</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42338-2023</t>
        </is>
      </c>
      <c r="B568" s="1" t="n">
        <v>45180</v>
      </c>
      <c r="C568" s="1" t="n">
        <v>46176</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18918-2025</t>
        </is>
      </c>
      <c r="B569" s="1" t="n">
        <v>45764</v>
      </c>
      <c r="C569" s="1" t="n">
        <v>46176</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46176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45084-2024</t>
        </is>
      </c>
      <c r="B571" s="1" t="n">
        <v>45575</v>
      </c>
      <c r="C571" s="1" t="n">
        <v>46176</v>
      </c>
      <c r="D571" t="inlineStr">
        <is>
          <t>GOTLANDS LÄN</t>
        </is>
      </c>
      <c r="E571" t="inlineStr">
        <is>
          <t>GOTLAND</t>
        </is>
      </c>
      <c r="G571" t="n">
        <v>6.8</v>
      </c>
      <c r="H571" t="n">
        <v>0</v>
      </c>
      <c r="I571" t="n">
        <v>0</v>
      </c>
      <c r="J571" t="n">
        <v>0</v>
      </c>
      <c r="K571" t="n">
        <v>0</v>
      </c>
      <c r="L571" t="n">
        <v>0</v>
      </c>
      <c r="M571" t="n">
        <v>0</v>
      </c>
      <c r="N571" t="n">
        <v>0</v>
      </c>
      <c r="O571" t="n">
        <v>0</v>
      </c>
      <c r="P571" t="n">
        <v>0</v>
      </c>
      <c r="Q571" t="n">
        <v>0</v>
      </c>
      <c r="R571" s="2" t="inlineStr"/>
    </row>
    <row r="572" ht="15" customHeight="1">
      <c r="A572" t="inlineStr">
        <is>
          <t>A 20356-2022</t>
        </is>
      </c>
      <c r="B572" s="1" t="n">
        <v>44699</v>
      </c>
      <c r="C572" s="1" t="n">
        <v>46176</v>
      </c>
      <c r="D572" t="inlineStr">
        <is>
          <t>GOTLANDS LÄN</t>
        </is>
      </c>
      <c r="E572" t="inlineStr">
        <is>
          <t>GOTLAND</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4868-2024</t>
        </is>
      </c>
      <c r="B573" s="1" t="n">
        <v>45329</v>
      </c>
      <c r="C573" s="1" t="n">
        <v>46176</v>
      </c>
      <c r="D573" t="inlineStr">
        <is>
          <t>GOTLANDS LÄN</t>
        </is>
      </c>
      <c r="E573" t="inlineStr">
        <is>
          <t>GOTLAND</t>
        </is>
      </c>
      <c r="G573" t="n">
        <v>7.1</v>
      </c>
      <c r="H573" t="n">
        <v>0</v>
      </c>
      <c r="I573" t="n">
        <v>0</v>
      </c>
      <c r="J573" t="n">
        <v>0</v>
      </c>
      <c r="K573" t="n">
        <v>0</v>
      </c>
      <c r="L573" t="n">
        <v>0</v>
      </c>
      <c r="M573" t="n">
        <v>0</v>
      </c>
      <c r="N573" t="n">
        <v>0</v>
      </c>
      <c r="O573" t="n">
        <v>0</v>
      </c>
      <c r="P573" t="n">
        <v>0</v>
      </c>
      <c r="Q573" t="n">
        <v>0</v>
      </c>
      <c r="R573" s="2" t="inlineStr"/>
    </row>
    <row r="574" ht="15" customHeight="1">
      <c r="A574" t="inlineStr">
        <is>
          <t>A 9613-2025</t>
        </is>
      </c>
      <c r="B574" s="1" t="n">
        <v>45715</v>
      </c>
      <c r="C574" s="1" t="n">
        <v>46176</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5386-2023</t>
        </is>
      </c>
      <c r="B575" s="1" t="n">
        <v>44959</v>
      </c>
      <c r="C575" s="1" t="n">
        <v>46176</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58211-2024</t>
        </is>
      </c>
      <c r="B576" s="1" t="n">
        <v>45632.49292824074</v>
      </c>
      <c r="C576" s="1" t="n">
        <v>46176</v>
      </c>
      <c r="D576" t="inlineStr">
        <is>
          <t>GOTLANDS LÄN</t>
        </is>
      </c>
      <c r="E576" t="inlineStr">
        <is>
          <t>GOTLAND</t>
        </is>
      </c>
      <c r="G576" t="n">
        <v>5.4</v>
      </c>
      <c r="H576" t="n">
        <v>0</v>
      </c>
      <c r="I576" t="n">
        <v>0</v>
      </c>
      <c r="J576" t="n">
        <v>0</v>
      </c>
      <c r="K576" t="n">
        <v>0</v>
      </c>
      <c r="L576" t="n">
        <v>0</v>
      </c>
      <c r="M576" t="n">
        <v>0</v>
      </c>
      <c r="N576" t="n">
        <v>0</v>
      </c>
      <c r="O576" t="n">
        <v>0</v>
      </c>
      <c r="P576" t="n">
        <v>0</v>
      </c>
      <c r="Q576" t="n">
        <v>0</v>
      </c>
      <c r="R576" s="2" t="inlineStr"/>
    </row>
    <row r="577" ht="15" customHeight="1">
      <c r="A577" t="inlineStr">
        <is>
          <t>A 11634-2024</t>
        </is>
      </c>
      <c r="B577" s="1" t="n">
        <v>45373</v>
      </c>
      <c r="C577" s="1" t="n">
        <v>46176</v>
      </c>
      <c r="D577" t="inlineStr">
        <is>
          <t>GOTLANDS LÄN</t>
        </is>
      </c>
      <c r="E577" t="inlineStr">
        <is>
          <t>GOTLAND</t>
        </is>
      </c>
      <c r="G577" t="n">
        <v>3</v>
      </c>
      <c r="H577" t="n">
        <v>0</v>
      </c>
      <c r="I577" t="n">
        <v>0</v>
      </c>
      <c r="J577" t="n">
        <v>0</v>
      </c>
      <c r="K577" t="n">
        <v>0</v>
      </c>
      <c r="L577" t="n">
        <v>0</v>
      </c>
      <c r="M577" t="n">
        <v>0</v>
      </c>
      <c r="N577" t="n">
        <v>0</v>
      </c>
      <c r="O577" t="n">
        <v>0</v>
      </c>
      <c r="P577" t="n">
        <v>0</v>
      </c>
      <c r="Q577" t="n">
        <v>0</v>
      </c>
      <c r="R577" s="2" t="inlineStr"/>
    </row>
    <row r="578" ht="15" customHeight="1">
      <c r="A578" t="inlineStr">
        <is>
          <t>A 5884-2025</t>
        </is>
      </c>
      <c r="B578" s="1" t="n">
        <v>45695.37482638889</v>
      </c>
      <c r="C578" s="1" t="n">
        <v>46176</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5897-2025</t>
        </is>
      </c>
      <c r="B579" s="1" t="n">
        <v>45695.39273148148</v>
      </c>
      <c r="C579" s="1" t="n">
        <v>46176</v>
      </c>
      <c r="D579" t="inlineStr">
        <is>
          <t>GOTLANDS LÄN</t>
        </is>
      </c>
      <c r="E579" t="inlineStr">
        <is>
          <t>GOTLAND</t>
        </is>
      </c>
      <c r="G579" t="n">
        <v>3.7</v>
      </c>
      <c r="H579" t="n">
        <v>0</v>
      </c>
      <c r="I579" t="n">
        <v>0</v>
      </c>
      <c r="J579" t="n">
        <v>0</v>
      </c>
      <c r="K579" t="n">
        <v>0</v>
      </c>
      <c r="L579" t="n">
        <v>0</v>
      </c>
      <c r="M579" t="n">
        <v>0</v>
      </c>
      <c r="N579" t="n">
        <v>0</v>
      </c>
      <c r="O579" t="n">
        <v>0</v>
      </c>
      <c r="P579" t="n">
        <v>0</v>
      </c>
      <c r="Q579" t="n">
        <v>0</v>
      </c>
      <c r="R579" s="2" t="inlineStr"/>
    </row>
    <row r="580" ht="15" customHeight="1">
      <c r="A580" t="inlineStr">
        <is>
          <t>A 5909-2025</t>
        </is>
      </c>
      <c r="B580" s="1" t="n">
        <v>45695.40634259259</v>
      </c>
      <c r="C580" s="1" t="n">
        <v>46176</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60086-2022</t>
        </is>
      </c>
      <c r="B581" s="1" t="n">
        <v>44909</v>
      </c>
      <c r="C581" s="1" t="n">
        <v>46176</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22704-2023</t>
        </is>
      </c>
      <c r="B582" s="1" t="n">
        <v>45071</v>
      </c>
      <c r="C582" s="1" t="n">
        <v>46176</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25866-2022</t>
        </is>
      </c>
      <c r="B583" s="1" t="n">
        <v>44733</v>
      </c>
      <c r="C583" s="1" t="n">
        <v>46176</v>
      </c>
      <c r="D583" t="inlineStr">
        <is>
          <t>GOTLANDS LÄN</t>
        </is>
      </c>
      <c r="E583" t="inlineStr">
        <is>
          <t>GOTLAND</t>
        </is>
      </c>
      <c r="G583" t="n">
        <v>2.9</v>
      </c>
      <c r="H583" t="n">
        <v>0</v>
      </c>
      <c r="I583" t="n">
        <v>0</v>
      </c>
      <c r="J583" t="n">
        <v>0</v>
      </c>
      <c r="K583" t="n">
        <v>0</v>
      </c>
      <c r="L583" t="n">
        <v>0</v>
      </c>
      <c r="M583" t="n">
        <v>0</v>
      </c>
      <c r="N583" t="n">
        <v>0</v>
      </c>
      <c r="O583" t="n">
        <v>0</v>
      </c>
      <c r="P583" t="n">
        <v>0</v>
      </c>
      <c r="Q583" t="n">
        <v>0</v>
      </c>
      <c r="R583" s="2" t="inlineStr"/>
    </row>
    <row r="584" ht="15" customHeight="1">
      <c r="A584" t="inlineStr">
        <is>
          <t>A 9887-2025</t>
        </is>
      </c>
      <c r="B584" s="1" t="n">
        <v>45716</v>
      </c>
      <c r="C584" s="1" t="n">
        <v>46176</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12209-2024</t>
        </is>
      </c>
      <c r="B585" s="1" t="n">
        <v>45378</v>
      </c>
      <c r="C585" s="1" t="n">
        <v>46176</v>
      </c>
      <c r="D585" t="inlineStr">
        <is>
          <t>GOTLANDS LÄN</t>
        </is>
      </c>
      <c r="E585" t="inlineStr">
        <is>
          <t>GOTLAND</t>
        </is>
      </c>
      <c r="G585" t="n">
        <v>5.3</v>
      </c>
      <c r="H585" t="n">
        <v>0</v>
      </c>
      <c r="I585" t="n">
        <v>0</v>
      </c>
      <c r="J585" t="n">
        <v>0</v>
      </c>
      <c r="K585" t="n">
        <v>0</v>
      </c>
      <c r="L585" t="n">
        <v>0</v>
      </c>
      <c r="M585" t="n">
        <v>0</v>
      </c>
      <c r="N585" t="n">
        <v>0</v>
      </c>
      <c r="O585" t="n">
        <v>0</v>
      </c>
      <c r="P585" t="n">
        <v>0</v>
      </c>
      <c r="Q585" t="n">
        <v>0</v>
      </c>
      <c r="R585" s="2" t="inlineStr"/>
    </row>
    <row r="586" ht="15" customHeight="1">
      <c r="A586" t="inlineStr">
        <is>
          <t>A 12210-2024</t>
        </is>
      </c>
      <c r="B586" s="1" t="n">
        <v>45378</v>
      </c>
      <c r="C586" s="1" t="n">
        <v>46176</v>
      </c>
      <c r="D586" t="inlineStr">
        <is>
          <t>GOTLANDS LÄN</t>
        </is>
      </c>
      <c r="E586" t="inlineStr">
        <is>
          <t>GOTLAND</t>
        </is>
      </c>
      <c r="G586" t="n">
        <v>4.1</v>
      </c>
      <c r="H586" t="n">
        <v>0</v>
      </c>
      <c r="I586" t="n">
        <v>0</v>
      </c>
      <c r="J586" t="n">
        <v>0</v>
      </c>
      <c r="K586" t="n">
        <v>0</v>
      </c>
      <c r="L586" t="n">
        <v>0</v>
      </c>
      <c r="M586" t="n">
        <v>0</v>
      </c>
      <c r="N586" t="n">
        <v>0</v>
      </c>
      <c r="O586" t="n">
        <v>0</v>
      </c>
      <c r="P586" t="n">
        <v>0</v>
      </c>
      <c r="Q586" t="n">
        <v>0</v>
      </c>
      <c r="R586" s="2" t="inlineStr"/>
    </row>
    <row r="587" ht="15" customHeight="1">
      <c r="A587" t="inlineStr">
        <is>
          <t>A 59986-2022</t>
        </is>
      </c>
      <c r="B587" s="1" t="n">
        <v>44909</v>
      </c>
      <c r="C587" s="1" t="n">
        <v>46176</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31802-2024</t>
        </is>
      </c>
      <c r="B588" s="1" t="n">
        <v>45509</v>
      </c>
      <c r="C588" s="1" t="n">
        <v>46176</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46176</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15042-2025</t>
        </is>
      </c>
      <c r="B590" s="1" t="n">
        <v>45743</v>
      </c>
      <c r="C590" s="1" t="n">
        <v>46176</v>
      </c>
      <c r="D590" t="inlineStr">
        <is>
          <t>GOTLANDS LÄN</t>
        </is>
      </c>
      <c r="E590" t="inlineStr">
        <is>
          <t>GOTLAND</t>
        </is>
      </c>
      <c r="G590" t="n">
        <v>8.5</v>
      </c>
      <c r="H590" t="n">
        <v>0</v>
      </c>
      <c r="I590" t="n">
        <v>0</v>
      </c>
      <c r="J590" t="n">
        <v>0</v>
      </c>
      <c r="K590" t="n">
        <v>0</v>
      </c>
      <c r="L590" t="n">
        <v>0</v>
      </c>
      <c r="M590" t="n">
        <v>0</v>
      </c>
      <c r="N590" t="n">
        <v>0</v>
      </c>
      <c r="O590" t="n">
        <v>0</v>
      </c>
      <c r="P590" t="n">
        <v>0</v>
      </c>
      <c r="Q590" t="n">
        <v>0</v>
      </c>
      <c r="R590" s="2" t="inlineStr"/>
    </row>
    <row r="591" ht="15" customHeight="1">
      <c r="A591" t="inlineStr">
        <is>
          <t>A 12327-2025</t>
        </is>
      </c>
      <c r="B591" s="1" t="n">
        <v>45730</v>
      </c>
      <c r="C591" s="1" t="n">
        <v>46176</v>
      </c>
      <c r="D591" t="inlineStr">
        <is>
          <t>GOTLANDS LÄN</t>
        </is>
      </c>
      <c r="E591" t="inlineStr">
        <is>
          <t>GOTLAND</t>
        </is>
      </c>
      <c r="G591" t="n">
        <v>1.8</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46176</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14427-2024</t>
        </is>
      </c>
      <c r="B593" s="1" t="n">
        <v>45394</v>
      </c>
      <c r="C593" s="1" t="n">
        <v>46176</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49257-2024</t>
        </is>
      </c>
      <c r="B594" s="1" t="n">
        <v>45595.47627314815</v>
      </c>
      <c r="C594" s="1" t="n">
        <v>46176</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49315-2024</t>
        </is>
      </c>
      <c r="B595" s="1" t="n">
        <v>45595</v>
      </c>
      <c r="C595" s="1" t="n">
        <v>46176</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27596-2023</t>
        </is>
      </c>
      <c r="B596" s="1" t="n">
        <v>45097</v>
      </c>
      <c r="C596" s="1" t="n">
        <v>46176</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56115-2023</t>
        </is>
      </c>
      <c r="B597" s="1" t="n">
        <v>45236</v>
      </c>
      <c r="C597" s="1" t="n">
        <v>46176</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64969-2023</t>
        </is>
      </c>
      <c r="B598" s="1" t="n">
        <v>45284.54009259259</v>
      </c>
      <c r="C598" s="1" t="n">
        <v>46176</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33853-2024</t>
        </is>
      </c>
      <c r="B599" s="1" t="n">
        <v>45520.64298611111</v>
      </c>
      <c r="C599" s="1" t="n">
        <v>46176</v>
      </c>
      <c r="D599" t="inlineStr">
        <is>
          <t>GOTLANDS LÄN</t>
        </is>
      </c>
      <c r="E599" t="inlineStr">
        <is>
          <t>GOTLAND</t>
        </is>
      </c>
      <c r="G599" t="n">
        <v>3.9</v>
      </c>
      <c r="H599" t="n">
        <v>0</v>
      </c>
      <c r="I599" t="n">
        <v>0</v>
      </c>
      <c r="J599" t="n">
        <v>0</v>
      </c>
      <c r="K599" t="n">
        <v>0</v>
      </c>
      <c r="L599" t="n">
        <v>0</v>
      </c>
      <c r="M599" t="n">
        <v>0</v>
      </c>
      <c r="N599" t="n">
        <v>0</v>
      </c>
      <c r="O599" t="n">
        <v>0</v>
      </c>
      <c r="P599" t="n">
        <v>0</v>
      </c>
      <c r="Q599" t="n">
        <v>0</v>
      </c>
      <c r="R599" s="2" t="inlineStr"/>
    </row>
    <row r="600" ht="15" customHeight="1">
      <c r="A600" t="inlineStr">
        <is>
          <t>A 18223-2025</t>
        </is>
      </c>
      <c r="B600" s="1" t="n">
        <v>45761</v>
      </c>
      <c r="C600" s="1" t="n">
        <v>46176</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46949-2024</t>
        </is>
      </c>
      <c r="B601" s="1" t="n">
        <v>45585</v>
      </c>
      <c r="C601" s="1" t="n">
        <v>46176</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39479-2022</t>
        </is>
      </c>
      <c r="B602" s="1" t="n">
        <v>44818</v>
      </c>
      <c r="C602" s="1" t="n">
        <v>46176</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39496-2022</t>
        </is>
      </c>
      <c r="B603" s="1" t="n">
        <v>44818</v>
      </c>
      <c r="C603" s="1" t="n">
        <v>46176</v>
      </c>
      <c r="D603" t="inlineStr">
        <is>
          <t>GOTLANDS LÄN</t>
        </is>
      </c>
      <c r="E603" t="inlineStr">
        <is>
          <t>GOTLAND</t>
        </is>
      </c>
      <c r="G603" t="n">
        <v>2.4</v>
      </c>
      <c r="H603" t="n">
        <v>0</v>
      </c>
      <c r="I603" t="n">
        <v>0</v>
      </c>
      <c r="J603" t="n">
        <v>0</v>
      </c>
      <c r="K603" t="n">
        <v>0</v>
      </c>
      <c r="L603" t="n">
        <v>0</v>
      </c>
      <c r="M603" t="n">
        <v>0</v>
      </c>
      <c r="N603" t="n">
        <v>0</v>
      </c>
      <c r="O603" t="n">
        <v>0</v>
      </c>
      <c r="P603" t="n">
        <v>0</v>
      </c>
      <c r="Q603" t="n">
        <v>0</v>
      </c>
      <c r="R603" s="2" t="inlineStr"/>
    </row>
    <row r="604" ht="15" customHeight="1">
      <c r="A604" t="inlineStr">
        <is>
          <t>A 46389-2021</t>
        </is>
      </c>
      <c r="B604" s="1" t="n">
        <v>44443</v>
      </c>
      <c r="C604" s="1" t="n">
        <v>46176</v>
      </c>
      <c r="D604" t="inlineStr">
        <is>
          <t>GOTLANDS LÄN</t>
        </is>
      </c>
      <c r="E604" t="inlineStr">
        <is>
          <t>GOTLAND</t>
        </is>
      </c>
      <c r="F604" t="inlineStr">
        <is>
          <t>Kyrkan</t>
        </is>
      </c>
      <c r="G604" t="n">
        <v>2.1</v>
      </c>
      <c r="H604" t="n">
        <v>0</v>
      </c>
      <c r="I604" t="n">
        <v>0</v>
      </c>
      <c r="J604" t="n">
        <v>0</v>
      </c>
      <c r="K604" t="n">
        <v>0</v>
      </c>
      <c r="L604" t="n">
        <v>0</v>
      </c>
      <c r="M604" t="n">
        <v>0</v>
      </c>
      <c r="N604" t="n">
        <v>0</v>
      </c>
      <c r="O604" t="n">
        <v>0</v>
      </c>
      <c r="P604" t="n">
        <v>0</v>
      </c>
      <c r="Q604" t="n">
        <v>0</v>
      </c>
      <c r="R604" s="2" t="inlineStr"/>
    </row>
    <row r="605" ht="15" customHeight="1">
      <c r="A605" t="inlineStr">
        <is>
          <t>A 44949-2023</t>
        </is>
      </c>
      <c r="B605" s="1" t="n">
        <v>45190.69520833333</v>
      </c>
      <c r="C605" s="1" t="n">
        <v>46176</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17682-2024</t>
        </is>
      </c>
      <c r="B606" s="1" t="n">
        <v>45418.42966435185</v>
      </c>
      <c r="C606" s="1" t="n">
        <v>46176</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61897-2024</t>
        </is>
      </c>
      <c r="B607" s="1" t="n">
        <v>45652.75685185185</v>
      </c>
      <c r="C607" s="1" t="n">
        <v>46176</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12032-2025</t>
        </is>
      </c>
      <c r="B608" s="1" t="n">
        <v>45728.64472222222</v>
      </c>
      <c r="C608" s="1" t="n">
        <v>46176</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15595-2024</t>
        </is>
      </c>
      <c r="B609" s="1" t="n">
        <v>45401.81480324074</v>
      </c>
      <c r="C609" s="1" t="n">
        <v>46176</v>
      </c>
      <c r="D609" t="inlineStr">
        <is>
          <t>GOTLANDS LÄN</t>
        </is>
      </c>
      <c r="E609" t="inlineStr">
        <is>
          <t>GOTLAND</t>
        </is>
      </c>
      <c r="G609" t="n">
        <v>6.4</v>
      </c>
      <c r="H609" t="n">
        <v>0</v>
      </c>
      <c r="I609" t="n">
        <v>0</v>
      </c>
      <c r="J609" t="n">
        <v>0</v>
      </c>
      <c r="K609" t="n">
        <v>0</v>
      </c>
      <c r="L609" t="n">
        <v>0</v>
      </c>
      <c r="M609" t="n">
        <v>0</v>
      </c>
      <c r="N609" t="n">
        <v>0</v>
      </c>
      <c r="O609" t="n">
        <v>0</v>
      </c>
      <c r="P609" t="n">
        <v>0</v>
      </c>
      <c r="Q609" t="n">
        <v>0</v>
      </c>
      <c r="R609" s="2" t="inlineStr"/>
    </row>
    <row r="610" ht="15" customHeight="1">
      <c r="A610" t="inlineStr">
        <is>
          <t>A 21164-2024</t>
        </is>
      </c>
      <c r="B610" s="1" t="n">
        <v>45440</v>
      </c>
      <c r="C610" s="1" t="n">
        <v>46176</v>
      </c>
      <c r="D610" t="inlineStr">
        <is>
          <t>GOTLANDS LÄN</t>
        </is>
      </c>
      <c r="E610" t="inlineStr">
        <is>
          <t>GOTLAND</t>
        </is>
      </c>
      <c r="G610" t="n">
        <v>6.3</v>
      </c>
      <c r="H610" t="n">
        <v>0</v>
      </c>
      <c r="I610" t="n">
        <v>0</v>
      </c>
      <c r="J610" t="n">
        <v>0</v>
      </c>
      <c r="K610" t="n">
        <v>0</v>
      </c>
      <c r="L610" t="n">
        <v>0</v>
      </c>
      <c r="M610" t="n">
        <v>0</v>
      </c>
      <c r="N610" t="n">
        <v>0</v>
      </c>
      <c r="O610" t="n">
        <v>0</v>
      </c>
      <c r="P610" t="n">
        <v>0</v>
      </c>
      <c r="Q610" t="n">
        <v>0</v>
      </c>
      <c r="R610" s="2" t="inlineStr"/>
    </row>
    <row r="611" ht="15" customHeight="1">
      <c r="A611" t="inlineStr">
        <is>
          <t>A 17541-2024</t>
        </is>
      </c>
      <c r="B611" s="1" t="n">
        <v>45415</v>
      </c>
      <c r="C611" s="1" t="n">
        <v>46176</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883-2025</t>
        </is>
      </c>
      <c r="B612" s="1" t="n">
        <v>45665</v>
      </c>
      <c r="C612" s="1" t="n">
        <v>46176</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13910-2025</t>
        </is>
      </c>
      <c r="B613" s="1" t="n">
        <v>45737</v>
      </c>
      <c r="C613" s="1" t="n">
        <v>46176</v>
      </c>
      <c r="D613" t="inlineStr">
        <is>
          <t>GOTLANDS LÄN</t>
        </is>
      </c>
      <c r="E613" t="inlineStr">
        <is>
          <t>GOTLAND</t>
        </is>
      </c>
      <c r="F613" t="inlineStr">
        <is>
          <t>Kommuner</t>
        </is>
      </c>
      <c r="G613" t="n">
        <v>3.2</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46176</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46176</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46176</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46176</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21420-2024</t>
        </is>
      </c>
      <c r="B618" s="1" t="n">
        <v>45441.38293981482</v>
      </c>
      <c r="C618" s="1" t="n">
        <v>46176</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46176</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57356-2023</t>
        </is>
      </c>
      <c r="B620" s="1" t="n">
        <v>45240</v>
      </c>
      <c r="C620" s="1" t="n">
        <v>46176</v>
      </c>
      <c r="D620" t="inlineStr">
        <is>
          <t>GOTLANDS LÄN</t>
        </is>
      </c>
      <c r="E620" t="inlineStr">
        <is>
          <t>GOTLAND</t>
        </is>
      </c>
      <c r="G620" t="n">
        <v>6.4</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46176</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46176</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23856-2025</t>
        </is>
      </c>
      <c r="B623" s="1" t="n">
        <v>45793</v>
      </c>
      <c r="C623" s="1" t="n">
        <v>46176</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23473-2025</t>
        </is>
      </c>
      <c r="B624" s="1" t="n">
        <v>45792</v>
      </c>
      <c r="C624" s="1" t="n">
        <v>46176</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23698-2025</t>
        </is>
      </c>
      <c r="B625" s="1" t="n">
        <v>45793</v>
      </c>
      <c r="C625" s="1" t="n">
        <v>46176</v>
      </c>
      <c r="D625" t="inlineStr">
        <is>
          <t>GOTLANDS LÄN</t>
        </is>
      </c>
      <c r="E625" t="inlineStr">
        <is>
          <t>GOTLAND</t>
        </is>
      </c>
      <c r="G625" t="n">
        <v>0.8</v>
      </c>
      <c r="H625" t="n">
        <v>0</v>
      </c>
      <c r="I625" t="n">
        <v>0</v>
      </c>
      <c r="J625" t="n">
        <v>0</v>
      </c>
      <c r="K625" t="n">
        <v>0</v>
      </c>
      <c r="L625" t="n">
        <v>0</v>
      </c>
      <c r="M625" t="n">
        <v>0</v>
      </c>
      <c r="N625" t="n">
        <v>0</v>
      </c>
      <c r="O625" t="n">
        <v>0</v>
      </c>
      <c r="P625" t="n">
        <v>0</v>
      </c>
      <c r="Q625" t="n">
        <v>0</v>
      </c>
      <c r="R625" s="2" t="inlineStr"/>
    </row>
    <row r="626" ht="15" customHeight="1">
      <c r="A626" t="inlineStr">
        <is>
          <t>A 15073-2025</t>
        </is>
      </c>
      <c r="B626" s="1" t="n">
        <v>45743</v>
      </c>
      <c r="C626" s="1" t="n">
        <v>46176</v>
      </c>
      <c r="D626" t="inlineStr">
        <is>
          <t>GOTLANDS LÄN</t>
        </is>
      </c>
      <c r="E626" t="inlineStr">
        <is>
          <t>GOTLAND</t>
        </is>
      </c>
      <c r="G626" t="n">
        <v>12.1</v>
      </c>
      <c r="H626" t="n">
        <v>0</v>
      </c>
      <c r="I626" t="n">
        <v>0</v>
      </c>
      <c r="J626" t="n">
        <v>0</v>
      </c>
      <c r="K626" t="n">
        <v>0</v>
      </c>
      <c r="L626" t="n">
        <v>0</v>
      </c>
      <c r="M626" t="n">
        <v>0</v>
      </c>
      <c r="N626" t="n">
        <v>0</v>
      </c>
      <c r="O626" t="n">
        <v>0</v>
      </c>
      <c r="P626" t="n">
        <v>0</v>
      </c>
      <c r="Q626" t="n">
        <v>0</v>
      </c>
      <c r="R626" s="2" t="inlineStr"/>
    </row>
    <row r="627" ht="15" customHeight="1">
      <c r="A627" t="inlineStr">
        <is>
          <t>A 6749-2025</t>
        </is>
      </c>
      <c r="B627" s="1" t="n">
        <v>45700</v>
      </c>
      <c r="C627" s="1" t="n">
        <v>46176</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5462-2025</t>
        </is>
      </c>
      <c r="B628" s="1" t="n">
        <v>45693.29331018519</v>
      </c>
      <c r="C628" s="1" t="n">
        <v>46176</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25796-2025</t>
        </is>
      </c>
      <c r="B629" s="1" t="n">
        <v>45804.39543981481</v>
      </c>
      <c r="C629" s="1" t="n">
        <v>46176</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26465-2025</t>
        </is>
      </c>
      <c r="B630" s="1" t="n">
        <v>45807.44377314814</v>
      </c>
      <c r="C630" s="1" t="n">
        <v>46176</v>
      </c>
      <c r="D630" t="inlineStr">
        <is>
          <t>GOTLANDS LÄN</t>
        </is>
      </c>
      <c r="E630" t="inlineStr">
        <is>
          <t>GOTLAND</t>
        </is>
      </c>
      <c r="G630" t="n">
        <v>4.5</v>
      </c>
      <c r="H630" t="n">
        <v>0</v>
      </c>
      <c r="I630" t="n">
        <v>0</v>
      </c>
      <c r="J630" t="n">
        <v>0</v>
      </c>
      <c r="K630" t="n">
        <v>0</v>
      </c>
      <c r="L630" t="n">
        <v>0</v>
      </c>
      <c r="M630" t="n">
        <v>0</v>
      </c>
      <c r="N630" t="n">
        <v>0</v>
      </c>
      <c r="O630" t="n">
        <v>0</v>
      </c>
      <c r="P630" t="n">
        <v>0</v>
      </c>
      <c r="Q630" t="n">
        <v>0</v>
      </c>
      <c r="R630" s="2" t="inlineStr"/>
    </row>
    <row r="631" ht="15" customHeight="1">
      <c r="A631" t="inlineStr">
        <is>
          <t>A 26457-2025</t>
        </is>
      </c>
      <c r="B631" s="1" t="n">
        <v>45807.42773148148</v>
      </c>
      <c r="C631" s="1" t="n">
        <v>46176</v>
      </c>
      <c r="D631" t="inlineStr">
        <is>
          <t>GOTLANDS LÄN</t>
        </is>
      </c>
      <c r="E631" t="inlineStr">
        <is>
          <t>GOTLAND</t>
        </is>
      </c>
      <c r="G631" t="n">
        <v>5.7</v>
      </c>
      <c r="H631" t="n">
        <v>0</v>
      </c>
      <c r="I631" t="n">
        <v>0</v>
      </c>
      <c r="J631" t="n">
        <v>0</v>
      </c>
      <c r="K631" t="n">
        <v>0</v>
      </c>
      <c r="L631" t="n">
        <v>0</v>
      </c>
      <c r="M631" t="n">
        <v>0</v>
      </c>
      <c r="N631" t="n">
        <v>0</v>
      </c>
      <c r="O631" t="n">
        <v>0</v>
      </c>
      <c r="P631" t="n">
        <v>0</v>
      </c>
      <c r="Q631" t="n">
        <v>0</v>
      </c>
      <c r="R631" s="2" t="inlineStr"/>
    </row>
    <row r="632" ht="15" customHeight="1">
      <c r="A632" t="inlineStr">
        <is>
          <t>A 26467-2025</t>
        </is>
      </c>
      <c r="B632" s="1" t="n">
        <v>45807.44640046296</v>
      </c>
      <c r="C632" s="1" t="n">
        <v>46176</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26660-2025</t>
        </is>
      </c>
      <c r="B633" s="1" t="n">
        <v>45810.39737268518</v>
      </c>
      <c r="C633" s="1" t="n">
        <v>46176</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27355-2025</t>
        </is>
      </c>
      <c r="B634" s="1" t="n">
        <v>45812</v>
      </c>
      <c r="C634" s="1" t="n">
        <v>46176</v>
      </c>
      <c r="D634" t="inlineStr">
        <is>
          <t>GOTLANDS LÄN</t>
        </is>
      </c>
      <c r="E634" t="inlineStr">
        <is>
          <t>GOTLAND</t>
        </is>
      </c>
      <c r="G634" t="n">
        <v>1.1</v>
      </c>
      <c r="H634" t="n">
        <v>0</v>
      </c>
      <c r="I634" t="n">
        <v>0</v>
      </c>
      <c r="J634" t="n">
        <v>0</v>
      </c>
      <c r="K634" t="n">
        <v>0</v>
      </c>
      <c r="L634" t="n">
        <v>0</v>
      </c>
      <c r="M634" t="n">
        <v>0</v>
      </c>
      <c r="N634" t="n">
        <v>0</v>
      </c>
      <c r="O634" t="n">
        <v>0</v>
      </c>
      <c r="P634" t="n">
        <v>0</v>
      </c>
      <c r="Q634" t="n">
        <v>0</v>
      </c>
      <c r="R634" s="2" t="inlineStr"/>
    </row>
    <row r="635" ht="15" customHeight="1">
      <c r="A635" t="inlineStr">
        <is>
          <t>A 27371-2025</t>
        </is>
      </c>
      <c r="B635" s="1" t="n">
        <v>45812</v>
      </c>
      <c r="C635" s="1" t="n">
        <v>46176</v>
      </c>
      <c r="D635" t="inlineStr">
        <is>
          <t>GOTLANDS LÄN</t>
        </is>
      </c>
      <c r="E635" t="inlineStr">
        <is>
          <t>GOTLAND</t>
        </is>
      </c>
      <c r="G635" t="n">
        <v>8</v>
      </c>
      <c r="H635" t="n">
        <v>0</v>
      </c>
      <c r="I635" t="n">
        <v>0</v>
      </c>
      <c r="J635" t="n">
        <v>0</v>
      </c>
      <c r="K635" t="n">
        <v>0</v>
      </c>
      <c r="L635" t="n">
        <v>0</v>
      </c>
      <c r="M635" t="n">
        <v>0</v>
      </c>
      <c r="N635" t="n">
        <v>0</v>
      </c>
      <c r="O635" t="n">
        <v>0</v>
      </c>
      <c r="P635" t="n">
        <v>0</v>
      </c>
      <c r="Q635" t="n">
        <v>0</v>
      </c>
      <c r="R635" s="2" t="inlineStr"/>
    </row>
    <row r="636" ht="15" customHeight="1">
      <c r="A636" t="inlineStr">
        <is>
          <t>A 7850-2025</t>
        </is>
      </c>
      <c r="B636" s="1" t="n">
        <v>45706</v>
      </c>
      <c r="C636" s="1" t="n">
        <v>46176</v>
      </c>
      <c r="D636" t="inlineStr">
        <is>
          <t>GOTLANDS LÄN</t>
        </is>
      </c>
      <c r="E636" t="inlineStr">
        <is>
          <t>GOTLAND</t>
        </is>
      </c>
      <c r="G636" t="n">
        <v>0.5</v>
      </c>
      <c r="H636" t="n">
        <v>0</v>
      </c>
      <c r="I636" t="n">
        <v>0</v>
      </c>
      <c r="J636" t="n">
        <v>0</v>
      </c>
      <c r="K636" t="n">
        <v>0</v>
      </c>
      <c r="L636" t="n">
        <v>0</v>
      </c>
      <c r="M636" t="n">
        <v>0</v>
      </c>
      <c r="N636" t="n">
        <v>0</v>
      </c>
      <c r="O636" t="n">
        <v>0</v>
      </c>
      <c r="P636" t="n">
        <v>0</v>
      </c>
      <c r="Q636" t="n">
        <v>0</v>
      </c>
      <c r="R636" s="2" t="inlineStr"/>
    </row>
    <row r="637" ht="15" customHeight="1">
      <c r="A637" t="inlineStr">
        <is>
          <t>A 8444-2025</t>
        </is>
      </c>
      <c r="B637" s="1" t="n">
        <v>45709</v>
      </c>
      <c r="C637" s="1" t="n">
        <v>46176</v>
      </c>
      <c r="D637" t="inlineStr">
        <is>
          <t>GOTLANDS LÄN</t>
        </is>
      </c>
      <c r="E637" t="inlineStr">
        <is>
          <t>GOTLAND</t>
        </is>
      </c>
      <c r="G637" t="n">
        <v>5.2</v>
      </c>
      <c r="H637" t="n">
        <v>0</v>
      </c>
      <c r="I637" t="n">
        <v>0</v>
      </c>
      <c r="J637" t="n">
        <v>0</v>
      </c>
      <c r="K637" t="n">
        <v>0</v>
      </c>
      <c r="L637" t="n">
        <v>0</v>
      </c>
      <c r="M637" t="n">
        <v>0</v>
      </c>
      <c r="N637" t="n">
        <v>0</v>
      </c>
      <c r="O637" t="n">
        <v>0</v>
      </c>
      <c r="P637" t="n">
        <v>0</v>
      </c>
      <c r="Q637" t="n">
        <v>0</v>
      </c>
      <c r="R637" s="2" t="inlineStr"/>
    </row>
    <row r="638" ht="15" customHeight="1">
      <c r="A638" t="inlineStr">
        <is>
          <t>A 19905-2025</t>
        </is>
      </c>
      <c r="B638" s="1" t="n">
        <v>45771</v>
      </c>
      <c r="C638" s="1" t="n">
        <v>46176</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29207-2025</t>
        </is>
      </c>
      <c r="B639" s="1" t="n">
        <v>45823</v>
      </c>
      <c r="C639" s="1" t="n">
        <v>46176</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29196-2025</t>
        </is>
      </c>
      <c r="B640" s="1" t="n">
        <v>45822</v>
      </c>
      <c r="C640" s="1" t="n">
        <v>46176</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30061-2025</t>
        </is>
      </c>
      <c r="B641" s="1" t="n">
        <v>45826.61488425926</v>
      </c>
      <c r="C641" s="1" t="n">
        <v>46176</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c r="A642" t="inlineStr">
        <is>
          <t>A 58160-2024</t>
        </is>
      </c>
      <c r="B642" s="1" t="n">
        <v>45632.44927083333</v>
      </c>
      <c r="C642" s="1" t="n">
        <v>46176</v>
      </c>
      <c r="D642" t="inlineStr">
        <is>
          <t>GOTLANDS LÄN</t>
        </is>
      </c>
      <c r="E642" t="inlineStr">
        <is>
          <t>GOTLAND</t>
        </is>
      </c>
      <c r="G642" t="n">
        <v>5.6</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2026-06-03T10:54:21Z</dcterms:created>
  <dcterms:modified xmlns:dcterms="http://purl.org/dc/terms/" xmlns:xsi="http://www.w3.org/2001/XMLSchema-instance" xsi:type="dcterms:W3CDTF">2026-06-03T10:54:22Z</dcterms:modified>
</cp:coreProperties>
</file>