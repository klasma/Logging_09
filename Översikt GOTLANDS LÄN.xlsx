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45582</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45582</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45582</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45582</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530-2024</t>
        </is>
      </c>
      <c r="B9" s="1" t="n">
        <v>45299</v>
      </c>
      <c r="C9" s="1" t="n">
        <v>45582</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45582</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1684-2023</t>
        </is>
      </c>
      <c r="B11" s="1" t="n">
        <v>44938</v>
      </c>
      <c r="C11" s="1" t="n">
        <v>45582</v>
      </c>
      <c r="D11" t="inlineStr">
        <is>
          <t>GOTLANDS LÄN</t>
        </is>
      </c>
      <c r="E11" t="inlineStr">
        <is>
          <t>GOTLAND</t>
        </is>
      </c>
      <c r="G11" t="n">
        <v>23.3</v>
      </c>
      <c r="H11" t="n">
        <v>2</v>
      </c>
      <c r="I11" t="n">
        <v>8</v>
      </c>
      <c r="J11" t="n">
        <v>3</v>
      </c>
      <c r="K11" t="n">
        <v>1</v>
      </c>
      <c r="L11" t="n">
        <v>1</v>
      </c>
      <c r="M11" t="n">
        <v>2</v>
      </c>
      <c r="N11" t="n">
        <v>0</v>
      </c>
      <c r="O11" t="n">
        <v>7</v>
      </c>
      <c r="P11" t="n">
        <v>4</v>
      </c>
      <c r="Q11" t="n">
        <v>17</v>
      </c>
      <c r="R11" s="2" t="inlineStr">
        <is>
          <t>Cinnoberfläck
Frostfläck
Ädellav
Mörk kraterlav
Loppstarr
Mjölmusseron
Odörspindling
Anisspindling
Besk kastanjemusseron
Havstulpanlav
Kattfotslav
Korallblylav
Murgröna
Rikfruktig blemlav
Västlig hakmossa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row>
    <row r="12" ht="15" customHeight="1">
      <c r="A12" t="inlineStr">
        <is>
          <t>A 61664-2023</t>
        </is>
      </c>
      <c r="B12" s="1" t="n">
        <v>45265</v>
      </c>
      <c r="C12" s="1" t="n">
        <v>45582</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58474-2022</t>
        </is>
      </c>
      <c r="B13" s="1" t="n">
        <v>44902</v>
      </c>
      <c r="C13" s="1" t="n">
        <v>45582</v>
      </c>
      <c r="D13" t="inlineStr">
        <is>
          <t>GOTLANDS LÄN</t>
        </is>
      </c>
      <c r="E13" t="inlineStr">
        <is>
          <t>GOTLAND</t>
        </is>
      </c>
      <c r="G13" t="n">
        <v>10.3</v>
      </c>
      <c r="H13" t="n">
        <v>1</v>
      </c>
      <c r="I13" t="n">
        <v>9</v>
      </c>
      <c r="J13" t="n">
        <v>2</v>
      </c>
      <c r="K13" t="n">
        <v>2</v>
      </c>
      <c r="L13" t="n">
        <v>1</v>
      </c>
      <c r="M13" t="n">
        <v>0</v>
      </c>
      <c r="N13" t="n">
        <v>0</v>
      </c>
      <c r="O13" t="n">
        <v>5</v>
      </c>
      <c r="P13" t="n">
        <v>3</v>
      </c>
      <c r="Q13" t="n">
        <v>15</v>
      </c>
      <c r="R13" s="2" t="inlineStr">
        <is>
          <t>Ädellav
Mörk kraterlav
Skogskorn
Flattoppad klubbsvamp
Odörspindling
Anisspindling
Diskvaxskivling
Havstulpanlav
Murgröna
Rikfruktig blemlav
Rödgul trumpetsvamp
Skuggsprötmossa
Svavelriska
Västlig hakmossa
Fläcknycklar</t>
        </is>
      </c>
      <c r="S13">
        <f>HYPERLINK("https://klasma.github.io/Logging_0980/artfynd/A 58474-2022 artfynd.xlsx", "A 58474-2022")</f>
        <v/>
      </c>
      <c r="T13">
        <f>HYPERLINK("https://klasma.github.io/Logging_0980/kartor/A 58474-2022 karta.png", "A 58474-2022")</f>
        <v/>
      </c>
      <c r="V13">
        <f>HYPERLINK("https://klasma.github.io/Logging_0980/klagomål/A 58474-2022 FSC-klagomål.docx", "A 58474-2022")</f>
        <v/>
      </c>
      <c r="W13">
        <f>HYPERLINK("https://klasma.github.io/Logging_0980/klagomålsmail/A 58474-2022 FSC-klagomål mail.docx", "A 58474-2022")</f>
        <v/>
      </c>
      <c r="X13">
        <f>HYPERLINK("https://klasma.github.io/Logging_0980/tillsyn/A 58474-2022 tillsynsbegäran.docx", "A 58474-2022")</f>
        <v/>
      </c>
      <c r="Y13">
        <f>HYPERLINK("https://klasma.github.io/Logging_0980/tillsynsmail/A 58474-2022 tillsynsbegäran mail.docx", "A 58474-2022")</f>
        <v/>
      </c>
    </row>
    <row r="14" ht="15" customHeight="1">
      <c r="A14" t="inlineStr">
        <is>
          <t>A 24202-2023</t>
        </is>
      </c>
      <c r="B14" s="1" t="n">
        <v>45079</v>
      </c>
      <c r="C14" s="1" t="n">
        <v>45582</v>
      </c>
      <c r="D14" t="inlineStr">
        <is>
          <t>GOTLANDS LÄN</t>
        </is>
      </c>
      <c r="E14" t="inlineStr">
        <is>
          <t>GOTLAND</t>
        </is>
      </c>
      <c r="G14" t="n">
        <v>2.5</v>
      </c>
      <c r="H14" t="n">
        <v>0</v>
      </c>
      <c r="I14" t="n">
        <v>10</v>
      </c>
      <c r="J14" t="n">
        <v>2</v>
      </c>
      <c r="K14" t="n">
        <v>3</v>
      </c>
      <c r="L14" t="n">
        <v>0</v>
      </c>
      <c r="M14" t="n">
        <v>0</v>
      </c>
      <c r="N14" t="n">
        <v>0</v>
      </c>
      <c r="O14" t="n">
        <v>5</v>
      </c>
      <c r="P14" t="n">
        <v>3</v>
      </c>
      <c r="Q14" t="n">
        <v>15</v>
      </c>
      <c r="R14"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4">
        <f>HYPERLINK("https://klasma.github.io/Logging_0980/artfynd/A 24202-2023 artfynd.xlsx", "A 24202-2023")</f>
        <v/>
      </c>
      <c r="T14">
        <f>HYPERLINK("https://klasma.github.io/Logging_0980/kartor/A 24202-2023 karta.png", "A 24202-2023")</f>
        <v/>
      </c>
      <c r="V14">
        <f>HYPERLINK("https://klasma.github.io/Logging_0980/klagomål/A 24202-2023 FSC-klagomål.docx", "A 24202-2023")</f>
        <v/>
      </c>
      <c r="W14">
        <f>HYPERLINK("https://klasma.github.io/Logging_0980/klagomålsmail/A 24202-2023 FSC-klagomål mail.docx", "A 24202-2023")</f>
        <v/>
      </c>
      <c r="X14">
        <f>HYPERLINK("https://klasma.github.io/Logging_0980/tillsyn/A 24202-2023 tillsynsbegäran.docx", "A 24202-2023")</f>
        <v/>
      </c>
      <c r="Y14">
        <f>HYPERLINK("https://klasma.github.io/Logging_0980/tillsynsmail/A 24202-2023 tillsynsbegäran mail.docx", "A 24202-2023")</f>
        <v/>
      </c>
    </row>
    <row r="15" ht="15" customHeight="1">
      <c r="A15" t="inlineStr">
        <is>
          <t>A 61697-2023</t>
        </is>
      </c>
      <c r="B15" s="1" t="n">
        <v>45265</v>
      </c>
      <c r="C15" s="1" t="n">
        <v>45582</v>
      </c>
      <c r="D15" t="inlineStr">
        <is>
          <t>GOTLANDS LÄN</t>
        </is>
      </c>
      <c r="E15" t="inlineStr">
        <is>
          <t>GOTLAND</t>
        </is>
      </c>
      <c r="G15" t="n">
        <v>8.699999999999999</v>
      </c>
      <c r="H15" t="n">
        <v>2</v>
      </c>
      <c r="I15" t="n">
        <v>3</v>
      </c>
      <c r="J15" t="n">
        <v>4</v>
      </c>
      <c r="K15" t="n">
        <v>7</v>
      </c>
      <c r="L15" t="n">
        <v>1</v>
      </c>
      <c r="M15" t="n">
        <v>0</v>
      </c>
      <c r="N15" t="n">
        <v>0</v>
      </c>
      <c r="O15" t="n">
        <v>12</v>
      </c>
      <c r="P15" t="n">
        <v>8</v>
      </c>
      <c r="Q15" t="n">
        <v>15</v>
      </c>
      <c r="R15"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5">
        <f>HYPERLINK("https://klasma.github.io/Logging_0980/artfynd/A 61697-2023 artfynd.xlsx", "A 61697-2023")</f>
        <v/>
      </c>
      <c r="T15">
        <f>HYPERLINK("https://klasma.github.io/Logging_0980/kartor/A 61697-2023 karta.png", "A 61697-2023")</f>
        <v/>
      </c>
      <c r="V15">
        <f>HYPERLINK("https://klasma.github.io/Logging_0980/klagomål/A 61697-2023 FSC-klagomål.docx", "A 61697-2023")</f>
        <v/>
      </c>
      <c r="W15">
        <f>HYPERLINK("https://klasma.github.io/Logging_0980/klagomålsmail/A 61697-2023 FSC-klagomål mail.docx", "A 61697-2023")</f>
        <v/>
      </c>
      <c r="X15">
        <f>HYPERLINK("https://klasma.github.io/Logging_0980/tillsyn/A 61697-2023 tillsynsbegäran.docx", "A 61697-2023")</f>
        <v/>
      </c>
      <c r="Y15">
        <f>HYPERLINK("https://klasma.github.io/Logging_0980/tillsynsmail/A 61697-2023 tillsynsbegäran mail.docx", "A 61697-2023")</f>
        <v/>
      </c>
    </row>
    <row r="16" ht="15" customHeight="1">
      <c r="A16" t="inlineStr">
        <is>
          <t>A 25779-2022</t>
        </is>
      </c>
      <c r="B16" s="1" t="n">
        <v>44733</v>
      </c>
      <c r="C16" s="1" t="n">
        <v>45582</v>
      </c>
      <c r="D16" t="inlineStr">
        <is>
          <t>GOTLANDS LÄN</t>
        </is>
      </c>
      <c r="E16" t="inlineStr">
        <is>
          <t>GOTLAND</t>
        </is>
      </c>
      <c r="G16" t="n">
        <v>12.6</v>
      </c>
      <c r="H16" t="n">
        <v>4</v>
      </c>
      <c r="I16" t="n">
        <v>8</v>
      </c>
      <c r="J16" t="n">
        <v>3</v>
      </c>
      <c r="K16" t="n">
        <v>3</v>
      </c>
      <c r="L16" t="n">
        <v>0</v>
      </c>
      <c r="M16" t="n">
        <v>0</v>
      </c>
      <c r="N16" t="n">
        <v>0</v>
      </c>
      <c r="O16" t="n">
        <v>6</v>
      </c>
      <c r="P16" t="n">
        <v>3</v>
      </c>
      <c r="Q16" t="n">
        <v>14</v>
      </c>
      <c r="R16" s="2" t="inlineStr">
        <is>
          <t>Duvspindling
Knärot
Ruttaggsvamp
Jordtistel
Odörspindling
Svart taggsvamp
Nästrot
Rödgul trumpetsvamp
Skogsknipprot
Strimspindling
Strävlosta
Svavelriska
Vit skogslilja
Zontaggsvamp</t>
        </is>
      </c>
      <c r="S16">
        <f>HYPERLINK("https://klasma.github.io/Logging_0980/artfynd/A 25779-2022 artfynd.xlsx", "A 25779-2022")</f>
        <v/>
      </c>
      <c r="T16">
        <f>HYPERLINK("https://klasma.github.io/Logging_0980/kartor/A 25779-2022 karta.png", "A 25779-2022")</f>
        <v/>
      </c>
      <c r="U16">
        <f>HYPERLINK("https://klasma.github.io/Logging_0980/knärot/A 25779-2022 karta knärot.png", "A 25779-2022")</f>
        <v/>
      </c>
      <c r="V16">
        <f>HYPERLINK("https://klasma.github.io/Logging_0980/klagomål/A 25779-2022 FSC-klagomål.docx", "A 25779-2022")</f>
        <v/>
      </c>
      <c r="W16">
        <f>HYPERLINK("https://klasma.github.io/Logging_0980/klagomålsmail/A 25779-2022 FSC-klagomål mail.docx", "A 25779-2022")</f>
        <v/>
      </c>
      <c r="X16">
        <f>HYPERLINK("https://klasma.github.io/Logging_0980/tillsyn/A 25779-2022 tillsynsbegäran.docx", "A 25779-2022")</f>
        <v/>
      </c>
      <c r="Y16">
        <f>HYPERLINK("https://klasma.github.io/Logging_0980/tillsynsmail/A 25779-2022 tillsynsbegäran mail.docx", "A 25779-2022")</f>
        <v/>
      </c>
    </row>
    <row r="17" ht="15" customHeight="1">
      <c r="A17" t="inlineStr">
        <is>
          <t>A 569-2023</t>
        </is>
      </c>
      <c r="B17" s="1" t="n">
        <v>44930</v>
      </c>
      <c r="C17" s="1" t="n">
        <v>45582</v>
      </c>
      <c r="D17" t="inlineStr">
        <is>
          <t>GOTLANDS LÄN</t>
        </is>
      </c>
      <c r="E17" t="inlineStr">
        <is>
          <t>GOTLAND</t>
        </is>
      </c>
      <c r="G17" t="n">
        <v>12.8</v>
      </c>
      <c r="H17" t="n">
        <v>1</v>
      </c>
      <c r="I17" t="n">
        <v>5</v>
      </c>
      <c r="J17" t="n">
        <v>4</v>
      </c>
      <c r="K17" t="n">
        <v>5</v>
      </c>
      <c r="L17" t="n">
        <v>0</v>
      </c>
      <c r="M17" t="n">
        <v>0</v>
      </c>
      <c r="N17" t="n">
        <v>0</v>
      </c>
      <c r="O17" t="n">
        <v>9</v>
      </c>
      <c r="P17" t="n">
        <v>5</v>
      </c>
      <c r="Q17" t="n">
        <v>14</v>
      </c>
      <c r="R17"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53920-2023</t>
        </is>
      </c>
      <c r="B18" s="1" t="n">
        <v>45231</v>
      </c>
      <c r="C18" s="1" t="n">
        <v>45582</v>
      </c>
      <c r="D18" t="inlineStr">
        <is>
          <t>GOTLANDS LÄN</t>
        </is>
      </c>
      <c r="E18" t="inlineStr">
        <is>
          <t>GOTLAND</t>
        </is>
      </c>
      <c r="G18" t="n">
        <v>11.4</v>
      </c>
      <c r="H18" t="n">
        <v>0</v>
      </c>
      <c r="I18" t="n">
        <v>6</v>
      </c>
      <c r="J18" t="n">
        <v>2</v>
      </c>
      <c r="K18" t="n">
        <v>6</v>
      </c>
      <c r="L18" t="n">
        <v>0</v>
      </c>
      <c r="M18" t="n">
        <v>0</v>
      </c>
      <c r="N18" t="n">
        <v>0</v>
      </c>
      <c r="O18" t="n">
        <v>8</v>
      </c>
      <c r="P18" t="n">
        <v>6</v>
      </c>
      <c r="Q18" t="n">
        <v>14</v>
      </c>
      <c r="R18" s="2" t="inlineStr">
        <is>
          <t>Duvspindling
Granrotspindling
Gulsträngad fagerspindling
Svartgrön spindling
Tvillingspindling
Vit taggsvamp
Igelkott
Odörspindling
Anisspindling
Blå slemspindling
Diskvaxskivling
Olivspindling
Rödfläckig zontaggsvamp
Trådticka</t>
        </is>
      </c>
      <c r="S18">
        <f>HYPERLINK("https://klasma.github.io/Logging_0980/artfynd/A 53920-2023 artfynd.xlsx", "A 53920-2023")</f>
        <v/>
      </c>
      <c r="T18">
        <f>HYPERLINK("https://klasma.github.io/Logging_0980/kartor/A 53920-2023 karta.png", "A 53920-2023")</f>
        <v/>
      </c>
      <c r="V18">
        <f>HYPERLINK("https://klasma.github.io/Logging_0980/klagomål/A 53920-2023 FSC-klagomål.docx", "A 53920-2023")</f>
        <v/>
      </c>
      <c r="W18">
        <f>HYPERLINK("https://klasma.github.io/Logging_0980/klagomålsmail/A 53920-2023 FSC-klagomål mail.docx", "A 53920-2023")</f>
        <v/>
      </c>
      <c r="X18">
        <f>HYPERLINK("https://klasma.github.io/Logging_0980/tillsyn/A 53920-2023 tillsynsbegäran.docx", "A 53920-2023")</f>
        <v/>
      </c>
      <c r="Y18">
        <f>HYPERLINK("https://klasma.github.io/Logging_0980/tillsynsmail/A 53920-2023 tillsynsbegäran mail.docx", "A 53920-2023")</f>
        <v/>
      </c>
    </row>
    <row r="19" ht="15" customHeight="1">
      <c r="A19" t="inlineStr">
        <is>
          <t>A 12841-2020</t>
        </is>
      </c>
      <c r="B19" s="1" t="n">
        <v>43899</v>
      </c>
      <c r="C19" s="1" t="n">
        <v>45582</v>
      </c>
      <c r="D19" t="inlineStr">
        <is>
          <t>GOTLANDS LÄN</t>
        </is>
      </c>
      <c r="E19" t="inlineStr">
        <is>
          <t>GOTLAND</t>
        </is>
      </c>
      <c r="G19" t="n">
        <v>6.4</v>
      </c>
      <c r="H19" t="n">
        <v>1</v>
      </c>
      <c r="I19" t="n">
        <v>4</v>
      </c>
      <c r="J19" t="n">
        <v>3</v>
      </c>
      <c r="K19" t="n">
        <v>6</v>
      </c>
      <c r="L19" t="n">
        <v>0</v>
      </c>
      <c r="M19" t="n">
        <v>0</v>
      </c>
      <c r="N19" t="n">
        <v>0</v>
      </c>
      <c r="O19" t="n">
        <v>9</v>
      </c>
      <c r="P19" t="n">
        <v>6</v>
      </c>
      <c r="Q19" t="n">
        <v>13</v>
      </c>
      <c r="R19" s="2" t="inlineStr">
        <is>
          <t>Bullspindling
Duvspindling
Granrotspindling
Kopparspindling
Svartgrön spindling
Vit taggsvamp
Odörspindling
Orange taggsvamp
Röd skogslilja
Dropptaggsvamp
Rödbrun jordstjärna
Skarp dropptaggsvamp
Zontaggsvamp</t>
        </is>
      </c>
      <c r="S19">
        <f>HYPERLINK("https://klasma.github.io/Logging_0980/artfynd/A 12841-2020 artfynd.xlsx", "A 12841-2020")</f>
        <v/>
      </c>
      <c r="T19">
        <f>HYPERLINK("https://klasma.github.io/Logging_0980/kartor/A 12841-2020 karta.png", "A 12841-2020")</f>
        <v/>
      </c>
      <c r="V19">
        <f>HYPERLINK("https://klasma.github.io/Logging_0980/klagomål/A 12841-2020 FSC-klagomål.docx", "A 12841-2020")</f>
        <v/>
      </c>
      <c r="W19">
        <f>HYPERLINK("https://klasma.github.io/Logging_0980/klagomålsmail/A 12841-2020 FSC-klagomål mail.docx", "A 12841-2020")</f>
        <v/>
      </c>
      <c r="X19">
        <f>HYPERLINK("https://klasma.github.io/Logging_0980/tillsyn/A 12841-2020 tillsynsbegäran.docx", "A 12841-2020")</f>
        <v/>
      </c>
      <c r="Y19">
        <f>HYPERLINK("https://klasma.github.io/Logging_0980/tillsynsmail/A 12841-2020 tillsynsbegäran mail.docx", "A 12841-2020")</f>
        <v/>
      </c>
    </row>
    <row r="20" ht="15" customHeight="1">
      <c r="A20" t="inlineStr">
        <is>
          <t>A 35141-2022</t>
        </is>
      </c>
      <c r="B20" s="1" t="n">
        <v>44797</v>
      </c>
      <c r="C20" s="1" t="n">
        <v>45582</v>
      </c>
      <c r="D20" t="inlineStr">
        <is>
          <t>GOTLANDS LÄN</t>
        </is>
      </c>
      <c r="E20" t="inlineStr">
        <is>
          <t>GOTLAND</t>
        </is>
      </c>
      <c r="G20" t="n">
        <v>1.8</v>
      </c>
      <c r="H20" t="n">
        <v>0</v>
      </c>
      <c r="I20" t="n">
        <v>7</v>
      </c>
      <c r="J20" t="n">
        <v>3</v>
      </c>
      <c r="K20" t="n">
        <v>3</v>
      </c>
      <c r="L20" t="n">
        <v>0</v>
      </c>
      <c r="M20" t="n">
        <v>0</v>
      </c>
      <c r="N20" t="n">
        <v>0</v>
      </c>
      <c r="O20" t="n">
        <v>6</v>
      </c>
      <c r="P20" t="n">
        <v>3</v>
      </c>
      <c r="Q20" t="n">
        <v>13</v>
      </c>
      <c r="R20" s="2" t="inlineStr">
        <is>
          <t>Dvärgfjällskivling
Svartgrön spindling
Violettfläckig spindling
Bittermusseron
Flattoppad klubbsvamp
Odörspindling
Anisspindling
Fransig jordstjärna
Kambräken
Olivspindling
Rödgul trumpetsvamp
Svavelriska
Vågbandad barkbock</t>
        </is>
      </c>
      <c r="S20">
        <f>HYPERLINK("https://klasma.github.io/Logging_0980/artfynd/A 35141-2022 artfynd.xlsx", "A 35141-2022")</f>
        <v/>
      </c>
      <c r="T20">
        <f>HYPERLINK("https://klasma.github.io/Logging_0980/kartor/A 35141-2022 karta.png", "A 35141-2022")</f>
        <v/>
      </c>
      <c r="V20">
        <f>HYPERLINK("https://klasma.github.io/Logging_0980/klagomål/A 35141-2022 FSC-klagomål.docx", "A 35141-2022")</f>
        <v/>
      </c>
      <c r="W20">
        <f>HYPERLINK("https://klasma.github.io/Logging_0980/klagomålsmail/A 35141-2022 FSC-klagomål mail.docx", "A 35141-2022")</f>
        <v/>
      </c>
      <c r="X20">
        <f>HYPERLINK("https://klasma.github.io/Logging_0980/tillsyn/A 35141-2022 tillsynsbegäran.docx", "A 35141-2022")</f>
        <v/>
      </c>
      <c r="Y20">
        <f>HYPERLINK("https://klasma.github.io/Logging_0980/tillsynsmail/A 35141-2022 tillsynsbegäran mail.docx", "A 35141-2022")</f>
        <v/>
      </c>
    </row>
    <row r="21" ht="15" customHeight="1">
      <c r="A21" t="inlineStr">
        <is>
          <t>A 44928-2022</t>
        </is>
      </c>
      <c r="B21" s="1" t="n">
        <v>44841</v>
      </c>
      <c r="C21" s="1" t="n">
        <v>45582</v>
      </c>
      <c r="D21" t="inlineStr">
        <is>
          <t>GOTLANDS LÄN</t>
        </is>
      </c>
      <c r="E21" t="inlineStr">
        <is>
          <t>GOTLAND</t>
        </is>
      </c>
      <c r="G21" t="n">
        <v>3.7</v>
      </c>
      <c r="H21" t="n">
        <v>1</v>
      </c>
      <c r="I21" t="n">
        <v>6</v>
      </c>
      <c r="J21" t="n">
        <v>3</v>
      </c>
      <c r="K21" t="n">
        <v>2</v>
      </c>
      <c r="L21" t="n">
        <v>1</v>
      </c>
      <c r="M21" t="n">
        <v>0</v>
      </c>
      <c r="N21" t="n">
        <v>0</v>
      </c>
      <c r="O21" t="n">
        <v>7</v>
      </c>
      <c r="P21" t="n">
        <v>3</v>
      </c>
      <c r="Q21" t="n">
        <v>13</v>
      </c>
      <c r="R21" s="2" t="inlineStr">
        <is>
          <t>Barkkvastmossa
Gulsträngad fagerspindling
Tvillingspindling
Odörspindling
Puderspindling
Ängsstarr
Frostig asplav
Anisspindling
Axag
Blå slemspindling
Kattfotslav
Kärrlilja
Svavelriska</t>
        </is>
      </c>
      <c r="S21">
        <f>HYPERLINK("https://klasma.github.io/Logging_0980/artfynd/A 44928-2022 artfynd.xlsx", "A 44928-2022")</f>
        <v/>
      </c>
      <c r="T21">
        <f>HYPERLINK("https://klasma.github.io/Logging_0980/kartor/A 44928-2022 karta.png", "A 44928-2022")</f>
        <v/>
      </c>
      <c r="V21">
        <f>HYPERLINK("https://klasma.github.io/Logging_0980/klagomål/A 44928-2022 FSC-klagomål.docx", "A 44928-2022")</f>
        <v/>
      </c>
      <c r="W21">
        <f>HYPERLINK("https://klasma.github.io/Logging_0980/klagomålsmail/A 44928-2022 FSC-klagomål mail.docx", "A 44928-2022")</f>
        <v/>
      </c>
      <c r="X21">
        <f>HYPERLINK("https://klasma.github.io/Logging_0980/tillsyn/A 44928-2022 tillsynsbegäran.docx", "A 44928-2022")</f>
        <v/>
      </c>
      <c r="Y21">
        <f>HYPERLINK("https://klasma.github.io/Logging_0980/tillsynsmail/A 44928-2022 tillsynsbegäran mail.docx", "A 44928-2022")</f>
        <v/>
      </c>
    </row>
    <row r="22" ht="15" customHeight="1">
      <c r="A22" t="inlineStr">
        <is>
          <t>A 2804-2023</t>
        </is>
      </c>
      <c r="B22" s="1" t="n">
        <v>44944</v>
      </c>
      <c r="C22" s="1" t="n">
        <v>45582</v>
      </c>
      <c r="D22" t="inlineStr">
        <is>
          <t>GOTLANDS LÄN</t>
        </is>
      </c>
      <c r="E22" t="inlineStr">
        <is>
          <t>GOTLAND</t>
        </is>
      </c>
      <c r="G22" t="n">
        <v>7.6</v>
      </c>
      <c r="H22" t="n">
        <v>2</v>
      </c>
      <c r="I22" t="n">
        <v>4</v>
      </c>
      <c r="J22" t="n">
        <v>4</v>
      </c>
      <c r="K22" t="n">
        <v>3</v>
      </c>
      <c r="L22" t="n">
        <v>0</v>
      </c>
      <c r="M22" t="n">
        <v>0</v>
      </c>
      <c r="N22" t="n">
        <v>0</v>
      </c>
      <c r="O22" t="n">
        <v>7</v>
      </c>
      <c r="P22" t="n">
        <v>3</v>
      </c>
      <c r="Q22" t="n">
        <v>13</v>
      </c>
      <c r="R22" s="2" t="inlineStr">
        <is>
          <t>Granrotspindling
Narrspindling
Violettfläckig spindling
Ekticka
Granticka
Oxtungssvamp
Svinrot
Blå slemspindling
Fransig jordstjärna
Rödgul trumpetsvamp
Svavelriska
Sankt pers nycklar
Blåsippa</t>
        </is>
      </c>
      <c r="S22">
        <f>HYPERLINK("https://klasma.github.io/Logging_0980/artfynd/A 2804-2023 artfynd.xlsx", "A 2804-2023")</f>
        <v/>
      </c>
      <c r="T22">
        <f>HYPERLINK("https://klasma.github.io/Logging_0980/kartor/A 2804-2023 karta.png", "A 2804-2023")</f>
        <v/>
      </c>
      <c r="V22">
        <f>HYPERLINK("https://klasma.github.io/Logging_0980/klagomål/A 2804-2023 FSC-klagomål.docx", "A 2804-2023")</f>
        <v/>
      </c>
      <c r="W22">
        <f>HYPERLINK("https://klasma.github.io/Logging_0980/klagomålsmail/A 2804-2023 FSC-klagomål mail.docx", "A 2804-2023")</f>
        <v/>
      </c>
      <c r="X22">
        <f>HYPERLINK("https://klasma.github.io/Logging_0980/tillsyn/A 2804-2023 tillsynsbegäran.docx", "A 2804-2023")</f>
        <v/>
      </c>
      <c r="Y22">
        <f>HYPERLINK("https://klasma.github.io/Logging_0980/tillsynsmail/A 2804-2023 tillsynsbegäran mail.docx", "A 2804-2023")</f>
        <v/>
      </c>
    </row>
    <row r="23" ht="15" customHeight="1">
      <c r="A23" t="inlineStr">
        <is>
          <t>A 2222-2024</t>
        </is>
      </c>
      <c r="B23" s="1" t="n">
        <v>45309</v>
      </c>
      <c r="C23" s="1" t="n">
        <v>45582</v>
      </c>
      <c r="D23" t="inlineStr">
        <is>
          <t>GOTLANDS LÄN</t>
        </is>
      </c>
      <c r="E23" t="inlineStr">
        <is>
          <t>GOTLAND</t>
        </is>
      </c>
      <c r="F23" t="inlineStr">
        <is>
          <t>Kyrkan</t>
        </is>
      </c>
      <c r="G23" t="n">
        <v>10.6</v>
      </c>
      <c r="H23" t="n">
        <v>0</v>
      </c>
      <c r="I23" t="n">
        <v>6</v>
      </c>
      <c r="J23" t="n">
        <v>2</v>
      </c>
      <c r="K23" t="n">
        <v>5</v>
      </c>
      <c r="L23" t="n">
        <v>0</v>
      </c>
      <c r="M23" t="n">
        <v>0</v>
      </c>
      <c r="N23" t="n">
        <v>0</v>
      </c>
      <c r="O23" t="n">
        <v>7</v>
      </c>
      <c r="P23" t="n">
        <v>5</v>
      </c>
      <c r="Q23" t="n">
        <v>13</v>
      </c>
      <c r="R23" s="2" t="inlineStr">
        <is>
          <t>Granrotspindling
Gulsträngad fagerspindling
Svartgrön spindling
Tvillingspindling
Vit taggsvamp
Gulfotad denisespindling
Odörspindling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17762-2024</t>
        </is>
      </c>
      <c r="B24" s="1" t="n">
        <v>45418</v>
      </c>
      <c r="C24" s="1" t="n">
        <v>45582</v>
      </c>
      <c r="D24" t="inlineStr">
        <is>
          <t>GOTLANDS LÄN</t>
        </is>
      </c>
      <c r="E24" t="inlineStr">
        <is>
          <t>GOTLAND</t>
        </is>
      </c>
      <c r="G24" t="n">
        <v>5.8</v>
      </c>
      <c r="H24" t="n">
        <v>2</v>
      </c>
      <c r="I24" t="n">
        <v>1</v>
      </c>
      <c r="J24" t="n">
        <v>7</v>
      </c>
      <c r="K24" t="n">
        <v>1</v>
      </c>
      <c r="L24" t="n">
        <v>1</v>
      </c>
      <c r="M24" t="n">
        <v>1</v>
      </c>
      <c r="N24" t="n">
        <v>0</v>
      </c>
      <c r="O24" t="n">
        <v>10</v>
      </c>
      <c r="P24" t="n">
        <v>3</v>
      </c>
      <c r="Q24" t="n">
        <v>13</v>
      </c>
      <c r="R24" s="2" t="inlineStr">
        <is>
          <t>Järnek
Naveljordstjärna
Gråfingerört
Axveronika
Backstarr
Backtimjan
Crepis tectorum subsp. tectorum
Kalkvaxskivling
Solvända
Svinrot
Anisspindling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25218-2021</t>
        </is>
      </c>
      <c r="B25" s="1" t="n">
        <v>44342</v>
      </c>
      <c r="C25" s="1" t="n">
        <v>45582</v>
      </c>
      <c r="D25" t="inlineStr">
        <is>
          <t>GOTLANDS LÄN</t>
        </is>
      </c>
      <c r="E25" t="inlineStr">
        <is>
          <t>GOTLAND</t>
        </is>
      </c>
      <c r="G25" t="n">
        <v>7.6</v>
      </c>
      <c r="H25" t="n">
        <v>1</v>
      </c>
      <c r="I25" t="n">
        <v>4</v>
      </c>
      <c r="J25" t="n">
        <v>2</v>
      </c>
      <c r="K25" t="n">
        <v>4</v>
      </c>
      <c r="L25" t="n">
        <v>1</v>
      </c>
      <c r="M25" t="n">
        <v>1</v>
      </c>
      <c r="N25" t="n">
        <v>0</v>
      </c>
      <c r="O25" t="n">
        <v>8</v>
      </c>
      <c r="P25" t="n">
        <v>6</v>
      </c>
      <c r="Q25" t="n">
        <v>12</v>
      </c>
      <c r="R25" s="2" t="inlineStr">
        <is>
          <t>Mörk lundlav
Ädellav
Almlav
Klosterlav
Mörk kraterlav
Rosa lundlav
Duvhök
Rosa skärelav
Hasselsopp
Lönnlav
Rikfruktig blemlav
Slät lönnlav</t>
        </is>
      </c>
      <c r="S25">
        <f>HYPERLINK("https://klasma.github.io/Logging_0980/artfynd/A 25218-2021 artfynd.xlsx", "A 25218-2021")</f>
        <v/>
      </c>
      <c r="T25">
        <f>HYPERLINK("https://klasma.github.io/Logging_0980/kartor/A 25218-2021 karta.png", "A 25218-2021")</f>
        <v/>
      </c>
      <c r="V25">
        <f>HYPERLINK("https://klasma.github.io/Logging_0980/klagomål/A 25218-2021 FSC-klagomål.docx", "A 25218-2021")</f>
        <v/>
      </c>
      <c r="W25">
        <f>HYPERLINK("https://klasma.github.io/Logging_0980/klagomålsmail/A 25218-2021 FSC-klagomål mail.docx", "A 25218-2021")</f>
        <v/>
      </c>
      <c r="X25">
        <f>HYPERLINK("https://klasma.github.io/Logging_0980/tillsyn/A 25218-2021 tillsynsbegäran.docx", "A 25218-2021")</f>
        <v/>
      </c>
      <c r="Y25">
        <f>HYPERLINK("https://klasma.github.io/Logging_0980/tillsynsmail/A 25218-2021 tillsynsbegäran mail.docx", "A 25218-2021")</f>
        <v/>
      </c>
      <c r="Z25">
        <f>HYPERLINK("https://klasma.github.io/Logging_0980/fåglar/A 25218-2021 prioriterade fågelarter.docx", "A 25218-2021")</f>
        <v/>
      </c>
    </row>
    <row r="26" ht="15" customHeight="1">
      <c r="A26" t="inlineStr">
        <is>
          <t>A 53103-2021</t>
        </is>
      </c>
      <c r="B26" s="1" t="n">
        <v>44467</v>
      </c>
      <c r="C26" s="1" t="n">
        <v>45582</v>
      </c>
      <c r="D26" t="inlineStr">
        <is>
          <t>GOTLANDS LÄN</t>
        </is>
      </c>
      <c r="E26" t="inlineStr">
        <is>
          <t>GOTLAND</t>
        </is>
      </c>
      <c r="G26" t="n">
        <v>5.3</v>
      </c>
      <c r="H26" t="n">
        <v>6</v>
      </c>
      <c r="I26" t="n">
        <v>6</v>
      </c>
      <c r="J26" t="n">
        <v>4</v>
      </c>
      <c r="K26" t="n">
        <v>0</v>
      </c>
      <c r="L26" t="n">
        <v>0</v>
      </c>
      <c r="M26" t="n">
        <v>0</v>
      </c>
      <c r="N26" t="n">
        <v>0</v>
      </c>
      <c r="O26" t="n">
        <v>4</v>
      </c>
      <c r="P26" t="n">
        <v>0</v>
      </c>
      <c r="Q26" t="n">
        <v>12</v>
      </c>
      <c r="R26" s="2" t="inlineStr">
        <is>
          <t>Backtimjan
Grönsångare
Sandviol
Svartfläckig blåvinge
Björksplintborre
Blåmossa
Granbarkgnagare
Kattfotslav
Purpurknipprot
Skogsknipprot
Sankt pers nycklar
Blåsippa</t>
        </is>
      </c>
      <c r="S26">
        <f>HYPERLINK("https://klasma.github.io/Logging_0980/artfynd/A 53103-2021 artfynd.xlsx", "A 53103-2021")</f>
        <v/>
      </c>
      <c r="T26">
        <f>HYPERLINK("https://klasma.github.io/Logging_0980/kartor/A 53103-2021 karta.png", "A 53103-2021")</f>
        <v/>
      </c>
      <c r="V26">
        <f>HYPERLINK("https://klasma.github.io/Logging_0980/klagomål/A 53103-2021 FSC-klagomål.docx", "A 53103-2021")</f>
        <v/>
      </c>
      <c r="W26">
        <f>HYPERLINK("https://klasma.github.io/Logging_0980/klagomålsmail/A 53103-2021 FSC-klagomål mail.docx", "A 53103-2021")</f>
        <v/>
      </c>
      <c r="X26">
        <f>HYPERLINK("https://klasma.github.io/Logging_0980/tillsyn/A 53103-2021 tillsynsbegäran.docx", "A 53103-2021")</f>
        <v/>
      </c>
      <c r="Y26">
        <f>HYPERLINK("https://klasma.github.io/Logging_0980/tillsynsmail/A 53103-2021 tillsynsbegäran mail.docx", "A 53103-2021")</f>
        <v/>
      </c>
      <c r="Z26">
        <f>HYPERLINK("https://klasma.github.io/Logging_0980/fåglar/A 53103-2021 prioriterade fågelarter.docx", "A 53103-2021")</f>
        <v/>
      </c>
    </row>
    <row r="27" ht="15" customHeight="1">
      <c r="A27" t="inlineStr">
        <is>
          <t>A 3324-2023</t>
        </is>
      </c>
      <c r="B27" s="1" t="n">
        <v>44949</v>
      </c>
      <c r="C27" s="1" t="n">
        <v>45582</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45582</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45582</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45582</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45582</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45582</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45582</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45582</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45582</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45582</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45582</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45582</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45582</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45582</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45582</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45582</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45582</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45582</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45582</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45582</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45582</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45582</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45582</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45582</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45582</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45582</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45582</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45582</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45582</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45582</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45582</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45582</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45582</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45582</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45582</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45582</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45582</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45582</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45582</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45582</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45582</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45582</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45582</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45582</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45582</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45582</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45582</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45582</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45582</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45582</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45582</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45582</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45582</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45582</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45582</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45582</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45582</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45582</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45582</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45582</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45582</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45582</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45582</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45582</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45582</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45582</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45582</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45582</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45582</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45582</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45582</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45582</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45582</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45582</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45582</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45582</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45582</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45582</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45582</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45582</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45582</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45582</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45582</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45582</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45582</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45582</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45582</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45582</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45582</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45582</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45582</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45582</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45582</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45582</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45582</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45582</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45582</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45582</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45582</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45582</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45582</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45582</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45582</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45582</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45582</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45582</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45582</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45582</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45582</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45582</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45582</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45582</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45582</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45582</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45582</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45582</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45582</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45582</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45582</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45582</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45582</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45582</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45582</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45582</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45582</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45582</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45582</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45582</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45582</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45582</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45582</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45582</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45582</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45582</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45582</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45582</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45582</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45582</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45582</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45582</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45582</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45582</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45582</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45582</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45582</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45582</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45582</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45582</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45582</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45582</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45582</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45582</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45582</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45582</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45582</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45582</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45582</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45582</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45582</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41346-2021</t>
        </is>
      </c>
      <c r="B190" s="1" t="n">
        <v>44424</v>
      </c>
      <c r="C190" s="1" t="n">
        <v>45582</v>
      </c>
      <c r="D190" t="inlineStr">
        <is>
          <t>GOTLANDS LÄN</t>
        </is>
      </c>
      <c r="E190" t="inlineStr">
        <is>
          <t>GOTLAND</t>
        </is>
      </c>
      <c r="G190" t="n">
        <v>0.9</v>
      </c>
      <c r="H190" t="n">
        <v>0</v>
      </c>
      <c r="I190" t="n">
        <v>1</v>
      </c>
      <c r="J190" t="n">
        <v>0</v>
      </c>
      <c r="K190" t="n">
        <v>0</v>
      </c>
      <c r="L190" t="n">
        <v>0</v>
      </c>
      <c r="M190" t="n">
        <v>0</v>
      </c>
      <c r="N190" t="n">
        <v>0</v>
      </c>
      <c r="O190" t="n">
        <v>0</v>
      </c>
      <c r="P190" t="n">
        <v>0</v>
      </c>
      <c r="Q190" t="n">
        <v>1</v>
      </c>
      <c r="R190" s="2" t="inlineStr">
        <is>
          <t>Fjällig taggsvamp s.str.</t>
        </is>
      </c>
      <c r="S190">
        <f>HYPERLINK("https://klasma.github.io/Logging_0980/artfynd/A 41346-2021 artfynd.xlsx", "A 41346-2021")</f>
        <v/>
      </c>
      <c r="T190">
        <f>HYPERLINK("https://klasma.github.io/Logging_0980/kartor/A 41346-2021 karta.png", "A 41346-2021")</f>
        <v/>
      </c>
      <c r="V190">
        <f>HYPERLINK("https://klasma.github.io/Logging_0980/klagomål/A 41346-2021 FSC-klagomål.docx", "A 41346-2021")</f>
        <v/>
      </c>
      <c r="W190">
        <f>HYPERLINK("https://klasma.github.io/Logging_0980/klagomålsmail/A 41346-2021 FSC-klagomål mail.docx", "A 41346-2021")</f>
        <v/>
      </c>
      <c r="X190">
        <f>HYPERLINK("https://klasma.github.io/Logging_0980/tillsyn/A 41346-2021 tillsynsbegäran.docx", "A 41346-2021")</f>
        <v/>
      </c>
      <c r="Y190">
        <f>HYPERLINK("https://klasma.github.io/Logging_0980/tillsynsmail/A 41346-2021 tillsynsbegäran mail.docx", "A 41346-2021")</f>
        <v/>
      </c>
    </row>
    <row r="191" ht="15" customHeight="1">
      <c r="A191" t="inlineStr">
        <is>
          <t>A 44308-2021</t>
        </is>
      </c>
      <c r="B191" s="1" t="n">
        <v>44434</v>
      </c>
      <c r="C191" s="1" t="n">
        <v>45582</v>
      </c>
      <c r="D191" t="inlineStr">
        <is>
          <t>GOTLANDS LÄN</t>
        </is>
      </c>
      <c r="E191" t="inlineStr">
        <is>
          <t>GOTLAND</t>
        </is>
      </c>
      <c r="G191" t="n">
        <v>5.9</v>
      </c>
      <c r="H191" t="n">
        <v>0</v>
      </c>
      <c r="I191" t="n">
        <v>1</v>
      </c>
      <c r="J191" t="n">
        <v>0</v>
      </c>
      <c r="K191" t="n">
        <v>0</v>
      </c>
      <c r="L191" t="n">
        <v>0</v>
      </c>
      <c r="M191" t="n">
        <v>0</v>
      </c>
      <c r="N191" t="n">
        <v>0</v>
      </c>
      <c r="O191" t="n">
        <v>0</v>
      </c>
      <c r="P191" t="n">
        <v>0</v>
      </c>
      <c r="Q191" t="n">
        <v>1</v>
      </c>
      <c r="R191" s="2" t="inlineStr">
        <is>
          <t>Svavelriska</t>
        </is>
      </c>
      <c r="S191">
        <f>HYPERLINK("https://klasma.github.io/Logging_0980/artfynd/A 44308-2021 artfynd.xlsx", "A 44308-2021")</f>
        <v/>
      </c>
      <c r="T191">
        <f>HYPERLINK("https://klasma.github.io/Logging_0980/kartor/A 44308-2021 karta.png", "A 44308-2021")</f>
        <v/>
      </c>
      <c r="V191">
        <f>HYPERLINK("https://klasma.github.io/Logging_0980/klagomål/A 44308-2021 FSC-klagomål.docx", "A 44308-2021")</f>
        <v/>
      </c>
      <c r="W191">
        <f>HYPERLINK("https://klasma.github.io/Logging_0980/klagomålsmail/A 44308-2021 FSC-klagomål mail.docx", "A 44308-2021")</f>
        <v/>
      </c>
      <c r="X191">
        <f>HYPERLINK("https://klasma.github.io/Logging_0980/tillsyn/A 44308-2021 tillsynsbegäran.docx", "A 44308-2021")</f>
        <v/>
      </c>
      <c r="Y191">
        <f>HYPERLINK("https://klasma.github.io/Logging_0980/tillsynsmail/A 44308-2021 tillsynsbegäran mail.docx", "A 44308-2021")</f>
        <v/>
      </c>
    </row>
    <row r="192" ht="15" customHeight="1">
      <c r="A192" t="inlineStr">
        <is>
          <t>A 47411-2021</t>
        </is>
      </c>
      <c r="B192" s="1" t="n">
        <v>44447</v>
      </c>
      <c r="C192" s="1" t="n">
        <v>45582</v>
      </c>
      <c r="D192" t="inlineStr">
        <is>
          <t>GOTLANDS LÄN</t>
        </is>
      </c>
      <c r="E192" t="inlineStr">
        <is>
          <t>GOTLAND</t>
        </is>
      </c>
      <c r="G192" t="n">
        <v>2.7</v>
      </c>
      <c r="H192" t="n">
        <v>1</v>
      </c>
      <c r="I192" t="n">
        <v>0</v>
      </c>
      <c r="J192" t="n">
        <v>0</v>
      </c>
      <c r="K192" t="n">
        <v>0</v>
      </c>
      <c r="L192" t="n">
        <v>0</v>
      </c>
      <c r="M192" t="n">
        <v>0</v>
      </c>
      <c r="N192" t="n">
        <v>0</v>
      </c>
      <c r="O192" t="n">
        <v>0</v>
      </c>
      <c r="P192" t="n">
        <v>0</v>
      </c>
      <c r="Q192" t="n">
        <v>1</v>
      </c>
      <c r="R192" s="2" t="inlineStr">
        <is>
          <t>Revlummer</t>
        </is>
      </c>
      <c r="S192">
        <f>HYPERLINK("https://klasma.github.io/Logging_0980/artfynd/A 47411-2021 artfynd.xlsx", "A 47411-2021")</f>
        <v/>
      </c>
      <c r="T192">
        <f>HYPERLINK("https://klasma.github.io/Logging_0980/kartor/A 47411-2021 karta.png", "A 47411-2021")</f>
        <v/>
      </c>
      <c r="V192">
        <f>HYPERLINK("https://klasma.github.io/Logging_0980/klagomål/A 47411-2021 FSC-klagomål.docx", "A 47411-2021")</f>
        <v/>
      </c>
      <c r="W192">
        <f>HYPERLINK("https://klasma.github.io/Logging_0980/klagomålsmail/A 47411-2021 FSC-klagomål mail.docx", "A 47411-2021")</f>
        <v/>
      </c>
      <c r="X192">
        <f>HYPERLINK("https://klasma.github.io/Logging_0980/tillsyn/A 47411-2021 tillsynsbegäran.docx", "A 47411-2021")</f>
        <v/>
      </c>
      <c r="Y192">
        <f>HYPERLINK("https://klasma.github.io/Logging_0980/tillsynsmail/A 47411-2021 tillsynsbegäran mail.docx", "A 47411-2021")</f>
        <v/>
      </c>
    </row>
    <row r="193" ht="15" customHeight="1">
      <c r="A193" t="inlineStr">
        <is>
          <t>A 63576-2021</t>
        </is>
      </c>
      <c r="B193" s="1" t="n">
        <v>44508</v>
      </c>
      <c r="C193" s="1" t="n">
        <v>45582</v>
      </c>
      <c r="D193" t="inlineStr">
        <is>
          <t>GOTLANDS LÄN</t>
        </is>
      </c>
      <c r="E193" t="inlineStr">
        <is>
          <t>GOTLAND</t>
        </is>
      </c>
      <c r="F193" t="inlineStr">
        <is>
          <t>Kyrkan</t>
        </is>
      </c>
      <c r="G193" t="n">
        <v>4.1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63576-2021 artfynd.xlsx", "A 63576-2021")</f>
        <v/>
      </c>
      <c r="T193">
        <f>HYPERLINK("https://klasma.github.io/Logging_0980/kartor/A 63576-2021 karta.png", "A 63576-2021")</f>
        <v/>
      </c>
      <c r="V193">
        <f>HYPERLINK("https://klasma.github.io/Logging_0980/klagomål/A 63576-2021 FSC-klagomål.docx", "A 63576-2021")</f>
        <v/>
      </c>
      <c r="W193">
        <f>HYPERLINK("https://klasma.github.io/Logging_0980/klagomålsmail/A 63576-2021 FSC-klagomål mail.docx", "A 63576-2021")</f>
        <v/>
      </c>
      <c r="X193">
        <f>HYPERLINK("https://klasma.github.io/Logging_0980/tillsyn/A 63576-2021 tillsynsbegäran.docx", "A 63576-2021")</f>
        <v/>
      </c>
      <c r="Y193">
        <f>HYPERLINK("https://klasma.github.io/Logging_0980/tillsynsmail/A 63576-2021 tillsynsbegäran mail.docx", "A 63576-2021")</f>
        <v/>
      </c>
    </row>
    <row r="194" ht="15" customHeight="1">
      <c r="A194" t="inlineStr">
        <is>
          <t>A 64700-2021</t>
        </is>
      </c>
      <c r="B194" s="1" t="n">
        <v>44511</v>
      </c>
      <c r="C194" s="1" t="n">
        <v>45582</v>
      </c>
      <c r="D194" t="inlineStr">
        <is>
          <t>GOTLANDS LÄN</t>
        </is>
      </c>
      <c r="E194" t="inlineStr">
        <is>
          <t>GOTLAND</t>
        </is>
      </c>
      <c r="F194" t="inlineStr">
        <is>
          <t>Naturvårdsverket</t>
        </is>
      </c>
      <c r="G194" t="n">
        <v>2.4</v>
      </c>
      <c r="H194" t="n">
        <v>1</v>
      </c>
      <c r="I194" t="n">
        <v>0</v>
      </c>
      <c r="J194" t="n">
        <v>0</v>
      </c>
      <c r="K194" t="n">
        <v>1</v>
      </c>
      <c r="L194" t="n">
        <v>0</v>
      </c>
      <c r="M194" t="n">
        <v>0</v>
      </c>
      <c r="N194" t="n">
        <v>0</v>
      </c>
      <c r="O194" t="n">
        <v>1</v>
      </c>
      <c r="P194" t="n">
        <v>1</v>
      </c>
      <c r="Q194" t="n">
        <v>1</v>
      </c>
      <c r="R194" s="2" t="inlineStr">
        <is>
          <t>Kalkdån</t>
        </is>
      </c>
      <c r="S194">
        <f>HYPERLINK("https://klasma.github.io/Logging_0980/artfynd/A 64700-2021 artfynd.xlsx", "A 64700-2021")</f>
        <v/>
      </c>
      <c r="T194">
        <f>HYPERLINK("https://klasma.github.io/Logging_0980/kartor/A 64700-2021 karta.png", "A 64700-2021")</f>
        <v/>
      </c>
      <c r="V194">
        <f>HYPERLINK("https://klasma.github.io/Logging_0980/klagomål/A 64700-2021 FSC-klagomål.docx", "A 64700-2021")</f>
        <v/>
      </c>
      <c r="W194">
        <f>HYPERLINK("https://klasma.github.io/Logging_0980/klagomålsmail/A 64700-2021 FSC-klagomål mail.docx", "A 64700-2021")</f>
        <v/>
      </c>
      <c r="X194">
        <f>HYPERLINK("https://klasma.github.io/Logging_0980/tillsyn/A 64700-2021 tillsynsbegäran.docx", "A 64700-2021")</f>
        <v/>
      </c>
      <c r="Y194">
        <f>HYPERLINK("https://klasma.github.io/Logging_0980/tillsynsmail/A 64700-2021 tillsynsbegäran mail.docx", "A 64700-2021")</f>
        <v/>
      </c>
    </row>
    <row r="195" ht="15" customHeight="1">
      <c r="A195" t="inlineStr">
        <is>
          <t>A 65927-2021</t>
        </is>
      </c>
      <c r="B195" s="1" t="n">
        <v>44516</v>
      </c>
      <c r="C195" s="1" t="n">
        <v>45582</v>
      </c>
      <c r="D195" t="inlineStr">
        <is>
          <t>GOTLANDS LÄN</t>
        </is>
      </c>
      <c r="E195" t="inlineStr">
        <is>
          <t>GOTLAND</t>
        </is>
      </c>
      <c r="G195" t="n">
        <v>3.1</v>
      </c>
      <c r="H195" t="n">
        <v>1</v>
      </c>
      <c r="I195" t="n">
        <v>0</v>
      </c>
      <c r="J195" t="n">
        <v>0</v>
      </c>
      <c r="K195" t="n">
        <v>1</v>
      </c>
      <c r="L195" t="n">
        <v>0</v>
      </c>
      <c r="M195" t="n">
        <v>0</v>
      </c>
      <c r="N195" t="n">
        <v>0</v>
      </c>
      <c r="O195" t="n">
        <v>1</v>
      </c>
      <c r="P195" t="n">
        <v>1</v>
      </c>
      <c r="Q195" t="n">
        <v>1</v>
      </c>
      <c r="R195" s="2" t="inlineStr">
        <is>
          <t>Grenigt kungsljus</t>
        </is>
      </c>
      <c r="S195">
        <f>HYPERLINK("https://klasma.github.io/Logging_0980/artfynd/A 65927-2021 artfynd.xlsx", "A 65927-2021")</f>
        <v/>
      </c>
      <c r="T195">
        <f>HYPERLINK("https://klasma.github.io/Logging_0980/kartor/A 65927-2021 karta.png", "A 65927-2021")</f>
        <v/>
      </c>
      <c r="V195">
        <f>HYPERLINK("https://klasma.github.io/Logging_0980/klagomål/A 65927-2021 FSC-klagomål.docx", "A 65927-2021")</f>
        <v/>
      </c>
      <c r="W195">
        <f>HYPERLINK("https://klasma.github.io/Logging_0980/klagomålsmail/A 65927-2021 FSC-klagomål mail.docx", "A 65927-2021")</f>
        <v/>
      </c>
      <c r="X195">
        <f>HYPERLINK("https://klasma.github.io/Logging_0980/tillsyn/A 65927-2021 tillsynsbegäran.docx", "A 65927-2021")</f>
        <v/>
      </c>
      <c r="Y195">
        <f>HYPERLINK("https://klasma.github.io/Logging_0980/tillsynsmail/A 65927-2021 tillsynsbegäran mail.docx", "A 65927-2021")</f>
        <v/>
      </c>
    </row>
    <row r="196" ht="15" customHeight="1">
      <c r="A196" t="inlineStr">
        <is>
          <t>A 66091-2021</t>
        </is>
      </c>
      <c r="B196" s="1" t="n">
        <v>44517</v>
      </c>
      <c r="C196" s="1" t="n">
        <v>45582</v>
      </c>
      <c r="D196" t="inlineStr">
        <is>
          <t>GOTLANDS LÄN</t>
        </is>
      </c>
      <c r="E196" t="inlineStr">
        <is>
          <t>GOTLAND</t>
        </is>
      </c>
      <c r="G196" t="n">
        <v>11.7</v>
      </c>
      <c r="H196" t="n">
        <v>1</v>
      </c>
      <c r="I196" t="n">
        <v>0</v>
      </c>
      <c r="J196" t="n">
        <v>0</v>
      </c>
      <c r="K196" t="n">
        <v>0</v>
      </c>
      <c r="L196" t="n">
        <v>0</v>
      </c>
      <c r="M196" t="n">
        <v>0</v>
      </c>
      <c r="N196" t="n">
        <v>0</v>
      </c>
      <c r="O196" t="n">
        <v>0</v>
      </c>
      <c r="P196" t="n">
        <v>0</v>
      </c>
      <c r="Q196" t="n">
        <v>1</v>
      </c>
      <c r="R196" s="2" t="inlineStr">
        <is>
          <t>Pärluggla</t>
        </is>
      </c>
      <c r="S196">
        <f>HYPERLINK("https://klasma.github.io/Logging_0980/artfynd/A 66091-2021 artfynd.xlsx", "A 66091-2021")</f>
        <v/>
      </c>
      <c r="T196">
        <f>HYPERLINK("https://klasma.github.io/Logging_0980/kartor/A 66091-2021 karta.png", "A 66091-2021")</f>
        <v/>
      </c>
      <c r="V196">
        <f>HYPERLINK("https://klasma.github.io/Logging_0980/klagomål/A 66091-2021 FSC-klagomål.docx", "A 66091-2021")</f>
        <v/>
      </c>
      <c r="W196">
        <f>HYPERLINK("https://klasma.github.io/Logging_0980/klagomålsmail/A 66091-2021 FSC-klagomål mail.docx", "A 66091-2021")</f>
        <v/>
      </c>
      <c r="X196">
        <f>HYPERLINK("https://klasma.github.io/Logging_0980/tillsyn/A 66091-2021 tillsynsbegäran.docx", "A 66091-2021")</f>
        <v/>
      </c>
      <c r="Y196">
        <f>HYPERLINK("https://klasma.github.io/Logging_0980/tillsynsmail/A 66091-2021 tillsynsbegäran mail.docx", "A 66091-2021")</f>
        <v/>
      </c>
      <c r="Z196">
        <f>HYPERLINK("https://klasma.github.io/Logging_0980/fåglar/A 66091-2021 prioriterade fågelarter.docx", "A 66091-2021")</f>
        <v/>
      </c>
    </row>
    <row r="197" ht="15" customHeight="1">
      <c r="A197" t="inlineStr">
        <is>
          <t>A 24245-2022</t>
        </is>
      </c>
      <c r="B197" s="1" t="n">
        <v>44725</v>
      </c>
      <c r="C197" s="1" t="n">
        <v>45582</v>
      </c>
      <c r="D197" t="inlineStr">
        <is>
          <t>GOTLANDS LÄN</t>
        </is>
      </c>
      <c r="E197" t="inlineStr">
        <is>
          <t>GOTLAND</t>
        </is>
      </c>
      <c r="G197" t="n">
        <v>4.9</v>
      </c>
      <c r="H197" t="n">
        <v>0</v>
      </c>
      <c r="I197" t="n">
        <v>0</v>
      </c>
      <c r="J197" t="n">
        <v>0</v>
      </c>
      <c r="K197" t="n">
        <v>0</v>
      </c>
      <c r="L197" t="n">
        <v>1</v>
      </c>
      <c r="M197" t="n">
        <v>0</v>
      </c>
      <c r="N197" t="n">
        <v>0</v>
      </c>
      <c r="O197" t="n">
        <v>1</v>
      </c>
      <c r="P197" t="n">
        <v>1</v>
      </c>
      <c r="Q197" t="n">
        <v>1</v>
      </c>
      <c r="R197" s="2" t="inlineStr">
        <is>
          <t>Slät taggsvamp</t>
        </is>
      </c>
      <c r="S197">
        <f>HYPERLINK("https://klasma.github.io/Logging_0980/artfynd/A 24245-2022 artfynd.xlsx", "A 24245-2022")</f>
        <v/>
      </c>
      <c r="T197">
        <f>HYPERLINK("https://klasma.github.io/Logging_0980/kartor/A 24245-2022 karta.png", "A 24245-2022")</f>
        <v/>
      </c>
      <c r="V197">
        <f>HYPERLINK("https://klasma.github.io/Logging_0980/klagomål/A 24245-2022 FSC-klagomål.docx", "A 24245-2022")</f>
        <v/>
      </c>
      <c r="W197">
        <f>HYPERLINK("https://klasma.github.io/Logging_0980/klagomålsmail/A 24245-2022 FSC-klagomål mail.docx", "A 24245-2022")</f>
        <v/>
      </c>
      <c r="X197">
        <f>HYPERLINK("https://klasma.github.io/Logging_0980/tillsyn/A 24245-2022 tillsynsbegäran.docx", "A 24245-2022")</f>
        <v/>
      </c>
      <c r="Y197">
        <f>HYPERLINK("https://klasma.github.io/Logging_0980/tillsynsmail/A 24245-2022 tillsynsbegäran mail.docx", "A 24245-2022")</f>
        <v/>
      </c>
    </row>
    <row r="198" ht="15" customHeight="1">
      <c r="A198" t="inlineStr">
        <is>
          <t>A 25783-2022</t>
        </is>
      </c>
      <c r="B198" s="1" t="n">
        <v>44733</v>
      </c>
      <c r="C198" s="1" t="n">
        <v>45582</v>
      </c>
      <c r="D198" t="inlineStr">
        <is>
          <t>GOTLANDS LÄN</t>
        </is>
      </c>
      <c r="E198" t="inlineStr">
        <is>
          <t>GOTLAND</t>
        </is>
      </c>
      <c r="G198" t="n">
        <v>1</v>
      </c>
      <c r="H198" t="n">
        <v>1</v>
      </c>
      <c r="I198" t="n">
        <v>1</v>
      </c>
      <c r="J198" t="n">
        <v>0</v>
      </c>
      <c r="K198" t="n">
        <v>0</v>
      </c>
      <c r="L198" t="n">
        <v>0</v>
      </c>
      <c r="M198" t="n">
        <v>0</v>
      </c>
      <c r="N198" t="n">
        <v>0</v>
      </c>
      <c r="O198" t="n">
        <v>0</v>
      </c>
      <c r="P198" t="n">
        <v>0</v>
      </c>
      <c r="Q198" t="n">
        <v>1</v>
      </c>
      <c r="R198" s="2" t="inlineStr">
        <is>
          <t>Vit skogslilja</t>
        </is>
      </c>
      <c r="S198">
        <f>HYPERLINK("https://klasma.github.io/Logging_0980/artfynd/A 25783-2022 artfynd.xlsx", "A 25783-2022")</f>
        <v/>
      </c>
      <c r="T198">
        <f>HYPERLINK("https://klasma.github.io/Logging_0980/kartor/A 25783-2022 karta.png", "A 25783-2022")</f>
        <v/>
      </c>
      <c r="V198">
        <f>HYPERLINK("https://klasma.github.io/Logging_0980/klagomål/A 25783-2022 FSC-klagomål.docx", "A 25783-2022")</f>
        <v/>
      </c>
      <c r="W198">
        <f>HYPERLINK("https://klasma.github.io/Logging_0980/klagomålsmail/A 25783-2022 FSC-klagomål mail.docx", "A 25783-2022")</f>
        <v/>
      </c>
      <c r="X198">
        <f>HYPERLINK("https://klasma.github.io/Logging_0980/tillsyn/A 25783-2022 tillsynsbegäran.docx", "A 25783-2022")</f>
        <v/>
      </c>
      <c r="Y198">
        <f>HYPERLINK("https://klasma.github.io/Logging_0980/tillsynsmail/A 25783-2022 tillsynsbegäran mail.docx", "A 25783-2022")</f>
        <v/>
      </c>
    </row>
    <row r="199" ht="15" customHeight="1">
      <c r="A199" t="inlineStr">
        <is>
          <t>A 27168-2022</t>
        </is>
      </c>
      <c r="B199" s="1" t="n">
        <v>44741</v>
      </c>
      <c r="C199" s="1" t="n">
        <v>45582</v>
      </c>
      <c r="D199" t="inlineStr">
        <is>
          <t>GOTLANDS LÄN</t>
        </is>
      </c>
      <c r="E199" t="inlineStr">
        <is>
          <t>GOTLAND</t>
        </is>
      </c>
      <c r="G199" t="n">
        <v>2.2</v>
      </c>
      <c r="H199" t="n">
        <v>1</v>
      </c>
      <c r="I199" t="n">
        <v>1</v>
      </c>
      <c r="J199" t="n">
        <v>0</v>
      </c>
      <c r="K199" t="n">
        <v>0</v>
      </c>
      <c r="L199" t="n">
        <v>0</v>
      </c>
      <c r="M199" t="n">
        <v>0</v>
      </c>
      <c r="N199" t="n">
        <v>0</v>
      </c>
      <c r="O199" t="n">
        <v>0</v>
      </c>
      <c r="P199" t="n">
        <v>0</v>
      </c>
      <c r="Q199" t="n">
        <v>1</v>
      </c>
      <c r="R199" s="2" t="inlineStr">
        <is>
          <t>Purpurknipprot</t>
        </is>
      </c>
      <c r="S199">
        <f>HYPERLINK("https://klasma.github.io/Logging_0980/artfynd/A 27168-2022 artfynd.xlsx", "A 27168-2022")</f>
        <v/>
      </c>
      <c r="T199">
        <f>HYPERLINK("https://klasma.github.io/Logging_0980/kartor/A 27168-2022 karta.png", "A 27168-2022")</f>
        <v/>
      </c>
      <c r="V199">
        <f>HYPERLINK("https://klasma.github.io/Logging_0980/klagomål/A 27168-2022 FSC-klagomål.docx", "A 27168-2022")</f>
        <v/>
      </c>
      <c r="W199">
        <f>HYPERLINK("https://klasma.github.io/Logging_0980/klagomålsmail/A 27168-2022 FSC-klagomål mail.docx", "A 27168-2022")</f>
        <v/>
      </c>
      <c r="X199">
        <f>HYPERLINK("https://klasma.github.io/Logging_0980/tillsyn/A 27168-2022 tillsynsbegäran.docx", "A 27168-2022")</f>
        <v/>
      </c>
      <c r="Y199">
        <f>HYPERLINK("https://klasma.github.io/Logging_0980/tillsynsmail/A 27168-2022 tillsynsbegäran mail.docx", "A 27168-2022")</f>
        <v/>
      </c>
    </row>
    <row r="200" ht="15" customHeight="1">
      <c r="A200" t="inlineStr">
        <is>
          <t>A 27814-2022</t>
        </is>
      </c>
      <c r="B200" s="1" t="n">
        <v>44743</v>
      </c>
      <c r="C200" s="1" t="n">
        <v>45582</v>
      </c>
      <c r="D200" t="inlineStr">
        <is>
          <t>GOTLANDS LÄN</t>
        </is>
      </c>
      <c r="E200" t="inlineStr">
        <is>
          <t>GOTLAND</t>
        </is>
      </c>
      <c r="G200" t="n">
        <v>25</v>
      </c>
      <c r="H200" t="n">
        <v>1</v>
      </c>
      <c r="I200" t="n">
        <v>0</v>
      </c>
      <c r="J200" t="n">
        <v>0</v>
      </c>
      <c r="K200" t="n">
        <v>0</v>
      </c>
      <c r="L200" t="n">
        <v>0</v>
      </c>
      <c r="M200" t="n">
        <v>0</v>
      </c>
      <c r="N200" t="n">
        <v>0</v>
      </c>
      <c r="O200" t="n">
        <v>0</v>
      </c>
      <c r="P200" t="n">
        <v>0</v>
      </c>
      <c r="Q200" t="n">
        <v>1</v>
      </c>
      <c r="R200" s="2" t="inlineStr">
        <is>
          <t>Mindre vattensalamander</t>
        </is>
      </c>
      <c r="S200">
        <f>HYPERLINK("https://klasma.github.io/Logging_0980/artfynd/A 27814-2022 artfynd.xlsx", "A 27814-2022")</f>
        <v/>
      </c>
      <c r="T200">
        <f>HYPERLINK("https://klasma.github.io/Logging_0980/kartor/A 27814-2022 karta.png", "A 27814-2022")</f>
        <v/>
      </c>
      <c r="V200">
        <f>HYPERLINK("https://klasma.github.io/Logging_0980/klagomål/A 27814-2022 FSC-klagomål.docx", "A 27814-2022")</f>
        <v/>
      </c>
      <c r="W200">
        <f>HYPERLINK("https://klasma.github.io/Logging_0980/klagomålsmail/A 27814-2022 FSC-klagomål mail.docx", "A 27814-2022")</f>
        <v/>
      </c>
      <c r="X200">
        <f>HYPERLINK("https://klasma.github.io/Logging_0980/tillsyn/A 27814-2022 tillsynsbegäran.docx", "A 27814-2022")</f>
        <v/>
      </c>
      <c r="Y200">
        <f>HYPERLINK("https://klasma.github.io/Logging_0980/tillsynsmail/A 27814-2022 tillsynsbegäran mail.docx", "A 27814-2022")</f>
        <v/>
      </c>
    </row>
    <row r="201" ht="15" customHeight="1">
      <c r="A201" t="inlineStr">
        <is>
          <t>A 44095-2022</t>
        </is>
      </c>
      <c r="B201" s="1" t="n">
        <v>44839</v>
      </c>
      <c r="C201" s="1" t="n">
        <v>45582</v>
      </c>
      <c r="D201" t="inlineStr">
        <is>
          <t>GOTLANDS LÄN</t>
        </is>
      </c>
      <c r="E201" t="inlineStr">
        <is>
          <t>GOTLAND</t>
        </is>
      </c>
      <c r="G201" t="n">
        <v>9</v>
      </c>
      <c r="H201" t="n">
        <v>0</v>
      </c>
      <c r="I201" t="n">
        <v>1</v>
      </c>
      <c r="J201" t="n">
        <v>0</v>
      </c>
      <c r="K201" t="n">
        <v>0</v>
      </c>
      <c r="L201" t="n">
        <v>0</v>
      </c>
      <c r="M201" t="n">
        <v>0</v>
      </c>
      <c r="N201" t="n">
        <v>0</v>
      </c>
      <c r="O201" t="n">
        <v>0</v>
      </c>
      <c r="P201" t="n">
        <v>0</v>
      </c>
      <c r="Q201" t="n">
        <v>1</v>
      </c>
      <c r="R201" s="2" t="inlineStr">
        <is>
          <t>Strävlosta</t>
        </is>
      </c>
      <c r="S201">
        <f>HYPERLINK("https://klasma.github.io/Logging_0980/artfynd/A 44095-2022 artfynd.xlsx", "A 44095-2022")</f>
        <v/>
      </c>
      <c r="T201">
        <f>HYPERLINK("https://klasma.github.io/Logging_0980/kartor/A 44095-2022 karta.png", "A 44095-2022")</f>
        <v/>
      </c>
      <c r="V201">
        <f>HYPERLINK("https://klasma.github.io/Logging_0980/klagomål/A 44095-2022 FSC-klagomål.docx", "A 44095-2022")</f>
        <v/>
      </c>
      <c r="W201">
        <f>HYPERLINK("https://klasma.github.io/Logging_0980/klagomålsmail/A 44095-2022 FSC-klagomål mail.docx", "A 44095-2022")</f>
        <v/>
      </c>
      <c r="X201">
        <f>HYPERLINK("https://klasma.github.io/Logging_0980/tillsyn/A 44095-2022 tillsynsbegäran.docx", "A 44095-2022")</f>
        <v/>
      </c>
      <c r="Y201">
        <f>HYPERLINK("https://klasma.github.io/Logging_0980/tillsynsmail/A 44095-2022 tillsynsbegäran mail.docx", "A 44095-2022")</f>
        <v/>
      </c>
    </row>
    <row r="202" ht="15" customHeight="1">
      <c r="A202" t="inlineStr">
        <is>
          <t>A 44088-2022</t>
        </is>
      </c>
      <c r="B202" s="1" t="n">
        <v>44839</v>
      </c>
      <c r="C202" s="1" t="n">
        <v>45582</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Strävlosta</t>
        </is>
      </c>
      <c r="S202">
        <f>HYPERLINK("https://klasma.github.io/Logging_0980/artfynd/A 44088-2022 artfynd.xlsx", "A 44088-2022")</f>
        <v/>
      </c>
      <c r="T202">
        <f>HYPERLINK("https://klasma.github.io/Logging_0980/kartor/A 44088-2022 karta.png", "A 44088-2022")</f>
        <v/>
      </c>
      <c r="V202">
        <f>HYPERLINK("https://klasma.github.io/Logging_0980/klagomål/A 44088-2022 FSC-klagomål.docx", "A 44088-2022")</f>
        <v/>
      </c>
      <c r="W202">
        <f>HYPERLINK("https://klasma.github.io/Logging_0980/klagomålsmail/A 44088-2022 FSC-klagomål mail.docx", "A 44088-2022")</f>
        <v/>
      </c>
      <c r="X202">
        <f>HYPERLINK("https://klasma.github.io/Logging_0980/tillsyn/A 44088-2022 tillsynsbegäran.docx", "A 44088-2022")</f>
        <v/>
      </c>
      <c r="Y202">
        <f>HYPERLINK("https://klasma.github.io/Logging_0980/tillsynsmail/A 44088-2022 tillsynsbegäran mail.docx", "A 44088-2022")</f>
        <v/>
      </c>
    </row>
    <row r="203" ht="15" customHeight="1">
      <c r="A203" t="inlineStr">
        <is>
          <t>A 61796-2022</t>
        </is>
      </c>
      <c r="B203" s="1" t="n">
        <v>44917</v>
      </c>
      <c r="C203" s="1" t="n">
        <v>45582</v>
      </c>
      <c r="D203" t="inlineStr">
        <is>
          <t>GOTLANDS LÄN</t>
        </is>
      </c>
      <c r="E203" t="inlineStr">
        <is>
          <t>GOTLAND</t>
        </is>
      </c>
      <c r="G203" t="n">
        <v>1.5</v>
      </c>
      <c r="H203" t="n">
        <v>1</v>
      </c>
      <c r="I203" t="n">
        <v>0</v>
      </c>
      <c r="J203" t="n">
        <v>0</v>
      </c>
      <c r="K203" t="n">
        <v>0</v>
      </c>
      <c r="L203" t="n">
        <v>0</v>
      </c>
      <c r="M203" t="n">
        <v>0</v>
      </c>
      <c r="N203" t="n">
        <v>0</v>
      </c>
      <c r="O203" t="n">
        <v>0</v>
      </c>
      <c r="P203" t="n">
        <v>0</v>
      </c>
      <c r="Q203" t="n">
        <v>1</v>
      </c>
      <c r="R203" s="2" t="inlineStr">
        <is>
          <t>Skogsduva</t>
        </is>
      </c>
      <c r="S203">
        <f>HYPERLINK("https://klasma.github.io/Logging_0980/artfynd/A 61796-2022 artfynd.xlsx", "A 61796-2022")</f>
        <v/>
      </c>
      <c r="T203">
        <f>HYPERLINK("https://klasma.github.io/Logging_0980/kartor/A 61796-2022 karta.png", "A 61796-2022")</f>
        <v/>
      </c>
      <c r="V203">
        <f>HYPERLINK("https://klasma.github.io/Logging_0980/klagomål/A 61796-2022 FSC-klagomål.docx", "A 61796-2022")</f>
        <v/>
      </c>
      <c r="W203">
        <f>HYPERLINK("https://klasma.github.io/Logging_0980/klagomålsmail/A 61796-2022 FSC-klagomål mail.docx", "A 61796-2022")</f>
        <v/>
      </c>
      <c r="X203">
        <f>HYPERLINK("https://klasma.github.io/Logging_0980/tillsyn/A 61796-2022 tillsynsbegäran.docx", "A 61796-2022")</f>
        <v/>
      </c>
      <c r="Y203">
        <f>HYPERLINK("https://klasma.github.io/Logging_0980/tillsynsmail/A 61796-2022 tillsynsbegäran mail.docx", "A 61796-2022")</f>
        <v/>
      </c>
      <c r="Z203">
        <f>HYPERLINK("https://klasma.github.io/Logging_0980/fåglar/A 61796-2022 prioriterade fågelarter.docx", "A 61796-2022")</f>
        <v/>
      </c>
    </row>
    <row r="204" ht="15" customHeight="1">
      <c r="A204" t="inlineStr">
        <is>
          <t>A 62552-2022</t>
        </is>
      </c>
      <c r="B204" s="1" t="n">
        <v>44924</v>
      </c>
      <c r="C204" s="1" t="n">
        <v>45582</v>
      </c>
      <c r="D204" t="inlineStr">
        <is>
          <t>GOTLANDS LÄN</t>
        </is>
      </c>
      <c r="E204" t="inlineStr">
        <is>
          <t>GOTLAND</t>
        </is>
      </c>
      <c r="G204" t="n">
        <v>1.6</v>
      </c>
      <c r="H204" t="n">
        <v>0</v>
      </c>
      <c r="I204" t="n">
        <v>0</v>
      </c>
      <c r="J204" t="n">
        <v>1</v>
      </c>
      <c r="K204" t="n">
        <v>0</v>
      </c>
      <c r="L204" t="n">
        <v>0</v>
      </c>
      <c r="M204" t="n">
        <v>0</v>
      </c>
      <c r="N204" t="n">
        <v>0</v>
      </c>
      <c r="O204" t="n">
        <v>1</v>
      </c>
      <c r="P204" t="n">
        <v>0</v>
      </c>
      <c r="Q204" t="n">
        <v>1</v>
      </c>
      <c r="R204" s="2" t="inlineStr">
        <is>
          <t>Äggspindling</t>
        </is>
      </c>
      <c r="S204">
        <f>HYPERLINK("https://klasma.github.io/Logging_0980/artfynd/A 62552-2022 artfynd.xlsx", "A 62552-2022")</f>
        <v/>
      </c>
      <c r="T204">
        <f>HYPERLINK("https://klasma.github.io/Logging_0980/kartor/A 62552-2022 karta.png", "A 62552-2022")</f>
        <v/>
      </c>
      <c r="V204">
        <f>HYPERLINK("https://klasma.github.io/Logging_0980/klagomål/A 62552-2022 FSC-klagomål.docx", "A 62552-2022")</f>
        <v/>
      </c>
      <c r="W204">
        <f>HYPERLINK("https://klasma.github.io/Logging_0980/klagomålsmail/A 62552-2022 FSC-klagomål mail.docx", "A 62552-2022")</f>
        <v/>
      </c>
      <c r="X204">
        <f>HYPERLINK("https://klasma.github.io/Logging_0980/tillsyn/A 62552-2022 tillsynsbegäran.docx", "A 62552-2022")</f>
        <v/>
      </c>
      <c r="Y204">
        <f>HYPERLINK("https://klasma.github.io/Logging_0980/tillsynsmail/A 62552-2022 tillsynsbegäran mail.docx", "A 62552-2022")</f>
        <v/>
      </c>
    </row>
    <row r="205" ht="15" customHeight="1">
      <c r="A205" t="inlineStr">
        <is>
          <t>A 447-2023</t>
        </is>
      </c>
      <c r="B205" s="1" t="n">
        <v>44929</v>
      </c>
      <c r="C205" s="1" t="n">
        <v>45582</v>
      </c>
      <c r="D205" t="inlineStr">
        <is>
          <t>GOTLANDS LÄN</t>
        </is>
      </c>
      <c r="E205" t="inlineStr">
        <is>
          <t>GOTLAND</t>
        </is>
      </c>
      <c r="G205" t="n">
        <v>5.1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447-2023 artfynd.xlsx", "A 447-2023")</f>
        <v/>
      </c>
      <c r="T205">
        <f>HYPERLINK("https://klasma.github.io/Logging_0980/kartor/A 447-2023 karta.png", "A 447-2023")</f>
        <v/>
      </c>
      <c r="V205">
        <f>HYPERLINK("https://klasma.github.io/Logging_0980/klagomål/A 447-2023 FSC-klagomål.docx", "A 447-2023")</f>
        <v/>
      </c>
      <c r="W205">
        <f>HYPERLINK("https://klasma.github.io/Logging_0980/klagomålsmail/A 447-2023 FSC-klagomål mail.docx", "A 447-2023")</f>
        <v/>
      </c>
      <c r="X205">
        <f>HYPERLINK("https://klasma.github.io/Logging_0980/tillsyn/A 447-2023 tillsynsbegäran.docx", "A 447-2023")</f>
        <v/>
      </c>
      <c r="Y205">
        <f>HYPERLINK("https://klasma.github.io/Logging_0980/tillsynsmail/A 447-2023 tillsynsbegäran mail.docx", "A 447-2023")</f>
        <v/>
      </c>
    </row>
    <row r="206" ht="15" customHeight="1">
      <c r="A206" t="inlineStr">
        <is>
          <t>A 446-2023</t>
        </is>
      </c>
      <c r="B206" s="1" t="n">
        <v>44929</v>
      </c>
      <c r="C206" s="1" t="n">
        <v>45582</v>
      </c>
      <c r="D206" t="inlineStr">
        <is>
          <t>GOTLANDS LÄN</t>
        </is>
      </c>
      <c r="E206" t="inlineStr">
        <is>
          <t>GOTLAND</t>
        </is>
      </c>
      <c r="G206" t="n">
        <v>7.1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446-2023 artfynd.xlsx", "A 446-2023")</f>
        <v/>
      </c>
      <c r="T206">
        <f>HYPERLINK("https://klasma.github.io/Logging_0980/kartor/A 446-2023 karta.png", "A 446-2023")</f>
        <v/>
      </c>
      <c r="V206">
        <f>HYPERLINK("https://klasma.github.io/Logging_0980/klagomål/A 446-2023 FSC-klagomål.docx", "A 446-2023")</f>
        <v/>
      </c>
      <c r="W206">
        <f>HYPERLINK("https://klasma.github.io/Logging_0980/klagomålsmail/A 446-2023 FSC-klagomål mail.docx", "A 446-2023")</f>
        <v/>
      </c>
      <c r="X206">
        <f>HYPERLINK("https://klasma.github.io/Logging_0980/tillsyn/A 446-2023 tillsynsbegäran.docx", "A 446-2023")</f>
        <v/>
      </c>
      <c r="Y206">
        <f>HYPERLINK("https://klasma.github.io/Logging_0980/tillsynsmail/A 446-2023 tillsynsbegäran mail.docx", "A 446-2023")</f>
        <v/>
      </c>
    </row>
    <row r="207" ht="15" customHeight="1">
      <c r="A207" t="inlineStr">
        <is>
          <t>A 947-2023</t>
        </is>
      </c>
      <c r="B207" s="1" t="n">
        <v>44934</v>
      </c>
      <c r="C207" s="1" t="n">
        <v>45582</v>
      </c>
      <c r="D207" t="inlineStr">
        <is>
          <t>GOTLANDS LÄN</t>
        </is>
      </c>
      <c r="E207" t="inlineStr">
        <is>
          <t>GOTLAND</t>
        </is>
      </c>
      <c r="G207" t="n">
        <v>0.7</v>
      </c>
      <c r="H207" t="n">
        <v>1</v>
      </c>
      <c r="I207" t="n">
        <v>0</v>
      </c>
      <c r="J207" t="n">
        <v>0</v>
      </c>
      <c r="K207" t="n">
        <v>1</v>
      </c>
      <c r="L207" t="n">
        <v>0</v>
      </c>
      <c r="M207" t="n">
        <v>0</v>
      </c>
      <c r="N207" t="n">
        <v>0</v>
      </c>
      <c r="O207" t="n">
        <v>1</v>
      </c>
      <c r="P207" t="n">
        <v>1</v>
      </c>
      <c r="Q207" t="n">
        <v>1</v>
      </c>
      <c r="R207" s="2" t="inlineStr">
        <is>
          <t>Garderönn</t>
        </is>
      </c>
      <c r="S207">
        <f>HYPERLINK("https://klasma.github.io/Logging_0980/artfynd/A 947-2023 artfynd.xlsx", "A 947-2023")</f>
        <v/>
      </c>
      <c r="T207">
        <f>HYPERLINK("https://klasma.github.io/Logging_0980/kartor/A 947-2023 karta.png", "A 947-2023")</f>
        <v/>
      </c>
      <c r="V207">
        <f>HYPERLINK("https://klasma.github.io/Logging_0980/klagomål/A 947-2023 FSC-klagomål.docx", "A 947-2023")</f>
        <v/>
      </c>
      <c r="W207">
        <f>HYPERLINK("https://klasma.github.io/Logging_0980/klagomålsmail/A 947-2023 FSC-klagomål mail.docx", "A 947-2023")</f>
        <v/>
      </c>
      <c r="X207">
        <f>HYPERLINK("https://klasma.github.io/Logging_0980/tillsyn/A 947-2023 tillsynsbegäran.docx", "A 947-2023")</f>
        <v/>
      </c>
      <c r="Y207">
        <f>HYPERLINK("https://klasma.github.io/Logging_0980/tillsynsmail/A 947-2023 tillsynsbegäran mail.docx", "A 947-2023")</f>
        <v/>
      </c>
    </row>
    <row r="208" ht="15" customHeight="1">
      <c r="A208" t="inlineStr">
        <is>
          <t>A 2213-2023</t>
        </is>
      </c>
      <c r="B208" s="1" t="n">
        <v>44942</v>
      </c>
      <c r="C208" s="1" t="n">
        <v>45582</v>
      </c>
      <c r="D208" t="inlineStr">
        <is>
          <t>GOTLANDS LÄN</t>
        </is>
      </c>
      <c r="E208" t="inlineStr">
        <is>
          <t>GOTLAND</t>
        </is>
      </c>
      <c r="G208" t="n">
        <v>2.7</v>
      </c>
      <c r="H208" t="n">
        <v>0</v>
      </c>
      <c r="I208" t="n">
        <v>0</v>
      </c>
      <c r="J208" t="n">
        <v>1</v>
      </c>
      <c r="K208" t="n">
        <v>0</v>
      </c>
      <c r="L208" t="n">
        <v>0</v>
      </c>
      <c r="M208" t="n">
        <v>0</v>
      </c>
      <c r="N208" t="n">
        <v>0</v>
      </c>
      <c r="O208" t="n">
        <v>1</v>
      </c>
      <c r="P208" t="n">
        <v>0</v>
      </c>
      <c r="Q208" t="n">
        <v>1</v>
      </c>
      <c r="R208" s="2" t="inlineStr">
        <is>
          <t>Odörspindling</t>
        </is>
      </c>
      <c r="S208">
        <f>HYPERLINK("https://klasma.github.io/Logging_0980/artfynd/A 2213-2023 artfynd.xlsx", "A 2213-2023")</f>
        <v/>
      </c>
      <c r="T208">
        <f>HYPERLINK("https://klasma.github.io/Logging_0980/kartor/A 2213-2023 karta.png", "A 2213-2023")</f>
        <v/>
      </c>
      <c r="V208">
        <f>HYPERLINK("https://klasma.github.io/Logging_0980/klagomål/A 2213-2023 FSC-klagomål.docx", "A 2213-2023")</f>
        <v/>
      </c>
      <c r="W208">
        <f>HYPERLINK("https://klasma.github.io/Logging_0980/klagomålsmail/A 2213-2023 FSC-klagomål mail.docx", "A 2213-2023")</f>
        <v/>
      </c>
      <c r="X208">
        <f>HYPERLINK("https://klasma.github.io/Logging_0980/tillsyn/A 2213-2023 tillsynsbegäran.docx", "A 2213-2023")</f>
        <v/>
      </c>
      <c r="Y208">
        <f>HYPERLINK("https://klasma.github.io/Logging_0980/tillsynsmail/A 2213-2023 tillsynsbegäran mail.docx", "A 2213-2023")</f>
        <v/>
      </c>
    </row>
    <row r="209" ht="15" customHeight="1">
      <c r="A209" t="inlineStr">
        <is>
          <t>A 10995-2023</t>
        </is>
      </c>
      <c r="B209" s="1" t="n">
        <v>44986</v>
      </c>
      <c r="C209" s="1" t="n">
        <v>45582</v>
      </c>
      <c r="D209" t="inlineStr">
        <is>
          <t>GOTLANDS LÄN</t>
        </is>
      </c>
      <c r="E209" t="inlineStr">
        <is>
          <t>GOTLAND</t>
        </is>
      </c>
      <c r="G209" t="n">
        <v>2.8</v>
      </c>
      <c r="H209" t="n">
        <v>0</v>
      </c>
      <c r="I209" t="n">
        <v>0</v>
      </c>
      <c r="J209" t="n">
        <v>0</v>
      </c>
      <c r="K209" t="n">
        <v>1</v>
      </c>
      <c r="L209" t="n">
        <v>0</v>
      </c>
      <c r="M209" t="n">
        <v>0</v>
      </c>
      <c r="N209" t="n">
        <v>0</v>
      </c>
      <c r="O209" t="n">
        <v>1</v>
      </c>
      <c r="P209" t="n">
        <v>1</v>
      </c>
      <c r="Q209" t="n">
        <v>1</v>
      </c>
      <c r="R209" s="2" t="inlineStr">
        <is>
          <t>Violettfläckig spindling</t>
        </is>
      </c>
      <c r="S209">
        <f>HYPERLINK("https://klasma.github.io/Logging_0980/artfynd/A 10995-2023 artfynd.xlsx", "A 10995-2023")</f>
        <v/>
      </c>
      <c r="T209">
        <f>HYPERLINK("https://klasma.github.io/Logging_0980/kartor/A 10995-2023 karta.png", "A 10995-2023")</f>
        <v/>
      </c>
      <c r="V209">
        <f>HYPERLINK("https://klasma.github.io/Logging_0980/klagomål/A 10995-2023 FSC-klagomål.docx", "A 10995-2023")</f>
        <v/>
      </c>
      <c r="W209">
        <f>HYPERLINK("https://klasma.github.io/Logging_0980/klagomålsmail/A 10995-2023 FSC-klagomål mail.docx", "A 10995-2023")</f>
        <v/>
      </c>
      <c r="X209">
        <f>HYPERLINK("https://klasma.github.io/Logging_0980/tillsyn/A 10995-2023 tillsynsbegäran.docx", "A 10995-2023")</f>
        <v/>
      </c>
      <c r="Y209">
        <f>HYPERLINK("https://klasma.github.io/Logging_0980/tillsynsmail/A 10995-2023 tillsynsbegäran mail.docx", "A 10995-2023")</f>
        <v/>
      </c>
    </row>
    <row r="210" ht="15" customHeight="1">
      <c r="A210" t="inlineStr">
        <is>
          <t>A 15212-2023</t>
        </is>
      </c>
      <c r="B210" s="1" t="n">
        <v>45019</v>
      </c>
      <c r="C210" s="1" t="n">
        <v>45582</v>
      </c>
      <c r="D210" t="inlineStr">
        <is>
          <t>GOTLANDS LÄN</t>
        </is>
      </c>
      <c r="E210" t="inlineStr">
        <is>
          <t>GOTLAND</t>
        </is>
      </c>
      <c r="G210" t="n">
        <v>3.1</v>
      </c>
      <c r="H210" t="n">
        <v>0</v>
      </c>
      <c r="I210" t="n">
        <v>0</v>
      </c>
      <c r="J210" t="n">
        <v>1</v>
      </c>
      <c r="K210" t="n">
        <v>0</v>
      </c>
      <c r="L210" t="n">
        <v>0</v>
      </c>
      <c r="M210" t="n">
        <v>0</v>
      </c>
      <c r="N210" t="n">
        <v>0</v>
      </c>
      <c r="O210" t="n">
        <v>1</v>
      </c>
      <c r="P210" t="n">
        <v>0</v>
      </c>
      <c r="Q210" t="n">
        <v>1</v>
      </c>
      <c r="R210" s="2" t="inlineStr">
        <is>
          <t>Grådådra</t>
        </is>
      </c>
      <c r="S210">
        <f>HYPERLINK("https://klasma.github.io/Logging_0980/artfynd/A 15212-2023 artfynd.xlsx", "A 15212-2023")</f>
        <v/>
      </c>
      <c r="T210">
        <f>HYPERLINK("https://klasma.github.io/Logging_0980/kartor/A 15212-2023 karta.png", "A 15212-2023")</f>
        <v/>
      </c>
      <c r="V210">
        <f>HYPERLINK("https://klasma.github.io/Logging_0980/klagomål/A 15212-2023 FSC-klagomål.docx", "A 15212-2023")</f>
        <v/>
      </c>
      <c r="W210">
        <f>HYPERLINK("https://klasma.github.io/Logging_0980/klagomålsmail/A 15212-2023 FSC-klagomål mail.docx", "A 15212-2023")</f>
        <v/>
      </c>
      <c r="X210">
        <f>HYPERLINK("https://klasma.github.io/Logging_0980/tillsyn/A 15212-2023 tillsynsbegäran.docx", "A 15212-2023")</f>
        <v/>
      </c>
      <c r="Y210">
        <f>HYPERLINK("https://klasma.github.io/Logging_0980/tillsynsmail/A 15212-2023 tillsynsbegäran mail.docx", "A 15212-2023")</f>
        <v/>
      </c>
    </row>
    <row r="211" ht="15" customHeight="1">
      <c r="A211" t="inlineStr">
        <is>
          <t>A 22782-2023</t>
        </is>
      </c>
      <c r="B211" s="1" t="n">
        <v>45072</v>
      </c>
      <c r="C211" s="1" t="n">
        <v>45582</v>
      </c>
      <c r="D211" t="inlineStr">
        <is>
          <t>GOTLANDS LÄN</t>
        </is>
      </c>
      <c r="E211" t="inlineStr">
        <is>
          <t>GOTLAND</t>
        </is>
      </c>
      <c r="F211" t="inlineStr">
        <is>
          <t>Kyrkan</t>
        </is>
      </c>
      <c r="G211" t="n">
        <v>3.1</v>
      </c>
      <c r="H211" t="n">
        <v>1</v>
      </c>
      <c r="I211" t="n">
        <v>0</v>
      </c>
      <c r="J211" t="n">
        <v>0</v>
      </c>
      <c r="K211" t="n">
        <v>0</v>
      </c>
      <c r="L211" t="n">
        <v>0</v>
      </c>
      <c r="M211" t="n">
        <v>0</v>
      </c>
      <c r="N211" t="n">
        <v>0</v>
      </c>
      <c r="O211" t="n">
        <v>0</v>
      </c>
      <c r="P211" t="n">
        <v>0</v>
      </c>
      <c r="Q211" t="n">
        <v>1</v>
      </c>
      <c r="R211" s="2" t="inlineStr">
        <is>
          <t>Ängsnycklar × skogsnycklar</t>
        </is>
      </c>
      <c r="S211">
        <f>HYPERLINK("https://klasma.github.io/Logging_0980/artfynd/A 22782-2023 artfynd.xlsx", "A 22782-2023")</f>
        <v/>
      </c>
      <c r="T211">
        <f>HYPERLINK("https://klasma.github.io/Logging_0980/kartor/A 22782-2023 karta.png", "A 22782-2023")</f>
        <v/>
      </c>
      <c r="V211">
        <f>HYPERLINK("https://klasma.github.io/Logging_0980/klagomål/A 22782-2023 FSC-klagomål.docx", "A 22782-2023")</f>
        <v/>
      </c>
      <c r="W211">
        <f>HYPERLINK("https://klasma.github.io/Logging_0980/klagomålsmail/A 22782-2023 FSC-klagomål mail.docx", "A 22782-2023")</f>
        <v/>
      </c>
      <c r="X211">
        <f>HYPERLINK("https://klasma.github.io/Logging_0980/tillsyn/A 22782-2023 tillsynsbegäran.docx", "A 22782-2023")</f>
        <v/>
      </c>
      <c r="Y211">
        <f>HYPERLINK("https://klasma.github.io/Logging_0980/tillsynsmail/A 22782-2023 tillsynsbegäran mail.docx", "A 22782-2023")</f>
        <v/>
      </c>
    </row>
    <row r="212" ht="15" customHeight="1">
      <c r="A212" t="inlineStr">
        <is>
          <t>A 24007-2023</t>
        </is>
      </c>
      <c r="B212" s="1" t="n">
        <v>45078</v>
      </c>
      <c r="C212" s="1" t="n">
        <v>45582</v>
      </c>
      <c r="D212" t="inlineStr">
        <is>
          <t>GOTLANDS LÄN</t>
        </is>
      </c>
      <c r="E212" t="inlineStr">
        <is>
          <t>GOTLAND</t>
        </is>
      </c>
      <c r="F212" t="inlineStr">
        <is>
          <t>Naturvårdsverket</t>
        </is>
      </c>
      <c r="G212" t="n">
        <v>2.5</v>
      </c>
      <c r="H212" t="n">
        <v>1</v>
      </c>
      <c r="I212" t="n">
        <v>1</v>
      </c>
      <c r="J212" t="n">
        <v>0</v>
      </c>
      <c r="K212" t="n">
        <v>0</v>
      </c>
      <c r="L212" t="n">
        <v>0</v>
      </c>
      <c r="M212" t="n">
        <v>0</v>
      </c>
      <c r="N212" t="n">
        <v>0</v>
      </c>
      <c r="O212" t="n">
        <v>0</v>
      </c>
      <c r="P212" t="n">
        <v>0</v>
      </c>
      <c r="Q212" t="n">
        <v>1</v>
      </c>
      <c r="R212" s="2" t="inlineStr">
        <is>
          <t>Nästrot</t>
        </is>
      </c>
      <c r="S212">
        <f>HYPERLINK("https://klasma.github.io/Logging_0980/artfynd/A 24007-2023 artfynd.xlsx", "A 24007-2023")</f>
        <v/>
      </c>
      <c r="T212">
        <f>HYPERLINK("https://klasma.github.io/Logging_0980/kartor/A 24007-2023 karta.png", "A 24007-2023")</f>
        <v/>
      </c>
      <c r="V212">
        <f>HYPERLINK("https://klasma.github.io/Logging_0980/klagomål/A 24007-2023 FSC-klagomål.docx", "A 24007-2023")</f>
        <v/>
      </c>
      <c r="W212">
        <f>HYPERLINK("https://klasma.github.io/Logging_0980/klagomålsmail/A 24007-2023 FSC-klagomål mail.docx", "A 24007-2023")</f>
        <v/>
      </c>
      <c r="X212">
        <f>HYPERLINK("https://klasma.github.io/Logging_0980/tillsyn/A 24007-2023 tillsynsbegäran.docx", "A 24007-2023")</f>
        <v/>
      </c>
      <c r="Y212">
        <f>HYPERLINK("https://klasma.github.io/Logging_0980/tillsynsmail/A 24007-2023 tillsynsbegäran mail.docx", "A 24007-2023")</f>
        <v/>
      </c>
    </row>
    <row r="213" ht="15" customHeight="1">
      <c r="A213" t="inlineStr">
        <is>
          <t>A 27589-2023</t>
        </is>
      </c>
      <c r="B213" s="1" t="n">
        <v>45097</v>
      </c>
      <c r="C213" s="1" t="n">
        <v>45582</v>
      </c>
      <c r="D213" t="inlineStr">
        <is>
          <t>GOTLANDS LÄN</t>
        </is>
      </c>
      <c r="E213" t="inlineStr">
        <is>
          <t>GOTLAND</t>
        </is>
      </c>
      <c r="G213" t="n">
        <v>5.4</v>
      </c>
      <c r="H213" t="n">
        <v>0</v>
      </c>
      <c r="I213" t="n">
        <v>0</v>
      </c>
      <c r="J213" t="n">
        <v>0</v>
      </c>
      <c r="K213" t="n">
        <v>0</v>
      </c>
      <c r="L213" t="n">
        <v>0</v>
      </c>
      <c r="M213" t="n">
        <v>1</v>
      </c>
      <c r="N213" t="n">
        <v>0</v>
      </c>
      <c r="O213" t="n">
        <v>1</v>
      </c>
      <c r="P213" t="n">
        <v>1</v>
      </c>
      <c r="Q213" t="n">
        <v>1</v>
      </c>
      <c r="R213" s="2" t="inlineStr">
        <is>
          <t>Skogsalm</t>
        </is>
      </c>
      <c r="S213">
        <f>HYPERLINK("https://klasma.github.io/Logging_0980/artfynd/A 27589-2023 artfynd.xlsx", "A 27589-2023")</f>
        <v/>
      </c>
      <c r="T213">
        <f>HYPERLINK("https://klasma.github.io/Logging_0980/kartor/A 27589-2023 karta.png", "A 27589-2023")</f>
        <v/>
      </c>
      <c r="V213">
        <f>HYPERLINK("https://klasma.github.io/Logging_0980/klagomål/A 27589-2023 FSC-klagomål.docx", "A 27589-2023")</f>
        <v/>
      </c>
      <c r="W213">
        <f>HYPERLINK("https://klasma.github.io/Logging_0980/klagomålsmail/A 27589-2023 FSC-klagomål mail.docx", "A 27589-2023")</f>
        <v/>
      </c>
      <c r="X213">
        <f>HYPERLINK("https://klasma.github.io/Logging_0980/tillsyn/A 27589-2023 tillsynsbegäran.docx", "A 27589-2023")</f>
        <v/>
      </c>
      <c r="Y213">
        <f>HYPERLINK("https://klasma.github.io/Logging_0980/tillsynsmail/A 27589-2023 tillsynsbegäran mail.docx", "A 27589-2023")</f>
        <v/>
      </c>
    </row>
    <row r="214" ht="15" customHeight="1">
      <c r="A214" t="inlineStr">
        <is>
          <t>A 28546-2023</t>
        </is>
      </c>
      <c r="B214" s="1" t="n">
        <v>45103</v>
      </c>
      <c r="C214" s="1" t="n">
        <v>45582</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Lopplummer</t>
        </is>
      </c>
      <c r="S214">
        <f>HYPERLINK("https://klasma.github.io/Logging_0980/artfynd/A 28546-2023 artfynd.xlsx", "A 28546-2023")</f>
        <v/>
      </c>
      <c r="T214">
        <f>HYPERLINK("https://klasma.github.io/Logging_0980/kartor/A 28546-2023 karta.png", "A 28546-2023")</f>
        <v/>
      </c>
      <c r="V214">
        <f>HYPERLINK("https://klasma.github.io/Logging_0980/klagomål/A 28546-2023 FSC-klagomål.docx", "A 28546-2023")</f>
        <v/>
      </c>
      <c r="W214">
        <f>HYPERLINK("https://klasma.github.io/Logging_0980/klagomålsmail/A 28546-2023 FSC-klagomål mail.docx", "A 28546-2023")</f>
        <v/>
      </c>
      <c r="X214">
        <f>HYPERLINK("https://klasma.github.io/Logging_0980/tillsyn/A 28546-2023 tillsynsbegäran.docx", "A 28546-2023")</f>
        <v/>
      </c>
      <c r="Y214">
        <f>HYPERLINK("https://klasma.github.io/Logging_0980/tillsynsmail/A 28546-2023 tillsynsbegäran mail.docx", "A 28546-2023")</f>
        <v/>
      </c>
    </row>
    <row r="215" ht="15" customHeight="1">
      <c r="A215" t="inlineStr">
        <is>
          <t>A 35615-2023</t>
        </is>
      </c>
      <c r="B215" s="1" t="n">
        <v>45147</v>
      </c>
      <c r="C215" s="1" t="n">
        <v>45582</v>
      </c>
      <c r="D215" t="inlineStr">
        <is>
          <t>GOTLANDS LÄN</t>
        </is>
      </c>
      <c r="E215" t="inlineStr">
        <is>
          <t>GOTLAND</t>
        </is>
      </c>
      <c r="G215" t="n">
        <v>6.1</v>
      </c>
      <c r="H215" t="n">
        <v>0</v>
      </c>
      <c r="I215" t="n">
        <v>0</v>
      </c>
      <c r="J215" t="n">
        <v>1</v>
      </c>
      <c r="K215" t="n">
        <v>0</v>
      </c>
      <c r="L215" t="n">
        <v>0</v>
      </c>
      <c r="M215" t="n">
        <v>0</v>
      </c>
      <c r="N215" t="n">
        <v>0</v>
      </c>
      <c r="O215" t="n">
        <v>1</v>
      </c>
      <c r="P215" t="n">
        <v>0</v>
      </c>
      <c r="Q215" t="n">
        <v>1</v>
      </c>
      <c r="R215" s="2" t="inlineStr">
        <is>
          <t>Åkerranunkel</t>
        </is>
      </c>
      <c r="S215">
        <f>HYPERLINK("https://klasma.github.io/Logging_0980/artfynd/A 35615-2023 artfynd.xlsx", "A 35615-2023")</f>
        <v/>
      </c>
      <c r="T215">
        <f>HYPERLINK("https://klasma.github.io/Logging_0980/kartor/A 35615-2023 karta.png", "A 35615-2023")</f>
        <v/>
      </c>
      <c r="V215">
        <f>HYPERLINK("https://klasma.github.io/Logging_0980/klagomål/A 35615-2023 FSC-klagomål.docx", "A 35615-2023")</f>
        <v/>
      </c>
      <c r="W215">
        <f>HYPERLINK("https://klasma.github.io/Logging_0980/klagomålsmail/A 35615-2023 FSC-klagomål mail.docx", "A 35615-2023")</f>
        <v/>
      </c>
      <c r="X215">
        <f>HYPERLINK("https://klasma.github.io/Logging_0980/tillsyn/A 35615-2023 tillsynsbegäran.docx", "A 35615-2023")</f>
        <v/>
      </c>
      <c r="Y215">
        <f>HYPERLINK("https://klasma.github.io/Logging_0980/tillsynsmail/A 35615-2023 tillsynsbegäran mail.docx", "A 35615-2023")</f>
        <v/>
      </c>
    </row>
    <row r="216" ht="15" customHeight="1">
      <c r="A216" t="inlineStr">
        <is>
          <t>A 37584-2023</t>
        </is>
      </c>
      <c r="B216" s="1" t="n">
        <v>45159</v>
      </c>
      <c r="C216" s="1" t="n">
        <v>45582</v>
      </c>
      <c r="D216" t="inlineStr">
        <is>
          <t>GOTLANDS LÄN</t>
        </is>
      </c>
      <c r="E216" t="inlineStr">
        <is>
          <t>GOTLAND</t>
        </is>
      </c>
      <c r="G216" t="n">
        <v>5.4</v>
      </c>
      <c r="H216" t="n">
        <v>0</v>
      </c>
      <c r="I216" t="n">
        <v>1</v>
      </c>
      <c r="J216" t="n">
        <v>0</v>
      </c>
      <c r="K216" t="n">
        <v>0</v>
      </c>
      <c r="L216" t="n">
        <v>0</v>
      </c>
      <c r="M216" t="n">
        <v>0</v>
      </c>
      <c r="N216" t="n">
        <v>0</v>
      </c>
      <c r="O216" t="n">
        <v>0</v>
      </c>
      <c r="P216" t="n">
        <v>0</v>
      </c>
      <c r="Q216" t="n">
        <v>1</v>
      </c>
      <c r="R216" s="2" t="inlineStr">
        <is>
          <t>Myskmadra</t>
        </is>
      </c>
      <c r="S216">
        <f>HYPERLINK("https://klasma.github.io/Logging_0980/artfynd/A 37584-2023 artfynd.xlsx", "A 37584-2023")</f>
        <v/>
      </c>
      <c r="T216">
        <f>HYPERLINK("https://klasma.github.io/Logging_0980/kartor/A 37584-2023 karta.png", "A 37584-2023")</f>
        <v/>
      </c>
      <c r="V216">
        <f>HYPERLINK("https://klasma.github.io/Logging_0980/klagomål/A 37584-2023 FSC-klagomål.docx", "A 37584-2023")</f>
        <v/>
      </c>
      <c r="W216">
        <f>HYPERLINK("https://klasma.github.io/Logging_0980/klagomålsmail/A 37584-2023 FSC-klagomål mail.docx", "A 37584-2023")</f>
        <v/>
      </c>
      <c r="X216">
        <f>HYPERLINK("https://klasma.github.io/Logging_0980/tillsyn/A 37584-2023 tillsynsbegäran.docx", "A 37584-2023")</f>
        <v/>
      </c>
      <c r="Y216">
        <f>HYPERLINK("https://klasma.github.io/Logging_0980/tillsynsmail/A 37584-2023 tillsynsbegäran mail.docx", "A 37584-2023")</f>
        <v/>
      </c>
    </row>
    <row r="217" ht="15" customHeight="1">
      <c r="A217" t="inlineStr">
        <is>
          <t>A 42939-2023</t>
        </is>
      </c>
      <c r="B217" s="1" t="n">
        <v>45182</v>
      </c>
      <c r="C217" s="1" t="n">
        <v>45582</v>
      </c>
      <c r="D217" t="inlineStr">
        <is>
          <t>GOTLANDS LÄN</t>
        </is>
      </c>
      <c r="E217" t="inlineStr">
        <is>
          <t>GOTLAND</t>
        </is>
      </c>
      <c r="G217" t="n">
        <v>7.5</v>
      </c>
      <c r="H217" t="n">
        <v>0</v>
      </c>
      <c r="I217" t="n">
        <v>0</v>
      </c>
      <c r="J217" t="n">
        <v>0</v>
      </c>
      <c r="K217" t="n">
        <v>1</v>
      </c>
      <c r="L217" t="n">
        <v>0</v>
      </c>
      <c r="M217" t="n">
        <v>0</v>
      </c>
      <c r="N217" t="n">
        <v>0</v>
      </c>
      <c r="O217" t="n">
        <v>1</v>
      </c>
      <c r="P217" t="n">
        <v>1</v>
      </c>
      <c r="Q217" t="n">
        <v>1</v>
      </c>
      <c r="R217" s="2" t="inlineStr">
        <is>
          <t>Skogskorn</t>
        </is>
      </c>
      <c r="S217">
        <f>HYPERLINK("https://klasma.github.io/Logging_0980/artfynd/A 42939-2023 artfynd.xlsx", "A 42939-2023")</f>
        <v/>
      </c>
      <c r="T217">
        <f>HYPERLINK("https://klasma.github.io/Logging_0980/kartor/A 42939-2023 karta.png", "A 42939-2023")</f>
        <v/>
      </c>
      <c r="V217">
        <f>HYPERLINK("https://klasma.github.io/Logging_0980/klagomål/A 42939-2023 FSC-klagomål.docx", "A 42939-2023")</f>
        <v/>
      </c>
      <c r="W217">
        <f>HYPERLINK("https://klasma.github.io/Logging_0980/klagomålsmail/A 42939-2023 FSC-klagomål mail.docx", "A 42939-2023")</f>
        <v/>
      </c>
      <c r="X217">
        <f>HYPERLINK("https://klasma.github.io/Logging_0980/tillsyn/A 42939-2023 tillsynsbegäran.docx", "A 42939-2023")</f>
        <v/>
      </c>
      <c r="Y217">
        <f>HYPERLINK("https://klasma.github.io/Logging_0980/tillsynsmail/A 42939-2023 tillsynsbegäran mail.docx", "A 42939-2023")</f>
        <v/>
      </c>
    </row>
    <row r="218" ht="15" customHeight="1">
      <c r="A218" t="inlineStr">
        <is>
          <t>A 43219-2023</t>
        </is>
      </c>
      <c r="B218" s="1" t="n">
        <v>45183</v>
      </c>
      <c r="C218" s="1" t="n">
        <v>45582</v>
      </c>
      <c r="D218" t="inlineStr">
        <is>
          <t>GOTLANDS LÄN</t>
        </is>
      </c>
      <c r="E218" t="inlineStr">
        <is>
          <t>GOTLAND</t>
        </is>
      </c>
      <c r="G218" t="n">
        <v>3.6</v>
      </c>
      <c r="H218" t="n">
        <v>1</v>
      </c>
      <c r="I218" t="n">
        <v>0</v>
      </c>
      <c r="J218" t="n">
        <v>0</v>
      </c>
      <c r="K218" t="n">
        <v>0</v>
      </c>
      <c r="L218" t="n">
        <v>0</v>
      </c>
      <c r="M218" t="n">
        <v>0</v>
      </c>
      <c r="N218" t="n">
        <v>0</v>
      </c>
      <c r="O218" t="n">
        <v>0</v>
      </c>
      <c r="P218" t="n">
        <v>0</v>
      </c>
      <c r="Q218" t="n">
        <v>1</v>
      </c>
      <c r="R218" s="2" t="inlineStr">
        <is>
          <t>Skogsduva</t>
        </is>
      </c>
      <c r="S218">
        <f>HYPERLINK("https://klasma.github.io/Logging_0980/artfynd/A 43219-2023 artfynd.xlsx", "A 43219-2023")</f>
        <v/>
      </c>
      <c r="T218">
        <f>HYPERLINK("https://klasma.github.io/Logging_0980/kartor/A 43219-2023 karta.png", "A 43219-2023")</f>
        <v/>
      </c>
      <c r="V218">
        <f>HYPERLINK("https://klasma.github.io/Logging_0980/klagomål/A 43219-2023 FSC-klagomål.docx", "A 43219-2023")</f>
        <v/>
      </c>
      <c r="W218">
        <f>HYPERLINK("https://klasma.github.io/Logging_0980/klagomålsmail/A 43219-2023 FSC-klagomål mail.docx", "A 43219-2023")</f>
        <v/>
      </c>
      <c r="X218">
        <f>HYPERLINK("https://klasma.github.io/Logging_0980/tillsyn/A 43219-2023 tillsynsbegäran.docx", "A 43219-2023")</f>
        <v/>
      </c>
      <c r="Y218">
        <f>HYPERLINK("https://klasma.github.io/Logging_0980/tillsynsmail/A 43219-2023 tillsynsbegäran mail.docx", "A 43219-2023")</f>
        <v/>
      </c>
      <c r="Z218">
        <f>HYPERLINK("https://klasma.github.io/Logging_0980/fåglar/A 43219-2023 prioriterade fågelarter.docx", "A 43219-2023")</f>
        <v/>
      </c>
    </row>
    <row r="219" ht="15" customHeight="1">
      <c r="A219" t="inlineStr">
        <is>
          <t>A 46527-2023</t>
        </is>
      </c>
      <c r="B219" s="1" t="n">
        <v>45197</v>
      </c>
      <c r="C219" s="1" t="n">
        <v>45582</v>
      </c>
      <c r="D219" t="inlineStr">
        <is>
          <t>GOTLANDS LÄN</t>
        </is>
      </c>
      <c r="E219" t="inlineStr">
        <is>
          <t>GOTLAND</t>
        </is>
      </c>
      <c r="G219" t="n">
        <v>0.9</v>
      </c>
      <c r="H219" t="n">
        <v>0</v>
      </c>
      <c r="I219" t="n">
        <v>0</v>
      </c>
      <c r="J219" t="n">
        <v>1</v>
      </c>
      <c r="K219" t="n">
        <v>0</v>
      </c>
      <c r="L219" t="n">
        <v>0</v>
      </c>
      <c r="M219" t="n">
        <v>0</v>
      </c>
      <c r="N219" t="n">
        <v>0</v>
      </c>
      <c r="O219" t="n">
        <v>1</v>
      </c>
      <c r="P219" t="n">
        <v>0</v>
      </c>
      <c r="Q219" t="n">
        <v>1</v>
      </c>
      <c r="R219" s="2" t="inlineStr">
        <is>
          <t>Guldgräshoppa</t>
        </is>
      </c>
      <c r="S219">
        <f>HYPERLINK("https://klasma.github.io/Logging_0980/artfynd/A 46527-2023 artfynd.xlsx", "A 46527-2023")</f>
        <v/>
      </c>
      <c r="T219">
        <f>HYPERLINK("https://klasma.github.io/Logging_0980/kartor/A 46527-2023 karta.png", "A 46527-2023")</f>
        <v/>
      </c>
      <c r="V219">
        <f>HYPERLINK("https://klasma.github.io/Logging_0980/klagomål/A 46527-2023 FSC-klagomål.docx", "A 46527-2023")</f>
        <v/>
      </c>
      <c r="W219">
        <f>HYPERLINK("https://klasma.github.io/Logging_0980/klagomålsmail/A 46527-2023 FSC-klagomål mail.docx", "A 46527-2023")</f>
        <v/>
      </c>
      <c r="X219">
        <f>HYPERLINK("https://klasma.github.io/Logging_0980/tillsyn/A 46527-2023 tillsynsbegäran.docx", "A 46527-2023")</f>
        <v/>
      </c>
      <c r="Y219">
        <f>HYPERLINK("https://klasma.github.io/Logging_0980/tillsynsmail/A 46527-2023 tillsynsbegäran mail.docx", "A 46527-2023")</f>
        <v/>
      </c>
    </row>
    <row r="220" ht="15" customHeight="1">
      <c r="A220" t="inlineStr">
        <is>
          <t>A 49847-2023</t>
        </is>
      </c>
      <c r="B220" s="1" t="n">
        <v>45212</v>
      </c>
      <c r="C220" s="1" t="n">
        <v>45582</v>
      </c>
      <c r="D220" t="inlineStr">
        <is>
          <t>GOTLANDS LÄN</t>
        </is>
      </c>
      <c r="E220" t="inlineStr">
        <is>
          <t>GOTLAND</t>
        </is>
      </c>
      <c r="G220" t="n">
        <v>35.2</v>
      </c>
      <c r="H220" t="n">
        <v>0</v>
      </c>
      <c r="I220" t="n">
        <v>0</v>
      </c>
      <c r="J220" t="n">
        <v>0</v>
      </c>
      <c r="K220" t="n">
        <v>1</v>
      </c>
      <c r="L220" t="n">
        <v>0</v>
      </c>
      <c r="M220" t="n">
        <v>0</v>
      </c>
      <c r="N220" t="n">
        <v>0</v>
      </c>
      <c r="O220" t="n">
        <v>1</v>
      </c>
      <c r="P220" t="n">
        <v>1</v>
      </c>
      <c r="Q220" t="n">
        <v>1</v>
      </c>
      <c r="R220" s="2" t="inlineStr">
        <is>
          <t>Strandviol</t>
        </is>
      </c>
      <c r="S220">
        <f>HYPERLINK("https://klasma.github.io/Logging_0980/artfynd/A 49847-2023 artfynd.xlsx", "A 49847-2023")</f>
        <v/>
      </c>
      <c r="T220">
        <f>HYPERLINK("https://klasma.github.io/Logging_0980/kartor/A 49847-2023 karta.png", "A 49847-2023")</f>
        <v/>
      </c>
      <c r="V220">
        <f>HYPERLINK("https://klasma.github.io/Logging_0980/klagomål/A 49847-2023 FSC-klagomål.docx", "A 49847-2023")</f>
        <v/>
      </c>
      <c r="W220">
        <f>HYPERLINK("https://klasma.github.io/Logging_0980/klagomålsmail/A 49847-2023 FSC-klagomål mail.docx", "A 49847-2023")</f>
        <v/>
      </c>
      <c r="X220">
        <f>HYPERLINK("https://klasma.github.io/Logging_0980/tillsyn/A 49847-2023 tillsynsbegäran.docx", "A 49847-2023")</f>
        <v/>
      </c>
      <c r="Y220">
        <f>HYPERLINK("https://klasma.github.io/Logging_0980/tillsynsmail/A 49847-2023 tillsynsbegäran mail.docx", "A 49847-2023")</f>
        <v/>
      </c>
    </row>
    <row r="221" ht="15" customHeight="1">
      <c r="A221" t="inlineStr">
        <is>
          <t>A 53907-2023</t>
        </is>
      </c>
      <c r="B221" s="1" t="n">
        <v>45231</v>
      </c>
      <c r="C221" s="1" t="n">
        <v>45582</v>
      </c>
      <c r="D221" t="inlineStr">
        <is>
          <t>GOTLANDS LÄN</t>
        </is>
      </c>
      <c r="E221" t="inlineStr">
        <is>
          <t>GOTLAND</t>
        </is>
      </c>
      <c r="G221" t="n">
        <v>13.7</v>
      </c>
      <c r="H221" t="n">
        <v>0</v>
      </c>
      <c r="I221" t="n">
        <v>0</v>
      </c>
      <c r="J221" t="n">
        <v>0</v>
      </c>
      <c r="K221" t="n">
        <v>1</v>
      </c>
      <c r="L221" t="n">
        <v>0</v>
      </c>
      <c r="M221" t="n">
        <v>0</v>
      </c>
      <c r="N221" t="n">
        <v>0</v>
      </c>
      <c r="O221" t="n">
        <v>1</v>
      </c>
      <c r="P221" t="n">
        <v>1</v>
      </c>
      <c r="Q221" t="n">
        <v>1</v>
      </c>
      <c r="R221" s="2" t="inlineStr">
        <is>
          <t>Granrotspindling</t>
        </is>
      </c>
      <c r="S221">
        <f>HYPERLINK("https://klasma.github.io/Logging_0980/artfynd/A 53907-2023 artfynd.xlsx", "A 53907-2023")</f>
        <v/>
      </c>
      <c r="T221">
        <f>HYPERLINK("https://klasma.github.io/Logging_0980/kartor/A 53907-2023 karta.png", "A 53907-2023")</f>
        <v/>
      </c>
      <c r="V221">
        <f>HYPERLINK("https://klasma.github.io/Logging_0980/klagomål/A 53907-2023 FSC-klagomål.docx", "A 53907-2023")</f>
        <v/>
      </c>
      <c r="W221">
        <f>HYPERLINK("https://klasma.github.io/Logging_0980/klagomålsmail/A 53907-2023 FSC-klagomål mail.docx", "A 53907-2023")</f>
        <v/>
      </c>
      <c r="X221">
        <f>HYPERLINK("https://klasma.github.io/Logging_0980/tillsyn/A 53907-2023 tillsynsbegäran.docx", "A 53907-2023")</f>
        <v/>
      </c>
      <c r="Y221">
        <f>HYPERLINK("https://klasma.github.io/Logging_0980/tillsynsmail/A 53907-2023 tillsynsbegäran mail.docx", "A 53907-2023")</f>
        <v/>
      </c>
    </row>
    <row r="222" ht="15" customHeight="1">
      <c r="A222" t="inlineStr">
        <is>
          <t>A 56304-2023</t>
        </is>
      </c>
      <c r="B222" s="1" t="n">
        <v>45242</v>
      </c>
      <c r="C222" s="1" t="n">
        <v>45582</v>
      </c>
      <c r="D222" t="inlineStr">
        <is>
          <t>GOTLANDS LÄN</t>
        </is>
      </c>
      <c r="E222" t="inlineStr">
        <is>
          <t>GOTLAND</t>
        </is>
      </c>
      <c r="G222" t="n">
        <v>0.9</v>
      </c>
      <c r="H222" t="n">
        <v>1</v>
      </c>
      <c r="I222" t="n">
        <v>0</v>
      </c>
      <c r="J222" t="n">
        <v>0</v>
      </c>
      <c r="K222" t="n">
        <v>1</v>
      </c>
      <c r="L222" t="n">
        <v>0</v>
      </c>
      <c r="M222" t="n">
        <v>0</v>
      </c>
      <c r="N222" t="n">
        <v>0</v>
      </c>
      <c r="O222" t="n">
        <v>1</v>
      </c>
      <c r="P222" t="n">
        <v>1</v>
      </c>
      <c r="Q222" t="n">
        <v>1</v>
      </c>
      <c r="R222" s="2" t="inlineStr">
        <is>
          <t>Garderönn</t>
        </is>
      </c>
      <c r="S222">
        <f>HYPERLINK("https://klasma.github.io/Logging_0980/artfynd/A 56304-2023 artfynd.xlsx", "A 56304-2023")</f>
        <v/>
      </c>
      <c r="T222">
        <f>HYPERLINK("https://klasma.github.io/Logging_0980/kartor/A 56304-2023 karta.png", "A 56304-2023")</f>
        <v/>
      </c>
      <c r="V222">
        <f>HYPERLINK("https://klasma.github.io/Logging_0980/klagomål/A 56304-2023 FSC-klagomål.docx", "A 56304-2023")</f>
        <v/>
      </c>
      <c r="W222">
        <f>HYPERLINK("https://klasma.github.io/Logging_0980/klagomålsmail/A 56304-2023 FSC-klagomål mail.docx", "A 56304-2023")</f>
        <v/>
      </c>
      <c r="X222">
        <f>HYPERLINK("https://klasma.github.io/Logging_0980/tillsyn/A 56304-2023 tillsynsbegäran.docx", "A 56304-2023")</f>
        <v/>
      </c>
      <c r="Y222">
        <f>HYPERLINK("https://klasma.github.io/Logging_0980/tillsynsmail/A 56304-2023 tillsynsbegäran mail.docx", "A 56304-2023")</f>
        <v/>
      </c>
    </row>
    <row r="223" ht="15" customHeight="1">
      <c r="A223" t="inlineStr">
        <is>
          <t>A 61561-2023</t>
        </is>
      </c>
      <c r="B223" s="1" t="n">
        <v>45265</v>
      </c>
      <c r="C223" s="1" t="n">
        <v>45582</v>
      </c>
      <c r="D223" t="inlineStr">
        <is>
          <t>GOTLANDS LÄN</t>
        </is>
      </c>
      <c r="E223" t="inlineStr">
        <is>
          <t>GOTLAND</t>
        </is>
      </c>
      <c r="G223" t="n">
        <v>7.4</v>
      </c>
      <c r="H223" t="n">
        <v>0</v>
      </c>
      <c r="I223" t="n">
        <v>0</v>
      </c>
      <c r="J223" t="n">
        <v>1</v>
      </c>
      <c r="K223" t="n">
        <v>0</v>
      </c>
      <c r="L223" t="n">
        <v>0</v>
      </c>
      <c r="M223" t="n">
        <v>0</v>
      </c>
      <c r="N223" t="n">
        <v>0</v>
      </c>
      <c r="O223" t="n">
        <v>1</v>
      </c>
      <c r="P223" t="n">
        <v>0</v>
      </c>
      <c r="Q223" t="n">
        <v>1</v>
      </c>
      <c r="R223" s="2" t="inlineStr">
        <is>
          <t>Loppstarr</t>
        </is>
      </c>
      <c r="S223">
        <f>HYPERLINK("https://klasma.github.io/Logging_0980/artfynd/A 61561-2023 artfynd.xlsx", "A 61561-2023")</f>
        <v/>
      </c>
      <c r="T223">
        <f>HYPERLINK("https://klasma.github.io/Logging_0980/kartor/A 61561-2023 karta.png", "A 61561-2023")</f>
        <v/>
      </c>
      <c r="V223">
        <f>HYPERLINK("https://klasma.github.io/Logging_0980/klagomål/A 61561-2023 FSC-klagomål.docx", "A 61561-2023")</f>
        <v/>
      </c>
      <c r="W223">
        <f>HYPERLINK("https://klasma.github.io/Logging_0980/klagomålsmail/A 61561-2023 FSC-klagomål mail.docx", "A 61561-2023")</f>
        <v/>
      </c>
      <c r="X223">
        <f>HYPERLINK("https://klasma.github.io/Logging_0980/tillsyn/A 61561-2023 tillsynsbegäran.docx", "A 61561-2023")</f>
        <v/>
      </c>
      <c r="Y223">
        <f>HYPERLINK("https://klasma.github.io/Logging_0980/tillsynsmail/A 61561-2023 tillsynsbegäran mail.docx", "A 61561-2023")</f>
        <v/>
      </c>
    </row>
    <row r="224" ht="15" customHeight="1">
      <c r="A224" t="inlineStr">
        <is>
          <t>A 61846-2023</t>
        </is>
      </c>
      <c r="B224" s="1" t="n">
        <v>45266</v>
      </c>
      <c r="C224" s="1" t="n">
        <v>45582</v>
      </c>
      <c r="D224" t="inlineStr">
        <is>
          <t>GOTLANDS LÄN</t>
        </is>
      </c>
      <c r="E224" t="inlineStr">
        <is>
          <t>GOTLAND</t>
        </is>
      </c>
      <c r="G224" t="n">
        <v>2.2</v>
      </c>
      <c r="H224" t="n">
        <v>1</v>
      </c>
      <c r="I224" t="n">
        <v>0</v>
      </c>
      <c r="J224" t="n">
        <v>1</v>
      </c>
      <c r="K224" t="n">
        <v>0</v>
      </c>
      <c r="L224" t="n">
        <v>0</v>
      </c>
      <c r="M224" t="n">
        <v>0</v>
      </c>
      <c r="N224" t="n">
        <v>0</v>
      </c>
      <c r="O224" t="n">
        <v>1</v>
      </c>
      <c r="P224" t="n">
        <v>0</v>
      </c>
      <c r="Q224" t="n">
        <v>1</v>
      </c>
      <c r="R224" s="2" t="inlineStr">
        <is>
          <t>Rosenfink</t>
        </is>
      </c>
      <c r="S224">
        <f>HYPERLINK("https://klasma.github.io/Logging_0980/artfynd/A 61846-2023 artfynd.xlsx", "A 61846-2023")</f>
        <v/>
      </c>
      <c r="T224">
        <f>HYPERLINK("https://klasma.github.io/Logging_0980/kartor/A 61846-2023 karta.png", "A 61846-2023")</f>
        <v/>
      </c>
      <c r="V224">
        <f>HYPERLINK("https://klasma.github.io/Logging_0980/klagomål/A 61846-2023 FSC-klagomål.docx", "A 61846-2023")</f>
        <v/>
      </c>
      <c r="W224">
        <f>HYPERLINK("https://klasma.github.io/Logging_0980/klagomålsmail/A 61846-2023 FSC-klagomål mail.docx", "A 61846-2023")</f>
        <v/>
      </c>
      <c r="X224">
        <f>HYPERLINK("https://klasma.github.io/Logging_0980/tillsyn/A 61846-2023 tillsynsbegäran.docx", "A 61846-2023")</f>
        <v/>
      </c>
      <c r="Y224">
        <f>HYPERLINK("https://klasma.github.io/Logging_0980/tillsynsmail/A 61846-2023 tillsynsbegäran mail.docx", "A 61846-2023")</f>
        <v/>
      </c>
      <c r="Z224">
        <f>HYPERLINK("https://klasma.github.io/Logging_0980/fåglar/A 61846-2023 prioriterade fågelarter.docx", "A 61846-2023")</f>
        <v/>
      </c>
    </row>
    <row r="225" ht="15" customHeight="1">
      <c r="A225" t="inlineStr">
        <is>
          <t>A 61994-2023</t>
        </is>
      </c>
      <c r="B225" s="1" t="n">
        <v>45266</v>
      </c>
      <c r="C225" s="1" t="n">
        <v>45582</v>
      </c>
      <c r="D225" t="inlineStr">
        <is>
          <t>GOTLANDS LÄN</t>
        </is>
      </c>
      <c r="E225" t="inlineStr">
        <is>
          <t>GOTLAND</t>
        </is>
      </c>
      <c r="G225" t="n">
        <v>2.9</v>
      </c>
      <c r="H225" t="n">
        <v>1</v>
      </c>
      <c r="I225" t="n">
        <v>0</v>
      </c>
      <c r="J225" t="n">
        <v>0</v>
      </c>
      <c r="K225" t="n">
        <v>0</v>
      </c>
      <c r="L225" t="n">
        <v>0</v>
      </c>
      <c r="M225" t="n">
        <v>0</v>
      </c>
      <c r="N225" t="n">
        <v>0</v>
      </c>
      <c r="O225" t="n">
        <v>0</v>
      </c>
      <c r="P225" t="n">
        <v>0</v>
      </c>
      <c r="Q225" t="n">
        <v>1</v>
      </c>
      <c r="R225" s="2" t="inlineStr">
        <is>
          <t>Revlummer</t>
        </is>
      </c>
      <c r="S225">
        <f>HYPERLINK("https://klasma.github.io/Logging_0980/artfynd/A 61994-2023 artfynd.xlsx", "A 61994-2023")</f>
        <v/>
      </c>
      <c r="T225">
        <f>HYPERLINK("https://klasma.github.io/Logging_0980/kartor/A 61994-2023 karta.png", "A 61994-2023")</f>
        <v/>
      </c>
      <c r="V225">
        <f>HYPERLINK("https://klasma.github.io/Logging_0980/klagomål/A 61994-2023 FSC-klagomål.docx", "A 61994-2023")</f>
        <v/>
      </c>
      <c r="W225">
        <f>HYPERLINK("https://klasma.github.io/Logging_0980/klagomålsmail/A 61994-2023 FSC-klagomål mail.docx", "A 61994-2023")</f>
        <v/>
      </c>
      <c r="X225">
        <f>HYPERLINK("https://klasma.github.io/Logging_0980/tillsyn/A 61994-2023 tillsynsbegäran.docx", "A 61994-2023")</f>
        <v/>
      </c>
      <c r="Y225">
        <f>HYPERLINK("https://klasma.github.io/Logging_0980/tillsynsmail/A 61994-2023 tillsynsbegäran mail.docx", "A 61994-2023")</f>
        <v/>
      </c>
    </row>
    <row r="226" ht="15" customHeight="1">
      <c r="A226" t="inlineStr">
        <is>
          <t>A 62376-2023</t>
        </is>
      </c>
      <c r="B226" s="1" t="n">
        <v>45268</v>
      </c>
      <c r="C226" s="1" t="n">
        <v>45582</v>
      </c>
      <c r="D226" t="inlineStr">
        <is>
          <t>GOTLANDS LÄN</t>
        </is>
      </c>
      <c r="E226" t="inlineStr">
        <is>
          <t>GOTLAND</t>
        </is>
      </c>
      <c r="G226" t="n">
        <v>4.2</v>
      </c>
      <c r="H226" t="n">
        <v>1</v>
      </c>
      <c r="I226" t="n">
        <v>0</v>
      </c>
      <c r="J226" t="n">
        <v>0</v>
      </c>
      <c r="K226" t="n">
        <v>0</v>
      </c>
      <c r="L226" t="n">
        <v>0</v>
      </c>
      <c r="M226" t="n">
        <v>0</v>
      </c>
      <c r="N226" t="n">
        <v>0</v>
      </c>
      <c r="O226" t="n">
        <v>0</v>
      </c>
      <c r="P226" t="n">
        <v>0</v>
      </c>
      <c r="Q226" t="n">
        <v>1</v>
      </c>
      <c r="R226" s="2" t="inlineStr">
        <is>
          <t>Fläcknycklar</t>
        </is>
      </c>
      <c r="S226">
        <f>HYPERLINK("https://klasma.github.io/Logging_0980/artfynd/A 62376-2023 artfynd.xlsx", "A 62376-2023")</f>
        <v/>
      </c>
      <c r="T226">
        <f>HYPERLINK("https://klasma.github.io/Logging_0980/kartor/A 62376-2023 karta.png", "A 62376-2023")</f>
        <v/>
      </c>
      <c r="V226">
        <f>HYPERLINK("https://klasma.github.io/Logging_0980/klagomål/A 62376-2023 FSC-klagomål.docx", "A 62376-2023")</f>
        <v/>
      </c>
      <c r="W226">
        <f>HYPERLINK("https://klasma.github.io/Logging_0980/klagomålsmail/A 62376-2023 FSC-klagomål mail.docx", "A 62376-2023")</f>
        <v/>
      </c>
      <c r="X226">
        <f>HYPERLINK("https://klasma.github.io/Logging_0980/tillsyn/A 62376-2023 tillsynsbegäran.docx", "A 62376-2023")</f>
        <v/>
      </c>
      <c r="Y226">
        <f>HYPERLINK("https://klasma.github.io/Logging_0980/tillsynsmail/A 62376-2023 tillsynsbegäran mail.docx", "A 62376-2023")</f>
        <v/>
      </c>
    </row>
    <row r="227" ht="15" customHeight="1">
      <c r="A227" t="inlineStr">
        <is>
          <t>A 63515-2023</t>
        </is>
      </c>
      <c r="B227" s="1" t="n">
        <v>45274</v>
      </c>
      <c r="C227" s="1" t="n">
        <v>45582</v>
      </c>
      <c r="D227" t="inlineStr">
        <is>
          <t>GOTLANDS LÄN</t>
        </is>
      </c>
      <c r="E227" t="inlineStr">
        <is>
          <t>GOTLAND</t>
        </is>
      </c>
      <c r="G227" t="n">
        <v>2.1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63515-2023 artfynd.xlsx", "A 63515-2023")</f>
        <v/>
      </c>
      <c r="T227">
        <f>HYPERLINK("https://klasma.github.io/Logging_0980/kartor/A 63515-2023 karta.png", "A 63515-2023")</f>
        <v/>
      </c>
      <c r="V227">
        <f>HYPERLINK("https://klasma.github.io/Logging_0980/klagomål/A 63515-2023 FSC-klagomål.docx", "A 63515-2023")</f>
        <v/>
      </c>
      <c r="W227">
        <f>HYPERLINK("https://klasma.github.io/Logging_0980/klagomålsmail/A 63515-2023 FSC-klagomål mail.docx", "A 63515-2023")</f>
        <v/>
      </c>
      <c r="X227">
        <f>HYPERLINK("https://klasma.github.io/Logging_0980/tillsyn/A 63515-2023 tillsynsbegäran.docx", "A 63515-2023")</f>
        <v/>
      </c>
      <c r="Y227">
        <f>HYPERLINK("https://klasma.github.io/Logging_0980/tillsynsmail/A 63515-2023 tillsynsbegäran mail.docx", "A 63515-2023")</f>
        <v/>
      </c>
    </row>
    <row r="228" ht="15" customHeight="1">
      <c r="A228" t="inlineStr">
        <is>
          <t>A 63302-2023</t>
        </is>
      </c>
      <c r="B228" s="1" t="n">
        <v>45274</v>
      </c>
      <c r="C228" s="1" t="n">
        <v>45582</v>
      </c>
      <c r="D228" t="inlineStr">
        <is>
          <t>GOTLANDS LÄN</t>
        </is>
      </c>
      <c r="E228" t="inlineStr">
        <is>
          <t>GOTLAND</t>
        </is>
      </c>
      <c r="G228" t="n">
        <v>1.3</v>
      </c>
      <c r="H228" t="n">
        <v>1</v>
      </c>
      <c r="I228" t="n">
        <v>0</v>
      </c>
      <c r="J228" t="n">
        <v>0</v>
      </c>
      <c r="K228" t="n">
        <v>0</v>
      </c>
      <c r="L228" t="n">
        <v>0</v>
      </c>
      <c r="M228" t="n">
        <v>0</v>
      </c>
      <c r="N228" t="n">
        <v>0</v>
      </c>
      <c r="O228" t="n">
        <v>0</v>
      </c>
      <c r="P228" t="n">
        <v>0</v>
      </c>
      <c r="Q228" t="n">
        <v>1</v>
      </c>
      <c r="R228" s="2" t="inlineStr">
        <is>
          <t>Nattskärra</t>
        </is>
      </c>
      <c r="S228">
        <f>HYPERLINK("https://klasma.github.io/Logging_0980/artfynd/A 63302-2023 artfynd.xlsx", "A 63302-2023")</f>
        <v/>
      </c>
      <c r="T228">
        <f>HYPERLINK("https://klasma.github.io/Logging_0980/kartor/A 63302-2023 karta.png", "A 63302-2023")</f>
        <v/>
      </c>
      <c r="V228">
        <f>HYPERLINK("https://klasma.github.io/Logging_0980/klagomål/A 63302-2023 FSC-klagomål.docx", "A 63302-2023")</f>
        <v/>
      </c>
      <c r="W228">
        <f>HYPERLINK("https://klasma.github.io/Logging_0980/klagomålsmail/A 63302-2023 FSC-klagomål mail.docx", "A 63302-2023")</f>
        <v/>
      </c>
      <c r="X228">
        <f>HYPERLINK("https://klasma.github.io/Logging_0980/tillsyn/A 63302-2023 tillsynsbegäran.docx", "A 63302-2023")</f>
        <v/>
      </c>
      <c r="Y228">
        <f>HYPERLINK("https://klasma.github.io/Logging_0980/tillsynsmail/A 63302-2023 tillsynsbegäran mail.docx", "A 63302-2023")</f>
        <v/>
      </c>
      <c r="Z228">
        <f>HYPERLINK("https://klasma.github.io/Logging_0980/fåglar/A 63302-2023 prioriterade fågelarter.docx", "A 63302-2023")</f>
        <v/>
      </c>
    </row>
    <row r="229" ht="15" customHeight="1">
      <c r="A229" t="inlineStr">
        <is>
          <t>A 2534-2024</t>
        </is>
      </c>
      <c r="B229" s="1" t="n">
        <v>45313</v>
      </c>
      <c r="C229" s="1" t="n">
        <v>45582</v>
      </c>
      <c r="D229" t="inlineStr">
        <is>
          <t>GOTLANDS LÄN</t>
        </is>
      </c>
      <c r="E229" t="inlineStr">
        <is>
          <t>GOTLAND</t>
        </is>
      </c>
      <c r="G229" t="n">
        <v>1</v>
      </c>
      <c r="H229" t="n">
        <v>0</v>
      </c>
      <c r="I229" t="n">
        <v>0</v>
      </c>
      <c r="J229" t="n">
        <v>0</v>
      </c>
      <c r="K229" t="n">
        <v>0</v>
      </c>
      <c r="L229" t="n">
        <v>1</v>
      </c>
      <c r="M229" t="n">
        <v>0</v>
      </c>
      <c r="N229" t="n">
        <v>0</v>
      </c>
      <c r="O229" t="n">
        <v>1</v>
      </c>
      <c r="P229" t="n">
        <v>1</v>
      </c>
      <c r="Q229" t="n">
        <v>1</v>
      </c>
      <c r="R229" s="2" t="inlineStr">
        <is>
          <t>Ryl</t>
        </is>
      </c>
      <c r="S229">
        <f>HYPERLINK("https://klasma.github.io/Logging_0980/artfynd/A 2534-2024 artfynd.xlsx", "A 2534-2024")</f>
        <v/>
      </c>
      <c r="T229">
        <f>HYPERLINK("https://klasma.github.io/Logging_0980/kartor/A 2534-2024 karta.png", "A 2534-2024")</f>
        <v/>
      </c>
      <c r="V229">
        <f>HYPERLINK("https://klasma.github.io/Logging_0980/klagomål/A 2534-2024 FSC-klagomål.docx", "A 2534-2024")</f>
        <v/>
      </c>
      <c r="W229">
        <f>HYPERLINK("https://klasma.github.io/Logging_0980/klagomålsmail/A 2534-2024 FSC-klagomål mail.docx", "A 2534-2024")</f>
        <v/>
      </c>
      <c r="X229">
        <f>HYPERLINK("https://klasma.github.io/Logging_0980/tillsyn/A 2534-2024 tillsynsbegäran.docx", "A 2534-2024")</f>
        <v/>
      </c>
      <c r="Y229">
        <f>HYPERLINK("https://klasma.github.io/Logging_0980/tillsynsmail/A 2534-2024 tillsynsbegäran mail.docx", "A 2534-2024")</f>
        <v/>
      </c>
    </row>
    <row r="230" ht="15" customHeight="1">
      <c r="A230" t="inlineStr">
        <is>
          <t>A 6303-2024</t>
        </is>
      </c>
      <c r="B230" s="1" t="n">
        <v>45338</v>
      </c>
      <c r="C230" s="1" t="n">
        <v>45582</v>
      </c>
      <c r="D230" t="inlineStr">
        <is>
          <t>GOTLANDS LÄN</t>
        </is>
      </c>
      <c r="E230" t="inlineStr">
        <is>
          <t>GOTLAND</t>
        </is>
      </c>
      <c r="G230" t="n">
        <v>0.6</v>
      </c>
      <c r="H230" t="n">
        <v>0</v>
      </c>
      <c r="I230" t="n">
        <v>1</v>
      </c>
      <c r="J230" t="n">
        <v>0</v>
      </c>
      <c r="K230" t="n">
        <v>0</v>
      </c>
      <c r="L230" t="n">
        <v>0</v>
      </c>
      <c r="M230" t="n">
        <v>0</v>
      </c>
      <c r="N230" t="n">
        <v>0</v>
      </c>
      <c r="O230" t="n">
        <v>0</v>
      </c>
      <c r="P230" t="n">
        <v>0</v>
      </c>
      <c r="Q230" t="n">
        <v>1</v>
      </c>
      <c r="R230" s="2" t="inlineStr">
        <is>
          <t>Strävlosta</t>
        </is>
      </c>
      <c r="S230">
        <f>HYPERLINK("https://klasma.github.io/Logging_0980/artfynd/A 6303-2024 artfynd.xlsx", "A 6303-2024")</f>
        <v/>
      </c>
      <c r="T230">
        <f>HYPERLINK("https://klasma.github.io/Logging_0980/kartor/A 6303-2024 karta.png", "A 6303-2024")</f>
        <v/>
      </c>
      <c r="V230">
        <f>HYPERLINK("https://klasma.github.io/Logging_0980/klagomål/A 6303-2024 FSC-klagomål.docx", "A 6303-2024")</f>
        <v/>
      </c>
      <c r="W230">
        <f>HYPERLINK("https://klasma.github.io/Logging_0980/klagomålsmail/A 6303-2024 FSC-klagomål mail.docx", "A 6303-2024")</f>
        <v/>
      </c>
      <c r="X230">
        <f>HYPERLINK("https://klasma.github.io/Logging_0980/tillsyn/A 6303-2024 tillsynsbegäran.docx", "A 6303-2024")</f>
        <v/>
      </c>
      <c r="Y230">
        <f>HYPERLINK("https://klasma.github.io/Logging_0980/tillsynsmail/A 6303-2024 tillsynsbegäran mail.docx", "A 6303-2024")</f>
        <v/>
      </c>
    </row>
    <row r="231" ht="15" customHeight="1">
      <c r="A231" t="inlineStr">
        <is>
          <t>A 8291-2024</t>
        </is>
      </c>
      <c r="B231" s="1" t="n">
        <v>45352</v>
      </c>
      <c r="C231" s="1" t="n">
        <v>45582</v>
      </c>
      <c r="D231" t="inlineStr">
        <is>
          <t>GOTLANDS LÄN</t>
        </is>
      </c>
      <c r="E231" t="inlineStr">
        <is>
          <t>GOTLAND</t>
        </is>
      </c>
      <c r="G231" t="n">
        <v>5.4</v>
      </c>
      <c r="H231" t="n">
        <v>1</v>
      </c>
      <c r="I231" t="n">
        <v>0</v>
      </c>
      <c r="J231" t="n">
        <v>1</v>
      </c>
      <c r="K231" t="n">
        <v>0</v>
      </c>
      <c r="L231" t="n">
        <v>0</v>
      </c>
      <c r="M231" t="n">
        <v>0</v>
      </c>
      <c r="N231" t="n">
        <v>0</v>
      </c>
      <c r="O231" t="n">
        <v>1</v>
      </c>
      <c r="P231" t="n">
        <v>0</v>
      </c>
      <c r="Q231" t="n">
        <v>1</v>
      </c>
      <c r="R231" s="2" t="inlineStr">
        <is>
          <t>Ärtsångare</t>
        </is>
      </c>
      <c r="S231">
        <f>HYPERLINK("https://klasma.github.io/Logging_0980/artfynd/A 8291-2024 artfynd.xlsx", "A 8291-2024")</f>
        <v/>
      </c>
      <c r="T231">
        <f>HYPERLINK("https://klasma.github.io/Logging_0980/kartor/A 8291-2024 karta.png", "A 8291-2024")</f>
        <v/>
      </c>
      <c r="V231">
        <f>HYPERLINK("https://klasma.github.io/Logging_0980/klagomål/A 8291-2024 FSC-klagomål.docx", "A 8291-2024")</f>
        <v/>
      </c>
      <c r="W231">
        <f>HYPERLINK("https://klasma.github.io/Logging_0980/klagomålsmail/A 8291-2024 FSC-klagomål mail.docx", "A 8291-2024")</f>
        <v/>
      </c>
      <c r="X231">
        <f>HYPERLINK("https://klasma.github.io/Logging_0980/tillsyn/A 8291-2024 tillsynsbegäran.docx", "A 8291-2024")</f>
        <v/>
      </c>
      <c r="Y231">
        <f>HYPERLINK("https://klasma.github.io/Logging_0980/tillsynsmail/A 8291-2024 tillsynsbegäran mail.docx", "A 8291-2024")</f>
        <v/>
      </c>
      <c r="Z231">
        <f>HYPERLINK("https://klasma.github.io/Logging_0980/fåglar/A 8291-2024 prioriterade fågelarter.docx", "A 8291-2024")</f>
        <v/>
      </c>
    </row>
    <row r="232" ht="15" customHeight="1">
      <c r="A232" t="inlineStr">
        <is>
          <t>A 9862-2024</t>
        </is>
      </c>
      <c r="B232" s="1" t="n">
        <v>45363</v>
      </c>
      <c r="C232" s="1" t="n">
        <v>45582</v>
      </c>
      <c r="D232" t="inlineStr">
        <is>
          <t>GOTLANDS LÄN</t>
        </is>
      </c>
      <c r="E232" t="inlineStr">
        <is>
          <t>GOTLAND</t>
        </is>
      </c>
      <c r="G232" t="n">
        <v>3.5</v>
      </c>
      <c r="H232" t="n">
        <v>1</v>
      </c>
      <c r="I232" t="n">
        <v>0</v>
      </c>
      <c r="J232" t="n">
        <v>0</v>
      </c>
      <c r="K232" t="n">
        <v>0</v>
      </c>
      <c r="L232" t="n">
        <v>0</v>
      </c>
      <c r="M232" t="n">
        <v>0</v>
      </c>
      <c r="N232" t="n">
        <v>0</v>
      </c>
      <c r="O232" t="n">
        <v>0</v>
      </c>
      <c r="P232" t="n">
        <v>0</v>
      </c>
      <c r="Q232" t="n">
        <v>1</v>
      </c>
      <c r="R232" s="2" t="inlineStr">
        <is>
          <t>Nattviol</t>
        </is>
      </c>
      <c r="S232">
        <f>HYPERLINK("https://klasma.github.io/Logging_0980/artfynd/A 9862-2024 artfynd.xlsx", "A 9862-2024")</f>
        <v/>
      </c>
      <c r="T232">
        <f>HYPERLINK("https://klasma.github.io/Logging_0980/kartor/A 9862-2024 karta.png", "A 9862-2024")</f>
        <v/>
      </c>
      <c r="V232">
        <f>HYPERLINK("https://klasma.github.io/Logging_0980/klagomål/A 9862-2024 FSC-klagomål.docx", "A 9862-2024")</f>
        <v/>
      </c>
      <c r="W232">
        <f>HYPERLINK("https://klasma.github.io/Logging_0980/klagomålsmail/A 9862-2024 FSC-klagomål mail.docx", "A 9862-2024")</f>
        <v/>
      </c>
      <c r="X232">
        <f>HYPERLINK("https://klasma.github.io/Logging_0980/tillsyn/A 9862-2024 tillsynsbegäran.docx", "A 9862-2024")</f>
        <v/>
      </c>
      <c r="Y232">
        <f>HYPERLINK("https://klasma.github.io/Logging_0980/tillsynsmail/A 9862-2024 tillsynsbegäran mail.docx", "A 9862-2024")</f>
        <v/>
      </c>
    </row>
    <row r="233" ht="15" customHeight="1">
      <c r="A233" t="inlineStr">
        <is>
          <t>A 10440-2024</t>
        </is>
      </c>
      <c r="B233" s="1" t="n">
        <v>45366</v>
      </c>
      <c r="C233" s="1" t="n">
        <v>45582</v>
      </c>
      <c r="D233" t="inlineStr">
        <is>
          <t>GOTLANDS LÄN</t>
        </is>
      </c>
      <c r="E233" t="inlineStr">
        <is>
          <t>GOTLAND</t>
        </is>
      </c>
      <c r="G233" t="n">
        <v>2.5</v>
      </c>
      <c r="H233" t="n">
        <v>1</v>
      </c>
      <c r="I233" t="n">
        <v>0</v>
      </c>
      <c r="J233" t="n">
        <v>1</v>
      </c>
      <c r="K233" t="n">
        <v>0</v>
      </c>
      <c r="L233" t="n">
        <v>0</v>
      </c>
      <c r="M233" t="n">
        <v>0</v>
      </c>
      <c r="N233" t="n">
        <v>0</v>
      </c>
      <c r="O233" t="n">
        <v>1</v>
      </c>
      <c r="P233" t="n">
        <v>0</v>
      </c>
      <c r="Q233" t="n">
        <v>1</v>
      </c>
      <c r="R233" s="2" t="inlineStr">
        <is>
          <t>Mindre hackspett</t>
        </is>
      </c>
      <c r="S233">
        <f>HYPERLINK("https://klasma.github.io/Logging_0980/artfynd/A 10440-2024 artfynd.xlsx", "A 10440-2024")</f>
        <v/>
      </c>
      <c r="T233">
        <f>HYPERLINK("https://klasma.github.io/Logging_0980/kartor/A 10440-2024 karta.png", "A 10440-2024")</f>
        <v/>
      </c>
      <c r="V233">
        <f>HYPERLINK("https://klasma.github.io/Logging_0980/klagomål/A 10440-2024 FSC-klagomål.docx", "A 10440-2024")</f>
        <v/>
      </c>
      <c r="W233">
        <f>HYPERLINK("https://klasma.github.io/Logging_0980/klagomålsmail/A 10440-2024 FSC-klagomål mail.docx", "A 10440-2024")</f>
        <v/>
      </c>
      <c r="X233">
        <f>HYPERLINK("https://klasma.github.io/Logging_0980/tillsyn/A 10440-2024 tillsynsbegäran.docx", "A 10440-2024")</f>
        <v/>
      </c>
      <c r="Y233">
        <f>HYPERLINK("https://klasma.github.io/Logging_0980/tillsynsmail/A 10440-2024 tillsynsbegäran mail.docx", "A 10440-2024")</f>
        <v/>
      </c>
      <c r="Z233">
        <f>HYPERLINK("https://klasma.github.io/Logging_0980/fåglar/A 10440-2024 prioriterade fågelarter.docx", "A 10440-2024")</f>
        <v/>
      </c>
    </row>
    <row r="234" ht="15" customHeight="1">
      <c r="A234" t="inlineStr">
        <is>
          <t>A 12379-2024</t>
        </is>
      </c>
      <c r="B234" s="1" t="n">
        <v>45379</v>
      </c>
      <c r="C234" s="1" t="n">
        <v>45582</v>
      </c>
      <c r="D234" t="inlineStr">
        <is>
          <t>GOTLANDS LÄN</t>
        </is>
      </c>
      <c r="E234" t="inlineStr">
        <is>
          <t>GOTLAND</t>
        </is>
      </c>
      <c r="G234" t="n">
        <v>4.4</v>
      </c>
      <c r="H234" t="n">
        <v>0</v>
      </c>
      <c r="I234" t="n">
        <v>0</v>
      </c>
      <c r="J234" t="n">
        <v>1</v>
      </c>
      <c r="K234" t="n">
        <v>0</v>
      </c>
      <c r="L234" t="n">
        <v>0</v>
      </c>
      <c r="M234" t="n">
        <v>0</v>
      </c>
      <c r="N234" t="n">
        <v>0</v>
      </c>
      <c r="O234" t="n">
        <v>1</v>
      </c>
      <c r="P234" t="n">
        <v>0</v>
      </c>
      <c r="Q234" t="n">
        <v>1</v>
      </c>
      <c r="R234" s="2" t="inlineStr">
        <is>
          <t>Svinrot</t>
        </is>
      </c>
      <c r="S234">
        <f>HYPERLINK("https://klasma.github.io/Logging_0980/artfynd/A 12379-2024 artfynd.xlsx", "A 12379-2024")</f>
        <v/>
      </c>
      <c r="T234">
        <f>HYPERLINK("https://klasma.github.io/Logging_0980/kartor/A 12379-2024 karta.png", "A 12379-2024")</f>
        <v/>
      </c>
      <c r="V234">
        <f>HYPERLINK("https://klasma.github.io/Logging_0980/klagomål/A 12379-2024 FSC-klagomål.docx", "A 12379-2024")</f>
        <v/>
      </c>
      <c r="W234">
        <f>HYPERLINK("https://klasma.github.io/Logging_0980/klagomålsmail/A 12379-2024 FSC-klagomål mail.docx", "A 12379-2024")</f>
        <v/>
      </c>
      <c r="X234">
        <f>HYPERLINK("https://klasma.github.io/Logging_0980/tillsyn/A 12379-2024 tillsynsbegäran.docx", "A 12379-2024")</f>
        <v/>
      </c>
      <c r="Y234">
        <f>HYPERLINK("https://klasma.github.io/Logging_0980/tillsynsmail/A 12379-2024 tillsynsbegäran mail.docx", "A 12379-2024")</f>
        <v/>
      </c>
    </row>
    <row r="235" ht="15" customHeight="1">
      <c r="A235" t="inlineStr">
        <is>
          <t>A 15629-2024</t>
        </is>
      </c>
      <c r="B235" s="1" t="n">
        <v>45402</v>
      </c>
      <c r="C235" s="1" t="n">
        <v>45582</v>
      </c>
      <c r="D235" t="inlineStr">
        <is>
          <t>GOTLANDS LÄN</t>
        </is>
      </c>
      <c r="E235" t="inlineStr">
        <is>
          <t>GOTLAND</t>
        </is>
      </c>
      <c r="G235" t="n">
        <v>6.3</v>
      </c>
      <c r="H235" t="n">
        <v>1</v>
      </c>
      <c r="I235" t="n">
        <v>0</v>
      </c>
      <c r="J235" t="n">
        <v>1</v>
      </c>
      <c r="K235" t="n">
        <v>0</v>
      </c>
      <c r="L235" t="n">
        <v>0</v>
      </c>
      <c r="M235" t="n">
        <v>0</v>
      </c>
      <c r="N235" t="n">
        <v>0</v>
      </c>
      <c r="O235" t="n">
        <v>1</v>
      </c>
      <c r="P235" t="n">
        <v>0</v>
      </c>
      <c r="Q235" t="n">
        <v>1</v>
      </c>
      <c r="R235" s="2" t="inlineStr">
        <is>
          <t>Apollofjäril</t>
        </is>
      </c>
      <c r="S235">
        <f>HYPERLINK("https://klasma.github.io/Logging_0980/artfynd/A 15629-2024 artfynd.xlsx", "A 15629-2024")</f>
        <v/>
      </c>
      <c r="T235">
        <f>HYPERLINK("https://klasma.github.io/Logging_0980/kartor/A 15629-2024 karta.png", "A 15629-2024")</f>
        <v/>
      </c>
      <c r="V235">
        <f>HYPERLINK("https://klasma.github.io/Logging_0980/klagomål/A 15629-2024 FSC-klagomål.docx", "A 15629-2024")</f>
        <v/>
      </c>
      <c r="W235">
        <f>HYPERLINK("https://klasma.github.io/Logging_0980/klagomålsmail/A 15629-2024 FSC-klagomål mail.docx", "A 15629-2024")</f>
        <v/>
      </c>
      <c r="X235">
        <f>HYPERLINK("https://klasma.github.io/Logging_0980/tillsyn/A 15629-2024 tillsynsbegäran.docx", "A 15629-2024")</f>
        <v/>
      </c>
      <c r="Y235">
        <f>HYPERLINK("https://klasma.github.io/Logging_0980/tillsynsmail/A 15629-2024 tillsynsbegäran mail.docx", "A 15629-2024")</f>
        <v/>
      </c>
    </row>
    <row r="236" ht="15" customHeight="1">
      <c r="A236" t="inlineStr">
        <is>
          <t>A 15637-2024</t>
        </is>
      </c>
      <c r="B236" s="1" t="n">
        <v>45403</v>
      </c>
      <c r="C236" s="1" t="n">
        <v>45582</v>
      </c>
      <c r="D236" t="inlineStr">
        <is>
          <t>GOTLANDS LÄN</t>
        </is>
      </c>
      <c r="E236" t="inlineStr">
        <is>
          <t>GOTLAND</t>
        </is>
      </c>
      <c r="G236" t="n">
        <v>4.1</v>
      </c>
      <c r="H236" t="n">
        <v>1</v>
      </c>
      <c r="I236" t="n">
        <v>0</v>
      </c>
      <c r="J236" t="n">
        <v>0</v>
      </c>
      <c r="K236" t="n">
        <v>0</v>
      </c>
      <c r="L236" t="n">
        <v>0</v>
      </c>
      <c r="M236" t="n">
        <v>0</v>
      </c>
      <c r="N236" t="n">
        <v>0</v>
      </c>
      <c r="O236" t="n">
        <v>0</v>
      </c>
      <c r="P236" t="n">
        <v>0</v>
      </c>
      <c r="Q236" t="n">
        <v>1</v>
      </c>
      <c r="R236" s="2" t="inlineStr">
        <is>
          <t>Blåsippa</t>
        </is>
      </c>
      <c r="S236">
        <f>HYPERLINK("https://klasma.github.io/Logging_0980/artfynd/A 15637-2024 artfynd.xlsx", "A 15637-2024")</f>
        <v/>
      </c>
      <c r="T236">
        <f>HYPERLINK("https://klasma.github.io/Logging_0980/kartor/A 15637-2024 karta.png", "A 15637-2024")</f>
        <v/>
      </c>
      <c r="V236">
        <f>HYPERLINK("https://klasma.github.io/Logging_0980/klagomål/A 15637-2024 FSC-klagomål.docx", "A 15637-2024")</f>
        <v/>
      </c>
      <c r="W236">
        <f>HYPERLINK("https://klasma.github.io/Logging_0980/klagomålsmail/A 15637-2024 FSC-klagomål mail.docx", "A 15637-2024")</f>
        <v/>
      </c>
      <c r="X236">
        <f>HYPERLINK("https://klasma.github.io/Logging_0980/tillsyn/A 15637-2024 tillsynsbegäran.docx", "A 15637-2024")</f>
        <v/>
      </c>
      <c r="Y236">
        <f>HYPERLINK("https://klasma.github.io/Logging_0980/tillsynsmail/A 15637-2024 tillsynsbegäran mail.docx", "A 15637-2024")</f>
        <v/>
      </c>
    </row>
    <row r="237" ht="15" customHeight="1">
      <c r="A237" t="inlineStr">
        <is>
          <t>A 17681-2024</t>
        </is>
      </c>
      <c r="B237" s="1" t="n">
        <v>45418</v>
      </c>
      <c r="C237" s="1" t="n">
        <v>45582</v>
      </c>
      <c r="D237" t="inlineStr">
        <is>
          <t>GOTLANDS LÄN</t>
        </is>
      </c>
      <c r="E237" t="inlineStr">
        <is>
          <t>GOTLAND</t>
        </is>
      </c>
      <c r="G237" t="n">
        <v>1.9</v>
      </c>
      <c r="H237" t="n">
        <v>0</v>
      </c>
      <c r="I237" t="n">
        <v>0</v>
      </c>
      <c r="J237" t="n">
        <v>1</v>
      </c>
      <c r="K237" t="n">
        <v>0</v>
      </c>
      <c r="L237" t="n">
        <v>0</v>
      </c>
      <c r="M237" t="n">
        <v>0</v>
      </c>
      <c r="N237" t="n">
        <v>0</v>
      </c>
      <c r="O237" t="n">
        <v>1</v>
      </c>
      <c r="P237" t="n">
        <v>0</v>
      </c>
      <c r="Q237" t="n">
        <v>1</v>
      </c>
      <c r="R237" s="2" t="inlineStr">
        <is>
          <t>Igelkott</t>
        </is>
      </c>
      <c r="S237">
        <f>HYPERLINK("https://klasma.github.io/Logging_0980/artfynd/A 17681-2024 artfynd.xlsx", "A 17681-2024")</f>
        <v/>
      </c>
      <c r="T237">
        <f>HYPERLINK("https://klasma.github.io/Logging_0980/kartor/A 17681-2024 karta.png", "A 17681-2024")</f>
        <v/>
      </c>
      <c r="V237">
        <f>HYPERLINK("https://klasma.github.io/Logging_0980/klagomål/A 17681-2024 FSC-klagomål.docx", "A 17681-2024")</f>
        <v/>
      </c>
      <c r="W237">
        <f>HYPERLINK("https://klasma.github.io/Logging_0980/klagomålsmail/A 17681-2024 FSC-klagomål mail.docx", "A 17681-2024")</f>
        <v/>
      </c>
      <c r="X237">
        <f>HYPERLINK("https://klasma.github.io/Logging_0980/tillsyn/A 17681-2024 tillsynsbegäran.docx", "A 17681-2024")</f>
        <v/>
      </c>
      <c r="Y237">
        <f>HYPERLINK("https://klasma.github.io/Logging_0980/tillsynsmail/A 17681-2024 tillsynsbegäran mail.docx", "A 17681-2024")</f>
        <v/>
      </c>
    </row>
    <row r="238" ht="15" customHeight="1">
      <c r="A238" t="inlineStr">
        <is>
          <t>A 17727-2024</t>
        </is>
      </c>
      <c r="B238" s="1" t="n">
        <v>45418</v>
      </c>
      <c r="C238" s="1" t="n">
        <v>45582</v>
      </c>
      <c r="D238" t="inlineStr">
        <is>
          <t>GOTLANDS LÄN</t>
        </is>
      </c>
      <c r="E238" t="inlineStr">
        <is>
          <t>GOTLAND</t>
        </is>
      </c>
      <c r="G238" t="n">
        <v>1</v>
      </c>
      <c r="H238" t="n">
        <v>0</v>
      </c>
      <c r="I238" t="n">
        <v>0</v>
      </c>
      <c r="J238" t="n">
        <v>1</v>
      </c>
      <c r="K238" t="n">
        <v>0</v>
      </c>
      <c r="L238" t="n">
        <v>0</v>
      </c>
      <c r="M238" t="n">
        <v>0</v>
      </c>
      <c r="N238" t="n">
        <v>0</v>
      </c>
      <c r="O238" t="n">
        <v>1</v>
      </c>
      <c r="P238" t="n">
        <v>0</v>
      </c>
      <c r="Q238" t="n">
        <v>1</v>
      </c>
      <c r="R238" s="2" t="inlineStr">
        <is>
          <t>Åkerranunkel</t>
        </is>
      </c>
      <c r="S238">
        <f>HYPERLINK("https://klasma.github.io/Logging_0980/artfynd/A 17727-2024 artfynd.xlsx", "A 17727-2024")</f>
        <v/>
      </c>
      <c r="T238">
        <f>HYPERLINK("https://klasma.github.io/Logging_0980/kartor/A 17727-2024 karta.png", "A 17727-2024")</f>
        <v/>
      </c>
      <c r="V238">
        <f>HYPERLINK("https://klasma.github.io/Logging_0980/klagomål/A 17727-2024 FSC-klagomål.docx", "A 17727-2024")</f>
        <v/>
      </c>
      <c r="W238">
        <f>HYPERLINK("https://klasma.github.io/Logging_0980/klagomålsmail/A 17727-2024 FSC-klagomål mail.docx", "A 17727-2024")</f>
        <v/>
      </c>
      <c r="X238">
        <f>HYPERLINK("https://klasma.github.io/Logging_0980/tillsyn/A 17727-2024 tillsynsbegäran.docx", "A 17727-2024")</f>
        <v/>
      </c>
      <c r="Y238">
        <f>HYPERLINK("https://klasma.github.io/Logging_0980/tillsynsmail/A 17727-2024 tillsynsbegäran mail.docx", "A 17727-2024")</f>
        <v/>
      </c>
    </row>
    <row r="239" ht="15" customHeight="1">
      <c r="A239" t="inlineStr">
        <is>
          <t>A 20831-2024</t>
        </is>
      </c>
      <c r="B239" s="1" t="n">
        <v>45439</v>
      </c>
      <c r="C239" s="1" t="n">
        <v>45582</v>
      </c>
      <c r="D239" t="inlineStr">
        <is>
          <t>GOTLANDS LÄN</t>
        </is>
      </c>
      <c r="E239" t="inlineStr">
        <is>
          <t>GOTLAND</t>
        </is>
      </c>
      <c r="G239" t="n">
        <v>2.9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20831-2024 artfynd.xlsx", "A 20831-2024")</f>
        <v/>
      </c>
      <c r="T239">
        <f>HYPERLINK("https://klasma.github.io/Logging_0980/kartor/A 20831-2024 karta.png", "A 20831-2024")</f>
        <v/>
      </c>
      <c r="V239">
        <f>HYPERLINK("https://klasma.github.io/Logging_0980/klagomål/A 20831-2024 FSC-klagomål.docx", "A 20831-2024")</f>
        <v/>
      </c>
      <c r="W239">
        <f>HYPERLINK("https://klasma.github.io/Logging_0980/klagomålsmail/A 20831-2024 FSC-klagomål mail.docx", "A 20831-2024")</f>
        <v/>
      </c>
      <c r="X239">
        <f>HYPERLINK("https://klasma.github.io/Logging_0980/tillsyn/A 20831-2024 tillsynsbegäran.docx", "A 20831-2024")</f>
        <v/>
      </c>
      <c r="Y239">
        <f>HYPERLINK("https://klasma.github.io/Logging_0980/tillsynsmail/A 20831-2024 tillsynsbegäran mail.docx", "A 20831-2024")</f>
        <v/>
      </c>
    </row>
    <row r="240" ht="15" customHeight="1">
      <c r="A240" t="inlineStr">
        <is>
          <t>A 20838-2024</t>
        </is>
      </c>
      <c r="B240" s="1" t="n">
        <v>45439</v>
      </c>
      <c r="C240" s="1" t="n">
        <v>45582</v>
      </c>
      <c r="D240" t="inlineStr">
        <is>
          <t>GOTLANDS LÄN</t>
        </is>
      </c>
      <c r="E240" t="inlineStr">
        <is>
          <t>GOTLAND</t>
        </is>
      </c>
      <c r="G240" t="n">
        <v>0.7</v>
      </c>
      <c r="H240" t="n">
        <v>1</v>
      </c>
      <c r="I240" t="n">
        <v>1</v>
      </c>
      <c r="J240" t="n">
        <v>0</v>
      </c>
      <c r="K240" t="n">
        <v>0</v>
      </c>
      <c r="L240" t="n">
        <v>0</v>
      </c>
      <c r="M240" t="n">
        <v>0</v>
      </c>
      <c r="N240" t="n">
        <v>0</v>
      </c>
      <c r="O240" t="n">
        <v>0</v>
      </c>
      <c r="P240" t="n">
        <v>0</v>
      </c>
      <c r="Q240" t="n">
        <v>1</v>
      </c>
      <c r="R240" s="2" t="inlineStr">
        <is>
          <t>Skogsknipprot</t>
        </is>
      </c>
      <c r="S240">
        <f>HYPERLINK("https://klasma.github.io/Logging_0980/artfynd/A 20838-2024 artfynd.xlsx", "A 20838-2024")</f>
        <v/>
      </c>
      <c r="T240">
        <f>HYPERLINK("https://klasma.github.io/Logging_0980/kartor/A 20838-2024 karta.png", "A 20838-2024")</f>
        <v/>
      </c>
      <c r="V240">
        <f>HYPERLINK("https://klasma.github.io/Logging_0980/klagomål/A 20838-2024 FSC-klagomål.docx", "A 20838-2024")</f>
        <v/>
      </c>
      <c r="W240">
        <f>HYPERLINK("https://klasma.github.io/Logging_0980/klagomålsmail/A 20838-2024 FSC-klagomål mail.docx", "A 20838-2024")</f>
        <v/>
      </c>
      <c r="X240">
        <f>HYPERLINK("https://klasma.github.io/Logging_0980/tillsyn/A 20838-2024 tillsynsbegäran.docx", "A 20838-2024")</f>
        <v/>
      </c>
      <c r="Y240">
        <f>HYPERLINK("https://klasma.github.io/Logging_0980/tillsynsmail/A 20838-2024 tillsynsbegäran mail.docx", "A 20838-2024")</f>
        <v/>
      </c>
    </row>
    <row r="241" ht="15" customHeight="1">
      <c r="A241" t="inlineStr">
        <is>
          <t>A 20833-2024</t>
        </is>
      </c>
      <c r="B241" s="1" t="n">
        <v>45439</v>
      </c>
      <c r="C241" s="1" t="n">
        <v>45582</v>
      </c>
      <c r="D241" t="inlineStr">
        <is>
          <t>GOTLANDS LÄN</t>
        </is>
      </c>
      <c r="E241" t="inlineStr">
        <is>
          <t>GOTLAND</t>
        </is>
      </c>
      <c r="G241" t="n">
        <v>0.9</v>
      </c>
      <c r="H241" t="n">
        <v>1</v>
      </c>
      <c r="I241" t="n">
        <v>0</v>
      </c>
      <c r="J241" t="n">
        <v>1</v>
      </c>
      <c r="K241" t="n">
        <v>0</v>
      </c>
      <c r="L241" t="n">
        <v>0</v>
      </c>
      <c r="M241" t="n">
        <v>0</v>
      </c>
      <c r="N241" t="n">
        <v>0</v>
      </c>
      <c r="O241" t="n">
        <v>1</v>
      </c>
      <c r="P241" t="n">
        <v>0</v>
      </c>
      <c r="Q241" t="n">
        <v>1</v>
      </c>
      <c r="R241" s="2" t="inlineStr">
        <is>
          <t>Dårgräsfjäril</t>
        </is>
      </c>
      <c r="S241">
        <f>HYPERLINK("https://klasma.github.io/Logging_0980/artfynd/A 20833-2024 artfynd.xlsx", "A 20833-2024")</f>
        <v/>
      </c>
      <c r="T241">
        <f>HYPERLINK("https://klasma.github.io/Logging_0980/kartor/A 20833-2024 karta.png", "A 20833-2024")</f>
        <v/>
      </c>
      <c r="V241">
        <f>HYPERLINK("https://klasma.github.io/Logging_0980/klagomål/A 20833-2024 FSC-klagomål.docx", "A 20833-2024")</f>
        <v/>
      </c>
      <c r="W241">
        <f>HYPERLINK("https://klasma.github.io/Logging_0980/klagomålsmail/A 20833-2024 FSC-klagomål mail.docx", "A 20833-2024")</f>
        <v/>
      </c>
      <c r="X241">
        <f>HYPERLINK("https://klasma.github.io/Logging_0980/tillsyn/A 20833-2024 tillsynsbegäran.docx", "A 20833-2024")</f>
        <v/>
      </c>
      <c r="Y241">
        <f>HYPERLINK("https://klasma.github.io/Logging_0980/tillsynsmail/A 20833-2024 tillsynsbegäran mail.docx", "A 20833-2024")</f>
        <v/>
      </c>
    </row>
    <row r="242" ht="15" customHeight="1">
      <c r="A242" t="inlineStr">
        <is>
          <t>A 25977-2024</t>
        </is>
      </c>
      <c r="B242" s="1" t="n">
        <v>45467</v>
      </c>
      <c r="C242" s="1" t="n">
        <v>45582</v>
      </c>
      <c r="D242" t="inlineStr">
        <is>
          <t>GOTLANDS LÄN</t>
        </is>
      </c>
      <c r="E242" t="inlineStr">
        <is>
          <t>GOTLAND</t>
        </is>
      </c>
      <c r="G242" t="n">
        <v>3</v>
      </c>
      <c r="H242" t="n">
        <v>1</v>
      </c>
      <c r="I242" t="n">
        <v>0</v>
      </c>
      <c r="J242" t="n">
        <v>0</v>
      </c>
      <c r="K242" t="n">
        <v>0</v>
      </c>
      <c r="L242" t="n">
        <v>0</v>
      </c>
      <c r="M242" t="n">
        <v>0</v>
      </c>
      <c r="N242" t="n">
        <v>0</v>
      </c>
      <c r="O242" t="n">
        <v>0</v>
      </c>
      <c r="P242" t="n">
        <v>0</v>
      </c>
      <c r="Q242" t="n">
        <v>1</v>
      </c>
      <c r="R242" s="2" t="inlineStr">
        <is>
          <t>Nattviol</t>
        </is>
      </c>
      <c r="S242">
        <f>HYPERLINK("https://klasma.github.io/Logging_0980/artfynd/A 25977-2024 artfynd.xlsx", "A 25977-2024")</f>
        <v/>
      </c>
      <c r="T242">
        <f>HYPERLINK("https://klasma.github.io/Logging_0980/kartor/A 25977-2024 karta.png", "A 25977-2024")</f>
        <v/>
      </c>
      <c r="V242">
        <f>HYPERLINK("https://klasma.github.io/Logging_0980/klagomål/A 25977-2024 FSC-klagomål.docx", "A 25977-2024")</f>
        <v/>
      </c>
      <c r="W242">
        <f>HYPERLINK("https://klasma.github.io/Logging_0980/klagomålsmail/A 25977-2024 FSC-klagomål mail.docx", "A 25977-2024")</f>
        <v/>
      </c>
      <c r="X242">
        <f>HYPERLINK("https://klasma.github.io/Logging_0980/tillsyn/A 25977-2024 tillsynsbegäran.docx", "A 25977-2024")</f>
        <v/>
      </c>
      <c r="Y242">
        <f>HYPERLINK("https://klasma.github.io/Logging_0980/tillsynsmail/A 25977-2024 tillsynsbegäran mail.docx", "A 25977-2024")</f>
        <v/>
      </c>
    </row>
    <row r="243" ht="15" customHeight="1">
      <c r="A243" t="inlineStr">
        <is>
          <t>A 30892-2024</t>
        </is>
      </c>
      <c r="B243" s="1" t="n">
        <v>45491</v>
      </c>
      <c r="C243" s="1" t="n">
        <v>45582</v>
      </c>
      <c r="D243" t="inlineStr">
        <is>
          <t>GOTLANDS LÄN</t>
        </is>
      </c>
      <c r="E243" t="inlineStr">
        <is>
          <t>GOTLAND</t>
        </is>
      </c>
      <c r="G243" t="n">
        <v>16.3</v>
      </c>
      <c r="H243" t="n">
        <v>1</v>
      </c>
      <c r="I243" t="n">
        <v>0</v>
      </c>
      <c r="J243" t="n">
        <v>1</v>
      </c>
      <c r="K243" t="n">
        <v>0</v>
      </c>
      <c r="L243" t="n">
        <v>0</v>
      </c>
      <c r="M243" t="n">
        <v>0</v>
      </c>
      <c r="N243" t="n">
        <v>0</v>
      </c>
      <c r="O243" t="n">
        <v>1</v>
      </c>
      <c r="P243" t="n">
        <v>0</v>
      </c>
      <c r="Q243" t="n">
        <v>1</v>
      </c>
      <c r="R243" s="2" t="inlineStr">
        <is>
          <t>Brun ögontröst</t>
        </is>
      </c>
      <c r="S243">
        <f>HYPERLINK("https://klasma.github.io/Logging_0980/artfynd/A 30892-2024 artfynd.xlsx", "A 30892-2024")</f>
        <v/>
      </c>
      <c r="T243">
        <f>HYPERLINK("https://klasma.github.io/Logging_0980/kartor/A 30892-2024 karta.png", "A 30892-2024")</f>
        <v/>
      </c>
      <c r="V243">
        <f>HYPERLINK("https://klasma.github.io/Logging_0980/klagomål/A 30892-2024 FSC-klagomål.docx", "A 30892-2024")</f>
        <v/>
      </c>
      <c r="W243">
        <f>HYPERLINK("https://klasma.github.io/Logging_0980/klagomålsmail/A 30892-2024 FSC-klagomål mail.docx", "A 30892-2024")</f>
        <v/>
      </c>
      <c r="X243">
        <f>HYPERLINK("https://klasma.github.io/Logging_0980/tillsyn/A 30892-2024 tillsynsbegäran.docx", "A 30892-2024")</f>
        <v/>
      </c>
      <c r="Y243">
        <f>HYPERLINK("https://klasma.github.io/Logging_0980/tillsynsmail/A 30892-2024 tillsynsbegäran mail.docx", "A 30892-2024")</f>
        <v/>
      </c>
    </row>
    <row r="244" ht="15" customHeight="1">
      <c r="A244" t="inlineStr">
        <is>
          <t>A 30410-2024</t>
        </is>
      </c>
      <c r="B244" s="1" t="n">
        <v>45491</v>
      </c>
      <c r="C244" s="1" t="n">
        <v>45582</v>
      </c>
      <c r="D244" t="inlineStr">
        <is>
          <t>GOTLANDS LÄN</t>
        </is>
      </c>
      <c r="E244" t="inlineStr">
        <is>
          <t>GOTLAND</t>
        </is>
      </c>
      <c r="G244" t="n">
        <v>4</v>
      </c>
      <c r="H244" t="n">
        <v>0</v>
      </c>
      <c r="I244" t="n">
        <v>0</v>
      </c>
      <c r="J244" t="n">
        <v>1</v>
      </c>
      <c r="K244" t="n">
        <v>0</v>
      </c>
      <c r="L244" t="n">
        <v>0</v>
      </c>
      <c r="M244" t="n">
        <v>0</v>
      </c>
      <c r="N244" t="n">
        <v>0</v>
      </c>
      <c r="O244" t="n">
        <v>1</v>
      </c>
      <c r="P244" t="n">
        <v>0</v>
      </c>
      <c r="Q244" t="n">
        <v>1</v>
      </c>
      <c r="R244" s="2" t="inlineStr">
        <is>
          <t>Granticka</t>
        </is>
      </c>
      <c r="S244">
        <f>HYPERLINK("https://klasma.github.io/Logging_0980/artfynd/A 30410-2024 artfynd.xlsx", "A 30410-2024")</f>
        <v/>
      </c>
      <c r="T244">
        <f>HYPERLINK("https://klasma.github.io/Logging_0980/kartor/A 30410-2024 karta.png", "A 30410-2024")</f>
        <v/>
      </c>
      <c r="V244">
        <f>HYPERLINK("https://klasma.github.io/Logging_0980/klagomål/A 30410-2024 FSC-klagomål.docx", "A 30410-2024")</f>
        <v/>
      </c>
      <c r="W244">
        <f>HYPERLINK("https://klasma.github.io/Logging_0980/klagomålsmail/A 30410-2024 FSC-klagomål mail.docx", "A 30410-2024")</f>
        <v/>
      </c>
      <c r="X244">
        <f>HYPERLINK("https://klasma.github.io/Logging_0980/tillsyn/A 30410-2024 tillsynsbegäran.docx", "A 30410-2024")</f>
        <v/>
      </c>
      <c r="Y244">
        <f>HYPERLINK("https://klasma.github.io/Logging_0980/tillsynsmail/A 30410-2024 tillsynsbegäran mail.docx", "A 30410-2024")</f>
        <v/>
      </c>
    </row>
    <row r="245" ht="15" customHeight="1">
      <c r="A245" t="inlineStr">
        <is>
          <t>A 31750-2024</t>
        </is>
      </c>
      <c r="B245" s="1" t="n">
        <v>45509</v>
      </c>
      <c r="C245" s="1" t="n">
        <v>45582</v>
      </c>
      <c r="D245" t="inlineStr">
        <is>
          <t>GOTLANDS LÄN</t>
        </is>
      </c>
      <c r="E245" t="inlineStr">
        <is>
          <t>GOTLAND</t>
        </is>
      </c>
      <c r="G245" t="n">
        <v>10.3</v>
      </c>
      <c r="H245" t="n">
        <v>1</v>
      </c>
      <c r="I245" t="n">
        <v>0</v>
      </c>
      <c r="J245" t="n">
        <v>1</v>
      </c>
      <c r="K245" t="n">
        <v>0</v>
      </c>
      <c r="L245" t="n">
        <v>0</v>
      </c>
      <c r="M245" t="n">
        <v>0</v>
      </c>
      <c r="N245" t="n">
        <v>0</v>
      </c>
      <c r="O245" t="n">
        <v>1</v>
      </c>
      <c r="P245" t="n">
        <v>0</v>
      </c>
      <c r="Q245" t="n">
        <v>1</v>
      </c>
      <c r="R245" s="2" t="inlineStr">
        <is>
          <t>Grönsångare</t>
        </is>
      </c>
      <c r="S245">
        <f>HYPERLINK("https://klasma.github.io/Logging_0980/artfynd/A 31750-2024 artfynd.xlsx", "A 31750-2024")</f>
        <v/>
      </c>
      <c r="T245">
        <f>HYPERLINK("https://klasma.github.io/Logging_0980/kartor/A 31750-2024 karta.png", "A 31750-2024")</f>
        <v/>
      </c>
      <c r="V245">
        <f>HYPERLINK("https://klasma.github.io/Logging_0980/klagomål/A 31750-2024 FSC-klagomål.docx", "A 31750-2024")</f>
        <v/>
      </c>
      <c r="W245">
        <f>HYPERLINK("https://klasma.github.io/Logging_0980/klagomålsmail/A 31750-2024 FSC-klagomål mail.docx", "A 31750-2024")</f>
        <v/>
      </c>
      <c r="X245">
        <f>HYPERLINK("https://klasma.github.io/Logging_0980/tillsyn/A 31750-2024 tillsynsbegäran.docx", "A 31750-2024")</f>
        <v/>
      </c>
      <c r="Y245">
        <f>HYPERLINK("https://klasma.github.io/Logging_0980/tillsynsmail/A 31750-2024 tillsynsbegäran mail.docx", "A 31750-2024")</f>
        <v/>
      </c>
      <c r="Z245">
        <f>HYPERLINK("https://klasma.github.io/Logging_0980/fåglar/A 31750-2024 prioriterade fågelarter.docx", "A 31750-2024")</f>
        <v/>
      </c>
    </row>
    <row r="246" ht="15" customHeight="1">
      <c r="A246" t="inlineStr">
        <is>
          <t>A 33081-2024</t>
        </is>
      </c>
      <c r="B246" s="1" t="n">
        <v>45517</v>
      </c>
      <c r="C246" s="1" t="n">
        <v>45582</v>
      </c>
      <c r="D246" t="inlineStr">
        <is>
          <t>GOTLANDS LÄN</t>
        </is>
      </c>
      <c r="E246" t="inlineStr">
        <is>
          <t>GOTLAND</t>
        </is>
      </c>
      <c r="G246" t="n">
        <v>1.4</v>
      </c>
      <c r="H246" t="n">
        <v>0</v>
      </c>
      <c r="I246" t="n">
        <v>0</v>
      </c>
      <c r="J246" t="n">
        <v>0</v>
      </c>
      <c r="K246" t="n">
        <v>1</v>
      </c>
      <c r="L246" t="n">
        <v>0</v>
      </c>
      <c r="M246" t="n">
        <v>0</v>
      </c>
      <c r="N246" t="n">
        <v>0</v>
      </c>
      <c r="O246" t="n">
        <v>1</v>
      </c>
      <c r="P246" t="n">
        <v>1</v>
      </c>
      <c r="Q246" t="n">
        <v>1</v>
      </c>
      <c r="R246" s="2" t="inlineStr">
        <is>
          <t>Gotlandsmåra</t>
        </is>
      </c>
      <c r="S246">
        <f>HYPERLINK("https://klasma.github.io/Logging_0980/artfynd/A 33081-2024 artfynd.xlsx", "A 33081-2024")</f>
        <v/>
      </c>
      <c r="T246">
        <f>HYPERLINK("https://klasma.github.io/Logging_0980/kartor/A 33081-2024 karta.png", "A 33081-2024")</f>
        <v/>
      </c>
      <c r="V246">
        <f>HYPERLINK("https://klasma.github.io/Logging_0980/klagomål/A 33081-2024 FSC-klagomål.docx", "A 33081-2024")</f>
        <v/>
      </c>
      <c r="W246">
        <f>HYPERLINK("https://klasma.github.io/Logging_0980/klagomålsmail/A 33081-2024 FSC-klagomål mail.docx", "A 33081-2024")</f>
        <v/>
      </c>
      <c r="X246">
        <f>HYPERLINK("https://klasma.github.io/Logging_0980/tillsyn/A 33081-2024 tillsynsbegäran.docx", "A 33081-2024")</f>
        <v/>
      </c>
      <c r="Y246">
        <f>HYPERLINK("https://klasma.github.io/Logging_0980/tillsynsmail/A 33081-2024 tillsynsbegäran mail.docx", "A 33081-2024")</f>
        <v/>
      </c>
    </row>
    <row r="247" ht="15" customHeight="1">
      <c r="A247" t="inlineStr">
        <is>
          <t>A 34141-2024</t>
        </is>
      </c>
      <c r="B247" s="1" t="n">
        <v>45524</v>
      </c>
      <c r="C247" s="1" t="n">
        <v>45582</v>
      </c>
      <c r="D247" t="inlineStr">
        <is>
          <t>GOTLANDS LÄN</t>
        </is>
      </c>
      <c r="E247" t="inlineStr">
        <is>
          <t>GOTLAND</t>
        </is>
      </c>
      <c r="G247" t="n">
        <v>0.9</v>
      </c>
      <c r="H247" t="n">
        <v>0</v>
      </c>
      <c r="I247" t="n">
        <v>1</v>
      </c>
      <c r="J247" t="n">
        <v>0</v>
      </c>
      <c r="K247" t="n">
        <v>0</v>
      </c>
      <c r="L247" t="n">
        <v>0</v>
      </c>
      <c r="M247" t="n">
        <v>0</v>
      </c>
      <c r="N247" t="n">
        <v>0</v>
      </c>
      <c r="O247" t="n">
        <v>0</v>
      </c>
      <c r="P247" t="n">
        <v>0</v>
      </c>
      <c r="Q247" t="n">
        <v>1</v>
      </c>
      <c r="R247" s="2" t="inlineStr">
        <is>
          <t>Strävlosta</t>
        </is>
      </c>
      <c r="S247">
        <f>HYPERLINK("https://klasma.github.io/Logging_0980/artfynd/A 34141-2024 artfynd.xlsx", "A 34141-2024")</f>
        <v/>
      </c>
      <c r="T247">
        <f>HYPERLINK("https://klasma.github.io/Logging_0980/kartor/A 34141-2024 karta.png", "A 34141-2024")</f>
        <v/>
      </c>
      <c r="V247">
        <f>HYPERLINK("https://klasma.github.io/Logging_0980/klagomål/A 34141-2024 FSC-klagomål.docx", "A 34141-2024")</f>
        <v/>
      </c>
      <c r="W247">
        <f>HYPERLINK("https://klasma.github.io/Logging_0980/klagomålsmail/A 34141-2024 FSC-klagomål mail.docx", "A 34141-2024")</f>
        <v/>
      </c>
      <c r="X247">
        <f>HYPERLINK("https://klasma.github.io/Logging_0980/tillsyn/A 34141-2024 tillsynsbegäran.docx", "A 34141-2024")</f>
        <v/>
      </c>
      <c r="Y247">
        <f>HYPERLINK("https://klasma.github.io/Logging_0980/tillsynsmail/A 34141-2024 tillsynsbegäran mail.docx", "A 34141-2024")</f>
        <v/>
      </c>
    </row>
    <row r="248" ht="15" customHeight="1">
      <c r="A248" t="inlineStr">
        <is>
          <t>A 34809-2024</t>
        </is>
      </c>
      <c r="B248" s="1" t="n">
        <v>45526</v>
      </c>
      <c r="C248" s="1" t="n">
        <v>45582</v>
      </c>
      <c r="D248" t="inlineStr">
        <is>
          <t>GOTLANDS LÄN</t>
        </is>
      </c>
      <c r="E248" t="inlineStr">
        <is>
          <t>GOTLAND</t>
        </is>
      </c>
      <c r="G248" t="n">
        <v>9.9</v>
      </c>
      <c r="H248" t="n">
        <v>1</v>
      </c>
      <c r="I248" t="n">
        <v>0</v>
      </c>
      <c r="J248" t="n">
        <v>1</v>
      </c>
      <c r="K248" t="n">
        <v>0</v>
      </c>
      <c r="L248" t="n">
        <v>0</v>
      </c>
      <c r="M248" t="n">
        <v>0</v>
      </c>
      <c r="N248" t="n">
        <v>0</v>
      </c>
      <c r="O248" t="n">
        <v>1</v>
      </c>
      <c r="P248" t="n">
        <v>0</v>
      </c>
      <c r="Q248" t="n">
        <v>1</v>
      </c>
      <c r="R248" s="2" t="inlineStr">
        <is>
          <t>Brun ögontröst</t>
        </is>
      </c>
      <c r="S248">
        <f>HYPERLINK("https://klasma.github.io/Logging_0980/artfynd/A 34809-2024 artfynd.xlsx", "A 34809-2024")</f>
        <v/>
      </c>
      <c r="T248">
        <f>HYPERLINK("https://klasma.github.io/Logging_0980/kartor/A 34809-2024 karta.png", "A 34809-2024")</f>
        <v/>
      </c>
      <c r="V248">
        <f>HYPERLINK("https://klasma.github.io/Logging_0980/klagomål/A 34809-2024 FSC-klagomål.docx", "A 34809-2024")</f>
        <v/>
      </c>
      <c r="W248">
        <f>HYPERLINK("https://klasma.github.io/Logging_0980/klagomålsmail/A 34809-2024 FSC-klagomål mail.docx", "A 34809-2024")</f>
        <v/>
      </c>
      <c r="X248">
        <f>HYPERLINK("https://klasma.github.io/Logging_0980/tillsyn/A 34809-2024 tillsynsbegäran.docx", "A 34809-2024")</f>
        <v/>
      </c>
      <c r="Y248">
        <f>HYPERLINK("https://klasma.github.io/Logging_0980/tillsynsmail/A 34809-2024 tillsynsbegäran mail.docx", "A 34809-2024")</f>
        <v/>
      </c>
    </row>
    <row r="249" ht="15" customHeight="1">
      <c r="A249" t="inlineStr">
        <is>
          <t>A 35574-2024</t>
        </is>
      </c>
      <c r="B249" s="1" t="n">
        <v>45531</v>
      </c>
      <c r="C249" s="1" t="n">
        <v>45582</v>
      </c>
      <c r="D249" t="inlineStr">
        <is>
          <t>GOTLANDS LÄN</t>
        </is>
      </c>
      <c r="E249" t="inlineStr">
        <is>
          <t>GOTLAND</t>
        </is>
      </c>
      <c r="G249" t="n">
        <v>5.7</v>
      </c>
      <c r="H249" t="n">
        <v>0</v>
      </c>
      <c r="I249" t="n">
        <v>1</v>
      </c>
      <c r="J249" t="n">
        <v>0</v>
      </c>
      <c r="K249" t="n">
        <v>0</v>
      </c>
      <c r="L249" t="n">
        <v>0</v>
      </c>
      <c r="M249" t="n">
        <v>0</v>
      </c>
      <c r="N249" t="n">
        <v>0</v>
      </c>
      <c r="O249" t="n">
        <v>0</v>
      </c>
      <c r="P249" t="n">
        <v>0</v>
      </c>
      <c r="Q249" t="n">
        <v>1</v>
      </c>
      <c r="R249" s="2" t="inlineStr">
        <is>
          <t>Murgröna</t>
        </is>
      </c>
      <c r="S249">
        <f>HYPERLINK("https://klasma.github.io/Logging_0980/artfynd/A 35574-2024 artfynd.xlsx", "A 35574-2024")</f>
        <v/>
      </c>
      <c r="T249">
        <f>HYPERLINK("https://klasma.github.io/Logging_0980/kartor/A 35574-2024 karta.png", "A 35574-2024")</f>
        <v/>
      </c>
      <c r="V249">
        <f>HYPERLINK("https://klasma.github.io/Logging_0980/klagomål/A 35574-2024 FSC-klagomål.docx", "A 35574-2024")</f>
        <v/>
      </c>
      <c r="W249">
        <f>HYPERLINK("https://klasma.github.io/Logging_0980/klagomålsmail/A 35574-2024 FSC-klagomål mail.docx", "A 35574-2024")</f>
        <v/>
      </c>
      <c r="X249">
        <f>HYPERLINK("https://klasma.github.io/Logging_0980/tillsyn/A 35574-2024 tillsynsbegäran.docx", "A 35574-2024")</f>
        <v/>
      </c>
      <c r="Y249">
        <f>HYPERLINK("https://klasma.github.io/Logging_0980/tillsynsmail/A 35574-2024 tillsynsbegäran mail.docx", "A 35574-2024")</f>
        <v/>
      </c>
    </row>
    <row r="250" ht="15" customHeight="1">
      <c r="A250" t="inlineStr">
        <is>
          <t>A 44468-2024</t>
        </is>
      </c>
      <c r="B250" s="1" t="n">
        <v>45574</v>
      </c>
      <c r="C250" s="1" t="n">
        <v>45582</v>
      </c>
      <c r="D250" t="inlineStr">
        <is>
          <t>GOTLANDS LÄN</t>
        </is>
      </c>
      <c r="E250" t="inlineStr">
        <is>
          <t>GOTLAND</t>
        </is>
      </c>
      <c r="G250" t="n">
        <v>7</v>
      </c>
      <c r="H250" t="n">
        <v>0</v>
      </c>
      <c r="I250" t="n">
        <v>0</v>
      </c>
      <c r="J250" t="n">
        <v>0</v>
      </c>
      <c r="K250" t="n">
        <v>0</v>
      </c>
      <c r="L250" t="n">
        <v>0</v>
      </c>
      <c r="M250" t="n">
        <v>1</v>
      </c>
      <c r="N250" t="n">
        <v>0</v>
      </c>
      <c r="O250" t="n">
        <v>1</v>
      </c>
      <c r="P250" t="n">
        <v>1</v>
      </c>
      <c r="Q250" t="n">
        <v>1</v>
      </c>
      <c r="R250" s="2" t="inlineStr">
        <is>
          <t>Skogsalm</t>
        </is>
      </c>
      <c r="S250">
        <f>HYPERLINK("https://klasma.github.io/Logging_0980/artfynd/A 44468-2024 artfynd.xlsx", "A 44468-2024")</f>
        <v/>
      </c>
      <c r="T250">
        <f>HYPERLINK("https://klasma.github.io/Logging_0980/kartor/A 44468-2024 karta.png", "A 44468-2024")</f>
        <v/>
      </c>
      <c r="V250">
        <f>HYPERLINK("https://klasma.github.io/Logging_0980/klagomål/A 44468-2024 FSC-klagomål.docx", "A 44468-2024")</f>
        <v/>
      </c>
      <c r="W250">
        <f>HYPERLINK("https://klasma.github.io/Logging_0980/klagomålsmail/A 44468-2024 FSC-klagomål mail.docx", "A 44468-2024")</f>
        <v/>
      </c>
      <c r="X250">
        <f>HYPERLINK("https://klasma.github.io/Logging_0980/tillsyn/A 44468-2024 tillsynsbegäran.docx", "A 44468-2024")</f>
        <v/>
      </c>
      <c r="Y250">
        <f>HYPERLINK("https://klasma.github.io/Logging_0980/tillsynsmail/A 44468-2024 tillsynsbegäran mail.docx", "A 44468-2024")</f>
        <v/>
      </c>
    </row>
    <row r="251" ht="15" customHeight="1">
      <c r="A251" t="inlineStr">
        <is>
          <t>A 19159-2019</t>
        </is>
      </c>
      <c r="B251" s="1" t="n">
        <v>43564</v>
      </c>
      <c r="C251" s="1" t="n">
        <v>45582</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21380-2019</t>
        </is>
      </c>
      <c r="B252" s="1" t="n">
        <v>43579</v>
      </c>
      <c r="C252" s="1" t="n">
        <v>45582</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21894-2019</t>
        </is>
      </c>
      <c r="B253" s="1" t="n">
        <v>43584</v>
      </c>
      <c r="C253" s="1" t="n">
        <v>45582</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21925-2019</t>
        </is>
      </c>
      <c r="B254" s="1" t="n">
        <v>43584</v>
      </c>
      <c r="C254" s="1" t="n">
        <v>45582</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22457-2019</t>
        </is>
      </c>
      <c r="B255" s="1" t="n">
        <v>43587</v>
      </c>
      <c r="C255" s="1" t="n">
        <v>45582</v>
      </c>
      <c r="D255" t="inlineStr">
        <is>
          <t>GOTLANDS LÄN</t>
        </is>
      </c>
      <c r="E255" t="inlineStr">
        <is>
          <t>GOTLAND</t>
        </is>
      </c>
      <c r="G255" t="n">
        <v>0.3</v>
      </c>
      <c r="H255" t="n">
        <v>0</v>
      </c>
      <c r="I255" t="n">
        <v>0</v>
      </c>
      <c r="J255" t="n">
        <v>0</v>
      </c>
      <c r="K255" t="n">
        <v>0</v>
      </c>
      <c r="L255" t="n">
        <v>0</v>
      </c>
      <c r="M255" t="n">
        <v>0</v>
      </c>
      <c r="N255" t="n">
        <v>0</v>
      </c>
      <c r="O255" t="n">
        <v>0</v>
      </c>
      <c r="P255" t="n">
        <v>0</v>
      </c>
      <c r="Q255" t="n">
        <v>0</v>
      </c>
      <c r="R255" s="2" t="inlineStr"/>
    </row>
    <row r="256" ht="15" customHeight="1">
      <c r="A256" t="inlineStr">
        <is>
          <t>A 23044-2019</t>
        </is>
      </c>
      <c r="B256" s="1" t="n">
        <v>43591</v>
      </c>
      <c r="C256" s="1" t="n">
        <v>45582</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26595-2019</t>
        </is>
      </c>
      <c r="B257" s="1" t="n">
        <v>43612</v>
      </c>
      <c r="C257" s="1" t="n">
        <v>45582</v>
      </c>
      <c r="D257" t="inlineStr">
        <is>
          <t>GOTLANDS LÄN</t>
        </is>
      </c>
      <c r="E257" t="inlineStr">
        <is>
          <t>GOTLAND</t>
        </is>
      </c>
      <c r="G257" t="n">
        <v>0.2</v>
      </c>
      <c r="H257" t="n">
        <v>0</v>
      </c>
      <c r="I257" t="n">
        <v>0</v>
      </c>
      <c r="J257" t="n">
        <v>0</v>
      </c>
      <c r="K257" t="n">
        <v>0</v>
      </c>
      <c r="L257" t="n">
        <v>0</v>
      </c>
      <c r="M257" t="n">
        <v>0</v>
      </c>
      <c r="N257" t="n">
        <v>0</v>
      </c>
      <c r="O257" t="n">
        <v>0</v>
      </c>
      <c r="P257" t="n">
        <v>0</v>
      </c>
      <c r="Q257" t="n">
        <v>0</v>
      </c>
      <c r="R257" s="2" t="inlineStr"/>
    </row>
    <row r="258" ht="15" customHeight="1">
      <c r="A258" t="inlineStr">
        <is>
          <t>A 27795-2019</t>
        </is>
      </c>
      <c r="B258" s="1" t="n">
        <v>43612</v>
      </c>
      <c r="C258" s="1" t="n">
        <v>45582</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28977-2019</t>
        </is>
      </c>
      <c r="B259" s="1" t="n">
        <v>43628</v>
      </c>
      <c r="C259" s="1" t="n">
        <v>45582</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29470-2019</t>
        </is>
      </c>
      <c r="B260" s="1" t="n">
        <v>43629</v>
      </c>
      <c r="C260" s="1" t="n">
        <v>45582</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29469-2019</t>
        </is>
      </c>
      <c r="B261" s="1" t="n">
        <v>43629</v>
      </c>
      <c r="C261" s="1" t="n">
        <v>45582</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30033-2019</t>
        </is>
      </c>
      <c r="B262" s="1" t="n">
        <v>43630</v>
      </c>
      <c r="C262" s="1" t="n">
        <v>45582</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31396-2019</t>
        </is>
      </c>
      <c r="B263" s="1" t="n">
        <v>43636</v>
      </c>
      <c r="C263" s="1" t="n">
        <v>45582</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32061-2019</t>
        </is>
      </c>
      <c r="B264" s="1" t="n">
        <v>43643</v>
      </c>
      <c r="C264" s="1" t="n">
        <v>45582</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32949-2019</t>
        </is>
      </c>
      <c r="B265" s="1" t="n">
        <v>43648</v>
      </c>
      <c r="C265" s="1" t="n">
        <v>45582</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32964-2019</t>
        </is>
      </c>
      <c r="B266" s="1" t="n">
        <v>43648</v>
      </c>
      <c r="C266" s="1" t="n">
        <v>45582</v>
      </c>
      <c r="D266" t="inlineStr">
        <is>
          <t>GOTLANDS LÄN</t>
        </is>
      </c>
      <c r="E266" t="inlineStr">
        <is>
          <t>GOTLAND</t>
        </is>
      </c>
      <c r="G266" t="n">
        <v>8.9</v>
      </c>
      <c r="H266" t="n">
        <v>0</v>
      </c>
      <c r="I266" t="n">
        <v>0</v>
      </c>
      <c r="J266" t="n">
        <v>0</v>
      </c>
      <c r="K266" t="n">
        <v>0</v>
      </c>
      <c r="L266" t="n">
        <v>0</v>
      </c>
      <c r="M266" t="n">
        <v>0</v>
      </c>
      <c r="N266" t="n">
        <v>0</v>
      </c>
      <c r="O266" t="n">
        <v>0</v>
      </c>
      <c r="P266" t="n">
        <v>0</v>
      </c>
      <c r="Q266" t="n">
        <v>0</v>
      </c>
      <c r="R266" s="2" t="inlineStr"/>
    </row>
    <row r="267" ht="15" customHeight="1">
      <c r="A267" t="inlineStr">
        <is>
          <t>A 32970-2019</t>
        </is>
      </c>
      <c r="B267" s="1" t="n">
        <v>43648</v>
      </c>
      <c r="C267" s="1" t="n">
        <v>45582</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33673-2019</t>
        </is>
      </c>
      <c r="B268" s="1" t="n">
        <v>43651</v>
      </c>
      <c r="C268" s="1" t="n">
        <v>45582</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33668-2019</t>
        </is>
      </c>
      <c r="B269" s="1" t="n">
        <v>43651</v>
      </c>
      <c r="C269" s="1" t="n">
        <v>45582</v>
      </c>
      <c r="D269" t="inlineStr">
        <is>
          <t>GOTLANDS LÄN</t>
        </is>
      </c>
      <c r="E269" t="inlineStr">
        <is>
          <t>GOTLAND</t>
        </is>
      </c>
      <c r="G269" t="n">
        <v>9.4</v>
      </c>
      <c r="H269" t="n">
        <v>0</v>
      </c>
      <c r="I269" t="n">
        <v>0</v>
      </c>
      <c r="J269" t="n">
        <v>0</v>
      </c>
      <c r="K269" t="n">
        <v>0</v>
      </c>
      <c r="L269" t="n">
        <v>0</v>
      </c>
      <c r="M269" t="n">
        <v>0</v>
      </c>
      <c r="N269" t="n">
        <v>0</v>
      </c>
      <c r="O269" t="n">
        <v>0</v>
      </c>
      <c r="P269" t="n">
        <v>0</v>
      </c>
      <c r="Q269" t="n">
        <v>0</v>
      </c>
      <c r="R269" s="2" t="inlineStr"/>
    </row>
    <row r="270" ht="15" customHeight="1">
      <c r="A270" t="inlineStr">
        <is>
          <t>A 33674-2019</t>
        </is>
      </c>
      <c r="B270" s="1" t="n">
        <v>43651</v>
      </c>
      <c r="C270" s="1" t="n">
        <v>45582</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33646-2019</t>
        </is>
      </c>
      <c r="B271" s="1" t="n">
        <v>43651</v>
      </c>
      <c r="C271" s="1" t="n">
        <v>45582</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34790-2019</t>
        </is>
      </c>
      <c r="B272" s="1" t="n">
        <v>43658</v>
      </c>
      <c r="C272" s="1" t="n">
        <v>45582</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36344-2019</t>
        </is>
      </c>
      <c r="B273" s="1" t="n">
        <v>43661</v>
      </c>
      <c r="C273" s="1" t="n">
        <v>45582</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36072-2019</t>
        </is>
      </c>
      <c r="B274" s="1" t="n">
        <v>43668</v>
      </c>
      <c r="C274" s="1" t="n">
        <v>45582</v>
      </c>
      <c r="D274" t="inlineStr">
        <is>
          <t>GOTLANDS LÄN</t>
        </is>
      </c>
      <c r="E274" t="inlineStr">
        <is>
          <t>GOTLAND</t>
        </is>
      </c>
      <c r="F274" t="inlineStr">
        <is>
          <t>Kyrkan</t>
        </is>
      </c>
      <c r="G274" t="n">
        <v>0.5</v>
      </c>
      <c r="H274" t="n">
        <v>0</v>
      </c>
      <c r="I274" t="n">
        <v>0</v>
      </c>
      <c r="J274" t="n">
        <v>0</v>
      </c>
      <c r="K274" t="n">
        <v>0</v>
      </c>
      <c r="L274" t="n">
        <v>0</v>
      </c>
      <c r="M274" t="n">
        <v>0</v>
      </c>
      <c r="N274" t="n">
        <v>0</v>
      </c>
      <c r="O274" t="n">
        <v>0</v>
      </c>
      <c r="P274" t="n">
        <v>0</v>
      </c>
      <c r="Q274" t="n">
        <v>0</v>
      </c>
      <c r="R274" s="2" t="inlineStr"/>
    </row>
    <row r="275" ht="15" customHeight="1">
      <c r="A275" t="inlineStr">
        <is>
          <t>A 37028-2019</t>
        </is>
      </c>
      <c r="B275" s="1" t="n">
        <v>43675</v>
      </c>
      <c r="C275" s="1" t="n">
        <v>45582</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40205-2019</t>
        </is>
      </c>
      <c r="B276" s="1" t="n">
        <v>43693</v>
      </c>
      <c r="C276" s="1" t="n">
        <v>45582</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46423-2019</t>
        </is>
      </c>
      <c r="B277" s="1" t="n">
        <v>43719</v>
      </c>
      <c r="C277" s="1" t="n">
        <v>45582</v>
      </c>
      <c r="D277" t="inlineStr">
        <is>
          <t>GOTLANDS LÄN</t>
        </is>
      </c>
      <c r="E277" t="inlineStr">
        <is>
          <t>GOTLAND</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47141-2019</t>
        </is>
      </c>
      <c r="B278" s="1" t="n">
        <v>43721</v>
      </c>
      <c r="C278" s="1" t="n">
        <v>45582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48459-2019</t>
        </is>
      </c>
      <c r="B279" s="1" t="n">
        <v>43727</v>
      </c>
      <c r="C279" s="1" t="n">
        <v>45582</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49769-2019</t>
        </is>
      </c>
      <c r="B280" s="1" t="n">
        <v>43733</v>
      </c>
      <c r="C280" s="1" t="n">
        <v>45582</v>
      </c>
      <c r="D280" t="inlineStr">
        <is>
          <t>GOTLANDS LÄN</t>
        </is>
      </c>
      <c r="E280" t="inlineStr">
        <is>
          <t>GOTLAND</t>
        </is>
      </c>
      <c r="G280" t="n">
        <v>22.3</v>
      </c>
      <c r="H280" t="n">
        <v>0</v>
      </c>
      <c r="I280" t="n">
        <v>0</v>
      </c>
      <c r="J280" t="n">
        <v>0</v>
      </c>
      <c r="K280" t="n">
        <v>0</v>
      </c>
      <c r="L280" t="n">
        <v>0</v>
      </c>
      <c r="M280" t="n">
        <v>0</v>
      </c>
      <c r="N280" t="n">
        <v>0</v>
      </c>
      <c r="O280" t="n">
        <v>0</v>
      </c>
      <c r="P280" t="n">
        <v>0</v>
      </c>
      <c r="Q280" t="n">
        <v>0</v>
      </c>
      <c r="R280" s="2" t="inlineStr"/>
    </row>
    <row r="281" ht="15" customHeight="1">
      <c r="A281" t="inlineStr">
        <is>
          <t>A 50463-2019</t>
        </is>
      </c>
      <c r="B281" s="1" t="n">
        <v>43735</v>
      </c>
      <c r="C281" s="1" t="n">
        <v>45582</v>
      </c>
      <c r="D281" t="inlineStr">
        <is>
          <t>GOTLANDS LÄN</t>
        </is>
      </c>
      <c r="E281" t="inlineStr">
        <is>
          <t>GOTLAND</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50632-2019</t>
        </is>
      </c>
      <c r="B282" s="1" t="n">
        <v>43737</v>
      </c>
      <c r="C282" s="1" t="n">
        <v>45582</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51577-2019</t>
        </is>
      </c>
      <c r="B283" s="1" t="n">
        <v>43740</v>
      </c>
      <c r="C283" s="1" t="n">
        <v>45582</v>
      </c>
      <c r="D283" t="inlineStr">
        <is>
          <t>GOTLANDS LÄN</t>
        </is>
      </c>
      <c r="E283" t="inlineStr">
        <is>
          <t>GOTLAND</t>
        </is>
      </c>
      <c r="G283" t="n">
        <v>6.5</v>
      </c>
      <c r="H283" t="n">
        <v>0</v>
      </c>
      <c r="I283" t="n">
        <v>0</v>
      </c>
      <c r="J283" t="n">
        <v>0</v>
      </c>
      <c r="K283" t="n">
        <v>0</v>
      </c>
      <c r="L283" t="n">
        <v>0</v>
      </c>
      <c r="M283" t="n">
        <v>0</v>
      </c>
      <c r="N283" t="n">
        <v>0</v>
      </c>
      <c r="O283" t="n">
        <v>0</v>
      </c>
      <c r="P283" t="n">
        <v>0</v>
      </c>
      <c r="Q283" t="n">
        <v>0</v>
      </c>
      <c r="R283" s="2" t="inlineStr"/>
    </row>
    <row r="284" ht="15" customHeight="1">
      <c r="A284" t="inlineStr">
        <is>
          <t>A 53783-2019</t>
        </is>
      </c>
      <c r="B284" s="1" t="n">
        <v>43750</v>
      </c>
      <c r="C284" s="1" t="n">
        <v>45582</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56238-2019</t>
        </is>
      </c>
      <c r="B285" s="1" t="n">
        <v>43762</v>
      </c>
      <c r="C285" s="1" t="n">
        <v>45582</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56845-2019</t>
        </is>
      </c>
      <c r="B286" s="1" t="n">
        <v>43765</v>
      </c>
      <c r="C286" s="1" t="n">
        <v>45582</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60700-2019</t>
        </is>
      </c>
      <c r="B287" s="1" t="n">
        <v>43781</v>
      </c>
      <c r="C287" s="1" t="n">
        <v>45582</v>
      </c>
      <c r="D287" t="inlineStr">
        <is>
          <t>GOTLANDS LÄN</t>
        </is>
      </c>
      <c r="E287" t="inlineStr">
        <is>
          <t>GOTLAND</t>
        </is>
      </c>
      <c r="G287" t="n">
        <v>4.3</v>
      </c>
      <c r="H287" t="n">
        <v>0</v>
      </c>
      <c r="I287" t="n">
        <v>0</v>
      </c>
      <c r="J287" t="n">
        <v>0</v>
      </c>
      <c r="K287" t="n">
        <v>0</v>
      </c>
      <c r="L287" t="n">
        <v>0</v>
      </c>
      <c r="M287" t="n">
        <v>0</v>
      </c>
      <c r="N287" t="n">
        <v>0</v>
      </c>
      <c r="O287" t="n">
        <v>0</v>
      </c>
      <c r="P287" t="n">
        <v>0</v>
      </c>
      <c r="Q287" t="n">
        <v>0</v>
      </c>
      <c r="R287" s="2" t="inlineStr"/>
    </row>
    <row r="288" ht="15" customHeight="1">
      <c r="A288" t="inlineStr">
        <is>
          <t>A 62212-2019</t>
        </is>
      </c>
      <c r="B288" s="1" t="n">
        <v>43788</v>
      </c>
      <c r="C288" s="1" t="n">
        <v>45582</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62209-2019</t>
        </is>
      </c>
      <c r="B289" s="1" t="n">
        <v>43788</v>
      </c>
      <c r="C289" s="1" t="n">
        <v>45582</v>
      </c>
      <c r="D289" t="inlineStr">
        <is>
          <t>GOTLANDS LÄN</t>
        </is>
      </c>
      <c r="E289" t="inlineStr">
        <is>
          <t>GOTLAND</t>
        </is>
      </c>
      <c r="G289" t="n">
        <v>4.8</v>
      </c>
      <c r="H289" t="n">
        <v>0</v>
      </c>
      <c r="I289" t="n">
        <v>0</v>
      </c>
      <c r="J289" t="n">
        <v>0</v>
      </c>
      <c r="K289" t="n">
        <v>0</v>
      </c>
      <c r="L289" t="n">
        <v>0</v>
      </c>
      <c r="M289" t="n">
        <v>0</v>
      </c>
      <c r="N289" t="n">
        <v>0</v>
      </c>
      <c r="O289" t="n">
        <v>0</v>
      </c>
      <c r="P289" t="n">
        <v>0</v>
      </c>
      <c r="Q289" t="n">
        <v>0</v>
      </c>
      <c r="R289" s="2" t="inlineStr"/>
    </row>
    <row r="290" ht="15" customHeight="1">
      <c r="A290" t="inlineStr">
        <is>
          <t>A 62218-2019</t>
        </is>
      </c>
      <c r="B290" s="1" t="n">
        <v>43788</v>
      </c>
      <c r="C290" s="1" t="n">
        <v>45582</v>
      </c>
      <c r="D290" t="inlineStr">
        <is>
          <t>GOTLANDS LÄN</t>
        </is>
      </c>
      <c r="E290" t="inlineStr">
        <is>
          <t>GOTLAND</t>
        </is>
      </c>
      <c r="G290" t="n">
        <v>0.5</v>
      </c>
      <c r="H290" t="n">
        <v>0</v>
      </c>
      <c r="I290" t="n">
        <v>0</v>
      </c>
      <c r="J290" t="n">
        <v>0</v>
      </c>
      <c r="K290" t="n">
        <v>0</v>
      </c>
      <c r="L290" t="n">
        <v>0</v>
      </c>
      <c r="M290" t="n">
        <v>0</v>
      </c>
      <c r="N290" t="n">
        <v>0</v>
      </c>
      <c r="O290" t="n">
        <v>0</v>
      </c>
      <c r="P290" t="n">
        <v>0</v>
      </c>
      <c r="Q290" t="n">
        <v>0</v>
      </c>
      <c r="R290" s="2" t="inlineStr"/>
    </row>
    <row r="291" ht="15" customHeight="1">
      <c r="A291" t="inlineStr">
        <is>
          <t>A 63366-2019</t>
        </is>
      </c>
      <c r="B291" s="1" t="n">
        <v>43794</v>
      </c>
      <c r="C291" s="1" t="n">
        <v>45582</v>
      </c>
      <c r="D291" t="inlineStr">
        <is>
          <t>GOTLANDS LÄN</t>
        </is>
      </c>
      <c r="E291" t="inlineStr">
        <is>
          <t>GOTLAND</t>
        </is>
      </c>
      <c r="G291" t="n">
        <v>16.4</v>
      </c>
      <c r="H291" t="n">
        <v>0</v>
      </c>
      <c r="I291" t="n">
        <v>0</v>
      </c>
      <c r="J291" t="n">
        <v>0</v>
      </c>
      <c r="K291" t="n">
        <v>0</v>
      </c>
      <c r="L291" t="n">
        <v>0</v>
      </c>
      <c r="M291" t="n">
        <v>0</v>
      </c>
      <c r="N291" t="n">
        <v>0</v>
      </c>
      <c r="O291" t="n">
        <v>0</v>
      </c>
      <c r="P291" t="n">
        <v>0</v>
      </c>
      <c r="Q291" t="n">
        <v>0</v>
      </c>
      <c r="R291" s="2" t="inlineStr"/>
    </row>
    <row r="292" ht="15" customHeight="1">
      <c r="A292" t="inlineStr">
        <is>
          <t>A 63747-2019</t>
        </is>
      </c>
      <c r="B292" s="1" t="n">
        <v>43795</v>
      </c>
      <c r="C292" s="1" t="n">
        <v>45582</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63751-2019</t>
        </is>
      </c>
      <c r="B293" s="1" t="n">
        <v>43795</v>
      </c>
      <c r="C293" s="1" t="n">
        <v>45582</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66960-2019</t>
        </is>
      </c>
      <c r="B294" s="1" t="n">
        <v>43810</v>
      </c>
      <c r="C294" s="1" t="n">
        <v>45582</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67079-2019</t>
        </is>
      </c>
      <c r="B295" s="1" t="n">
        <v>43811</v>
      </c>
      <c r="C295" s="1" t="n">
        <v>45582</v>
      </c>
      <c r="D295" t="inlineStr">
        <is>
          <t>GOTLANDS LÄN</t>
        </is>
      </c>
      <c r="E295" t="inlineStr">
        <is>
          <t>GOTLAND</t>
        </is>
      </c>
      <c r="G295" t="n">
        <v>18.7</v>
      </c>
      <c r="H295" t="n">
        <v>0</v>
      </c>
      <c r="I295" t="n">
        <v>0</v>
      </c>
      <c r="J295" t="n">
        <v>0</v>
      </c>
      <c r="K295" t="n">
        <v>0</v>
      </c>
      <c r="L295" t="n">
        <v>0</v>
      </c>
      <c r="M295" t="n">
        <v>0</v>
      </c>
      <c r="N295" t="n">
        <v>0</v>
      </c>
      <c r="O295" t="n">
        <v>0</v>
      </c>
      <c r="P295" t="n">
        <v>0</v>
      </c>
      <c r="Q295" t="n">
        <v>0</v>
      </c>
      <c r="R295" s="2" t="inlineStr"/>
    </row>
    <row r="296" ht="15" customHeight="1">
      <c r="A296" t="inlineStr">
        <is>
          <t>A 67737-2019</t>
        </is>
      </c>
      <c r="B296" s="1" t="n">
        <v>43815</v>
      </c>
      <c r="C296" s="1" t="n">
        <v>45582</v>
      </c>
      <c r="D296" t="inlineStr">
        <is>
          <t>GOTLANDS LÄN</t>
        </is>
      </c>
      <c r="E296" t="inlineStr">
        <is>
          <t>GOTLAND</t>
        </is>
      </c>
      <c r="G296" t="n">
        <v>22.1</v>
      </c>
      <c r="H296" t="n">
        <v>0</v>
      </c>
      <c r="I296" t="n">
        <v>0</v>
      </c>
      <c r="J296" t="n">
        <v>0</v>
      </c>
      <c r="K296" t="n">
        <v>0</v>
      </c>
      <c r="L296" t="n">
        <v>0</v>
      </c>
      <c r="M296" t="n">
        <v>0</v>
      </c>
      <c r="N296" t="n">
        <v>0</v>
      </c>
      <c r="O296" t="n">
        <v>0</v>
      </c>
      <c r="P296" t="n">
        <v>0</v>
      </c>
      <c r="Q296" t="n">
        <v>0</v>
      </c>
      <c r="R296" s="2" t="inlineStr"/>
    </row>
    <row r="297" ht="15" customHeight="1">
      <c r="A297" t="inlineStr">
        <is>
          <t>A 67791-2019</t>
        </is>
      </c>
      <c r="B297" s="1" t="n">
        <v>43815</v>
      </c>
      <c r="C297" s="1" t="n">
        <v>45582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67743-2019</t>
        </is>
      </c>
      <c r="B298" s="1" t="n">
        <v>43815</v>
      </c>
      <c r="C298" s="1" t="n">
        <v>45582</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972-2020</t>
        </is>
      </c>
      <c r="B299" s="1" t="n">
        <v>43819</v>
      </c>
      <c r="C299" s="1" t="n">
        <v>45582</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68750-2019</t>
        </is>
      </c>
      <c r="B300" s="1" t="n">
        <v>43819</v>
      </c>
      <c r="C300" s="1" t="n">
        <v>45582</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164-2020</t>
        </is>
      </c>
      <c r="B301" s="1" t="n">
        <v>43833</v>
      </c>
      <c r="C301" s="1" t="n">
        <v>45582</v>
      </c>
      <c r="D301" t="inlineStr">
        <is>
          <t>GOTLANDS LÄN</t>
        </is>
      </c>
      <c r="E301" t="inlineStr">
        <is>
          <t>GOTLAND</t>
        </is>
      </c>
      <c r="F301" t="inlineStr">
        <is>
          <t>Kyrkan</t>
        </is>
      </c>
      <c r="G301" t="n">
        <v>6.2</v>
      </c>
      <c r="H301" t="n">
        <v>0</v>
      </c>
      <c r="I301" t="n">
        <v>0</v>
      </c>
      <c r="J301" t="n">
        <v>0</v>
      </c>
      <c r="K301" t="n">
        <v>0</v>
      </c>
      <c r="L301" t="n">
        <v>0</v>
      </c>
      <c r="M301" t="n">
        <v>0</v>
      </c>
      <c r="N301" t="n">
        <v>0</v>
      </c>
      <c r="O301" t="n">
        <v>0</v>
      </c>
      <c r="P301" t="n">
        <v>0</v>
      </c>
      <c r="Q301" t="n">
        <v>0</v>
      </c>
      <c r="R301" s="2" t="inlineStr"/>
    </row>
    <row r="302" ht="15" customHeight="1">
      <c r="A302" t="inlineStr">
        <is>
          <t>A 768-2020</t>
        </is>
      </c>
      <c r="B302" s="1" t="n">
        <v>43838</v>
      </c>
      <c r="C302" s="1" t="n">
        <v>45582</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1384-2020</t>
        </is>
      </c>
      <c r="B303" s="1" t="n">
        <v>43843</v>
      </c>
      <c r="C303" s="1" t="n">
        <v>45582</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1541-2020</t>
        </is>
      </c>
      <c r="B304" s="1" t="n">
        <v>43843</v>
      </c>
      <c r="C304" s="1" t="n">
        <v>45582</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2675-2020</t>
        </is>
      </c>
      <c r="B305" s="1" t="n">
        <v>43849</v>
      </c>
      <c r="C305" s="1" t="n">
        <v>45582</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4409-2020</t>
        </is>
      </c>
      <c r="B306" s="1" t="n">
        <v>43850</v>
      </c>
      <c r="C306" s="1" t="n">
        <v>45582</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5724-2020</t>
        </is>
      </c>
      <c r="B307" s="1" t="n">
        <v>43862</v>
      </c>
      <c r="C307" s="1" t="n">
        <v>45582</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5731-2020</t>
        </is>
      </c>
      <c r="B308" s="1" t="n">
        <v>43862</v>
      </c>
      <c r="C308" s="1" t="n">
        <v>45582</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5723-2020</t>
        </is>
      </c>
      <c r="B309" s="1" t="n">
        <v>43862</v>
      </c>
      <c r="C309" s="1" t="n">
        <v>45582</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5727-2020</t>
        </is>
      </c>
      <c r="B310" s="1" t="n">
        <v>43862</v>
      </c>
      <c r="C310" s="1" t="n">
        <v>45582</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6226-2020</t>
        </is>
      </c>
      <c r="B311" s="1" t="n">
        <v>43865</v>
      </c>
      <c r="C311" s="1" t="n">
        <v>45582</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6611-2020</t>
        </is>
      </c>
      <c r="B312" s="1" t="n">
        <v>43867</v>
      </c>
      <c r="C312" s="1" t="n">
        <v>45582</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8217-2020</t>
        </is>
      </c>
      <c r="B313" s="1" t="n">
        <v>43874</v>
      </c>
      <c r="C313" s="1" t="n">
        <v>45582</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8872-2020</t>
        </is>
      </c>
      <c r="B314" s="1" t="n">
        <v>43878</v>
      </c>
      <c r="C314" s="1" t="n">
        <v>45582</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9502-2020</t>
        </is>
      </c>
      <c r="B315" s="1" t="n">
        <v>43880</v>
      </c>
      <c r="C315" s="1" t="n">
        <v>45582</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10932-2020</t>
        </is>
      </c>
      <c r="B316" s="1" t="n">
        <v>43889</v>
      </c>
      <c r="C316" s="1" t="n">
        <v>45582</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10931-2020</t>
        </is>
      </c>
      <c r="B317" s="1" t="n">
        <v>43889</v>
      </c>
      <c r="C317" s="1" t="n">
        <v>45582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12309-2020</t>
        </is>
      </c>
      <c r="B318" s="1" t="n">
        <v>43895</v>
      </c>
      <c r="C318" s="1" t="n">
        <v>45582</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13940-2020</t>
        </is>
      </c>
      <c r="B319" s="1" t="n">
        <v>43903</v>
      </c>
      <c r="C319" s="1" t="n">
        <v>45582</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13930-2020</t>
        </is>
      </c>
      <c r="B320" s="1" t="n">
        <v>43906</v>
      </c>
      <c r="C320" s="1" t="n">
        <v>45582</v>
      </c>
      <c r="D320" t="inlineStr">
        <is>
          <t>GOTLANDS LÄN</t>
        </is>
      </c>
      <c r="E320" t="inlineStr">
        <is>
          <t>GOTLAND</t>
        </is>
      </c>
      <c r="G320" t="n">
        <v>4</v>
      </c>
      <c r="H320" t="n">
        <v>0</v>
      </c>
      <c r="I320" t="n">
        <v>0</v>
      </c>
      <c r="J320" t="n">
        <v>0</v>
      </c>
      <c r="K320" t="n">
        <v>0</v>
      </c>
      <c r="L320" t="n">
        <v>0</v>
      </c>
      <c r="M320" t="n">
        <v>0</v>
      </c>
      <c r="N320" t="n">
        <v>0</v>
      </c>
      <c r="O320" t="n">
        <v>0</v>
      </c>
      <c r="P320" t="n">
        <v>0</v>
      </c>
      <c r="Q320" t="n">
        <v>0</v>
      </c>
      <c r="R320" s="2" t="inlineStr"/>
    </row>
    <row r="321" ht="15" customHeight="1">
      <c r="A321" t="inlineStr">
        <is>
          <t>A 13995-2020</t>
        </is>
      </c>
      <c r="B321" s="1" t="n">
        <v>43906</v>
      </c>
      <c r="C321" s="1" t="n">
        <v>45582</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13987-2020</t>
        </is>
      </c>
      <c r="B322" s="1" t="n">
        <v>43906</v>
      </c>
      <c r="C322" s="1" t="n">
        <v>45582</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14073-2020</t>
        </is>
      </c>
      <c r="B323" s="1" t="n">
        <v>43907</v>
      </c>
      <c r="C323" s="1" t="n">
        <v>45582</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14074-2020</t>
        </is>
      </c>
      <c r="B324" s="1" t="n">
        <v>43907</v>
      </c>
      <c r="C324" s="1" t="n">
        <v>45582</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16452-2020</t>
        </is>
      </c>
      <c r="B325" s="1" t="n">
        <v>43909</v>
      </c>
      <c r="C325" s="1" t="n">
        <v>45582</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14995-2020</t>
        </is>
      </c>
      <c r="B326" s="1" t="n">
        <v>43910</v>
      </c>
      <c r="C326" s="1" t="n">
        <v>45582</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15202-2020</t>
        </is>
      </c>
      <c r="B327" s="1" t="n">
        <v>43913</v>
      </c>
      <c r="C327" s="1" t="n">
        <v>45582</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15197-2020</t>
        </is>
      </c>
      <c r="B328" s="1" t="n">
        <v>43913</v>
      </c>
      <c r="C328" s="1" t="n">
        <v>45582</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15888-2020</t>
        </is>
      </c>
      <c r="B329" s="1" t="n">
        <v>43915</v>
      </c>
      <c r="C329" s="1" t="n">
        <v>45582</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16133-2020</t>
        </is>
      </c>
      <c r="B330" s="1" t="n">
        <v>43916</v>
      </c>
      <c r="C330" s="1" t="n">
        <v>45582</v>
      </c>
      <c r="D330" t="inlineStr">
        <is>
          <t>GOTLANDS LÄN</t>
        </is>
      </c>
      <c r="E330" t="inlineStr">
        <is>
          <t>GOTLAND</t>
        </is>
      </c>
      <c r="G330" t="n">
        <v>6.7</v>
      </c>
      <c r="H330" t="n">
        <v>0</v>
      </c>
      <c r="I330" t="n">
        <v>0</v>
      </c>
      <c r="J330" t="n">
        <v>0</v>
      </c>
      <c r="K330" t="n">
        <v>0</v>
      </c>
      <c r="L330" t="n">
        <v>0</v>
      </c>
      <c r="M330" t="n">
        <v>0</v>
      </c>
      <c r="N330" t="n">
        <v>0</v>
      </c>
      <c r="O330" t="n">
        <v>0</v>
      </c>
      <c r="P330" t="n">
        <v>0</v>
      </c>
      <c r="Q330" t="n">
        <v>0</v>
      </c>
      <c r="R330" s="2" t="inlineStr"/>
    </row>
    <row r="331" ht="15" customHeight="1">
      <c r="A331" t="inlineStr">
        <is>
          <t>A 17403-2020</t>
        </is>
      </c>
      <c r="B331" s="1" t="n">
        <v>43917</v>
      </c>
      <c r="C331" s="1" t="n">
        <v>45582</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17869-2020</t>
        </is>
      </c>
      <c r="B332" s="1" t="n">
        <v>43924</v>
      </c>
      <c r="C332" s="1" t="n">
        <v>45582</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19900-2020</t>
        </is>
      </c>
      <c r="B333" s="1" t="n">
        <v>43942</v>
      </c>
      <c r="C333" s="1" t="n">
        <v>45582</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21568-2020</t>
        </is>
      </c>
      <c r="B334" s="1" t="n">
        <v>43956</v>
      </c>
      <c r="C334" s="1" t="n">
        <v>45582</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22093-2020</t>
        </is>
      </c>
      <c r="B335" s="1" t="n">
        <v>43959</v>
      </c>
      <c r="C335" s="1" t="n">
        <v>45582</v>
      </c>
      <c r="D335" t="inlineStr">
        <is>
          <t>GOTLANDS LÄN</t>
        </is>
      </c>
      <c r="E335" t="inlineStr">
        <is>
          <t>GOTLAND</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22329-2020</t>
        </is>
      </c>
      <c r="B336" s="1" t="n">
        <v>43962</v>
      </c>
      <c r="C336" s="1" t="n">
        <v>45582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22333-2020</t>
        </is>
      </c>
      <c r="B337" s="1" t="n">
        <v>43962</v>
      </c>
      <c r="C337" s="1" t="n">
        <v>45582</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23498-2020</t>
        </is>
      </c>
      <c r="B338" s="1" t="n">
        <v>43969</v>
      </c>
      <c r="C338" s="1" t="n">
        <v>45582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23728-2020</t>
        </is>
      </c>
      <c r="B339" s="1" t="n">
        <v>43970</v>
      </c>
      <c r="C339" s="1" t="n">
        <v>45582</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24537-2020</t>
        </is>
      </c>
      <c r="B340" s="1" t="n">
        <v>43977</v>
      </c>
      <c r="C340" s="1" t="n">
        <v>45582</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25039-2020</t>
        </is>
      </c>
      <c r="B341" s="1" t="n">
        <v>43979</v>
      </c>
      <c r="C341" s="1" t="n">
        <v>45582</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26117-2020</t>
        </is>
      </c>
      <c r="B342" s="1" t="n">
        <v>43985</v>
      </c>
      <c r="C342" s="1" t="n">
        <v>45582</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27322-2020</t>
        </is>
      </c>
      <c r="B343" s="1" t="n">
        <v>43992</v>
      </c>
      <c r="C343" s="1" t="n">
        <v>45582</v>
      </c>
      <c r="D343" t="inlineStr">
        <is>
          <t>GOTLANDS LÄN</t>
        </is>
      </c>
      <c r="E343" t="inlineStr">
        <is>
          <t>GOTLAND</t>
        </is>
      </c>
      <c r="F343" t="inlineStr">
        <is>
          <t>Övriga statliga verk och myndigheter</t>
        </is>
      </c>
      <c r="G343" t="n">
        <v>7.4</v>
      </c>
      <c r="H343" t="n">
        <v>0</v>
      </c>
      <c r="I343" t="n">
        <v>0</v>
      </c>
      <c r="J343" t="n">
        <v>0</v>
      </c>
      <c r="K343" t="n">
        <v>0</v>
      </c>
      <c r="L343" t="n">
        <v>0</v>
      </c>
      <c r="M343" t="n">
        <v>0</v>
      </c>
      <c r="N343" t="n">
        <v>0</v>
      </c>
      <c r="O343" t="n">
        <v>0</v>
      </c>
      <c r="P343" t="n">
        <v>0</v>
      </c>
      <c r="Q343" t="n">
        <v>0</v>
      </c>
      <c r="R343" s="2" t="inlineStr"/>
    </row>
    <row r="344" ht="15" customHeight="1">
      <c r="A344" t="inlineStr">
        <is>
          <t>A 27334-2020</t>
        </is>
      </c>
      <c r="B344" s="1" t="n">
        <v>43992</v>
      </c>
      <c r="C344" s="1" t="n">
        <v>45582</v>
      </c>
      <c r="D344" t="inlineStr">
        <is>
          <t>GOTLANDS LÄN</t>
        </is>
      </c>
      <c r="E344" t="inlineStr">
        <is>
          <t>GOTLAND</t>
        </is>
      </c>
      <c r="F344" t="inlineStr">
        <is>
          <t>Övriga statliga verk och myndigheter</t>
        </is>
      </c>
      <c r="G344" t="n">
        <v>5.4</v>
      </c>
      <c r="H344" t="n">
        <v>0</v>
      </c>
      <c r="I344" t="n">
        <v>0</v>
      </c>
      <c r="J344" t="n">
        <v>0</v>
      </c>
      <c r="K344" t="n">
        <v>0</v>
      </c>
      <c r="L344" t="n">
        <v>0</v>
      </c>
      <c r="M344" t="n">
        <v>0</v>
      </c>
      <c r="N344" t="n">
        <v>0</v>
      </c>
      <c r="O344" t="n">
        <v>0</v>
      </c>
      <c r="P344" t="n">
        <v>0</v>
      </c>
      <c r="Q344" t="n">
        <v>0</v>
      </c>
      <c r="R344" s="2" t="inlineStr"/>
    </row>
    <row r="345" ht="15" customHeight="1">
      <c r="A345" t="inlineStr">
        <is>
          <t>A 27723-2020</t>
        </is>
      </c>
      <c r="B345" s="1" t="n">
        <v>43994</v>
      </c>
      <c r="C345" s="1" t="n">
        <v>45582</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27719-2020</t>
        </is>
      </c>
      <c r="B346" s="1" t="n">
        <v>43994</v>
      </c>
      <c r="C346" s="1" t="n">
        <v>45582</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27713-2020</t>
        </is>
      </c>
      <c r="B347" s="1" t="n">
        <v>43994</v>
      </c>
      <c r="C347" s="1" t="n">
        <v>45582</v>
      </c>
      <c r="D347" t="inlineStr">
        <is>
          <t>GOTLANDS LÄN</t>
        </is>
      </c>
      <c r="E347" t="inlineStr">
        <is>
          <t>GOTLAND</t>
        </is>
      </c>
      <c r="F347" t="inlineStr">
        <is>
          <t>Övriga statliga verk och myndigheter</t>
        </is>
      </c>
      <c r="G347" t="n">
        <v>0.8</v>
      </c>
      <c r="H347" t="n">
        <v>0</v>
      </c>
      <c r="I347" t="n">
        <v>0</v>
      </c>
      <c r="J347" t="n">
        <v>0</v>
      </c>
      <c r="K347" t="n">
        <v>0</v>
      </c>
      <c r="L347" t="n">
        <v>0</v>
      </c>
      <c r="M347" t="n">
        <v>0</v>
      </c>
      <c r="N347" t="n">
        <v>0</v>
      </c>
      <c r="O347" t="n">
        <v>0</v>
      </c>
      <c r="P347" t="n">
        <v>0</v>
      </c>
      <c r="Q347" t="n">
        <v>0</v>
      </c>
      <c r="R347" s="2" t="inlineStr"/>
    </row>
    <row r="348" ht="15" customHeight="1">
      <c r="A348" t="inlineStr">
        <is>
          <t>A 29529-2020</t>
        </is>
      </c>
      <c r="B348" s="1" t="n">
        <v>44005</v>
      </c>
      <c r="C348" s="1" t="n">
        <v>45582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29915-2020</t>
        </is>
      </c>
      <c r="B349" s="1" t="n">
        <v>44006</v>
      </c>
      <c r="C349" s="1" t="n">
        <v>45582</v>
      </c>
      <c r="D349" t="inlineStr">
        <is>
          <t>GOTLANDS LÄN</t>
        </is>
      </c>
      <c r="E349" t="inlineStr">
        <is>
          <t>GOTLAND</t>
        </is>
      </c>
      <c r="F349" t="inlineStr">
        <is>
          <t>Kommuner</t>
        </is>
      </c>
      <c r="G349" t="n">
        <v>5.8</v>
      </c>
      <c r="H349" t="n">
        <v>0</v>
      </c>
      <c r="I349" t="n">
        <v>0</v>
      </c>
      <c r="J349" t="n">
        <v>0</v>
      </c>
      <c r="K349" t="n">
        <v>0</v>
      </c>
      <c r="L349" t="n">
        <v>0</v>
      </c>
      <c r="M349" t="n">
        <v>0</v>
      </c>
      <c r="N349" t="n">
        <v>0</v>
      </c>
      <c r="O349" t="n">
        <v>0</v>
      </c>
      <c r="P349" t="n">
        <v>0</v>
      </c>
      <c r="Q349" t="n">
        <v>0</v>
      </c>
      <c r="R349" s="2" t="inlineStr"/>
    </row>
    <row r="350" ht="15" customHeight="1">
      <c r="A350" t="inlineStr">
        <is>
          <t>A 30980-2020</t>
        </is>
      </c>
      <c r="B350" s="1" t="n">
        <v>44011</v>
      </c>
      <c r="C350" s="1" t="n">
        <v>45582</v>
      </c>
      <c r="D350" t="inlineStr">
        <is>
          <t>GOTLANDS LÄN</t>
        </is>
      </c>
      <c r="E350" t="inlineStr">
        <is>
          <t>GOTLAND</t>
        </is>
      </c>
      <c r="G350" t="n">
        <v>17.9</v>
      </c>
      <c r="H350" t="n">
        <v>0</v>
      </c>
      <c r="I350" t="n">
        <v>0</v>
      </c>
      <c r="J350" t="n">
        <v>0</v>
      </c>
      <c r="K350" t="n">
        <v>0</v>
      </c>
      <c r="L350" t="n">
        <v>0</v>
      </c>
      <c r="M350" t="n">
        <v>0</v>
      </c>
      <c r="N350" t="n">
        <v>0</v>
      </c>
      <c r="O350" t="n">
        <v>0</v>
      </c>
      <c r="P350" t="n">
        <v>0</v>
      </c>
      <c r="Q350" t="n">
        <v>0</v>
      </c>
      <c r="R350" s="2" t="inlineStr"/>
    </row>
    <row r="351" ht="15" customHeight="1">
      <c r="A351" t="inlineStr">
        <is>
          <t>A 32804-2020</t>
        </is>
      </c>
      <c r="B351" s="1" t="n">
        <v>44018</v>
      </c>
      <c r="C351" s="1" t="n">
        <v>45582</v>
      </c>
      <c r="D351" t="inlineStr">
        <is>
          <t>GOTLANDS LÄN</t>
        </is>
      </c>
      <c r="E351" t="inlineStr">
        <is>
          <t>GOTLAND</t>
        </is>
      </c>
      <c r="G351" t="n">
        <v>19.3</v>
      </c>
      <c r="H351" t="n">
        <v>0</v>
      </c>
      <c r="I351" t="n">
        <v>0</v>
      </c>
      <c r="J351" t="n">
        <v>0</v>
      </c>
      <c r="K351" t="n">
        <v>0</v>
      </c>
      <c r="L351" t="n">
        <v>0</v>
      </c>
      <c r="M351" t="n">
        <v>0</v>
      </c>
      <c r="N351" t="n">
        <v>0</v>
      </c>
      <c r="O351" t="n">
        <v>0</v>
      </c>
      <c r="P351" t="n">
        <v>0</v>
      </c>
      <c r="Q351" t="n">
        <v>0</v>
      </c>
      <c r="R351" s="2" t="inlineStr"/>
    </row>
    <row r="352" ht="15" customHeight="1">
      <c r="A352" t="inlineStr">
        <is>
          <t>A 32974-2020</t>
        </is>
      </c>
      <c r="B352" s="1" t="n">
        <v>44020</v>
      </c>
      <c r="C352" s="1" t="n">
        <v>45582</v>
      </c>
      <c r="D352" t="inlineStr">
        <is>
          <t>GOTLANDS LÄN</t>
        </is>
      </c>
      <c r="E352" t="inlineStr">
        <is>
          <t>GOTLAND</t>
        </is>
      </c>
      <c r="F352" t="inlineStr">
        <is>
          <t>Kyrkan</t>
        </is>
      </c>
      <c r="G352" t="n">
        <v>0.7</v>
      </c>
      <c r="H352" t="n">
        <v>0</v>
      </c>
      <c r="I352" t="n">
        <v>0</v>
      </c>
      <c r="J352" t="n">
        <v>0</v>
      </c>
      <c r="K352" t="n">
        <v>0</v>
      </c>
      <c r="L352" t="n">
        <v>0</v>
      </c>
      <c r="M352" t="n">
        <v>0</v>
      </c>
      <c r="N352" t="n">
        <v>0</v>
      </c>
      <c r="O352" t="n">
        <v>0</v>
      </c>
      <c r="P352" t="n">
        <v>0</v>
      </c>
      <c r="Q352" t="n">
        <v>0</v>
      </c>
      <c r="R352" s="2" t="inlineStr"/>
    </row>
    <row r="353" ht="15" customHeight="1">
      <c r="A353" t="inlineStr">
        <is>
          <t>A 35074-2020</t>
        </is>
      </c>
      <c r="B353" s="1" t="n">
        <v>44039</v>
      </c>
      <c r="C353" s="1" t="n">
        <v>45582</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36073-2020</t>
        </is>
      </c>
      <c r="B354" s="1" t="n">
        <v>44048</v>
      </c>
      <c r="C354" s="1" t="n">
        <v>45582</v>
      </c>
      <c r="D354" t="inlineStr">
        <is>
          <t>GOTLANDS LÄN</t>
        </is>
      </c>
      <c r="E354" t="inlineStr">
        <is>
          <t>GOTLAND</t>
        </is>
      </c>
      <c r="G354" t="n">
        <v>10.1</v>
      </c>
      <c r="H354" t="n">
        <v>0</v>
      </c>
      <c r="I354" t="n">
        <v>0</v>
      </c>
      <c r="J354" t="n">
        <v>0</v>
      </c>
      <c r="K354" t="n">
        <v>0</v>
      </c>
      <c r="L354" t="n">
        <v>0</v>
      </c>
      <c r="M354" t="n">
        <v>0</v>
      </c>
      <c r="N354" t="n">
        <v>0</v>
      </c>
      <c r="O354" t="n">
        <v>0</v>
      </c>
      <c r="P354" t="n">
        <v>0</v>
      </c>
      <c r="Q354" t="n">
        <v>0</v>
      </c>
      <c r="R354" s="2" t="inlineStr"/>
    </row>
    <row r="355" ht="15" customHeight="1">
      <c r="A355" t="inlineStr">
        <is>
          <t>A 36076-2020</t>
        </is>
      </c>
      <c r="B355" s="1" t="n">
        <v>44048</v>
      </c>
      <c r="C355" s="1" t="n">
        <v>45582</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36284-2020</t>
        </is>
      </c>
      <c r="B356" s="1" t="n">
        <v>44049</v>
      </c>
      <c r="C356" s="1" t="n">
        <v>45582</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37204-2020</t>
        </is>
      </c>
      <c r="B357" s="1" t="n">
        <v>44054</v>
      </c>
      <c r="C357" s="1" t="n">
        <v>45582</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38709-2020</t>
        </is>
      </c>
      <c r="B358" s="1" t="n">
        <v>44061</v>
      </c>
      <c r="C358" s="1" t="n">
        <v>45582</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39477-2020</t>
        </is>
      </c>
      <c r="B359" s="1" t="n">
        <v>44064</v>
      </c>
      <c r="C359" s="1" t="n">
        <v>45582</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41109-2020</t>
        </is>
      </c>
      <c r="B360" s="1" t="n">
        <v>44069</v>
      </c>
      <c r="C360" s="1" t="n">
        <v>45582</v>
      </c>
      <c r="D360" t="inlineStr">
        <is>
          <t>GOTLANDS LÄN</t>
        </is>
      </c>
      <c r="E360" t="inlineStr">
        <is>
          <t>GOTLAND</t>
        </is>
      </c>
      <c r="G360" t="n">
        <v>2.5</v>
      </c>
      <c r="H360" t="n">
        <v>0</v>
      </c>
      <c r="I360" t="n">
        <v>0</v>
      </c>
      <c r="J360" t="n">
        <v>0</v>
      </c>
      <c r="K360" t="n">
        <v>0</v>
      </c>
      <c r="L360" t="n">
        <v>0</v>
      </c>
      <c r="M360" t="n">
        <v>0</v>
      </c>
      <c r="N360" t="n">
        <v>0</v>
      </c>
      <c r="O360" t="n">
        <v>0</v>
      </c>
      <c r="P360" t="n">
        <v>0</v>
      </c>
      <c r="Q360" t="n">
        <v>0</v>
      </c>
      <c r="R360" s="2" t="inlineStr"/>
    </row>
    <row r="361" ht="15" customHeight="1">
      <c r="A361" t="inlineStr">
        <is>
          <t>A 41576-2020</t>
        </is>
      </c>
      <c r="B361" s="1" t="n">
        <v>44074</v>
      </c>
      <c r="C361" s="1" t="n">
        <v>45582</v>
      </c>
      <c r="D361" t="inlineStr">
        <is>
          <t>GOTLANDS LÄN</t>
        </is>
      </c>
      <c r="E361" t="inlineStr">
        <is>
          <t>GOTLAND</t>
        </is>
      </c>
      <c r="G361" t="n">
        <v>8.4</v>
      </c>
      <c r="H361" t="n">
        <v>0</v>
      </c>
      <c r="I361" t="n">
        <v>0</v>
      </c>
      <c r="J361" t="n">
        <v>0</v>
      </c>
      <c r="K361" t="n">
        <v>0</v>
      </c>
      <c r="L361" t="n">
        <v>0</v>
      </c>
      <c r="M361" t="n">
        <v>0</v>
      </c>
      <c r="N361" t="n">
        <v>0</v>
      </c>
      <c r="O361" t="n">
        <v>0</v>
      </c>
      <c r="P361" t="n">
        <v>0</v>
      </c>
      <c r="Q361" t="n">
        <v>0</v>
      </c>
      <c r="R361" s="2" t="inlineStr"/>
    </row>
    <row r="362" ht="15" customHeight="1">
      <c r="A362" t="inlineStr">
        <is>
          <t>A 45921-2020</t>
        </is>
      </c>
      <c r="B362" s="1" t="n">
        <v>44088</v>
      </c>
      <c r="C362" s="1" t="n">
        <v>45582</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46019-2020</t>
        </is>
      </c>
      <c r="B363" s="1" t="n">
        <v>44091</v>
      </c>
      <c r="C363" s="1" t="n">
        <v>45582</v>
      </c>
      <c r="D363" t="inlineStr">
        <is>
          <t>GOTLANDS LÄN</t>
        </is>
      </c>
      <c r="E363" t="inlineStr">
        <is>
          <t>GOTLAND</t>
        </is>
      </c>
      <c r="G363" t="n">
        <v>1.8</v>
      </c>
      <c r="H363" t="n">
        <v>0</v>
      </c>
      <c r="I363" t="n">
        <v>0</v>
      </c>
      <c r="J363" t="n">
        <v>0</v>
      </c>
      <c r="K363" t="n">
        <v>0</v>
      </c>
      <c r="L363" t="n">
        <v>0</v>
      </c>
      <c r="M363" t="n">
        <v>0</v>
      </c>
      <c r="N363" t="n">
        <v>0</v>
      </c>
      <c r="O363" t="n">
        <v>0</v>
      </c>
      <c r="P363" t="n">
        <v>0</v>
      </c>
      <c r="Q363" t="n">
        <v>0</v>
      </c>
      <c r="R363" s="2" t="inlineStr"/>
    </row>
    <row r="364" ht="15" customHeight="1">
      <c r="A364" t="inlineStr">
        <is>
          <t>A 46778-2020</t>
        </is>
      </c>
      <c r="B364" s="1" t="n">
        <v>44096</v>
      </c>
      <c r="C364" s="1" t="n">
        <v>45582</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53641-2020</t>
        </is>
      </c>
      <c r="B365" s="1" t="n">
        <v>44124</v>
      </c>
      <c r="C365" s="1" t="n">
        <v>45582</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53665-2020</t>
        </is>
      </c>
      <c r="B366" s="1" t="n">
        <v>44124</v>
      </c>
      <c r="C366" s="1" t="n">
        <v>45582</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59052-2020</t>
        </is>
      </c>
      <c r="B367" s="1" t="n">
        <v>44147</v>
      </c>
      <c r="C367" s="1" t="n">
        <v>45582</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59630-2020</t>
        </is>
      </c>
      <c r="B368" s="1" t="n">
        <v>44150</v>
      </c>
      <c r="C368" s="1" t="n">
        <v>45582</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60356-2020</t>
        </is>
      </c>
      <c r="B369" s="1" t="n">
        <v>44152</v>
      </c>
      <c r="C369" s="1" t="n">
        <v>45582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62120-2020</t>
        </is>
      </c>
      <c r="B370" s="1" t="n">
        <v>44158</v>
      </c>
      <c r="C370" s="1" t="n">
        <v>45582</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64380-2020</t>
        </is>
      </c>
      <c r="B371" s="1" t="n">
        <v>44168</v>
      </c>
      <c r="C371" s="1" t="n">
        <v>45582</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65126-2020</t>
        </is>
      </c>
      <c r="B372" s="1" t="n">
        <v>44168</v>
      </c>
      <c r="C372" s="1" t="n">
        <v>45582</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65537-2020</t>
        </is>
      </c>
      <c r="B373" s="1" t="n">
        <v>44173</v>
      </c>
      <c r="C373" s="1" t="n">
        <v>45582</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69643-2020</t>
        </is>
      </c>
      <c r="B374" s="1" t="n">
        <v>44195</v>
      </c>
      <c r="C374" s="1" t="n">
        <v>45582</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14-2021</t>
        </is>
      </c>
      <c r="B375" s="1" t="n">
        <v>44197</v>
      </c>
      <c r="C375" s="1" t="n">
        <v>45582</v>
      </c>
      <c r="D375" t="inlineStr">
        <is>
          <t>GOTLANDS LÄN</t>
        </is>
      </c>
      <c r="E375" t="inlineStr">
        <is>
          <t>GOTLAND</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1229-2021</t>
        </is>
      </c>
      <c r="B376" s="1" t="n">
        <v>44208</v>
      </c>
      <c r="C376" s="1" t="n">
        <v>45582</v>
      </c>
      <c r="D376" t="inlineStr">
        <is>
          <t>GOTLANDS LÄN</t>
        </is>
      </c>
      <c r="E376" t="inlineStr">
        <is>
          <t>GOTLAND</t>
        </is>
      </c>
      <c r="G376" t="n">
        <v>5.3</v>
      </c>
      <c r="H376" t="n">
        <v>0</v>
      </c>
      <c r="I376" t="n">
        <v>0</v>
      </c>
      <c r="J376" t="n">
        <v>0</v>
      </c>
      <c r="K376" t="n">
        <v>0</v>
      </c>
      <c r="L376" t="n">
        <v>0</v>
      </c>
      <c r="M376" t="n">
        <v>0</v>
      </c>
      <c r="N376" t="n">
        <v>0</v>
      </c>
      <c r="O376" t="n">
        <v>0</v>
      </c>
      <c r="P376" t="n">
        <v>0</v>
      </c>
      <c r="Q376" t="n">
        <v>0</v>
      </c>
      <c r="R376" s="2" t="inlineStr"/>
    </row>
    <row r="377" ht="15" customHeight="1">
      <c r="A377" t="inlineStr">
        <is>
          <t>A 2292-2021</t>
        </is>
      </c>
      <c r="B377" s="1" t="n">
        <v>44212</v>
      </c>
      <c r="C377" s="1" t="n">
        <v>45582</v>
      </c>
      <c r="D377" t="inlineStr">
        <is>
          <t>GOTLANDS LÄN</t>
        </is>
      </c>
      <c r="E377" t="inlineStr">
        <is>
          <t>GOTLAND</t>
        </is>
      </c>
      <c r="G377" t="n">
        <v>3</v>
      </c>
      <c r="H377" t="n">
        <v>0</v>
      </c>
      <c r="I377" t="n">
        <v>0</v>
      </c>
      <c r="J377" t="n">
        <v>0</v>
      </c>
      <c r="K377" t="n">
        <v>0</v>
      </c>
      <c r="L377" t="n">
        <v>0</v>
      </c>
      <c r="M377" t="n">
        <v>0</v>
      </c>
      <c r="N377" t="n">
        <v>0</v>
      </c>
      <c r="O377" t="n">
        <v>0</v>
      </c>
      <c r="P377" t="n">
        <v>0</v>
      </c>
      <c r="Q377" t="n">
        <v>0</v>
      </c>
      <c r="R377" s="2" t="inlineStr"/>
    </row>
    <row r="378" ht="15" customHeight="1">
      <c r="A378" t="inlineStr">
        <is>
          <t>A 2608-2021</t>
        </is>
      </c>
      <c r="B378" s="1" t="n">
        <v>44214</v>
      </c>
      <c r="C378" s="1" t="n">
        <v>45582</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3319-2021</t>
        </is>
      </c>
      <c r="B379" s="1" t="n">
        <v>44216</v>
      </c>
      <c r="C379" s="1" t="n">
        <v>45582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3172-2021</t>
        </is>
      </c>
      <c r="B380" s="1" t="n">
        <v>44217</v>
      </c>
      <c r="C380" s="1" t="n">
        <v>45582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3271-2021</t>
        </is>
      </c>
      <c r="B381" s="1" t="n">
        <v>44217</v>
      </c>
      <c r="C381" s="1" t="n">
        <v>45582</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8329-2021</t>
        </is>
      </c>
      <c r="B382" s="1" t="n">
        <v>44244</v>
      </c>
      <c r="C382" s="1" t="n">
        <v>45582</v>
      </c>
      <c r="D382" t="inlineStr">
        <is>
          <t>GOTLANDS LÄN</t>
        </is>
      </c>
      <c r="E382" t="inlineStr">
        <is>
          <t>GOTLAND</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8700-2021</t>
        </is>
      </c>
      <c r="B383" s="1" t="n">
        <v>44246</v>
      </c>
      <c r="C383" s="1" t="n">
        <v>45582</v>
      </c>
      <c r="D383" t="inlineStr">
        <is>
          <t>GOTLANDS LÄN</t>
        </is>
      </c>
      <c r="E383" t="inlineStr">
        <is>
          <t>GOTLAND</t>
        </is>
      </c>
      <c r="G383" t="n">
        <v>0.1</v>
      </c>
      <c r="H383" t="n">
        <v>0</v>
      </c>
      <c r="I383" t="n">
        <v>0</v>
      </c>
      <c r="J383" t="n">
        <v>0</v>
      </c>
      <c r="K383" t="n">
        <v>0</v>
      </c>
      <c r="L383" t="n">
        <v>0</v>
      </c>
      <c r="M383" t="n">
        <v>0</v>
      </c>
      <c r="N383" t="n">
        <v>0</v>
      </c>
      <c r="O383" t="n">
        <v>0</v>
      </c>
      <c r="P383" t="n">
        <v>0</v>
      </c>
      <c r="Q383" t="n">
        <v>0</v>
      </c>
      <c r="R383" s="2" t="inlineStr"/>
    </row>
    <row r="384" ht="15" customHeight="1">
      <c r="A384" t="inlineStr">
        <is>
          <t>A 11400-2021</t>
        </is>
      </c>
      <c r="B384" s="1" t="n">
        <v>44263</v>
      </c>
      <c r="C384" s="1" t="n">
        <v>45582</v>
      </c>
      <c r="D384" t="inlineStr">
        <is>
          <t>GOTLANDS LÄN</t>
        </is>
      </c>
      <c r="E384" t="inlineStr">
        <is>
          <t>GOTLAND</t>
        </is>
      </c>
      <c r="G384" t="n">
        <v>5.6</v>
      </c>
      <c r="H384" t="n">
        <v>0</v>
      </c>
      <c r="I384" t="n">
        <v>0</v>
      </c>
      <c r="J384" t="n">
        <v>0</v>
      </c>
      <c r="K384" t="n">
        <v>0</v>
      </c>
      <c r="L384" t="n">
        <v>0</v>
      </c>
      <c r="M384" t="n">
        <v>0</v>
      </c>
      <c r="N384" t="n">
        <v>0</v>
      </c>
      <c r="O384" t="n">
        <v>0</v>
      </c>
      <c r="P384" t="n">
        <v>0</v>
      </c>
      <c r="Q384" t="n">
        <v>0</v>
      </c>
      <c r="R384" s="2" t="inlineStr"/>
    </row>
    <row r="385" ht="15" customHeight="1">
      <c r="A385" t="inlineStr">
        <is>
          <t>A 11402-2021</t>
        </is>
      </c>
      <c r="B385" s="1" t="n">
        <v>44263</v>
      </c>
      <c r="C385" s="1" t="n">
        <v>45582</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12318-2021</t>
        </is>
      </c>
      <c r="B386" s="1" t="n">
        <v>44266</v>
      </c>
      <c r="C386" s="1" t="n">
        <v>45582</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13274-2021</t>
        </is>
      </c>
      <c r="B387" s="1" t="n">
        <v>44272</v>
      </c>
      <c r="C387" s="1" t="n">
        <v>45582</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14536-2021</t>
        </is>
      </c>
      <c r="B388" s="1" t="n">
        <v>44279</v>
      </c>
      <c r="C388" s="1" t="n">
        <v>45582</v>
      </c>
      <c r="D388" t="inlineStr">
        <is>
          <t>GOTLANDS LÄN</t>
        </is>
      </c>
      <c r="E388" t="inlineStr">
        <is>
          <t>GOTLAND</t>
        </is>
      </c>
      <c r="G388" t="n">
        <v>8.5</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45582</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15127-2021</t>
        </is>
      </c>
      <c r="B390" s="1" t="n">
        <v>44283</v>
      </c>
      <c r="C390" s="1" t="n">
        <v>45582</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16435-2021</t>
        </is>
      </c>
      <c r="B391" s="1" t="n">
        <v>44293</v>
      </c>
      <c r="C391" s="1" t="n">
        <v>45582</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17254-2021</t>
        </is>
      </c>
      <c r="B392" s="1" t="n">
        <v>44298</v>
      </c>
      <c r="C392" s="1" t="n">
        <v>45582</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17227-2021</t>
        </is>
      </c>
      <c r="B393" s="1" t="n">
        <v>44298</v>
      </c>
      <c r="C393" s="1" t="n">
        <v>45582</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17199-2021</t>
        </is>
      </c>
      <c r="B394" s="1" t="n">
        <v>44298</v>
      </c>
      <c r="C394" s="1" t="n">
        <v>45582</v>
      </c>
      <c r="D394" t="inlineStr">
        <is>
          <t>GOTLANDS LÄN</t>
        </is>
      </c>
      <c r="E394" t="inlineStr">
        <is>
          <t>GOTLAND</t>
        </is>
      </c>
      <c r="G394" t="n">
        <v>9.6</v>
      </c>
      <c r="H394" t="n">
        <v>0</v>
      </c>
      <c r="I394" t="n">
        <v>0</v>
      </c>
      <c r="J394" t="n">
        <v>0</v>
      </c>
      <c r="K394" t="n">
        <v>0</v>
      </c>
      <c r="L394" t="n">
        <v>0</v>
      </c>
      <c r="M394" t="n">
        <v>0</v>
      </c>
      <c r="N394" t="n">
        <v>0</v>
      </c>
      <c r="O394" t="n">
        <v>0</v>
      </c>
      <c r="P394" t="n">
        <v>0</v>
      </c>
      <c r="Q394" t="n">
        <v>0</v>
      </c>
      <c r="R394" s="2" t="inlineStr"/>
    </row>
    <row r="395" ht="15" customHeight="1">
      <c r="A395" t="inlineStr">
        <is>
          <t>A 17585-2021</t>
        </is>
      </c>
      <c r="B395" s="1" t="n">
        <v>44299</v>
      </c>
      <c r="C395" s="1" t="n">
        <v>45582</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17920-2021</t>
        </is>
      </c>
      <c r="B396" s="1" t="n">
        <v>44301</v>
      </c>
      <c r="C396" s="1" t="n">
        <v>45582</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18038-2021</t>
        </is>
      </c>
      <c r="B397" s="1" t="n">
        <v>44302</v>
      </c>
      <c r="C397" s="1" t="n">
        <v>45582</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19447-2021</t>
        </is>
      </c>
      <c r="B398" s="1" t="n">
        <v>44310</v>
      </c>
      <c r="C398" s="1" t="n">
        <v>45582</v>
      </c>
      <c r="D398" t="inlineStr">
        <is>
          <t>GOTLANDS LÄN</t>
        </is>
      </c>
      <c r="E398" t="inlineStr">
        <is>
          <t>GOTLAND</t>
        </is>
      </c>
      <c r="G398" t="n">
        <v>0.4</v>
      </c>
      <c r="H398" t="n">
        <v>0</v>
      </c>
      <c r="I398" t="n">
        <v>0</v>
      </c>
      <c r="J398" t="n">
        <v>0</v>
      </c>
      <c r="K398" t="n">
        <v>0</v>
      </c>
      <c r="L398" t="n">
        <v>0</v>
      </c>
      <c r="M398" t="n">
        <v>0</v>
      </c>
      <c r="N398" t="n">
        <v>0</v>
      </c>
      <c r="O398" t="n">
        <v>0</v>
      </c>
      <c r="P398" t="n">
        <v>0</v>
      </c>
      <c r="Q398" t="n">
        <v>0</v>
      </c>
      <c r="R398" s="2" t="inlineStr"/>
    </row>
    <row r="399" ht="15" customHeight="1">
      <c r="A399" t="inlineStr">
        <is>
          <t>A 19448-2021</t>
        </is>
      </c>
      <c r="B399" s="1" t="n">
        <v>44310</v>
      </c>
      <c r="C399" s="1" t="n">
        <v>45582</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19892-2021</t>
        </is>
      </c>
      <c r="B400" s="1" t="n">
        <v>44312</v>
      </c>
      <c r="C400" s="1" t="n">
        <v>45582</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19901-2021</t>
        </is>
      </c>
      <c r="B401" s="1" t="n">
        <v>44312</v>
      </c>
      <c r="C401" s="1" t="n">
        <v>45582</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19939-2021</t>
        </is>
      </c>
      <c r="B402" s="1" t="n">
        <v>44313</v>
      </c>
      <c r="C402" s="1" t="n">
        <v>45582</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20111-2021</t>
        </is>
      </c>
      <c r="B403" s="1" t="n">
        <v>44314</v>
      </c>
      <c r="C403" s="1" t="n">
        <v>45582</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21507-2021</t>
        </is>
      </c>
      <c r="B404" s="1" t="n">
        <v>44321</v>
      </c>
      <c r="C404" s="1" t="n">
        <v>45582</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22155-2021</t>
        </is>
      </c>
      <c r="B405" s="1" t="n">
        <v>44325</v>
      </c>
      <c r="C405" s="1" t="n">
        <v>45582</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23910-2021</t>
        </is>
      </c>
      <c r="B406" s="1" t="n">
        <v>44335</v>
      </c>
      <c r="C406" s="1" t="n">
        <v>45582</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24001-2021</t>
        </is>
      </c>
      <c r="B407" s="1" t="n">
        <v>44335</v>
      </c>
      <c r="C407" s="1" t="n">
        <v>45582</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26810-2021</t>
        </is>
      </c>
      <c r="B408" s="1" t="n">
        <v>44349</v>
      </c>
      <c r="C408" s="1" t="n">
        <v>45582</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26857-2021</t>
        </is>
      </c>
      <c r="B409" s="1" t="n">
        <v>44349</v>
      </c>
      <c r="C409" s="1" t="n">
        <v>45582</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26867-2021</t>
        </is>
      </c>
      <c r="B410" s="1" t="n">
        <v>44349</v>
      </c>
      <c r="C410" s="1" t="n">
        <v>45582</v>
      </c>
      <c r="D410" t="inlineStr">
        <is>
          <t>GOTLANDS LÄN</t>
        </is>
      </c>
      <c r="E410" t="inlineStr">
        <is>
          <t>GOTLAND</t>
        </is>
      </c>
      <c r="G410" t="n">
        <v>5.7</v>
      </c>
      <c r="H410" t="n">
        <v>0</v>
      </c>
      <c r="I410" t="n">
        <v>0</v>
      </c>
      <c r="J410" t="n">
        <v>0</v>
      </c>
      <c r="K410" t="n">
        <v>0</v>
      </c>
      <c r="L410" t="n">
        <v>0</v>
      </c>
      <c r="M410" t="n">
        <v>0</v>
      </c>
      <c r="N410" t="n">
        <v>0</v>
      </c>
      <c r="O410" t="n">
        <v>0</v>
      </c>
      <c r="P410" t="n">
        <v>0</v>
      </c>
      <c r="Q410" t="n">
        <v>0</v>
      </c>
      <c r="R410" s="2" t="inlineStr"/>
    </row>
    <row r="411" ht="15" customHeight="1">
      <c r="A411" t="inlineStr">
        <is>
          <t>A 27930-2021</t>
        </is>
      </c>
      <c r="B411" s="1" t="n">
        <v>44354</v>
      </c>
      <c r="C411" s="1" t="n">
        <v>45582</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30055-2021</t>
        </is>
      </c>
      <c r="B412" s="1" t="n">
        <v>44363</v>
      </c>
      <c r="C412" s="1" t="n">
        <v>45582</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31264-2021</t>
        </is>
      </c>
      <c r="B413" s="1" t="n">
        <v>44368</v>
      </c>
      <c r="C413" s="1" t="n">
        <v>45582</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31981-2021</t>
        </is>
      </c>
      <c r="B414" s="1" t="n">
        <v>44370</v>
      </c>
      <c r="C414" s="1" t="n">
        <v>45582</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32647-2021</t>
        </is>
      </c>
      <c r="B415" s="1" t="n">
        <v>44375</v>
      </c>
      <c r="C415" s="1" t="n">
        <v>45582</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32691-2021</t>
        </is>
      </c>
      <c r="B416" s="1" t="n">
        <v>44375</v>
      </c>
      <c r="C416" s="1" t="n">
        <v>45582</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45582</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36313-2021</t>
        </is>
      </c>
      <c r="B418" s="1" t="n">
        <v>44390</v>
      </c>
      <c r="C418" s="1" t="n">
        <v>45582</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37037-2021</t>
        </is>
      </c>
      <c r="B419" s="1" t="n">
        <v>44393</v>
      </c>
      <c r="C419" s="1" t="n">
        <v>45582</v>
      </c>
      <c r="D419" t="inlineStr">
        <is>
          <t>GOTLANDS LÄN</t>
        </is>
      </c>
      <c r="E419" t="inlineStr">
        <is>
          <t>GOTLAND</t>
        </is>
      </c>
      <c r="G419" t="n">
        <v>10.2</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45582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45582</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45582</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45582</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45582</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45582</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45582</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45582</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45582</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45582</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45582</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45582</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45582</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45582</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45582</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45582</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45582</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45582</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45582</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45582</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45582</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45582</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45582</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45582</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45582</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45582</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45582</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45582</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45582</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45582</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45582</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45582</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45582</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45582</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45582</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45582</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45582</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45582</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45582</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45582</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45582</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45582</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45582</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45582</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45582</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45582</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45582</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45582</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45582</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45582</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45582</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45582</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45582</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45582</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45582</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45582</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45582</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45582</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45582</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45582</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45582</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45582</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45582</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45582</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45582</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45582</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45582</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45582</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45582</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45582</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45582</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45582</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45582</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45582</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45582</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45582</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45582</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45582</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45582</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45582</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45582</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45582</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45582</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45582</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45582</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45582</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45582</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45582</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45582</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45582</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45582</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45582</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45582</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45582</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45582</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45582</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45582</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45582</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45582</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45582</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45582</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45582</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45582</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45582</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45582</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45582</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45582</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45582</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45582</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45582</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45582</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45582</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45582</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45582</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45582</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45582</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45582</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45582</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45582</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45582</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45582</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45582</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45582</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45582</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45582</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45582</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45582</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45582</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45582</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45582</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45582</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45582</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45582</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45582</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45582</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45582</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45582</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45582</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45582</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45582</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45582</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45582</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45582</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45582</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45582</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45582</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45582</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45582</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45582</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45582</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45582</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45582</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45582</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45582</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45582</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45582</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45582</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45582</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45582</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45582</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45582</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45582</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45582</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45582</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45582</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45582</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45582</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45582</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45582</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45582</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45582</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45582</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45582</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45582</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45582</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45582</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45582</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45582</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45582</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45582</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45582</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45582</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45582</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45582</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45582</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45582</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45582</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45582</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45582</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45582</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45582</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45582</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45582</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45582</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45582</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45582</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45582</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45582</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45582</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45582</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45582</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45582</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45582</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45582</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45582</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45582</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45582</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45582</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45582</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45582</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45582</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45582</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45582</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45582</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45582</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45582</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45582</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45582</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45582</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45582</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45582</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45582</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45582</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45582</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45582</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45582</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45582</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45582</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45582</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45582</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45582</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45582</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45582</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45582</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45582</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45582</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45582</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45582</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45582</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45582</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45582</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45582</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45582</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45582</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45582</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45582</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45582</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45582</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45582</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45582</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45582</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45582</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45582</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45582</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45582</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45582</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45582</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45582</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45582</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45582</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45582</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45582</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45582</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45582</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45582</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45582</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45582</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45582</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45582</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45582</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45582</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45582</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45582</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45582</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45582</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45582</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45582</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45582</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45582</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45582</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45582</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45582</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45582</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45582</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45582</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45582</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45582</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45582</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45582</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45582</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45582</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45582</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45582</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45582</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45582</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45582</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45582</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45582</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45582</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45582</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45582</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45582</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45582</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45582</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45582</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45582</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45582</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45582</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45582</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45582</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45582</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45582</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45582</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45582</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45582</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45582</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45582</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45582</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45582</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45582</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45582</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45582</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45582</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45582</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45582</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45582</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45582</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45582</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45582</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45582</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45582</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45582</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45582</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45582</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45582</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45582</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45582</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45582</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45582</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45582</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45582</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45582</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45582</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45582</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45582</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45582</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45582</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45582</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45582</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45582</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45582</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45582</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45582</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45582</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45582</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45582</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45582</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45582</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45582</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45582</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45582</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45582</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45582</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45582</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45582</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45582</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45582</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45582</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45582</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45582</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45582</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45582</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45582</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45582</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45582</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45582</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45582</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45582</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45582</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45582</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45582</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45582</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45582</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45582</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45582</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45582</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45582</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45582</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45582</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45582</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45582</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45582</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45582</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45582</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45582</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45582</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45582</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45582</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45582</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45582</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45582</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45582</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45582</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45582</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45582</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45582</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45582</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45582</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45582</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45582</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45582</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45582</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45582</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45582</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45582</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45582</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45582</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45582</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45582</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45582</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45582</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45582</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45582</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45582</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45582</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45582</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45582</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45582</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45582</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45582</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45582</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45582</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45582</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45582</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45582</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45582</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45582</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45582</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45582</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45582</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45582</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45582</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45582</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45582</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45582</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45582</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45582</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45582</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45582</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45582</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45582</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45582</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45582</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45582</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45582</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45582</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42346-2024</t>
        </is>
      </c>
      <c r="B892" s="1" t="n">
        <v>45562</v>
      </c>
      <c r="C892" s="1" t="n">
        <v>45582</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45582</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45582</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43788-2024</t>
        </is>
      </c>
      <c r="B895" s="1" t="n">
        <v>45571</v>
      </c>
      <c r="C895" s="1" t="n">
        <v>45582</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43787-2024</t>
        </is>
      </c>
      <c r="B896" s="1" t="n">
        <v>45571</v>
      </c>
      <c r="C896" s="1" t="n">
        <v>45582</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45582</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45582</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45582</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44892-2024</t>
        </is>
      </c>
      <c r="B900" s="1" t="n">
        <v>45575</v>
      </c>
      <c r="C900" s="1" t="n">
        <v>45582</v>
      </c>
      <c r="D900" t="inlineStr">
        <is>
          <t>GOTLANDS LÄN</t>
        </is>
      </c>
      <c r="E900" t="inlineStr">
        <is>
          <t>GOTLAND</t>
        </is>
      </c>
      <c r="G900" t="n">
        <v>2.9</v>
      </c>
      <c r="H900" t="n">
        <v>0</v>
      </c>
      <c r="I900" t="n">
        <v>0</v>
      </c>
      <c r="J900" t="n">
        <v>0</v>
      </c>
      <c r="K900" t="n">
        <v>0</v>
      </c>
      <c r="L900" t="n">
        <v>0</v>
      </c>
      <c r="M900" t="n">
        <v>0</v>
      </c>
      <c r="N900" t="n">
        <v>0</v>
      </c>
      <c r="O900" t="n">
        <v>0</v>
      </c>
      <c r="P900" t="n">
        <v>0</v>
      </c>
      <c r="Q900" t="n">
        <v>0</v>
      </c>
      <c r="R900" s="2" t="inlineStr"/>
    </row>
    <row r="901" ht="15" customHeight="1">
      <c r="A901" t="inlineStr">
        <is>
          <t>A 45071-2024</t>
        </is>
      </c>
      <c r="B901" s="1" t="n">
        <v>45575</v>
      </c>
      <c r="C901" s="1" t="n">
        <v>45582</v>
      </c>
      <c r="D901" t="inlineStr">
        <is>
          <t>GOTLANDS LÄN</t>
        </is>
      </c>
      <c r="E901" t="inlineStr">
        <is>
          <t>GOTLAND</t>
        </is>
      </c>
      <c r="G901" t="n">
        <v>7.9</v>
      </c>
      <c r="H901" t="n">
        <v>0</v>
      </c>
      <c r="I901" t="n">
        <v>0</v>
      </c>
      <c r="J901" t="n">
        <v>0</v>
      </c>
      <c r="K901" t="n">
        <v>0</v>
      </c>
      <c r="L901" t="n">
        <v>0</v>
      </c>
      <c r="M901" t="n">
        <v>0</v>
      </c>
      <c r="N901" t="n">
        <v>0</v>
      </c>
      <c r="O901" t="n">
        <v>0</v>
      </c>
      <c r="P901" t="n">
        <v>0</v>
      </c>
      <c r="Q901" t="n">
        <v>0</v>
      </c>
      <c r="R901" s="2" t="inlineStr"/>
    </row>
    <row r="902" ht="15" customHeight="1">
      <c r="A902" t="inlineStr">
        <is>
          <t>A 45079-2024</t>
        </is>
      </c>
      <c r="B902" s="1" t="n">
        <v>45575</v>
      </c>
      <c r="C902" s="1" t="n">
        <v>45582</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45582</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45101-2024</t>
        </is>
      </c>
      <c r="B904" s="1" t="n">
        <v>45575</v>
      </c>
      <c r="C904" s="1" t="n">
        <v>45582</v>
      </c>
      <c r="D904" t="inlineStr">
        <is>
          <t>GOTLANDS LÄN</t>
        </is>
      </c>
      <c r="E904" t="inlineStr">
        <is>
          <t>GOTLAND</t>
        </is>
      </c>
      <c r="G904" t="n">
        <v>1.6</v>
      </c>
      <c r="H904" t="n">
        <v>0</v>
      </c>
      <c r="I904" t="n">
        <v>0</v>
      </c>
      <c r="J904" t="n">
        <v>0</v>
      </c>
      <c r="K904" t="n">
        <v>0</v>
      </c>
      <c r="L904" t="n">
        <v>0</v>
      </c>
      <c r="M904" t="n">
        <v>0</v>
      </c>
      <c r="N904" t="n">
        <v>0</v>
      </c>
      <c r="O904" t="n">
        <v>0</v>
      </c>
      <c r="P904" t="n">
        <v>0</v>
      </c>
      <c r="Q904" t="n">
        <v>0</v>
      </c>
      <c r="R904" s="2" t="inlineStr"/>
    </row>
    <row r="905" ht="15" customHeight="1">
      <c r="A905" t="inlineStr">
        <is>
          <t>A 44879-2024</t>
        </is>
      </c>
      <c r="B905" s="1" t="n">
        <v>45575</v>
      </c>
      <c r="C905" s="1" t="n">
        <v>45582</v>
      </c>
      <c r="D905" t="inlineStr">
        <is>
          <t>GOTLANDS LÄN</t>
        </is>
      </c>
      <c r="E905" t="inlineStr">
        <is>
          <t>GOTLAND</t>
        </is>
      </c>
      <c r="G905" t="n">
        <v>18.9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45582</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2024-10-17T12:44:08Z</dcterms:created>
  <dcterms:modified xmlns:dcterms="http://purl.org/dc/terms/" xmlns:xsi="http://www.w3.org/2001/XMLSchema-instance" xsi:type="dcterms:W3CDTF">2024-10-17T12:44:08Z</dcterms:modified>
</cp:coreProperties>
</file>