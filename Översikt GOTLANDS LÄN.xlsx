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45925</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45925</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45925</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45925</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45925</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45925</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17762-2024</t>
        </is>
      </c>
      <c r="B18" s="1" t="n">
        <v>45418</v>
      </c>
      <c r="C18" s="1" t="n">
        <v>45925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62132-2023</t>
        </is>
      </c>
      <c r="B19" s="1" t="n">
        <v>45267</v>
      </c>
      <c r="C19" s="1" t="n">
        <v>45925</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6913-2025</t>
        </is>
      </c>
      <c r="B20" s="1" t="n">
        <v>45701.43809027778</v>
      </c>
      <c r="C20" s="1" t="n">
        <v>45925</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61697-2023</t>
        </is>
      </c>
      <c r="B21" s="1" t="n">
        <v>45265</v>
      </c>
      <c r="C21" s="1" t="n">
        <v>45925</v>
      </c>
      <c r="D21" t="inlineStr">
        <is>
          <t>GOTLANDS LÄN</t>
        </is>
      </c>
      <c r="E21" t="inlineStr">
        <is>
          <t>GOTLAND</t>
        </is>
      </c>
      <c r="G21" t="n">
        <v>8.699999999999999</v>
      </c>
      <c r="H21" t="n">
        <v>2</v>
      </c>
      <c r="I21" t="n">
        <v>3</v>
      </c>
      <c r="J21" t="n">
        <v>4</v>
      </c>
      <c r="K21" t="n">
        <v>7</v>
      </c>
      <c r="L21" t="n">
        <v>1</v>
      </c>
      <c r="M21" t="n">
        <v>0</v>
      </c>
      <c r="N21" t="n">
        <v>0</v>
      </c>
      <c r="O21" t="n">
        <v>12</v>
      </c>
      <c r="P21" t="n">
        <v>8</v>
      </c>
      <c r="Q21" t="n">
        <v>15</v>
      </c>
      <c r="R21" s="2" t="inlineStr">
        <is>
          <t>Ryl
Duvspindling
Granrotsspindling
Gulsträngad fagerspindling
Läderdoftande fingersvamp
Svartgrön spindling
Tallkejsarspindling
Violettrandad spindling
Denisespindling
Odörspindling
Röd skogslilja
Säfferot
Anisspindling
Murgröna
Nästrot</t>
        </is>
      </c>
      <c r="S21">
        <f>HYPERLINK("https://klasma.github.io/Logging_0980/artfynd/A 61697-2023 artfynd.xlsx", "A 61697-2023")</f>
        <v/>
      </c>
      <c r="T21">
        <f>HYPERLINK("https://klasma.github.io/Logging_0980/kartor/A 61697-2023 karta.png", "A 61697-2023")</f>
        <v/>
      </c>
      <c r="V21">
        <f>HYPERLINK("https://klasma.github.io/Logging_0980/klagomål/A 61697-2023 FSC-klagomål.docx", "A 61697-2023")</f>
        <v/>
      </c>
      <c r="W21">
        <f>HYPERLINK("https://klasma.github.io/Logging_0980/klagomålsmail/A 61697-2023 FSC-klagomål mail.docx", "A 61697-2023")</f>
        <v/>
      </c>
      <c r="X21">
        <f>HYPERLINK("https://klasma.github.io/Logging_0980/tillsyn/A 61697-2023 tillsynsbegäran.docx", "A 61697-2023")</f>
        <v/>
      </c>
      <c r="Y21">
        <f>HYPERLINK("https://klasma.github.io/Logging_0980/tillsynsmail/A 61697-2023 tillsynsbegäran mail.docx", "A 61697-2023")</f>
        <v/>
      </c>
    </row>
    <row r="22" ht="15" customHeight="1">
      <c r="A22" t="inlineStr">
        <is>
          <t>A 33728-2025</t>
        </is>
      </c>
      <c r="B22" s="1" t="n">
        <v>45842.29344907407</v>
      </c>
      <c r="C22" s="1" t="n">
        <v>45925</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2222-2024</t>
        </is>
      </c>
      <c r="B23" s="1" t="n">
        <v>45309</v>
      </c>
      <c r="C23" s="1" t="n">
        <v>45925</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25779-2022</t>
        </is>
      </c>
      <c r="B24" s="1" t="n">
        <v>44733</v>
      </c>
      <c r="C24" s="1" t="n">
        <v>45925</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24309-2025</t>
        </is>
      </c>
      <c r="B25" s="1" t="n">
        <v>45797</v>
      </c>
      <c r="C25" s="1" t="n">
        <v>45925</v>
      </c>
      <c r="D25" t="inlineStr">
        <is>
          <t>GOTLANDS LÄN</t>
        </is>
      </c>
      <c r="E25" t="inlineStr">
        <is>
          <t>GOTLAND</t>
        </is>
      </c>
      <c r="F25" t="inlineStr">
        <is>
          <t>Kyrkan</t>
        </is>
      </c>
      <c r="G25" t="n">
        <v>7.8</v>
      </c>
      <c r="H25" t="n">
        <v>11</v>
      </c>
      <c r="I25" t="n">
        <v>6</v>
      </c>
      <c r="J25" t="n">
        <v>3</v>
      </c>
      <c r="K25" t="n">
        <v>1</v>
      </c>
      <c r="L25" t="n">
        <v>1</v>
      </c>
      <c r="M25" t="n">
        <v>0</v>
      </c>
      <c r="N25" t="n">
        <v>0</v>
      </c>
      <c r="O25" t="n">
        <v>5</v>
      </c>
      <c r="P25" t="n">
        <v>2</v>
      </c>
      <c r="Q25" t="n">
        <v>14</v>
      </c>
      <c r="R25" s="2" t="inlineStr">
        <is>
          <t>Grönfink
Garderönn
Dårgräsfjäril
Spillkråka
Svinrot
Grönpyrola
Purpurknipprot
Skogsknipprot
Strävlosta
Tvåblad
Vit skogslilja
Halsbandsflugsnappare
Nattviol
Blåsippa</t>
        </is>
      </c>
      <c r="S25">
        <f>HYPERLINK("https://klasma.github.io/Logging_0980/artfynd/A 24309-2025 artfynd.xlsx", "A 24309-2025")</f>
        <v/>
      </c>
      <c r="T25">
        <f>HYPERLINK("https://klasma.github.io/Logging_0980/kartor/A 24309-2025 karta.png", "A 24309-2025")</f>
        <v/>
      </c>
      <c r="V25">
        <f>HYPERLINK("https://klasma.github.io/Logging_0980/klagomål/A 24309-2025 FSC-klagomål.docx", "A 24309-2025")</f>
        <v/>
      </c>
      <c r="W25">
        <f>HYPERLINK("https://klasma.github.io/Logging_0980/klagomålsmail/A 24309-2025 FSC-klagomål mail.docx", "A 24309-2025")</f>
        <v/>
      </c>
      <c r="X25">
        <f>HYPERLINK("https://klasma.github.io/Logging_0980/tillsyn/A 24309-2025 tillsynsbegäran.docx", "A 24309-2025")</f>
        <v/>
      </c>
      <c r="Y25">
        <f>HYPERLINK("https://klasma.github.io/Logging_0980/tillsynsmail/A 24309-2025 tillsynsbegäran mail.docx", "A 24309-2025")</f>
        <v/>
      </c>
      <c r="Z25">
        <f>HYPERLINK("https://klasma.github.io/Logging_0980/fåglar/A 24309-2025 prioriterade fågelarter.docx", "A 24309-2025")</f>
        <v/>
      </c>
    </row>
    <row r="26" ht="15" customHeight="1">
      <c r="A26" t="inlineStr">
        <is>
          <t>A 44928-2022</t>
        </is>
      </c>
      <c r="B26" s="1" t="n">
        <v>44841</v>
      </c>
      <c r="C26" s="1" t="n">
        <v>45925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35141-2022</t>
        </is>
      </c>
      <c r="B27" s="1" t="n">
        <v>44797.53318287037</v>
      </c>
      <c r="C27" s="1" t="n">
        <v>45925</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30236-2025</t>
        </is>
      </c>
      <c r="B28" s="1" t="n">
        <v>45827</v>
      </c>
      <c r="C28" s="1" t="n">
        <v>45925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445-2023</t>
        </is>
      </c>
      <c r="B29" s="1" t="n">
        <v>44929</v>
      </c>
      <c r="C29" s="1" t="n">
        <v>45925</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45925</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63872-2021</t>
        </is>
      </c>
      <c r="B31" s="1" t="n">
        <v>44509</v>
      </c>
      <c r="C31" s="1" t="n">
        <v>45925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3324-2023</t>
        </is>
      </c>
      <c r="B32" s="1" t="n">
        <v>44949</v>
      </c>
      <c r="C32" s="1" t="n">
        <v>45925</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28287-2024</t>
        </is>
      </c>
      <c r="B33" s="1" t="n">
        <v>45477</v>
      </c>
      <c r="C33" s="1" t="n">
        <v>45925</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v>
      </c>
      <c r="C34" s="1" t="n">
        <v>45925</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45925</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43201-2023</t>
        </is>
      </c>
      <c r="B36" s="1" t="n">
        <v>45183</v>
      </c>
      <c r="C36" s="1" t="n">
        <v>45925</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45925</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45925</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45925</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45925</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45925</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45925</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45925</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45925</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45925</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39376-2023</t>
        </is>
      </c>
      <c r="B46" s="1" t="n">
        <v>45166</v>
      </c>
      <c r="C46" s="1" t="n">
        <v>45925</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45925</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7039-2023</t>
        </is>
      </c>
      <c r="B48" s="1" t="n">
        <v>44968</v>
      </c>
      <c r="C48" s="1" t="n">
        <v>45925</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21467-2024</t>
        </is>
      </c>
      <c r="B49" s="1" t="n">
        <v>45441</v>
      </c>
      <c r="C49" s="1" t="n">
        <v>45925</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1769-2022</t>
        </is>
      </c>
      <c r="B50" s="1" t="n">
        <v>44574</v>
      </c>
      <c r="C50" s="1" t="n">
        <v>45925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45925</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45248-2024</t>
        </is>
      </c>
      <c r="B52" s="1" t="n">
        <v>45576</v>
      </c>
      <c r="C52" s="1" t="n">
        <v>45925</v>
      </c>
      <c r="D52" t="inlineStr">
        <is>
          <t>GOTLANDS LÄN</t>
        </is>
      </c>
      <c r="E52" t="inlineStr">
        <is>
          <t>GOTLAND</t>
        </is>
      </c>
      <c r="G52" t="n">
        <v>9.4</v>
      </c>
      <c r="H52" t="n">
        <v>0</v>
      </c>
      <c r="I52" t="n">
        <v>3</v>
      </c>
      <c r="J52" t="n">
        <v>1</v>
      </c>
      <c r="K52" t="n">
        <v>1</v>
      </c>
      <c r="L52" t="n">
        <v>1</v>
      </c>
      <c r="M52" t="n">
        <v>1</v>
      </c>
      <c r="N52" t="n">
        <v>0</v>
      </c>
      <c r="O52" t="n">
        <v>4</v>
      </c>
      <c r="P52" t="n">
        <v>3</v>
      </c>
      <c r="Q52" t="n">
        <v>7</v>
      </c>
      <c r="R52" s="2" t="inlineStr">
        <is>
          <t>Lundalm
Ask
Mjölspindling
Oxtungssvamp
Myskmadra
Stinkbrosking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18541-2024</t>
        </is>
      </c>
      <c r="B53" s="1" t="n">
        <v>45425</v>
      </c>
      <c r="C53" s="1" t="n">
        <v>45925</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6960-2025</t>
        </is>
      </c>
      <c r="B54" s="1" t="n">
        <v>45701.49409722222</v>
      </c>
      <c r="C54" s="1" t="n">
        <v>45925</v>
      </c>
      <c r="D54" t="inlineStr">
        <is>
          <t>GOTLANDS LÄN</t>
        </is>
      </c>
      <c r="E54" t="inlineStr">
        <is>
          <t>GOTLAND</t>
        </is>
      </c>
      <c r="G54" t="n">
        <v>4</v>
      </c>
      <c r="H54" t="n">
        <v>4</v>
      </c>
      <c r="I54" t="n">
        <v>1</v>
      </c>
      <c r="J54" t="n">
        <v>4</v>
      </c>
      <c r="K54" t="n">
        <v>0</v>
      </c>
      <c r="L54" t="n">
        <v>0</v>
      </c>
      <c r="M54" t="n">
        <v>0</v>
      </c>
      <c r="N54" t="n">
        <v>0</v>
      </c>
      <c r="O54" t="n">
        <v>4</v>
      </c>
      <c r="P54" t="n">
        <v>0</v>
      </c>
      <c r="Q54" t="n">
        <v>7</v>
      </c>
      <c r="R54" s="2" t="inlineStr">
        <is>
          <t>Majviva
Spillkråka
Svinrot
Ängsstarr
Skogsknipprot
Dactylorhiza incarnata subsp. incarnata
Nattviol</t>
        </is>
      </c>
      <c r="S54">
        <f>HYPERLINK("https://klasma.github.io/Logging_0980/artfynd/A 6960-2025 artfynd.xlsx", "A 6960-2025")</f>
        <v/>
      </c>
      <c r="T54">
        <f>HYPERLINK("https://klasma.github.io/Logging_0980/kartor/A 6960-2025 karta.png", "A 6960-2025")</f>
        <v/>
      </c>
      <c r="U54">
        <f>HYPERLINK("https://klasma.github.io/Logging_0980/knärot/A 6960-2025 karta knärot.png", "A 6960-2025")</f>
        <v/>
      </c>
      <c r="V54">
        <f>HYPERLINK("https://klasma.github.io/Logging_0980/klagomål/A 6960-2025 FSC-klagomål.docx", "A 6960-2025")</f>
        <v/>
      </c>
      <c r="W54">
        <f>HYPERLINK("https://klasma.github.io/Logging_0980/klagomålsmail/A 6960-2025 FSC-klagomål mail.docx", "A 6960-2025")</f>
        <v/>
      </c>
      <c r="X54">
        <f>HYPERLINK("https://klasma.github.io/Logging_0980/tillsyn/A 6960-2025 tillsynsbegäran.docx", "A 6960-2025")</f>
        <v/>
      </c>
      <c r="Y54">
        <f>HYPERLINK("https://klasma.github.io/Logging_0980/tillsynsmail/A 6960-2025 tillsynsbegäran mail.docx", "A 6960-2025")</f>
        <v/>
      </c>
      <c r="Z54">
        <f>HYPERLINK("https://klasma.github.io/Logging_0980/fåglar/A 6960-2025 prioriterade fågelarter.docx", "A 6960-2025")</f>
        <v/>
      </c>
    </row>
    <row r="55" ht="15" customHeight="1">
      <c r="A55" t="inlineStr">
        <is>
          <t>A 4984-2025</t>
        </is>
      </c>
      <c r="B55" s="1" t="n">
        <v>45691.29891203704</v>
      </c>
      <c r="C55" s="1" t="n">
        <v>45925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10419-2025</t>
        </is>
      </c>
      <c r="B56" s="1" t="n">
        <v>45720</v>
      </c>
      <c r="C56" s="1" t="n">
        <v>45925</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27280-2023</t>
        </is>
      </c>
      <c r="B57" s="1" t="n">
        <v>45096</v>
      </c>
      <c r="C57" s="1" t="n">
        <v>45925</v>
      </c>
      <c r="D57" t="inlineStr">
        <is>
          <t>GOTLANDS LÄN</t>
        </is>
      </c>
      <c r="E57" t="inlineStr">
        <is>
          <t>GOTLAND</t>
        </is>
      </c>
      <c r="G57" t="n">
        <v>2.7</v>
      </c>
      <c r="H57" t="n">
        <v>7</v>
      </c>
      <c r="I57" t="n">
        <v>2</v>
      </c>
      <c r="J57" t="n">
        <v>1</v>
      </c>
      <c r="K57" t="n">
        <v>0</v>
      </c>
      <c r="L57" t="n">
        <v>0</v>
      </c>
      <c r="M57" t="n">
        <v>0</v>
      </c>
      <c r="N57" t="n">
        <v>0</v>
      </c>
      <c r="O57" t="n">
        <v>1</v>
      </c>
      <c r="P57" t="n">
        <v>0</v>
      </c>
      <c r="Q57" t="n">
        <v>7</v>
      </c>
      <c r="R57" s="2" t="inlineStr">
        <is>
          <t>Mindre hackspett
Skogsknipprot
Tvåblad
Brudsporre
Fläcknycklar
Grönvit nattviol
Nattviol</t>
        </is>
      </c>
      <c r="S57">
        <f>HYPERLINK("https://klasma.github.io/Logging_0980/artfynd/A 27280-2023 artfynd.xlsx", "A 27280-2023")</f>
        <v/>
      </c>
      <c r="T57">
        <f>HYPERLINK("https://klasma.github.io/Logging_0980/kartor/A 27280-2023 karta.png", "A 27280-2023")</f>
        <v/>
      </c>
      <c r="V57">
        <f>HYPERLINK("https://klasma.github.io/Logging_0980/klagomål/A 27280-2023 FSC-klagomål.docx", "A 27280-2023")</f>
        <v/>
      </c>
      <c r="W57">
        <f>HYPERLINK("https://klasma.github.io/Logging_0980/klagomålsmail/A 27280-2023 FSC-klagomål mail.docx", "A 27280-2023")</f>
        <v/>
      </c>
      <c r="X57">
        <f>HYPERLINK("https://klasma.github.io/Logging_0980/tillsyn/A 27280-2023 tillsynsbegäran.docx", "A 27280-2023")</f>
        <v/>
      </c>
      <c r="Y57">
        <f>HYPERLINK("https://klasma.github.io/Logging_0980/tillsynsmail/A 27280-2023 tillsynsbegäran mail.docx", "A 27280-2023")</f>
        <v/>
      </c>
      <c r="Z57">
        <f>HYPERLINK("https://klasma.github.io/Logging_0980/fåglar/A 27280-2023 prioriterade fågelarter.docx", "A 27280-2023")</f>
        <v/>
      </c>
    </row>
    <row r="58" ht="15" customHeight="1">
      <c r="A58" t="inlineStr">
        <is>
          <t>A 25205-2021</t>
        </is>
      </c>
      <c r="B58" s="1" t="n">
        <v>44342</v>
      </c>
      <c r="C58" s="1" t="n">
        <v>45925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7038-2023</t>
        </is>
      </c>
      <c r="B59" s="1" t="n">
        <v>44968</v>
      </c>
      <c r="C59" s="1" t="n">
        <v>45925</v>
      </c>
      <c r="D59" t="inlineStr">
        <is>
          <t>GOTLANDS LÄN</t>
        </is>
      </c>
      <c r="E59" t="inlineStr">
        <is>
          <t>GOTLAND</t>
        </is>
      </c>
      <c r="G59" t="n">
        <v>5.2</v>
      </c>
      <c r="H59" t="n">
        <v>1</v>
      </c>
      <c r="I59" t="n">
        <v>1</v>
      </c>
      <c r="J59" t="n">
        <v>1</v>
      </c>
      <c r="K59" t="n">
        <v>0</v>
      </c>
      <c r="L59" t="n">
        <v>2</v>
      </c>
      <c r="M59" t="n">
        <v>0</v>
      </c>
      <c r="N59" t="n">
        <v>0</v>
      </c>
      <c r="O59" t="n">
        <v>5</v>
      </c>
      <c r="P59" t="n">
        <v>2</v>
      </c>
      <c r="Q59" t="n">
        <v>6</v>
      </c>
      <c r="R59" s="2" t="inlineStr">
        <is>
          <t>Liten ädellav
Ädellav
Dårgräsfjäril
Blemlavsklotter
Frostig asplav
Havstulpanlav</t>
        </is>
      </c>
      <c r="S59">
        <f>HYPERLINK("https://klasma.github.io/Logging_0980/artfynd/A 7038-2023 artfynd.xlsx", "A 7038-2023")</f>
        <v/>
      </c>
      <c r="T59">
        <f>HYPERLINK("https://klasma.github.io/Logging_0980/kartor/A 7038-2023 karta.png", "A 7038-2023")</f>
        <v/>
      </c>
      <c r="V59">
        <f>HYPERLINK("https://klasma.github.io/Logging_0980/klagomål/A 7038-2023 FSC-klagomål.docx", "A 7038-2023")</f>
        <v/>
      </c>
      <c r="W59">
        <f>HYPERLINK("https://klasma.github.io/Logging_0980/klagomålsmail/A 7038-2023 FSC-klagomål mail.docx", "A 7038-2023")</f>
        <v/>
      </c>
      <c r="X59">
        <f>HYPERLINK("https://klasma.github.io/Logging_0980/tillsyn/A 7038-2023 tillsynsbegäran.docx", "A 7038-2023")</f>
        <v/>
      </c>
      <c r="Y59">
        <f>HYPERLINK("https://klasma.github.io/Logging_0980/tillsynsmail/A 7038-2023 tillsynsbegäran mail.docx", "A 7038-2023")</f>
        <v/>
      </c>
    </row>
    <row r="60" ht="15" customHeight="1">
      <c r="A60" t="inlineStr">
        <is>
          <t>A 2085-2023</t>
        </is>
      </c>
      <c r="B60" s="1" t="n">
        <v>44939</v>
      </c>
      <c r="C60" s="1" t="n">
        <v>45925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45925</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54527-2023</t>
        </is>
      </c>
      <c r="B62" s="1" t="n">
        <v>45233</v>
      </c>
      <c r="C62" s="1" t="n">
        <v>45925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16823-2024</t>
        </is>
      </c>
      <c r="B63" s="1" t="n">
        <v>45411</v>
      </c>
      <c r="C63" s="1" t="n">
        <v>45925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65819-2020</t>
        </is>
      </c>
      <c r="B64" s="1" t="n">
        <v>44174</v>
      </c>
      <c r="C64" s="1" t="n">
        <v>45925</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66091-2021</t>
        </is>
      </c>
      <c r="B65" s="1" t="n">
        <v>44517</v>
      </c>
      <c r="C65" s="1" t="n">
        <v>45925</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35293-2025</t>
        </is>
      </c>
      <c r="B66" s="1" t="n">
        <v>45854.39438657407</v>
      </c>
      <c r="C66" s="1" t="n">
        <v>45925</v>
      </c>
      <c r="D66" t="inlineStr">
        <is>
          <t>GOTLANDS LÄN</t>
        </is>
      </c>
      <c r="E66" t="inlineStr">
        <is>
          <t>GOTLAND</t>
        </is>
      </c>
      <c r="G66" t="n">
        <v>9.199999999999999</v>
      </c>
      <c r="H66" t="n">
        <v>1</v>
      </c>
      <c r="I66" t="n">
        <v>1</v>
      </c>
      <c r="J66" t="n">
        <v>4</v>
      </c>
      <c r="K66" t="n">
        <v>0</v>
      </c>
      <c r="L66" t="n">
        <v>0</v>
      </c>
      <c r="M66" t="n">
        <v>0</v>
      </c>
      <c r="N66" t="n">
        <v>0</v>
      </c>
      <c r="O66" t="n">
        <v>4</v>
      </c>
      <c r="P66" t="n">
        <v>0</v>
      </c>
      <c r="Q66" t="n">
        <v>5</v>
      </c>
      <c r="R66" s="2" t="inlineStr">
        <is>
          <t>Krusfrö
Loppstarr
Svinrot
Ängsstarr
Skogsknipprot</t>
        </is>
      </c>
      <c r="S66">
        <f>HYPERLINK("https://klasma.github.io/Logging_0980/artfynd/A 35293-2025 artfynd.xlsx", "A 35293-2025")</f>
        <v/>
      </c>
      <c r="T66">
        <f>HYPERLINK("https://klasma.github.io/Logging_0980/kartor/A 35293-2025 karta.png", "A 35293-2025")</f>
        <v/>
      </c>
      <c r="V66">
        <f>HYPERLINK("https://klasma.github.io/Logging_0980/klagomål/A 35293-2025 FSC-klagomål.docx", "A 35293-2025")</f>
        <v/>
      </c>
      <c r="W66">
        <f>HYPERLINK("https://klasma.github.io/Logging_0980/klagomålsmail/A 35293-2025 FSC-klagomål mail.docx", "A 35293-2025")</f>
        <v/>
      </c>
      <c r="X66">
        <f>HYPERLINK("https://klasma.github.io/Logging_0980/tillsyn/A 35293-2025 tillsynsbegäran.docx", "A 35293-2025")</f>
        <v/>
      </c>
      <c r="Y66">
        <f>HYPERLINK("https://klasma.github.io/Logging_0980/tillsynsmail/A 35293-2025 tillsynsbegäran mail.docx", "A 35293-2025")</f>
        <v/>
      </c>
    </row>
    <row r="67" ht="15" customHeight="1">
      <c r="A67" t="inlineStr">
        <is>
          <t>A 54055-2022</t>
        </is>
      </c>
      <c r="B67" s="1" t="n">
        <v>44881</v>
      </c>
      <c r="C67" s="1" t="n">
        <v>45925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45925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44944-2022</t>
        </is>
      </c>
      <c r="B69" s="1" t="n">
        <v>44841</v>
      </c>
      <c r="C69" s="1" t="n">
        <v>45925</v>
      </c>
      <c r="D69" t="inlineStr">
        <is>
          <t>GOTLANDS LÄN</t>
        </is>
      </c>
      <c r="E69" t="inlineStr">
        <is>
          <t>GOTLAND</t>
        </is>
      </c>
      <c r="G69" t="n">
        <v>2.8</v>
      </c>
      <c r="H69" t="n">
        <v>0</v>
      </c>
      <c r="I69" t="n">
        <v>3</v>
      </c>
      <c r="J69" t="n">
        <v>2</v>
      </c>
      <c r="K69" t="n">
        <v>0</v>
      </c>
      <c r="L69" t="n">
        <v>0</v>
      </c>
      <c r="M69" t="n">
        <v>0</v>
      </c>
      <c r="N69" t="n">
        <v>0</v>
      </c>
      <c r="O69" t="n">
        <v>2</v>
      </c>
      <c r="P69" t="n">
        <v>0</v>
      </c>
      <c r="Q69" t="n">
        <v>5</v>
      </c>
      <c r="R69" s="2" t="inlineStr">
        <is>
          <t>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2213-2023</t>
        </is>
      </c>
      <c r="B70" s="1" t="n">
        <v>44942</v>
      </c>
      <c r="C70" s="1" t="n">
        <v>45925</v>
      </c>
      <c r="D70" t="inlineStr">
        <is>
          <t>GOTLANDS LÄN</t>
        </is>
      </c>
      <c r="E70" t="inlineStr">
        <is>
          <t>GOTLAND</t>
        </is>
      </c>
      <c r="G70" t="n">
        <v>2.7</v>
      </c>
      <c r="H70" t="n">
        <v>1</v>
      </c>
      <c r="I70" t="n">
        <v>0</v>
      </c>
      <c r="J70" t="n">
        <v>4</v>
      </c>
      <c r="K70" t="n">
        <v>1</v>
      </c>
      <c r="L70" t="n">
        <v>0</v>
      </c>
      <c r="M70" t="n">
        <v>0</v>
      </c>
      <c r="N70" t="n">
        <v>0</v>
      </c>
      <c r="O70" t="n">
        <v>5</v>
      </c>
      <c r="P70" t="n">
        <v>1</v>
      </c>
      <c r="Q70" t="n">
        <v>5</v>
      </c>
      <c r="R70" s="2" t="inlineStr">
        <is>
          <t>Garderönn
Backtimjan
Odörspindling
Smedbock
Svinrot</t>
        </is>
      </c>
      <c r="S70">
        <f>HYPERLINK("https://klasma.github.io/Logging_0980/artfynd/A 2213-2023 artfynd.xlsx", "A 2213-2023")</f>
        <v/>
      </c>
      <c r="T70">
        <f>HYPERLINK("https://klasma.github.io/Logging_0980/kartor/A 2213-2023 karta.png", "A 2213-2023")</f>
        <v/>
      </c>
      <c r="V70">
        <f>HYPERLINK("https://klasma.github.io/Logging_0980/klagomål/A 2213-2023 FSC-klagomål.docx", "A 2213-2023")</f>
        <v/>
      </c>
      <c r="W70">
        <f>HYPERLINK("https://klasma.github.io/Logging_0980/klagomålsmail/A 2213-2023 FSC-klagomål mail.docx", "A 2213-2023")</f>
        <v/>
      </c>
      <c r="X70">
        <f>HYPERLINK("https://klasma.github.io/Logging_0980/tillsyn/A 2213-2023 tillsynsbegäran.docx", "A 2213-2023")</f>
        <v/>
      </c>
      <c r="Y70">
        <f>HYPERLINK("https://klasma.github.io/Logging_0980/tillsynsmail/A 2213-2023 tillsynsbegäran mail.docx", "A 2213-2023")</f>
        <v/>
      </c>
    </row>
    <row r="71" ht="15" customHeight="1">
      <c r="A71" t="inlineStr">
        <is>
          <t>A 32326-2024</t>
        </is>
      </c>
      <c r="B71" s="1" t="n">
        <v>45512</v>
      </c>
      <c r="C71" s="1" t="n">
        <v>45925</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39425-2023</t>
        </is>
      </c>
      <c r="B72" s="1" t="n">
        <v>45166</v>
      </c>
      <c r="C72" s="1" t="n">
        <v>45925</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16375-2025</t>
        </is>
      </c>
      <c r="B73" s="1" t="n">
        <v>45751.41064814815</v>
      </c>
      <c r="C73" s="1" t="n">
        <v>45925</v>
      </c>
      <c r="D73" t="inlineStr">
        <is>
          <t>GOTLANDS LÄN</t>
        </is>
      </c>
      <c r="E73" t="inlineStr">
        <is>
          <t>GOTLAND</t>
        </is>
      </c>
      <c r="G73" t="n">
        <v>1.9</v>
      </c>
      <c r="H73" t="n">
        <v>3</v>
      </c>
      <c r="I73" t="n">
        <v>3</v>
      </c>
      <c r="J73" t="n">
        <v>1</v>
      </c>
      <c r="K73" t="n">
        <v>0</v>
      </c>
      <c r="L73" t="n">
        <v>1</v>
      </c>
      <c r="M73" t="n">
        <v>0</v>
      </c>
      <c r="N73" t="n">
        <v>0</v>
      </c>
      <c r="O73" t="n">
        <v>2</v>
      </c>
      <c r="P73" t="n">
        <v>1</v>
      </c>
      <c r="Q73" t="n">
        <v>5</v>
      </c>
      <c r="R73" s="2" t="inlineStr">
        <is>
          <t>Ask
Spillkråka
Blåmossa
Nästrot
Tvåblad</t>
        </is>
      </c>
      <c r="S73">
        <f>HYPERLINK("https://klasma.github.io/Logging_0980/artfynd/A 16375-2025 artfynd.xlsx", "A 16375-2025")</f>
        <v/>
      </c>
      <c r="T73">
        <f>HYPERLINK("https://klasma.github.io/Logging_0980/kartor/A 16375-2025 karta.png", "A 16375-2025")</f>
        <v/>
      </c>
      <c r="V73">
        <f>HYPERLINK("https://klasma.github.io/Logging_0980/klagomål/A 16375-2025 FSC-klagomål.docx", "A 16375-2025")</f>
        <v/>
      </c>
      <c r="W73">
        <f>HYPERLINK("https://klasma.github.io/Logging_0980/klagomålsmail/A 16375-2025 FSC-klagomål mail.docx", "A 16375-2025")</f>
        <v/>
      </c>
      <c r="X73">
        <f>HYPERLINK("https://klasma.github.io/Logging_0980/tillsyn/A 16375-2025 tillsynsbegäran.docx", "A 16375-2025")</f>
        <v/>
      </c>
      <c r="Y73">
        <f>HYPERLINK("https://klasma.github.io/Logging_0980/tillsynsmail/A 16375-2025 tillsynsbegäran mail.docx", "A 16375-2025")</f>
        <v/>
      </c>
      <c r="Z73">
        <f>HYPERLINK("https://klasma.github.io/Logging_0980/fåglar/A 16375-2025 prioriterade fågelarter.docx", "A 16375-2025")</f>
        <v/>
      </c>
    </row>
    <row r="74" ht="15" customHeight="1">
      <c r="A74" t="inlineStr">
        <is>
          <t>A 29331-2021</t>
        </is>
      </c>
      <c r="B74" s="1" t="n">
        <v>44361</v>
      </c>
      <c r="C74" s="1" t="n">
        <v>45925</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40099-2025</t>
        </is>
      </c>
      <c r="B75" s="1" t="n">
        <v>45894.48462962963</v>
      </c>
      <c r="C75" s="1" t="n">
        <v>45925</v>
      </c>
      <c r="D75" t="inlineStr">
        <is>
          <t>GOTLANDS LÄN</t>
        </is>
      </c>
      <c r="E75" t="inlineStr">
        <is>
          <t>GOTLAND</t>
        </is>
      </c>
      <c r="G75" t="n">
        <v>6.5</v>
      </c>
      <c r="H75" t="n">
        <v>0</v>
      </c>
      <c r="I75" t="n">
        <v>3</v>
      </c>
      <c r="J75" t="n">
        <v>0</v>
      </c>
      <c r="K75" t="n">
        <v>1</v>
      </c>
      <c r="L75" t="n">
        <v>0</v>
      </c>
      <c r="M75" t="n">
        <v>0</v>
      </c>
      <c r="N75" t="n">
        <v>0</v>
      </c>
      <c r="O75" t="n">
        <v>1</v>
      </c>
      <c r="P75" t="n">
        <v>1</v>
      </c>
      <c r="Q75" t="n">
        <v>4</v>
      </c>
      <c r="R75" s="2" t="inlineStr">
        <is>
          <t>Mörkfjällig olivspindling
Fjällig taggsvamp s.str.
Olivspindling
Svavelriska</t>
        </is>
      </c>
      <c r="S75">
        <f>HYPERLINK("https://klasma.github.io/Logging_0980/artfynd/A 40099-2025 artfynd.xlsx", "A 40099-2025")</f>
        <v/>
      </c>
      <c r="T75">
        <f>HYPERLINK("https://klasma.github.io/Logging_0980/kartor/A 40099-2025 karta.png", "A 40099-2025")</f>
        <v/>
      </c>
      <c r="V75">
        <f>HYPERLINK("https://klasma.github.io/Logging_0980/klagomål/A 40099-2025 FSC-klagomål.docx", "A 40099-2025")</f>
        <v/>
      </c>
      <c r="W75">
        <f>HYPERLINK("https://klasma.github.io/Logging_0980/klagomålsmail/A 40099-2025 FSC-klagomål mail.docx", "A 40099-2025")</f>
        <v/>
      </c>
      <c r="X75">
        <f>HYPERLINK("https://klasma.github.io/Logging_0980/tillsyn/A 40099-2025 tillsynsbegäran.docx", "A 40099-2025")</f>
        <v/>
      </c>
      <c r="Y75">
        <f>HYPERLINK("https://klasma.github.io/Logging_0980/tillsynsmail/A 40099-2025 tillsynsbegäran mail.docx", "A 40099-2025")</f>
        <v/>
      </c>
    </row>
    <row r="76" ht="15" customHeight="1">
      <c r="A76" t="inlineStr">
        <is>
          <t>A 54523-2023</t>
        </is>
      </c>
      <c r="B76" s="1" t="n">
        <v>45233</v>
      </c>
      <c r="C76" s="1" t="n">
        <v>45925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45925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45925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20833-2024</t>
        </is>
      </c>
      <c r="B79" s="1" t="n">
        <v>45439</v>
      </c>
      <c r="C79" s="1" t="n">
        <v>45925</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1971-2023</t>
        </is>
      </c>
      <c r="B80" s="1" t="n">
        <v>44939</v>
      </c>
      <c r="C80" s="1" t="n">
        <v>45925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45925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45925</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45925</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45925</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45925</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44933-2022</t>
        </is>
      </c>
      <c r="B86" s="1" t="n">
        <v>44841</v>
      </c>
      <c r="C86" s="1" t="n">
        <v>45925</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2485-2025</t>
        </is>
      </c>
      <c r="B87" s="1" t="n">
        <v>45673</v>
      </c>
      <c r="C87" s="1" t="n">
        <v>45925</v>
      </c>
      <c r="D87" t="inlineStr">
        <is>
          <t>GOTLANDS LÄN</t>
        </is>
      </c>
      <c r="E87" t="inlineStr">
        <is>
          <t>GOTLAND</t>
        </is>
      </c>
      <c r="G87" t="n">
        <v>5</v>
      </c>
      <c r="H87" t="n">
        <v>2</v>
      </c>
      <c r="I87" t="n">
        <v>2</v>
      </c>
      <c r="J87" t="n">
        <v>0</v>
      </c>
      <c r="K87" t="n">
        <v>2</v>
      </c>
      <c r="L87" t="n">
        <v>0</v>
      </c>
      <c r="M87" t="n">
        <v>0</v>
      </c>
      <c r="N87" t="n">
        <v>0</v>
      </c>
      <c r="O87" t="n">
        <v>2</v>
      </c>
      <c r="P87" t="n">
        <v>2</v>
      </c>
      <c r="Q87" t="n">
        <v>4</v>
      </c>
      <c r="R87" s="2" t="inlineStr">
        <is>
          <t>Gotlandsmåra
Skogskorn
Nästrot
Skogsknipprot</t>
        </is>
      </c>
      <c r="S87">
        <f>HYPERLINK("https://klasma.github.io/Logging_0980/artfynd/A 2485-2025 artfynd.xlsx", "A 2485-2025")</f>
        <v/>
      </c>
      <c r="T87">
        <f>HYPERLINK("https://klasma.github.io/Logging_0980/kartor/A 2485-2025 karta.png", "A 2485-2025")</f>
        <v/>
      </c>
      <c r="V87">
        <f>HYPERLINK("https://klasma.github.io/Logging_0980/klagomål/A 2485-2025 FSC-klagomål.docx", "A 2485-2025")</f>
        <v/>
      </c>
      <c r="W87">
        <f>HYPERLINK("https://klasma.github.io/Logging_0980/klagomålsmail/A 2485-2025 FSC-klagomål mail.docx", "A 2485-2025")</f>
        <v/>
      </c>
      <c r="X87">
        <f>HYPERLINK("https://klasma.github.io/Logging_0980/tillsyn/A 2485-2025 tillsynsbegäran.docx", "A 2485-2025")</f>
        <v/>
      </c>
      <c r="Y87">
        <f>HYPERLINK("https://klasma.github.io/Logging_0980/tillsynsmail/A 2485-2025 tillsynsbegäran mail.docx", "A 2485-2025")</f>
        <v/>
      </c>
    </row>
    <row r="88" ht="15" customHeight="1">
      <c r="A88" t="inlineStr">
        <is>
          <t>A 55029-2020</t>
        </is>
      </c>
      <c r="B88" s="1" t="n">
        <v>44130</v>
      </c>
      <c r="C88" s="1" t="n">
        <v>45925</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45925</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45925</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45925</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45925</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48126-2022</t>
        </is>
      </c>
      <c r="B95" s="1" t="n">
        <v>44857</v>
      </c>
      <c r="C95" s="1" t="n">
        <v>45925</v>
      </c>
      <c r="D95" t="inlineStr">
        <is>
          <t>GOTLANDS LÄN</t>
        </is>
      </c>
      <c r="E95" t="inlineStr">
        <is>
          <t>GOTLAND</t>
        </is>
      </c>
      <c r="G95" t="n">
        <v>9.800000000000001</v>
      </c>
      <c r="H95" t="n">
        <v>1</v>
      </c>
      <c r="I95" t="n">
        <v>0</v>
      </c>
      <c r="J95" t="n">
        <v>3</v>
      </c>
      <c r="K95" t="n">
        <v>0</v>
      </c>
      <c r="L95" t="n">
        <v>0</v>
      </c>
      <c r="M95" t="n">
        <v>0</v>
      </c>
      <c r="N95" t="n">
        <v>0</v>
      </c>
      <c r="O95" t="n">
        <v>3</v>
      </c>
      <c r="P95" t="n">
        <v>0</v>
      </c>
      <c r="Q95" t="n">
        <v>3</v>
      </c>
      <c r="R95" s="2" t="inlineStr">
        <is>
          <t>Jordtistel
Spillkråka
Svinrot</t>
        </is>
      </c>
      <c r="S95">
        <f>HYPERLINK("https://klasma.github.io/Logging_0980/artfynd/A 48126-2022 artfynd.xlsx", "A 48126-2022")</f>
        <v/>
      </c>
      <c r="T95">
        <f>HYPERLINK("https://klasma.github.io/Logging_0980/kartor/A 48126-2022 karta.png", "A 48126-2022")</f>
        <v/>
      </c>
      <c r="V95">
        <f>HYPERLINK("https://klasma.github.io/Logging_0980/klagomål/A 48126-2022 FSC-klagomål.docx", "A 48126-2022")</f>
        <v/>
      </c>
      <c r="W95">
        <f>HYPERLINK("https://klasma.github.io/Logging_0980/klagomålsmail/A 48126-2022 FSC-klagomål mail.docx", "A 48126-2022")</f>
        <v/>
      </c>
      <c r="X95">
        <f>HYPERLINK("https://klasma.github.io/Logging_0980/tillsyn/A 48126-2022 tillsynsbegäran.docx", "A 48126-2022")</f>
        <v/>
      </c>
      <c r="Y95">
        <f>HYPERLINK("https://klasma.github.io/Logging_0980/tillsynsmail/A 48126-2022 tillsynsbegäran mail.docx", "A 48126-2022")</f>
        <v/>
      </c>
      <c r="Z95">
        <f>HYPERLINK("https://klasma.github.io/Logging_0980/fåglar/A 48126-2022 prioriterade fågelarter.docx", "A 48126-2022")</f>
        <v/>
      </c>
    </row>
    <row r="96" ht="15" customHeight="1">
      <c r="A96" t="inlineStr">
        <is>
          <t>A 62326-2020</t>
        </is>
      </c>
      <c r="B96" s="1" t="n">
        <v>44160</v>
      </c>
      <c r="C96" s="1" t="n">
        <v>45925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20831-2024</t>
        </is>
      </c>
      <c r="B97" s="1" t="n">
        <v>45439</v>
      </c>
      <c r="C97" s="1" t="n">
        <v>45925</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43013-2022</t>
        </is>
      </c>
      <c r="B98" s="1" t="n">
        <v>44833</v>
      </c>
      <c r="C98" s="1" t="n">
        <v>45925</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45925</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45925</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45925</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45925</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45925</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30490-2025</t>
        </is>
      </c>
      <c r="B104" s="1" t="n">
        <v>45830</v>
      </c>
      <c r="C104" s="1" t="n">
        <v>45925</v>
      </c>
      <c r="D104" t="inlineStr">
        <is>
          <t>GOTLANDS LÄN</t>
        </is>
      </c>
      <c r="E104" t="inlineStr">
        <is>
          <t>GOTLAND</t>
        </is>
      </c>
      <c r="G104" t="n">
        <v>7.9</v>
      </c>
      <c r="H104" t="n">
        <v>1</v>
      </c>
      <c r="I104" t="n">
        <v>0</v>
      </c>
      <c r="J104" t="n">
        <v>2</v>
      </c>
      <c r="K104" t="n">
        <v>0</v>
      </c>
      <c r="L104" t="n">
        <v>0</v>
      </c>
      <c r="M104" t="n">
        <v>0</v>
      </c>
      <c r="N104" t="n">
        <v>0</v>
      </c>
      <c r="O104" t="n">
        <v>2</v>
      </c>
      <c r="P104" t="n">
        <v>0</v>
      </c>
      <c r="Q104" t="n">
        <v>3</v>
      </c>
      <c r="R104" s="2" t="inlineStr">
        <is>
          <t>Klasefibbla
Majviva
Nattviol</t>
        </is>
      </c>
      <c r="S104">
        <f>HYPERLINK("https://klasma.github.io/Logging_0980/artfynd/A 30490-2025 artfynd.xlsx", "A 30490-2025")</f>
        <v/>
      </c>
      <c r="T104">
        <f>HYPERLINK("https://klasma.github.io/Logging_0980/kartor/A 30490-2025 karta.png", "A 30490-2025")</f>
        <v/>
      </c>
      <c r="V104">
        <f>HYPERLINK("https://klasma.github.io/Logging_0980/klagomål/A 30490-2025 FSC-klagomål.docx", "A 30490-2025")</f>
        <v/>
      </c>
      <c r="W104">
        <f>HYPERLINK("https://klasma.github.io/Logging_0980/klagomålsmail/A 30490-2025 FSC-klagomål mail.docx", "A 30490-2025")</f>
        <v/>
      </c>
      <c r="X104">
        <f>HYPERLINK("https://klasma.github.io/Logging_0980/tillsyn/A 30490-2025 tillsynsbegäran.docx", "A 30490-2025")</f>
        <v/>
      </c>
      <c r="Y104">
        <f>HYPERLINK("https://klasma.github.io/Logging_0980/tillsynsmail/A 30490-2025 tillsynsbegäran mail.docx", "A 30490-2025")</f>
        <v/>
      </c>
    </row>
    <row r="105" ht="15" customHeight="1">
      <c r="A105" t="inlineStr">
        <is>
          <t>A 12315-2024</t>
        </is>
      </c>
      <c r="B105" s="1" t="n">
        <v>45378.6434837963</v>
      </c>
      <c r="C105" s="1" t="n">
        <v>45925</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29870-2021</t>
        </is>
      </c>
      <c r="B106" s="1" t="n">
        <v>44362</v>
      </c>
      <c r="C106" s="1" t="n">
        <v>45925</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45925</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45925</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45925</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45925</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45925</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45925</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55649-2024</t>
        </is>
      </c>
      <c r="B113" s="1" t="n">
        <v>45622.63053240741</v>
      </c>
      <c r="C113" s="1" t="n">
        <v>45925</v>
      </c>
      <c r="D113" t="inlineStr">
        <is>
          <t>GOTLANDS LÄN</t>
        </is>
      </c>
      <c r="E113" t="inlineStr">
        <is>
          <t>GOTLAND</t>
        </is>
      </c>
      <c r="G113" t="n">
        <v>4.6</v>
      </c>
      <c r="H113" t="n">
        <v>2</v>
      </c>
      <c r="I113" t="n">
        <v>0</v>
      </c>
      <c r="J113" t="n">
        <v>0</v>
      </c>
      <c r="K113" t="n">
        <v>0</v>
      </c>
      <c r="L113" t="n">
        <v>0</v>
      </c>
      <c r="M113" t="n">
        <v>0</v>
      </c>
      <c r="N113" t="n">
        <v>0</v>
      </c>
      <c r="O113" t="n">
        <v>0</v>
      </c>
      <c r="P113" t="n">
        <v>0</v>
      </c>
      <c r="Q113" t="n">
        <v>2</v>
      </c>
      <c r="R113" s="2" t="inlineStr">
        <is>
          <t>Sankt pers nycklar
Blåsippa</t>
        </is>
      </c>
      <c r="S113">
        <f>HYPERLINK("https://klasma.github.io/Logging_0980/artfynd/A 55649-2024 artfynd.xlsx", "A 55649-2024")</f>
        <v/>
      </c>
      <c r="T113">
        <f>HYPERLINK("https://klasma.github.io/Logging_0980/kartor/A 55649-2024 karta.png", "A 55649-2024")</f>
        <v/>
      </c>
      <c r="V113">
        <f>HYPERLINK("https://klasma.github.io/Logging_0980/klagomål/A 55649-2024 FSC-klagomål.docx", "A 55649-2024")</f>
        <v/>
      </c>
      <c r="W113">
        <f>HYPERLINK("https://klasma.github.io/Logging_0980/klagomålsmail/A 55649-2024 FSC-klagomål mail.docx", "A 55649-2024")</f>
        <v/>
      </c>
      <c r="X113">
        <f>HYPERLINK("https://klasma.github.io/Logging_0980/tillsyn/A 55649-2024 tillsynsbegäran.docx", "A 55649-2024")</f>
        <v/>
      </c>
      <c r="Y113">
        <f>HYPERLINK("https://klasma.github.io/Logging_0980/tillsynsmail/A 55649-2024 tillsynsbegäran mail.docx", "A 55649-2024")</f>
        <v/>
      </c>
    </row>
    <row r="114" ht="15" customHeight="1">
      <c r="A114" t="inlineStr">
        <is>
          <t>A 41238-2025</t>
        </is>
      </c>
      <c r="B114" s="1" t="n">
        <v>45898</v>
      </c>
      <c r="C114" s="1" t="n">
        <v>45925</v>
      </c>
      <c r="D114" t="inlineStr">
        <is>
          <t>GOTLANDS LÄN</t>
        </is>
      </c>
      <c r="E114" t="inlineStr">
        <is>
          <t>GOTLAND</t>
        </is>
      </c>
      <c r="G114" t="n">
        <v>7.1</v>
      </c>
      <c r="H114" t="n">
        <v>1</v>
      </c>
      <c r="I114" t="n">
        <v>2</v>
      </c>
      <c r="J114" t="n">
        <v>0</v>
      </c>
      <c r="K114" t="n">
        <v>0</v>
      </c>
      <c r="L114" t="n">
        <v>0</v>
      </c>
      <c r="M114" t="n">
        <v>0</v>
      </c>
      <c r="N114" t="n">
        <v>0</v>
      </c>
      <c r="O114" t="n">
        <v>0</v>
      </c>
      <c r="P114" t="n">
        <v>0</v>
      </c>
      <c r="Q114" t="n">
        <v>2</v>
      </c>
      <c r="R114" s="2" t="inlineStr">
        <is>
          <t>Granbarkgnagare
Skogsknipprot</t>
        </is>
      </c>
      <c r="S114">
        <f>HYPERLINK("https://klasma.github.io/Logging_0980/artfynd/A 41238-2025 artfynd.xlsx", "A 41238-2025")</f>
        <v/>
      </c>
      <c r="T114">
        <f>HYPERLINK("https://klasma.github.io/Logging_0980/kartor/A 41238-2025 karta.png", "A 41238-2025")</f>
        <v/>
      </c>
      <c r="V114">
        <f>HYPERLINK("https://klasma.github.io/Logging_0980/klagomål/A 41238-2025 FSC-klagomål.docx", "A 41238-2025")</f>
        <v/>
      </c>
      <c r="W114">
        <f>HYPERLINK("https://klasma.github.io/Logging_0980/klagomålsmail/A 41238-2025 FSC-klagomål mail.docx", "A 41238-2025")</f>
        <v/>
      </c>
      <c r="X114">
        <f>HYPERLINK("https://klasma.github.io/Logging_0980/tillsyn/A 41238-2025 tillsynsbegäran.docx", "A 41238-2025")</f>
        <v/>
      </c>
      <c r="Y114">
        <f>HYPERLINK("https://klasma.github.io/Logging_0980/tillsynsmail/A 41238-2025 tillsynsbegäran mail.docx", "A 41238-2025")</f>
        <v/>
      </c>
    </row>
    <row r="115" ht="15" customHeight="1">
      <c r="A115" t="inlineStr">
        <is>
          <t>A 26077-2024</t>
        </is>
      </c>
      <c r="B115" s="1" t="n">
        <v>45467</v>
      </c>
      <c r="C115" s="1" t="n">
        <v>45925</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45925</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73144-2021</t>
        </is>
      </c>
      <c r="B117" s="1" t="n">
        <v>44550</v>
      </c>
      <c r="C117" s="1" t="n">
        <v>45925</v>
      </c>
      <c r="D117" t="inlineStr">
        <is>
          <t>GOTLANDS LÄN</t>
        </is>
      </c>
      <c r="E117" t="inlineStr">
        <is>
          <t>GOTLAND</t>
        </is>
      </c>
      <c r="G117" t="n">
        <v>1.9</v>
      </c>
      <c r="H117" t="n">
        <v>0</v>
      </c>
      <c r="I117" t="n">
        <v>1</v>
      </c>
      <c r="J117" t="n">
        <v>0</v>
      </c>
      <c r="K117" t="n">
        <v>1</v>
      </c>
      <c r="L117" t="n">
        <v>0</v>
      </c>
      <c r="M117" t="n">
        <v>0</v>
      </c>
      <c r="N117" t="n">
        <v>0</v>
      </c>
      <c r="O117" t="n">
        <v>1</v>
      </c>
      <c r="P117" t="n">
        <v>1</v>
      </c>
      <c r="Q117" t="n">
        <v>2</v>
      </c>
      <c r="R117" s="2" t="inlineStr">
        <is>
          <t>Skogskorn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20838-2024</t>
        </is>
      </c>
      <c r="B118" s="1" t="n">
        <v>45439</v>
      </c>
      <c r="C118" s="1" t="n">
        <v>45925</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28276-2024</t>
        </is>
      </c>
      <c r="B119" s="1" t="n">
        <v>45477</v>
      </c>
      <c r="C119" s="1" t="n">
        <v>45925</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64263-2020</t>
        </is>
      </c>
      <c r="B120" s="1" t="n">
        <v>44168</v>
      </c>
      <c r="C120" s="1" t="n">
        <v>45925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21879-2025</t>
        </is>
      </c>
      <c r="B121" s="1" t="n">
        <v>45784.40533564815</v>
      </c>
      <c r="C121" s="1" t="n">
        <v>45925</v>
      </c>
      <c r="D121" t="inlineStr">
        <is>
          <t>GOTLANDS LÄN</t>
        </is>
      </c>
      <c r="E121" t="inlineStr">
        <is>
          <t>GOTLAND</t>
        </is>
      </c>
      <c r="G121" t="n">
        <v>11.1</v>
      </c>
      <c r="H121" t="n">
        <v>0</v>
      </c>
      <c r="I121" t="n">
        <v>1</v>
      </c>
      <c r="J121" t="n">
        <v>0</v>
      </c>
      <c r="K121" t="n">
        <v>0</v>
      </c>
      <c r="L121" t="n">
        <v>1</v>
      </c>
      <c r="M121" t="n">
        <v>0</v>
      </c>
      <c r="N121" t="n">
        <v>0</v>
      </c>
      <c r="O121" t="n">
        <v>1</v>
      </c>
      <c r="P121" t="n">
        <v>1</v>
      </c>
      <c r="Q121" t="n">
        <v>2</v>
      </c>
      <c r="R121" s="2" t="inlineStr">
        <is>
          <t>Ask
Murgröna</t>
        </is>
      </c>
      <c r="S121">
        <f>HYPERLINK("https://klasma.github.io/Logging_0980/artfynd/A 21879-2025 artfynd.xlsx", "A 21879-2025")</f>
        <v/>
      </c>
      <c r="T121">
        <f>HYPERLINK("https://klasma.github.io/Logging_0980/kartor/A 21879-2025 karta.png", "A 21879-2025")</f>
        <v/>
      </c>
      <c r="V121">
        <f>HYPERLINK("https://klasma.github.io/Logging_0980/klagomål/A 21879-2025 FSC-klagomål.docx", "A 21879-2025")</f>
        <v/>
      </c>
      <c r="W121">
        <f>HYPERLINK("https://klasma.github.io/Logging_0980/klagomålsmail/A 21879-2025 FSC-klagomål mail.docx", "A 21879-2025")</f>
        <v/>
      </c>
      <c r="X121">
        <f>HYPERLINK("https://klasma.github.io/Logging_0980/tillsyn/A 21879-2025 tillsynsbegäran.docx", "A 21879-2025")</f>
        <v/>
      </c>
      <c r="Y121">
        <f>HYPERLINK("https://klasma.github.io/Logging_0980/tillsynsmail/A 21879-2025 tillsynsbegäran mail.docx", "A 21879-2025")</f>
        <v/>
      </c>
    </row>
    <row r="122" ht="15" customHeight="1">
      <c r="A122" t="inlineStr">
        <is>
          <t>A 54357-2024</t>
        </is>
      </c>
      <c r="B122" s="1" t="n">
        <v>45617.40662037037</v>
      </c>
      <c r="C122" s="1" t="n">
        <v>45925</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7070-2022</t>
        </is>
      </c>
      <c r="B123" s="1" t="n">
        <v>44603</v>
      </c>
      <c r="C123" s="1" t="n">
        <v>45925</v>
      </c>
      <c r="D123" t="inlineStr">
        <is>
          <t>GOTLANDS LÄN</t>
        </is>
      </c>
      <c r="E123" t="inlineStr">
        <is>
          <t>GOTLAND</t>
        </is>
      </c>
      <c r="G123" t="n">
        <v>2.6</v>
      </c>
      <c r="H123" t="n">
        <v>0</v>
      </c>
      <c r="I123" t="n">
        <v>2</v>
      </c>
      <c r="J123" t="n">
        <v>0</v>
      </c>
      <c r="K123" t="n">
        <v>0</v>
      </c>
      <c r="L123" t="n">
        <v>0</v>
      </c>
      <c r="M123" t="n">
        <v>0</v>
      </c>
      <c r="N123" t="n">
        <v>0</v>
      </c>
      <c r="O123" t="n">
        <v>0</v>
      </c>
      <c r="P123" t="n">
        <v>0</v>
      </c>
      <c r="Q123" t="n">
        <v>2</v>
      </c>
      <c r="R123" s="2" t="inlineStr">
        <is>
          <t>Blåmossa
Kattfotslav</t>
        </is>
      </c>
      <c r="S123">
        <f>HYPERLINK("https://klasma.github.io/Logging_0980/artfynd/A 7070-2022 artfynd.xlsx", "A 7070-2022")</f>
        <v/>
      </c>
      <c r="T123">
        <f>HYPERLINK("https://klasma.github.io/Logging_0980/kartor/A 7070-2022 karta.png", "A 7070-2022")</f>
        <v/>
      </c>
      <c r="V123">
        <f>HYPERLINK("https://klasma.github.io/Logging_0980/klagomål/A 7070-2022 FSC-klagomål.docx", "A 7070-2022")</f>
        <v/>
      </c>
      <c r="W123">
        <f>HYPERLINK("https://klasma.github.io/Logging_0980/klagomålsmail/A 7070-2022 FSC-klagomål mail.docx", "A 7070-2022")</f>
        <v/>
      </c>
      <c r="X123">
        <f>HYPERLINK("https://klasma.github.io/Logging_0980/tillsyn/A 7070-2022 tillsynsbegäran.docx", "A 7070-2022")</f>
        <v/>
      </c>
      <c r="Y123">
        <f>HYPERLINK("https://klasma.github.io/Logging_0980/tillsynsmail/A 7070-2022 tillsynsbegäran mail.docx", "A 7070-2022")</f>
        <v/>
      </c>
    </row>
    <row r="124" ht="15" customHeight="1">
      <c r="A124" t="inlineStr">
        <is>
          <t>A 43219-2023</t>
        </is>
      </c>
      <c r="B124" s="1" t="n">
        <v>45183</v>
      </c>
      <c r="C124" s="1" t="n">
        <v>45925</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12914-2025</t>
        </is>
      </c>
      <c r="B125" s="1" t="n">
        <v>45733</v>
      </c>
      <c r="C125" s="1" t="n">
        <v>45925</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28261-2024</t>
        </is>
      </c>
      <c r="B126" s="1" t="n">
        <v>45477</v>
      </c>
      <c r="C126" s="1" t="n">
        <v>45925</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24-2021</t>
        </is>
      </c>
      <c r="B127" s="1" t="n">
        <v>44197</v>
      </c>
      <c r="C127" s="1" t="n">
        <v>45925</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45925</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45925</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45925</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10218-2025</t>
        </is>
      </c>
      <c r="B131" s="1" t="n">
        <v>45720</v>
      </c>
      <c r="C131" s="1" t="n">
        <v>45925</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20429-2025</t>
        </is>
      </c>
      <c r="B132" s="1" t="n">
        <v>45775.47728009259</v>
      </c>
      <c r="C132" s="1" t="n">
        <v>45925</v>
      </c>
      <c r="D132" t="inlineStr">
        <is>
          <t>GOTLANDS LÄN</t>
        </is>
      </c>
      <c r="E132" t="inlineStr">
        <is>
          <t>GOTLAND</t>
        </is>
      </c>
      <c r="G132" t="n">
        <v>1.4</v>
      </c>
      <c r="H132" t="n">
        <v>1</v>
      </c>
      <c r="I132" t="n">
        <v>0</v>
      </c>
      <c r="J132" t="n">
        <v>0</v>
      </c>
      <c r="K132" t="n">
        <v>0</v>
      </c>
      <c r="L132" t="n">
        <v>0</v>
      </c>
      <c r="M132" t="n">
        <v>0</v>
      </c>
      <c r="N132" t="n">
        <v>0</v>
      </c>
      <c r="O132" t="n">
        <v>0</v>
      </c>
      <c r="P132" t="n">
        <v>0</v>
      </c>
      <c r="Q132" t="n">
        <v>1</v>
      </c>
      <c r="R132" s="2" t="inlineStr">
        <is>
          <t>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12379-2024</t>
        </is>
      </c>
      <c r="B133" s="1" t="n">
        <v>45379.28155092592</v>
      </c>
      <c r="C133" s="1" t="n">
        <v>45925</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45925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39812-2025</t>
        </is>
      </c>
      <c r="B135" s="1" t="n">
        <v>45891</v>
      </c>
      <c r="C135" s="1" t="n">
        <v>45925</v>
      </c>
      <c r="D135" t="inlineStr">
        <is>
          <t>GOTLANDS LÄN</t>
        </is>
      </c>
      <c r="E135" t="inlineStr">
        <is>
          <t>GOTLAND</t>
        </is>
      </c>
      <c r="G135" t="n">
        <v>6</v>
      </c>
      <c r="H135" t="n">
        <v>1</v>
      </c>
      <c r="I135" t="n">
        <v>0</v>
      </c>
      <c r="J135" t="n">
        <v>0</v>
      </c>
      <c r="K135" t="n">
        <v>0</v>
      </c>
      <c r="L135" t="n">
        <v>1</v>
      </c>
      <c r="M135" t="n">
        <v>0</v>
      </c>
      <c r="N135" t="n">
        <v>0</v>
      </c>
      <c r="O135" t="n">
        <v>1</v>
      </c>
      <c r="P135" t="n">
        <v>1</v>
      </c>
      <c r="Q135" t="n">
        <v>1</v>
      </c>
      <c r="R135" s="2" t="inlineStr">
        <is>
          <t>Nålkörvel</t>
        </is>
      </c>
      <c r="S135">
        <f>HYPERLINK("https://klasma.github.io/Logging_0980/artfynd/A 39812-2025 artfynd.xlsx", "A 39812-2025")</f>
        <v/>
      </c>
      <c r="T135">
        <f>HYPERLINK("https://klasma.github.io/Logging_0980/kartor/A 39812-2025 karta.png", "A 39812-2025")</f>
        <v/>
      </c>
      <c r="V135">
        <f>HYPERLINK("https://klasma.github.io/Logging_0980/klagomål/A 39812-2025 FSC-klagomål.docx", "A 39812-2025")</f>
        <v/>
      </c>
      <c r="W135">
        <f>HYPERLINK("https://klasma.github.io/Logging_0980/klagomålsmail/A 39812-2025 FSC-klagomål mail.docx", "A 39812-2025")</f>
        <v/>
      </c>
      <c r="X135">
        <f>HYPERLINK("https://klasma.github.io/Logging_0980/tillsyn/A 39812-2025 tillsynsbegäran.docx", "A 39812-2025")</f>
        <v/>
      </c>
      <c r="Y135">
        <f>HYPERLINK("https://klasma.github.io/Logging_0980/tillsynsmail/A 39812-2025 tillsynsbegäran mail.docx", "A 39812-2025")</f>
        <v/>
      </c>
    </row>
    <row r="136" ht="15" customHeight="1">
      <c r="A136" t="inlineStr">
        <is>
          <t>A 15637-2024</t>
        </is>
      </c>
      <c r="B136" s="1" t="n">
        <v>45403.6684837963</v>
      </c>
      <c r="C136" s="1" t="n">
        <v>45925</v>
      </c>
      <c r="D136" t="inlineStr">
        <is>
          <t>GOTLANDS LÄN</t>
        </is>
      </c>
      <c r="E136" t="inlineStr">
        <is>
          <t>GOTLAND</t>
        </is>
      </c>
      <c r="G136" t="n">
        <v>4.1</v>
      </c>
      <c r="H136" t="n">
        <v>1</v>
      </c>
      <c r="I136" t="n">
        <v>0</v>
      </c>
      <c r="J136" t="n">
        <v>0</v>
      </c>
      <c r="K136" t="n">
        <v>0</v>
      </c>
      <c r="L136" t="n">
        <v>0</v>
      </c>
      <c r="M136" t="n">
        <v>0</v>
      </c>
      <c r="N136" t="n">
        <v>0</v>
      </c>
      <c r="O136" t="n">
        <v>0</v>
      </c>
      <c r="P136" t="n">
        <v>0</v>
      </c>
      <c r="Q136" t="n">
        <v>1</v>
      </c>
      <c r="R136" s="2" t="inlineStr">
        <is>
          <t>Blåsippa</t>
        </is>
      </c>
      <c r="S136">
        <f>HYPERLINK("https://klasma.github.io/Logging_0980/artfynd/A 15637-2024 artfynd.xlsx", "A 15637-2024")</f>
        <v/>
      </c>
      <c r="T136">
        <f>HYPERLINK("https://klasma.github.io/Logging_0980/kartor/A 15637-2024 karta.png", "A 15637-2024")</f>
        <v/>
      </c>
      <c r="V136">
        <f>HYPERLINK("https://klasma.github.io/Logging_0980/klagomål/A 15637-2024 FSC-klagomål.docx", "A 15637-2024")</f>
        <v/>
      </c>
      <c r="W136">
        <f>HYPERLINK("https://klasma.github.io/Logging_0980/klagomålsmail/A 15637-2024 FSC-klagomål mail.docx", "A 15637-2024")</f>
        <v/>
      </c>
      <c r="X136">
        <f>HYPERLINK("https://klasma.github.io/Logging_0980/tillsyn/A 15637-2024 tillsynsbegäran.docx", "A 15637-2024")</f>
        <v/>
      </c>
      <c r="Y136">
        <f>HYPERLINK("https://klasma.github.io/Logging_0980/tillsynsmail/A 15637-2024 tillsynsbegäran mail.docx", "A 15637-2024")</f>
        <v/>
      </c>
    </row>
    <row r="137" ht="15" customHeight="1">
      <c r="A137" t="inlineStr">
        <is>
          <t>A 63299-2020</t>
        </is>
      </c>
      <c r="B137" s="1" t="n">
        <v>44165</v>
      </c>
      <c r="C137" s="1" t="n">
        <v>45925</v>
      </c>
      <c r="D137" t="inlineStr">
        <is>
          <t>GOTLANDS LÄN</t>
        </is>
      </c>
      <c r="E137" t="inlineStr">
        <is>
          <t>GOTLAND</t>
        </is>
      </c>
      <c r="G137" t="n">
        <v>12.9</v>
      </c>
      <c r="H137" t="n">
        <v>1</v>
      </c>
      <c r="I137" t="n">
        <v>0</v>
      </c>
      <c r="J137" t="n">
        <v>1</v>
      </c>
      <c r="K137" t="n">
        <v>0</v>
      </c>
      <c r="L137" t="n">
        <v>0</v>
      </c>
      <c r="M137" t="n">
        <v>0</v>
      </c>
      <c r="N137" t="n">
        <v>0</v>
      </c>
      <c r="O137" t="n">
        <v>1</v>
      </c>
      <c r="P137" t="n">
        <v>0</v>
      </c>
      <c r="Q137" t="n">
        <v>1</v>
      </c>
      <c r="R137" s="2" t="inlineStr">
        <is>
          <t>Svartfläckig blåvinge</t>
        </is>
      </c>
      <c r="S137">
        <f>HYPERLINK("https://klasma.github.io/Logging_0980/artfynd/A 63299-2020 artfynd.xlsx", "A 63299-2020")</f>
        <v/>
      </c>
      <c r="T137">
        <f>HYPERLINK("https://klasma.github.io/Logging_0980/kartor/A 63299-2020 karta.png", "A 63299-2020")</f>
        <v/>
      </c>
      <c r="V137">
        <f>HYPERLINK("https://klasma.github.io/Logging_0980/klagomål/A 63299-2020 FSC-klagomål.docx", "A 63299-2020")</f>
        <v/>
      </c>
      <c r="W137">
        <f>HYPERLINK("https://klasma.github.io/Logging_0980/klagomålsmail/A 63299-2020 FSC-klagomål mail.docx", "A 63299-2020")</f>
        <v/>
      </c>
      <c r="X137">
        <f>HYPERLINK("https://klasma.github.io/Logging_0980/tillsyn/A 63299-2020 tillsynsbegäran.docx", "A 63299-2020")</f>
        <v/>
      </c>
      <c r="Y137">
        <f>HYPERLINK("https://klasma.github.io/Logging_0980/tillsynsmail/A 63299-2020 tillsynsbegäran mail.docx", "A 63299-2020")</f>
        <v/>
      </c>
    </row>
    <row r="138" ht="15" customHeight="1">
      <c r="A138" t="inlineStr">
        <is>
          <t>A 27168-2022</t>
        </is>
      </c>
      <c r="B138" s="1" t="n">
        <v>44741</v>
      </c>
      <c r="C138" s="1" t="n">
        <v>45925</v>
      </c>
      <c r="D138" t="inlineStr">
        <is>
          <t>GOTLANDS LÄN</t>
        </is>
      </c>
      <c r="E138" t="inlineStr">
        <is>
          <t>GOTLAND</t>
        </is>
      </c>
      <c r="G138" t="n">
        <v>2.2</v>
      </c>
      <c r="H138" t="n">
        <v>1</v>
      </c>
      <c r="I138" t="n">
        <v>1</v>
      </c>
      <c r="J138" t="n">
        <v>0</v>
      </c>
      <c r="K138" t="n">
        <v>0</v>
      </c>
      <c r="L138" t="n">
        <v>0</v>
      </c>
      <c r="M138" t="n">
        <v>0</v>
      </c>
      <c r="N138" t="n">
        <v>0</v>
      </c>
      <c r="O138" t="n">
        <v>0</v>
      </c>
      <c r="P138" t="n">
        <v>0</v>
      </c>
      <c r="Q138" t="n">
        <v>1</v>
      </c>
      <c r="R138" s="2" t="inlineStr">
        <is>
          <t>Purpurknipprot</t>
        </is>
      </c>
      <c r="S138">
        <f>HYPERLINK("https://klasma.github.io/Logging_0980/artfynd/A 27168-2022 artfynd.xlsx", "A 27168-2022")</f>
        <v/>
      </c>
      <c r="T138">
        <f>HYPERLINK("https://klasma.github.io/Logging_0980/kartor/A 27168-2022 karta.png", "A 27168-2022")</f>
        <v/>
      </c>
      <c r="V138">
        <f>HYPERLINK("https://klasma.github.io/Logging_0980/klagomål/A 27168-2022 FSC-klagomål.docx", "A 27168-2022")</f>
        <v/>
      </c>
      <c r="W138">
        <f>HYPERLINK("https://klasma.github.io/Logging_0980/klagomålsmail/A 27168-2022 FSC-klagomål mail.docx", "A 27168-2022")</f>
        <v/>
      </c>
      <c r="X138">
        <f>HYPERLINK("https://klasma.github.io/Logging_0980/tillsyn/A 27168-2022 tillsynsbegäran.docx", "A 27168-2022")</f>
        <v/>
      </c>
      <c r="Y138">
        <f>HYPERLINK("https://klasma.github.io/Logging_0980/tillsynsmail/A 27168-2022 tillsynsbegäran mail.docx", "A 27168-2022")</f>
        <v/>
      </c>
    </row>
    <row r="139" ht="15" customHeight="1">
      <c r="A139" t="inlineStr">
        <is>
          <t>A 22782-2023</t>
        </is>
      </c>
      <c r="B139" s="1" t="n">
        <v>45072</v>
      </c>
      <c r="C139" s="1" t="n">
        <v>45925</v>
      </c>
      <c r="D139" t="inlineStr">
        <is>
          <t>GOTLANDS LÄN</t>
        </is>
      </c>
      <c r="E139" t="inlineStr">
        <is>
          <t>GOTLAND</t>
        </is>
      </c>
      <c r="F139" t="inlineStr">
        <is>
          <t>Kyrkan</t>
        </is>
      </c>
      <c r="G139" t="n">
        <v>3.1</v>
      </c>
      <c r="H139" t="n">
        <v>1</v>
      </c>
      <c r="I139" t="n">
        <v>0</v>
      </c>
      <c r="J139" t="n">
        <v>0</v>
      </c>
      <c r="K139" t="n">
        <v>0</v>
      </c>
      <c r="L139" t="n">
        <v>0</v>
      </c>
      <c r="M139" t="n">
        <v>0</v>
      </c>
      <c r="N139" t="n">
        <v>0</v>
      </c>
      <c r="O139" t="n">
        <v>0</v>
      </c>
      <c r="P139" t="n">
        <v>0</v>
      </c>
      <c r="Q139" t="n">
        <v>1</v>
      </c>
      <c r="R139" s="2" t="inlineStr">
        <is>
          <t>Ängsnycklar × skogsnycklar</t>
        </is>
      </c>
      <c r="S139">
        <f>HYPERLINK("https://klasma.github.io/Logging_0980/artfynd/A 22782-2023 artfynd.xlsx", "A 22782-2023")</f>
        <v/>
      </c>
      <c r="T139">
        <f>HYPERLINK("https://klasma.github.io/Logging_0980/kartor/A 22782-2023 karta.png", "A 22782-2023")</f>
        <v/>
      </c>
      <c r="V139">
        <f>HYPERLINK("https://klasma.github.io/Logging_0980/klagomål/A 22782-2023 FSC-klagomål.docx", "A 22782-2023")</f>
        <v/>
      </c>
      <c r="W139">
        <f>HYPERLINK("https://klasma.github.io/Logging_0980/klagomålsmail/A 22782-2023 FSC-klagomål mail.docx", "A 22782-2023")</f>
        <v/>
      </c>
      <c r="X139">
        <f>HYPERLINK("https://klasma.github.io/Logging_0980/tillsyn/A 22782-2023 tillsynsbegäran.docx", "A 22782-2023")</f>
        <v/>
      </c>
      <c r="Y139">
        <f>HYPERLINK("https://klasma.github.io/Logging_0980/tillsynsmail/A 22782-2023 tillsynsbegäran mail.docx", "A 22782-2023")</f>
        <v/>
      </c>
    </row>
    <row r="140" ht="15" customHeight="1">
      <c r="A140" t="inlineStr">
        <is>
          <t>A 2476-2025</t>
        </is>
      </c>
      <c r="B140" s="1" t="n">
        <v>45673</v>
      </c>
      <c r="C140" s="1" t="n">
        <v>45925</v>
      </c>
      <c r="D140" t="inlineStr">
        <is>
          <t>GOTLANDS LÄN</t>
        </is>
      </c>
      <c r="E140" t="inlineStr">
        <is>
          <t>GOTLAND</t>
        </is>
      </c>
      <c r="G140" t="n">
        <v>3.1</v>
      </c>
      <c r="H140" t="n">
        <v>0</v>
      </c>
      <c r="I140" t="n">
        <v>1</v>
      </c>
      <c r="J140" t="n">
        <v>0</v>
      </c>
      <c r="K140" t="n">
        <v>0</v>
      </c>
      <c r="L140" t="n">
        <v>0</v>
      </c>
      <c r="M140" t="n">
        <v>0</v>
      </c>
      <c r="N140" t="n">
        <v>0</v>
      </c>
      <c r="O140" t="n">
        <v>0</v>
      </c>
      <c r="P140" t="n">
        <v>0</v>
      </c>
      <c r="Q140" t="n">
        <v>1</v>
      </c>
      <c r="R140" s="2" t="inlineStr">
        <is>
          <t>Kryddspindling</t>
        </is>
      </c>
      <c r="S140">
        <f>HYPERLINK("https://klasma.github.io/Logging_0980/artfynd/A 2476-2025 artfynd.xlsx", "A 2476-2025")</f>
        <v/>
      </c>
      <c r="T140">
        <f>HYPERLINK("https://klasma.github.io/Logging_0980/kartor/A 2476-2025 karta.png", "A 2476-2025")</f>
        <v/>
      </c>
      <c r="V140">
        <f>HYPERLINK("https://klasma.github.io/Logging_0980/klagomål/A 2476-2025 FSC-klagomål.docx", "A 2476-2025")</f>
        <v/>
      </c>
      <c r="W140">
        <f>HYPERLINK("https://klasma.github.io/Logging_0980/klagomålsmail/A 2476-2025 FSC-klagomål mail.docx", "A 2476-2025")</f>
        <v/>
      </c>
      <c r="X140">
        <f>HYPERLINK("https://klasma.github.io/Logging_0980/tillsyn/A 2476-2025 tillsynsbegäran.docx", "A 2476-2025")</f>
        <v/>
      </c>
      <c r="Y140">
        <f>HYPERLINK("https://klasma.github.io/Logging_0980/tillsynsmail/A 2476-2025 tillsynsbegäran mail.docx", "A 2476-2025")</f>
        <v/>
      </c>
    </row>
    <row r="141" ht="15" customHeight="1">
      <c r="A141" t="inlineStr">
        <is>
          <t>A 25977-2024</t>
        </is>
      </c>
      <c r="B141" s="1" t="n">
        <v>45467.69356481481</v>
      </c>
      <c r="C141" s="1" t="n">
        <v>45925</v>
      </c>
      <c r="D141" t="inlineStr">
        <is>
          <t>GOTLANDS LÄN</t>
        </is>
      </c>
      <c r="E141" t="inlineStr">
        <is>
          <t>GOTLAND</t>
        </is>
      </c>
      <c r="G141" t="n">
        <v>3</v>
      </c>
      <c r="H141" t="n">
        <v>1</v>
      </c>
      <c r="I141" t="n">
        <v>0</v>
      </c>
      <c r="J141" t="n">
        <v>0</v>
      </c>
      <c r="K141" t="n">
        <v>0</v>
      </c>
      <c r="L141" t="n">
        <v>0</v>
      </c>
      <c r="M141" t="n">
        <v>0</v>
      </c>
      <c r="N141" t="n">
        <v>0</v>
      </c>
      <c r="O141" t="n">
        <v>0</v>
      </c>
      <c r="P141" t="n">
        <v>0</v>
      </c>
      <c r="Q141" t="n">
        <v>1</v>
      </c>
      <c r="R141" s="2" t="inlineStr">
        <is>
          <t>Nattviol</t>
        </is>
      </c>
      <c r="S141">
        <f>HYPERLINK("https://klasma.github.io/Logging_0980/artfynd/A 25977-2024 artfynd.xlsx", "A 25977-2024")</f>
        <v/>
      </c>
      <c r="T141">
        <f>HYPERLINK("https://klasma.github.io/Logging_0980/kartor/A 25977-2024 karta.png", "A 25977-2024")</f>
        <v/>
      </c>
      <c r="V141">
        <f>HYPERLINK("https://klasma.github.io/Logging_0980/klagomål/A 25977-2024 FSC-klagomål.docx", "A 25977-2024")</f>
        <v/>
      </c>
      <c r="W141">
        <f>HYPERLINK("https://klasma.github.io/Logging_0980/klagomålsmail/A 25977-2024 FSC-klagomål mail.docx", "A 25977-2024")</f>
        <v/>
      </c>
      <c r="X141">
        <f>HYPERLINK("https://klasma.github.io/Logging_0980/tillsyn/A 25977-2024 tillsynsbegäran.docx", "A 25977-2024")</f>
        <v/>
      </c>
      <c r="Y141">
        <f>HYPERLINK("https://klasma.github.io/Logging_0980/tillsynsmail/A 25977-2024 tillsynsbegäran mail.docx", "A 25977-2024")</f>
        <v/>
      </c>
    </row>
    <row r="142" ht="15" customHeight="1">
      <c r="A142" t="inlineStr">
        <is>
          <t>A 10995-2023</t>
        </is>
      </c>
      <c r="B142" s="1" t="n">
        <v>44986</v>
      </c>
      <c r="C142" s="1" t="n">
        <v>45925</v>
      </c>
      <c r="D142" t="inlineStr">
        <is>
          <t>GOTLANDS LÄN</t>
        </is>
      </c>
      <c r="E142" t="inlineStr">
        <is>
          <t>GOTLAND</t>
        </is>
      </c>
      <c r="G142" t="n">
        <v>2.8</v>
      </c>
      <c r="H142" t="n">
        <v>0</v>
      </c>
      <c r="I142" t="n">
        <v>0</v>
      </c>
      <c r="J142" t="n">
        <v>0</v>
      </c>
      <c r="K142" t="n">
        <v>1</v>
      </c>
      <c r="L142" t="n">
        <v>0</v>
      </c>
      <c r="M142" t="n">
        <v>0</v>
      </c>
      <c r="N142" t="n">
        <v>0</v>
      </c>
      <c r="O142" t="n">
        <v>1</v>
      </c>
      <c r="P142" t="n">
        <v>1</v>
      </c>
      <c r="Q142" t="n">
        <v>1</v>
      </c>
      <c r="R142" s="2" t="inlineStr">
        <is>
          <t>Violettfläckig spindling</t>
        </is>
      </c>
      <c r="S142">
        <f>HYPERLINK("https://klasma.github.io/Logging_0980/artfynd/A 10995-2023 artfynd.xlsx", "A 10995-2023")</f>
        <v/>
      </c>
      <c r="T142">
        <f>HYPERLINK("https://klasma.github.io/Logging_0980/kartor/A 10995-2023 karta.png", "A 10995-2023")</f>
        <v/>
      </c>
      <c r="V142">
        <f>HYPERLINK("https://klasma.github.io/Logging_0980/klagomål/A 10995-2023 FSC-klagomål.docx", "A 10995-2023")</f>
        <v/>
      </c>
      <c r="W142">
        <f>HYPERLINK("https://klasma.github.io/Logging_0980/klagomålsmail/A 10995-2023 FSC-klagomål mail.docx", "A 10995-2023")</f>
        <v/>
      </c>
      <c r="X142">
        <f>HYPERLINK("https://klasma.github.io/Logging_0980/tillsyn/A 10995-2023 tillsynsbegäran.docx", "A 10995-2023")</f>
        <v/>
      </c>
      <c r="Y142">
        <f>HYPERLINK("https://klasma.github.io/Logging_0980/tillsynsmail/A 10995-2023 tillsynsbegäran mail.docx", "A 10995-2023")</f>
        <v/>
      </c>
    </row>
    <row r="143" ht="15" customHeight="1">
      <c r="A143" t="inlineStr">
        <is>
          <t>A 65927-2021</t>
        </is>
      </c>
      <c r="B143" s="1" t="n">
        <v>44516</v>
      </c>
      <c r="C143" s="1" t="n">
        <v>45925</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62552-2022</t>
        </is>
      </c>
      <c r="B144" s="1" t="n">
        <v>44924</v>
      </c>
      <c r="C144" s="1" t="n">
        <v>45925</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44619-2025</t>
        </is>
      </c>
      <c r="B145" s="1" t="n">
        <v>45917</v>
      </c>
      <c r="C145" s="1" t="n">
        <v>45925</v>
      </c>
      <c r="D145" t="inlineStr">
        <is>
          <t>GOTLANDS LÄN</t>
        </is>
      </c>
      <c r="E145" t="inlineStr">
        <is>
          <t>GOTLAND</t>
        </is>
      </c>
      <c r="G145" t="n">
        <v>4.3</v>
      </c>
      <c r="H145" t="n">
        <v>0</v>
      </c>
      <c r="I145" t="n">
        <v>1</v>
      </c>
      <c r="J145" t="n">
        <v>0</v>
      </c>
      <c r="K145" t="n">
        <v>0</v>
      </c>
      <c r="L145" t="n">
        <v>0</v>
      </c>
      <c r="M145" t="n">
        <v>0</v>
      </c>
      <c r="N145" t="n">
        <v>0</v>
      </c>
      <c r="O145" t="n">
        <v>0</v>
      </c>
      <c r="P145" t="n">
        <v>0</v>
      </c>
      <c r="Q145" t="n">
        <v>1</v>
      </c>
      <c r="R145" s="2" t="inlineStr">
        <is>
          <t>Ögonpyrola</t>
        </is>
      </c>
      <c r="S145">
        <f>HYPERLINK("https://klasma.github.io/Logging_0980/artfynd/A 44619-2025 artfynd.xlsx", "A 44619-2025")</f>
        <v/>
      </c>
      <c r="T145">
        <f>HYPERLINK("https://klasma.github.io/Logging_0980/kartor/A 44619-2025 karta.png", "A 44619-2025")</f>
        <v/>
      </c>
      <c r="V145">
        <f>HYPERLINK("https://klasma.github.io/Logging_0980/klagomål/A 44619-2025 FSC-klagomål.docx", "A 44619-2025")</f>
        <v/>
      </c>
      <c r="W145">
        <f>HYPERLINK("https://klasma.github.io/Logging_0980/klagomålsmail/A 44619-2025 FSC-klagomål mail.docx", "A 44619-2025")</f>
        <v/>
      </c>
      <c r="X145">
        <f>HYPERLINK("https://klasma.github.io/Logging_0980/tillsyn/A 44619-2025 tillsynsbegäran.docx", "A 44619-2025")</f>
        <v/>
      </c>
      <c r="Y145">
        <f>HYPERLINK("https://klasma.github.io/Logging_0980/tillsynsmail/A 44619-2025 tillsynsbegäran mail.docx", "A 44619-2025")</f>
        <v/>
      </c>
    </row>
    <row r="146" ht="15" customHeight="1">
      <c r="A146" t="inlineStr">
        <is>
          <t>A 61796-2022</t>
        </is>
      </c>
      <c r="B146" s="1" t="n">
        <v>44917</v>
      </c>
      <c r="C146" s="1" t="n">
        <v>45925</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24245-2022</t>
        </is>
      </c>
      <c r="B147" s="1" t="n">
        <v>44725</v>
      </c>
      <c r="C147" s="1" t="n">
        <v>45925</v>
      </c>
      <c r="D147" t="inlineStr">
        <is>
          <t>GOTLANDS LÄN</t>
        </is>
      </c>
      <c r="E147" t="inlineStr">
        <is>
          <t>GOTLAND</t>
        </is>
      </c>
      <c r="G147" t="n">
        <v>4.9</v>
      </c>
      <c r="H147" t="n">
        <v>0</v>
      </c>
      <c r="I147" t="n">
        <v>0</v>
      </c>
      <c r="J147" t="n">
        <v>0</v>
      </c>
      <c r="K147" t="n">
        <v>0</v>
      </c>
      <c r="L147" t="n">
        <v>1</v>
      </c>
      <c r="M147" t="n">
        <v>0</v>
      </c>
      <c r="N147" t="n">
        <v>0</v>
      </c>
      <c r="O147" t="n">
        <v>1</v>
      </c>
      <c r="P147" t="n">
        <v>1</v>
      </c>
      <c r="Q147" t="n">
        <v>1</v>
      </c>
      <c r="R147" s="2" t="inlineStr">
        <is>
          <t>Slät taggsvamp</t>
        </is>
      </c>
      <c r="S147">
        <f>HYPERLINK("https://klasma.github.io/Logging_0980/artfynd/A 24245-2022 artfynd.xlsx", "A 24245-2022")</f>
        <v/>
      </c>
      <c r="T147">
        <f>HYPERLINK("https://klasma.github.io/Logging_0980/kartor/A 24245-2022 karta.png", "A 24245-2022")</f>
        <v/>
      </c>
      <c r="V147">
        <f>HYPERLINK("https://klasma.github.io/Logging_0980/klagomål/A 24245-2022 FSC-klagomål.docx", "A 24245-2022")</f>
        <v/>
      </c>
      <c r="W147">
        <f>HYPERLINK("https://klasma.github.io/Logging_0980/klagomålsmail/A 24245-2022 FSC-klagomål mail.docx", "A 24245-2022")</f>
        <v/>
      </c>
      <c r="X147">
        <f>HYPERLINK("https://klasma.github.io/Logging_0980/tillsyn/A 24245-2022 tillsynsbegäran.docx", "A 24245-2022")</f>
        <v/>
      </c>
      <c r="Y147">
        <f>HYPERLINK("https://klasma.github.io/Logging_0980/tillsynsmail/A 24245-2022 tillsynsbegäran mail.docx", "A 24245-2022")</f>
        <v/>
      </c>
    </row>
    <row r="148" ht="15" customHeight="1">
      <c r="A148" t="inlineStr">
        <is>
          <t>A 44088-2022</t>
        </is>
      </c>
      <c r="B148" s="1" t="n">
        <v>44839</v>
      </c>
      <c r="C148" s="1" t="n">
        <v>45925</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12924-2025</t>
        </is>
      </c>
      <c r="B149" s="1" t="n">
        <v>45734</v>
      </c>
      <c r="C149" s="1" t="n">
        <v>45925</v>
      </c>
      <c r="D149" t="inlineStr">
        <is>
          <t>GOTLANDS LÄN</t>
        </is>
      </c>
      <c r="E149" t="inlineStr">
        <is>
          <t>GOTLAND</t>
        </is>
      </c>
      <c r="G149" t="n">
        <v>11.7</v>
      </c>
      <c r="H149" t="n">
        <v>0</v>
      </c>
      <c r="I149" t="n">
        <v>0</v>
      </c>
      <c r="J149" t="n">
        <v>0</v>
      </c>
      <c r="K149" t="n">
        <v>1</v>
      </c>
      <c r="L149" t="n">
        <v>0</v>
      </c>
      <c r="M149" t="n">
        <v>0</v>
      </c>
      <c r="N149" t="n">
        <v>0</v>
      </c>
      <c r="O149" t="n">
        <v>1</v>
      </c>
      <c r="P149" t="n">
        <v>1</v>
      </c>
      <c r="Q149" t="n">
        <v>1</v>
      </c>
      <c r="R149" s="2" t="inlineStr">
        <is>
          <t>Gotlandsmåra</t>
        </is>
      </c>
      <c r="S149">
        <f>HYPERLINK("https://klasma.github.io/Logging_0980/artfynd/A 12924-2025 artfynd.xlsx", "A 12924-2025")</f>
        <v/>
      </c>
      <c r="T149">
        <f>HYPERLINK("https://klasma.github.io/Logging_0980/kartor/A 12924-2025 karta.png", "A 12924-2025")</f>
        <v/>
      </c>
      <c r="V149">
        <f>HYPERLINK("https://klasma.github.io/Logging_0980/klagomål/A 12924-2025 FSC-klagomål.docx", "A 12924-2025")</f>
        <v/>
      </c>
      <c r="W149">
        <f>HYPERLINK("https://klasma.github.io/Logging_0980/klagomålsmail/A 12924-2025 FSC-klagomål mail.docx", "A 12924-2025")</f>
        <v/>
      </c>
      <c r="X149">
        <f>HYPERLINK("https://klasma.github.io/Logging_0980/tillsyn/A 12924-2025 tillsynsbegäran.docx", "A 12924-2025")</f>
        <v/>
      </c>
      <c r="Y149">
        <f>HYPERLINK("https://klasma.github.io/Logging_0980/tillsynsmail/A 12924-2025 tillsynsbegäran mail.docx", "A 12924-2025")</f>
        <v/>
      </c>
    </row>
    <row r="150" ht="15" customHeight="1">
      <c r="A150" t="inlineStr">
        <is>
          <t>A 44308-2021</t>
        </is>
      </c>
      <c r="B150" s="1" t="n">
        <v>44434</v>
      </c>
      <c r="C150" s="1" t="n">
        <v>45925</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49847-2023</t>
        </is>
      </c>
      <c r="B151" s="1" t="n">
        <v>45212</v>
      </c>
      <c r="C151" s="1" t="n">
        <v>45925</v>
      </c>
      <c r="D151" t="inlineStr">
        <is>
          <t>GOTLANDS LÄN</t>
        </is>
      </c>
      <c r="E151" t="inlineStr">
        <is>
          <t>GOTLAND</t>
        </is>
      </c>
      <c r="G151" t="n">
        <v>35.2</v>
      </c>
      <c r="H151" t="n">
        <v>0</v>
      </c>
      <c r="I151" t="n">
        <v>0</v>
      </c>
      <c r="J151" t="n">
        <v>0</v>
      </c>
      <c r="K151" t="n">
        <v>1</v>
      </c>
      <c r="L151" t="n">
        <v>0</v>
      </c>
      <c r="M151" t="n">
        <v>0</v>
      </c>
      <c r="N151" t="n">
        <v>0</v>
      </c>
      <c r="O151" t="n">
        <v>1</v>
      </c>
      <c r="P151" t="n">
        <v>1</v>
      </c>
      <c r="Q151" t="n">
        <v>1</v>
      </c>
      <c r="R151" s="2" t="inlineStr">
        <is>
          <t>Strandviol</t>
        </is>
      </c>
      <c r="S151">
        <f>HYPERLINK("https://klasma.github.io/Logging_0980/artfynd/A 49847-2023 artfynd.xlsx", "A 49847-2023")</f>
        <v/>
      </c>
      <c r="T151">
        <f>HYPERLINK("https://klasma.github.io/Logging_0980/kartor/A 49847-2023 karta.png", "A 49847-2023")</f>
        <v/>
      </c>
      <c r="V151">
        <f>HYPERLINK("https://klasma.github.io/Logging_0980/klagomål/A 49847-2023 FSC-klagomål.docx", "A 49847-2023")</f>
        <v/>
      </c>
      <c r="W151">
        <f>HYPERLINK("https://klasma.github.io/Logging_0980/klagomålsmail/A 49847-2023 FSC-klagomål mail.docx", "A 49847-2023")</f>
        <v/>
      </c>
      <c r="X151">
        <f>HYPERLINK("https://klasma.github.io/Logging_0980/tillsyn/A 49847-2023 tillsynsbegäran.docx", "A 49847-2023")</f>
        <v/>
      </c>
      <c r="Y151">
        <f>HYPERLINK("https://klasma.github.io/Logging_0980/tillsynsmail/A 49847-2023 tillsynsbegäran mail.docx", "A 49847-2023")</f>
        <v/>
      </c>
    </row>
    <row r="152" ht="15" customHeight="1">
      <c r="A152" t="inlineStr">
        <is>
          <t>A 46527-2023</t>
        </is>
      </c>
      <c r="B152" s="1" t="n">
        <v>45197</v>
      </c>
      <c r="C152" s="1" t="n">
        <v>45925</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447-2023</t>
        </is>
      </c>
      <c r="B153" s="1" t="n">
        <v>44929</v>
      </c>
      <c r="C153" s="1" t="n">
        <v>45925</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12324-2025</t>
        </is>
      </c>
      <c r="B154" s="1" t="n">
        <v>45730</v>
      </c>
      <c r="C154" s="1" t="n">
        <v>45925</v>
      </c>
      <c r="D154" t="inlineStr">
        <is>
          <t>GOTLANDS LÄN</t>
        </is>
      </c>
      <c r="E154" t="inlineStr">
        <is>
          <t>GOTLAND</t>
        </is>
      </c>
      <c r="G154" t="n">
        <v>5</v>
      </c>
      <c r="H154" t="n">
        <v>0</v>
      </c>
      <c r="I154" t="n">
        <v>0</v>
      </c>
      <c r="J154" t="n">
        <v>0</v>
      </c>
      <c r="K154" t="n">
        <v>1</v>
      </c>
      <c r="L154" t="n">
        <v>0</v>
      </c>
      <c r="M154" t="n">
        <v>0</v>
      </c>
      <c r="N154" t="n">
        <v>0</v>
      </c>
      <c r="O154" t="n">
        <v>1</v>
      </c>
      <c r="P154" t="n">
        <v>1</v>
      </c>
      <c r="Q154" t="n">
        <v>1</v>
      </c>
      <c r="R154" s="2" t="inlineStr">
        <is>
          <t>Sommarklynne</t>
        </is>
      </c>
      <c r="S154">
        <f>HYPERLINK("https://klasma.github.io/Logging_0980/artfynd/A 12324-2025 artfynd.xlsx", "A 12324-2025")</f>
        <v/>
      </c>
      <c r="T154">
        <f>HYPERLINK("https://klasma.github.io/Logging_0980/kartor/A 12324-2025 karta.png", "A 12324-2025")</f>
        <v/>
      </c>
      <c r="V154">
        <f>HYPERLINK("https://klasma.github.io/Logging_0980/klagomål/A 12324-2025 FSC-klagomål.docx", "A 12324-2025")</f>
        <v/>
      </c>
      <c r="W154">
        <f>HYPERLINK("https://klasma.github.io/Logging_0980/klagomålsmail/A 12324-2025 FSC-klagomål mail.docx", "A 12324-2025")</f>
        <v/>
      </c>
      <c r="X154">
        <f>HYPERLINK("https://klasma.github.io/Logging_0980/tillsyn/A 12324-2025 tillsynsbegäran.docx", "A 12324-2025")</f>
        <v/>
      </c>
      <c r="Y154">
        <f>HYPERLINK("https://klasma.github.io/Logging_0980/tillsynsmail/A 12324-2025 tillsynsbegäran mail.docx", "A 12324-2025")</f>
        <v/>
      </c>
    </row>
    <row r="155" ht="15" customHeight="1">
      <c r="A155" t="inlineStr">
        <is>
          <t>A 947-2023</t>
        </is>
      </c>
      <c r="B155" s="1" t="n">
        <v>44934</v>
      </c>
      <c r="C155" s="1" t="n">
        <v>45925</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37591-2023</t>
        </is>
      </c>
      <c r="B156" s="1" t="n">
        <v>45159</v>
      </c>
      <c r="C156" s="1" t="n">
        <v>45925</v>
      </c>
      <c r="D156" t="inlineStr">
        <is>
          <t>GOTLANDS LÄN</t>
        </is>
      </c>
      <c r="E156" t="inlineStr">
        <is>
          <t>GOTLAND</t>
        </is>
      </c>
      <c r="G156" t="n">
        <v>8.300000000000001</v>
      </c>
      <c r="H156" t="n">
        <v>0</v>
      </c>
      <c r="I156" t="n">
        <v>0</v>
      </c>
      <c r="J156" t="n">
        <v>1</v>
      </c>
      <c r="K156" t="n">
        <v>0</v>
      </c>
      <c r="L156" t="n">
        <v>0</v>
      </c>
      <c r="M156" t="n">
        <v>0</v>
      </c>
      <c r="N156" t="n">
        <v>0</v>
      </c>
      <c r="O156" t="n">
        <v>1</v>
      </c>
      <c r="P156" t="n">
        <v>0</v>
      </c>
      <c r="Q156" t="n">
        <v>1</v>
      </c>
      <c r="R156" s="2" t="inlineStr">
        <is>
          <t>Ängsstarr</t>
        </is>
      </c>
      <c r="S156">
        <f>HYPERLINK("https://klasma.github.io/Logging_0980/artfynd/A 37591-2023 artfynd.xlsx", "A 37591-2023")</f>
        <v/>
      </c>
      <c r="T156">
        <f>HYPERLINK("https://klasma.github.io/Logging_0980/kartor/A 37591-2023 karta.png", "A 37591-2023")</f>
        <v/>
      </c>
      <c r="V156">
        <f>HYPERLINK("https://klasma.github.io/Logging_0980/klagomål/A 37591-2023 FSC-klagomål.docx", "A 37591-2023")</f>
        <v/>
      </c>
      <c r="W156">
        <f>HYPERLINK("https://klasma.github.io/Logging_0980/klagomålsmail/A 37591-2023 FSC-klagomål mail.docx", "A 37591-2023")</f>
        <v/>
      </c>
      <c r="X156">
        <f>HYPERLINK("https://klasma.github.io/Logging_0980/tillsyn/A 37591-2023 tillsynsbegäran.docx", "A 37591-2023")</f>
        <v/>
      </c>
      <c r="Y156">
        <f>HYPERLINK("https://klasma.github.io/Logging_0980/tillsynsmail/A 37591-2023 tillsynsbegäran mail.docx", "A 37591-2023")</f>
        <v/>
      </c>
    </row>
    <row r="157" ht="15" customHeight="1">
      <c r="A157" t="inlineStr">
        <is>
          <t>A 49304-2024</t>
        </is>
      </c>
      <c r="B157" s="1" t="n">
        <v>45595.54996527778</v>
      </c>
      <c r="C157" s="1" t="n">
        <v>45925</v>
      </c>
      <c r="D157" t="inlineStr">
        <is>
          <t>GOTLANDS LÄN</t>
        </is>
      </c>
      <c r="E157" t="inlineStr">
        <is>
          <t>GOTLAND</t>
        </is>
      </c>
      <c r="G157" t="n">
        <v>10.8</v>
      </c>
      <c r="H157" t="n">
        <v>0</v>
      </c>
      <c r="I157" t="n">
        <v>0</v>
      </c>
      <c r="J157" t="n">
        <v>1</v>
      </c>
      <c r="K157" t="n">
        <v>0</v>
      </c>
      <c r="L157" t="n">
        <v>0</v>
      </c>
      <c r="M157" t="n">
        <v>0</v>
      </c>
      <c r="N157" t="n">
        <v>0</v>
      </c>
      <c r="O157" t="n">
        <v>1</v>
      </c>
      <c r="P157" t="n">
        <v>0</v>
      </c>
      <c r="Q157" t="n">
        <v>1</v>
      </c>
      <c r="R157" s="2" t="inlineStr">
        <is>
          <t>Åkerranunkel</t>
        </is>
      </c>
      <c r="S157">
        <f>HYPERLINK("https://klasma.github.io/Logging_0980/artfynd/A 49304-2024 artfynd.xlsx", "A 49304-2024")</f>
        <v/>
      </c>
      <c r="T157">
        <f>HYPERLINK("https://klasma.github.io/Logging_0980/kartor/A 49304-2024 karta.png", "A 49304-2024")</f>
        <v/>
      </c>
      <c r="V157">
        <f>HYPERLINK("https://klasma.github.io/Logging_0980/klagomål/A 49304-2024 FSC-klagomål.docx", "A 49304-2024")</f>
        <v/>
      </c>
      <c r="W157">
        <f>HYPERLINK("https://klasma.github.io/Logging_0980/klagomålsmail/A 49304-2024 FSC-klagomål mail.docx", "A 49304-2024")</f>
        <v/>
      </c>
      <c r="X157">
        <f>HYPERLINK("https://klasma.github.io/Logging_0980/tillsyn/A 49304-2024 tillsynsbegäran.docx", "A 49304-2024")</f>
        <v/>
      </c>
      <c r="Y157">
        <f>HYPERLINK("https://klasma.github.io/Logging_0980/tillsynsmail/A 49304-2024 tillsynsbegäran mail.docx", "A 49304-2024")</f>
        <v/>
      </c>
    </row>
    <row r="158" ht="15" customHeight="1">
      <c r="A158" t="inlineStr">
        <is>
          <t>A 63576-2021</t>
        </is>
      </c>
      <c r="B158" s="1" t="n">
        <v>44508</v>
      </c>
      <c r="C158" s="1" t="n">
        <v>45925</v>
      </c>
      <c r="D158" t="inlineStr">
        <is>
          <t>GOTLANDS LÄN</t>
        </is>
      </c>
      <c r="E158" t="inlineStr">
        <is>
          <t>GOTLAND</t>
        </is>
      </c>
      <c r="F158" t="inlineStr">
        <is>
          <t>Kyrkan</t>
        </is>
      </c>
      <c r="G158" t="n">
        <v>4.1</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63576-2021 artfynd.xlsx", "A 63576-2021")</f>
        <v/>
      </c>
      <c r="T158">
        <f>HYPERLINK("https://klasma.github.io/Logging_0980/kartor/A 63576-2021 karta.png", "A 63576-2021")</f>
        <v/>
      </c>
      <c r="V158">
        <f>HYPERLINK("https://klasma.github.io/Logging_0980/klagomål/A 63576-2021 FSC-klagomål.docx", "A 63576-2021")</f>
        <v/>
      </c>
      <c r="W158">
        <f>HYPERLINK("https://klasma.github.io/Logging_0980/klagomålsmail/A 63576-2021 FSC-klagomål mail.docx", "A 63576-2021")</f>
        <v/>
      </c>
      <c r="X158">
        <f>HYPERLINK("https://klasma.github.io/Logging_0980/tillsyn/A 63576-2021 tillsynsbegäran.docx", "A 63576-2021")</f>
        <v/>
      </c>
      <c r="Y158">
        <f>HYPERLINK("https://klasma.github.io/Logging_0980/tillsynsmail/A 63576-2021 tillsynsbegäran mail.docx", "A 63576-2021")</f>
        <v/>
      </c>
    </row>
    <row r="159" ht="15" customHeight="1">
      <c r="A159" t="inlineStr">
        <is>
          <t>A 64700-2021</t>
        </is>
      </c>
      <c r="B159" s="1" t="n">
        <v>44511</v>
      </c>
      <c r="C159" s="1" t="n">
        <v>45925</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21466-2025</t>
        </is>
      </c>
      <c r="B160" s="1" t="n">
        <v>45782</v>
      </c>
      <c r="C160" s="1" t="n">
        <v>45925</v>
      </c>
      <c r="D160" t="inlineStr">
        <is>
          <t>GOTLANDS LÄN</t>
        </is>
      </c>
      <c r="E160" t="inlineStr">
        <is>
          <t>GOTLAND</t>
        </is>
      </c>
      <c r="F160" t="inlineStr">
        <is>
          <t>Övriga statliga verk och myndigheter</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HYPERLINK("https://klasma.github.io/Logging_0980/artfynd/A 21466-2025 artfynd.xlsx", "A 21466-2025")</f>
        <v/>
      </c>
      <c r="T160">
        <f>HYPERLINK("https://klasma.github.io/Logging_0980/kartor/A 21466-2025 karta.png", "A 21466-2025")</f>
        <v/>
      </c>
      <c r="V160">
        <f>HYPERLINK("https://klasma.github.io/Logging_0980/klagomål/A 21466-2025 FSC-klagomål.docx", "A 21466-2025")</f>
        <v/>
      </c>
      <c r="W160">
        <f>HYPERLINK("https://klasma.github.io/Logging_0980/klagomålsmail/A 21466-2025 FSC-klagomål mail.docx", "A 21466-2025")</f>
        <v/>
      </c>
      <c r="X160">
        <f>HYPERLINK("https://klasma.github.io/Logging_0980/tillsyn/A 21466-2025 tillsynsbegäran.docx", "A 21466-2025")</f>
        <v/>
      </c>
      <c r="Y160">
        <f>HYPERLINK("https://klasma.github.io/Logging_0980/tillsynsmail/A 21466-2025 tillsynsbegäran mail.docx", "A 21466-2025")</f>
        <v/>
      </c>
    </row>
    <row r="161" ht="15" customHeight="1">
      <c r="A161" t="inlineStr">
        <is>
          <t>A 13627-2023</t>
        </is>
      </c>
      <c r="B161" s="1" t="n">
        <v>45006</v>
      </c>
      <c r="C161" s="1" t="n">
        <v>45925</v>
      </c>
      <c r="D161" t="inlineStr">
        <is>
          <t>GOTLANDS LÄN</t>
        </is>
      </c>
      <c r="E161" t="inlineStr">
        <is>
          <t>GOTLAND</t>
        </is>
      </c>
      <c r="G161" t="n">
        <v>10.7</v>
      </c>
      <c r="H161" t="n">
        <v>0</v>
      </c>
      <c r="I161" t="n">
        <v>0</v>
      </c>
      <c r="J161" t="n">
        <v>0</v>
      </c>
      <c r="K161" t="n">
        <v>1</v>
      </c>
      <c r="L161" t="n">
        <v>0</v>
      </c>
      <c r="M161" t="n">
        <v>0</v>
      </c>
      <c r="N161" t="n">
        <v>0</v>
      </c>
      <c r="O161" t="n">
        <v>1</v>
      </c>
      <c r="P161" t="n">
        <v>1</v>
      </c>
      <c r="Q161" t="n">
        <v>1</v>
      </c>
      <c r="R161" s="2" t="inlineStr">
        <is>
          <t>Sammetsbockrot</t>
        </is>
      </c>
      <c r="S161">
        <f>HYPERLINK("https://klasma.github.io/Logging_0980/artfynd/A 13627-2023 artfynd.xlsx", "A 13627-2023")</f>
        <v/>
      </c>
      <c r="T161">
        <f>HYPERLINK("https://klasma.github.io/Logging_0980/kartor/A 13627-2023 karta.png", "A 13627-2023")</f>
        <v/>
      </c>
      <c r="V161">
        <f>HYPERLINK("https://klasma.github.io/Logging_0980/klagomål/A 13627-2023 FSC-klagomål.docx", "A 13627-2023")</f>
        <v/>
      </c>
      <c r="W161">
        <f>HYPERLINK("https://klasma.github.io/Logging_0980/klagomålsmail/A 13627-2023 FSC-klagomål mail.docx", "A 13627-2023")</f>
        <v/>
      </c>
      <c r="X161">
        <f>HYPERLINK("https://klasma.github.io/Logging_0980/tillsyn/A 13627-2023 tillsynsbegäran.docx", "A 13627-2023")</f>
        <v/>
      </c>
      <c r="Y161">
        <f>HYPERLINK("https://klasma.github.io/Logging_0980/tillsynsmail/A 13627-2023 tillsynsbegäran mail.docx", "A 13627-2023")</f>
        <v/>
      </c>
    </row>
    <row r="162" ht="15" customHeight="1">
      <c r="A162" t="inlineStr">
        <is>
          <t>A 27589-2023</t>
        </is>
      </c>
      <c r="B162" s="1" t="n">
        <v>45097</v>
      </c>
      <c r="C162" s="1" t="n">
        <v>45925</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10440-2024</t>
        </is>
      </c>
      <c r="B163" s="1" t="n">
        <v>45366.32818287037</v>
      </c>
      <c r="C163" s="1" t="n">
        <v>45925</v>
      </c>
      <c r="D163" t="inlineStr">
        <is>
          <t>GOTLANDS LÄN</t>
        </is>
      </c>
      <c r="E163" t="inlineStr">
        <is>
          <t>GOTLAND</t>
        </is>
      </c>
      <c r="G163" t="n">
        <v>2.5</v>
      </c>
      <c r="H163" t="n">
        <v>1</v>
      </c>
      <c r="I163" t="n">
        <v>0</v>
      </c>
      <c r="J163" t="n">
        <v>1</v>
      </c>
      <c r="K163" t="n">
        <v>0</v>
      </c>
      <c r="L163" t="n">
        <v>0</v>
      </c>
      <c r="M163" t="n">
        <v>0</v>
      </c>
      <c r="N163" t="n">
        <v>0</v>
      </c>
      <c r="O163" t="n">
        <v>1</v>
      </c>
      <c r="P163" t="n">
        <v>0</v>
      </c>
      <c r="Q163" t="n">
        <v>1</v>
      </c>
      <c r="R163" s="2" t="inlineStr">
        <is>
          <t>Mindre hackspett</t>
        </is>
      </c>
      <c r="S163">
        <f>HYPERLINK("https://klasma.github.io/Logging_0980/artfynd/A 10440-2024 artfynd.xlsx", "A 10440-2024")</f>
        <v/>
      </c>
      <c r="T163">
        <f>HYPERLINK("https://klasma.github.io/Logging_0980/kartor/A 10440-2024 karta.png", "A 10440-2024")</f>
        <v/>
      </c>
      <c r="V163">
        <f>HYPERLINK("https://klasma.github.io/Logging_0980/klagomål/A 10440-2024 FSC-klagomål.docx", "A 10440-2024")</f>
        <v/>
      </c>
      <c r="W163">
        <f>HYPERLINK("https://klasma.github.io/Logging_0980/klagomålsmail/A 10440-2024 FSC-klagomål mail.docx", "A 10440-2024")</f>
        <v/>
      </c>
      <c r="X163">
        <f>HYPERLINK("https://klasma.github.io/Logging_0980/tillsyn/A 10440-2024 tillsynsbegäran.docx", "A 10440-2024")</f>
        <v/>
      </c>
      <c r="Y163">
        <f>HYPERLINK("https://klasma.github.io/Logging_0980/tillsynsmail/A 10440-2024 tillsynsbegäran mail.docx", "A 10440-2024")</f>
        <v/>
      </c>
      <c r="Z163">
        <f>HYPERLINK("https://klasma.github.io/Logging_0980/fåglar/A 10440-2024 prioriterade fågelarter.docx", "A 10440-2024")</f>
        <v/>
      </c>
    </row>
    <row r="164" ht="15" customHeight="1">
      <c r="A164" t="inlineStr">
        <is>
          <t>A 35574-2024</t>
        </is>
      </c>
      <c r="B164" s="1" t="n">
        <v>45531</v>
      </c>
      <c r="C164" s="1" t="n">
        <v>45925</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45925</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45925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26461-2025</t>
        </is>
      </c>
      <c r="B167" s="1" t="n">
        <v>45807.43337962963</v>
      </c>
      <c r="C167" s="1" t="n">
        <v>45925</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34809-2024</t>
        </is>
      </c>
      <c r="B168" s="1" t="n">
        <v>45526</v>
      </c>
      <c r="C168" s="1" t="n">
        <v>45925</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34141-2024</t>
        </is>
      </c>
      <c r="B169" s="1" t="n">
        <v>45524.36229166666</v>
      </c>
      <c r="C169" s="1" t="n">
        <v>45925</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9862-2024</t>
        </is>
      </c>
      <c r="B170" s="1" t="n">
        <v>45363</v>
      </c>
      <c r="C170" s="1" t="n">
        <v>45925</v>
      </c>
      <c r="D170" t="inlineStr">
        <is>
          <t>GOTLANDS LÄN</t>
        </is>
      </c>
      <c r="E170" t="inlineStr">
        <is>
          <t>GOTLAND</t>
        </is>
      </c>
      <c r="G170" t="n">
        <v>3.5</v>
      </c>
      <c r="H170" t="n">
        <v>1</v>
      </c>
      <c r="I170" t="n">
        <v>0</v>
      </c>
      <c r="J170" t="n">
        <v>0</v>
      </c>
      <c r="K170" t="n">
        <v>0</v>
      </c>
      <c r="L170" t="n">
        <v>0</v>
      </c>
      <c r="M170" t="n">
        <v>0</v>
      </c>
      <c r="N170" t="n">
        <v>0</v>
      </c>
      <c r="O170" t="n">
        <v>0</v>
      </c>
      <c r="P170" t="n">
        <v>0</v>
      </c>
      <c r="Q170" t="n">
        <v>1</v>
      </c>
      <c r="R170" s="2" t="inlineStr">
        <is>
          <t>Nattviol</t>
        </is>
      </c>
      <c r="S170">
        <f>HYPERLINK("https://klasma.github.io/Logging_0980/artfynd/A 9862-2024 artfynd.xlsx", "A 9862-2024")</f>
        <v/>
      </c>
      <c r="T170">
        <f>HYPERLINK("https://klasma.github.io/Logging_0980/kartor/A 9862-2024 karta.png", "A 9862-2024")</f>
        <v/>
      </c>
      <c r="V170">
        <f>HYPERLINK("https://klasma.github.io/Logging_0980/klagomål/A 9862-2024 FSC-klagomål.docx", "A 9862-2024")</f>
        <v/>
      </c>
      <c r="W170">
        <f>HYPERLINK("https://klasma.github.io/Logging_0980/klagomålsmail/A 9862-2024 FSC-klagomål mail.docx", "A 9862-2024")</f>
        <v/>
      </c>
      <c r="X170">
        <f>HYPERLINK("https://klasma.github.io/Logging_0980/tillsyn/A 9862-2024 tillsynsbegäran.docx", "A 9862-2024")</f>
        <v/>
      </c>
      <c r="Y170">
        <f>HYPERLINK("https://klasma.github.io/Logging_0980/tillsynsmail/A 9862-2024 tillsynsbegäran mail.docx", "A 9862-2024")</f>
        <v/>
      </c>
    </row>
    <row r="171" ht="15" customHeight="1">
      <c r="A171" t="inlineStr">
        <is>
          <t>A 61561-2023</t>
        </is>
      </c>
      <c r="B171" s="1" t="n">
        <v>45265</v>
      </c>
      <c r="C171" s="1" t="n">
        <v>45925</v>
      </c>
      <c r="D171" t="inlineStr">
        <is>
          <t>GOTLANDS LÄN</t>
        </is>
      </c>
      <c r="E171" t="inlineStr">
        <is>
          <t>GOTLAND</t>
        </is>
      </c>
      <c r="G171" t="n">
        <v>7.4</v>
      </c>
      <c r="H171" t="n">
        <v>0</v>
      </c>
      <c r="I171" t="n">
        <v>0</v>
      </c>
      <c r="J171" t="n">
        <v>1</v>
      </c>
      <c r="K171" t="n">
        <v>0</v>
      </c>
      <c r="L171" t="n">
        <v>0</v>
      </c>
      <c r="M171" t="n">
        <v>0</v>
      </c>
      <c r="N171" t="n">
        <v>0</v>
      </c>
      <c r="O171" t="n">
        <v>1</v>
      </c>
      <c r="P171" t="n">
        <v>0</v>
      </c>
      <c r="Q171" t="n">
        <v>1</v>
      </c>
      <c r="R171" s="2" t="inlineStr">
        <is>
          <t>Loppstarr</t>
        </is>
      </c>
      <c r="S171">
        <f>HYPERLINK("https://klasma.github.io/Logging_0980/artfynd/A 61561-2023 artfynd.xlsx", "A 61561-2023")</f>
        <v/>
      </c>
      <c r="T171">
        <f>HYPERLINK("https://klasma.github.io/Logging_0980/kartor/A 61561-2023 karta.png", "A 61561-2023")</f>
        <v/>
      </c>
      <c r="V171">
        <f>HYPERLINK("https://klasma.github.io/Logging_0980/klagomål/A 61561-2023 FSC-klagomål.docx", "A 61561-2023")</f>
        <v/>
      </c>
      <c r="W171">
        <f>HYPERLINK("https://klasma.github.io/Logging_0980/klagomålsmail/A 61561-2023 FSC-klagomål mail.docx", "A 61561-2023")</f>
        <v/>
      </c>
      <c r="X171">
        <f>HYPERLINK("https://klasma.github.io/Logging_0980/tillsyn/A 61561-2023 tillsynsbegäran.docx", "A 61561-2023")</f>
        <v/>
      </c>
      <c r="Y171">
        <f>HYPERLINK("https://klasma.github.io/Logging_0980/tillsynsmail/A 61561-2023 tillsynsbegäran mail.docx", "A 61561-2023")</f>
        <v/>
      </c>
    </row>
    <row r="172" ht="15" customHeight="1">
      <c r="A172" t="inlineStr">
        <is>
          <t>A 8725-2025</t>
        </is>
      </c>
      <c r="B172" s="1" t="n">
        <v>45712</v>
      </c>
      <c r="C172" s="1" t="n">
        <v>45925</v>
      </c>
      <c r="D172" t="inlineStr">
        <is>
          <t>GOTLANDS LÄN</t>
        </is>
      </c>
      <c r="E172" t="inlineStr">
        <is>
          <t>GOTLAND</t>
        </is>
      </c>
      <c r="G172" t="n">
        <v>4.4</v>
      </c>
      <c r="H172" t="n">
        <v>1</v>
      </c>
      <c r="I172" t="n">
        <v>0</v>
      </c>
      <c r="J172" t="n">
        <v>1</v>
      </c>
      <c r="K172" t="n">
        <v>0</v>
      </c>
      <c r="L172" t="n">
        <v>0</v>
      </c>
      <c r="M172" t="n">
        <v>0</v>
      </c>
      <c r="N172" t="n">
        <v>0</v>
      </c>
      <c r="O172" t="n">
        <v>1</v>
      </c>
      <c r="P172" t="n">
        <v>0</v>
      </c>
      <c r="Q172" t="n">
        <v>1</v>
      </c>
      <c r="R172" s="2" t="inlineStr">
        <is>
          <t>Spillkråka</t>
        </is>
      </c>
      <c r="S172">
        <f>HYPERLINK("https://klasma.github.io/Logging_0980/artfynd/A 8725-2025 artfynd.xlsx", "A 8725-2025")</f>
        <v/>
      </c>
      <c r="T172">
        <f>HYPERLINK("https://klasma.github.io/Logging_0980/kartor/A 8725-2025 karta.png", "A 8725-2025")</f>
        <v/>
      </c>
      <c r="V172">
        <f>HYPERLINK("https://klasma.github.io/Logging_0980/klagomål/A 8725-2025 FSC-klagomål.docx", "A 8725-2025")</f>
        <v/>
      </c>
      <c r="W172">
        <f>HYPERLINK("https://klasma.github.io/Logging_0980/klagomålsmail/A 8725-2025 FSC-klagomål mail.docx", "A 8725-2025")</f>
        <v/>
      </c>
      <c r="X172">
        <f>HYPERLINK("https://klasma.github.io/Logging_0980/tillsyn/A 8725-2025 tillsynsbegäran.docx", "A 8725-2025")</f>
        <v/>
      </c>
      <c r="Y172">
        <f>HYPERLINK("https://klasma.github.io/Logging_0980/tillsynsmail/A 8725-2025 tillsynsbegäran mail.docx", "A 8725-2025")</f>
        <v/>
      </c>
      <c r="Z172">
        <f>HYPERLINK("https://klasma.github.io/Logging_0980/fåglar/A 8725-2025 prioriterade fågelarter.docx", "A 8725-2025")</f>
        <v/>
      </c>
    </row>
    <row r="173" ht="15" customHeight="1">
      <c r="A173" t="inlineStr">
        <is>
          <t>A 19901-2021</t>
        </is>
      </c>
      <c r="B173" s="1" t="n">
        <v>44312</v>
      </c>
      <c r="C173" s="1" t="n">
        <v>45925</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45925</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45925</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45925</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45925</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45925</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45925</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45925</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45925</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45925</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45925</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45925</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45925</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45925</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45925</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45925</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45925</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45925</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45925</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45925</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45925</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45925</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45925</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45925</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45925</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45925</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45925</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45925</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45925</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45925</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45925</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45925</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45925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45925</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45925</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45925</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45925</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3271-2021</t>
        </is>
      </c>
      <c r="B212" s="1" t="n">
        <v>44217</v>
      </c>
      <c r="C212" s="1" t="n">
        <v>45925</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23910-2021</t>
        </is>
      </c>
      <c r="B213" s="1" t="n">
        <v>44335</v>
      </c>
      <c r="C213" s="1" t="n">
        <v>45925</v>
      </c>
      <c r="D213" t="inlineStr">
        <is>
          <t>GOTLANDS LÄN</t>
        </is>
      </c>
      <c r="E213" t="inlineStr">
        <is>
          <t>GOTLAND</t>
        </is>
      </c>
      <c r="G213" t="n">
        <v>1.5</v>
      </c>
      <c r="H213" t="n">
        <v>0</v>
      </c>
      <c r="I213" t="n">
        <v>0</v>
      </c>
      <c r="J213" t="n">
        <v>0</v>
      </c>
      <c r="K213" t="n">
        <v>0</v>
      </c>
      <c r="L213" t="n">
        <v>0</v>
      </c>
      <c r="M213" t="n">
        <v>0</v>
      </c>
      <c r="N213" t="n">
        <v>0</v>
      </c>
      <c r="O213" t="n">
        <v>0</v>
      </c>
      <c r="P213" t="n">
        <v>0</v>
      </c>
      <c r="Q213" t="n">
        <v>0</v>
      </c>
      <c r="R213" s="2" t="inlineStr"/>
    </row>
    <row r="214" ht="15" customHeight="1">
      <c r="A214" t="inlineStr">
        <is>
          <t>A 13498-2022</t>
        </is>
      </c>
      <c r="B214" s="1" t="n">
        <v>44647.78866898148</v>
      </c>
      <c r="C214" s="1" t="n">
        <v>45925</v>
      </c>
      <c r="D214" t="inlineStr">
        <is>
          <t>GOTLANDS LÄN</t>
        </is>
      </c>
      <c r="E214" t="inlineStr">
        <is>
          <t>GOTLAND</t>
        </is>
      </c>
      <c r="G214" t="n">
        <v>1.2</v>
      </c>
      <c r="H214" t="n">
        <v>0</v>
      </c>
      <c r="I214" t="n">
        <v>0</v>
      </c>
      <c r="J214" t="n">
        <v>0</v>
      </c>
      <c r="K214" t="n">
        <v>0</v>
      </c>
      <c r="L214" t="n">
        <v>0</v>
      </c>
      <c r="M214" t="n">
        <v>0</v>
      </c>
      <c r="N214" t="n">
        <v>0</v>
      </c>
      <c r="O214" t="n">
        <v>0</v>
      </c>
      <c r="P214" t="n">
        <v>0</v>
      </c>
      <c r="Q214" t="n">
        <v>0</v>
      </c>
      <c r="R214" s="2" t="inlineStr"/>
    </row>
    <row r="215" ht="15" customHeight="1">
      <c r="A215" t="inlineStr">
        <is>
          <t>A 13500-2022</t>
        </is>
      </c>
      <c r="B215" s="1" t="n">
        <v>44647.79513888889</v>
      </c>
      <c r="C215" s="1" t="n">
        <v>45925</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45925</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45925</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64380-2020</t>
        </is>
      </c>
      <c r="B218" s="1" t="n">
        <v>44168.60128472222</v>
      </c>
      <c r="C218" s="1" t="n">
        <v>45925</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2608-2021</t>
        </is>
      </c>
      <c r="B219" s="1" t="n">
        <v>44214</v>
      </c>
      <c r="C219" s="1" t="n">
        <v>45925</v>
      </c>
      <c r="D219" t="inlineStr">
        <is>
          <t>GOTLANDS LÄN</t>
        </is>
      </c>
      <c r="E219" t="inlineStr">
        <is>
          <t>GOTLAND</t>
        </is>
      </c>
      <c r="G219" t="n">
        <v>3.9</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45925</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45925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45925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57219-2021</t>
        </is>
      </c>
      <c r="B223" s="1" t="n">
        <v>44483</v>
      </c>
      <c r="C223" s="1" t="n">
        <v>45925</v>
      </c>
      <c r="D223" t="inlineStr">
        <is>
          <t>GOTLANDS LÄN</t>
        </is>
      </c>
      <c r="E223" t="inlineStr">
        <is>
          <t>GOTLAND</t>
        </is>
      </c>
      <c r="F223" t="inlineStr">
        <is>
          <t>Kyrkan</t>
        </is>
      </c>
      <c r="G223" t="n">
        <v>4</v>
      </c>
      <c r="H223" t="n">
        <v>0</v>
      </c>
      <c r="I223" t="n">
        <v>0</v>
      </c>
      <c r="J223" t="n">
        <v>0</v>
      </c>
      <c r="K223" t="n">
        <v>0</v>
      </c>
      <c r="L223" t="n">
        <v>0</v>
      </c>
      <c r="M223" t="n">
        <v>0</v>
      </c>
      <c r="N223" t="n">
        <v>0</v>
      </c>
      <c r="O223" t="n">
        <v>0</v>
      </c>
      <c r="P223" t="n">
        <v>0</v>
      </c>
      <c r="Q223" t="n">
        <v>0</v>
      </c>
      <c r="R223" s="2" t="inlineStr"/>
    </row>
    <row r="224" ht="15" customHeight="1">
      <c r="A224" t="inlineStr">
        <is>
          <t>A 37037-2021</t>
        </is>
      </c>
      <c r="B224" s="1" t="n">
        <v>44393.84688657407</v>
      </c>
      <c r="C224" s="1" t="n">
        <v>45925</v>
      </c>
      <c r="D224" t="inlineStr">
        <is>
          <t>GOTLANDS LÄN</t>
        </is>
      </c>
      <c r="E224" t="inlineStr">
        <is>
          <t>GOTLAND</t>
        </is>
      </c>
      <c r="G224" t="n">
        <v>10.2</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45925</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53641-2020</t>
        </is>
      </c>
      <c r="B226" s="1" t="n">
        <v>44124</v>
      </c>
      <c r="C226" s="1" t="n">
        <v>45925</v>
      </c>
      <c r="D226" t="inlineStr">
        <is>
          <t>GOTLANDS LÄN</t>
        </is>
      </c>
      <c r="E226" t="inlineStr">
        <is>
          <t>GOTLAND</t>
        </is>
      </c>
      <c r="G226" t="n">
        <v>3.2</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45925</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30282-2022</t>
        </is>
      </c>
      <c r="B228" s="1" t="n">
        <v>44760</v>
      </c>
      <c r="C228" s="1" t="n">
        <v>45925</v>
      </c>
      <c r="D228" t="inlineStr">
        <is>
          <t>GOTLANDS LÄN</t>
        </is>
      </c>
      <c r="E228" t="inlineStr">
        <is>
          <t>GOTLAND</t>
        </is>
      </c>
      <c r="G228" t="n">
        <v>2.6</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45925</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45925</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45925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45925</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45925</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45925</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9613-2025</t>
        </is>
      </c>
      <c r="B235" s="1" t="n">
        <v>45715</v>
      </c>
      <c r="C235" s="1" t="n">
        <v>45925</v>
      </c>
      <c r="D235" t="inlineStr">
        <is>
          <t>GOTLANDS LÄN</t>
        </is>
      </c>
      <c r="E235" t="inlineStr">
        <is>
          <t>GOTLAND</t>
        </is>
      </c>
      <c r="G235" t="n">
        <v>3.5</v>
      </c>
      <c r="H235" t="n">
        <v>0</v>
      </c>
      <c r="I235" t="n">
        <v>0</v>
      </c>
      <c r="J235" t="n">
        <v>0</v>
      </c>
      <c r="K235" t="n">
        <v>0</v>
      </c>
      <c r="L235" t="n">
        <v>0</v>
      </c>
      <c r="M235" t="n">
        <v>0</v>
      </c>
      <c r="N235" t="n">
        <v>0</v>
      </c>
      <c r="O235" t="n">
        <v>0</v>
      </c>
      <c r="P235" t="n">
        <v>0</v>
      </c>
      <c r="Q235" t="n">
        <v>0</v>
      </c>
      <c r="R235" s="2" t="inlineStr"/>
    </row>
    <row r="236" ht="15" customHeight="1">
      <c r="A236" t="inlineStr">
        <is>
          <t>A 15595-2024</t>
        </is>
      </c>
      <c r="B236" s="1" t="n">
        <v>45401.81480324074</v>
      </c>
      <c r="C236" s="1" t="n">
        <v>45925</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57652-2023</t>
        </is>
      </c>
      <c r="B237" s="1" t="n">
        <v>45246</v>
      </c>
      <c r="C237" s="1" t="n">
        <v>45925</v>
      </c>
      <c r="D237" t="inlineStr">
        <is>
          <t>GOTLANDS LÄN</t>
        </is>
      </c>
      <c r="E237" t="inlineStr">
        <is>
          <t>GOTLAND</t>
        </is>
      </c>
      <c r="G237" t="n">
        <v>7.2</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45925</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15413-2025</t>
        </is>
      </c>
      <c r="B239" s="1" t="n">
        <v>45747.451875</v>
      </c>
      <c r="C239" s="1" t="n">
        <v>45925</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54074-2022</t>
        </is>
      </c>
      <c r="B240" s="1" t="n">
        <v>44881</v>
      </c>
      <c r="C240" s="1" t="n">
        <v>45925</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45925</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65249-2023</t>
        </is>
      </c>
      <c r="B242" s="1" t="n">
        <v>45290</v>
      </c>
      <c r="C242" s="1" t="n">
        <v>45925</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2035-2025</t>
        </is>
      </c>
      <c r="B243" s="1" t="n">
        <v>45672</v>
      </c>
      <c r="C243" s="1" t="n">
        <v>45925</v>
      </c>
      <c r="D243" t="inlineStr">
        <is>
          <t>GOTLANDS LÄN</t>
        </is>
      </c>
      <c r="E243" t="inlineStr">
        <is>
          <t>GOTLAND</t>
        </is>
      </c>
      <c r="G243" t="n">
        <v>7.5</v>
      </c>
      <c r="H243" t="n">
        <v>0</v>
      </c>
      <c r="I243" t="n">
        <v>0</v>
      </c>
      <c r="J243" t="n">
        <v>0</v>
      </c>
      <c r="K243" t="n">
        <v>0</v>
      </c>
      <c r="L243" t="n">
        <v>0</v>
      </c>
      <c r="M243" t="n">
        <v>0</v>
      </c>
      <c r="N243" t="n">
        <v>0</v>
      </c>
      <c r="O243" t="n">
        <v>0</v>
      </c>
      <c r="P243" t="n">
        <v>0</v>
      </c>
      <c r="Q243" t="n">
        <v>0</v>
      </c>
      <c r="R243" s="2" t="inlineStr"/>
    </row>
    <row r="244" ht="15" customHeight="1">
      <c r="A244" t="inlineStr">
        <is>
          <t>A 35123-2025</t>
        </is>
      </c>
      <c r="B244" s="1" t="n">
        <v>45852.614375</v>
      </c>
      <c r="C244" s="1" t="n">
        <v>45925</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49315-2024</t>
        </is>
      </c>
      <c r="B245" s="1" t="n">
        <v>45595</v>
      </c>
      <c r="C245" s="1" t="n">
        <v>45925</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45925</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45925</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39814-2025</t>
        </is>
      </c>
      <c r="B248" s="1" t="n">
        <v>45891.52694444444</v>
      </c>
      <c r="C248" s="1" t="n">
        <v>45925</v>
      </c>
      <c r="D248" t="inlineStr">
        <is>
          <t>GOTLANDS LÄN</t>
        </is>
      </c>
      <c r="E248" t="inlineStr">
        <is>
          <t>GOTLAND</t>
        </is>
      </c>
      <c r="G248" t="n">
        <v>4.5</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45852.65206018519</v>
      </c>
      <c r="C249" s="1" t="n">
        <v>45925</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45925</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24966-2023</t>
        </is>
      </c>
      <c r="B251" s="1" t="n">
        <v>45085</v>
      </c>
      <c r="C251" s="1" t="n">
        <v>45925</v>
      </c>
      <c r="D251" t="inlineStr">
        <is>
          <t>GOTLANDS LÄN</t>
        </is>
      </c>
      <c r="E251" t="inlineStr">
        <is>
          <t>GOTLAND</t>
        </is>
      </c>
      <c r="G251" t="n">
        <v>7</v>
      </c>
      <c r="H251" t="n">
        <v>0</v>
      </c>
      <c r="I251" t="n">
        <v>0</v>
      </c>
      <c r="J251" t="n">
        <v>0</v>
      </c>
      <c r="K251" t="n">
        <v>0</v>
      </c>
      <c r="L251" t="n">
        <v>0</v>
      </c>
      <c r="M251" t="n">
        <v>0</v>
      </c>
      <c r="N251" t="n">
        <v>0</v>
      </c>
      <c r="O251" t="n">
        <v>0</v>
      </c>
      <c r="P251" t="n">
        <v>0</v>
      </c>
      <c r="Q251" t="n">
        <v>0</v>
      </c>
      <c r="R251" s="2" t="inlineStr"/>
    </row>
    <row r="252" ht="15" customHeight="1">
      <c r="A252" t="inlineStr">
        <is>
          <t>A 35096-2025</t>
        </is>
      </c>
      <c r="B252" s="1" t="n">
        <v>45852.54356481481</v>
      </c>
      <c r="C252" s="1" t="n">
        <v>45925</v>
      </c>
      <c r="D252" t="inlineStr">
        <is>
          <t>GOTLANDS LÄN</t>
        </is>
      </c>
      <c r="E252" t="inlineStr">
        <is>
          <t>GOTLAND</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46189-2022</t>
        </is>
      </c>
      <c r="B253" s="1" t="n">
        <v>44847</v>
      </c>
      <c r="C253" s="1" t="n">
        <v>45925</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45925</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45925</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3150-2025</t>
        </is>
      </c>
      <c r="B256" s="1" t="n">
        <v>45679.28974537037</v>
      </c>
      <c r="C256" s="1" t="n">
        <v>45925</v>
      </c>
      <c r="D256" t="inlineStr">
        <is>
          <t>GOTLANDS LÄN</t>
        </is>
      </c>
      <c r="E256" t="inlineStr">
        <is>
          <t>GOTLAND</t>
        </is>
      </c>
      <c r="G256" t="n">
        <v>2.5</v>
      </c>
      <c r="H256" t="n">
        <v>0</v>
      </c>
      <c r="I256" t="n">
        <v>0</v>
      </c>
      <c r="J256" t="n">
        <v>0</v>
      </c>
      <c r="K256" t="n">
        <v>0</v>
      </c>
      <c r="L256" t="n">
        <v>0</v>
      </c>
      <c r="M256" t="n">
        <v>0</v>
      </c>
      <c r="N256" t="n">
        <v>0</v>
      </c>
      <c r="O256" t="n">
        <v>0</v>
      </c>
      <c r="P256" t="n">
        <v>0</v>
      </c>
      <c r="Q256" t="n">
        <v>0</v>
      </c>
      <c r="R256" s="2" t="inlineStr"/>
    </row>
    <row r="257" ht="15" customHeight="1">
      <c r="A257" t="inlineStr">
        <is>
          <t>A 40103-2025</t>
        </is>
      </c>
      <c r="B257" s="1" t="n">
        <v>45894.4880324074</v>
      </c>
      <c r="C257" s="1" t="n">
        <v>45925</v>
      </c>
      <c r="D257" t="inlineStr">
        <is>
          <t>GOTLANDS LÄN</t>
        </is>
      </c>
      <c r="E257" t="inlineStr">
        <is>
          <t>GOTLAND</t>
        </is>
      </c>
      <c r="G257" t="n">
        <v>0.9</v>
      </c>
      <c r="H257" t="n">
        <v>0</v>
      </c>
      <c r="I257" t="n">
        <v>0</v>
      </c>
      <c r="J257" t="n">
        <v>0</v>
      </c>
      <c r="K257" t="n">
        <v>0</v>
      </c>
      <c r="L257" t="n">
        <v>0</v>
      </c>
      <c r="M257" t="n">
        <v>0</v>
      </c>
      <c r="N257" t="n">
        <v>0</v>
      </c>
      <c r="O257" t="n">
        <v>0</v>
      </c>
      <c r="P257" t="n">
        <v>0</v>
      </c>
      <c r="Q257" t="n">
        <v>0</v>
      </c>
      <c r="R257" s="2" t="inlineStr"/>
    </row>
    <row r="258" ht="15" customHeight="1">
      <c r="A258" t="inlineStr">
        <is>
          <t>A 8484-2025</t>
        </is>
      </c>
      <c r="B258" s="1" t="n">
        <v>45709</v>
      </c>
      <c r="C258" s="1" t="n">
        <v>45925</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7635-2025</t>
        </is>
      </c>
      <c r="B259" s="1" t="n">
        <v>45705</v>
      </c>
      <c r="C259" s="1" t="n">
        <v>45925</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7636-2025</t>
        </is>
      </c>
      <c r="B260" s="1" t="n">
        <v>45705.7687962963</v>
      </c>
      <c r="C260" s="1" t="n">
        <v>45925</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7639-2025</t>
        </is>
      </c>
      <c r="B261" s="1" t="n">
        <v>45705.77465277778</v>
      </c>
      <c r="C261" s="1" t="n">
        <v>45925</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13910-2025</t>
        </is>
      </c>
      <c r="B262" s="1" t="n">
        <v>45737</v>
      </c>
      <c r="C262" s="1" t="n">
        <v>45925</v>
      </c>
      <c r="D262" t="inlineStr">
        <is>
          <t>GOTLANDS LÄN</t>
        </is>
      </c>
      <c r="E262" t="inlineStr">
        <is>
          <t>GOTLAND</t>
        </is>
      </c>
      <c r="F262" t="inlineStr">
        <is>
          <t>Kommuner</t>
        </is>
      </c>
      <c r="G262" t="n">
        <v>3.2</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45925</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40372-2025</t>
        </is>
      </c>
      <c r="B264" s="1" t="n">
        <v>45895.5162037037</v>
      </c>
      <c r="C264" s="1" t="n">
        <v>45925</v>
      </c>
      <c r="D264" t="inlineStr">
        <is>
          <t>GOTLANDS LÄN</t>
        </is>
      </c>
      <c r="E264" t="inlineStr">
        <is>
          <t>GOTLAND</t>
        </is>
      </c>
      <c r="G264" t="n">
        <v>3.3</v>
      </c>
      <c r="H264" t="n">
        <v>0</v>
      </c>
      <c r="I264" t="n">
        <v>0</v>
      </c>
      <c r="J264" t="n">
        <v>0</v>
      </c>
      <c r="K264" t="n">
        <v>0</v>
      </c>
      <c r="L264" t="n">
        <v>0</v>
      </c>
      <c r="M264" t="n">
        <v>0</v>
      </c>
      <c r="N264" t="n">
        <v>0</v>
      </c>
      <c r="O264" t="n">
        <v>0</v>
      </c>
      <c r="P264" t="n">
        <v>0</v>
      </c>
      <c r="Q264" t="n">
        <v>0</v>
      </c>
      <c r="R264" s="2" t="inlineStr"/>
    </row>
    <row r="265" ht="15" customHeight="1">
      <c r="A265" t="inlineStr">
        <is>
          <t>A 40373-2025</t>
        </is>
      </c>
      <c r="B265" s="1" t="n">
        <v>45895.51821759259</v>
      </c>
      <c r="C265" s="1" t="n">
        <v>45925</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30104-2025</t>
        </is>
      </c>
      <c r="B266" s="1" t="n">
        <v>45826.68806712963</v>
      </c>
      <c r="C266" s="1" t="n">
        <v>45925</v>
      </c>
      <c r="D266" t="inlineStr">
        <is>
          <t>GOTLANDS LÄN</t>
        </is>
      </c>
      <c r="E266" t="inlineStr">
        <is>
          <t>GOTLAND</t>
        </is>
      </c>
      <c r="G266" t="n">
        <v>15.4</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45925</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48734-2022</t>
        </is>
      </c>
      <c r="B268" s="1" t="n">
        <v>44855</v>
      </c>
      <c r="C268" s="1" t="n">
        <v>45925</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14141-2024</t>
        </is>
      </c>
      <c r="B269" s="1" t="n">
        <v>45392.85193287037</v>
      </c>
      <c r="C269" s="1" t="n">
        <v>45925</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45925</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45925</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45443.60075231481</v>
      </c>
      <c r="C272" s="1" t="n">
        <v>45925</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44204-2022</t>
        </is>
      </c>
      <c r="B273" s="1" t="n">
        <v>44839</v>
      </c>
      <c r="C273" s="1" t="n">
        <v>45925</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17780-2022</t>
        </is>
      </c>
      <c r="B274" s="1" t="n">
        <v>44682.82622685185</v>
      </c>
      <c r="C274" s="1" t="n">
        <v>45925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49314-2024</t>
        </is>
      </c>
      <c r="B275" s="1" t="n">
        <v>45595.55893518519</v>
      </c>
      <c r="C275" s="1" t="n">
        <v>45925</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35290-2025</t>
        </is>
      </c>
      <c r="B276" s="1" t="n">
        <v>45854.38502314815</v>
      </c>
      <c r="C276" s="1" t="n">
        <v>45925</v>
      </c>
      <c r="D276" t="inlineStr">
        <is>
          <t>GOTLANDS LÄN</t>
        </is>
      </c>
      <c r="E276" t="inlineStr">
        <is>
          <t>GOTLAND</t>
        </is>
      </c>
      <c r="G276" t="n">
        <v>5.4</v>
      </c>
      <c r="H276" t="n">
        <v>0</v>
      </c>
      <c r="I276" t="n">
        <v>0</v>
      </c>
      <c r="J276" t="n">
        <v>0</v>
      </c>
      <c r="K276" t="n">
        <v>0</v>
      </c>
      <c r="L276" t="n">
        <v>0</v>
      </c>
      <c r="M276" t="n">
        <v>0</v>
      </c>
      <c r="N276" t="n">
        <v>0</v>
      </c>
      <c r="O276" t="n">
        <v>0</v>
      </c>
      <c r="P276" t="n">
        <v>0</v>
      </c>
      <c r="Q276" t="n">
        <v>0</v>
      </c>
      <c r="R276" s="2" t="inlineStr"/>
    </row>
    <row r="277" ht="15" customHeight="1">
      <c r="A277" t="inlineStr">
        <is>
          <t>A 39752-2025</t>
        </is>
      </c>
      <c r="B277" s="1" t="n">
        <v>45891</v>
      </c>
      <c r="C277" s="1" t="n">
        <v>45925</v>
      </c>
      <c r="D277" t="inlineStr">
        <is>
          <t>GOTLANDS LÄN</t>
        </is>
      </c>
      <c r="E277" t="inlineStr">
        <is>
          <t>GOTLAND</t>
        </is>
      </c>
      <c r="G277" t="n">
        <v>5.3</v>
      </c>
      <c r="H277" t="n">
        <v>0</v>
      </c>
      <c r="I277" t="n">
        <v>0</v>
      </c>
      <c r="J277" t="n">
        <v>0</v>
      </c>
      <c r="K277" t="n">
        <v>0</v>
      </c>
      <c r="L277" t="n">
        <v>0</v>
      </c>
      <c r="M277" t="n">
        <v>0</v>
      </c>
      <c r="N277" t="n">
        <v>0</v>
      </c>
      <c r="O277" t="n">
        <v>0</v>
      </c>
      <c r="P277" t="n">
        <v>0</v>
      </c>
      <c r="Q277" t="n">
        <v>0</v>
      </c>
      <c r="R277" s="2" t="inlineStr"/>
    </row>
    <row r="278" ht="15" customHeight="1">
      <c r="A278" t="inlineStr">
        <is>
          <t>A 39816-2025</t>
        </is>
      </c>
      <c r="B278" s="1" t="n">
        <v>45891</v>
      </c>
      <c r="C278" s="1" t="n">
        <v>45925</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32669-2024</t>
        </is>
      </c>
      <c r="B279" s="1" t="n">
        <v>45514</v>
      </c>
      <c r="C279" s="1" t="n">
        <v>45925</v>
      </c>
      <c r="D279" t="inlineStr">
        <is>
          <t>GOTLANDS LÄN</t>
        </is>
      </c>
      <c r="E279" t="inlineStr">
        <is>
          <t>GOTLAND</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44919-2022</t>
        </is>
      </c>
      <c r="B280" s="1" t="n">
        <v>44841</v>
      </c>
      <c r="C280" s="1" t="n">
        <v>45925</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59986-2022</t>
        </is>
      </c>
      <c r="B281" s="1" t="n">
        <v>44909</v>
      </c>
      <c r="C281" s="1" t="n">
        <v>45925</v>
      </c>
      <c r="D281" t="inlineStr">
        <is>
          <t>GOTLANDS LÄN</t>
        </is>
      </c>
      <c r="E281" t="inlineStr">
        <is>
          <t>GOTLAND</t>
        </is>
      </c>
      <c r="G281" t="n">
        <v>0.7</v>
      </c>
      <c r="H281" t="n">
        <v>0</v>
      </c>
      <c r="I281" t="n">
        <v>0</v>
      </c>
      <c r="J281" t="n">
        <v>0</v>
      </c>
      <c r="K281" t="n">
        <v>0</v>
      </c>
      <c r="L281" t="n">
        <v>0</v>
      </c>
      <c r="M281" t="n">
        <v>0</v>
      </c>
      <c r="N281" t="n">
        <v>0</v>
      </c>
      <c r="O281" t="n">
        <v>0</v>
      </c>
      <c r="P281" t="n">
        <v>0</v>
      </c>
      <c r="Q281" t="n">
        <v>0</v>
      </c>
      <c r="R281" s="2" t="inlineStr"/>
    </row>
    <row r="282" ht="15" customHeight="1">
      <c r="A282" t="inlineStr">
        <is>
          <t>A 14536-2021</t>
        </is>
      </c>
      <c r="B282" s="1" t="n">
        <v>44279.66168981481</v>
      </c>
      <c r="C282" s="1" t="n">
        <v>45925</v>
      </c>
      <c r="D282" t="inlineStr">
        <is>
          <t>GOTLANDS LÄN</t>
        </is>
      </c>
      <c r="E282" t="inlineStr">
        <is>
          <t>GOTLAND</t>
        </is>
      </c>
      <c r="G282" t="n">
        <v>8.5</v>
      </c>
      <c r="H282" t="n">
        <v>0</v>
      </c>
      <c r="I282" t="n">
        <v>0</v>
      </c>
      <c r="J282" t="n">
        <v>0</v>
      </c>
      <c r="K282" t="n">
        <v>0</v>
      </c>
      <c r="L282" t="n">
        <v>0</v>
      </c>
      <c r="M282" t="n">
        <v>0</v>
      </c>
      <c r="N282" t="n">
        <v>0</v>
      </c>
      <c r="O282" t="n">
        <v>0</v>
      </c>
      <c r="P282" t="n">
        <v>0</v>
      </c>
      <c r="Q282" t="n">
        <v>0</v>
      </c>
      <c r="R282" s="2" t="inlineStr"/>
    </row>
    <row r="283" ht="15" customHeight="1">
      <c r="A283" t="inlineStr">
        <is>
          <t>A 35537-2025</t>
        </is>
      </c>
      <c r="B283" s="1" t="n">
        <v>45856</v>
      </c>
      <c r="C283" s="1" t="n">
        <v>45925</v>
      </c>
      <c r="D283" t="inlineStr">
        <is>
          <t>GOTLANDS LÄN</t>
        </is>
      </c>
      <c r="E283" t="inlineStr">
        <is>
          <t>GOTLAND</t>
        </is>
      </c>
      <c r="G283" t="n">
        <v>16.8</v>
      </c>
      <c r="H283" t="n">
        <v>0</v>
      </c>
      <c r="I283" t="n">
        <v>0</v>
      </c>
      <c r="J283" t="n">
        <v>0</v>
      </c>
      <c r="K283" t="n">
        <v>0</v>
      </c>
      <c r="L283" t="n">
        <v>0</v>
      </c>
      <c r="M283" t="n">
        <v>0</v>
      </c>
      <c r="N283" t="n">
        <v>0</v>
      </c>
      <c r="O283" t="n">
        <v>0</v>
      </c>
      <c r="P283" t="n">
        <v>0</v>
      </c>
      <c r="Q283" t="n">
        <v>0</v>
      </c>
      <c r="R283" s="2" t="inlineStr"/>
    </row>
    <row r="284" ht="15" customHeight="1">
      <c r="A284" t="inlineStr">
        <is>
          <t>A 57685-2022</t>
        </is>
      </c>
      <c r="B284" s="1" t="n">
        <v>44897.4777662037</v>
      </c>
      <c r="C284" s="1" t="n">
        <v>45925</v>
      </c>
      <c r="D284" t="inlineStr">
        <is>
          <t>GOTLANDS LÄN</t>
        </is>
      </c>
      <c r="E284" t="inlineStr">
        <is>
          <t>GOTLAND</t>
        </is>
      </c>
      <c r="G284" t="n">
        <v>3.7</v>
      </c>
      <c r="H284" t="n">
        <v>0</v>
      </c>
      <c r="I284" t="n">
        <v>0</v>
      </c>
      <c r="J284" t="n">
        <v>0</v>
      </c>
      <c r="K284" t="n">
        <v>0</v>
      </c>
      <c r="L284" t="n">
        <v>0</v>
      </c>
      <c r="M284" t="n">
        <v>0</v>
      </c>
      <c r="N284" t="n">
        <v>0</v>
      </c>
      <c r="O284" t="n">
        <v>0</v>
      </c>
      <c r="P284" t="n">
        <v>0</v>
      </c>
      <c r="Q284" t="n">
        <v>0</v>
      </c>
      <c r="R284" s="2" t="inlineStr"/>
    </row>
    <row r="285" ht="15" customHeight="1">
      <c r="A285" t="inlineStr">
        <is>
          <t>A 12599-2025</t>
        </is>
      </c>
      <c r="B285" s="1" t="n">
        <v>45733.29546296296</v>
      </c>
      <c r="C285" s="1" t="n">
        <v>45925</v>
      </c>
      <c r="D285" t="inlineStr">
        <is>
          <t>GOTLANDS LÄN</t>
        </is>
      </c>
      <c r="E285" t="inlineStr">
        <is>
          <t>GOTLAND</t>
        </is>
      </c>
      <c r="G285" t="n">
        <v>4.7</v>
      </c>
      <c r="H285" t="n">
        <v>0</v>
      </c>
      <c r="I285" t="n">
        <v>0</v>
      </c>
      <c r="J285" t="n">
        <v>0</v>
      </c>
      <c r="K285" t="n">
        <v>0</v>
      </c>
      <c r="L285" t="n">
        <v>0</v>
      </c>
      <c r="M285" t="n">
        <v>0</v>
      </c>
      <c r="N285" t="n">
        <v>0</v>
      </c>
      <c r="O285" t="n">
        <v>0</v>
      </c>
      <c r="P285" t="n">
        <v>0</v>
      </c>
      <c r="Q285" t="n">
        <v>0</v>
      </c>
      <c r="R285" s="2" t="inlineStr"/>
    </row>
    <row r="286" ht="15" customHeight="1">
      <c r="A286" t="inlineStr">
        <is>
          <t>A 35550-2025</t>
        </is>
      </c>
      <c r="B286" s="1" t="n">
        <v>45856.49324074074</v>
      </c>
      <c r="C286" s="1" t="n">
        <v>45925</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30815-2023</t>
        </is>
      </c>
      <c r="B287" s="1" t="n">
        <v>45112</v>
      </c>
      <c r="C287" s="1" t="n">
        <v>45925</v>
      </c>
      <c r="D287" t="inlineStr">
        <is>
          <t>GOTLANDS LÄN</t>
        </is>
      </c>
      <c r="E287" t="inlineStr">
        <is>
          <t>GOTLAND</t>
        </is>
      </c>
      <c r="G287" t="n">
        <v>6</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45925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45925</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7034-2023</t>
        </is>
      </c>
      <c r="B290" s="1" t="n">
        <v>44968.32108796296</v>
      </c>
      <c r="C290" s="1" t="n">
        <v>45925</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7042-2023</t>
        </is>
      </c>
      <c r="B291" s="1" t="n">
        <v>44968</v>
      </c>
      <c r="C291" s="1" t="n">
        <v>45925</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23516-2023</t>
        </is>
      </c>
      <c r="B292" s="1" t="n">
        <v>45076.93391203704</v>
      </c>
      <c r="C292" s="1" t="n">
        <v>45925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11874-2024</t>
        </is>
      </c>
      <c r="B293" s="1" t="n">
        <v>45376.46956018519</v>
      </c>
      <c r="C293" s="1" t="n">
        <v>45925</v>
      </c>
      <c r="D293" t="inlineStr">
        <is>
          <t>GOTLANDS LÄN</t>
        </is>
      </c>
      <c r="E293" t="inlineStr">
        <is>
          <t>GOTLAND</t>
        </is>
      </c>
      <c r="G293" t="n">
        <v>0.8</v>
      </c>
      <c r="H293" t="n">
        <v>0</v>
      </c>
      <c r="I293" t="n">
        <v>0</v>
      </c>
      <c r="J293" t="n">
        <v>0</v>
      </c>
      <c r="K293" t="n">
        <v>0</v>
      </c>
      <c r="L293" t="n">
        <v>0</v>
      </c>
      <c r="M293" t="n">
        <v>0</v>
      </c>
      <c r="N293" t="n">
        <v>0</v>
      </c>
      <c r="O293" t="n">
        <v>0</v>
      </c>
      <c r="P293" t="n">
        <v>0</v>
      </c>
      <c r="Q293" t="n">
        <v>0</v>
      </c>
      <c r="R293" s="2" t="inlineStr"/>
    </row>
    <row r="294" ht="15" customHeight="1">
      <c r="A294" t="inlineStr">
        <is>
          <t>A 2292-2021</t>
        </is>
      </c>
      <c r="B294" s="1" t="n">
        <v>44212</v>
      </c>
      <c r="C294" s="1" t="n">
        <v>45925</v>
      </c>
      <c r="D294" t="inlineStr">
        <is>
          <t>GOTLANDS LÄN</t>
        </is>
      </c>
      <c r="E294" t="inlineStr">
        <is>
          <t>GOTLAND</t>
        </is>
      </c>
      <c r="G294" t="n">
        <v>3</v>
      </c>
      <c r="H294" t="n">
        <v>0</v>
      </c>
      <c r="I294" t="n">
        <v>0</v>
      </c>
      <c r="J294" t="n">
        <v>0</v>
      </c>
      <c r="K294" t="n">
        <v>0</v>
      </c>
      <c r="L294" t="n">
        <v>0</v>
      </c>
      <c r="M294" t="n">
        <v>0</v>
      </c>
      <c r="N294" t="n">
        <v>0</v>
      </c>
      <c r="O294" t="n">
        <v>0</v>
      </c>
      <c r="P294" t="n">
        <v>0</v>
      </c>
      <c r="Q294" t="n">
        <v>0</v>
      </c>
      <c r="R294" s="2" t="inlineStr"/>
    </row>
    <row r="295" ht="15" customHeight="1">
      <c r="A295" t="inlineStr">
        <is>
          <t>A 64660-2023</t>
        </is>
      </c>
      <c r="B295" s="1" t="n">
        <v>45281.60122685185</v>
      </c>
      <c r="C295" s="1" t="n">
        <v>45925</v>
      </c>
      <c r="D295" t="inlineStr">
        <is>
          <t>GOTLANDS LÄN</t>
        </is>
      </c>
      <c r="E295" t="inlineStr">
        <is>
          <t>GOTLAND</t>
        </is>
      </c>
      <c r="G295" t="n">
        <v>6.3</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45925</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42041-2024</t>
        </is>
      </c>
      <c r="B297" s="1" t="n">
        <v>45561</v>
      </c>
      <c r="C297" s="1" t="n">
        <v>45925</v>
      </c>
      <c r="D297" t="inlineStr">
        <is>
          <t>GOTLANDS LÄN</t>
        </is>
      </c>
      <c r="E297" t="inlineStr">
        <is>
          <t>GOTLAND</t>
        </is>
      </c>
      <c r="G297" t="n">
        <v>3.2</v>
      </c>
      <c r="H297" t="n">
        <v>0</v>
      </c>
      <c r="I297" t="n">
        <v>0</v>
      </c>
      <c r="J297" t="n">
        <v>0</v>
      </c>
      <c r="K297" t="n">
        <v>0</v>
      </c>
      <c r="L297" t="n">
        <v>0</v>
      </c>
      <c r="M297" t="n">
        <v>0</v>
      </c>
      <c r="N297" t="n">
        <v>0</v>
      </c>
      <c r="O297" t="n">
        <v>0</v>
      </c>
      <c r="P297" t="n">
        <v>0</v>
      </c>
      <c r="Q297" t="n">
        <v>0</v>
      </c>
      <c r="R297" s="2" t="inlineStr"/>
    </row>
    <row r="298" ht="15" customHeight="1">
      <c r="A298" t="inlineStr">
        <is>
          <t>A 63763-2023</t>
        </is>
      </c>
      <c r="B298" s="1" t="n">
        <v>45278.33944444444</v>
      </c>
      <c r="C298" s="1" t="n">
        <v>45925</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61694-2023</t>
        </is>
      </c>
      <c r="B299" s="1" t="n">
        <v>45264</v>
      </c>
      <c r="C299" s="1" t="n">
        <v>45925</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9947-2024</t>
        </is>
      </c>
      <c r="B300" s="1" t="n">
        <v>45363</v>
      </c>
      <c r="C300" s="1" t="n">
        <v>45925</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44304-2021</t>
        </is>
      </c>
      <c r="B301" s="1" t="n">
        <v>44434</v>
      </c>
      <c r="C301" s="1" t="n">
        <v>45925</v>
      </c>
      <c r="D301" t="inlineStr">
        <is>
          <t>GOTLANDS LÄN</t>
        </is>
      </c>
      <c r="E301" t="inlineStr">
        <is>
          <t>GOTLAND</t>
        </is>
      </c>
      <c r="G301" t="n">
        <v>5.8</v>
      </c>
      <c r="H301" t="n">
        <v>0</v>
      </c>
      <c r="I301" t="n">
        <v>0</v>
      </c>
      <c r="J301" t="n">
        <v>0</v>
      </c>
      <c r="K301" t="n">
        <v>0</v>
      </c>
      <c r="L301" t="n">
        <v>0</v>
      </c>
      <c r="M301" t="n">
        <v>0</v>
      </c>
      <c r="N301" t="n">
        <v>0</v>
      </c>
      <c r="O301" t="n">
        <v>0</v>
      </c>
      <c r="P301" t="n">
        <v>0</v>
      </c>
      <c r="Q301" t="n">
        <v>0</v>
      </c>
      <c r="R301" s="2" t="inlineStr"/>
    </row>
    <row r="302" ht="15" customHeight="1">
      <c r="A302" t="inlineStr">
        <is>
          <t>A 41551-2025</t>
        </is>
      </c>
      <c r="B302" s="1" t="n">
        <v>45901.58854166666</v>
      </c>
      <c r="C302" s="1" t="n">
        <v>45925</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41435-2025</t>
        </is>
      </c>
      <c r="B303" s="1" t="n">
        <v>45901.39974537037</v>
      </c>
      <c r="C303" s="1" t="n">
        <v>45925</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17682-2024</t>
        </is>
      </c>
      <c r="B304" s="1" t="n">
        <v>45418.42966435185</v>
      </c>
      <c r="C304" s="1" t="n">
        <v>45925</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57522-2022</t>
        </is>
      </c>
      <c r="B305" s="1" t="n">
        <v>44896</v>
      </c>
      <c r="C305" s="1" t="n">
        <v>45925</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40235-2025</t>
        </is>
      </c>
      <c r="B306" s="1" t="n">
        <v>45894.74005787037</v>
      </c>
      <c r="C306" s="1" t="n">
        <v>45925</v>
      </c>
      <c r="D306" t="inlineStr">
        <is>
          <t>GOTLANDS LÄN</t>
        </is>
      </c>
      <c r="E306" t="inlineStr">
        <is>
          <t>GOTLAND</t>
        </is>
      </c>
      <c r="G306" t="n">
        <v>10.6</v>
      </c>
      <c r="H306" t="n">
        <v>0</v>
      </c>
      <c r="I306" t="n">
        <v>0</v>
      </c>
      <c r="J306" t="n">
        <v>0</v>
      </c>
      <c r="K306" t="n">
        <v>0</v>
      </c>
      <c r="L306" t="n">
        <v>0</v>
      </c>
      <c r="M306" t="n">
        <v>0</v>
      </c>
      <c r="N306" t="n">
        <v>0</v>
      </c>
      <c r="O306" t="n">
        <v>0</v>
      </c>
      <c r="P306" t="n">
        <v>0</v>
      </c>
      <c r="Q306" t="n">
        <v>0</v>
      </c>
      <c r="R306" s="2" t="inlineStr"/>
    </row>
    <row r="307" ht="15" customHeight="1">
      <c r="A307" t="inlineStr">
        <is>
          <t>A 63229-2021</t>
        </is>
      </c>
      <c r="B307" s="1" t="n">
        <v>44508.34518518519</v>
      </c>
      <c r="C307" s="1" t="n">
        <v>45925</v>
      </c>
      <c r="D307" t="inlineStr">
        <is>
          <t>GOTLANDS LÄN</t>
        </is>
      </c>
      <c r="E307" t="inlineStr">
        <is>
          <t>GOTLAND</t>
        </is>
      </c>
      <c r="F307" t="inlineStr">
        <is>
          <t>Kyrkan</t>
        </is>
      </c>
      <c r="G307" t="n">
        <v>3.8</v>
      </c>
      <c r="H307" t="n">
        <v>0</v>
      </c>
      <c r="I307" t="n">
        <v>0</v>
      </c>
      <c r="J307" t="n">
        <v>0</v>
      </c>
      <c r="K307" t="n">
        <v>0</v>
      </c>
      <c r="L307" t="n">
        <v>0</v>
      </c>
      <c r="M307" t="n">
        <v>0</v>
      </c>
      <c r="N307" t="n">
        <v>0</v>
      </c>
      <c r="O307" t="n">
        <v>0</v>
      </c>
      <c r="P307" t="n">
        <v>0</v>
      </c>
      <c r="Q307" t="n">
        <v>0</v>
      </c>
      <c r="R307" s="2" t="inlineStr"/>
    </row>
    <row r="308" ht="15" customHeight="1">
      <c r="A308" t="inlineStr">
        <is>
          <t>A 46375-2024</t>
        </is>
      </c>
      <c r="B308" s="1" t="n">
        <v>45582</v>
      </c>
      <c r="C308" s="1" t="n">
        <v>45925</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64555-2023</t>
        </is>
      </c>
      <c r="B309" s="1" t="n">
        <v>45281</v>
      </c>
      <c r="C309" s="1" t="n">
        <v>45925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64831-2023</t>
        </is>
      </c>
      <c r="B310" s="1" t="n">
        <v>45282.44924768519</v>
      </c>
      <c r="C310" s="1" t="n">
        <v>45925</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27593-2023</t>
        </is>
      </c>
      <c r="B311" s="1" t="n">
        <v>45097</v>
      </c>
      <c r="C311" s="1" t="n">
        <v>45925</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14804-2021</t>
        </is>
      </c>
      <c r="B312" s="1" t="n">
        <v>44280</v>
      </c>
      <c r="C312" s="1" t="n">
        <v>45925</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999-2023</t>
        </is>
      </c>
      <c r="B313" s="1" t="n">
        <v>44935</v>
      </c>
      <c r="C313" s="1" t="n">
        <v>45925</v>
      </c>
      <c r="D313" t="inlineStr">
        <is>
          <t>GOTLANDS LÄN</t>
        </is>
      </c>
      <c r="E313" t="inlineStr">
        <is>
          <t>GOTLAND</t>
        </is>
      </c>
      <c r="G313" t="n">
        <v>4.7</v>
      </c>
      <c r="H313" t="n">
        <v>0</v>
      </c>
      <c r="I313" t="n">
        <v>0</v>
      </c>
      <c r="J313" t="n">
        <v>0</v>
      </c>
      <c r="K313" t="n">
        <v>0</v>
      </c>
      <c r="L313" t="n">
        <v>0</v>
      </c>
      <c r="M313" t="n">
        <v>0</v>
      </c>
      <c r="N313" t="n">
        <v>0</v>
      </c>
      <c r="O313" t="n">
        <v>0</v>
      </c>
      <c r="P313" t="n">
        <v>0</v>
      </c>
      <c r="Q313" t="n">
        <v>0</v>
      </c>
      <c r="R313" s="2" t="inlineStr"/>
    </row>
    <row r="314" ht="15" customHeight="1">
      <c r="A314" t="inlineStr">
        <is>
          <t>A 27602-2023</t>
        </is>
      </c>
      <c r="B314" s="1" t="n">
        <v>45097</v>
      </c>
      <c r="C314" s="1" t="n">
        <v>45925</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15216-2025</t>
        </is>
      </c>
      <c r="B315" s="1" t="n">
        <v>45744</v>
      </c>
      <c r="C315" s="1" t="n">
        <v>45925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45925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4377-2023</t>
        </is>
      </c>
      <c r="B317" s="1" t="n">
        <v>44955.5502662037</v>
      </c>
      <c r="C317" s="1" t="n">
        <v>45925</v>
      </c>
      <c r="D317" t="inlineStr">
        <is>
          <t>GOTLANDS LÄN</t>
        </is>
      </c>
      <c r="E317" t="inlineStr">
        <is>
          <t>GOTLAND</t>
        </is>
      </c>
      <c r="F317" t="inlineStr">
        <is>
          <t>Kyrkan</t>
        </is>
      </c>
      <c r="G317" t="n">
        <v>0.6</v>
      </c>
      <c r="H317" t="n">
        <v>0</v>
      </c>
      <c r="I317" t="n">
        <v>0</v>
      </c>
      <c r="J317" t="n">
        <v>0</v>
      </c>
      <c r="K317" t="n">
        <v>0</v>
      </c>
      <c r="L317" t="n">
        <v>0</v>
      </c>
      <c r="M317" t="n">
        <v>0</v>
      </c>
      <c r="N317" t="n">
        <v>0</v>
      </c>
      <c r="O317" t="n">
        <v>0</v>
      </c>
      <c r="P317" t="n">
        <v>0</v>
      </c>
      <c r="Q317" t="n">
        <v>0</v>
      </c>
      <c r="R317" s="2" t="inlineStr"/>
    </row>
    <row r="318" ht="15" customHeight="1">
      <c r="A318" t="inlineStr">
        <is>
          <t>A 4387-2023</t>
        </is>
      </c>
      <c r="B318" s="1" t="n">
        <v>44955.73359953704</v>
      </c>
      <c r="C318" s="1" t="n">
        <v>45925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43790-2024</t>
        </is>
      </c>
      <c r="B319" s="1" t="n">
        <v>45571</v>
      </c>
      <c r="C319" s="1" t="n">
        <v>45925</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24001-2021</t>
        </is>
      </c>
      <c r="B320" s="1" t="n">
        <v>44335</v>
      </c>
      <c r="C320" s="1" t="n">
        <v>45925</v>
      </c>
      <c r="D320" t="inlineStr">
        <is>
          <t>GOTLANDS LÄN</t>
        </is>
      </c>
      <c r="E320" t="inlineStr">
        <is>
          <t>GOTLAND</t>
        </is>
      </c>
      <c r="G320" t="n">
        <v>3.4</v>
      </c>
      <c r="H320" t="n">
        <v>0</v>
      </c>
      <c r="I320" t="n">
        <v>0</v>
      </c>
      <c r="J320" t="n">
        <v>0</v>
      </c>
      <c r="K320" t="n">
        <v>0</v>
      </c>
      <c r="L320" t="n">
        <v>0</v>
      </c>
      <c r="M320" t="n">
        <v>0</v>
      </c>
      <c r="N320" t="n">
        <v>0</v>
      </c>
      <c r="O320" t="n">
        <v>0</v>
      </c>
      <c r="P320" t="n">
        <v>0</v>
      </c>
      <c r="Q320" t="n">
        <v>0</v>
      </c>
      <c r="R320" s="2" t="inlineStr"/>
    </row>
    <row r="321" ht="15" customHeight="1">
      <c r="A321" t="inlineStr">
        <is>
          <t>A 39479-2022</t>
        </is>
      </c>
      <c r="B321" s="1" t="n">
        <v>44818</v>
      </c>
      <c r="C321" s="1" t="n">
        <v>45925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1734-2025</t>
        </is>
      </c>
      <c r="B322" s="1" t="n">
        <v>45671.3840625</v>
      </c>
      <c r="C322" s="1" t="n">
        <v>45925</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45925</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15001-2025</t>
        </is>
      </c>
      <c r="B324" s="1" t="n">
        <v>45743</v>
      </c>
      <c r="C324" s="1" t="n">
        <v>45925</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51963-2024</t>
        </is>
      </c>
      <c r="B325" s="1" t="n">
        <v>45607.64833333333</v>
      </c>
      <c r="C325" s="1" t="n">
        <v>45925</v>
      </c>
      <c r="D325" t="inlineStr">
        <is>
          <t>GOTLANDS LÄN</t>
        </is>
      </c>
      <c r="E325" t="inlineStr">
        <is>
          <t>GOTLAND</t>
        </is>
      </c>
      <c r="G325" t="n">
        <v>2.4</v>
      </c>
      <c r="H325" t="n">
        <v>0</v>
      </c>
      <c r="I325" t="n">
        <v>0</v>
      </c>
      <c r="J325" t="n">
        <v>0</v>
      </c>
      <c r="K325" t="n">
        <v>0</v>
      </c>
      <c r="L325" t="n">
        <v>0</v>
      </c>
      <c r="M325" t="n">
        <v>0</v>
      </c>
      <c r="N325" t="n">
        <v>0</v>
      </c>
      <c r="O325" t="n">
        <v>0</v>
      </c>
      <c r="P325" t="n">
        <v>0</v>
      </c>
      <c r="Q325" t="n">
        <v>0</v>
      </c>
      <c r="R325" s="2" t="inlineStr"/>
    </row>
    <row r="326" ht="15" customHeight="1">
      <c r="A326" t="inlineStr">
        <is>
          <t>A 30488-2025</t>
        </is>
      </c>
      <c r="B326" s="1" t="n">
        <v>45830</v>
      </c>
      <c r="C326" s="1" t="n">
        <v>45925</v>
      </c>
      <c r="D326" t="inlineStr">
        <is>
          <t>GOTLANDS LÄN</t>
        </is>
      </c>
      <c r="E326" t="inlineStr">
        <is>
          <t>GOTLAND</t>
        </is>
      </c>
      <c r="F326" t="inlineStr">
        <is>
          <t>Kyrkan</t>
        </is>
      </c>
      <c r="G326" t="n">
        <v>3.9</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45925</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22883-2024</t>
        </is>
      </c>
      <c r="B328" s="1" t="n">
        <v>45448.66368055555</v>
      </c>
      <c r="C328" s="1" t="n">
        <v>45925</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17847-2025</t>
        </is>
      </c>
      <c r="B329" s="1" t="n">
        <v>45758</v>
      </c>
      <c r="C329" s="1" t="n">
        <v>45925</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811-2023</t>
        </is>
      </c>
      <c r="B330" s="1" t="n">
        <v>44931</v>
      </c>
      <c r="C330" s="1" t="n">
        <v>45925</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46389-2021</t>
        </is>
      </c>
      <c r="B331" s="1" t="n">
        <v>44443</v>
      </c>
      <c r="C331" s="1" t="n">
        <v>45925</v>
      </c>
      <c r="D331" t="inlineStr">
        <is>
          <t>GOTLANDS LÄN</t>
        </is>
      </c>
      <c r="E331" t="inlineStr">
        <is>
          <t>GOTLAND</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45925</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45925</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2125-2025</t>
        </is>
      </c>
      <c r="B334" s="1" t="n">
        <v>45672.64940972222</v>
      </c>
      <c r="C334" s="1" t="n">
        <v>45925</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45925</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12155-2023</t>
        </is>
      </c>
      <c r="B336" s="1" t="n">
        <v>44998.49106481481</v>
      </c>
      <c r="C336" s="1" t="n">
        <v>45925</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26810-2021</t>
        </is>
      </c>
      <c r="B337" s="1" t="n">
        <v>44349.55087962963</v>
      </c>
      <c r="C337" s="1" t="n">
        <v>45925</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457-2023</t>
        </is>
      </c>
      <c r="B338" s="1" t="n">
        <v>44929.87238425926</v>
      </c>
      <c r="C338" s="1" t="n">
        <v>45925</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459-2023</t>
        </is>
      </c>
      <c r="B339" s="1" t="n">
        <v>44929.87423611111</v>
      </c>
      <c r="C339" s="1" t="n">
        <v>45925</v>
      </c>
      <c r="D339" t="inlineStr">
        <is>
          <t>GOTLANDS LÄN</t>
        </is>
      </c>
      <c r="E339" t="inlineStr">
        <is>
          <t>GOTLAND</t>
        </is>
      </c>
      <c r="G339" t="n">
        <v>4.2</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45925</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18742-2025</t>
        </is>
      </c>
      <c r="B341" s="1" t="n">
        <v>45763</v>
      </c>
      <c r="C341" s="1" t="n">
        <v>45925</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36319-2025</t>
        </is>
      </c>
      <c r="B342" s="1" t="n">
        <v>45868</v>
      </c>
      <c r="C342" s="1" t="n">
        <v>45925</v>
      </c>
      <c r="D342" t="inlineStr">
        <is>
          <t>GOTLANDS LÄN</t>
        </is>
      </c>
      <c r="E342" t="inlineStr">
        <is>
          <t>GOTLAND</t>
        </is>
      </c>
      <c r="G342" t="n">
        <v>2.9</v>
      </c>
      <c r="H342" t="n">
        <v>0</v>
      </c>
      <c r="I342" t="n">
        <v>0</v>
      </c>
      <c r="J342" t="n">
        <v>0</v>
      </c>
      <c r="K342" t="n">
        <v>0</v>
      </c>
      <c r="L342" t="n">
        <v>0</v>
      </c>
      <c r="M342" t="n">
        <v>0</v>
      </c>
      <c r="N342" t="n">
        <v>0</v>
      </c>
      <c r="O342" t="n">
        <v>0</v>
      </c>
      <c r="P342" t="n">
        <v>0</v>
      </c>
      <c r="Q342" t="n">
        <v>0</v>
      </c>
      <c r="R342" s="2" t="inlineStr"/>
    </row>
    <row r="343" ht="15" customHeight="1">
      <c r="A343" t="inlineStr">
        <is>
          <t>A 50744-2024</t>
        </is>
      </c>
      <c r="B343" s="1" t="n">
        <v>45602.4187037037</v>
      </c>
      <c r="C343" s="1" t="n">
        <v>45925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45925</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5923-2023</t>
        </is>
      </c>
      <c r="B345" s="1" t="n">
        <v>44963.69503472222</v>
      </c>
      <c r="C345" s="1" t="n">
        <v>45925</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35129-2025</t>
        </is>
      </c>
      <c r="B346" s="1" t="n">
        <v>45852.63224537037</v>
      </c>
      <c r="C346" s="1" t="n">
        <v>45925</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33853-2024</t>
        </is>
      </c>
      <c r="B347" s="1" t="n">
        <v>45520.64298611111</v>
      </c>
      <c r="C347" s="1" t="n">
        <v>45925</v>
      </c>
      <c r="D347" t="inlineStr">
        <is>
          <t>GOTLANDS LÄN</t>
        </is>
      </c>
      <c r="E347" t="inlineStr">
        <is>
          <t>GOTLAND</t>
        </is>
      </c>
      <c r="G347" t="n">
        <v>3.9</v>
      </c>
      <c r="H347" t="n">
        <v>0</v>
      </c>
      <c r="I347" t="n">
        <v>0</v>
      </c>
      <c r="J347" t="n">
        <v>0</v>
      </c>
      <c r="K347" t="n">
        <v>0</v>
      </c>
      <c r="L347" t="n">
        <v>0</v>
      </c>
      <c r="M347" t="n">
        <v>0</v>
      </c>
      <c r="N347" t="n">
        <v>0</v>
      </c>
      <c r="O347" t="n">
        <v>0</v>
      </c>
      <c r="P347" t="n">
        <v>0</v>
      </c>
      <c r="Q347" t="n">
        <v>0</v>
      </c>
      <c r="R347" s="2" t="inlineStr"/>
    </row>
    <row r="348" ht="15" customHeight="1">
      <c r="A348" t="inlineStr">
        <is>
          <t>A 18918-2025</t>
        </is>
      </c>
      <c r="B348" s="1" t="n">
        <v>45764</v>
      </c>
      <c r="C348" s="1" t="n">
        <v>45925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2674-2023</t>
        </is>
      </c>
      <c r="B349" s="1" t="n">
        <v>44944</v>
      </c>
      <c r="C349" s="1" t="n">
        <v>45925</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53934-2024</t>
        </is>
      </c>
      <c r="B350" s="1" t="n">
        <v>45615</v>
      </c>
      <c r="C350" s="1" t="n">
        <v>45925</v>
      </c>
      <c r="D350" t="inlineStr">
        <is>
          <t>GOTLANDS LÄN</t>
        </is>
      </c>
      <c r="E350" t="inlineStr">
        <is>
          <t>GOTLAND</t>
        </is>
      </c>
      <c r="G350" t="n">
        <v>5</v>
      </c>
      <c r="H350" t="n">
        <v>0</v>
      </c>
      <c r="I350" t="n">
        <v>0</v>
      </c>
      <c r="J350" t="n">
        <v>0</v>
      </c>
      <c r="K350" t="n">
        <v>0</v>
      </c>
      <c r="L350" t="n">
        <v>0</v>
      </c>
      <c r="M350" t="n">
        <v>0</v>
      </c>
      <c r="N350" t="n">
        <v>0</v>
      </c>
      <c r="O350" t="n">
        <v>0</v>
      </c>
      <c r="P350" t="n">
        <v>0</v>
      </c>
      <c r="Q350" t="n">
        <v>0</v>
      </c>
      <c r="R350" s="2" t="inlineStr"/>
    </row>
    <row r="351" ht="15" customHeight="1">
      <c r="A351" t="inlineStr">
        <is>
          <t>A 55334-2024</t>
        </is>
      </c>
      <c r="B351" s="1" t="n">
        <v>45621</v>
      </c>
      <c r="C351" s="1" t="n">
        <v>45925</v>
      </c>
      <c r="D351" t="inlineStr">
        <is>
          <t>GOTLANDS LÄN</t>
        </is>
      </c>
      <c r="E351" t="inlineStr">
        <is>
          <t>GOTLAND</t>
        </is>
      </c>
      <c r="G351" t="n">
        <v>21.7</v>
      </c>
      <c r="H351" t="n">
        <v>0</v>
      </c>
      <c r="I351" t="n">
        <v>0</v>
      </c>
      <c r="J351" t="n">
        <v>0</v>
      </c>
      <c r="K351" t="n">
        <v>0</v>
      </c>
      <c r="L351" t="n">
        <v>0</v>
      </c>
      <c r="M351" t="n">
        <v>0</v>
      </c>
      <c r="N351" t="n">
        <v>0</v>
      </c>
      <c r="O351" t="n">
        <v>0</v>
      </c>
      <c r="P351" t="n">
        <v>0</v>
      </c>
      <c r="Q351" t="n">
        <v>0</v>
      </c>
      <c r="R351" s="2" t="inlineStr"/>
    </row>
    <row r="352" ht="15" customHeight="1">
      <c r="A352" t="inlineStr">
        <is>
          <t>A 1273-2023</t>
        </is>
      </c>
      <c r="B352" s="1" t="n">
        <v>44936</v>
      </c>
      <c r="C352" s="1" t="n">
        <v>45925</v>
      </c>
      <c r="D352" t="inlineStr">
        <is>
          <t>GOTLANDS LÄN</t>
        </is>
      </c>
      <c r="E352" t="inlineStr">
        <is>
          <t>GOTLAND</t>
        </is>
      </c>
      <c r="G352" t="n">
        <v>4.5</v>
      </c>
      <c r="H352" t="n">
        <v>0</v>
      </c>
      <c r="I352" t="n">
        <v>0</v>
      </c>
      <c r="J352" t="n">
        <v>0</v>
      </c>
      <c r="K352" t="n">
        <v>0</v>
      </c>
      <c r="L352" t="n">
        <v>0</v>
      </c>
      <c r="M352" t="n">
        <v>0</v>
      </c>
      <c r="N352" t="n">
        <v>0</v>
      </c>
      <c r="O352" t="n">
        <v>0</v>
      </c>
      <c r="P352" t="n">
        <v>0</v>
      </c>
      <c r="Q352" t="n">
        <v>0</v>
      </c>
      <c r="R352" s="2" t="inlineStr"/>
    </row>
    <row r="353" ht="15" customHeight="1">
      <c r="A353" t="inlineStr">
        <is>
          <t>A 42607-2025</t>
        </is>
      </c>
      <c r="B353" s="1" t="n">
        <v>45905</v>
      </c>
      <c r="C353" s="1" t="n">
        <v>45925</v>
      </c>
      <c r="D353" t="inlineStr">
        <is>
          <t>GOTLANDS LÄN</t>
        </is>
      </c>
      <c r="E353" t="inlineStr">
        <is>
          <t>GOTLAND</t>
        </is>
      </c>
      <c r="G353" t="n">
        <v>15.8</v>
      </c>
      <c r="H353" t="n">
        <v>0</v>
      </c>
      <c r="I353" t="n">
        <v>0</v>
      </c>
      <c r="J353" t="n">
        <v>0</v>
      </c>
      <c r="K353" t="n">
        <v>0</v>
      </c>
      <c r="L353" t="n">
        <v>0</v>
      </c>
      <c r="M353" t="n">
        <v>0</v>
      </c>
      <c r="N353" t="n">
        <v>0</v>
      </c>
      <c r="O353" t="n">
        <v>0</v>
      </c>
      <c r="P353" t="n">
        <v>0</v>
      </c>
      <c r="Q353" t="n">
        <v>0</v>
      </c>
      <c r="R353" s="2" t="inlineStr"/>
    </row>
    <row r="354" ht="15" customHeight="1">
      <c r="A354" t="inlineStr">
        <is>
          <t>A 58780-2024</t>
        </is>
      </c>
      <c r="B354" s="1" t="n">
        <v>45635.84113425926</v>
      </c>
      <c r="C354" s="1" t="n">
        <v>45925</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45692-2023</t>
        </is>
      </c>
      <c r="B355" s="1" t="n">
        <v>45195</v>
      </c>
      <c r="C355" s="1" t="n">
        <v>45925</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33876-2024</t>
        </is>
      </c>
      <c r="B356" s="1" t="n">
        <v>45521.87988425926</v>
      </c>
      <c r="C356" s="1" t="n">
        <v>45925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10655-2023</t>
        </is>
      </c>
      <c r="B357" s="1" t="n">
        <v>44988.49543981482</v>
      </c>
      <c r="C357" s="1" t="n">
        <v>45925</v>
      </c>
      <c r="D357" t="inlineStr">
        <is>
          <t>GOTLANDS LÄN</t>
        </is>
      </c>
      <c r="E357" t="inlineStr">
        <is>
          <t>GOTLAND</t>
        </is>
      </c>
      <c r="F357" t="inlineStr">
        <is>
          <t>Kyrkan</t>
        </is>
      </c>
      <c r="G357" t="n">
        <v>2</v>
      </c>
      <c r="H357" t="n">
        <v>0</v>
      </c>
      <c r="I357" t="n">
        <v>0</v>
      </c>
      <c r="J357" t="n">
        <v>0</v>
      </c>
      <c r="K357" t="n">
        <v>0</v>
      </c>
      <c r="L357" t="n">
        <v>0</v>
      </c>
      <c r="M357" t="n">
        <v>0</v>
      </c>
      <c r="N357" t="n">
        <v>0</v>
      </c>
      <c r="O357" t="n">
        <v>0</v>
      </c>
      <c r="P357" t="n">
        <v>0</v>
      </c>
      <c r="Q357" t="n">
        <v>0</v>
      </c>
      <c r="R357" s="2" t="inlineStr"/>
    </row>
    <row r="358" ht="15" customHeight="1">
      <c r="A358" t="inlineStr">
        <is>
          <t>A 2719-2023</t>
        </is>
      </c>
      <c r="B358" s="1" t="n">
        <v>44944.55361111111</v>
      </c>
      <c r="C358" s="1" t="n">
        <v>45925</v>
      </c>
      <c r="D358" t="inlineStr">
        <is>
          <t>GOTLANDS LÄN</t>
        </is>
      </c>
      <c r="E358" t="inlineStr">
        <is>
          <t>GOTLAND</t>
        </is>
      </c>
      <c r="G358" t="n">
        <v>0.5</v>
      </c>
      <c r="H358" t="n">
        <v>0</v>
      </c>
      <c r="I358" t="n">
        <v>0</v>
      </c>
      <c r="J358" t="n">
        <v>0</v>
      </c>
      <c r="K358" t="n">
        <v>0</v>
      </c>
      <c r="L358" t="n">
        <v>0</v>
      </c>
      <c r="M358" t="n">
        <v>0</v>
      </c>
      <c r="N358" t="n">
        <v>0</v>
      </c>
      <c r="O358" t="n">
        <v>0</v>
      </c>
      <c r="P358" t="n">
        <v>0</v>
      </c>
      <c r="Q358" t="n">
        <v>0</v>
      </c>
      <c r="R358" s="2" t="inlineStr"/>
    </row>
    <row r="359" ht="15" customHeight="1">
      <c r="A359" t="inlineStr">
        <is>
          <t>A 26891-2024</t>
        </is>
      </c>
      <c r="B359" s="1" t="n">
        <v>45470.65540509259</v>
      </c>
      <c r="C359" s="1" t="n">
        <v>45925</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45925</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9887-2025</t>
        </is>
      </c>
      <c r="B361" s="1" t="n">
        <v>45716</v>
      </c>
      <c r="C361" s="1" t="n">
        <v>45925</v>
      </c>
      <c r="D361" t="inlineStr">
        <is>
          <t>GOTLANDS LÄN</t>
        </is>
      </c>
      <c r="E361" t="inlineStr">
        <is>
          <t>GOTLAND</t>
        </is>
      </c>
      <c r="G361" t="n">
        <v>7.5</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45925</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61100-2022</t>
        </is>
      </c>
      <c r="B363" s="1" t="n">
        <v>44915</v>
      </c>
      <c r="C363" s="1" t="n">
        <v>45925</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38165-2023</t>
        </is>
      </c>
      <c r="B364" s="1" t="n">
        <v>45161</v>
      </c>
      <c r="C364" s="1" t="n">
        <v>45925</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61682-2024</t>
        </is>
      </c>
      <c r="B365" s="1" t="n">
        <v>45647.48824074074</v>
      </c>
      <c r="C365" s="1" t="n">
        <v>45925</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1446-2025</t>
        </is>
      </c>
      <c r="B366" s="1" t="n">
        <v>45669.86035879629</v>
      </c>
      <c r="C366" s="1" t="n">
        <v>45925</v>
      </c>
      <c r="D366" t="inlineStr">
        <is>
          <t>GOTLANDS LÄN</t>
        </is>
      </c>
      <c r="E366" t="inlineStr">
        <is>
          <t>GOTLAND</t>
        </is>
      </c>
      <c r="G366" t="n">
        <v>3.1</v>
      </c>
      <c r="H366" t="n">
        <v>0</v>
      </c>
      <c r="I366" t="n">
        <v>0</v>
      </c>
      <c r="J366" t="n">
        <v>0</v>
      </c>
      <c r="K366" t="n">
        <v>0</v>
      </c>
      <c r="L366" t="n">
        <v>0</v>
      </c>
      <c r="M366" t="n">
        <v>0</v>
      </c>
      <c r="N366" t="n">
        <v>0</v>
      </c>
      <c r="O366" t="n">
        <v>0</v>
      </c>
      <c r="P366" t="n">
        <v>0</v>
      </c>
      <c r="Q366" t="n">
        <v>0</v>
      </c>
      <c r="R366" s="2" t="inlineStr"/>
    </row>
    <row r="367" ht="15" customHeight="1">
      <c r="A367" t="inlineStr">
        <is>
          <t>A 10813-2025</t>
        </is>
      </c>
      <c r="B367" s="1" t="n">
        <v>45722.54163194444</v>
      </c>
      <c r="C367" s="1" t="n">
        <v>45925</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27596-2023</t>
        </is>
      </c>
      <c r="B368" s="1" t="n">
        <v>45097</v>
      </c>
      <c r="C368" s="1" t="n">
        <v>45925</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44410-2025</t>
        </is>
      </c>
      <c r="B369" s="1" t="n">
        <v>45916.53699074074</v>
      </c>
      <c r="C369" s="1" t="n">
        <v>45925</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43785-2024</t>
        </is>
      </c>
      <c r="B370" s="1" t="n">
        <v>45570</v>
      </c>
      <c r="C370" s="1" t="n">
        <v>45925</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44405-2025</t>
        </is>
      </c>
      <c r="B371" s="1" t="n">
        <v>45916.52405092592</v>
      </c>
      <c r="C371" s="1" t="n">
        <v>45925</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24825-2024</t>
        </is>
      </c>
      <c r="B372" s="1" t="n">
        <v>45461</v>
      </c>
      <c r="C372" s="1" t="n">
        <v>45925</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6696-2023</t>
        </is>
      </c>
      <c r="B373" s="1" t="n">
        <v>44966.66425925926</v>
      </c>
      <c r="C373" s="1" t="n">
        <v>45925</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31264-2021</t>
        </is>
      </c>
      <c r="B374" s="1" t="n">
        <v>44368</v>
      </c>
      <c r="C374" s="1" t="n">
        <v>45925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21247-2022</t>
        </is>
      </c>
      <c r="B375" s="1" t="n">
        <v>44705.38832175926</v>
      </c>
      <c r="C375" s="1" t="n">
        <v>45925</v>
      </c>
      <c r="D375" t="inlineStr">
        <is>
          <t>GOTLANDS LÄN</t>
        </is>
      </c>
      <c r="E375" t="inlineStr">
        <is>
          <t>GOTLAND</t>
        </is>
      </c>
      <c r="G375" t="n">
        <v>16.2</v>
      </c>
      <c r="H375" t="n">
        <v>0</v>
      </c>
      <c r="I375" t="n">
        <v>0</v>
      </c>
      <c r="J375" t="n">
        <v>0</v>
      </c>
      <c r="K375" t="n">
        <v>0</v>
      </c>
      <c r="L375" t="n">
        <v>0</v>
      </c>
      <c r="M375" t="n">
        <v>0</v>
      </c>
      <c r="N375" t="n">
        <v>0</v>
      </c>
      <c r="O375" t="n">
        <v>0</v>
      </c>
      <c r="P375" t="n">
        <v>0</v>
      </c>
      <c r="Q375" t="n">
        <v>0</v>
      </c>
      <c r="R375" s="2" t="inlineStr"/>
    </row>
    <row r="376" ht="15" customHeight="1">
      <c r="A376" t="inlineStr">
        <is>
          <t>A 456-2023</t>
        </is>
      </c>
      <c r="B376" s="1" t="n">
        <v>44929.87122685185</v>
      </c>
      <c r="C376" s="1" t="n">
        <v>45925</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43901-2023</t>
        </is>
      </c>
      <c r="B377" s="1" t="n">
        <v>45187</v>
      </c>
      <c r="C377" s="1" t="n">
        <v>45925</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2714-2023</t>
        </is>
      </c>
      <c r="B378" s="1" t="n">
        <v>44944.54896990741</v>
      </c>
      <c r="C378" s="1" t="n">
        <v>45925</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58388-2022</t>
        </is>
      </c>
      <c r="B379" s="1" t="n">
        <v>44894</v>
      </c>
      <c r="C379" s="1" t="n">
        <v>45925</v>
      </c>
      <c r="D379" t="inlineStr">
        <is>
          <t>GOTLANDS LÄN</t>
        </is>
      </c>
      <c r="E379" t="inlineStr">
        <is>
          <t>GOTLAND</t>
        </is>
      </c>
      <c r="F379" t="inlineStr">
        <is>
          <t>Övriga statliga verk och myndigheter</t>
        </is>
      </c>
      <c r="G379" t="n">
        <v>3.1</v>
      </c>
      <c r="H379" t="n">
        <v>0</v>
      </c>
      <c r="I379" t="n">
        <v>0</v>
      </c>
      <c r="J379" t="n">
        <v>0</v>
      </c>
      <c r="K379" t="n">
        <v>0</v>
      </c>
      <c r="L379" t="n">
        <v>0</v>
      </c>
      <c r="M379" t="n">
        <v>0</v>
      </c>
      <c r="N379" t="n">
        <v>0</v>
      </c>
      <c r="O379" t="n">
        <v>0</v>
      </c>
      <c r="P379" t="n">
        <v>0</v>
      </c>
      <c r="Q379" t="n">
        <v>0</v>
      </c>
      <c r="R379" s="2" t="inlineStr"/>
    </row>
    <row r="380" ht="15" customHeight="1">
      <c r="A380" t="inlineStr">
        <is>
          <t>A 10746-2025</t>
        </is>
      </c>
      <c r="B380" s="1" t="n">
        <v>45722.42766203704</v>
      </c>
      <c r="C380" s="1" t="n">
        <v>45925</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16501-2023</t>
        </is>
      </c>
      <c r="B381" s="1" t="n">
        <v>45029</v>
      </c>
      <c r="C381" s="1" t="n">
        <v>45925</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4421-2024</t>
        </is>
      </c>
      <c r="B382" s="1" t="n">
        <v>45327.45173611111</v>
      </c>
      <c r="C382" s="1" t="n">
        <v>45925</v>
      </c>
      <c r="D382" t="inlineStr">
        <is>
          <t>GOTLANDS LÄN</t>
        </is>
      </c>
      <c r="E382" t="inlineStr">
        <is>
          <t>GOTLAND</t>
        </is>
      </c>
      <c r="G382" t="n">
        <v>5.1</v>
      </c>
      <c r="H382" t="n">
        <v>0</v>
      </c>
      <c r="I382" t="n">
        <v>0</v>
      </c>
      <c r="J382" t="n">
        <v>0</v>
      </c>
      <c r="K382" t="n">
        <v>0</v>
      </c>
      <c r="L382" t="n">
        <v>0</v>
      </c>
      <c r="M382" t="n">
        <v>0</v>
      </c>
      <c r="N382" t="n">
        <v>0</v>
      </c>
      <c r="O382" t="n">
        <v>0</v>
      </c>
      <c r="P382" t="n">
        <v>0</v>
      </c>
      <c r="Q382" t="n">
        <v>0</v>
      </c>
      <c r="R382" s="2" t="inlineStr"/>
    </row>
    <row r="383" ht="15" customHeight="1">
      <c r="A383" t="inlineStr">
        <is>
          <t>A 21792-2024</t>
        </is>
      </c>
      <c r="B383" s="1" t="n">
        <v>45442.64326388889</v>
      </c>
      <c r="C383" s="1" t="n">
        <v>45925</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51782-2023</t>
        </is>
      </c>
      <c r="B384" s="1" t="n">
        <v>45222.80952546297</v>
      </c>
      <c r="C384" s="1" t="n">
        <v>45925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54268-2022</t>
        </is>
      </c>
      <c r="B385" s="1" t="n">
        <v>44882</v>
      </c>
      <c r="C385" s="1" t="n">
        <v>45925</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45925</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45925</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45925</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43911-2025</t>
        </is>
      </c>
      <c r="B389" s="1" t="n">
        <v>45914.3881712963</v>
      </c>
      <c r="C389" s="1" t="n">
        <v>45925</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45925</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25866-2022</t>
        </is>
      </c>
      <c r="B391" s="1" t="n">
        <v>44733</v>
      </c>
      <c r="C391" s="1" t="n">
        <v>45925</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43229-2023</t>
        </is>
      </c>
      <c r="B392" s="1" t="n">
        <v>45183.46704861111</v>
      </c>
      <c r="C392" s="1" t="n">
        <v>45925</v>
      </c>
      <c r="D392" t="inlineStr">
        <is>
          <t>GOTLANDS LÄN</t>
        </is>
      </c>
      <c r="E392" t="inlineStr">
        <is>
          <t>GOTLAND</t>
        </is>
      </c>
      <c r="G392" t="n">
        <v>7.1</v>
      </c>
      <c r="H392" t="n">
        <v>0</v>
      </c>
      <c r="I392" t="n">
        <v>0</v>
      </c>
      <c r="J392" t="n">
        <v>0</v>
      </c>
      <c r="K392" t="n">
        <v>0</v>
      </c>
      <c r="L392" t="n">
        <v>0</v>
      </c>
      <c r="M392" t="n">
        <v>0</v>
      </c>
      <c r="N392" t="n">
        <v>0</v>
      </c>
      <c r="O392" t="n">
        <v>0</v>
      </c>
      <c r="P392" t="n">
        <v>0</v>
      </c>
      <c r="Q392" t="n">
        <v>0</v>
      </c>
      <c r="R392" s="2" t="inlineStr"/>
    </row>
    <row r="393" ht="15" customHeight="1">
      <c r="A393" t="inlineStr">
        <is>
          <t>A 1175-2025</t>
        </is>
      </c>
      <c r="B393" s="1" t="n">
        <v>45667.34449074074</v>
      </c>
      <c r="C393" s="1" t="n">
        <v>45925</v>
      </c>
      <c r="D393" t="inlineStr">
        <is>
          <t>GOTLANDS LÄN</t>
        </is>
      </c>
      <c r="E393" t="inlineStr">
        <is>
          <t>GOTLAND</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45925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27095-2022</t>
        </is>
      </c>
      <c r="B395" s="1" t="n">
        <v>44741</v>
      </c>
      <c r="C395" s="1" t="n">
        <v>45925</v>
      </c>
      <c r="D395" t="inlineStr">
        <is>
          <t>GOTLANDS LÄN</t>
        </is>
      </c>
      <c r="E395" t="inlineStr">
        <is>
          <t>GOTLAND</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43951-2025</t>
        </is>
      </c>
      <c r="B396" s="1" t="n">
        <v>45915.38119212963</v>
      </c>
      <c r="C396" s="1" t="n">
        <v>45925</v>
      </c>
      <c r="D396" t="inlineStr">
        <is>
          <t>GOTLANDS LÄN</t>
        </is>
      </c>
      <c r="E396" t="inlineStr">
        <is>
          <t>GOTLAND</t>
        </is>
      </c>
      <c r="G396" t="n">
        <v>4.4</v>
      </c>
      <c r="H396" t="n">
        <v>0</v>
      </c>
      <c r="I396" t="n">
        <v>0</v>
      </c>
      <c r="J396" t="n">
        <v>0</v>
      </c>
      <c r="K396" t="n">
        <v>0</v>
      </c>
      <c r="L396" t="n">
        <v>0</v>
      </c>
      <c r="M396" t="n">
        <v>0</v>
      </c>
      <c r="N396" t="n">
        <v>0</v>
      </c>
      <c r="O396" t="n">
        <v>0</v>
      </c>
      <c r="P396" t="n">
        <v>0</v>
      </c>
      <c r="Q396" t="n">
        <v>0</v>
      </c>
      <c r="R396" s="2" t="inlineStr"/>
    </row>
    <row r="397" ht="15" customHeight="1">
      <c r="A397" t="inlineStr">
        <is>
          <t>A 22899-2023</t>
        </is>
      </c>
      <c r="B397" s="1" t="n">
        <v>45072</v>
      </c>
      <c r="C397" s="1" t="n">
        <v>45925</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45925</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45925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23978-2023</t>
        </is>
      </c>
      <c r="B400" s="1" t="n">
        <v>45078</v>
      </c>
      <c r="C400" s="1" t="n">
        <v>45925</v>
      </c>
      <c r="D400" t="inlineStr">
        <is>
          <t>GOTLANDS LÄN</t>
        </is>
      </c>
      <c r="E400" t="inlineStr">
        <is>
          <t>GOTLAND</t>
        </is>
      </c>
      <c r="F400" t="inlineStr">
        <is>
          <t>Naturvårdsverket</t>
        </is>
      </c>
      <c r="G400" t="n">
        <v>1.7</v>
      </c>
      <c r="H400" t="n">
        <v>0</v>
      </c>
      <c r="I400" t="n">
        <v>0</v>
      </c>
      <c r="J400" t="n">
        <v>0</v>
      </c>
      <c r="K400" t="n">
        <v>0</v>
      </c>
      <c r="L400" t="n">
        <v>0</v>
      </c>
      <c r="M400" t="n">
        <v>0</v>
      </c>
      <c r="N400" t="n">
        <v>0</v>
      </c>
      <c r="O400" t="n">
        <v>0</v>
      </c>
      <c r="P400" t="n">
        <v>0</v>
      </c>
      <c r="Q400" t="n">
        <v>0</v>
      </c>
      <c r="R400" s="2" t="inlineStr"/>
    </row>
    <row r="401" ht="15" customHeight="1">
      <c r="A401" t="inlineStr">
        <is>
          <t>A 34407-2023</t>
        </is>
      </c>
      <c r="B401" s="1" t="n">
        <v>45132</v>
      </c>
      <c r="C401" s="1" t="n">
        <v>45925</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11013-2024</t>
        </is>
      </c>
      <c r="B402" s="1" t="n">
        <v>45370</v>
      </c>
      <c r="C402" s="1" t="n">
        <v>45925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27694-2024</t>
        </is>
      </c>
      <c r="B403" s="1" t="n">
        <v>45475</v>
      </c>
      <c r="C403" s="1" t="n">
        <v>45925</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15083-2025</t>
        </is>
      </c>
      <c r="B404" s="1" t="n">
        <v>45743</v>
      </c>
      <c r="C404" s="1" t="n">
        <v>45925</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13037-2025</t>
        </is>
      </c>
      <c r="B406" s="1" t="n">
        <v>45734</v>
      </c>
      <c r="C406" s="1" t="n">
        <v>45925</v>
      </c>
      <c r="D406" t="inlineStr">
        <is>
          <t>GOTLANDS LÄN</t>
        </is>
      </c>
      <c r="E406" t="inlineStr">
        <is>
          <t>GOTLAND</t>
        </is>
      </c>
      <c r="G406" t="n">
        <v>9.5</v>
      </c>
      <c r="H406" t="n">
        <v>0</v>
      </c>
      <c r="I406" t="n">
        <v>0</v>
      </c>
      <c r="J406" t="n">
        <v>0</v>
      </c>
      <c r="K406" t="n">
        <v>0</v>
      </c>
      <c r="L406" t="n">
        <v>0</v>
      </c>
      <c r="M406" t="n">
        <v>0</v>
      </c>
      <c r="N406" t="n">
        <v>0</v>
      </c>
      <c r="O406" t="n">
        <v>0</v>
      </c>
      <c r="P406" t="n">
        <v>0</v>
      </c>
      <c r="Q406" t="n">
        <v>0</v>
      </c>
      <c r="R406" s="2" t="inlineStr"/>
    </row>
    <row r="407" ht="15" customHeight="1">
      <c r="A407" t="inlineStr">
        <is>
          <t>A 5909-2025</t>
        </is>
      </c>
      <c r="B407" s="1" t="n">
        <v>45695.40634259259</v>
      </c>
      <c r="C407" s="1" t="n">
        <v>45925</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10653-2023</t>
        </is>
      </c>
      <c r="B408" s="1" t="n">
        <v>44988.48859953704</v>
      </c>
      <c r="C408" s="1" t="n">
        <v>45925</v>
      </c>
      <c r="D408" t="inlineStr">
        <is>
          <t>GOTLANDS LÄN</t>
        </is>
      </c>
      <c r="E408" t="inlineStr">
        <is>
          <t>GOTLAND</t>
        </is>
      </c>
      <c r="F408" t="inlineStr">
        <is>
          <t>Kyrkan</t>
        </is>
      </c>
      <c r="G408" t="n">
        <v>3</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45925</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45925</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44228-2022</t>
        </is>
      </c>
      <c r="B411" s="1" t="n">
        <v>44839.51599537037</v>
      </c>
      <c r="C411" s="1" t="n">
        <v>45925</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58132-2023</t>
        </is>
      </c>
      <c r="B412" s="1" t="n">
        <v>45250</v>
      </c>
      <c r="C412" s="1" t="n">
        <v>45925</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35512-2023</t>
        </is>
      </c>
      <c r="B413" s="1" t="n">
        <v>45147.25623842593</v>
      </c>
      <c r="C413" s="1" t="n">
        <v>45925</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5905-2024</t>
        </is>
      </c>
      <c r="B414" s="1" t="n">
        <v>45335.88993055555</v>
      </c>
      <c r="C414" s="1" t="n">
        <v>45925</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43081-2022</t>
        </is>
      </c>
      <c r="B415" s="1" t="n">
        <v>44833</v>
      </c>
      <c r="C415" s="1" t="n">
        <v>45925</v>
      </c>
      <c r="D415" t="inlineStr">
        <is>
          <t>GOTLANDS LÄN</t>
        </is>
      </c>
      <c r="E415" t="inlineStr">
        <is>
          <t>GOTLAND</t>
        </is>
      </c>
      <c r="G415" t="n">
        <v>6.8</v>
      </c>
      <c r="H415" t="n">
        <v>0</v>
      </c>
      <c r="I415" t="n">
        <v>0</v>
      </c>
      <c r="J415" t="n">
        <v>0</v>
      </c>
      <c r="K415" t="n">
        <v>0</v>
      </c>
      <c r="L415" t="n">
        <v>0</v>
      </c>
      <c r="M415" t="n">
        <v>0</v>
      </c>
      <c r="N415" t="n">
        <v>0</v>
      </c>
      <c r="O415" t="n">
        <v>0</v>
      </c>
      <c r="P415" t="n">
        <v>0</v>
      </c>
      <c r="Q415" t="n">
        <v>0</v>
      </c>
      <c r="R415" s="2" t="inlineStr"/>
    </row>
    <row r="416" ht="15" customHeight="1">
      <c r="A416" t="inlineStr">
        <is>
          <t>A 49884-2023</t>
        </is>
      </c>
      <c r="B416" s="1" t="n">
        <v>45213</v>
      </c>
      <c r="C416" s="1" t="n">
        <v>45925</v>
      </c>
      <c r="D416" t="inlineStr">
        <is>
          <t>GOTLANDS LÄN</t>
        </is>
      </c>
      <c r="E416" t="inlineStr">
        <is>
          <t>GOTLAND</t>
        </is>
      </c>
      <c r="G416" t="n">
        <v>8.9</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45925</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1291-2023</t>
        </is>
      </c>
      <c r="B418" s="1" t="n">
        <v>44936.47561342592</v>
      </c>
      <c r="C418" s="1" t="n">
        <v>45925</v>
      </c>
      <c r="D418" t="inlineStr">
        <is>
          <t>GOTLANDS LÄN</t>
        </is>
      </c>
      <c r="E418" t="inlineStr">
        <is>
          <t>GOTLAND</t>
        </is>
      </c>
      <c r="G418" t="n">
        <v>7.4</v>
      </c>
      <c r="H418" t="n">
        <v>0</v>
      </c>
      <c r="I418" t="n">
        <v>0</v>
      </c>
      <c r="J418" t="n">
        <v>0</v>
      </c>
      <c r="K418" t="n">
        <v>0</v>
      </c>
      <c r="L418" t="n">
        <v>0</v>
      </c>
      <c r="M418" t="n">
        <v>0</v>
      </c>
      <c r="N418" t="n">
        <v>0</v>
      </c>
      <c r="O418" t="n">
        <v>0</v>
      </c>
      <c r="P418" t="n">
        <v>0</v>
      </c>
      <c r="Q418" t="n">
        <v>0</v>
      </c>
      <c r="R418" s="2" t="inlineStr"/>
    </row>
    <row r="419" ht="15" customHeight="1">
      <c r="A419" t="inlineStr">
        <is>
          <t>A 6108-2025</t>
        </is>
      </c>
      <c r="B419" s="1" t="n">
        <v>45698.29880787037</v>
      </c>
      <c r="C419" s="1" t="n">
        <v>45925</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21142-2025</t>
        </is>
      </c>
      <c r="B420" s="1" t="n">
        <v>45779</v>
      </c>
      <c r="C420" s="1" t="n">
        <v>45925</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5884-2025</t>
        </is>
      </c>
      <c r="B421" s="1" t="n">
        <v>45695.37482638889</v>
      </c>
      <c r="C421" s="1" t="n">
        <v>45925</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5897-2025</t>
        </is>
      </c>
      <c r="B422" s="1" t="n">
        <v>45695.39273148148</v>
      </c>
      <c r="C422" s="1" t="n">
        <v>45925</v>
      </c>
      <c r="D422" t="inlineStr">
        <is>
          <t>GOTLANDS LÄN</t>
        </is>
      </c>
      <c r="E422" t="inlineStr">
        <is>
          <t>GOTLAND</t>
        </is>
      </c>
      <c r="G422" t="n">
        <v>3.7</v>
      </c>
      <c r="H422" t="n">
        <v>0</v>
      </c>
      <c r="I422" t="n">
        <v>0</v>
      </c>
      <c r="J422" t="n">
        <v>0</v>
      </c>
      <c r="K422" t="n">
        <v>0</v>
      </c>
      <c r="L422" t="n">
        <v>0</v>
      </c>
      <c r="M422" t="n">
        <v>0</v>
      </c>
      <c r="N422" t="n">
        <v>0</v>
      </c>
      <c r="O422" t="n">
        <v>0</v>
      </c>
      <c r="P422" t="n">
        <v>0</v>
      </c>
      <c r="Q422" t="n">
        <v>0</v>
      </c>
      <c r="R422" s="2" t="inlineStr"/>
    </row>
    <row r="423" ht="15" customHeight="1">
      <c r="A423" t="inlineStr">
        <is>
          <t>A 10158-2025</t>
        </is>
      </c>
      <c r="B423" s="1" t="n">
        <v>45719</v>
      </c>
      <c r="C423" s="1" t="n">
        <v>45925</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45536-2025</t>
        </is>
      </c>
      <c r="B424" s="1" t="n">
        <v>45922</v>
      </c>
      <c r="C424" s="1" t="n">
        <v>45925</v>
      </c>
      <c r="D424" t="inlineStr">
        <is>
          <t>GOTLANDS LÄN</t>
        </is>
      </c>
      <c r="E424" t="inlineStr">
        <is>
          <t>GOTLAND</t>
        </is>
      </c>
      <c r="G424" t="n">
        <v>10.4</v>
      </c>
      <c r="H424" t="n">
        <v>0</v>
      </c>
      <c r="I424" t="n">
        <v>0</v>
      </c>
      <c r="J424" t="n">
        <v>0</v>
      </c>
      <c r="K424" t="n">
        <v>0</v>
      </c>
      <c r="L424" t="n">
        <v>0</v>
      </c>
      <c r="M424" t="n">
        <v>0</v>
      </c>
      <c r="N424" t="n">
        <v>0</v>
      </c>
      <c r="O424" t="n">
        <v>0</v>
      </c>
      <c r="P424" t="n">
        <v>0</v>
      </c>
      <c r="Q424" t="n">
        <v>0</v>
      </c>
      <c r="R424" s="2" t="inlineStr"/>
    </row>
    <row r="425" ht="15" customHeight="1">
      <c r="A425" t="inlineStr">
        <is>
          <t>A 876-2024</t>
        </is>
      </c>
      <c r="B425" s="1" t="n">
        <v>45301</v>
      </c>
      <c r="C425" s="1" t="n">
        <v>45925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6796-2025</t>
        </is>
      </c>
      <c r="B426" s="1" t="n">
        <v>45700.66559027778</v>
      </c>
      <c r="C426" s="1" t="n">
        <v>45925</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49693-2023</t>
        </is>
      </c>
      <c r="B427" s="1" t="n">
        <v>45212.38138888889</v>
      </c>
      <c r="C427" s="1" t="n">
        <v>45925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49697-2023</t>
        </is>
      </c>
      <c r="B428" s="1" t="n">
        <v>45212.38909722222</v>
      </c>
      <c r="C428" s="1" t="n">
        <v>45925</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22704-2023</t>
        </is>
      </c>
      <c r="B429" s="1" t="n">
        <v>45071</v>
      </c>
      <c r="C429" s="1" t="n">
        <v>45925</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17901-2023</t>
        </is>
      </c>
      <c r="B430" s="1" t="n">
        <v>45039</v>
      </c>
      <c r="C430" s="1" t="n">
        <v>45925</v>
      </c>
      <c r="D430" t="inlineStr">
        <is>
          <t>GOTLANDS LÄN</t>
        </is>
      </c>
      <c r="E430" t="inlineStr">
        <is>
          <t>GOTLAND</t>
        </is>
      </c>
      <c r="F430" t="inlineStr">
        <is>
          <t>Kyrkan</t>
        </is>
      </c>
      <c r="G430" t="n">
        <v>0.6</v>
      </c>
      <c r="H430" t="n">
        <v>0</v>
      </c>
      <c r="I430" t="n">
        <v>0</v>
      </c>
      <c r="J430" t="n">
        <v>0</v>
      </c>
      <c r="K430" t="n">
        <v>0</v>
      </c>
      <c r="L430" t="n">
        <v>0</v>
      </c>
      <c r="M430" t="n">
        <v>0</v>
      </c>
      <c r="N430" t="n">
        <v>0</v>
      </c>
      <c r="O430" t="n">
        <v>0</v>
      </c>
      <c r="P430" t="n">
        <v>0</v>
      </c>
      <c r="Q430" t="n">
        <v>0</v>
      </c>
      <c r="R430" s="2" t="inlineStr"/>
    </row>
    <row r="431" ht="15" customHeight="1">
      <c r="A431" t="inlineStr">
        <is>
          <t>A 28425-2023</t>
        </is>
      </c>
      <c r="B431" s="1" t="n">
        <v>45102</v>
      </c>
      <c r="C431" s="1" t="n">
        <v>45925</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17343-2025</t>
        </is>
      </c>
      <c r="B432" s="1" t="n">
        <v>45756.6687037037</v>
      </c>
      <c r="C432" s="1" t="n">
        <v>45925</v>
      </c>
      <c r="D432" t="inlineStr">
        <is>
          <t>GOTLANDS LÄN</t>
        </is>
      </c>
      <c r="E432" t="inlineStr">
        <is>
          <t>GOTLAND</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58476-2022</t>
        </is>
      </c>
      <c r="B433" s="1" t="n">
        <v>44902</v>
      </c>
      <c r="C433" s="1" t="n">
        <v>45925</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18938-2025</t>
        </is>
      </c>
      <c r="B434" s="1" t="n">
        <v>45764.49172453704</v>
      </c>
      <c r="C434" s="1" t="n">
        <v>45925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52892-2021</t>
        </is>
      </c>
      <c r="B435" s="1" t="n">
        <v>44467.49048611111</v>
      </c>
      <c r="C435" s="1" t="n">
        <v>45925</v>
      </c>
      <c r="D435" t="inlineStr">
        <is>
          <t>GOTLANDS LÄN</t>
        </is>
      </c>
      <c r="E435" t="inlineStr">
        <is>
          <t>GOTLAND</t>
        </is>
      </c>
      <c r="G435" t="n">
        <v>2</v>
      </c>
      <c r="H435" t="n">
        <v>0</v>
      </c>
      <c r="I435" t="n">
        <v>0</v>
      </c>
      <c r="J435" t="n">
        <v>0</v>
      </c>
      <c r="K435" t="n">
        <v>0</v>
      </c>
      <c r="L435" t="n">
        <v>0</v>
      </c>
      <c r="M435" t="n">
        <v>0</v>
      </c>
      <c r="N435" t="n">
        <v>0</v>
      </c>
      <c r="O435" t="n">
        <v>0</v>
      </c>
      <c r="P435" t="n">
        <v>0</v>
      </c>
      <c r="Q435" t="n">
        <v>0</v>
      </c>
      <c r="R435" s="2" t="inlineStr"/>
    </row>
    <row r="436" ht="15" customHeight="1">
      <c r="A436" t="inlineStr">
        <is>
          <t>A 43200-2023</t>
        </is>
      </c>
      <c r="B436" s="1" t="n">
        <v>45183</v>
      </c>
      <c r="C436" s="1" t="n">
        <v>45925</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43223-2023</t>
        </is>
      </c>
      <c r="B437" s="1" t="n">
        <v>45183.45642361111</v>
      </c>
      <c r="C437" s="1" t="n">
        <v>45925</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12327-2025</t>
        </is>
      </c>
      <c r="B438" s="1" t="n">
        <v>45730</v>
      </c>
      <c r="C438" s="1" t="n">
        <v>45925</v>
      </c>
      <c r="D438" t="inlineStr">
        <is>
          <t>GOTLANDS LÄN</t>
        </is>
      </c>
      <c r="E438" t="inlineStr">
        <is>
          <t>GOTLAND</t>
        </is>
      </c>
      <c r="G438" t="n">
        <v>1.8</v>
      </c>
      <c r="H438" t="n">
        <v>0</v>
      </c>
      <c r="I438" t="n">
        <v>0</v>
      </c>
      <c r="J438" t="n">
        <v>0</v>
      </c>
      <c r="K438" t="n">
        <v>0</v>
      </c>
      <c r="L438" t="n">
        <v>0</v>
      </c>
      <c r="M438" t="n">
        <v>0</v>
      </c>
      <c r="N438" t="n">
        <v>0</v>
      </c>
      <c r="O438" t="n">
        <v>0</v>
      </c>
      <c r="P438" t="n">
        <v>0</v>
      </c>
      <c r="Q438" t="n">
        <v>0</v>
      </c>
      <c r="R438" s="2" t="inlineStr"/>
    </row>
    <row r="439" ht="15" customHeight="1">
      <c r="A439" t="inlineStr">
        <is>
          <t>A 3431-2025</t>
        </is>
      </c>
      <c r="B439" s="1" t="n">
        <v>45680.42935185185</v>
      </c>
      <c r="C439" s="1" t="n">
        <v>45925</v>
      </c>
      <c r="D439" t="inlineStr">
        <is>
          <t>GOTLANDS LÄN</t>
        </is>
      </c>
      <c r="E439" t="inlineStr">
        <is>
          <t>GOTLAND</t>
        </is>
      </c>
      <c r="G439" t="n">
        <v>4.8</v>
      </c>
      <c r="H439" t="n">
        <v>0</v>
      </c>
      <c r="I439" t="n">
        <v>0</v>
      </c>
      <c r="J439" t="n">
        <v>0</v>
      </c>
      <c r="K439" t="n">
        <v>0</v>
      </c>
      <c r="L439" t="n">
        <v>0</v>
      </c>
      <c r="M439" t="n">
        <v>0</v>
      </c>
      <c r="N439" t="n">
        <v>0</v>
      </c>
      <c r="O439" t="n">
        <v>0</v>
      </c>
      <c r="P439" t="n">
        <v>0</v>
      </c>
      <c r="Q439" t="n">
        <v>0</v>
      </c>
      <c r="R439" s="2" t="inlineStr"/>
    </row>
    <row r="440" ht="15" customHeight="1">
      <c r="A440" t="inlineStr">
        <is>
          <t>A 30489-2025</t>
        </is>
      </c>
      <c r="B440" s="1" t="n">
        <v>45830</v>
      </c>
      <c r="C440" s="1" t="n">
        <v>45925</v>
      </c>
      <c r="D440" t="inlineStr">
        <is>
          <t>GOTLANDS LÄN</t>
        </is>
      </c>
      <c r="E440" t="inlineStr">
        <is>
          <t>GOTLAND</t>
        </is>
      </c>
      <c r="G440" t="n">
        <v>4.6</v>
      </c>
      <c r="H440" t="n">
        <v>0</v>
      </c>
      <c r="I440" t="n">
        <v>0</v>
      </c>
      <c r="J440" t="n">
        <v>0</v>
      </c>
      <c r="K440" t="n">
        <v>0</v>
      </c>
      <c r="L440" t="n">
        <v>0</v>
      </c>
      <c r="M440" t="n">
        <v>0</v>
      </c>
      <c r="N440" t="n">
        <v>0</v>
      </c>
      <c r="O440" t="n">
        <v>0</v>
      </c>
      <c r="P440" t="n">
        <v>0</v>
      </c>
      <c r="Q440" t="n">
        <v>0</v>
      </c>
      <c r="R440" s="2" t="inlineStr"/>
    </row>
    <row r="441" ht="15" customHeight="1">
      <c r="A441" t="inlineStr">
        <is>
          <t>A 46396-2023</t>
        </is>
      </c>
      <c r="B441" s="1" t="n">
        <v>45197</v>
      </c>
      <c r="C441" s="1" t="n">
        <v>45925</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12209-2024</t>
        </is>
      </c>
      <c r="B442" s="1" t="n">
        <v>45378</v>
      </c>
      <c r="C442" s="1" t="n">
        <v>45925</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12210-2024</t>
        </is>
      </c>
      <c r="B443" s="1" t="n">
        <v>45378</v>
      </c>
      <c r="C443" s="1" t="n">
        <v>45925</v>
      </c>
      <c r="D443" t="inlineStr">
        <is>
          <t>GOTLANDS LÄN</t>
        </is>
      </c>
      <c r="E443" t="inlineStr">
        <is>
          <t>GOTLAND</t>
        </is>
      </c>
      <c r="G443" t="n">
        <v>4.1</v>
      </c>
      <c r="H443" t="n">
        <v>0</v>
      </c>
      <c r="I443" t="n">
        <v>0</v>
      </c>
      <c r="J443" t="n">
        <v>0</v>
      </c>
      <c r="K443" t="n">
        <v>0</v>
      </c>
      <c r="L443" t="n">
        <v>0</v>
      </c>
      <c r="M443" t="n">
        <v>0</v>
      </c>
      <c r="N443" t="n">
        <v>0</v>
      </c>
      <c r="O443" t="n">
        <v>0</v>
      </c>
      <c r="P443" t="n">
        <v>0</v>
      </c>
      <c r="Q443" t="n">
        <v>0</v>
      </c>
      <c r="R443" s="2" t="inlineStr"/>
    </row>
    <row r="444" ht="15" customHeight="1">
      <c r="A444" t="inlineStr">
        <is>
          <t>A 1364-2025</t>
        </is>
      </c>
      <c r="B444" s="1" t="n">
        <v>45667.63929398148</v>
      </c>
      <c r="C444" s="1" t="n">
        <v>45925</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15042-2025</t>
        </is>
      </c>
      <c r="B445" s="1" t="n">
        <v>45743</v>
      </c>
      <c r="C445" s="1" t="n">
        <v>45925</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20307-2025</t>
        </is>
      </c>
      <c r="B446" s="1" t="n">
        <v>45774.95546296296</v>
      </c>
      <c r="C446" s="1" t="n">
        <v>45925</v>
      </c>
      <c r="D446" t="inlineStr">
        <is>
          <t>GOTLANDS LÄN</t>
        </is>
      </c>
      <c r="E446" t="inlineStr">
        <is>
          <t>GOTLAND</t>
        </is>
      </c>
      <c r="G446" t="n">
        <v>6.8</v>
      </c>
      <c r="H446" t="n">
        <v>0</v>
      </c>
      <c r="I446" t="n">
        <v>0</v>
      </c>
      <c r="J446" t="n">
        <v>0</v>
      </c>
      <c r="K446" t="n">
        <v>0</v>
      </c>
      <c r="L446" t="n">
        <v>0</v>
      </c>
      <c r="M446" t="n">
        <v>0</v>
      </c>
      <c r="N446" t="n">
        <v>0</v>
      </c>
      <c r="O446" t="n">
        <v>0</v>
      </c>
      <c r="P446" t="n">
        <v>0</v>
      </c>
      <c r="Q446" t="n">
        <v>0</v>
      </c>
      <c r="R446" s="2" t="inlineStr"/>
    </row>
    <row r="447" ht="15" customHeight="1">
      <c r="A447" t="inlineStr">
        <is>
          <t>A 17724-2024</t>
        </is>
      </c>
      <c r="B447" s="1" t="n">
        <v>45418.55096064815</v>
      </c>
      <c r="C447" s="1" t="n">
        <v>45925</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34312-2024</t>
        </is>
      </c>
      <c r="B448" s="1" t="n">
        <v>45524.69703703704</v>
      </c>
      <c r="C448" s="1" t="n">
        <v>45925</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2180-2025</t>
        </is>
      </c>
      <c r="B449" s="1" t="n">
        <v>45673</v>
      </c>
      <c r="C449" s="1" t="n">
        <v>45925</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15436-2025</t>
        </is>
      </c>
      <c r="B450" s="1" t="n">
        <v>45747.47462962963</v>
      </c>
      <c r="C450" s="1" t="n">
        <v>45925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10652-2025</t>
        </is>
      </c>
      <c r="B451" s="1" t="n">
        <v>45721.68640046296</v>
      </c>
      <c r="C451" s="1" t="n">
        <v>45925</v>
      </c>
      <c r="D451" t="inlineStr">
        <is>
          <t>GOTLANDS LÄN</t>
        </is>
      </c>
      <c r="E451" t="inlineStr">
        <is>
          <t>GOTLAND</t>
        </is>
      </c>
      <c r="G451" t="n">
        <v>3.6</v>
      </c>
      <c r="H451" t="n">
        <v>0</v>
      </c>
      <c r="I451" t="n">
        <v>0</v>
      </c>
      <c r="J451" t="n">
        <v>0</v>
      </c>
      <c r="K451" t="n">
        <v>0</v>
      </c>
      <c r="L451" t="n">
        <v>0</v>
      </c>
      <c r="M451" t="n">
        <v>0</v>
      </c>
      <c r="N451" t="n">
        <v>0</v>
      </c>
      <c r="O451" t="n">
        <v>0</v>
      </c>
      <c r="P451" t="n">
        <v>0</v>
      </c>
      <c r="Q451" t="n">
        <v>0</v>
      </c>
      <c r="R451" s="2" t="inlineStr"/>
    </row>
    <row r="452" ht="15" customHeight="1">
      <c r="A452" t="inlineStr">
        <is>
          <t>A 49257-2024</t>
        </is>
      </c>
      <c r="B452" s="1" t="n">
        <v>45595.47627314815</v>
      </c>
      <c r="C452" s="1" t="n">
        <v>45925</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37202-2024</t>
        </is>
      </c>
      <c r="B453" s="1" t="n">
        <v>45539.67310185185</v>
      </c>
      <c r="C453" s="1" t="n">
        <v>45925</v>
      </c>
      <c r="D453" t="inlineStr">
        <is>
          <t>GOTLANDS LÄN</t>
        </is>
      </c>
      <c r="E453" t="inlineStr">
        <is>
          <t>GOTLAND</t>
        </is>
      </c>
      <c r="G453" t="n">
        <v>0.3</v>
      </c>
      <c r="H453" t="n">
        <v>0</v>
      </c>
      <c r="I453" t="n">
        <v>0</v>
      </c>
      <c r="J453" t="n">
        <v>0</v>
      </c>
      <c r="K453" t="n">
        <v>0</v>
      </c>
      <c r="L453" t="n">
        <v>0</v>
      </c>
      <c r="M453" t="n">
        <v>0</v>
      </c>
      <c r="N453" t="n">
        <v>0</v>
      </c>
      <c r="O453" t="n">
        <v>0</v>
      </c>
      <c r="P453" t="n">
        <v>0</v>
      </c>
      <c r="Q453" t="n">
        <v>0</v>
      </c>
      <c r="R453" s="2" t="inlineStr"/>
    </row>
    <row r="454" ht="15" customHeight="1">
      <c r="A454" t="inlineStr">
        <is>
          <t>A 6153-2024</t>
        </is>
      </c>
      <c r="B454" s="1" t="n">
        <v>45337</v>
      </c>
      <c r="C454" s="1" t="n">
        <v>45925</v>
      </c>
      <c r="D454" t="inlineStr">
        <is>
          <t>GOTLANDS LÄN</t>
        </is>
      </c>
      <c r="E454" t="inlineStr">
        <is>
          <t>GOTLAND</t>
        </is>
      </c>
      <c r="G454" t="n">
        <v>14.2</v>
      </c>
      <c r="H454" t="n">
        <v>0</v>
      </c>
      <c r="I454" t="n">
        <v>0</v>
      </c>
      <c r="J454" t="n">
        <v>0</v>
      </c>
      <c r="K454" t="n">
        <v>0</v>
      </c>
      <c r="L454" t="n">
        <v>0</v>
      </c>
      <c r="M454" t="n">
        <v>0</v>
      </c>
      <c r="N454" t="n">
        <v>0</v>
      </c>
      <c r="O454" t="n">
        <v>0</v>
      </c>
      <c r="P454" t="n">
        <v>0</v>
      </c>
      <c r="Q454" t="n">
        <v>0</v>
      </c>
      <c r="R454" s="2" t="inlineStr"/>
    </row>
    <row r="455" ht="15" customHeight="1">
      <c r="A455" t="inlineStr">
        <is>
          <t>A 56115-2023</t>
        </is>
      </c>
      <c r="B455" s="1" t="n">
        <v>45236</v>
      </c>
      <c r="C455" s="1" t="n">
        <v>45925</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69112-2021</t>
        </is>
      </c>
      <c r="B456" s="1" t="n">
        <v>44530</v>
      </c>
      <c r="C456" s="1" t="n">
        <v>45925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7638-2025</t>
        </is>
      </c>
      <c r="B457" s="1" t="n">
        <v>45705.77306712963</v>
      </c>
      <c r="C457" s="1" t="n">
        <v>45925</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50482-2024</t>
        </is>
      </c>
      <c r="B458" s="1" t="n">
        <v>45601.48114583334</v>
      </c>
      <c r="C458" s="1" t="n">
        <v>45925</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1394-2023</t>
        </is>
      </c>
      <c r="B459" s="1" t="n">
        <v>44936.72997685185</v>
      </c>
      <c r="C459" s="1" t="n">
        <v>45925</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58230-2024</t>
        </is>
      </c>
      <c r="B460" s="1" t="n">
        <v>45632.51625</v>
      </c>
      <c r="C460" s="1" t="n">
        <v>45925</v>
      </c>
      <c r="D460" t="inlineStr">
        <is>
          <t>GOTLANDS LÄN</t>
        </is>
      </c>
      <c r="E460" t="inlineStr">
        <is>
          <t>GOTLAND</t>
        </is>
      </c>
      <c r="G460" t="n">
        <v>7.3</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45925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1462-2025</t>
        </is>
      </c>
      <c r="B462" s="1" t="n">
        <v>45670.36319444444</v>
      </c>
      <c r="C462" s="1" t="n">
        <v>45925</v>
      </c>
      <c r="D462" t="inlineStr">
        <is>
          <t>GOTLANDS LÄN</t>
        </is>
      </c>
      <c r="E462" t="inlineStr">
        <is>
          <t>GOTLAND</t>
        </is>
      </c>
      <c r="G462" t="n">
        <v>2.8</v>
      </c>
      <c r="H462" t="n">
        <v>0</v>
      </c>
      <c r="I462" t="n">
        <v>0</v>
      </c>
      <c r="J462" t="n">
        <v>0</v>
      </c>
      <c r="K462" t="n">
        <v>0</v>
      </c>
      <c r="L462" t="n">
        <v>0</v>
      </c>
      <c r="M462" t="n">
        <v>0</v>
      </c>
      <c r="N462" t="n">
        <v>0</v>
      </c>
      <c r="O462" t="n">
        <v>0</v>
      </c>
      <c r="P462" t="n">
        <v>0</v>
      </c>
      <c r="Q462" t="n">
        <v>0</v>
      </c>
      <c r="R462" s="2" t="inlineStr"/>
    </row>
    <row r="463" ht="15" customHeight="1">
      <c r="A463" t="inlineStr">
        <is>
          <t>A 60709-2023</t>
        </is>
      </c>
      <c r="B463" s="1" t="n">
        <v>45260</v>
      </c>
      <c r="C463" s="1" t="n">
        <v>45925</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25129-2023</t>
        </is>
      </c>
      <c r="B464" s="1" t="n">
        <v>45086.44261574074</v>
      </c>
      <c r="C464" s="1" t="n">
        <v>45925</v>
      </c>
      <c r="D464" t="inlineStr">
        <is>
          <t>GOTLANDS LÄN</t>
        </is>
      </c>
      <c r="E464" t="inlineStr">
        <is>
          <t>GOTLAND</t>
        </is>
      </c>
      <c r="G464" t="n">
        <v>1.5</v>
      </c>
      <c r="H464" t="n">
        <v>0</v>
      </c>
      <c r="I464" t="n">
        <v>0</v>
      </c>
      <c r="J464" t="n">
        <v>0</v>
      </c>
      <c r="K464" t="n">
        <v>0</v>
      </c>
      <c r="L464" t="n">
        <v>0</v>
      </c>
      <c r="M464" t="n">
        <v>0</v>
      </c>
      <c r="N464" t="n">
        <v>0</v>
      </c>
      <c r="O464" t="n">
        <v>0</v>
      </c>
      <c r="P464" t="n">
        <v>0</v>
      </c>
      <c r="Q464" t="n">
        <v>0</v>
      </c>
      <c r="R464" s="2" t="inlineStr"/>
    </row>
    <row r="465" ht="15" customHeight="1">
      <c r="A465" t="inlineStr">
        <is>
          <t>A 24192-2023</t>
        </is>
      </c>
      <c r="B465" s="1" t="n">
        <v>45079</v>
      </c>
      <c r="C465" s="1" t="n">
        <v>45925</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5386-2023</t>
        </is>
      </c>
      <c r="B466" s="1" t="n">
        <v>44959</v>
      </c>
      <c r="C466" s="1" t="n">
        <v>45925</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7026-2023</t>
        </is>
      </c>
      <c r="B467" s="1" t="n">
        <v>44968.30340277778</v>
      </c>
      <c r="C467" s="1" t="n">
        <v>45925</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20855-2023</t>
        </is>
      </c>
      <c r="B468" s="1" t="n">
        <v>45058.82172453704</v>
      </c>
      <c r="C468" s="1" t="n">
        <v>45925</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45925</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39764-2022</t>
        </is>
      </c>
      <c r="B470" s="1" t="n">
        <v>44819</v>
      </c>
      <c r="C470" s="1" t="n">
        <v>45925</v>
      </c>
      <c r="D470" t="inlineStr">
        <is>
          <t>GOTLANDS LÄN</t>
        </is>
      </c>
      <c r="E470" t="inlineStr">
        <is>
          <t>GOTLAND</t>
        </is>
      </c>
      <c r="F470" t="inlineStr">
        <is>
          <t>Kyrkan</t>
        </is>
      </c>
      <c r="G470" t="n">
        <v>3.7</v>
      </c>
      <c r="H470" t="n">
        <v>0</v>
      </c>
      <c r="I470" t="n">
        <v>0</v>
      </c>
      <c r="J470" t="n">
        <v>0</v>
      </c>
      <c r="K470" t="n">
        <v>0</v>
      </c>
      <c r="L470" t="n">
        <v>0</v>
      </c>
      <c r="M470" t="n">
        <v>0</v>
      </c>
      <c r="N470" t="n">
        <v>0</v>
      </c>
      <c r="O470" t="n">
        <v>0</v>
      </c>
      <c r="P470" t="n">
        <v>0</v>
      </c>
      <c r="Q470" t="n">
        <v>0</v>
      </c>
      <c r="R470" s="2" t="inlineStr"/>
    </row>
    <row r="471" ht="15" customHeight="1">
      <c r="A471" t="inlineStr">
        <is>
          <t>A 16373-2025</t>
        </is>
      </c>
      <c r="B471" s="1" t="n">
        <v>45751</v>
      </c>
      <c r="C471" s="1" t="n">
        <v>45925</v>
      </c>
      <c r="D471" t="inlineStr">
        <is>
          <t>GOTLANDS LÄN</t>
        </is>
      </c>
      <c r="E471" t="inlineStr">
        <is>
          <t>GOTLAND</t>
        </is>
      </c>
      <c r="G471" t="n">
        <v>1.5</v>
      </c>
      <c r="H471" t="n">
        <v>0</v>
      </c>
      <c r="I471" t="n">
        <v>0</v>
      </c>
      <c r="J471" t="n">
        <v>0</v>
      </c>
      <c r="K471" t="n">
        <v>0</v>
      </c>
      <c r="L471" t="n">
        <v>0</v>
      </c>
      <c r="M471" t="n">
        <v>0</v>
      </c>
      <c r="N471" t="n">
        <v>0</v>
      </c>
      <c r="O471" t="n">
        <v>0</v>
      </c>
      <c r="P471" t="n">
        <v>0</v>
      </c>
      <c r="Q471" t="n">
        <v>0</v>
      </c>
      <c r="R471" s="2" t="inlineStr"/>
    </row>
    <row r="472" ht="15" customHeight="1">
      <c r="A472" t="inlineStr">
        <is>
          <t>A 1000-2024</t>
        </is>
      </c>
      <c r="B472" s="1" t="n">
        <v>45301.63371527778</v>
      </c>
      <c r="C472" s="1" t="n">
        <v>45925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1010-2024</t>
        </is>
      </c>
      <c r="B473" s="1" t="n">
        <v>45301</v>
      </c>
      <c r="C473" s="1" t="n">
        <v>45925</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58211-2024</t>
        </is>
      </c>
      <c r="B474" s="1" t="n">
        <v>45632.49292824074</v>
      </c>
      <c r="C474" s="1" t="n">
        <v>45925</v>
      </c>
      <c r="D474" t="inlineStr">
        <is>
          <t>GOTLANDS LÄN</t>
        </is>
      </c>
      <c r="E474" t="inlineStr">
        <is>
          <t>GOTLAND</t>
        </is>
      </c>
      <c r="G474" t="n">
        <v>5.4</v>
      </c>
      <c r="H474" t="n">
        <v>0</v>
      </c>
      <c r="I474" t="n">
        <v>0</v>
      </c>
      <c r="J474" t="n">
        <v>0</v>
      </c>
      <c r="K474" t="n">
        <v>0</v>
      </c>
      <c r="L474" t="n">
        <v>0</v>
      </c>
      <c r="M474" t="n">
        <v>0</v>
      </c>
      <c r="N474" t="n">
        <v>0</v>
      </c>
      <c r="O474" t="n">
        <v>0</v>
      </c>
      <c r="P474" t="n">
        <v>0</v>
      </c>
      <c r="Q474" t="n">
        <v>0</v>
      </c>
      <c r="R474" s="2" t="inlineStr"/>
    </row>
    <row r="475" ht="15" customHeight="1">
      <c r="A475" t="inlineStr">
        <is>
          <t>A 30956-2024</t>
        </is>
      </c>
      <c r="B475" s="1" t="n">
        <v>45499.42527777778</v>
      </c>
      <c r="C475" s="1" t="n">
        <v>45925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30892-2024</t>
        </is>
      </c>
      <c r="B476" s="1" t="n">
        <v>45491</v>
      </c>
      <c r="C476" s="1" t="n">
        <v>45925</v>
      </c>
      <c r="D476" t="inlineStr">
        <is>
          <t>GOTLANDS LÄN</t>
        </is>
      </c>
      <c r="E476" t="inlineStr">
        <is>
          <t>GOTLAND</t>
        </is>
      </c>
      <c r="G476" t="n">
        <v>6.1</v>
      </c>
      <c r="H476" t="n">
        <v>0</v>
      </c>
      <c r="I476" t="n">
        <v>0</v>
      </c>
      <c r="J476" t="n">
        <v>0</v>
      </c>
      <c r="K476" t="n">
        <v>0</v>
      </c>
      <c r="L476" t="n">
        <v>0</v>
      </c>
      <c r="M476" t="n">
        <v>0</v>
      </c>
      <c r="N476" t="n">
        <v>0</v>
      </c>
      <c r="O476" t="n">
        <v>0</v>
      </c>
      <c r="P476" t="n">
        <v>0</v>
      </c>
      <c r="Q476" t="n">
        <v>0</v>
      </c>
      <c r="R476" s="2" t="inlineStr"/>
    </row>
    <row r="477" ht="15" customHeight="1">
      <c r="A477" t="inlineStr">
        <is>
          <t>A 14635-2023</t>
        </is>
      </c>
      <c r="B477" s="1" t="n">
        <v>45013.69365740741</v>
      </c>
      <c r="C477" s="1" t="n">
        <v>45925</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59469-2024</t>
        </is>
      </c>
      <c r="B478" s="1" t="n">
        <v>45638</v>
      </c>
      <c r="C478" s="1" t="n">
        <v>45925</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7858-2025</t>
        </is>
      </c>
      <c r="B479" s="1" t="n">
        <v>45706.68633101852</v>
      </c>
      <c r="C479" s="1" t="n">
        <v>45925</v>
      </c>
      <c r="D479" t="inlineStr">
        <is>
          <t>GOTLANDS LÄN</t>
        </is>
      </c>
      <c r="E479" t="inlineStr">
        <is>
          <t>GOTLAND</t>
        </is>
      </c>
      <c r="G479" t="n">
        <v>3</v>
      </c>
      <c r="H479" t="n">
        <v>0</v>
      </c>
      <c r="I479" t="n">
        <v>0</v>
      </c>
      <c r="J479" t="n">
        <v>0</v>
      </c>
      <c r="K479" t="n">
        <v>0</v>
      </c>
      <c r="L479" t="n">
        <v>0</v>
      </c>
      <c r="M479" t="n">
        <v>0</v>
      </c>
      <c r="N479" t="n">
        <v>0</v>
      </c>
      <c r="O479" t="n">
        <v>0</v>
      </c>
      <c r="P479" t="n">
        <v>0</v>
      </c>
      <c r="Q479" t="n">
        <v>0</v>
      </c>
      <c r="R479" s="2" t="inlineStr"/>
    </row>
    <row r="480" ht="15" customHeight="1">
      <c r="A480" t="inlineStr">
        <is>
          <t>A 53935-2024</t>
        </is>
      </c>
      <c r="B480" s="1" t="n">
        <v>45615</v>
      </c>
      <c r="C480" s="1" t="n">
        <v>45925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18223-2025</t>
        </is>
      </c>
      <c r="B481" s="1" t="n">
        <v>45761</v>
      </c>
      <c r="C481" s="1" t="n">
        <v>45925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4420-2025</t>
        </is>
      </c>
      <c r="B482" s="1" t="n">
        <v>45686.47157407407</v>
      </c>
      <c r="C482" s="1" t="n">
        <v>45925</v>
      </c>
      <c r="D482" t="inlineStr">
        <is>
          <t>GOTLANDS LÄN</t>
        </is>
      </c>
      <c r="E482" t="inlineStr">
        <is>
          <t>GOTLAND</t>
        </is>
      </c>
      <c r="G482" t="n">
        <v>1.6</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45925</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47762-2023</t>
        </is>
      </c>
      <c r="B484" s="1" t="n">
        <v>45203.86256944444</v>
      </c>
      <c r="C484" s="1" t="n">
        <v>45925</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46545-2024</t>
        </is>
      </c>
      <c r="B485" s="1" t="n">
        <v>45582.65831018519</v>
      </c>
      <c r="C485" s="1" t="n">
        <v>45925</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60086-2022</t>
        </is>
      </c>
      <c r="B486" s="1" t="n">
        <v>44909</v>
      </c>
      <c r="C486" s="1" t="n">
        <v>45925</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28480-2023</t>
        </is>
      </c>
      <c r="B487" s="1" t="n">
        <v>45103</v>
      </c>
      <c r="C487" s="1" t="n">
        <v>45925</v>
      </c>
      <c r="D487" t="inlineStr">
        <is>
          <t>GOTLANDS LÄN</t>
        </is>
      </c>
      <c r="E487" t="inlineStr">
        <is>
          <t>GOTLAND</t>
        </is>
      </c>
      <c r="G487" t="n">
        <v>5.7</v>
      </c>
      <c r="H487" t="n">
        <v>0</v>
      </c>
      <c r="I487" t="n">
        <v>0</v>
      </c>
      <c r="J487" t="n">
        <v>0</v>
      </c>
      <c r="K487" t="n">
        <v>0</v>
      </c>
      <c r="L487" t="n">
        <v>0</v>
      </c>
      <c r="M487" t="n">
        <v>0</v>
      </c>
      <c r="N487" t="n">
        <v>0</v>
      </c>
      <c r="O487" t="n">
        <v>0</v>
      </c>
      <c r="P487" t="n">
        <v>0</v>
      </c>
      <c r="Q487" t="n">
        <v>0</v>
      </c>
      <c r="R487" s="2" t="inlineStr"/>
    </row>
    <row r="488" ht="15" customHeight="1">
      <c r="A488" t="inlineStr">
        <is>
          <t>A 28485-2023</t>
        </is>
      </c>
      <c r="B488" s="1" t="n">
        <v>45103.43731481482</v>
      </c>
      <c r="C488" s="1" t="n">
        <v>45925</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7835-2024</t>
        </is>
      </c>
      <c r="B489" s="1" t="n">
        <v>45349.83138888889</v>
      </c>
      <c r="C489" s="1" t="n">
        <v>45925</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62915-2021</t>
        </is>
      </c>
      <c r="B490" s="1" t="n">
        <v>44504</v>
      </c>
      <c r="C490" s="1" t="n">
        <v>45925</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20794-2025</t>
        </is>
      </c>
      <c r="B491" s="1" t="n">
        <v>45776</v>
      </c>
      <c r="C491" s="1" t="n">
        <v>45925</v>
      </c>
      <c r="D491" t="inlineStr">
        <is>
          <t>GOTLANDS LÄN</t>
        </is>
      </c>
      <c r="E491" t="inlineStr">
        <is>
          <t>GOTLAND</t>
        </is>
      </c>
      <c r="G491" t="n">
        <v>6</v>
      </c>
      <c r="H491" t="n">
        <v>0</v>
      </c>
      <c r="I491" t="n">
        <v>0</v>
      </c>
      <c r="J491" t="n">
        <v>0</v>
      </c>
      <c r="K491" t="n">
        <v>0</v>
      </c>
      <c r="L491" t="n">
        <v>0</v>
      </c>
      <c r="M491" t="n">
        <v>0</v>
      </c>
      <c r="N491" t="n">
        <v>0</v>
      </c>
      <c r="O491" t="n">
        <v>0</v>
      </c>
      <c r="P491" t="n">
        <v>0</v>
      </c>
      <c r="Q491" t="n">
        <v>0</v>
      </c>
      <c r="R491" s="2" t="inlineStr"/>
    </row>
    <row r="492" ht="15" customHeight="1">
      <c r="A492" t="inlineStr">
        <is>
          <t>A 44949-2023</t>
        </is>
      </c>
      <c r="B492" s="1" t="n">
        <v>45190.69520833333</v>
      </c>
      <c r="C492" s="1" t="n">
        <v>45925</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20805-2025</t>
        </is>
      </c>
      <c r="B493" s="1" t="n">
        <v>45776</v>
      </c>
      <c r="C493" s="1" t="n">
        <v>45925</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45925</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21389-2025</t>
        </is>
      </c>
      <c r="B495" s="1" t="n">
        <v>45782</v>
      </c>
      <c r="C495" s="1" t="n">
        <v>45925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21651-2025</t>
        </is>
      </c>
      <c r="B496" s="1" t="n">
        <v>45783</v>
      </c>
      <c r="C496" s="1" t="n">
        <v>45925</v>
      </c>
      <c r="D496" t="inlineStr">
        <is>
          <t>GOTLANDS LÄN</t>
        </is>
      </c>
      <c r="E496" t="inlineStr">
        <is>
          <t>GOTLAND</t>
        </is>
      </c>
      <c r="G496" t="n">
        <v>4.2</v>
      </c>
      <c r="H496" t="n">
        <v>0</v>
      </c>
      <c r="I496" t="n">
        <v>0</v>
      </c>
      <c r="J496" t="n">
        <v>0</v>
      </c>
      <c r="K496" t="n">
        <v>0</v>
      </c>
      <c r="L496" t="n">
        <v>0</v>
      </c>
      <c r="M496" t="n">
        <v>0</v>
      </c>
      <c r="N496" t="n">
        <v>0</v>
      </c>
      <c r="O496" t="n">
        <v>0</v>
      </c>
      <c r="P496" t="n">
        <v>0</v>
      </c>
      <c r="Q496" t="n">
        <v>0</v>
      </c>
      <c r="R496" s="2" t="inlineStr"/>
    </row>
    <row r="497" ht="15" customHeight="1">
      <c r="A497" t="inlineStr">
        <is>
          <t>A 3964-2024</t>
        </is>
      </c>
      <c r="B497" s="1" t="n">
        <v>45322</v>
      </c>
      <c r="C497" s="1" t="n">
        <v>45925</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45084-2024</t>
        </is>
      </c>
      <c r="B498" s="1" t="n">
        <v>45575</v>
      </c>
      <c r="C498" s="1" t="n">
        <v>45925</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14915-2025</t>
        </is>
      </c>
      <c r="B499" s="1" t="n">
        <v>45743.53121527778</v>
      </c>
      <c r="C499" s="1" t="n">
        <v>45925</v>
      </c>
      <c r="D499" t="inlineStr">
        <is>
          <t>GOTLANDS LÄN</t>
        </is>
      </c>
      <c r="E499" t="inlineStr">
        <is>
          <t>GOTLAND</t>
        </is>
      </c>
      <c r="G499" t="n">
        <v>5.9</v>
      </c>
      <c r="H499" t="n">
        <v>0</v>
      </c>
      <c r="I499" t="n">
        <v>0</v>
      </c>
      <c r="J499" t="n">
        <v>0</v>
      </c>
      <c r="K499" t="n">
        <v>0</v>
      </c>
      <c r="L499" t="n">
        <v>0</v>
      </c>
      <c r="M499" t="n">
        <v>0</v>
      </c>
      <c r="N499" t="n">
        <v>0</v>
      </c>
      <c r="O499" t="n">
        <v>0</v>
      </c>
      <c r="P499" t="n">
        <v>0</v>
      </c>
      <c r="Q499" t="n">
        <v>0</v>
      </c>
      <c r="R499" s="2" t="inlineStr"/>
    </row>
    <row r="500" ht="15" customHeight="1">
      <c r="A500" t="inlineStr">
        <is>
          <t>A 5217-2023</t>
        </is>
      </c>
      <c r="B500" s="1" t="n">
        <v>44959.39582175926</v>
      </c>
      <c r="C500" s="1" t="n">
        <v>45925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57356-2023</t>
        </is>
      </c>
      <c r="B501" s="1" t="n">
        <v>45240</v>
      </c>
      <c r="C501" s="1" t="n">
        <v>45925</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10656-2024</t>
        </is>
      </c>
      <c r="B502" s="1" t="n">
        <v>45368</v>
      </c>
      <c r="C502" s="1" t="n">
        <v>45925</v>
      </c>
      <c r="D502" t="inlineStr">
        <is>
          <t>GOTLANDS LÄN</t>
        </is>
      </c>
      <c r="E502" t="inlineStr">
        <is>
          <t>GOTLAND</t>
        </is>
      </c>
      <c r="G502" t="n">
        <v>1.5</v>
      </c>
      <c r="H502" t="n">
        <v>0</v>
      </c>
      <c r="I502" t="n">
        <v>0</v>
      </c>
      <c r="J502" t="n">
        <v>0</v>
      </c>
      <c r="K502" t="n">
        <v>0</v>
      </c>
      <c r="L502" t="n">
        <v>0</v>
      </c>
      <c r="M502" t="n">
        <v>0</v>
      </c>
      <c r="N502" t="n">
        <v>0</v>
      </c>
      <c r="O502" t="n">
        <v>0</v>
      </c>
      <c r="P502" t="n">
        <v>0</v>
      </c>
      <c r="Q502" t="n">
        <v>0</v>
      </c>
      <c r="R502" s="2" t="inlineStr"/>
    </row>
    <row r="503" ht="15" customHeight="1">
      <c r="A503" t="inlineStr">
        <is>
          <t>A 1477-2024</t>
        </is>
      </c>
      <c r="B503" s="1" t="n">
        <v>45305.37987268518</v>
      </c>
      <c r="C503" s="1" t="n">
        <v>45925</v>
      </c>
      <c r="D503" t="inlineStr">
        <is>
          <t>GOTLANDS LÄN</t>
        </is>
      </c>
      <c r="E503" t="inlineStr">
        <is>
          <t>GOTLAND</t>
        </is>
      </c>
      <c r="G503" t="n">
        <v>6.9</v>
      </c>
      <c r="H503" t="n">
        <v>0</v>
      </c>
      <c r="I503" t="n">
        <v>0</v>
      </c>
      <c r="J503" t="n">
        <v>0</v>
      </c>
      <c r="K503" t="n">
        <v>0</v>
      </c>
      <c r="L503" t="n">
        <v>0</v>
      </c>
      <c r="M503" t="n">
        <v>0</v>
      </c>
      <c r="N503" t="n">
        <v>0</v>
      </c>
      <c r="O503" t="n">
        <v>0</v>
      </c>
      <c r="P503" t="n">
        <v>0</v>
      </c>
      <c r="Q503" t="n">
        <v>0</v>
      </c>
      <c r="R503" s="2" t="inlineStr"/>
    </row>
    <row r="504" ht="15" customHeight="1">
      <c r="A504" t="inlineStr">
        <is>
          <t>A 1677-2023</t>
        </is>
      </c>
      <c r="B504" s="1" t="n">
        <v>44938</v>
      </c>
      <c r="C504" s="1" t="n">
        <v>45925</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45244-2024</t>
        </is>
      </c>
      <c r="B505" s="1" t="n">
        <v>45576</v>
      </c>
      <c r="C505" s="1" t="n">
        <v>45925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28506-2023</t>
        </is>
      </c>
      <c r="B506" s="1" t="n">
        <v>45103</v>
      </c>
      <c r="C506" s="1" t="n">
        <v>45925</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21420-2024</t>
        </is>
      </c>
      <c r="B507" s="1" t="n">
        <v>45441.38293981482</v>
      </c>
      <c r="C507" s="1" t="n">
        <v>45925</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23188-2025</t>
        </is>
      </c>
      <c r="B508" s="1" t="n">
        <v>45791</v>
      </c>
      <c r="C508" s="1" t="n">
        <v>45925</v>
      </c>
      <c r="D508" t="inlineStr">
        <is>
          <t>GOTLANDS LÄN</t>
        </is>
      </c>
      <c r="E508" t="inlineStr">
        <is>
          <t>GOTLAND</t>
        </is>
      </c>
      <c r="G508" t="n">
        <v>6.2</v>
      </c>
      <c r="H508" t="n">
        <v>0</v>
      </c>
      <c r="I508" t="n">
        <v>0</v>
      </c>
      <c r="J508" t="n">
        <v>0</v>
      </c>
      <c r="K508" t="n">
        <v>0</v>
      </c>
      <c r="L508" t="n">
        <v>0</v>
      </c>
      <c r="M508" t="n">
        <v>0</v>
      </c>
      <c r="N508" t="n">
        <v>0</v>
      </c>
      <c r="O508" t="n">
        <v>0</v>
      </c>
      <c r="P508" t="n">
        <v>0</v>
      </c>
      <c r="Q508" t="n">
        <v>0</v>
      </c>
      <c r="R508" s="2" t="inlineStr"/>
    </row>
    <row r="509" ht="15" customHeight="1">
      <c r="A509" t="inlineStr">
        <is>
          <t>A 23473-2025</t>
        </is>
      </c>
      <c r="B509" s="1" t="n">
        <v>45792</v>
      </c>
      <c r="C509" s="1" t="n">
        <v>45925</v>
      </c>
      <c r="D509" t="inlineStr">
        <is>
          <t>GOTLANDS LÄN</t>
        </is>
      </c>
      <c r="E509" t="inlineStr">
        <is>
          <t>GOTLAND</t>
        </is>
      </c>
      <c r="G509" t="n">
        <v>3.6</v>
      </c>
      <c r="H509" t="n">
        <v>0</v>
      </c>
      <c r="I509" t="n">
        <v>0</v>
      </c>
      <c r="J509" t="n">
        <v>0</v>
      </c>
      <c r="K509" t="n">
        <v>0</v>
      </c>
      <c r="L509" t="n">
        <v>0</v>
      </c>
      <c r="M509" t="n">
        <v>0</v>
      </c>
      <c r="N509" t="n">
        <v>0</v>
      </c>
      <c r="O509" t="n">
        <v>0</v>
      </c>
      <c r="P509" t="n">
        <v>0</v>
      </c>
      <c r="Q509" t="n">
        <v>0</v>
      </c>
      <c r="R509" s="2" t="inlineStr"/>
    </row>
    <row r="510" ht="15" customHeight="1">
      <c r="A510" t="inlineStr">
        <is>
          <t>A 23856-2025</t>
        </is>
      </c>
      <c r="B510" s="1" t="n">
        <v>45793</v>
      </c>
      <c r="C510" s="1" t="n">
        <v>45925</v>
      </c>
      <c r="D510" t="inlineStr">
        <is>
          <t>GOTLANDS LÄN</t>
        </is>
      </c>
      <c r="E510" t="inlineStr">
        <is>
          <t>GOTLAND</t>
        </is>
      </c>
      <c r="G510" t="n">
        <v>4.4</v>
      </c>
      <c r="H510" t="n">
        <v>0</v>
      </c>
      <c r="I510" t="n">
        <v>0</v>
      </c>
      <c r="J510" t="n">
        <v>0</v>
      </c>
      <c r="K510" t="n">
        <v>0</v>
      </c>
      <c r="L510" t="n">
        <v>0</v>
      </c>
      <c r="M510" t="n">
        <v>0</v>
      </c>
      <c r="N510" t="n">
        <v>0</v>
      </c>
      <c r="O510" t="n">
        <v>0</v>
      </c>
      <c r="P510" t="n">
        <v>0</v>
      </c>
      <c r="Q510" t="n">
        <v>0</v>
      </c>
      <c r="R510" s="2" t="inlineStr"/>
    </row>
    <row r="511" ht="15" customHeight="1">
      <c r="A511" t="inlineStr">
        <is>
          <t>A 15073-2025</t>
        </is>
      </c>
      <c r="B511" s="1" t="n">
        <v>45743</v>
      </c>
      <c r="C511" s="1" t="n">
        <v>45925</v>
      </c>
      <c r="D511" t="inlineStr">
        <is>
          <t>GOTLANDS LÄN</t>
        </is>
      </c>
      <c r="E511" t="inlineStr">
        <is>
          <t>GOTLAND</t>
        </is>
      </c>
      <c r="G511" t="n">
        <v>12.1</v>
      </c>
      <c r="H511" t="n">
        <v>0</v>
      </c>
      <c r="I511" t="n">
        <v>0</v>
      </c>
      <c r="J511" t="n">
        <v>0</v>
      </c>
      <c r="K511" t="n">
        <v>0</v>
      </c>
      <c r="L511" t="n">
        <v>0</v>
      </c>
      <c r="M511" t="n">
        <v>0</v>
      </c>
      <c r="N511" t="n">
        <v>0</v>
      </c>
      <c r="O511" t="n">
        <v>0</v>
      </c>
      <c r="P511" t="n">
        <v>0</v>
      </c>
      <c r="Q511" t="n">
        <v>0</v>
      </c>
      <c r="R511" s="2" t="inlineStr"/>
    </row>
    <row r="512" ht="15" customHeight="1">
      <c r="A512" t="inlineStr">
        <is>
          <t>A 6749-2025</t>
        </is>
      </c>
      <c r="B512" s="1" t="n">
        <v>45700</v>
      </c>
      <c r="C512" s="1" t="n">
        <v>45925</v>
      </c>
      <c r="D512" t="inlineStr">
        <is>
          <t>GOTLANDS LÄN</t>
        </is>
      </c>
      <c r="E512" t="inlineStr">
        <is>
          <t>GOTLAND</t>
        </is>
      </c>
      <c r="G512" t="n">
        <v>4.5</v>
      </c>
      <c r="H512" t="n">
        <v>0</v>
      </c>
      <c r="I512" t="n">
        <v>0</v>
      </c>
      <c r="J512" t="n">
        <v>0</v>
      </c>
      <c r="K512" t="n">
        <v>0</v>
      </c>
      <c r="L512" t="n">
        <v>0</v>
      </c>
      <c r="M512" t="n">
        <v>0</v>
      </c>
      <c r="N512" t="n">
        <v>0</v>
      </c>
      <c r="O512" t="n">
        <v>0</v>
      </c>
      <c r="P512" t="n">
        <v>0</v>
      </c>
      <c r="Q512" t="n">
        <v>0</v>
      </c>
      <c r="R512" s="2" t="inlineStr"/>
    </row>
    <row r="513" ht="15" customHeight="1">
      <c r="A513" t="inlineStr">
        <is>
          <t>A 8260-2023</t>
        </is>
      </c>
      <c r="B513" s="1" t="n">
        <v>44974.61608796296</v>
      </c>
      <c r="C513" s="1" t="n">
        <v>45925</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64969-2023</t>
        </is>
      </c>
      <c r="B514" s="1" t="n">
        <v>45284.54009259259</v>
      </c>
      <c r="C514" s="1" t="n">
        <v>45925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48843-2024</t>
        </is>
      </c>
      <c r="B515" s="1" t="n">
        <v>45593</v>
      </c>
      <c r="C515" s="1" t="n">
        <v>45925</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17541-2024</t>
        </is>
      </c>
      <c r="B516" s="1" t="n">
        <v>45415</v>
      </c>
      <c r="C516" s="1" t="n">
        <v>45925</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15075-2025</t>
        </is>
      </c>
      <c r="B517" s="1" t="n">
        <v>45743</v>
      </c>
      <c r="C517" s="1" t="n">
        <v>45925</v>
      </c>
      <c r="D517" t="inlineStr">
        <is>
          <t>GOTLANDS LÄN</t>
        </is>
      </c>
      <c r="E517" t="inlineStr">
        <is>
          <t>GOTLAND</t>
        </is>
      </c>
      <c r="G517" t="n">
        <v>20.9</v>
      </c>
      <c r="H517" t="n">
        <v>0</v>
      </c>
      <c r="I517" t="n">
        <v>0</v>
      </c>
      <c r="J517" t="n">
        <v>0</v>
      </c>
      <c r="K517" t="n">
        <v>0</v>
      </c>
      <c r="L517" t="n">
        <v>0</v>
      </c>
      <c r="M517" t="n">
        <v>0</v>
      </c>
      <c r="N517" t="n">
        <v>0</v>
      </c>
      <c r="O517" t="n">
        <v>0</v>
      </c>
      <c r="P517" t="n">
        <v>0</v>
      </c>
      <c r="Q517" t="n">
        <v>0</v>
      </c>
      <c r="R517" s="2" t="inlineStr"/>
    </row>
    <row r="518" ht="15" customHeight="1">
      <c r="A518" t="inlineStr">
        <is>
          <t>A 23698-2025</t>
        </is>
      </c>
      <c r="B518" s="1" t="n">
        <v>45793</v>
      </c>
      <c r="C518" s="1" t="n">
        <v>45925</v>
      </c>
      <c r="D518" t="inlineStr">
        <is>
          <t>GOTLANDS LÄN</t>
        </is>
      </c>
      <c r="E518" t="inlineStr">
        <is>
          <t>GOTLAND</t>
        </is>
      </c>
      <c r="G518" t="n">
        <v>0.8</v>
      </c>
      <c r="H518" t="n">
        <v>0</v>
      </c>
      <c r="I518" t="n">
        <v>0</v>
      </c>
      <c r="J518" t="n">
        <v>0</v>
      </c>
      <c r="K518" t="n">
        <v>0</v>
      </c>
      <c r="L518" t="n">
        <v>0</v>
      </c>
      <c r="M518" t="n">
        <v>0</v>
      </c>
      <c r="N518" t="n">
        <v>0</v>
      </c>
      <c r="O518" t="n">
        <v>0</v>
      </c>
      <c r="P518" t="n">
        <v>0</v>
      </c>
      <c r="Q518" t="n">
        <v>0</v>
      </c>
      <c r="R518" s="2" t="inlineStr"/>
    </row>
    <row r="519" ht="15" customHeight="1">
      <c r="A519" t="inlineStr">
        <is>
          <t>A 2241-2025</t>
        </is>
      </c>
      <c r="B519" s="1" t="n">
        <v>45673.48710648148</v>
      </c>
      <c r="C519" s="1" t="n">
        <v>45925</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15434-2024</t>
        </is>
      </c>
      <c r="B520" s="1" t="n">
        <v>45401.38836805556</v>
      </c>
      <c r="C520" s="1" t="n">
        <v>45925</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5943-2024</t>
        </is>
      </c>
      <c r="B521" s="1" t="n">
        <v>45336</v>
      </c>
      <c r="C521" s="1" t="n">
        <v>45925</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54073-2022</t>
        </is>
      </c>
      <c r="B522" s="1" t="n">
        <v>44881.50380787037</v>
      </c>
      <c r="C522" s="1" t="n">
        <v>45925</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16361-2024</t>
        </is>
      </c>
      <c r="B523" s="1" t="n">
        <v>45407</v>
      </c>
      <c r="C523" s="1" t="n">
        <v>45925</v>
      </c>
      <c r="D523" t="inlineStr">
        <is>
          <t>GOTLANDS LÄN</t>
        </is>
      </c>
      <c r="E523" t="inlineStr">
        <is>
          <t>GOTLAND</t>
        </is>
      </c>
      <c r="G523" t="n">
        <v>6</v>
      </c>
      <c r="H523" t="n">
        <v>0</v>
      </c>
      <c r="I523" t="n">
        <v>0</v>
      </c>
      <c r="J523" t="n">
        <v>0</v>
      </c>
      <c r="K523" t="n">
        <v>0</v>
      </c>
      <c r="L523" t="n">
        <v>0</v>
      </c>
      <c r="M523" t="n">
        <v>0</v>
      </c>
      <c r="N523" t="n">
        <v>0</v>
      </c>
      <c r="O523" t="n">
        <v>0</v>
      </c>
      <c r="P523" t="n">
        <v>0</v>
      </c>
      <c r="Q523" t="n">
        <v>0</v>
      </c>
      <c r="R523" s="2" t="inlineStr"/>
    </row>
    <row r="524" ht="15" customHeight="1">
      <c r="A524" t="inlineStr">
        <is>
          <t>A 5462-2025</t>
        </is>
      </c>
      <c r="B524" s="1" t="n">
        <v>45693.29331018519</v>
      </c>
      <c r="C524" s="1" t="n">
        <v>45925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41038-2023</t>
        </is>
      </c>
      <c r="B525" s="1" t="n">
        <v>45173.60959490741</v>
      </c>
      <c r="C525" s="1" t="n">
        <v>45925</v>
      </c>
      <c r="D525" t="inlineStr">
        <is>
          <t>GOTLANDS LÄN</t>
        </is>
      </c>
      <c r="E525" t="inlineStr">
        <is>
          <t>GOTLAND</t>
        </is>
      </c>
      <c r="G525" t="n">
        <v>2.7</v>
      </c>
      <c r="H525" t="n">
        <v>0</v>
      </c>
      <c r="I525" t="n">
        <v>0</v>
      </c>
      <c r="J525" t="n">
        <v>0</v>
      </c>
      <c r="K525" t="n">
        <v>0</v>
      </c>
      <c r="L525" t="n">
        <v>0</v>
      </c>
      <c r="M525" t="n">
        <v>0</v>
      </c>
      <c r="N525" t="n">
        <v>0</v>
      </c>
      <c r="O525" t="n">
        <v>0</v>
      </c>
      <c r="P525" t="n">
        <v>0</v>
      </c>
      <c r="Q525" t="n">
        <v>0</v>
      </c>
      <c r="R525" s="2" t="inlineStr"/>
    </row>
    <row r="526" ht="15" customHeight="1">
      <c r="A526" t="inlineStr">
        <is>
          <t>A 25796-2025</t>
        </is>
      </c>
      <c r="B526" s="1" t="n">
        <v>45804.39543981481</v>
      </c>
      <c r="C526" s="1" t="n">
        <v>45925</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34142-2024</t>
        </is>
      </c>
      <c r="B527" s="1" t="n">
        <v>45524.36521990741</v>
      </c>
      <c r="C527" s="1" t="n">
        <v>45925</v>
      </c>
      <c r="D527" t="inlineStr">
        <is>
          <t>GOTLANDS LÄN</t>
        </is>
      </c>
      <c r="E527" t="inlineStr">
        <is>
          <t>GOTLAND</t>
        </is>
      </c>
      <c r="G527" t="n">
        <v>6</v>
      </c>
      <c r="H527" t="n">
        <v>0</v>
      </c>
      <c r="I527" t="n">
        <v>0</v>
      </c>
      <c r="J527" t="n">
        <v>0</v>
      </c>
      <c r="K527" t="n">
        <v>0</v>
      </c>
      <c r="L527" t="n">
        <v>0</v>
      </c>
      <c r="M527" t="n">
        <v>0</v>
      </c>
      <c r="N527" t="n">
        <v>0</v>
      </c>
      <c r="O527" t="n">
        <v>0</v>
      </c>
      <c r="P527" t="n">
        <v>0</v>
      </c>
      <c r="Q527" t="n">
        <v>0</v>
      </c>
      <c r="R527" s="2" t="inlineStr"/>
    </row>
    <row r="528" ht="15" customHeight="1">
      <c r="A528" t="inlineStr">
        <is>
          <t>A 14427-2024</t>
        </is>
      </c>
      <c r="B528" s="1" t="n">
        <v>45394</v>
      </c>
      <c r="C528" s="1" t="n">
        <v>45925</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31802-2024</t>
        </is>
      </c>
      <c r="B529" s="1" t="n">
        <v>45509</v>
      </c>
      <c r="C529" s="1" t="n">
        <v>45925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8684-2025</t>
        </is>
      </c>
      <c r="B530" s="1" t="n">
        <v>45712.45605324074</v>
      </c>
      <c r="C530" s="1" t="n">
        <v>45925</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26391-2025</t>
        </is>
      </c>
      <c r="B531" s="1" t="n">
        <v>45806</v>
      </c>
      <c r="C531" s="1" t="n">
        <v>45925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8036-2022</t>
        </is>
      </c>
      <c r="B532" s="1" t="n">
        <v>44609.44362268518</v>
      </c>
      <c r="C532" s="1" t="n">
        <v>45925</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12846-2025</t>
        </is>
      </c>
      <c r="B533" s="1" t="n">
        <v>45733.65049768519</v>
      </c>
      <c r="C533" s="1" t="n">
        <v>45925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46949-2024</t>
        </is>
      </c>
      <c r="B534" s="1" t="n">
        <v>45585</v>
      </c>
      <c r="C534" s="1" t="n">
        <v>45925</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26457-2025</t>
        </is>
      </c>
      <c r="B535" s="1" t="n">
        <v>45807.42773148148</v>
      </c>
      <c r="C535" s="1" t="n">
        <v>45925</v>
      </c>
      <c r="D535" t="inlineStr">
        <is>
          <t>GOTLANDS LÄN</t>
        </is>
      </c>
      <c r="E535" t="inlineStr">
        <is>
          <t>GOTLAND</t>
        </is>
      </c>
      <c r="G535" t="n">
        <v>5.7</v>
      </c>
      <c r="H535" t="n">
        <v>0</v>
      </c>
      <c r="I535" t="n">
        <v>0</v>
      </c>
      <c r="J535" t="n">
        <v>0</v>
      </c>
      <c r="K535" t="n">
        <v>0</v>
      </c>
      <c r="L535" t="n">
        <v>0</v>
      </c>
      <c r="M535" t="n">
        <v>0</v>
      </c>
      <c r="N535" t="n">
        <v>0</v>
      </c>
      <c r="O535" t="n">
        <v>0</v>
      </c>
      <c r="P535" t="n">
        <v>0</v>
      </c>
      <c r="Q535" t="n">
        <v>0</v>
      </c>
      <c r="R535" s="2" t="inlineStr"/>
    </row>
    <row r="536" ht="15" customHeight="1">
      <c r="A536" t="inlineStr">
        <is>
          <t>A 26467-2025</t>
        </is>
      </c>
      <c r="B536" s="1" t="n">
        <v>45807.44640046296</v>
      </c>
      <c r="C536" s="1" t="n">
        <v>45925</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10650-2022</t>
        </is>
      </c>
      <c r="B537" s="1" t="n">
        <v>44624.57945601852</v>
      </c>
      <c r="C537" s="1" t="n">
        <v>45925</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26465-2025</t>
        </is>
      </c>
      <c r="B538" s="1" t="n">
        <v>45807.44377314814</v>
      </c>
      <c r="C538" s="1" t="n">
        <v>45925</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26660-2025</t>
        </is>
      </c>
      <c r="B539" s="1" t="n">
        <v>45810.39737268518</v>
      </c>
      <c r="C539" s="1" t="n">
        <v>45925</v>
      </c>
      <c r="D539" t="inlineStr">
        <is>
          <t>GOTLANDS LÄN</t>
        </is>
      </c>
      <c r="E539" t="inlineStr">
        <is>
          <t>GOTLAND</t>
        </is>
      </c>
      <c r="G539" t="n">
        <v>1.8</v>
      </c>
      <c r="H539" t="n">
        <v>0</v>
      </c>
      <c r="I539" t="n">
        <v>0</v>
      </c>
      <c r="J539" t="n">
        <v>0</v>
      </c>
      <c r="K539" t="n">
        <v>0</v>
      </c>
      <c r="L539" t="n">
        <v>0</v>
      </c>
      <c r="M539" t="n">
        <v>0</v>
      </c>
      <c r="N539" t="n">
        <v>0</v>
      </c>
      <c r="O539" t="n">
        <v>0</v>
      </c>
      <c r="P539" t="n">
        <v>0</v>
      </c>
      <c r="Q539" t="n">
        <v>0</v>
      </c>
      <c r="R539" s="2" t="inlineStr"/>
    </row>
    <row r="540" ht="15" customHeight="1">
      <c r="A540" t="inlineStr">
        <is>
          <t>A 27348-2025</t>
        </is>
      </c>
      <c r="B540" s="1" t="n">
        <v>45812.62451388889</v>
      </c>
      <c r="C540" s="1" t="n">
        <v>45925</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27371-2025</t>
        </is>
      </c>
      <c r="B541" s="1" t="n">
        <v>45812</v>
      </c>
      <c r="C541" s="1" t="n">
        <v>45925</v>
      </c>
      <c r="D541" t="inlineStr">
        <is>
          <t>GOTLANDS LÄN</t>
        </is>
      </c>
      <c r="E541" t="inlineStr">
        <is>
          <t>GOTLAND</t>
        </is>
      </c>
      <c r="G541" t="n">
        <v>8</v>
      </c>
      <c r="H541" t="n">
        <v>0</v>
      </c>
      <c r="I541" t="n">
        <v>0</v>
      </c>
      <c r="J541" t="n">
        <v>0</v>
      </c>
      <c r="K541" t="n">
        <v>0</v>
      </c>
      <c r="L541" t="n">
        <v>0</v>
      </c>
      <c r="M541" t="n">
        <v>0</v>
      </c>
      <c r="N541" t="n">
        <v>0</v>
      </c>
      <c r="O541" t="n">
        <v>0</v>
      </c>
      <c r="P541" t="n">
        <v>0</v>
      </c>
      <c r="Q541" t="n">
        <v>0</v>
      </c>
      <c r="R541" s="2" t="inlineStr"/>
    </row>
    <row r="542" ht="15" customHeight="1">
      <c r="A542" t="inlineStr">
        <is>
          <t>A 27355-2025</t>
        </is>
      </c>
      <c r="B542" s="1" t="n">
        <v>45812</v>
      </c>
      <c r="C542" s="1" t="n">
        <v>45925</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6739-2025</t>
        </is>
      </c>
      <c r="B543" s="1" t="n">
        <v>45700</v>
      </c>
      <c r="C543" s="1" t="n">
        <v>45925</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7850-2025</t>
        </is>
      </c>
      <c r="B544" s="1" t="n">
        <v>45706</v>
      </c>
      <c r="C544" s="1" t="n">
        <v>45925</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11634-2024</t>
        </is>
      </c>
      <c r="B545" s="1" t="n">
        <v>45373</v>
      </c>
      <c r="C545" s="1" t="n">
        <v>45925</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1351-2025</t>
        </is>
      </c>
      <c r="B546" s="1" t="n">
        <v>45667.62246527777</v>
      </c>
      <c r="C546" s="1" t="n">
        <v>45925</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39496-2022</t>
        </is>
      </c>
      <c r="B547" s="1" t="n">
        <v>44818</v>
      </c>
      <c r="C547" s="1" t="n">
        <v>45925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45925</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49874-2024</t>
        </is>
      </c>
      <c r="B549" s="1" t="n">
        <v>45597.49274305555</v>
      </c>
      <c r="C549" s="1" t="n">
        <v>45925</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42201-2023</t>
        </is>
      </c>
      <c r="B550" s="1" t="n">
        <v>45179</v>
      </c>
      <c r="C550" s="1" t="n">
        <v>45925</v>
      </c>
      <c r="D550" t="inlineStr">
        <is>
          <t>GOTLANDS LÄN</t>
        </is>
      </c>
      <c r="E550" t="inlineStr">
        <is>
          <t>GOTLAND</t>
        </is>
      </c>
      <c r="G550" t="n">
        <v>11.9</v>
      </c>
      <c r="H550" t="n">
        <v>0</v>
      </c>
      <c r="I550" t="n">
        <v>0</v>
      </c>
      <c r="J550" t="n">
        <v>0</v>
      </c>
      <c r="K550" t="n">
        <v>0</v>
      </c>
      <c r="L550" t="n">
        <v>0</v>
      </c>
      <c r="M550" t="n">
        <v>0</v>
      </c>
      <c r="N550" t="n">
        <v>0</v>
      </c>
      <c r="O550" t="n">
        <v>0</v>
      </c>
      <c r="P550" t="n">
        <v>0</v>
      </c>
      <c r="Q550" t="n">
        <v>0</v>
      </c>
      <c r="R550" s="2" t="inlineStr"/>
    </row>
    <row r="551" ht="15" customHeight="1">
      <c r="A551" t="inlineStr">
        <is>
          <t>A 46400-2023</t>
        </is>
      </c>
      <c r="B551" s="1" t="n">
        <v>45197.49290509259</v>
      </c>
      <c r="C551" s="1" t="n">
        <v>45925</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9875-2025</t>
        </is>
      </c>
      <c r="B552" s="1" t="n">
        <v>45716</v>
      </c>
      <c r="C552" s="1" t="n">
        <v>45925</v>
      </c>
      <c r="D552" t="inlineStr">
        <is>
          <t>GOTLANDS LÄN</t>
        </is>
      </c>
      <c r="E552" t="inlineStr">
        <is>
          <t>GOTLAND</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19002-2025</t>
        </is>
      </c>
      <c r="B553" s="1" t="n">
        <v>45764</v>
      </c>
      <c r="C553" s="1" t="n">
        <v>45925</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19905-2025</t>
        </is>
      </c>
      <c r="B554" s="1" t="n">
        <v>45771</v>
      </c>
      <c r="C554" s="1" t="n">
        <v>45925</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29196-2025</t>
        </is>
      </c>
      <c r="B555" s="1" t="n">
        <v>45822</v>
      </c>
      <c r="C555" s="1" t="n">
        <v>45925</v>
      </c>
      <c r="D555" t="inlineStr">
        <is>
          <t>GOTLANDS LÄN</t>
        </is>
      </c>
      <c r="E555" t="inlineStr">
        <is>
          <t>GOTLAND</t>
        </is>
      </c>
      <c r="G555" t="n">
        <v>0.5</v>
      </c>
      <c r="H555" t="n">
        <v>0</v>
      </c>
      <c r="I555" t="n">
        <v>0</v>
      </c>
      <c r="J555" t="n">
        <v>0</v>
      </c>
      <c r="K555" t="n">
        <v>0</v>
      </c>
      <c r="L555" t="n">
        <v>0</v>
      </c>
      <c r="M555" t="n">
        <v>0</v>
      </c>
      <c r="N555" t="n">
        <v>0</v>
      </c>
      <c r="O555" t="n">
        <v>0</v>
      </c>
      <c r="P555" t="n">
        <v>0</v>
      </c>
      <c r="Q555" t="n">
        <v>0</v>
      </c>
      <c r="R555" s="2" t="inlineStr"/>
    </row>
    <row r="556" ht="15" customHeight="1">
      <c r="A556" t="inlineStr">
        <is>
          <t>A 21164-2024</t>
        </is>
      </c>
      <c r="B556" s="1" t="n">
        <v>45440</v>
      </c>
      <c r="C556" s="1" t="n">
        <v>45925</v>
      </c>
      <c r="D556" t="inlineStr">
        <is>
          <t>GOTLANDS LÄN</t>
        </is>
      </c>
      <c r="E556" t="inlineStr">
        <is>
          <t>GOTLAND</t>
        </is>
      </c>
      <c r="G556" t="n">
        <v>6.3</v>
      </c>
      <c r="H556" t="n">
        <v>0</v>
      </c>
      <c r="I556" t="n">
        <v>0</v>
      </c>
      <c r="J556" t="n">
        <v>0</v>
      </c>
      <c r="K556" t="n">
        <v>0</v>
      </c>
      <c r="L556" t="n">
        <v>0</v>
      </c>
      <c r="M556" t="n">
        <v>0</v>
      </c>
      <c r="N556" t="n">
        <v>0</v>
      </c>
      <c r="O556" t="n">
        <v>0</v>
      </c>
      <c r="P556" t="n">
        <v>0</v>
      </c>
      <c r="Q556" t="n">
        <v>0</v>
      </c>
      <c r="R556" s="2" t="inlineStr"/>
    </row>
    <row r="557" ht="15" customHeight="1">
      <c r="A557" t="inlineStr">
        <is>
          <t>A 29207-2025</t>
        </is>
      </c>
      <c r="B557" s="1" t="n">
        <v>45823</v>
      </c>
      <c r="C557" s="1" t="n">
        <v>45925</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8045-2022</t>
        </is>
      </c>
      <c r="B558" s="1" t="n">
        <v>44609</v>
      </c>
      <c r="C558" s="1" t="n">
        <v>45925</v>
      </c>
      <c r="D558" t="inlineStr">
        <is>
          <t>GOTLANDS LÄN</t>
        </is>
      </c>
      <c r="E558" t="inlineStr">
        <is>
          <t>GOTLAND</t>
        </is>
      </c>
      <c r="G558" t="n">
        <v>7</v>
      </c>
      <c r="H558" t="n">
        <v>0</v>
      </c>
      <c r="I558" t="n">
        <v>0</v>
      </c>
      <c r="J558" t="n">
        <v>0</v>
      </c>
      <c r="K558" t="n">
        <v>0</v>
      </c>
      <c r="L558" t="n">
        <v>0</v>
      </c>
      <c r="M558" t="n">
        <v>0</v>
      </c>
      <c r="N558" t="n">
        <v>0</v>
      </c>
      <c r="O558" t="n">
        <v>0</v>
      </c>
      <c r="P558" t="n">
        <v>0</v>
      </c>
      <c r="Q558" t="n">
        <v>0</v>
      </c>
      <c r="R558" s="2" t="inlineStr"/>
    </row>
    <row r="559" ht="15" customHeight="1">
      <c r="A559" t="inlineStr">
        <is>
          <t>A 30157-2025</t>
        </is>
      </c>
      <c r="B559" s="1" t="n">
        <v>45826</v>
      </c>
      <c r="C559" s="1" t="n">
        <v>45925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30061-2025</t>
        </is>
      </c>
      <c r="B560" s="1" t="n">
        <v>45826.61488425926</v>
      </c>
      <c r="C560" s="1" t="n">
        <v>45925</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22897-2023</t>
        </is>
      </c>
      <c r="B561" s="1" t="n">
        <v>45072.55239583334</v>
      </c>
      <c r="C561" s="1" t="n">
        <v>45925</v>
      </c>
      <c r="D561" t="inlineStr">
        <is>
          <t>GOTLANDS LÄN</t>
        </is>
      </c>
      <c r="E561" t="inlineStr">
        <is>
          <t>GOTLAND</t>
        </is>
      </c>
      <c r="G561" t="n">
        <v>1.1</v>
      </c>
      <c r="H561" t="n">
        <v>0</v>
      </c>
      <c r="I561" t="n">
        <v>0</v>
      </c>
      <c r="J561" t="n">
        <v>0</v>
      </c>
      <c r="K561" t="n">
        <v>0</v>
      </c>
      <c r="L561" t="n">
        <v>0</v>
      </c>
      <c r="M561" t="n">
        <v>0</v>
      </c>
      <c r="N561" t="n">
        <v>0</v>
      </c>
      <c r="O561" t="n">
        <v>0</v>
      </c>
      <c r="P561" t="n">
        <v>0</v>
      </c>
      <c r="Q561" t="n">
        <v>0</v>
      </c>
      <c r="R561" s="2" t="inlineStr"/>
    </row>
    <row r="562" ht="15" customHeight="1">
      <c r="A562" t="inlineStr">
        <is>
          <t>A 61897-2024</t>
        </is>
      </c>
      <c r="B562" s="1" t="n">
        <v>45652.75685185185</v>
      </c>
      <c r="C562" s="1" t="n">
        <v>45925</v>
      </c>
      <c r="D562" t="inlineStr">
        <is>
          <t>GOTLANDS LÄN</t>
        </is>
      </c>
      <c r="E562" t="inlineStr">
        <is>
          <t>GOTLAND</t>
        </is>
      </c>
      <c r="G562" t="n">
        <v>6.4</v>
      </c>
      <c r="H562" t="n">
        <v>0</v>
      </c>
      <c r="I562" t="n">
        <v>0</v>
      </c>
      <c r="J562" t="n">
        <v>0</v>
      </c>
      <c r="K562" t="n">
        <v>0</v>
      </c>
      <c r="L562" t="n">
        <v>0</v>
      </c>
      <c r="M562" t="n">
        <v>0</v>
      </c>
      <c r="N562" t="n">
        <v>0</v>
      </c>
      <c r="O562" t="n">
        <v>0</v>
      </c>
      <c r="P562" t="n">
        <v>0</v>
      </c>
      <c r="Q562" t="n">
        <v>0</v>
      </c>
      <c r="R562" s="2" t="inlineStr"/>
    </row>
    <row r="563" ht="15" customHeight="1">
      <c r="A563" t="inlineStr">
        <is>
          <t>A 49962-2023</t>
        </is>
      </c>
      <c r="B563" s="1" t="n">
        <v>45215.38775462963</v>
      </c>
      <c r="C563" s="1" t="n">
        <v>45925</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58160-2024</t>
        </is>
      </c>
      <c r="B564" s="1" t="n">
        <v>45632.44927083333</v>
      </c>
      <c r="C564" s="1" t="n">
        <v>45925</v>
      </c>
      <c r="D564" t="inlineStr">
        <is>
          <t>GOTLANDS LÄN</t>
        </is>
      </c>
      <c r="E564" t="inlineStr">
        <is>
          <t>GOTLAND</t>
        </is>
      </c>
      <c r="G564" t="n">
        <v>5.6</v>
      </c>
      <c r="H564" t="n">
        <v>0</v>
      </c>
      <c r="I564" t="n">
        <v>0</v>
      </c>
      <c r="J564" t="n">
        <v>0</v>
      </c>
      <c r="K564" t="n">
        <v>0</v>
      </c>
      <c r="L564" t="n">
        <v>0</v>
      </c>
      <c r="M564" t="n">
        <v>0</v>
      </c>
      <c r="N564" t="n">
        <v>0</v>
      </c>
      <c r="O564" t="n">
        <v>0</v>
      </c>
      <c r="P564" t="n">
        <v>0</v>
      </c>
      <c r="Q564" t="n">
        <v>0</v>
      </c>
      <c r="R564" s="2" t="inlineStr"/>
    </row>
    <row r="565" ht="15" customHeight="1">
      <c r="A565" t="inlineStr">
        <is>
          <t>A 20165-2022</t>
        </is>
      </c>
      <c r="B565" s="1" t="n">
        <v>44698.49854166667</v>
      </c>
      <c r="C565" s="1" t="n">
        <v>45925</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40294-2022</t>
        </is>
      </c>
      <c r="B566" s="1" t="n">
        <v>44821</v>
      </c>
      <c r="C566" s="1" t="n">
        <v>45925</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12032-2025</t>
        </is>
      </c>
      <c r="B567" s="1" t="n">
        <v>45728.64472222222</v>
      </c>
      <c r="C567" s="1" t="n">
        <v>45925</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38787-2023</t>
        </is>
      </c>
      <c r="B568" s="1" t="n">
        <v>45163</v>
      </c>
      <c r="C568" s="1" t="n">
        <v>45925</v>
      </c>
      <c r="D568" t="inlineStr">
        <is>
          <t>GOTLANDS LÄN</t>
        </is>
      </c>
      <c r="E568" t="inlineStr">
        <is>
          <t>GOTLAND</t>
        </is>
      </c>
      <c r="G568" t="n">
        <v>0.4</v>
      </c>
      <c r="H568" t="n">
        <v>0</v>
      </c>
      <c r="I568" t="n">
        <v>0</v>
      </c>
      <c r="J568" t="n">
        <v>0</v>
      </c>
      <c r="K568" t="n">
        <v>0</v>
      </c>
      <c r="L568" t="n">
        <v>0</v>
      </c>
      <c r="M568" t="n">
        <v>0</v>
      </c>
      <c r="N568" t="n">
        <v>0</v>
      </c>
      <c r="O568" t="n">
        <v>0</v>
      </c>
      <c r="P568" t="n">
        <v>0</v>
      </c>
      <c r="Q568" t="n">
        <v>0</v>
      </c>
      <c r="R568" s="2" t="inlineStr"/>
    </row>
    <row r="569" ht="15" customHeight="1">
      <c r="A569" t="inlineStr">
        <is>
          <t>A 30135-2025</t>
        </is>
      </c>
      <c r="B569" s="1" t="n">
        <v>45826</v>
      </c>
      <c r="C569" s="1" t="n">
        <v>45925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43231-2023</t>
        </is>
      </c>
      <c r="B570" s="1" t="n">
        <v>45183.47025462963</v>
      </c>
      <c r="C570" s="1" t="n">
        <v>45925</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32686-2025</t>
        </is>
      </c>
      <c r="B571" s="1" t="n">
        <v>45838</v>
      </c>
      <c r="C571" s="1" t="n">
        <v>45925</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45925</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32379-2025</t>
        </is>
      </c>
      <c r="B573" s="1" t="n">
        <v>45837</v>
      </c>
      <c r="C573" s="1" t="n">
        <v>45925</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3935-2025</t>
        </is>
      </c>
      <c r="B574" s="1" t="n">
        <v>45684.46070601852</v>
      </c>
      <c r="C574" s="1" t="n">
        <v>45925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45925</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32378-2025</t>
        </is>
      </c>
      <c r="B576" s="1" t="n">
        <v>45837</v>
      </c>
      <c r="C576" s="1" t="n">
        <v>45925</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16109-2025</t>
        </is>
      </c>
      <c r="B577" s="1" t="n">
        <v>45750</v>
      </c>
      <c r="C577" s="1" t="n">
        <v>45925</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33078-2025</t>
        </is>
      </c>
      <c r="B578" s="1" t="n">
        <v>45840</v>
      </c>
      <c r="C578" s="1" t="n">
        <v>45925</v>
      </c>
      <c r="D578" t="inlineStr">
        <is>
          <t>GOTLANDS LÄN</t>
        </is>
      </c>
      <c r="E578" t="inlineStr">
        <is>
          <t>GOTLAND</t>
        </is>
      </c>
      <c r="G578" t="n">
        <v>0.8</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45925</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33011-2025</t>
        </is>
      </c>
      <c r="B580" s="1" t="n">
        <v>45840</v>
      </c>
      <c r="C580" s="1" t="n">
        <v>45925</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20225-2025</t>
        </is>
      </c>
      <c r="B581" s="1" t="n">
        <v>45772.65802083333</v>
      </c>
      <c r="C581" s="1" t="n">
        <v>45925</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883-2025</t>
        </is>
      </c>
      <c r="B582" s="1" t="n">
        <v>45665</v>
      </c>
      <c r="C582" s="1" t="n">
        <v>45925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38649-2025</t>
        </is>
      </c>
      <c r="B583" s="1" t="n">
        <v>45884</v>
      </c>
      <c r="C583" s="1" t="n">
        <v>45925</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1066-2024</t>
        </is>
      </c>
      <c r="B584" s="1" t="n">
        <v>45302.285</v>
      </c>
      <c r="C584" s="1" t="n">
        <v>45925</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17144-2025</t>
        </is>
      </c>
      <c r="B585" s="1" t="n">
        <v>45755.9499537037</v>
      </c>
      <c r="C585" s="1" t="n">
        <v>45925</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56009-2024</t>
        </is>
      </c>
      <c r="B586" s="1" t="n">
        <v>45623.80864583333</v>
      </c>
      <c r="C586" s="1" t="n">
        <v>45925</v>
      </c>
      <c r="D586" t="inlineStr">
        <is>
          <t>GOTLANDS LÄN</t>
        </is>
      </c>
      <c r="E586" t="inlineStr">
        <is>
          <t>GOTLAND</t>
        </is>
      </c>
      <c r="G586" t="n">
        <v>2.8</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45925</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39278-2025</t>
        </is>
      </c>
      <c r="B588" s="1" t="n">
        <v>45889</v>
      </c>
      <c r="C588" s="1" t="n">
        <v>45925</v>
      </c>
      <c r="D588" t="inlineStr">
        <is>
          <t>GOTLANDS LÄN</t>
        </is>
      </c>
      <c r="E588" t="inlineStr">
        <is>
          <t>GOTLAND</t>
        </is>
      </c>
      <c r="G588" t="n">
        <v>3.7</v>
      </c>
      <c r="H588" t="n">
        <v>0</v>
      </c>
      <c r="I588" t="n">
        <v>0</v>
      </c>
      <c r="J588" t="n">
        <v>0</v>
      </c>
      <c r="K588" t="n">
        <v>0</v>
      </c>
      <c r="L588" t="n">
        <v>0</v>
      </c>
      <c r="M588" t="n">
        <v>0</v>
      </c>
      <c r="N588" t="n">
        <v>0</v>
      </c>
      <c r="O588" t="n">
        <v>0</v>
      </c>
      <c r="P588" t="n">
        <v>0</v>
      </c>
      <c r="Q588" t="n">
        <v>0</v>
      </c>
      <c r="R588" s="2" t="inlineStr"/>
    </row>
    <row r="589" ht="15" customHeight="1">
      <c r="A589" t="inlineStr">
        <is>
          <t>A 581-2023</t>
        </is>
      </c>
      <c r="B589" s="1" t="n">
        <v>44930</v>
      </c>
      <c r="C589" s="1" t="n">
        <v>45925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61386-2023</t>
        </is>
      </c>
      <c r="B590" s="1" t="n">
        <v>45264</v>
      </c>
      <c r="C590" s="1" t="n">
        <v>45925</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873-2024</t>
        </is>
      </c>
      <c r="B591" s="1" t="n">
        <v>45301</v>
      </c>
      <c r="C591" s="1" t="n">
        <v>45925</v>
      </c>
      <c r="D591" t="inlineStr">
        <is>
          <t>GOTLANDS LÄN</t>
        </is>
      </c>
      <c r="E591" t="inlineStr">
        <is>
          <t>GOTLAND</t>
        </is>
      </c>
      <c r="G591" t="n">
        <v>2.7</v>
      </c>
      <c r="H591" t="n">
        <v>0</v>
      </c>
      <c r="I591" t="n">
        <v>0</v>
      </c>
      <c r="J591" t="n">
        <v>0</v>
      </c>
      <c r="K591" t="n">
        <v>0</v>
      </c>
      <c r="L591" t="n">
        <v>0</v>
      </c>
      <c r="M591" t="n">
        <v>0</v>
      </c>
      <c r="N591" t="n">
        <v>0</v>
      </c>
      <c r="O591" t="n">
        <v>0</v>
      </c>
      <c r="P591" t="n">
        <v>0</v>
      </c>
      <c r="Q591" t="n">
        <v>0</v>
      </c>
      <c r="R591" s="2" t="inlineStr"/>
    </row>
    <row r="592" ht="15" customHeight="1">
      <c r="A592" t="inlineStr">
        <is>
          <t>A 49411-2023</t>
        </is>
      </c>
      <c r="B592" s="1" t="n">
        <v>45205</v>
      </c>
      <c r="C592" s="1" t="n">
        <v>45925</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45070.39875</v>
      </c>
      <c r="C593" s="1" t="n">
        <v>45925</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12322-2025</t>
        </is>
      </c>
      <c r="B594" s="1" t="n">
        <v>45730</v>
      </c>
      <c r="C594" s="1" t="n">
        <v>45925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14797-2024</t>
        </is>
      </c>
      <c r="B595" s="1" t="n">
        <v>45397.87030092593</v>
      </c>
      <c r="C595" s="1" t="n">
        <v>45925</v>
      </c>
      <c r="D595" t="inlineStr">
        <is>
          <t>GOTLANDS LÄN</t>
        </is>
      </c>
      <c r="E595" t="inlineStr">
        <is>
          <t>GOTLAND</t>
        </is>
      </c>
      <c r="G595" t="n">
        <v>8.1</v>
      </c>
      <c r="H595" t="n">
        <v>0</v>
      </c>
      <c r="I595" t="n">
        <v>0</v>
      </c>
      <c r="J595" t="n">
        <v>0</v>
      </c>
      <c r="K595" t="n">
        <v>0</v>
      </c>
      <c r="L595" t="n">
        <v>0</v>
      </c>
      <c r="M595" t="n">
        <v>0</v>
      </c>
      <c r="N595" t="n">
        <v>0</v>
      </c>
      <c r="O595" t="n">
        <v>0</v>
      </c>
      <c r="P595" t="n">
        <v>0</v>
      </c>
      <c r="Q595" t="n">
        <v>0</v>
      </c>
      <c r="R595" s="2" t="inlineStr"/>
    </row>
    <row r="596" ht="15" customHeight="1">
      <c r="A596" t="inlineStr">
        <is>
          <t>A 999-2024</t>
        </is>
      </c>
      <c r="B596" s="1" t="n">
        <v>45301</v>
      </c>
      <c r="C596" s="1" t="n">
        <v>45925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61596-2023</t>
        </is>
      </c>
      <c r="B597" s="1" t="n">
        <v>45265</v>
      </c>
      <c r="C597" s="1" t="n">
        <v>45925</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14638-2025</t>
        </is>
      </c>
      <c r="B598" s="1" t="n">
        <v>45742</v>
      </c>
      <c r="C598" s="1" t="n">
        <v>45925</v>
      </c>
      <c r="D598" t="inlineStr">
        <is>
          <t>GOTLANDS LÄN</t>
        </is>
      </c>
      <c r="E598" t="inlineStr">
        <is>
          <t>GOTLAND</t>
        </is>
      </c>
      <c r="G598" t="n">
        <v>13.4</v>
      </c>
      <c r="H598" t="n">
        <v>0</v>
      </c>
      <c r="I598" t="n">
        <v>0</v>
      </c>
      <c r="J598" t="n">
        <v>0</v>
      </c>
      <c r="K598" t="n">
        <v>0</v>
      </c>
      <c r="L598" t="n">
        <v>0</v>
      </c>
      <c r="M598" t="n">
        <v>0</v>
      </c>
      <c r="N598" t="n">
        <v>0</v>
      </c>
      <c r="O598" t="n">
        <v>0</v>
      </c>
      <c r="P598" t="n">
        <v>0</v>
      </c>
      <c r="Q598" t="n">
        <v>0</v>
      </c>
      <c r="R598" s="2" t="inlineStr"/>
    </row>
    <row r="599" ht="15" customHeight="1">
      <c r="A599" t="inlineStr">
        <is>
          <t>A 60675-2021</t>
        </is>
      </c>
      <c r="B599" s="1" t="n">
        <v>44496.64855324074</v>
      </c>
      <c r="C599" s="1" t="n">
        <v>45925</v>
      </c>
      <c r="D599" t="inlineStr">
        <is>
          <t>GOTLANDS LÄN</t>
        </is>
      </c>
      <c r="E599" t="inlineStr">
        <is>
          <t>GOTLAND</t>
        </is>
      </c>
      <c r="G599" t="n">
        <v>4.6</v>
      </c>
      <c r="H599" t="n">
        <v>0</v>
      </c>
      <c r="I599" t="n">
        <v>0</v>
      </c>
      <c r="J599" t="n">
        <v>0</v>
      </c>
      <c r="K599" t="n">
        <v>0</v>
      </c>
      <c r="L599" t="n">
        <v>0</v>
      </c>
      <c r="M599" t="n">
        <v>0</v>
      </c>
      <c r="N599" t="n">
        <v>0</v>
      </c>
      <c r="O599" t="n">
        <v>0</v>
      </c>
      <c r="P599" t="n">
        <v>0</v>
      </c>
      <c r="Q599" t="n">
        <v>0</v>
      </c>
      <c r="R599" s="2" t="inlineStr"/>
    </row>
    <row r="600" ht="15" customHeight="1">
      <c r="A600" t="inlineStr">
        <is>
          <t>A 37728-2024</t>
        </is>
      </c>
      <c r="B600" s="1" t="n">
        <v>45541</v>
      </c>
      <c r="C600" s="1" t="n">
        <v>45925</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c r="A601" t="inlineStr">
        <is>
          <t>A 22287-2022</t>
        </is>
      </c>
      <c r="B601" s="1" t="n">
        <v>44712</v>
      </c>
      <c r="C601" s="1" t="n">
        <v>45925</v>
      </c>
      <c r="D601" t="inlineStr">
        <is>
          <t>GOTLANDS LÄN</t>
        </is>
      </c>
      <c r="E601" t="inlineStr">
        <is>
          <t>GOTLAND</t>
        </is>
      </c>
      <c r="G601" t="n">
        <v>6.1</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2025-09-25T10:37:13Z</dcterms:created>
  <dcterms:modified xmlns:dcterms="http://purl.org/dc/terms/" xmlns:xsi="http://www.w3.org/2001/XMLSchema-instance" xsi:type="dcterms:W3CDTF">2025-09-25T10:37:13Z</dcterms:modified>
</cp:coreProperties>
</file>