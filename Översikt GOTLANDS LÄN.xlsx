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45749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45749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45749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45749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45749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45749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45749</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45749</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45749</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45749</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45749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45749</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45749</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45749</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45749</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45749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45749</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45749</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45749</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45749</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45749</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45749</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45749</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45749</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45749</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45749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65819-2020</t>
        </is>
      </c>
      <c r="B70" s="1" t="n">
        <v>44174</v>
      </c>
      <c r="C70" s="1" t="n">
        <v>45749</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45749</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45749</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45749</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45749</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45749</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45749</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45749</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45749</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45749</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45749</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45749</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45749</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45749</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45749</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15850-2025</t>
        </is>
      </c>
      <c r="B85" s="1" t="n">
        <v>45749</v>
      </c>
      <c r="C85" s="1" t="n">
        <v>45749</v>
      </c>
      <c r="D85" t="inlineStr">
        <is>
          <t>GOTLANDS LÄN</t>
        </is>
      </c>
      <c r="E85" t="inlineStr">
        <is>
          <t>GOTLAND</t>
        </is>
      </c>
      <c r="G85" t="n">
        <v>5.1</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HYPERLINK("https://klasma.github.io/Logging_090980/artfynd/A 15850-2025 artfynd.xlsx", "A 15850-2025")</f>
        <v/>
      </c>
      <c r="T85">
        <f>HYPERLINK("https://klasma.github.io/Logging_090980/kartor/A 15850-2025 karta.png", "A 15850-2025")</f>
        <v/>
      </c>
      <c r="V85">
        <f>HYPERLINK("https://klasma.github.io/Logging_090980/klagomål/A 15850-2025 FSC-klagomål.docx", "A 15850-2025")</f>
        <v/>
      </c>
      <c r="W85">
        <f>HYPERLINK("https://klasma.github.io/Logging_090980/klagomålsmail/A 15850-2025 FSC-klagomål mail.docx", "A 15850-2025")</f>
        <v/>
      </c>
      <c r="X85">
        <f>HYPERLINK("https://klasma.github.io/Logging_090980/tillsyn/A 15850-2025 tillsynsbegäran.docx", "A 15850-2025")</f>
        <v/>
      </c>
      <c r="Y85">
        <f>HYPERLINK("https://klasma.github.io/Logging_090980/tillsynsmail/A 15850-2025 tillsynsbegäran mail.docx", "A 15850-2025")</f>
        <v/>
      </c>
    </row>
    <row r="86" ht="15" customHeight="1">
      <c r="A86" t="inlineStr">
        <is>
          <t>A 38183-2019</t>
        </is>
      </c>
      <c r="B86" s="1" t="n">
        <v>43684</v>
      </c>
      <c r="C86" s="1" t="n">
        <v>45749</v>
      </c>
      <c r="D86" t="inlineStr">
        <is>
          <t>GOTLANDS LÄN</t>
        </is>
      </c>
      <c r="E86" t="inlineStr">
        <is>
          <t>GOTLAND</t>
        </is>
      </c>
      <c r="G86" t="n">
        <v>2.1</v>
      </c>
      <c r="H86" t="n">
        <v>0</v>
      </c>
      <c r="I86" t="n">
        <v>2</v>
      </c>
      <c r="J86" t="n">
        <v>0</v>
      </c>
      <c r="K86" t="n">
        <v>3</v>
      </c>
      <c r="L86" t="n">
        <v>0</v>
      </c>
      <c r="M86" t="n">
        <v>0</v>
      </c>
      <c r="N86" t="n">
        <v>0</v>
      </c>
      <c r="O86" t="n">
        <v>3</v>
      </c>
      <c r="P86" t="n">
        <v>3</v>
      </c>
      <c r="Q86" t="n">
        <v>5</v>
      </c>
      <c r="R86" s="2" t="inlineStr">
        <is>
          <t>Bullspindling
Gulsträngad fagerspindling
Skogskorn
Anisspindling
Myskmadra</t>
        </is>
      </c>
      <c r="S86">
        <f>HYPERLINK("https://klasma.github.io/Logging_0980/artfynd/A 38183-2019 artfynd.xlsx", "A 38183-2019")</f>
        <v/>
      </c>
      <c r="T86">
        <f>HYPERLINK("https://klasma.github.io/Logging_0980/kartor/A 38183-2019 karta.png", "A 38183-2019")</f>
        <v/>
      </c>
      <c r="V86">
        <f>HYPERLINK("https://klasma.github.io/Logging_0980/klagomål/A 38183-2019 FSC-klagomål.docx", "A 38183-2019")</f>
        <v/>
      </c>
      <c r="W86">
        <f>HYPERLINK("https://klasma.github.io/Logging_0980/klagomålsmail/A 38183-2019 FSC-klagomål mail.docx", "A 38183-2019")</f>
        <v/>
      </c>
      <c r="X86">
        <f>HYPERLINK("https://klasma.github.io/Logging_0980/tillsyn/A 38183-2019 tillsynsbegäran.docx", "A 38183-2019")</f>
        <v/>
      </c>
      <c r="Y86">
        <f>HYPERLINK("https://klasma.github.io/Logging_0980/tillsynsmail/A 38183-2019 tillsynsbegäran mail.docx", "A 38183-2019")</f>
        <v/>
      </c>
    </row>
    <row r="87" ht="15" customHeight="1">
      <c r="A87" t="inlineStr">
        <is>
          <t>A 62991-2019</t>
        </is>
      </c>
      <c r="B87" s="1" t="n">
        <v>43790</v>
      </c>
      <c r="C87" s="1" t="n">
        <v>45749</v>
      </c>
      <c r="D87" t="inlineStr">
        <is>
          <t>GOTLANDS LÄN</t>
        </is>
      </c>
      <c r="E87" t="inlineStr">
        <is>
          <t>GOTLAND</t>
        </is>
      </c>
      <c r="G87" t="n">
        <v>3.9</v>
      </c>
      <c r="H87" t="n">
        <v>0</v>
      </c>
      <c r="I87" t="n">
        <v>2</v>
      </c>
      <c r="J87" t="n">
        <v>3</v>
      </c>
      <c r="K87" t="n">
        <v>0</v>
      </c>
      <c r="L87" t="n">
        <v>0</v>
      </c>
      <c r="M87" t="n">
        <v>0</v>
      </c>
      <c r="N87" t="n">
        <v>0</v>
      </c>
      <c r="O87" t="n">
        <v>3</v>
      </c>
      <c r="P87" t="n">
        <v>0</v>
      </c>
      <c r="Q87" t="n">
        <v>5</v>
      </c>
      <c r="R87" s="2" t="inlineStr">
        <is>
          <t>Reliktbock
Smedbock
Tallticka
Blodticka
Mindre märgborre</t>
        </is>
      </c>
      <c r="S87">
        <f>HYPERLINK("https://klasma.github.io/Logging_0980/artfynd/A 62991-2019 artfynd.xlsx", "A 62991-2019")</f>
        <v/>
      </c>
      <c r="T87">
        <f>HYPERLINK("https://klasma.github.io/Logging_0980/kartor/A 62991-2019 karta.png", "A 62991-2019")</f>
        <v/>
      </c>
      <c r="V87">
        <f>HYPERLINK("https://klasma.github.io/Logging_0980/klagomål/A 62991-2019 FSC-klagomål.docx", "A 62991-2019")</f>
        <v/>
      </c>
      <c r="W87">
        <f>HYPERLINK("https://klasma.github.io/Logging_0980/klagomålsmail/A 62991-2019 FSC-klagomål mail.docx", "A 62991-2019")</f>
        <v/>
      </c>
      <c r="X87">
        <f>HYPERLINK("https://klasma.github.io/Logging_0980/tillsyn/A 62991-2019 tillsynsbegäran.docx", "A 62991-2019")</f>
        <v/>
      </c>
      <c r="Y87">
        <f>HYPERLINK("https://klasma.github.io/Logging_0980/tillsynsmail/A 62991-2019 tillsynsbegäran mail.docx", "A 62991-2019")</f>
        <v/>
      </c>
    </row>
    <row r="88" ht="15" customHeight="1">
      <c r="A88" t="inlineStr">
        <is>
          <t>A 7648-2020</t>
        </is>
      </c>
      <c r="B88" s="1" t="n">
        <v>43872</v>
      </c>
      <c r="C88" s="1" t="n">
        <v>45749</v>
      </c>
      <c r="D88" t="inlineStr">
        <is>
          <t>GOTLANDS LÄN</t>
        </is>
      </c>
      <c r="E88" t="inlineStr">
        <is>
          <t>GOTLAND</t>
        </is>
      </c>
      <c r="F88" t="inlineStr">
        <is>
          <t>Kyrkan</t>
        </is>
      </c>
      <c r="G88" t="n">
        <v>4.2</v>
      </c>
      <c r="H88" t="n">
        <v>0</v>
      </c>
      <c r="I88" t="n">
        <v>3</v>
      </c>
      <c r="J88" t="n">
        <v>1</v>
      </c>
      <c r="K88" t="n">
        <v>0</v>
      </c>
      <c r="L88" t="n">
        <v>1</v>
      </c>
      <c r="M88" t="n">
        <v>0</v>
      </c>
      <c r="N88" t="n">
        <v>0</v>
      </c>
      <c r="O88" t="n">
        <v>2</v>
      </c>
      <c r="P88" t="n">
        <v>1</v>
      </c>
      <c r="Q88" t="n">
        <v>5</v>
      </c>
      <c r="R88" s="2" t="inlineStr">
        <is>
          <t>Ädellav
Orangepudrad klotterlav
Kornig nållav
Rikfruktig blemlav
Slät lönnlav</t>
        </is>
      </c>
      <c r="S88">
        <f>HYPERLINK("https://klasma.github.io/Logging_0980/artfynd/A 7648-2020 artfynd.xlsx", "A 7648-2020")</f>
        <v/>
      </c>
      <c r="T88">
        <f>HYPERLINK("https://klasma.github.io/Logging_0980/kartor/A 7648-2020 karta.png", "A 7648-2020")</f>
        <v/>
      </c>
      <c r="V88">
        <f>HYPERLINK("https://klasma.github.io/Logging_0980/klagomål/A 7648-2020 FSC-klagomål.docx", "A 7648-2020")</f>
        <v/>
      </c>
      <c r="W88">
        <f>HYPERLINK("https://klasma.github.io/Logging_0980/klagomålsmail/A 7648-2020 FSC-klagomål mail.docx", "A 7648-2020")</f>
        <v/>
      </c>
      <c r="X88">
        <f>HYPERLINK("https://klasma.github.io/Logging_0980/tillsyn/A 7648-2020 tillsynsbegäran.docx", "A 7648-2020")</f>
        <v/>
      </c>
      <c r="Y88">
        <f>HYPERLINK("https://klasma.github.io/Logging_0980/tillsynsmail/A 7648-2020 tillsynsbegäran mail.docx", "A 7648-2020")</f>
        <v/>
      </c>
    </row>
    <row r="89" ht="15" customHeight="1">
      <c r="A89" t="inlineStr">
        <is>
          <t>A 22317-2022</t>
        </is>
      </c>
      <c r="B89" s="1" t="n">
        <v>44712</v>
      </c>
      <c r="C89" s="1" t="n">
        <v>45749</v>
      </c>
      <c r="D89" t="inlineStr">
        <is>
          <t>GOTLANDS LÄN</t>
        </is>
      </c>
      <c r="E89" t="inlineStr">
        <is>
          <t>GOTLAND</t>
        </is>
      </c>
      <c r="G89" t="n">
        <v>2</v>
      </c>
      <c r="H89" t="n">
        <v>0</v>
      </c>
      <c r="I89" t="n">
        <v>4</v>
      </c>
      <c r="J89" t="n">
        <v>1</v>
      </c>
      <c r="K89" t="n">
        <v>0</v>
      </c>
      <c r="L89" t="n">
        <v>0</v>
      </c>
      <c r="M89" t="n">
        <v>0</v>
      </c>
      <c r="N89" t="n">
        <v>0</v>
      </c>
      <c r="O89" t="n">
        <v>1</v>
      </c>
      <c r="P89" t="n">
        <v>0</v>
      </c>
      <c r="Q89" t="n">
        <v>5</v>
      </c>
      <c r="R89" s="2" t="inlineStr">
        <is>
          <t>Odörspindling
Anisspindling
Blå slemspindling
Kattfotslav
Svavelriska</t>
        </is>
      </c>
      <c r="S89">
        <f>HYPERLINK("https://klasma.github.io/Logging_0980/artfynd/A 22317-2022 artfynd.xlsx", "A 22317-2022")</f>
        <v/>
      </c>
      <c r="T89">
        <f>HYPERLINK("https://klasma.github.io/Logging_0980/kartor/A 22317-2022 karta.png", "A 22317-2022")</f>
        <v/>
      </c>
      <c r="V89">
        <f>HYPERLINK("https://klasma.github.io/Logging_0980/klagomål/A 22317-2022 FSC-klagomål.docx", "A 22317-2022")</f>
        <v/>
      </c>
      <c r="W89">
        <f>HYPERLINK("https://klasma.github.io/Logging_0980/klagomålsmail/A 22317-2022 FSC-klagomål mail.docx", "A 22317-2022")</f>
        <v/>
      </c>
      <c r="X89">
        <f>HYPERLINK("https://klasma.github.io/Logging_0980/tillsyn/A 22317-2022 tillsynsbegäran.docx", "A 22317-2022")</f>
        <v/>
      </c>
      <c r="Y89">
        <f>HYPERLINK("https://klasma.github.io/Logging_0980/tillsynsmail/A 22317-2022 tillsynsbegäran mail.docx", "A 22317-2022")</f>
        <v/>
      </c>
    </row>
    <row r="90" ht="15" customHeight="1">
      <c r="A90" t="inlineStr">
        <is>
          <t>A 39471-2022</t>
        </is>
      </c>
      <c r="B90" s="1" t="n">
        <v>44818</v>
      </c>
      <c r="C90" s="1" t="n">
        <v>45749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Anisspindling
Blå slemspindling
Svavelriska</t>
        </is>
      </c>
      <c r="S90">
        <f>HYPERLINK("https://klasma.github.io/Logging_0980/artfynd/A 39471-2022 artfynd.xlsx", "A 39471-2022")</f>
        <v/>
      </c>
      <c r="T90">
        <f>HYPERLINK("https://klasma.github.io/Logging_0980/kartor/A 39471-2022 karta.png", "A 39471-2022")</f>
        <v/>
      </c>
      <c r="V90">
        <f>HYPERLINK("https://klasma.github.io/Logging_0980/klagomål/A 39471-2022 FSC-klagomål.docx", "A 39471-2022")</f>
        <v/>
      </c>
      <c r="W90">
        <f>HYPERLINK("https://klasma.github.io/Logging_0980/klagomålsmail/A 39471-2022 FSC-klagomål mail.docx", "A 39471-2022")</f>
        <v/>
      </c>
      <c r="X90">
        <f>HYPERLINK("https://klasma.github.io/Logging_0980/tillsyn/A 39471-2022 tillsynsbegäran.docx", "A 39471-2022")</f>
        <v/>
      </c>
      <c r="Y90">
        <f>HYPERLINK("https://klasma.github.io/Logging_0980/tillsynsmail/A 39471-2022 tillsynsbegäran mail.docx", "A 39471-2022")</f>
        <v/>
      </c>
    </row>
    <row r="91" ht="15" customHeight="1">
      <c r="A91" t="inlineStr">
        <is>
          <t>A 43074-2022</t>
        </is>
      </c>
      <c r="B91" s="1" t="n">
        <v>44833</v>
      </c>
      <c r="C91" s="1" t="n">
        <v>45749</v>
      </c>
      <c r="D91" t="inlineStr">
        <is>
          <t>GOTLANDS LÄN</t>
        </is>
      </c>
      <c r="E91" t="inlineStr">
        <is>
          <t>GOTLAND</t>
        </is>
      </c>
      <c r="G91" t="n">
        <v>10.6</v>
      </c>
      <c r="H91" t="n">
        <v>3</v>
      </c>
      <c r="I91" t="n">
        <v>1</v>
      </c>
      <c r="J91" t="n">
        <v>3</v>
      </c>
      <c r="K91" t="n">
        <v>1</v>
      </c>
      <c r="L91" t="n">
        <v>0</v>
      </c>
      <c r="M91" t="n">
        <v>0</v>
      </c>
      <c r="N91" t="n">
        <v>0</v>
      </c>
      <c r="O91" t="n">
        <v>4</v>
      </c>
      <c r="P91" t="n">
        <v>1</v>
      </c>
      <c r="Q91" t="n">
        <v>5</v>
      </c>
      <c r="R91" s="2" t="inlineStr">
        <is>
          <t>Väddnätfjäril
Gulsparv
Rödvingetrast
Skugglosta
Strävlosta</t>
        </is>
      </c>
      <c r="S91">
        <f>HYPERLINK("https://klasma.github.io/Logging_0980/artfynd/A 43074-2022 artfynd.xlsx", "A 43074-2022")</f>
        <v/>
      </c>
      <c r="T91">
        <f>HYPERLINK("https://klasma.github.io/Logging_0980/kartor/A 43074-2022 karta.png", "A 43074-2022")</f>
        <v/>
      </c>
      <c r="V91">
        <f>HYPERLINK("https://klasma.github.io/Logging_0980/klagomål/A 43074-2022 FSC-klagomål.docx", "A 43074-2022")</f>
        <v/>
      </c>
      <c r="W91">
        <f>HYPERLINK("https://klasma.github.io/Logging_0980/klagomålsmail/A 43074-2022 FSC-klagomål mail.docx", "A 43074-2022")</f>
        <v/>
      </c>
      <c r="X91">
        <f>HYPERLINK("https://klasma.github.io/Logging_0980/tillsyn/A 43074-2022 tillsynsbegäran.docx", "A 43074-2022")</f>
        <v/>
      </c>
      <c r="Y91">
        <f>HYPERLINK("https://klasma.github.io/Logging_0980/tillsynsmail/A 43074-2022 tillsynsbegäran mail.docx", "A 43074-2022")</f>
        <v/>
      </c>
      <c r="Z91">
        <f>HYPERLINK("https://klasma.github.io/Logging_0980/fåglar/A 43074-2022 prioriterade fågelarter.docx", "A 43074-2022")</f>
        <v/>
      </c>
    </row>
    <row r="92" ht="15" customHeight="1">
      <c r="A92" t="inlineStr">
        <is>
          <t>A 44944-2022</t>
        </is>
      </c>
      <c r="B92" s="1" t="n">
        <v>44841</v>
      </c>
      <c r="C92" s="1" t="n">
        <v>45749</v>
      </c>
      <c r="D92" t="inlineStr">
        <is>
          <t>GOTLANDS LÄN</t>
        </is>
      </c>
      <c r="E92" t="inlineStr">
        <is>
          <t>GOTLAND</t>
        </is>
      </c>
      <c r="G92" t="n">
        <v>2.8</v>
      </c>
      <c r="H92" t="n">
        <v>0</v>
      </c>
      <c r="I92" t="n">
        <v>3</v>
      </c>
      <c r="J92" t="n">
        <v>2</v>
      </c>
      <c r="K92" t="n">
        <v>0</v>
      </c>
      <c r="L92" t="n">
        <v>0</v>
      </c>
      <c r="M92" t="n">
        <v>0</v>
      </c>
      <c r="N92" t="n">
        <v>0</v>
      </c>
      <c r="O92" t="n">
        <v>2</v>
      </c>
      <c r="P92" t="n">
        <v>0</v>
      </c>
      <c r="Q92" t="n">
        <v>5</v>
      </c>
      <c r="R92" s="2" t="inlineStr">
        <is>
          <t>Denisespindling
Odörspindling
Anisspindling
Fjällig taggsvamp s.str.
Rödgul trumpetsvamp</t>
        </is>
      </c>
      <c r="S92">
        <f>HYPERLINK("https://klasma.github.io/Logging_0980/artfynd/A 44944-2022 artfynd.xlsx", "A 44944-2022")</f>
        <v/>
      </c>
      <c r="T92">
        <f>HYPERLINK("https://klasma.github.io/Logging_0980/kartor/A 44944-2022 karta.png", "A 44944-2022")</f>
        <v/>
      </c>
      <c r="V92">
        <f>HYPERLINK("https://klasma.github.io/Logging_0980/klagomål/A 44944-2022 FSC-klagomål.docx", "A 44944-2022")</f>
        <v/>
      </c>
      <c r="W92">
        <f>HYPERLINK("https://klasma.github.io/Logging_0980/klagomålsmail/A 44944-2022 FSC-klagomål mail.docx", "A 44944-2022")</f>
        <v/>
      </c>
      <c r="X92">
        <f>HYPERLINK("https://klasma.github.io/Logging_0980/tillsyn/A 44944-2022 tillsynsbegäran.docx", "A 44944-2022")</f>
        <v/>
      </c>
      <c r="Y92">
        <f>HYPERLINK("https://klasma.github.io/Logging_0980/tillsynsmail/A 44944-2022 tillsynsbegäran mail.docx", "A 44944-2022")</f>
        <v/>
      </c>
    </row>
    <row r="93" ht="15" customHeight="1">
      <c r="A93" t="inlineStr">
        <is>
          <t>A 54055-2022</t>
        </is>
      </c>
      <c r="B93" s="1" t="n">
        <v>44881</v>
      </c>
      <c r="C93" s="1" t="n">
        <v>45749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Diskvaxskivling
Kryddspindling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39425-2023</t>
        </is>
      </c>
      <c r="B94" s="1" t="n">
        <v>45166</v>
      </c>
      <c r="C94" s="1" t="n">
        <v>45749</v>
      </c>
      <c r="D94" t="inlineStr">
        <is>
          <t>GOTLANDS LÄN</t>
        </is>
      </c>
      <c r="E94" t="inlineStr">
        <is>
          <t>GOTLAND</t>
        </is>
      </c>
      <c r="G94" t="n">
        <v>3.9</v>
      </c>
      <c r="H94" t="n">
        <v>1</v>
      </c>
      <c r="I94" t="n">
        <v>3</v>
      </c>
      <c r="J94" t="n">
        <v>0</v>
      </c>
      <c r="K94" t="n">
        <v>2</v>
      </c>
      <c r="L94" t="n">
        <v>0</v>
      </c>
      <c r="M94" t="n">
        <v>0</v>
      </c>
      <c r="N94" t="n">
        <v>0</v>
      </c>
      <c r="O94" t="n">
        <v>2</v>
      </c>
      <c r="P94" t="n">
        <v>2</v>
      </c>
      <c r="Q94" t="n">
        <v>5</v>
      </c>
      <c r="R94" s="2" t="inlineStr">
        <is>
          <t>Knärot
Violgubbe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48749-2023</t>
        </is>
      </c>
      <c r="B95" s="1" t="n">
        <v>45208</v>
      </c>
      <c r="C95" s="1" t="n">
        <v>45749</v>
      </c>
      <c r="D95" t="inlineStr">
        <is>
          <t>GOTLANDS LÄN</t>
        </is>
      </c>
      <c r="E95" t="inlineStr">
        <is>
          <t>GOTLAND</t>
        </is>
      </c>
      <c r="G95" t="n">
        <v>6.8</v>
      </c>
      <c r="H95" t="n">
        <v>2</v>
      </c>
      <c r="I95" t="n">
        <v>2</v>
      </c>
      <c r="J95" t="n">
        <v>2</v>
      </c>
      <c r="K95" t="n">
        <v>1</v>
      </c>
      <c r="L95" t="n">
        <v>0</v>
      </c>
      <c r="M95" t="n">
        <v>0</v>
      </c>
      <c r="N95" t="n">
        <v>0</v>
      </c>
      <c r="O95" t="n">
        <v>3</v>
      </c>
      <c r="P95" t="n">
        <v>1</v>
      </c>
      <c r="Q95" t="n">
        <v>5</v>
      </c>
      <c r="R95" s="2" t="inlineStr">
        <is>
          <t>Garderönn
Axveronika
Backtimjan
Murgröna
Skogsknipprot</t>
        </is>
      </c>
      <c r="S95">
        <f>HYPERLINK("https://klasma.github.io/Logging_0980/artfynd/A 48749-2023 artfynd.xlsx", "A 48749-2023")</f>
        <v/>
      </c>
      <c r="T95">
        <f>HYPERLINK("https://klasma.github.io/Logging_0980/kartor/A 48749-2023 karta.png", "A 48749-2023")</f>
        <v/>
      </c>
      <c r="V95">
        <f>HYPERLINK("https://klasma.github.io/Logging_0980/klagomål/A 48749-2023 FSC-klagomål.docx", "A 48749-2023")</f>
        <v/>
      </c>
      <c r="W95">
        <f>HYPERLINK("https://klasma.github.io/Logging_0980/klagomålsmail/A 48749-2023 FSC-klagomål mail.docx", "A 48749-2023")</f>
        <v/>
      </c>
      <c r="X95">
        <f>HYPERLINK("https://klasma.github.io/Logging_0980/tillsyn/A 48749-2023 tillsynsbegäran.docx", "A 48749-2023")</f>
        <v/>
      </c>
      <c r="Y95">
        <f>HYPERLINK("https://klasma.github.io/Logging_0980/tillsynsmail/A 48749-2023 tillsynsbegäran mail.docx", "A 48749-2023")</f>
        <v/>
      </c>
    </row>
    <row r="96" ht="15" customHeight="1">
      <c r="A96" t="inlineStr">
        <is>
          <t>A 32300-2024</t>
        </is>
      </c>
      <c r="B96" s="1" t="n">
        <v>45512</v>
      </c>
      <c r="C96" s="1" t="n">
        <v>45749</v>
      </c>
      <c r="D96" t="inlineStr">
        <is>
          <t>GOTLANDS LÄN</t>
        </is>
      </c>
      <c r="E96" t="inlineStr">
        <is>
          <t>GOTLAND</t>
        </is>
      </c>
      <c r="G96" t="n">
        <v>5.3</v>
      </c>
      <c r="H96" t="n">
        <v>3</v>
      </c>
      <c r="I96" t="n">
        <v>4</v>
      </c>
      <c r="J96" t="n">
        <v>0</v>
      </c>
      <c r="K96" t="n">
        <v>1</v>
      </c>
      <c r="L96" t="n">
        <v>0</v>
      </c>
      <c r="M96" t="n">
        <v>0</v>
      </c>
      <c r="N96" t="n">
        <v>0</v>
      </c>
      <c r="O96" t="n">
        <v>1</v>
      </c>
      <c r="P96" t="n">
        <v>1</v>
      </c>
      <c r="Q96" t="n">
        <v>5</v>
      </c>
      <c r="R96" s="2" t="inlineStr">
        <is>
          <t>Vit taggsvamp
Blå slemspindling
Flugblomster
Purpurknipprot
Tvåblad</t>
        </is>
      </c>
      <c r="S96">
        <f>HYPERLINK("https://klasma.github.io/Logging_0980/artfynd/A 32300-2024 artfynd.xlsx", "A 32300-2024")</f>
        <v/>
      </c>
      <c r="T96">
        <f>HYPERLINK("https://klasma.github.io/Logging_0980/kartor/A 32300-2024 karta.png", "A 32300-2024")</f>
        <v/>
      </c>
      <c r="V96">
        <f>HYPERLINK("https://klasma.github.io/Logging_0980/klagomål/A 32300-2024 FSC-klagomål.docx", "A 32300-2024")</f>
        <v/>
      </c>
      <c r="W96">
        <f>HYPERLINK("https://klasma.github.io/Logging_0980/klagomålsmail/A 32300-2024 FSC-klagomål mail.docx", "A 32300-2024")</f>
        <v/>
      </c>
      <c r="X96">
        <f>HYPERLINK("https://klasma.github.io/Logging_0980/tillsyn/A 32300-2024 tillsynsbegäran.docx", "A 32300-2024")</f>
        <v/>
      </c>
      <c r="Y96">
        <f>HYPERLINK("https://klasma.github.io/Logging_0980/tillsynsmail/A 32300-2024 tillsynsbegäran mail.docx", "A 32300-2024")</f>
        <v/>
      </c>
    </row>
    <row r="97" ht="15" customHeight="1">
      <c r="A97" t="inlineStr">
        <is>
          <t>A 32326-2024</t>
        </is>
      </c>
      <c r="B97" s="1" t="n">
        <v>45512</v>
      </c>
      <c r="C97" s="1" t="n">
        <v>45749</v>
      </c>
      <c r="D97" t="inlineStr">
        <is>
          <t>GOTLANDS LÄN</t>
        </is>
      </c>
      <c r="E97" t="inlineStr">
        <is>
          <t>GOTLAND</t>
        </is>
      </c>
      <c r="G97" t="n">
        <v>9.199999999999999</v>
      </c>
      <c r="H97" t="n">
        <v>3</v>
      </c>
      <c r="I97" t="n">
        <v>2</v>
      </c>
      <c r="J97" t="n">
        <v>2</v>
      </c>
      <c r="K97" t="n">
        <v>0</v>
      </c>
      <c r="L97" t="n">
        <v>0</v>
      </c>
      <c r="M97" t="n">
        <v>0</v>
      </c>
      <c r="N97" t="n">
        <v>0</v>
      </c>
      <c r="O97" t="n">
        <v>2</v>
      </c>
      <c r="P97" t="n">
        <v>0</v>
      </c>
      <c r="Q97" t="n">
        <v>5</v>
      </c>
      <c r="R97" s="2" t="inlineStr">
        <is>
          <t>Jordtistel
Svinrot
Purpurknipprot
Skogsknipprot
Brudsporre</t>
        </is>
      </c>
      <c r="S97">
        <f>HYPERLINK("https://klasma.github.io/Logging_0980/artfynd/A 32326-2024 artfynd.xlsx", "A 32326-2024")</f>
        <v/>
      </c>
      <c r="T97">
        <f>HYPERLINK("https://klasma.github.io/Logging_0980/kartor/A 32326-2024 karta.png", "A 32326-2024")</f>
        <v/>
      </c>
      <c r="V97">
        <f>HYPERLINK("https://klasma.github.io/Logging_0980/klagomål/A 32326-2024 FSC-klagomål.docx", "A 32326-2024")</f>
        <v/>
      </c>
      <c r="W97">
        <f>HYPERLINK("https://klasma.github.io/Logging_0980/klagomålsmail/A 32326-2024 FSC-klagomål mail.docx", "A 32326-2024")</f>
        <v/>
      </c>
      <c r="X97">
        <f>HYPERLINK("https://klasma.github.io/Logging_0980/tillsyn/A 32326-2024 tillsynsbegäran.docx", "A 32326-2024")</f>
        <v/>
      </c>
      <c r="Y97">
        <f>HYPERLINK("https://klasma.github.io/Logging_0980/tillsynsmail/A 32326-2024 tillsynsbegäran mail.docx", "A 32326-2024")</f>
        <v/>
      </c>
    </row>
    <row r="98" ht="15" customHeight="1">
      <c r="A98" t="inlineStr">
        <is>
          <t>A 34584-2024</t>
        </is>
      </c>
      <c r="B98" s="1" t="n">
        <v>45526</v>
      </c>
      <c r="C98" s="1" t="n">
        <v>45749</v>
      </c>
      <c r="D98" t="inlineStr">
        <is>
          <t>GOTLANDS LÄN</t>
        </is>
      </c>
      <c r="E98" t="inlineStr">
        <is>
          <t>GOTLAND</t>
        </is>
      </c>
      <c r="G98" t="n">
        <v>3.4</v>
      </c>
      <c r="H98" t="n">
        <v>3</v>
      </c>
      <c r="I98" t="n">
        <v>1</v>
      </c>
      <c r="J98" t="n">
        <v>3</v>
      </c>
      <c r="K98" t="n">
        <v>1</v>
      </c>
      <c r="L98" t="n">
        <v>0</v>
      </c>
      <c r="M98" t="n">
        <v>0</v>
      </c>
      <c r="N98" t="n">
        <v>0</v>
      </c>
      <c r="O98" t="n">
        <v>4</v>
      </c>
      <c r="P98" t="n">
        <v>1</v>
      </c>
      <c r="Q98" t="n">
        <v>5</v>
      </c>
      <c r="R98" s="2" t="inlineStr">
        <is>
          <t>Garderönn
Dårgräsfjäril
Spillkråka
Svinrot
Blåmossa</t>
        </is>
      </c>
      <c r="S98">
        <f>HYPERLINK("https://klasma.github.io/Logging_0980/artfynd/A 34584-2024 artfynd.xlsx", "A 34584-2024")</f>
        <v/>
      </c>
      <c r="T98">
        <f>HYPERLINK("https://klasma.github.io/Logging_0980/kartor/A 34584-2024 karta.png", "A 34584-2024")</f>
        <v/>
      </c>
      <c r="V98">
        <f>HYPERLINK("https://klasma.github.io/Logging_0980/klagomål/A 34584-2024 FSC-klagomål.docx", "A 34584-2024")</f>
        <v/>
      </c>
      <c r="W98">
        <f>HYPERLINK("https://klasma.github.io/Logging_0980/klagomålsmail/A 34584-2024 FSC-klagomål mail.docx", "A 34584-2024")</f>
        <v/>
      </c>
      <c r="X98">
        <f>HYPERLINK("https://klasma.github.io/Logging_0980/tillsyn/A 34584-2024 tillsynsbegäran.docx", "A 34584-2024")</f>
        <v/>
      </c>
      <c r="Y98">
        <f>HYPERLINK("https://klasma.github.io/Logging_0980/tillsynsmail/A 34584-2024 tillsynsbegäran mail.docx", "A 34584-2024")</f>
        <v/>
      </c>
      <c r="Z98">
        <f>HYPERLINK("https://klasma.github.io/Logging_0980/fåglar/A 34584-2024 prioriterade fågelarter.docx", "A 34584-2024")</f>
        <v/>
      </c>
    </row>
    <row r="99" ht="15" customHeight="1">
      <c r="A99" t="inlineStr">
        <is>
          <t>A 42936-2024</t>
        </is>
      </c>
      <c r="B99" s="1" t="n">
        <v>45567</v>
      </c>
      <c r="C99" s="1" t="n">
        <v>45749</v>
      </c>
      <c r="D99" t="inlineStr">
        <is>
          <t>GOTLANDS LÄN</t>
        </is>
      </c>
      <c r="E99" t="inlineStr">
        <is>
          <t>GOTLAND</t>
        </is>
      </c>
      <c r="G99" t="n">
        <v>3.4</v>
      </c>
      <c r="H99" t="n">
        <v>0</v>
      </c>
      <c r="I99" t="n">
        <v>3</v>
      </c>
      <c r="J99" t="n">
        <v>1</v>
      </c>
      <c r="K99" t="n">
        <v>1</v>
      </c>
      <c r="L99" t="n">
        <v>0</v>
      </c>
      <c r="M99" t="n">
        <v>0</v>
      </c>
      <c r="N99" t="n">
        <v>0</v>
      </c>
      <c r="O99" t="n">
        <v>2</v>
      </c>
      <c r="P99" t="n">
        <v>1</v>
      </c>
      <c r="Q99" t="n">
        <v>5</v>
      </c>
      <c r="R99" s="2" t="inlineStr">
        <is>
          <t>Vit taggsvamp
Äggspindling
Barrfagerspindling
Blå slemspindling
Svavelriska</t>
        </is>
      </c>
      <c r="S99">
        <f>HYPERLINK("https://klasma.github.io/Logging_0980/artfynd/A 42936-2024 artfynd.xlsx", "A 42936-2024")</f>
        <v/>
      </c>
      <c r="T99">
        <f>HYPERLINK("https://klasma.github.io/Logging_0980/kartor/A 42936-2024 karta.png", "A 42936-2024")</f>
        <v/>
      </c>
      <c r="V99">
        <f>HYPERLINK("https://klasma.github.io/Logging_0980/klagomål/A 42936-2024 FSC-klagomål.docx", "A 42936-2024")</f>
        <v/>
      </c>
      <c r="W99">
        <f>HYPERLINK("https://klasma.github.io/Logging_0980/klagomålsmail/A 42936-2024 FSC-klagomål mail.docx", "A 42936-2024")</f>
        <v/>
      </c>
      <c r="X99">
        <f>HYPERLINK("https://klasma.github.io/Logging_0980/tillsyn/A 42936-2024 tillsynsbegäran.docx", "A 42936-2024")</f>
        <v/>
      </c>
      <c r="Y99">
        <f>HYPERLINK("https://klasma.github.io/Logging_0980/tillsynsmail/A 42936-2024 tillsynsbegäran mail.docx", "A 42936-2024")</f>
        <v/>
      </c>
    </row>
    <row r="100" ht="15" customHeight="1">
      <c r="A100" t="inlineStr">
        <is>
          <t>A 45071-2024</t>
        </is>
      </c>
      <c r="B100" s="1" t="n">
        <v>45575</v>
      </c>
      <c r="C100" s="1" t="n">
        <v>45749</v>
      </c>
      <c r="D100" t="inlineStr">
        <is>
          <t>GOTLANDS LÄN</t>
        </is>
      </c>
      <c r="E100" t="inlineStr">
        <is>
          <t>GOTLAND</t>
        </is>
      </c>
      <c r="G100" t="n">
        <v>7.9</v>
      </c>
      <c r="H100" t="n">
        <v>0</v>
      </c>
      <c r="I100" t="n">
        <v>2</v>
      </c>
      <c r="J100" t="n">
        <v>1</v>
      </c>
      <c r="K100" t="n">
        <v>1</v>
      </c>
      <c r="L100" t="n">
        <v>0</v>
      </c>
      <c r="M100" t="n">
        <v>0</v>
      </c>
      <c r="N100" t="n">
        <v>0</v>
      </c>
      <c r="O100" t="n">
        <v>3</v>
      </c>
      <c r="P100" t="n">
        <v>1</v>
      </c>
      <c r="Q100" t="n">
        <v>5</v>
      </c>
      <c r="R100" s="2" t="inlineStr">
        <is>
          <t>Granrotspindling
Odörspindling
Trollspindling
Besk kastanjemusseron
Blå slemspindling</t>
        </is>
      </c>
      <c r="S100">
        <f>HYPERLINK("https://klasma.github.io/Logging_0980/artfynd/A 45071-2024 artfynd.xlsx", "A 45071-2024")</f>
        <v/>
      </c>
      <c r="T100">
        <f>HYPERLINK("https://klasma.github.io/Logging_0980/kartor/A 45071-2024 karta.png", "A 45071-2024")</f>
        <v/>
      </c>
      <c r="V100">
        <f>HYPERLINK("https://klasma.github.io/Logging_0980/klagomål/A 45071-2024 FSC-klagomål.docx", "A 45071-2024")</f>
        <v/>
      </c>
      <c r="W100">
        <f>HYPERLINK("https://klasma.github.io/Logging_0980/klagomålsmail/A 45071-2024 FSC-klagomål mail.docx", "A 45071-2024")</f>
        <v/>
      </c>
      <c r="X100">
        <f>HYPERLINK("https://klasma.github.io/Logging_0980/tillsyn/A 45071-2024 tillsynsbegäran.docx", "A 45071-2024")</f>
        <v/>
      </c>
      <c r="Y100">
        <f>HYPERLINK("https://klasma.github.io/Logging_0980/tillsynsmail/A 45071-2024 tillsynsbegäran mail.docx", "A 45071-2024")</f>
        <v/>
      </c>
    </row>
    <row r="101" ht="15" customHeight="1">
      <c r="A101" t="inlineStr">
        <is>
          <t>A 4572-2025</t>
        </is>
      </c>
      <c r="B101" s="1" t="n">
        <v>45687</v>
      </c>
      <c r="C101" s="1" t="n">
        <v>45749</v>
      </c>
      <c r="D101" t="inlineStr">
        <is>
          <t>GOTLANDS LÄN</t>
        </is>
      </c>
      <c r="E101" t="inlineStr">
        <is>
          <t>GOTLAND</t>
        </is>
      </c>
      <c r="G101" t="n">
        <v>6.2</v>
      </c>
      <c r="H101" t="n">
        <v>3</v>
      </c>
      <c r="I101" t="n">
        <v>1</v>
      </c>
      <c r="J101" t="n">
        <v>3</v>
      </c>
      <c r="K101" t="n">
        <v>0</v>
      </c>
      <c r="L101" t="n">
        <v>0</v>
      </c>
      <c r="M101" t="n">
        <v>0</v>
      </c>
      <c r="N101" t="n">
        <v>0</v>
      </c>
      <c r="O101" t="n">
        <v>3</v>
      </c>
      <c r="P101" t="n">
        <v>0</v>
      </c>
      <c r="Q101" t="n">
        <v>5</v>
      </c>
      <c r="R101" s="2" t="inlineStr">
        <is>
          <t>Axveronika
Solvända
Spillkråka
Skogsknipprot
Blåsippa</t>
        </is>
      </c>
      <c r="S101">
        <f>HYPERLINK("https://klasma.github.io/Logging_0980/artfynd/A 4572-2025 artfynd.xlsx", "A 4572-2025")</f>
        <v/>
      </c>
      <c r="T101">
        <f>HYPERLINK("https://klasma.github.io/Logging_0980/kartor/A 4572-2025 karta.png", "A 4572-2025")</f>
        <v/>
      </c>
      <c r="V101">
        <f>HYPERLINK("https://klasma.github.io/Logging_0980/klagomål/A 4572-2025 FSC-klagomål.docx", "A 4572-2025")</f>
        <v/>
      </c>
      <c r="W101">
        <f>HYPERLINK("https://klasma.github.io/Logging_0980/klagomålsmail/A 4572-2025 FSC-klagomål mail.docx", "A 4572-2025")</f>
        <v/>
      </c>
      <c r="X101">
        <f>HYPERLINK("https://klasma.github.io/Logging_0980/tillsyn/A 4572-2025 tillsynsbegäran.docx", "A 4572-2025")</f>
        <v/>
      </c>
      <c r="Y101">
        <f>HYPERLINK("https://klasma.github.io/Logging_0980/tillsynsmail/A 4572-2025 tillsynsbegäran mail.docx", "A 4572-2025")</f>
        <v/>
      </c>
      <c r="Z101">
        <f>HYPERLINK("https://klasma.github.io/Logging_0980/fåglar/A 4572-2025 prioriterade fågelarter.docx", "A 4572-2025")</f>
        <v/>
      </c>
    </row>
    <row r="102" ht="15" customHeight="1">
      <c r="A102" t="inlineStr">
        <is>
          <t>A 21537-2019</t>
        </is>
      </c>
      <c r="B102" s="1" t="n">
        <v>43580</v>
      </c>
      <c r="C102" s="1" t="n">
        <v>45749</v>
      </c>
      <c r="D102" t="inlineStr">
        <is>
          <t>GOTLANDS LÄN</t>
        </is>
      </c>
      <c r="E102" t="inlineStr">
        <is>
          <t>GOTLAND</t>
        </is>
      </c>
      <c r="G102" t="n">
        <v>5.3</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21537-2019 artfynd.xlsx", "A 21537-2019")</f>
        <v/>
      </c>
      <c r="T102">
        <f>HYPERLINK("https://klasma.github.io/Logging_0980/kartor/A 21537-2019 karta.png", "A 21537-2019")</f>
        <v/>
      </c>
      <c r="V102">
        <f>HYPERLINK("https://klasma.github.io/Logging_0980/klagomål/A 21537-2019 FSC-klagomål.docx", "A 21537-2019")</f>
        <v/>
      </c>
      <c r="W102">
        <f>HYPERLINK("https://klasma.github.io/Logging_0980/klagomålsmail/A 21537-2019 FSC-klagomål mail.docx", "A 21537-2019")</f>
        <v/>
      </c>
      <c r="X102">
        <f>HYPERLINK("https://klasma.github.io/Logging_0980/tillsyn/A 21537-2019 tillsynsbegäran.docx", "A 21537-2019")</f>
        <v/>
      </c>
      <c r="Y102">
        <f>HYPERLINK("https://klasma.github.io/Logging_0980/tillsynsmail/A 21537-2019 tillsynsbegäran mail.docx", "A 21537-2019")</f>
        <v/>
      </c>
    </row>
    <row r="103" ht="15" customHeight="1">
      <c r="A103" t="inlineStr">
        <is>
          <t>A 39839-2019</t>
        </is>
      </c>
      <c r="B103" s="1" t="n">
        <v>43689</v>
      </c>
      <c r="C103" s="1" t="n">
        <v>45749</v>
      </c>
      <c r="D103" t="inlineStr">
        <is>
          <t>GOTLANDS LÄN</t>
        </is>
      </c>
      <c r="E103" t="inlineStr">
        <is>
          <t>GOTLAND</t>
        </is>
      </c>
      <c r="G103" t="n">
        <v>18.9</v>
      </c>
      <c r="H103" t="n">
        <v>1</v>
      </c>
      <c r="I103" t="n">
        <v>1</v>
      </c>
      <c r="J103" t="n">
        <v>3</v>
      </c>
      <c r="K103" t="n">
        <v>0</v>
      </c>
      <c r="L103" t="n">
        <v>0</v>
      </c>
      <c r="M103" t="n">
        <v>0</v>
      </c>
      <c r="N103" t="n">
        <v>0</v>
      </c>
      <c r="O103" t="n">
        <v>3</v>
      </c>
      <c r="P103" t="n">
        <v>0</v>
      </c>
      <c r="Q103" t="n">
        <v>4</v>
      </c>
      <c r="R103" s="2" t="inlineStr">
        <is>
          <t>Apollofjäril
Hårig blombock
Sexfläckig bastardsvärmare
Åttafläckig praktbagge</t>
        </is>
      </c>
      <c r="S103">
        <f>HYPERLINK("https://klasma.github.io/Logging_0980/artfynd/A 39839-2019 artfynd.xlsx", "A 39839-2019")</f>
        <v/>
      </c>
      <c r="T103">
        <f>HYPERLINK("https://klasma.github.io/Logging_0980/kartor/A 39839-2019 karta.png", "A 39839-2019")</f>
        <v/>
      </c>
      <c r="V103">
        <f>HYPERLINK("https://klasma.github.io/Logging_0980/klagomål/A 39839-2019 FSC-klagomål.docx", "A 39839-2019")</f>
        <v/>
      </c>
      <c r="W103">
        <f>HYPERLINK("https://klasma.github.io/Logging_0980/klagomålsmail/A 39839-2019 FSC-klagomål mail.docx", "A 39839-2019")</f>
        <v/>
      </c>
      <c r="X103">
        <f>HYPERLINK("https://klasma.github.io/Logging_0980/tillsyn/A 39839-2019 tillsynsbegäran.docx", "A 39839-2019")</f>
        <v/>
      </c>
      <c r="Y103">
        <f>HYPERLINK("https://klasma.github.io/Logging_0980/tillsynsmail/A 39839-2019 tillsynsbegäran mail.docx", "A 39839-2019")</f>
        <v/>
      </c>
    </row>
    <row r="104" ht="15" customHeight="1">
      <c r="A104" t="inlineStr">
        <is>
          <t>A 64378-2020</t>
        </is>
      </c>
      <c r="B104" s="1" t="n">
        <v>44168</v>
      </c>
      <c r="C104" s="1" t="n">
        <v>45749</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2223-2021</t>
        </is>
      </c>
      <c r="B105" s="1" t="n">
        <v>44211</v>
      </c>
      <c r="C105" s="1" t="n">
        <v>45749</v>
      </c>
      <c r="D105" t="inlineStr">
        <is>
          <t>GOTLANDS LÄN</t>
        </is>
      </c>
      <c r="E105" t="inlineStr">
        <is>
          <t>GOTLAND</t>
        </is>
      </c>
      <c r="G105" t="n">
        <v>2.2</v>
      </c>
      <c r="H105" t="n">
        <v>2</v>
      </c>
      <c r="I105" t="n">
        <v>4</v>
      </c>
      <c r="J105" t="n">
        <v>0</v>
      </c>
      <c r="K105" t="n">
        <v>0</v>
      </c>
      <c r="L105" t="n">
        <v>0</v>
      </c>
      <c r="M105" t="n">
        <v>0</v>
      </c>
      <c r="N105" t="n">
        <v>0</v>
      </c>
      <c r="O105" t="n">
        <v>0</v>
      </c>
      <c r="P105" t="n">
        <v>0</v>
      </c>
      <c r="Q105" t="n">
        <v>4</v>
      </c>
      <c r="R105" s="2" t="inlineStr">
        <is>
          <t>Blåmossa
Granbarkgnagare
Nästrot
Tvåblad</t>
        </is>
      </c>
      <c r="S105">
        <f>HYPERLINK("https://klasma.github.io/Logging_0980/artfynd/A 2223-2021 artfynd.xlsx", "A 2223-2021")</f>
        <v/>
      </c>
      <c r="T105">
        <f>HYPERLINK("https://klasma.github.io/Logging_0980/kartor/A 2223-2021 karta.png", "A 2223-2021")</f>
        <v/>
      </c>
      <c r="V105">
        <f>HYPERLINK("https://klasma.github.io/Logging_0980/klagomål/A 2223-2021 FSC-klagomål.docx", "A 2223-2021")</f>
        <v/>
      </c>
      <c r="W105">
        <f>HYPERLINK("https://klasma.github.io/Logging_0980/klagomålsmail/A 2223-2021 FSC-klagomål mail.docx", "A 2223-2021")</f>
        <v/>
      </c>
      <c r="X105">
        <f>HYPERLINK("https://klasma.github.io/Logging_0980/tillsyn/A 2223-2021 tillsynsbegäran.docx", "A 2223-2021")</f>
        <v/>
      </c>
      <c r="Y105">
        <f>HYPERLINK("https://klasma.github.io/Logging_0980/tillsynsmail/A 2223-2021 tillsynsbegäran mail.docx", "A 2223-2021")</f>
        <v/>
      </c>
    </row>
    <row r="106" ht="15" customHeight="1">
      <c r="A106" t="inlineStr">
        <is>
          <t>A 29331-2021</t>
        </is>
      </c>
      <c r="B106" s="1" t="n">
        <v>44361</v>
      </c>
      <c r="C106" s="1" t="n">
        <v>45749</v>
      </c>
      <c r="D106" t="inlineStr">
        <is>
          <t>GOTLANDS LÄN</t>
        </is>
      </c>
      <c r="E106" t="inlineStr">
        <is>
          <t>GOTLAND</t>
        </is>
      </c>
      <c r="G106" t="n">
        <v>3.7</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29331-2021 artfynd.xlsx", "A 29331-2021")</f>
        <v/>
      </c>
      <c r="T106">
        <f>HYPERLINK("https://klasma.github.io/Logging_0980/kartor/A 29331-2021 karta.png", "A 29331-2021")</f>
        <v/>
      </c>
      <c r="V106">
        <f>HYPERLINK("https://klasma.github.io/Logging_0980/klagomål/A 29331-2021 FSC-klagomål.docx", "A 29331-2021")</f>
        <v/>
      </c>
      <c r="W106">
        <f>HYPERLINK("https://klasma.github.io/Logging_0980/klagomålsmail/A 29331-2021 FSC-klagomål mail.docx", "A 29331-2021")</f>
        <v/>
      </c>
      <c r="X106">
        <f>HYPERLINK("https://klasma.github.io/Logging_0980/tillsyn/A 29331-2021 tillsynsbegäran.docx", "A 29331-2021")</f>
        <v/>
      </c>
      <c r="Y106">
        <f>HYPERLINK("https://klasma.github.io/Logging_0980/tillsynsmail/A 29331-2021 tillsynsbegäran mail.docx", "A 29331-2021")</f>
        <v/>
      </c>
    </row>
    <row r="107" ht="15" customHeight="1">
      <c r="A107" t="inlineStr">
        <is>
          <t>A 44933-2022</t>
        </is>
      </c>
      <c r="B107" s="1" t="n">
        <v>44841</v>
      </c>
      <c r="C107" s="1" t="n">
        <v>45749</v>
      </c>
      <c r="D107" t="inlineStr">
        <is>
          <t>GOTLANDS LÄN</t>
        </is>
      </c>
      <c r="E107" t="inlineStr">
        <is>
          <t>GOTLAND</t>
        </is>
      </c>
      <c r="G107" t="n">
        <v>4.5</v>
      </c>
      <c r="H107" t="n">
        <v>1</v>
      </c>
      <c r="I107" t="n">
        <v>2</v>
      </c>
      <c r="J107" t="n">
        <v>2</v>
      </c>
      <c r="K107" t="n">
        <v>0</v>
      </c>
      <c r="L107" t="n">
        <v>0</v>
      </c>
      <c r="M107" t="n">
        <v>0</v>
      </c>
      <c r="N107" t="n">
        <v>0</v>
      </c>
      <c r="O107" t="n">
        <v>2</v>
      </c>
      <c r="P107" t="n">
        <v>0</v>
      </c>
      <c r="Q107" t="n">
        <v>4</v>
      </c>
      <c r="R107" s="2" t="inlineStr">
        <is>
          <t>Ekvaxskivling
Odörspindling
Skarp dropptaggsvamp
Skogsknipprot</t>
        </is>
      </c>
      <c r="S107">
        <f>HYPERLINK("https://klasma.github.io/Logging_0980/artfynd/A 44933-2022 artfynd.xlsx", "A 44933-2022")</f>
        <v/>
      </c>
      <c r="T107">
        <f>HYPERLINK("https://klasma.github.io/Logging_0980/kartor/A 44933-2022 karta.png", "A 44933-2022")</f>
        <v/>
      </c>
      <c r="V107">
        <f>HYPERLINK("https://klasma.github.io/Logging_0980/klagomål/A 44933-2022 FSC-klagomål.docx", "A 44933-2022")</f>
        <v/>
      </c>
      <c r="W107">
        <f>HYPERLINK("https://klasma.github.io/Logging_0980/klagomålsmail/A 44933-2022 FSC-klagomål mail.docx", "A 44933-2022")</f>
        <v/>
      </c>
      <c r="X107">
        <f>HYPERLINK("https://klasma.github.io/Logging_0980/tillsyn/A 44933-2022 tillsynsbegäran.docx", "A 44933-2022")</f>
        <v/>
      </c>
      <c r="Y107">
        <f>HYPERLINK("https://klasma.github.io/Logging_0980/tillsynsmail/A 44933-2022 tillsynsbegäran mail.docx", "A 44933-2022")</f>
        <v/>
      </c>
    </row>
    <row r="108" ht="15" customHeight="1">
      <c r="A108" t="inlineStr">
        <is>
          <t>A 47526-2022</t>
        </is>
      </c>
      <c r="B108" s="1" t="n">
        <v>44853</v>
      </c>
      <c r="C108" s="1" t="n">
        <v>45749</v>
      </c>
      <c r="D108" t="inlineStr">
        <is>
          <t>GOTLANDS LÄN</t>
        </is>
      </c>
      <c r="E108" t="inlineStr">
        <is>
          <t>GOTLAND</t>
        </is>
      </c>
      <c r="G108" t="n">
        <v>9.800000000000001</v>
      </c>
      <c r="H108" t="n">
        <v>3</v>
      </c>
      <c r="I108" t="n">
        <v>0</v>
      </c>
      <c r="J108" t="n">
        <v>2</v>
      </c>
      <c r="K108" t="n">
        <v>0</v>
      </c>
      <c r="L108" t="n">
        <v>0</v>
      </c>
      <c r="M108" t="n">
        <v>0</v>
      </c>
      <c r="N108" t="n">
        <v>0</v>
      </c>
      <c r="O108" t="n">
        <v>2</v>
      </c>
      <c r="P108" t="n">
        <v>0</v>
      </c>
      <c r="Q108" t="n">
        <v>4</v>
      </c>
      <c r="R108" s="2" t="inlineStr">
        <is>
          <t>Dårgräsfjäril
Svinrot
Sankt pers nycklar
Blåsippa</t>
        </is>
      </c>
      <c r="S108">
        <f>HYPERLINK("https://klasma.github.io/Logging_0980/artfynd/A 47526-2022 artfynd.xlsx", "A 47526-2022")</f>
        <v/>
      </c>
      <c r="T108">
        <f>HYPERLINK("https://klasma.github.io/Logging_0980/kartor/A 47526-2022 karta.png", "A 47526-2022")</f>
        <v/>
      </c>
      <c r="V108">
        <f>HYPERLINK("https://klasma.github.io/Logging_0980/klagomål/A 47526-2022 FSC-klagomål.docx", "A 47526-2022")</f>
        <v/>
      </c>
      <c r="W108">
        <f>HYPERLINK("https://klasma.github.io/Logging_0980/klagomålsmail/A 47526-2022 FSC-klagomål mail.docx", "A 47526-2022")</f>
        <v/>
      </c>
      <c r="X108">
        <f>HYPERLINK("https://klasma.github.io/Logging_0980/tillsyn/A 47526-2022 tillsynsbegäran.docx", "A 47526-2022")</f>
        <v/>
      </c>
      <c r="Y108">
        <f>HYPERLINK("https://klasma.github.io/Logging_0980/tillsynsmail/A 47526-2022 tillsynsbegäran mail.docx", "A 47526-2022")</f>
        <v/>
      </c>
    </row>
    <row r="109" ht="15" customHeight="1">
      <c r="A109" t="inlineStr">
        <is>
          <t>A 186-2023</t>
        </is>
      </c>
      <c r="B109" s="1" t="n">
        <v>44928</v>
      </c>
      <c r="C109" s="1" t="n">
        <v>45749</v>
      </c>
      <c r="D109" t="inlineStr">
        <is>
          <t>GOTLANDS LÄN</t>
        </is>
      </c>
      <c r="E109" t="inlineStr">
        <is>
          <t>GOTLAND</t>
        </is>
      </c>
      <c r="G109" t="n">
        <v>2.2</v>
      </c>
      <c r="H109" t="n">
        <v>2</v>
      </c>
      <c r="I109" t="n">
        <v>2</v>
      </c>
      <c r="J109" t="n">
        <v>0</v>
      </c>
      <c r="K109" t="n">
        <v>2</v>
      </c>
      <c r="L109" t="n">
        <v>0</v>
      </c>
      <c r="M109" t="n">
        <v>0</v>
      </c>
      <c r="N109" t="n">
        <v>0</v>
      </c>
      <c r="O109" t="n">
        <v>2</v>
      </c>
      <c r="P109" t="n">
        <v>2</v>
      </c>
      <c r="Q109" t="n">
        <v>4</v>
      </c>
      <c r="R109" s="2" t="inlineStr">
        <is>
          <t>Svartgrön spindling
Vit taggsvamp
Nästrot
Skogsknipprot</t>
        </is>
      </c>
      <c r="S109">
        <f>HYPERLINK("https://klasma.github.io/Logging_0980/artfynd/A 186-2023 artfynd.xlsx", "A 186-2023")</f>
        <v/>
      </c>
      <c r="T109">
        <f>HYPERLINK("https://klasma.github.io/Logging_0980/kartor/A 186-2023 karta.png", "A 186-2023")</f>
        <v/>
      </c>
      <c r="V109">
        <f>HYPERLINK("https://klasma.github.io/Logging_0980/klagomål/A 186-2023 FSC-klagomål.docx", "A 186-2023")</f>
        <v/>
      </c>
      <c r="W109">
        <f>HYPERLINK("https://klasma.github.io/Logging_0980/klagomålsmail/A 186-2023 FSC-klagomål mail.docx", "A 186-2023")</f>
        <v/>
      </c>
      <c r="X109">
        <f>HYPERLINK("https://klasma.github.io/Logging_0980/tillsyn/A 186-2023 tillsynsbegäran.docx", "A 186-2023")</f>
        <v/>
      </c>
      <c r="Y109">
        <f>HYPERLINK("https://klasma.github.io/Logging_0980/tillsynsmail/A 186-2023 tillsynsbegäran mail.docx", "A 186-2023")</f>
        <v/>
      </c>
    </row>
    <row r="110" ht="15" customHeight="1">
      <c r="A110" t="inlineStr">
        <is>
          <t>A 584-2023</t>
        </is>
      </c>
      <c r="B110" s="1" t="n">
        <v>44930</v>
      </c>
      <c r="C110" s="1" t="n">
        <v>45749</v>
      </c>
      <c r="D110" t="inlineStr">
        <is>
          <t>GOTLANDS LÄN</t>
        </is>
      </c>
      <c r="E110" t="inlineStr">
        <is>
          <t>GOTLAND</t>
        </is>
      </c>
      <c r="G110" t="n">
        <v>27.2</v>
      </c>
      <c r="H110" t="n">
        <v>0</v>
      </c>
      <c r="I110" t="n">
        <v>2</v>
      </c>
      <c r="J110" t="n">
        <v>1</v>
      </c>
      <c r="K110" t="n">
        <v>1</v>
      </c>
      <c r="L110" t="n">
        <v>0</v>
      </c>
      <c r="M110" t="n">
        <v>0</v>
      </c>
      <c r="N110" t="n">
        <v>0</v>
      </c>
      <c r="O110" t="n">
        <v>2</v>
      </c>
      <c r="P110" t="n">
        <v>1</v>
      </c>
      <c r="Q110" t="n">
        <v>4</v>
      </c>
      <c r="R110" s="2" t="inlineStr">
        <is>
          <t>Granrotspindling
Denisespindling
Rödgul trumpetsvamp
Vågbandad barkbock</t>
        </is>
      </c>
      <c r="S110">
        <f>HYPERLINK("https://klasma.github.io/Logging_0980/artfynd/A 584-2023 artfynd.xlsx", "A 584-2023")</f>
        <v/>
      </c>
      <c r="T110">
        <f>HYPERLINK("https://klasma.github.io/Logging_0980/kartor/A 584-2023 karta.png", "A 584-2023")</f>
        <v/>
      </c>
      <c r="V110">
        <f>HYPERLINK("https://klasma.github.io/Logging_0980/klagomål/A 584-2023 FSC-klagomål.docx", "A 584-2023")</f>
        <v/>
      </c>
      <c r="W110">
        <f>HYPERLINK("https://klasma.github.io/Logging_0980/klagomålsmail/A 584-2023 FSC-klagomål mail.docx", "A 584-2023")</f>
        <v/>
      </c>
      <c r="X110">
        <f>HYPERLINK("https://klasma.github.io/Logging_0980/tillsyn/A 584-2023 tillsynsbegäran.docx", "A 584-2023")</f>
        <v/>
      </c>
      <c r="Y110">
        <f>HYPERLINK("https://klasma.github.io/Logging_0980/tillsynsmail/A 584-2023 tillsynsbegäran mail.docx", "A 584-2023")</f>
        <v/>
      </c>
    </row>
    <row r="111" ht="15" customHeight="1">
      <c r="A111" t="inlineStr">
        <is>
          <t>A 1971-2023</t>
        </is>
      </c>
      <c r="B111" s="1" t="n">
        <v>44939</v>
      </c>
      <c r="C111" s="1" t="n">
        <v>45749</v>
      </c>
      <c r="D111" t="inlineStr">
        <is>
          <t>GOTLANDS LÄN</t>
        </is>
      </c>
      <c r="E111" t="inlineStr">
        <is>
          <t>GOTLAND</t>
        </is>
      </c>
      <c r="G111" t="n">
        <v>5.5</v>
      </c>
      <c r="H111" t="n">
        <v>0</v>
      </c>
      <c r="I111" t="n">
        <v>2</v>
      </c>
      <c r="J111" t="n">
        <v>1</v>
      </c>
      <c r="K111" t="n">
        <v>1</v>
      </c>
      <c r="L111" t="n">
        <v>0</v>
      </c>
      <c r="M111" t="n">
        <v>0</v>
      </c>
      <c r="N111" t="n">
        <v>0</v>
      </c>
      <c r="O111" t="n">
        <v>2</v>
      </c>
      <c r="P111" t="n">
        <v>1</v>
      </c>
      <c r="Q111" t="n">
        <v>4</v>
      </c>
      <c r="R111" s="2" t="inlineStr">
        <is>
          <t>Gulsträngad fagerspindling
Svinrot
Fjällig taggsvamp s.str.
Olivspindling</t>
        </is>
      </c>
      <c r="S111">
        <f>HYPERLINK("https://klasma.github.io/Logging_0980/artfynd/A 1971-2023 artfynd.xlsx", "A 1971-2023")</f>
        <v/>
      </c>
      <c r="T111">
        <f>HYPERLINK("https://klasma.github.io/Logging_0980/kartor/A 1971-2023 karta.png", "A 1971-2023")</f>
        <v/>
      </c>
      <c r="V111">
        <f>HYPERLINK("https://klasma.github.io/Logging_0980/klagomål/A 1971-2023 FSC-klagomål.docx", "A 1971-2023")</f>
        <v/>
      </c>
      <c r="W111">
        <f>HYPERLINK("https://klasma.github.io/Logging_0980/klagomålsmail/A 1971-2023 FSC-klagomål mail.docx", "A 1971-2023")</f>
        <v/>
      </c>
      <c r="X111">
        <f>HYPERLINK("https://klasma.github.io/Logging_0980/tillsyn/A 1971-2023 tillsynsbegäran.docx", "A 1971-2023")</f>
        <v/>
      </c>
      <c r="Y111">
        <f>HYPERLINK("https://klasma.github.io/Logging_0980/tillsynsmail/A 1971-2023 tillsynsbegäran mail.docx", "A 1971-2023")</f>
        <v/>
      </c>
    </row>
    <row r="112" ht="15" customHeight="1">
      <c r="A112" t="inlineStr">
        <is>
          <t>A 6159-2023</t>
        </is>
      </c>
      <c r="B112" s="1" t="n">
        <v>44964</v>
      </c>
      <c r="C112" s="1" t="n">
        <v>45749</v>
      </c>
      <c r="D112" t="inlineStr">
        <is>
          <t>GOTLANDS LÄN</t>
        </is>
      </c>
      <c r="E112" t="inlineStr">
        <is>
          <t>GOTLAND</t>
        </is>
      </c>
      <c r="G112" t="n">
        <v>2</v>
      </c>
      <c r="H112" t="n">
        <v>0</v>
      </c>
      <c r="I112" t="n">
        <v>2</v>
      </c>
      <c r="J112" t="n">
        <v>2</v>
      </c>
      <c r="K112" t="n">
        <v>0</v>
      </c>
      <c r="L112" t="n">
        <v>0</v>
      </c>
      <c r="M112" t="n">
        <v>0</v>
      </c>
      <c r="N112" t="n">
        <v>0</v>
      </c>
      <c r="O112" t="n">
        <v>2</v>
      </c>
      <c r="P112" t="n">
        <v>0</v>
      </c>
      <c r="Q112" t="n">
        <v>4</v>
      </c>
      <c r="R112" s="2" t="inlineStr">
        <is>
          <t>Dofttaggsvamp
Odörspindling
Anisspindling
Olivspindling</t>
        </is>
      </c>
      <c r="S112">
        <f>HYPERLINK("https://klasma.github.io/Logging_0980/artfynd/A 6159-2023 artfynd.xlsx", "A 6159-2023")</f>
        <v/>
      </c>
      <c r="T112">
        <f>HYPERLINK("https://klasma.github.io/Logging_0980/kartor/A 6159-2023 karta.png", "A 6159-2023")</f>
        <v/>
      </c>
      <c r="V112">
        <f>HYPERLINK("https://klasma.github.io/Logging_0980/klagomål/A 6159-2023 FSC-klagomål.docx", "A 6159-2023")</f>
        <v/>
      </c>
      <c r="W112">
        <f>HYPERLINK("https://klasma.github.io/Logging_0980/klagomålsmail/A 6159-2023 FSC-klagomål mail.docx", "A 6159-2023")</f>
        <v/>
      </c>
      <c r="X112">
        <f>HYPERLINK("https://klasma.github.io/Logging_0980/tillsyn/A 6159-2023 tillsynsbegäran.docx", "A 6159-2023")</f>
        <v/>
      </c>
      <c r="Y112">
        <f>HYPERLINK("https://klasma.github.io/Logging_0980/tillsynsmail/A 6159-2023 tillsynsbegäran mail.docx", "A 6159-2023")</f>
        <v/>
      </c>
    </row>
    <row r="113" ht="15" customHeight="1">
      <c r="A113" t="inlineStr">
        <is>
          <t>A 8265-2023</t>
        </is>
      </c>
      <c r="B113" s="1" t="n">
        <v>44974</v>
      </c>
      <c r="C113" s="1" t="n">
        <v>45749</v>
      </c>
      <c r="D113" t="inlineStr">
        <is>
          <t>GOTLANDS LÄN</t>
        </is>
      </c>
      <c r="E113" t="inlineStr">
        <is>
          <t>GOTLAND</t>
        </is>
      </c>
      <c r="G113" t="n">
        <v>3.3</v>
      </c>
      <c r="H113" t="n">
        <v>4</v>
      </c>
      <c r="I113" t="n">
        <v>3</v>
      </c>
      <c r="J113" t="n">
        <v>0</v>
      </c>
      <c r="K113" t="n">
        <v>0</v>
      </c>
      <c r="L113" t="n">
        <v>0</v>
      </c>
      <c r="M113" t="n">
        <v>0</v>
      </c>
      <c r="N113" t="n">
        <v>0</v>
      </c>
      <c r="O113" t="n">
        <v>0</v>
      </c>
      <c r="P113" t="n">
        <v>0</v>
      </c>
      <c r="Q113" t="n">
        <v>4</v>
      </c>
      <c r="R113" s="2" t="inlineStr">
        <is>
          <t>Flugblomster
Purpurknipprot
Tvåblad
Salepsrot</t>
        </is>
      </c>
      <c r="S113">
        <f>HYPERLINK("https://klasma.github.io/Logging_0980/artfynd/A 8265-2023 artfynd.xlsx", "A 8265-2023")</f>
        <v/>
      </c>
      <c r="T113">
        <f>HYPERLINK("https://klasma.github.io/Logging_0980/kartor/A 8265-2023 karta.png", "A 8265-2023")</f>
        <v/>
      </c>
      <c r="V113">
        <f>HYPERLINK("https://klasma.github.io/Logging_0980/klagomål/A 8265-2023 FSC-klagomål.docx", "A 8265-2023")</f>
        <v/>
      </c>
      <c r="W113">
        <f>HYPERLINK("https://klasma.github.io/Logging_0980/klagomålsmail/A 8265-2023 FSC-klagomål mail.docx", "A 8265-2023")</f>
        <v/>
      </c>
      <c r="X113">
        <f>HYPERLINK("https://klasma.github.io/Logging_0980/tillsyn/A 8265-2023 tillsynsbegäran.docx", "A 8265-2023")</f>
        <v/>
      </c>
      <c r="Y113">
        <f>HYPERLINK("https://klasma.github.io/Logging_0980/tillsynsmail/A 8265-2023 tillsynsbegäran mail.docx", "A 8265-2023")</f>
        <v/>
      </c>
    </row>
    <row r="114" ht="15" customHeight="1">
      <c r="A114" t="inlineStr">
        <is>
          <t>A 43197-2023</t>
        </is>
      </c>
      <c r="B114" s="1" t="n">
        <v>45183</v>
      </c>
      <c r="C114" s="1" t="n">
        <v>45749</v>
      </c>
      <c r="D114" t="inlineStr">
        <is>
          <t>GOTLANDS LÄN</t>
        </is>
      </c>
      <c r="E114" t="inlineStr">
        <is>
          <t>GOTLAND</t>
        </is>
      </c>
      <c r="G114" t="n">
        <v>3.7</v>
      </c>
      <c r="H114" t="n">
        <v>2</v>
      </c>
      <c r="I114" t="n">
        <v>1</v>
      </c>
      <c r="J114" t="n">
        <v>1</v>
      </c>
      <c r="K114" t="n">
        <v>1</v>
      </c>
      <c r="L114" t="n">
        <v>0</v>
      </c>
      <c r="M114" t="n">
        <v>0</v>
      </c>
      <c r="N114" t="n">
        <v>0</v>
      </c>
      <c r="O114" t="n">
        <v>2</v>
      </c>
      <c r="P114" t="n">
        <v>1</v>
      </c>
      <c r="Q114" t="n">
        <v>4</v>
      </c>
      <c r="R114" s="2" t="inlineStr">
        <is>
          <t>Allékantlav
Svinrot
Skogsknipprot
Revlummer</t>
        </is>
      </c>
      <c r="S114">
        <f>HYPERLINK("https://klasma.github.io/Logging_0980/artfynd/A 43197-2023 artfynd.xlsx", "A 43197-2023")</f>
        <v/>
      </c>
      <c r="T114">
        <f>HYPERLINK("https://klasma.github.io/Logging_0980/kartor/A 43197-2023 karta.png", "A 43197-2023")</f>
        <v/>
      </c>
      <c r="V114">
        <f>HYPERLINK("https://klasma.github.io/Logging_0980/klagomål/A 43197-2023 FSC-klagomål.docx", "A 43197-2023")</f>
        <v/>
      </c>
      <c r="W114">
        <f>HYPERLINK("https://klasma.github.io/Logging_0980/klagomålsmail/A 43197-2023 FSC-klagomål mail.docx", "A 43197-2023")</f>
        <v/>
      </c>
      <c r="X114">
        <f>HYPERLINK("https://klasma.github.io/Logging_0980/tillsyn/A 43197-2023 tillsynsbegäran.docx", "A 43197-2023")</f>
        <v/>
      </c>
      <c r="Y114">
        <f>HYPERLINK("https://klasma.github.io/Logging_0980/tillsynsmail/A 43197-2023 tillsynsbegäran mail.docx", "A 43197-2023")</f>
        <v/>
      </c>
    </row>
    <row r="115" ht="15" customHeight="1">
      <c r="A115" t="inlineStr">
        <is>
          <t>A 46969-2023</t>
        </is>
      </c>
      <c r="B115" s="1" t="n">
        <v>45195</v>
      </c>
      <c r="C115" s="1" t="n">
        <v>45749</v>
      </c>
      <c r="D115" t="inlineStr">
        <is>
          <t>GOTLANDS LÄN</t>
        </is>
      </c>
      <c r="E115" t="inlineStr">
        <is>
          <t>GOTLAND</t>
        </is>
      </c>
      <c r="G115" t="n">
        <v>7.3</v>
      </c>
      <c r="H115" t="n">
        <v>1</v>
      </c>
      <c r="I115" t="n">
        <v>1</v>
      </c>
      <c r="J115" t="n">
        <v>2</v>
      </c>
      <c r="K115" t="n">
        <v>0</v>
      </c>
      <c r="L115" t="n">
        <v>0</v>
      </c>
      <c r="M115" t="n">
        <v>0</v>
      </c>
      <c r="N115" t="n">
        <v>0</v>
      </c>
      <c r="O115" t="n">
        <v>2</v>
      </c>
      <c r="P115" t="n">
        <v>0</v>
      </c>
      <c r="Q115" t="n">
        <v>4</v>
      </c>
      <c r="R115" s="2" t="inlineStr">
        <is>
          <t>Backtimjan
Solvända
Svavelriska
Nattviol</t>
        </is>
      </c>
      <c r="S115">
        <f>HYPERLINK("https://klasma.github.io/Logging_0980/artfynd/A 46969-2023 artfynd.xlsx", "A 46969-2023")</f>
        <v/>
      </c>
      <c r="T115">
        <f>HYPERLINK("https://klasma.github.io/Logging_0980/kartor/A 46969-2023 karta.png", "A 46969-2023")</f>
        <v/>
      </c>
      <c r="V115">
        <f>HYPERLINK("https://klasma.github.io/Logging_0980/klagomål/A 46969-2023 FSC-klagomål.docx", "A 46969-2023")</f>
        <v/>
      </c>
      <c r="W115">
        <f>HYPERLINK("https://klasma.github.io/Logging_0980/klagomålsmail/A 46969-2023 FSC-klagomål mail.docx", "A 46969-2023")</f>
        <v/>
      </c>
      <c r="X115">
        <f>HYPERLINK("https://klasma.github.io/Logging_0980/tillsyn/A 46969-2023 tillsynsbegäran.docx", "A 46969-2023")</f>
        <v/>
      </c>
      <c r="Y115">
        <f>HYPERLINK("https://klasma.github.io/Logging_0980/tillsynsmail/A 46969-2023 tillsynsbegäran mail.docx", "A 46969-2023")</f>
        <v/>
      </c>
    </row>
    <row r="116" ht="15" customHeight="1">
      <c r="A116" t="inlineStr">
        <is>
          <t>A 45682-2023</t>
        </is>
      </c>
      <c r="B116" s="1" t="n">
        <v>45195</v>
      </c>
      <c r="C116" s="1" t="n">
        <v>45749</v>
      </c>
      <c r="D116" t="inlineStr">
        <is>
          <t>GOTLANDS LÄN</t>
        </is>
      </c>
      <c r="E116" t="inlineStr">
        <is>
          <t>GOTLAND</t>
        </is>
      </c>
      <c r="G116" t="n">
        <v>13.9</v>
      </c>
      <c r="H116" t="n">
        <v>2</v>
      </c>
      <c r="I116" t="n">
        <v>2</v>
      </c>
      <c r="J116" t="n">
        <v>1</v>
      </c>
      <c r="K116" t="n">
        <v>0</v>
      </c>
      <c r="L116" t="n">
        <v>0</v>
      </c>
      <c r="M116" t="n">
        <v>0</v>
      </c>
      <c r="N116" t="n">
        <v>0</v>
      </c>
      <c r="O116" t="n">
        <v>1</v>
      </c>
      <c r="P116" t="n">
        <v>0</v>
      </c>
      <c r="Q116" t="n">
        <v>4</v>
      </c>
      <c r="R116" s="2" t="inlineStr">
        <is>
          <t>Loppstarr
Flugblomster
Kalktallört
Dactylorhiza incarnata subsp. incarnata</t>
        </is>
      </c>
      <c r="S116">
        <f>HYPERLINK("https://klasma.github.io/Logging_0980/artfynd/A 45682-2023 artfynd.xlsx", "A 45682-2023")</f>
        <v/>
      </c>
      <c r="T116">
        <f>HYPERLINK("https://klasma.github.io/Logging_0980/kartor/A 45682-2023 karta.png", "A 45682-2023")</f>
        <v/>
      </c>
      <c r="V116">
        <f>HYPERLINK("https://klasma.github.io/Logging_0980/klagomål/A 45682-2023 FSC-klagomål.docx", "A 45682-2023")</f>
        <v/>
      </c>
      <c r="W116">
        <f>HYPERLINK("https://klasma.github.io/Logging_0980/klagomålsmail/A 45682-2023 FSC-klagomål mail.docx", "A 45682-2023")</f>
        <v/>
      </c>
      <c r="X116">
        <f>HYPERLINK("https://klasma.github.io/Logging_0980/tillsyn/A 45682-2023 tillsynsbegäran.docx", "A 45682-2023")</f>
        <v/>
      </c>
      <c r="Y116">
        <f>HYPERLINK("https://klasma.github.io/Logging_0980/tillsynsmail/A 45682-2023 tillsynsbegäran mail.docx", "A 45682-2023")</f>
        <v/>
      </c>
    </row>
    <row r="117" ht="15" customHeight="1">
      <c r="A117" t="inlineStr">
        <is>
          <t>A 54523-2023</t>
        </is>
      </c>
      <c r="B117" s="1" t="n">
        <v>45233</v>
      </c>
      <c r="C117" s="1" t="n">
        <v>45749</v>
      </c>
      <c r="D117" t="inlineStr">
        <is>
          <t>GOTLANDS LÄN</t>
        </is>
      </c>
      <c r="E117" t="inlineStr">
        <is>
          <t>GOTLAND</t>
        </is>
      </c>
      <c r="G117" t="n">
        <v>3.7</v>
      </c>
      <c r="H117" t="n">
        <v>2</v>
      </c>
      <c r="I117" t="n">
        <v>0</v>
      </c>
      <c r="J117" t="n">
        <v>1</v>
      </c>
      <c r="K117" t="n">
        <v>1</v>
      </c>
      <c r="L117" t="n">
        <v>0</v>
      </c>
      <c r="M117" t="n">
        <v>0</v>
      </c>
      <c r="N117" t="n">
        <v>0</v>
      </c>
      <c r="O117" t="n">
        <v>2</v>
      </c>
      <c r="P117" t="n">
        <v>1</v>
      </c>
      <c r="Q117" t="n">
        <v>4</v>
      </c>
      <c r="R117" s="2" t="inlineStr">
        <is>
          <t>Sommarklynne
Åkerkulla
Brudsporre
Kärrknipprot</t>
        </is>
      </c>
      <c r="S117">
        <f>HYPERLINK("https://klasma.github.io/Logging_0980/artfynd/A 54523-2023 artfynd.xlsx", "A 54523-2023")</f>
        <v/>
      </c>
      <c r="T117">
        <f>HYPERLINK("https://klasma.github.io/Logging_0980/kartor/A 54523-2023 karta.png", "A 54523-2023")</f>
        <v/>
      </c>
      <c r="V117">
        <f>HYPERLINK("https://klasma.github.io/Logging_0980/klagomål/A 54523-2023 FSC-klagomål.docx", "A 54523-2023")</f>
        <v/>
      </c>
      <c r="W117">
        <f>HYPERLINK("https://klasma.github.io/Logging_0980/klagomålsmail/A 54523-2023 FSC-klagomål mail.docx", "A 54523-2023")</f>
        <v/>
      </c>
      <c r="X117">
        <f>HYPERLINK("https://klasma.github.io/Logging_0980/tillsyn/A 54523-2023 tillsynsbegäran.docx", "A 54523-2023")</f>
        <v/>
      </c>
      <c r="Y117">
        <f>HYPERLINK("https://klasma.github.io/Logging_0980/tillsynsmail/A 54523-2023 tillsynsbegäran mail.docx", "A 54523-2023")</f>
        <v/>
      </c>
    </row>
    <row r="118" ht="15" customHeight="1">
      <c r="A118" t="inlineStr">
        <is>
          <t>A 5904-2024</t>
        </is>
      </c>
      <c r="B118" s="1" t="n">
        <v>45335</v>
      </c>
      <c r="C118" s="1" t="n">
        <v>45749</v>
      </c>
      <c r="D118" t="inlineStr">
        <is>
          <t>GOTLANDS LÄN</t>
        </is>
      </c>
      <c r="E118" t="inlineStr">
        <is>
          <t>GOTLAND</t>
        </is>
      </c>
      <c r="G118" t="n">
        <v>6.4</v>
      </c>
      <c r="H118" t="n">
        <v>1</v>
      </c>
      <c r="I118" t="n">
        <v>2</v>
      </c>
      <c r="J118" t="n">
        <v>1</v>
      </c>
      <c r="K118" t="n">
        <v>0</v>
      </c>
      <c r="L118" t="n">
        <v>0</v>
      </c>
      <c r="M118" t="n">
        <v>0</v>
      </c>
      <c r="N118" t="n">
        <v>0</v>
      </c>
      <c r="O118" t="n">
        <v>1</v>
      </c>
      <c r="P118" t="n">
        <v>0</v>
      </c>
      <c r="Q118" t="n">
        <v>4</v>
      </c>
      <c r="R118" s="2" t="inlineStr">
        <is>
          <t>Backstarr
Blåmossa
Kattfotslav
Sankt pers nycklar</t>
        </is>
      </c>
      <c r="S118">
        <f>HYPERLINK("https://klasma.github.io/Logging_0980/artfynd/A 5904-2024 artfynd.xlsx", "A 5904-2024")</f>
        <v/>
      </c>
      <c r="T118">
        <f>HYPERLINK("https://klasma.github.io/Logging_0980/kartor/A 5904-2024 karta.png", "A 5904-2024")</f>
        <v/>
      </c>
      <c r="V118">
        <f>HYPERLINK("https://klasma.github.io/Logging_0980/klagomål/A 5904-2024 FSC-klagomål.docx", "A 5904-2024")</f>
        <v/>
      </c>
      <c r="W118">
        <f>HYPERLINK("https://klasma.github.io/Logging_0980/klagomålsmail/A 5904-2024 FSC-klagomål mail.docx", "A 5904-2024")</f>
        <v/>
      </c>
      <c r="X118">
        <f>HYPERLINK("https://klasma.github.io/Logging_0980/tillsyn/A 5904-2024 tillsynsbegäran.docx", "A 5904-2024")</f>
        <v/>
      </c>
      <c r="Y118">
        <f>HYPERLINK("https://klasma.github.io/Logging_0980/tillsynsmail/A 5904-2024 tillsynsbegäran mail.docx", "A 5904-2024")</f>
        <v/>
      </c>
    </row>
    <row r="119" ht="15" customHeight="1">
      <c r="A119" t="inlineStr">
        <is>
          <t>A 14354-2024</t>
        </is>
      </c>
      <c r="B119" s="1" t="n">
        <v>45393</v>
      </c>
      <c r="C119" s="1" t="n">
        <v>45749</v>
      </c>
      <c r="D119" t="inlineStr">
        <is>
          <t>GOTLANDS LÄN</t>
        </is>
      </c>
      <c r="E119" t="inlineStr">
        <is>
          <t>GOTLAND</t>
        </is>
      </c>
      <c r="G119" t="n">
        <v>2.4</v>
      </c>
      <c r="H119" t="n">
        <v>1</v>
      </c>
      <c r="I119" t="n">
        <v>0</v>
      </c>
      <c r="J119" t="n">
        <v>4</v>
      </c>
      <c r="K119" t="n">
        <v>0</v>
      </c>
      <c r="L119" t="n">
        <v>0</v>
      </c>
      <c r="M119" t="n">
        <v>0</v>
      </c>
      <c r="N119" t="n">
        <v>0</v>
      </c>
      <c r="O119" t="n">
        <v>4</v>
      </c>
      <c r="P119" t="n">
        <v>0</v>
      </c>
      <c r="Q119" t="n">
        <v>4</v>
      </c>
      <c r="R119" s="2" t="inlineStr">
        <is>
          <t>Dårgräsfjäril
Smedbock
Svinrot
Ängsskära</t>
        </is>
      </c>
      <c r="S119">
        <f>HYPERLINK("https://klasma.github.io/Logging_0980/artfynd/A 14354-2024 artfynd.xlsx", "A 14354-2024")</f>
        <v/>
      </c>
      <c r="T119">
        <f>HYPERLINK("https://klasma.github.io/Logging_0980/kartor/A 14354-2024 karta.png", "A 14354-2024")</f>
        <v/>
      </c>
      <c r="V119">
        <f>HYPERLINK("https://klasma.github.io/Logging_0980/klagomål/A 14354-2024 FSC-klagomål.docx", "A 14354-2024")</f>
        <v/>
      </c>
      <c r="W119">
        <f>HYPERLINK("https://klasma.github.io/Logging_0980/klagomålsmail/A 14354-2024 FSC-klagomål mail.docx", "A 14354-2024")</f>
        <v/>
      </c>
      <c r="X119">
        <f>HYPERLINK("https://klasma.github.io/Logging_0980/tillsyn/A 14354-2024 tillsynsbegäran.docx", "A 14354-2024")</f>
        <v/>
      </c>
      <c r="Y119">
        <f>HYPERLINK("https://klasma.github.io/Logging_0980/tillsynsmail/A 14354-2024 tillsynsbegäran mail.docx", "A 14354-2024")</f>
        <v/>
      </c>
    </row>
    <row r="120" ht="15" customHeight="1">
      <c r="A120" t="inlineStr">
        <is>
          <t>A 25768-2024</t>
        </is>
      </c>
      <c r="B120" s="1" t="n">
        <v>45466</v>
      </c>
      <c r="C120" s="1" t="n">
        <v>45749</v>
      </c>
      <c r="D120" t="inlineStr">
        <is>
          <t>GOTLANDS LÄN</t>
        </is>
      </c>
      <c r="E120" t="inlineStr">
        <is>
          <t>GOTLAND</t>
        </is>
      </c>
      <c r="G120" t="n">
        <v>4.6</v>
      </c>
      <c r="H120" t="n">
        <v>4</v>
      </c>
      <c r="I120" t="n">
        <v>2</v>
      </c>
      <c r="J120" t="n">
        <v>0</v>
      </c>
      <c r="K120" t="n">
        <v>0</v>
      </c>
      <c r="L120" t="n">
        <v>0</v>
      </c>
      <c r="M120" t="n">
        <v>0</v>
      </c>
      <c r="N120" t="n">
        <v>0</v>
      </c>
      <c r="O120" t="n">
        <v>0</v>
      </c>
      <c r="P120" t="n">
        <v>0</v>
      </c>
      <c r="Q120" t="n">
        <v>4</v>
      </c>
      <c r="R120" s="2" t="inlineStr">
        <is>
          <t>Nästrot
Tvåblad
Fläcknycklar
Nattviol</t>
        </is>
      </c>
      <c r="S120">
        <f>HYPERLINK("https://klasma.github.io/Logging_0980/artfynd/A 25768-2024 artfynd.xlsx", "A 25768-2024")</f>
        <v/>
      </c>
      <c r="T120">
        <f>HYPERLINK("https://klasma.github.io/Logging_0980/kartor/A 25768-2024 karta.png", "A 25768-2024")</f>
        <v/>
      </c>
      <c r="V120">
        <f>HYPERLINK("https://klasma.github.io/Logging_0980/klagomål/A 25768-2024 FSC-klagomål.docx", "A 25768-2024")</f>
        <v/>
      </c>
      <c r="W120">
        <f>HYPERLINK("https://klasma.github.io/Logging_0980/klagomålsmail/A 25768-2024 FSC-klagomål mail.docx", "A 25768-2024")</f>
        <v/>
      </c>
      <c r="X120">
        <f>HYPERLINK("https://klasma.github.io/Logging_0980/tillsyn/A 25768-2024 tillsynsbegäran.docx", "A 25768-2024")</f>
        <v/>
      </c>
      <c r="Y120">
        <f>HYPERLINK("https://klasma.github.io/Logging_0980/tillsynsmail/A 25768-2024 tillsynsbegäran mail.docx", "A 25768-2024")</f>
        <v/>
      </c>
    </row>
    <row r="121" ht="15" customHeight="1">
      <c r="A121" t="inlineStr">
        <is>
          <t>A 34171-2024</t>
        </is>
      </c>
      <c r="B121" s="1" t="n">
        <v>45524</v>
      </c>
      <c r="C121" s="1" t="n">
        <v>45749</v>
      </c>
      <c r="D121" t="inlineStr">
        <is>
          <t>GOTLANDS LÄN</t>
        </is>
      </c>
      <c r="E121" t="inlineStr">
        <is>
          <t>GOTLAND</t>
        </is>
      </c>
      <c r="G121" t="n">
        <v>6.6</v>
      </c>
      <c r="H121" t="n">
        <v>0</v>
      </c>
      <c r="I121" t="n">
        <v>1</v>
      </c>
      <c r="J121" t="n">
        <v>1</v>
      </c>
      <c r="K121" t="n">
        <v>1</v>
      </c>
      <c r="L121" t="n">
        <v>1</v>
      </c>
      <c r="M121" t="n">
        <v>0</v>
      </c>
      <c r="N121" t="n">
        <v>0</v>
      </c>
      <c r="O121" t="n">
        <v>3</v>
      </c>
      <c r="P121" t="n">
        <v>2</v>
      </c>
      <c r="Q121" t="n">
        <v>4</v>
      </c>
      <c r="R121" s="2" t="inlineStr">
        <is>
          <t>Ädellav
Mörk kraterlav
Orangepudrad klotterlav
Strävlosta</t>
        </is>
      </c>
      <c r="S121">
        <f>HYPERLINK("https://klasma.github.io/Logging_0980/artfynd/A 34171-2024 artfynd.xlsx", "A 34171-2024")</f>
        <v/>
      </c>
      <c r="T121">
        <f>HYPERLINK("https://klasma.github.io/Logging_0980/kartor/A 34171-2024 karta.png", "A 34171-2024")</f>
        <v/>
      </c>
      <c r="V121">
        <f>HYPERLINK("https://klasma.github.io/Logging_0980/klagomål/A 34171-2024 FSC-klagomål.docx", "A 34171-2024")</f>
        <v/>
      </c>
      <c r="W121">
        <f>HYPERLINK("https://klasma.github.io/Logging_0980/klagomålsmail/A 34171-2024 FSC-klagomål mail.docx", "A 34171-2024")</f>
        <v/>
      </c>
      <c r="X121">
        <f>HYPERLINK("https://klasma.github.io/Logging_0980/tillsyn/A 34171-2024 tillsynsbegäran.docx", "A 34171-2024")</f>
        <v/>
      </c>
      <c r="Y121">
        <f>HYPERLINK("https://klasma.github.io/Logging_0980/tillsynsmail/A 34171-2024 tillsynsbegäran mail.docx", "A 34171-2024")</f>
        <v/>
      </c>
    </row>
    <row r="122" ht="15" customHeight="1">
      <c r="A122" t="inlineStr">
        <is>
          <t>A 48025-2024</t>
        </is>
      </c>
      <c r="B122" s="1" t="n">
        <v>45589</v>
      </c>
      <c r="C122" s="1" t="n">
        <v>45749</v>
      </c>
      <c r="D122" t="inlineStr">
        <is>
          <t>GOTLANDS LÄN</t>
        </is>
      </c>
      <c r="E122" t="inlineStr">
        <is>
          <t>GOTLAND</t>
        </is>
      </c>
      <c r="G122" t="n">
        <v>7.8</v>
      </c>
      <c r="H122" t="n">
        <v>0</v>
      </c>
      <c r="I122" t="n">
        <v>1</v>
      </c>
      <c r="J122" t="n">
        <v>0</v>
      </c>
      <c r="K122" t="n">
        <v>2</v>
      </c>
      <c r="L122" t="n">
        <v>1</v>
      </c>
      <c r="M122" t="n">
        <v>0</v>
      </c>
      <c r="N122" t="n">
        <v>0</v>
      </c>
      <c r="O122" t="n">
        <v>3</v>
      </c>
      <c r="P122" t="n">
        <v>3</v>
      </c>
      <c r="Q122" t="n">
        <v>4</v>
      </c>
      <c r="R122" s="2" t="inlineStr">
        <is>
          <t>Ädellav
Mörk kraterlav
Violettfläckig spindling
Kattfotslav</t>
        </is>
      </c>
      <c r="S122">
        <f>HYPERLINK("https://klasma.github.io/Logging_0980/artfynd/A 48025-2024 artfynd.xlsx", "A 48025-2024")</f>
        <v/>
      </c>
      <c r="T122">
        <f>HYPERLINK("https://klasma.github.io/Logging_0980/kartor/A 48025-2024 karta.png", "A 48025-2024")</f>
        <v/>
      </c>
      <c r="V122">
        <f>HYPERLINK("https://klasma.github.io/Logging_0980/klagomål/A 48025-2024 FSC-klagomål.docx", "A 48025-2024")</f>
        <v/>
      </c>
      <c r="W122">
        <f>HYPERLINK("https://klasma.github.io/Logging_0980/klagomålsmail/A 48025-2024 FSC-klagomål mail.docx", "A 48025-2024")</f>
        <v/>
      </c>
      <c r="X122">
        <f>HYPERLINK("https://klasma.github.io/Logging_0980/tillsyn/A 48025-2024 tillsynsbegäran.docx", "A 48025-2024")</f>
        <v/>
      </c>
      <c r="Y122">
        <f>HYPERLINK("https://klasma.github.io/Logging_0980/tillsynsmail/A 48025-2024 tillsynsbegäran mail.docx", "A 48025-2024")</f>
        <v/>
      </c>
    </row>
    <row r="123" ht="15" customHeight="1">
      <c r="A123" t="inlineStr">
        <is>
          <t>A 56717-2024</t>
        </is>
      </c>
      <c r="B123" s="1" t="n">
        <v>45628</v>
      </c>
      <c r="C123" s="1" t="n">
        <v>45749</v>
      </c>
      <c r="D123" t="inlineStr">
        <is>
          <t>GOTLANDS LÄN</t>
        </is>
      </c>
      <c r="E123" t="inlineStr">
        <is>
          <t>GOTLAND</t>
        </is>
      </c>
      <c r="G123" t="n">
        <v>9.699999999999999</v>
      </c>
      <c r="H123" t="n">
        <v>0</v>
      </c>
      <c r="I123" t="n">
        <v>2</v>
      </c>
      <c r="J123" t="n">
        <v>2</v>
      </c>
      <c r="K123" t="n">
        <v>0</v>
      </c>
      <c r="L123" t="n">
        <v>0</v>
      </c>
      <c r="M123" t="n">
        <v>0</v>
      </c>
      <c r="N123" t="n">
        <v>0</v>
      </c>
      <c r="O123" t="n">
        <v>2</v>
      </c>
      <c r="P123" t="n">
        <v>0</v>
      </c>
      <c r="Q123" t="n">
        <v>4</v>
      </c>
      <c r="R123" s="2" t="inlineStr">
        <is>
          <t>Ekvaxskivling
Odörspindling
Fjällig taggsvamp s.str.
Kattfotslav</t>
        </is>
      </c>
      <c r="S123">
        <f>HYPERLINK("https://klasma.github.io/Logging_0980/artfynd/A 56717-2024 artfynd.xlsx", "A 56717-2024")</f>
        <v/>
      </c>
      <c r="T123">
        <f>HYPERLINK("https://klasma.github.io/Logging_0980/kartor/A 56717-2024 karta.png", "A 56717-2024")</f>
        <v/>
      </c>
      <c r="V123">
        <f>HYPERLINK("https://klasma.github.io/Logging_0980/klagomål/A 56717-2024 FSC-klagomål.docx", "A 56717-2024")</f>
        <v/>
      </c>
      <c r="W123">
        <f>HYPERLINK("https://klasma.github.io/Logging_0980/klagomålsmail/A 56717-2024 FSC-klagomål mail.docx", "A 56717-2024")</f>
        <v/>
      </c>
      <c r="X123">
        <f>HYPERLINK("https://klasma.github.io/Logging_0980/tillsyn/A 56717-2024 tillsynsbegäran.docx", "A 56717-2024")</f>
        <v/>
      </c>
      <c r="Y123">
        <f>HYPERLINK("https://klasma.github.io/Logging_0980/tillsynsmail/A 56717-2024 tillsynsbegäran mail.docx", "A 56717-2024")</f>
        <v/>
      </c>
    </row>
    <row r="124" ht="15" customHeight="1">
      <c r="A124" t="inlineStr">
        <is>
          <t>A 2485-2025</t>
        </is>
      </c>
      <c r="B124" s="1" t="n">
        <v>45673</v>
      </c>
      <c r="C124" s="1" t="n">
        <v>45749</v>
      </c>
      <c r="D124" t="inlineStr">
        <is>
          <t>GOTLANDS LÄN</t>
        </is>
      </c>
      <c r="E124" t="inlineStr">
        <is>
          <t>GOTLAND</t>
        </is>
      </c>
      <c r="G124" t="n">
        <v>5</v>
      </c>
      <c r="H124" t="n">
        <v>2</v>
      </c>
      <c r="I124" t="n">
        <v>2</v>
      </c>
      <c r="J124" t="n">
        <v>0</v>
      </c>
      <c r="K124" t="n">
        <v>2</v>
      </c>
      <c r="L124" t="n">
        <v>0</v>
      </c>
      <c r="M124" t="n">
        <v>0</v>
      </c>
      <c r="N124" t="n">
        <v>0</v>
      </c>
      <c r="O124" t="n">
        <v>2</v>
      </c>
      <c r="P124" t="n">
        <v>2</v>
      </c>
      <c r="Q124" t="n">
        <v>4</v>
      </c>
      <c r="R124" s="2" t="inlineStr">
        <is>
          <t>Gotlandsmåra
Skogskorn
Nästrot
Skogsknipprot</t>
        </is>
      </c>
      <c r="S124">
        <f>HYPERLINK("https://klasma.github.io/Logging_0980/artfynd/A 2485-2025 artfynd.xlsx", "A 2485-2025")</f>
        <v/>
      </c>
      <c r="T124">
        <f>HYPERLINK("https://klasma.github.io/Logging_0980/kartor/A 2485-2025 karta.png", "A 2485-2025")</f>
        <v/>
      </c>
      <c r="V124">
        <f>HYPERLINK("https://klasma.github.io/Logging_0980/klagomål/A 2485-2025 FSC-klagomål.docx", "A 2485-2025")</f>
        <v/>
      </c>
      <c r="W124">
        <f>HYPERLINK("https://klasma.github.io/Logging_0980/klagomålsmail/A 2485-2025 FSC-klagomål mail.docx", "A 2485-2025")</f>
        <v/>
      </c>
      <c r="X124">
        <f>HYPERLINK("https://klasma.github.io/Logging_0980/tillsyn/A 2485-2025 tillsynsbegäran.docx", "A 2485-2025")</f>
        <v/>
      </c>
      <c r="Y124">
        <f>HYPERLINK("https://klasma.github.io/Logging_0980/tillsynsmail/A 2485-2025 tillsynsbegäran mail.docx", "A 2485-2025")</f>
        <v/>
      </c>
    </row>
    <row r="125" ht="15" customHeight="1">
      <c r="A125" t="inlineStr">
        <is>
          <t>A 66053-2019</t>
        </is>
      </c>
      <c r="B125" s="1" t="n">
        <v>43806</v>
      </c>
      <c r="C125" s="1" t="n">
        <v>45749</v>
      </c>
      <c r="D125" t="inlineStr">
        <is>
          <t>GOTLANDS LÄN</t>
        </is>
      </c>
      <c r="E125" t="inlineStr">
        <is>
          <t>GOTLAND</t>
        </is>
      </c>
      <c r="G125" t="n">
        <v>58.6</v>
      </c>
      <c r="H125" t="n">
        <v>2</v>
      </c>
      <c r="I125" t="n">
        <v>0</v>
      </c>
      <c r="J125" t="n">
        <v>1</v>
      </c>
      <c r="K125" t="n">
        <v>2</v>
      </c>
      <c r="L125" t="n">
        <v>0</v>
      </c>
      <c r="M125" t="n">
        <v>0</v>
      </c>
      <c r="N125" t="n">
        <v>0</v>
      </c>
      <c r="O125" t="n">
        <v>3</v>
      </c>
      <c r="P125" t="n">
        <v>2</v>
      </c>
      <c r="Q125" t="n">
        <v>3</v>
      </c>
      <c r="R125" s="2" t="inlineStr">
        <is>
          <t>Falsk guldskivlav
Garderönn
Apollofjäril</t>
        </is>
      </c>
      <c r="S125">
        <f>HYPERLINK("https://klasma.github.io/Logging_0980/artfynd/A 66053-2019 artfynd.xlsx", "A 66053-2019")</f>
        <v/>
      </c>
      <c r="T125">
        <f>HYPERLINK("https://klasma.github.io/Logging_0980/kartor/A 66053-2019 karta.png", "A 66053-2019")</f>
        <v/>
      </c>
      <c r="V125">
        <f>HYPERLINK("https://klasma.github.io/Logging_0980/klagomål/A 66053-2019 FSC-klagomål.docx", "A 66053-2019")</f>
        <v/>
      </c>
      <c r="W125">
        <f>HYPERLINK("https://klasma.github.io/Logging_0980/klagomålsmail/A 66053-2019 FSC-klagomål mail.docx", "A 66053-2019")</f>
        <v/>
      </c>
      <c r="X125">
        <f>HYPERLINK("https://klasma.github.io/Logging_0980/tillsyn/A 66053-2019 tillsynsbegäran.docx", "A 66053-2019")</f>
        <v/>
      </c>
      <c r="Y125">
        <f>HYPERLINK("https://klasma.github.io/Logging_0980/tillsynsmail/A 66053-2019 tillsynsbegäran mail.docx", "A 66053-2019")</f>
        <v/>
      </c>
    </row>
    <row r="126" ht="15" customHeight="1">
      <c r="A126" t="inlineStr">
        <is>
          <t>A 2536-2020</t>
        </is>
      </c>
      <c r="B126" s="1" t="n">
        <v>43847</v>
      </c>
      <c r="C126" s="1" t="n">
        <v>45749</v>
      </c>
      <c r="D126" t="inlineStr">
        <is>
          <t>GOTLANDS LÄN</t>
        </is>
      </c>
      <c r="E126" t="inlineStr">
        <is>
          <t>GOTLAND</t>
        </is>
      </c>
      <c r="G126" t="n">
        <v>4.2</v>
      </c>
      <c r="H126" t="n">
        <v>1</v>
      </c>
      <c r="I126" t="n">
        <v>0</v>
      </c>
      <c r="J126" t="n">
        <v>2</v>
      </c>
      <c r="K126" t="n">
        <v>0</v>
      </c>
      <c r="L126" t="n">
        <v>0</v>
      </c>
      <c r="M126" t="n">
        <v>0</v>
      </c>
      <c r="N126" t="n">
        <v>0</v>
      </c>
      <c r="O126" t="n">
        <v>2</v>
      </c>
      <c r="P126" t="n">
        <v>0</v>
      </c>
      <c r="Q126" t="n">
        <v>3</v>
      </c>
      <c r="R126" s="2" t="inlineStr">
        <is>
          <t>Backklöver
Svinrot
Blåsippa</t>
        </is>
      </c>
      <c r="S126">
        <f>HYPERLINK("https://klasma.github.io/Logging_0980/artfynd/A 2536-2020 artfynd.xlsx", "A 2536-2020")</f>
        <v/>
      </c>
      <c r="T126">
        <f>HYPERLINK("https://klasma.github.io/Logging_0980/kartor/A 2536-2020 karta.png", "A 2536-2020")</f>
        <v/>
      </c>
      <c r="V126">
        <f>HYPERLINK("https://klasma.github.io/Logging_0980/klagomål/A 2536-2020 FSC-klagomål.docx", "A 2536-2020")</f>
        <v/>
      </c>
      <c r="W126">
        <f>HYPERLINK("https://klasma.github.io/Logging_0980/klagomålsmail/A 2536-2020 FSC-klagomål mail.docx", "A 2536-2020")</f>
        <v/>
      </c>
      <c r="X126">
        <f>HYPERLINK("https://klasma.github.io/Logging_0980/tillsyn/A 2536-2020 tillsynsbegäran.docx", "A 2536-2020")</f>
        <v/>
      </c>
      <c r="Y126">
        <f>HYPERLINK("https://klasma.github.io/Logging_0980/tillsynsmail/A 2536-2020 tillsynsbegäran mail.docx", "A 2536-2020")</f>
        <v/>
      </c>
    </row>
    <row r="127" ht="15" customHeight="1">
      <c r="A127" t="inlineStr">
        <is>
          <t>A 3218-2020</t>
        </is>
      </c>
      <c r="B127" s="1" t="n">
        <v>43851</v>
      </c>
      <c r="C127" s="1" t="n">
        <v>45749</v>
      </c>
      <c r="D127" t="inlineStr">
        <is>
          <t>GOTLANDS LÄN</t>
        </is>
      </c>
      <c r="E127" t="inlineStr">
        <is>
          <t>GOTLAND</t>
        </is>
      </c>
      <c r="G127" t="n">
        <v>7.8</v>
      </c>
      <c r="H127" t="n">
        <v>3</v>
      </c>
      <c r="I127" t="n">
        <v>0</v>
      </c>
      <c r="J127" t="n">
        <v>0</v>
      </c>
      <c r="K127" t="n">
        <v>0</v>
      </c>
      <c r="L127" t="n">
        <v>0</v>
      </c>
      <c r="M127" t="n">
        <v>0</v>
      </c>
      <c r="N127" t="n">
        <v>0</v>
      </c>
      <c r="O127" t="n">
        <v>0</v>
      </c>
      <c r="P127" t="n">
        <v>0</v>
      </c>
      <c r="Q127" t="n">
        <v>3</v>
      </c>
      <c r="R127" s="2" t="inlineStr">
        <is>
          <t>Åkergroda
Mindre vattensalamander
Vanlig padda</t>
        </is>
      </c>
      <c r="S127">
        <f>HYPERLINK("https://klasma.github.io/Logging_0980/artfynd/A 3218-2020 artfynd.xlsx", "A 3218-2020")</f>
        <v/>
      </c>
      <c r="T127">
        <f>HYPERLINK("https://klasma.github.io/Logging_0980/kartor/A 3218-2020 karta.png", "A 3218-2020")</f>
        <v/>
      </c>
      <c r="V127">
        <f>HYPERLINK("https://klasma.github.io/Logging_0980/klagomål/A 3218-2020 FSC-klagomål.docx", "A 3218-2020")</f>
        <v/>
      </c>
      <c r="W127">
        <f>HYPERLINK("https://klasma.github.io/Logging_0980/klagomålsmail/A 3218-2020 FSC-klagomål mail.docx", "A 3218-2020")</f>
        <v/>
      </c>
      <c r="X127">
        <f>HYPERLINK("https://klasma.github.io/Logging_0980/tillsyn/A 3218-2020 tillsynsbegäran.docx", "A 3218-2020")</f>
        <v/>
      </c>
      <c r="Y127">
        <f>HYPERLINK("https://klasma.github.io/Logging_0980/tillsynsmail/A 3218-2020 tillsynsbegäran mail.docx", "A 3218-2020")</f>
        <v/>
      </c>
    </row>
    <row r="128" ht="15" customHeight="1">
      <c r="A128" t="inlineStr">
        <is>
          <t>A 7156-2020</t>
        </is>
      </c>
      <c r="B128" s="1" t="n">
        <v>43870</v>
      </c>
      <c r="C128" s="1" t="n">
        <v>45749</v>
      </c>
      <c r="D128" t="inlineStr">
        <is>
          <t>GOTLANDS LÄN</t>
        </is>
      </c>
      <c r="E128" t="inlineStr">
        <is>
          <t>GOTLAND</t>
        </is>
      </c>
      <c r="G128" t="n">
        <v>1.5</v>
      </c>
      <c r="H128" t="n">
        <v>1</v>
      </c>
      <c r="I128" t="n">
        <v>0</v>
      </c>
      <c r="J128" t="n">
        <v>2</v>
      </c>
      <c r="K128" t="n">
        <v>0</v>
      </c>
      <c r="L128" t="n">
        <v>0</v>
      </c>
      <c r="M128" t="n">
        <v>0</v>
      </c>
      <c r="N128" t="n">
        <v>0</v>
      </c>
      <c r="O128" t="n">
        <v>2</v>
      </c>
      <c r="P128" t="n">
        <v>0</v>
      </c>
      <c r="Q128" t="n">
        <v>3</v>
      </c>
      <c r="R128" s="2" t="inlineStr">
        <is>
          <t>Bolmört
Solvända
Sankt pers nycklar</t>
        </is>
      </c>
      <c r="S128">
        <f>HYPERLINK("https://klasma.github.io/Logging_0980/artfynd/A 7156-2020 artfynd.xlsx", "A 7156-2020")</f>
        <v/>
      </c>
      <c r="T128">
        <f>HYPERLINK("https://klasma.github.io/Logging_0980/kartor/A 7156-2020 karta.png", "A 7156-2020")</f>
        <v/>
      </c>
      <c r="V128">
        <f>HYPERLINK("https://klasma.github.io/Logging_0980/klagomål/A 7156-2020 FSC-klagomål.docx", "A 7156-2020")</f>
        <v/>
      </c>
      <c r="W128">
        <f>HYPERLINK("https://klasma.github.io/Logging_0980/klagomålsmail/A 7156-2020 FSC-klagomål mail.docx", "A 7156-2020")</f>
        <v/>
      </c>
      <c r="X128">
        <f>HYPERLINK("https://klasma.github.io/Logging_0980/tillsyn/A 7156-2020 tillsynsbegäran.docx", "A 7156-2020")</f>
        <v/>
      </c>
      <c r="Y128">
        <f>HYPERLINK("https://klasma.github.io/Logging_0980/tillsynsmail/A 7156-2020 tillsynsbegäran mail.docx", "A 7156-2020")</f>
        <v/>
      </c>
    </row>
    <row r="129" ht="15" customHeight="1">
      <c r="A129" t="inlineStr">
        <is>
          <t>A 10707-2020</t>
        </is>
      </c>
      <c r="B129" s="1" t="n">
        <v>43888</v>
      </c>
      <c r="C129" s="1" t="n">
        <v>45749</v>
      </c>
      <c r="D129" t="inlineStr">
        <is>
          <t>GOTLANDS LÄN</t>
        </is>
      </c>
      <c r="E129" t="inlineStr">
        <is>
          <t>GOTLAND</t>
        </is>
      </c>
      <c r="F129" t="inlineStr">
        <is>
          <t>Övriga statliga verk och myndigheter</t>
        </is>
      </c>
      <c r="G129" t="n">
        <v>27.7</v>
      </c>
      <c r="H129" t="n">
        <v>0</v>
      </c>
      <c r="I129" t="n">
        <v>0</v>
      </c>
      <c r="J129" t="n">
        <v>3</v>
      </c>
      <c r="K129" t="n">
        <v>0</v>
      </c>
      <c r="L129" t="n">
        <v>0</v>
      </c>
      <c r="M129" t="n">
        <v>0</v>
      </c>
      <c r="N129" t="n">
        <v>0</v>
      </c>
      <c r="O129" t="n">
        <v>3</v>
      </c>
      <c r="P129" t="n">
        <v>0</v>
      </c>
      <c r="Q129" t="n">
        <v>3</v>
      </c>
      <c r="R129" s="2" t="inlineStr">
        <is>
          <t>Grådådra
Mindre blåvinge
Ängsnätfjäril</t>
        </is>
      </c>
      <c r="S129">
        <f>HYPERLINK("https://klasma.github.io/Logging_0980/artfynd/A 10707-2020 artfynd.xlsx", "A 10707-2020")</f>
        <v/>
      </c>
      <c r="T129">
        <f>HYPERLINK("https://klasma.github.io/Logging_0980/kartor/A 10707-2020 karta.png", "A 10707-2020")</f>
        <v/>
      </c>
      <c r="V129">
        <f>HYPERLINK("https://klasma.github.io/Logging_0980/klagomål/A 10707-2020 FSC-klagomål.docx", "A 10707-2020")</f>
        <v/>
      </c>
      <c r="W129">
        <f>HYPERLINK("https://klasma.github.io/Logging_0980/klagomålsmail/A 10707-2020 FSC-klagomål mail.docx", "A 10707-2020")</f>
        <v/>
      </c>
      <c r="X129">
        <f>HYPERLINK("https://klasma.github.io/Logging_0980/tillsyn/A 10707-2020 tillsynsbegäran.docx", "A 10707-2020")</f>
        <v/>
      </c>
      <c r="Y129">
        <f>HYPERLINK("https://klasma.github.io/Logging_0980/tillsynsmail/A 10707-2020 tillsynsbegäran mail.docx", "A 10707-2020")</f>
        <v/>
      </c>
    </row>
    <row r="130" ht="15" customHeight="1">
      <c r="A130" t="inlineStr">
        <is>
          <t>A 55029-2020</t>
        </is>
      </c>
      <c r="B130" s="1" t="n">
        <v>44130</v>
      </c>
      <c r="C130" s="1" t="n">
        <v>45749</v>
      </c>
      <c r="D130" t="inlineStr">
        <is>
          <t>GOTLANDS LÄN</t>
        </is>
      </c>
      <c r="E130" t="inlineStr">
        <is>
          <t>GOTLAND</t>
        </is>
      </c>
      <c r="G130" t="n">
        <v>6.9</v>
      </c>
      <c r="H130" t="n">
        <v>1</v>
      </c>
      <c r="I130" t="n">
        <v>2</v>
      </c>
      <c r="J130" t="n">
        <v>1</v>
      </c>
      <c r="K130" t="n">
        <v>0</v>
      </c>
      <c r="L130" t="n">
        <v>0</v>
      </c>
      <c r="M130" t="n">
        <v>0</v>
      </c>
      <c r="N130" t="n">
        <v>0</v>
      </c>
      <c r="O130" t="n">
        <v>1</v>
      </c>
      <c r="P130" t="n">
        <v>0</v>
      </c>
      <c r="Q130" t="n">
        <v>3</v>
      </c>
      <c r="R130" s="2" t="inlineStr">
        <is>
          <t>Dårgräsfjäril
Anisspindling
Granbarkgnagare</t>
        </is>
      </c>
      <c r="S130">
        <f>HYPERLINK("https://klasma.github.io/Logging_0980/artfynd/A 55029-2020 artfynd.xlsx", "A 55029-2020")</f>
        <v/>
      </c>
      <c r="T130">
        <f>HYPERLINK("https://klasma.github.io/Logging_0980/kartor/A 55029-2020 karta.png", "A 55029-2020")</f>
        <v/>
      </c>
      <c r="V130">
        <f>HYPERLINK("https://klasma.github.io/Logging_0980/klagomål/A 55029-2020 FSC-klagomål.docx", "A 55029-2020")</f>
        <v/>
      </c>
      <c r="W130">
        <f>HYPERLINK("https://klasma.github.io/Logging_0980/klagomålsmail/A 55029-2020 FSC-klagomål mail.docx", "A 55029-2020")</f>
        <v/>
      </c>
      <c r="X130">
        <f>HYPERLINK("https://klasma.github.io/Logging_0980/tillsyn/A 55029-2020 tillsynsbegäran.docx", "A 55029-2020")</f>
        <v/>
      </c>
      <c r="Y130">
        <f>HYPERLINK("https://klasma.github.io/Logging_0980/tillsynsmail/A 55029-2020 tillsynsbegäran mail.docx", "A 55029-2020")</f>
        <v/>
      </c>
    </row>
    <row r="131" ht="15" customHeight="1">
      <c r="A131" t="inlineStr">
        <is>
          <t>A 62326-2020</t>
        </is>
      </c>
      <c r="B131" s="1" t="n">
        <v>44160</v>
      </c>
      <c r="C131" s="1" t="n">
        <v>45749</v>
      </c>
      <c r="D131" t="inlineStr">
        <is>
          <t>GOTLANDS LÄN</t>
        </is>
      </c>
      <c r="E131" t="inlineStr">
        <is>
          <t>GOTLAND</t>
        </is>
      </c>
      <c r="G131" t="n">
        <v>7.4</v>
      </c>
      <c r="H131" t="n">
        <v>1</v>
      </c>
      <c r="I131" t="n">
        <v>3</v>
      </c>
      <c r="J131" t="n">
        <v>0</v>
      </c>
      <c r="K131" t="n">
        <v>0</v>
      </c>
      <c r="L131" t="n">
        <v>0</v>
      </c>
      <c r="M131" t="n">
        <v>0</v>
      </c>
      <c r="N131" t="n">
        <v>0</v>
      </c>
      <c r="O131" t="n">
        <v>0</v>
      </c>
      <c r="P131" t="n">
        <v>0</v>
      </c>
      <c r="Q131" t="n">
        <v>3</v>
      </c>
      <c r="R131" s="2" t="inlineStr">
        <is>
          <t>Anisspindling
Blåmossa
Skogsknipprot</t>
        </is>
      </c>
      <c r="S131">
        <f>HYPERLINK("https://klasma.github.io/Logging_0980/artfynd/A 62326-2020 artfynd.xlsx", "A 62326-2020")</f>
        <v/>
      </c>
      <c r="T131">
        <f>HYPERLINK("https://klasma.github.io/Logging_0980/kartor/A 62326-2020 karta.png", "A 62326-2020")</f>
        <v/>
      </c>
      <c r="V131">
        <f>HYPERLINK("https://klasma.github.io/Logging_0980/klagomål/A 62326-2020 FSC-klagomål.docx", "A 62326-2020")</f>
        <v/>
      </c>
      <c r="W131">
        <f>HYPERLINK("https://klasma.github.io/Logging_0980/klagomålsmail/A 62326-2020 FSC-klagomål mail.docx", "A 62326-2020")</f>
        <v/>
      </c>
      <c r="X131">
        <f>HYPERLINK("https://klasma.github.io/Logging_0980/tillsyn/A 62326-2020 tillsynsbegäran.docx", "A 62326-2020")</f>
        <v/>
      </c>
      <c r="Y131">
        <f>HYPERLINK("https://klasma.github.io/Logging_0980/tillsynsmail/A 62326-2020 tillsynsbegäran mail.docx", "A 62326-2020")</f>
        <v/>
      </c>
    </row>
    <row r="132" ht="15" customHeight="1">
      <c r="A132" t="inlineStr">
        <is>
          <t>A 2332-2021</t>
        </is>
      </c>
      <c r="B132" s="1" t="n">
        <v>44214</v>
      </c>
      <c r="C132" s="1" t="n">
        <v>45749</v>
      </c>
      <c r="D132" t="inlineStr">
        <is>
          <t>GOTLANDS LÄN</t>
        </is>
      </c>
      <c r="E132" t="inlineStr">
        <is>
          <t>GOTLAND</t>
        </is>
      </c>
      <c r="G132" t="n">
        <v>2.3</v>
      </c>
      <c r="H132" t="n">
        <v>2</v>
      </c>
      <c r="I132" t="n">
        <v>0</v>
      </c>
      <c r="J132" t="n">
        <v>1</v>
      </c>
      <c r="K132" t="n">
        <v>0</v>
      </c>
      <c r="L132" t="n">
        <v>0</v>
      </c>
      <c r="M132" t="n">
        <v>0</v>
      </c>
      <c r="N132" t="n">
        <v>0</v>
      </c>
      <c r="O132" t="n">
        <v>1</v>
      </c>
      <c r="P132" t="n">
        <v>0</v>
      </c>
      <c r="Q132" t="n">
        <v>3</v>
      </c>
      <c r="R132" s="2" t="inlineStr">
        <is>
          <t>Korpnopping
Sankt pers nycklar
Blåsippa</t>
        </is>
      </c>
      <c r="S132">
        <f>HYPERLINK("https://klasma.github.io/Logging_0980/artfynd/A 2332-2021 artfynd.xlsx", "A 2332-2021")</f>
        <v/>
      </c>
      <c r="T132">
        <f>HYPERLINK("https://klasma.github.io/Logging_0980/kartor/A 2332-2021 karta.png", "A 2332-2021")</f>
        <v/>
      </c>
      <c r="V132">
        <f>HYPERLINK("https://klasma.github.io/Logging_0980/klagomål/A 2332-2021 FSC-klagomål.docx", "A 2332-2021")</f>
        <v/>
      </c>
      <c r="W132">
        <f>HYPERLINK("https://klasma.github.io/Logging_0980/klagomålsmail/A 2332-2021 FSC-klagomål mail.docx", "A 2332-2021")</f>
        <v/>
      </c>
      <c r="X132">
        <f>HYPERLINK("https://klasma.github.io/Logging_0980/tillsyn/A 2332-2021 tillsynsbegäran.docx", "A 2332-2021")</f>
        <v/>
      </c>
      <c r="Y132">
        <f>HYPERLINK("https://klasma.github.io/Logging_0980/tillsynsmail/A 2332-2021 tillsynsbegäran mail.docx", "A 2332-2021")</f>
        <v/>
      </c>
    </row>
    <row r="133" ht="15" customHeight="1">
      <c r="A133" t="inlineStr">
        <is>
          <t>A 12519-2021</t>
        </is>
      </c>
      <c r="B133" s="1" t="n">
        <v>44269</v>
      </c>
      <c r="C133" s="1" t="n">
        <v>45749</v>
      </c>
      <c r="D133" t="inlineStr">
        <is>
          <t>GOTLANDS LÄN</t>
        </is>
      </c>
      <c r="E133" t="inlineStr">
        <is>
          <t>GOTLAND</t>
        </is>
      </c>
      <c r="F133" t="inlineStr">
        <is>
          <t>Kyrkan</t>
        </is>
      </c>
      <c r="G133" t="n">
        <v>3.4</v>
      </c>
      <c r="H133" t="n">
        <v>0</v>
      </c>
      <c r="I133" t="n">
        <v>2</v>
      </c>
      <c r="J133" t="n">
        <v>1</v>
      </c>
      <c r="K133" t="n">
        <v>0</v>
      </c>
      <c r="L133" t="n">
        <v>0</v>
      </c>
      <c r="M133" t="n">
        <v>0</v>
      </c>
      <c r="N133" t="n">
        <v>0</v>
      </c>
      <c r="O133" t="n">
        <v>1</v>
      </c>
      <c r="P133" t="n">
        <v>0</v>
      </c>
      <c r="Q133" t="n">
        <v>3</v>
      </c>
      <c r="R133" s="2" t="inlineStr">
        <is>
          <t>Loppstarr
Rödgul trumpetsvamp
Vågbandad barkbock</t>
        </is>
      </c>
      <c r="S133">
        <f>HYPERLINK("https://klasma.github.io/Logging_0980/artfynd/A 12519-2021 artfynd.xlsx", "A 12519-2021")</f>
        <v/>
      </c>
      <c r="T133">
        <f>HYPERLINK("https://klasma.github.io/Logging_0980/kartor/A 12519-2021 karta.png", "A 12519-2021")</f>
        <v/>
      </c>
      <c r="V133">
        <f>HYPERLINK("https://klasma.github.io/Logging_0980/klagomål/A 12519-2021 FSC-klagomål.docx", "A 12519-2021")</f>
        <v/>
      </c>
      <c r="W133">
        <f>HYPERLINK("https://klasma.github.io/Logging_0980/klagomålsmail/A 12519-2021 FSC-klagomål mail.docx", "A 12519-2021")</f>
        <v/>
      </c>
      <c r="X133">
        <f>HYPERLINK("https://klasma.github.io/Logging_0980/tillsyn/A 12519-2021 tillsynsbegäran.docx", "A 12519-2021")</f>
        <v/>
      </c>
      <c r="Y133">
        <f>HYPERLINK("https://klasma.github.io/Logging_0980/tillsynsmail/A 12519-2021 tillsynsbegäran mail.docx", "A 12519-2021")</f>
        <v/>
      </c>
    </row>
    <row r="134" ht="15" customHeight="1">
      <c r="A134" t="inlineStr">
        <is>
          <t>A 32666-2021</t>
        </is>
      </c>
      <c r="B134" s="1" t="n">
        <v>44375</v>
      </c>
      <c r="C134" s="1" t="n">
        <v>45749</v>
      </c>
      <c r="D134" t="inlineStr">
        <is>
          <t>GOTLANDS LÄN</t>
        </is>
      </c>
      <c r="E134" t="inlineStr">
        <is>
          <t>GOTLAND</t>
        </is>
      </c>
      <c r="G134" t="n">
        <v>0.9</v>
      </c>
      <c r="H134" t="n">
        <v>1</v>
      </c>
      <c r="I134" t="n">
        <v>2</v>
      </c>
      <c r="J134" t="n">
        <v>0</v>
      </c>
      <c r="K134" t="n">
        <v>1</v>
      </c>
      <c r="L134" t="n">
        <v>0</v>
      </c>
      <c r="M134" t="n">
        <v>0</v>
      </c>
      <c r="N134" t="n">
        <v>0</v>
      </c>
      <c r="O134" t="n">
        <v>1</v>
      </c>
      <c r="P134" t="n">
        <v>1</v>
      </c>
      <c r="Q134" t="n">
        <v>3</v>
      </c>
      <c r="R134" s="2" t="inlineStr">
        <is>
          <t>Skogskorn
Myskmadra
Vit skogslilja</t>
        </is>
      </c>
      <c r="S134">
        <f>HYPERLINK("https://klasma.github.io/Logging_0980/artfynd/A 32666-2021 artfynd.xlsx", "A 32666-2021")</f>
        <v/>
      </c>
      <c r="T134">
        <f>HYPERLINK("https://klasma.github.io/Logging_0980/kartor/A 32666-2021 karta.png", "A 32666-2021")</f>
        <v/>
      </c>
      <c r="V134">
        <f>HYPERLINK("https://klasma.github.io/Logging_0980/klagomål/A 32666-2021 FSC-klagomål.docx", "A 32666-2021")</f>
        <v/>
      </c>
      <c r="W134">
        <f>HYPERLINK("https://klasma.github.io/Logging_0980/klagomålsmail/A 32666-2021 FSC-klagomål mail.docx", "A 32666-2021")</f>
        <v/>
      </c>
      <c r="X134">
        <f>HYPERLINK("https://klasma.github.io/Logging_0980/tillsyn/A 32666-2021 tillsynsbegäran.docx", "A 32666-2021")</f>
        <v/>
      </c>
      <c r="Y134">
        <f>HYPERLINK("https://klasma.github.io/Logging_0980/tillsynsmail/A 32666-2021 tillsynsbegäran mail.docx", "A 32666-2021")</f>
        <v/>
      </c>
    </row>
    <row r="135" ht="15" customHeight="1">
      <c r="A135" t="inlineStr">
        <is>
          <t>A 32718-2021</t>
        </is>
      </c>
      <c r="B135" s="1" t="n">
        <v>44375</v>
      </c>
      <c r="C135" s="1" t="n">
        <v>45749</v>
      </c>
      <c r="D135" t="inlineStr">
        <is>
          <t>GOTLANDS LÄN</t>
        </is>
      </c>
      <c r="E135" t="inlineStr">
        <is>
          <t>GOTLAND</t>
        </is>
      </c>
      <c r="G135" t="n">
        <v>2.1</v>
      </c>
      <c r="H135" t="n">
        <v>0</v>
      </c>
      <c r="I135" t="n">
        <v>1</v>
      </c>
      <c r="J135" t="n">
        <v>1</v>
      </c>
      <c r="K135" t="n">
        <v>1</v>
      </c>
      <c r="L135" t="n">
        <v>0</v>
      </c>
      <c r="M135" t="n">
        <v>0</v>
      </c>
      <c r="N135" t="n">
        <v>0</v>
      </c>
      <c r="O135" t="n">
        <v>2</v>
      </c>
      <c r="P135" t="n">
        <v>1</v>
      </c>
      <c r="Q135" t="n">
        <v>3</v>
      </c>
      <c r="R135" s="2" t="inlineStr">
        <is>
          <t>Skogskorn
Skugglosta
Strävlosta</t>
        </is>
      </c>
      <c r="S135">
        <f>HYPERLINK("https://klasma.github.io/Logging_0980/artfynd/A 32718-2021 artfynd.xlsx", "A 32718-2021")</f>
        <v/>
      </c>
      <c r="T135">
        <f>HYPERLINK("https://klasma.github.io/Logging_0980/kartor/A 32718-2021 karta.png", "A 32718-2021")</f>
        <v/>
      </c>
      <c r="V135">
        <f>HYPERLINK("https://klasma.github.io/Logging_0980/klagomål/A 32718-2021 FSC-klagomål.docx", "A 32718-2021")</f>
        <v/>
      </c>
      <c r="W135">
        <f>HYPERLINK("https://klasma.github.io/Logging_0980/klagomålsmail/A 32718-2021 FSC-klagomål mail.docx", "A 32718-2021")</f>
        <v/>
      </c>
      <c r="X135">
        <f>HYPERLINK("https://klasma.github.io/Logging_0980/tillsyn/A 32718-2021 tillsynsbegäran.docx", "A 32718-2021")</f>
        <v/>
      </c>
      <c r="Y135">
        <f>HYPERLINK("https://klasma.github.io/Logging_0980/tillsynsmail/A 32718-2021 tillsynsbegäran mail.docx", "A 32718-2021")</f>
        <v/>
      </c>
    </row>
    <row r="136" ht="15" customHeight="1">
      <c r="A136" t="inlineStr">
        <is>
          <t>A 44323-2021</t>
        </is>
      </c>
      <c r="B136" s="1" t="n">
        <v>44434</v>
      </c>
      <c r="C136" s="1" t="n">
        <v>45749</v>
      </c>
      <c r="D136" t="inlineStr">
        <is>
          <t>GOTLANDS LÄN</t>
        </is>
      </c>
      <c r="E136" t="inlineStr">
        <is>
          <t>GOTLAND</t>
        </is>
      </c>
      <c r="G136" t="n">
        <v>7.5</v>
      </c>
      <c r="H136" t="n">
        <v>1</v>
      </c>
      <c r="I136" t="n">
        <v>3</v>
      </c>
      <c r="J136" t="n">
        <v>0</v>
      </c>
      <c r="K136" t="n">
        <v>0</v>
      </c>
      <c r="L136" t="n">
        <v>0</v>
      </c>
      <c r="M136" t="n">
        <v>0</v>
      </c>
      <c r="N136" t="n">
        <v>0</v>
      </c>
      <c r="O136" t="n">
        <v>0</v>
      </c>
      <c r="P136" t="n">
        <v>0</v>
      </c>
      <c r="Q136" t="n">
        <v>3</v>
      </c>
      <c r="R136" s="2" t="inlineStr">
        <is>
          <t>Anisspindling
Barrfagerspindling
Skogsknipprot</t>
        </is>
      </c>
      <c r="S136">
        <f>HYPERLINK("https://klasma.github.io/Logging_0980/artfynd/A 44323-2021 artfynd.xlsx", "A 44323-2021")</f>
        <v/>
      </c>
      <c r="T136">
        <f>HYPERLINK("https://klasma.github.io/Logging_0980/kartor/A 44323-2021 karta.png", "A 44323-2021")</f>
        <v/>
      </c>
      <c r="V136">
        <f>HYPERLINK("https://klasma.github.io/Logging_0980/klagomål/A 44323-2021 FSC-klagomål.docx", "A 44323-2021")</f>
        <v/>
      </c>
      <c r="W136">
        <f>HYPERLINK("https://klasma.github.io/Logging_0980/klagomålsmail/A 44323-2021 FSC-klagomål mail.docx", "A 44323-2021")</f>
        <v/>
      </c>
      <c r="X136">
        <f>HYPERLINK("https://klasma.github.io/Logging_0980/tillsyn/A 44323-2021 tillsynsbegäran.docx", "A 44323-2021")</f>
        <v/>
      </c>
      <c r="Y136">
        <f>HYPERLINK("https://klasma.github.io/Logging_0980/tillsynsmail/A 44323-2021 tillsynsbegäran mail.docx", "A 44323-2021")</f>
        <v/>
      </c>
    </row>
    <row r="137" ht="15" customHeight="1">
      <c r="A137" t="inlineStr">
        <is>
          <t>A 53552-2021</t>
        </is>
      </c>
      <c r="B137" s="1" t="n">
        <v>44468</v>
      </c>
      <c r="C137" s="1" t="n">
        <v>45749</v>
      </c>
      <c r="D137" t="inlineStr">
        <is>
          <t>GOTLANDS LÄN</t>
        </is>
      </c>
      <c r="E137" t="inlineStr">
        <is>
          <t>GOTLAND</t>
        </is>
      </c>
      <c r="G137" t="n">
        <v>6.2</v>
      </c>
      <c r="H137" t="n">
        <v>2</v>
      </c>
      <c r="I137" t="n">
        <v>0</v>
      </c>
      <c r="J137" t="n">
        <v>1</v>
      </c>
      <c r="K137" t="n">
        <v>0</v>
      </c>
      <c r="L137" t="n">
        <v>0</v>
      </c>
      <c r="M137" t="n">
        <v>0</v>
      </c>
      <c r="N137" t="n">
        <v>0</v>
      </c>
      <c r="O137" t="n">
        <v>1</v>
      </c>
      <c r="P137" t="n">
        <v>0</v>
      </c>
      <c r="Q137" t="n">
        <v>3</v>
      </c>
      <c r="R137" s="2" t="inlineStr">
        <is>
          <t>Bredbrämad bastardsvärmare
Grönvit nattviol
Gullviva</t>
        </is>
      </c>
      <c r="S137">
        <f>HYPERLINK("https://klasma.github.io/Logging_0980/artfynd/A 53552-2021 artfynd.xlsx", "A 53552-2021")</f>
        <v/>
      </c>
      <c r="T137">
        <f>HYPERLINK("https://klasma.github.io/Logging_0980/kartor/A 53552-2021 karta.png", "A 53552-2021")</f>
        <v/>
      </c>
      <c r="V137">
        <f>HYPERLINK("https://klasma.github.io/Logging_0980/klagomål/A 53552-2021 FSC-klagomål.docx", "A 53552-2021")</f>
        <v/>
      </c>
      <c r="W137">
        <f>HYPERLINK("https://klasma.github.io/Logging_0980/klagomålsmail/A 53552-2021 FSC-klagomål mail.docx", "A 53552-2021")</f>
        <v/>
      </c>
      <c r="X137">
        <f>HYPERLINK("https://klasma.github.io/Logging_0980/tillsyn/A 53552-2021 tillsynsbegäran.docx", "A 53552-2021")</f>
        <v/>
      </c>
      <c r="Y137">
        <f>HYPERLINK("https://klasma.github.io/Logging_0980/tillsynsmail/A 53552-2021 tillsynsbegäran mail.docx", "A 53552-2021")</f>
        <v/>
      </c>
    </row>
    <row r="138" ht="15" customHeight="1">
      <c r="A138" t="inlineStr">
        <is>
          <t>A 58821-2021</t>
        </is>
      </c>
      <c r="B138" s="1" t="n">
        <v>44489</v>
      </c>
      <c r="C138" s="1" t="n">
        <v>45749</v>
      </c>
      <c r="D138" t="inlineStr">
        <is>
          <t>GOTLANDS LÄN</t>
        </is>
      </c>
      <c r="E138" t="inlineStr">
        <is>
          <t>GOTLAND</t>
        </is>
      </c>
      <c r="G138" t="n">
        <v>2.5</v>
      </c>
      <c r="H138" t="n">
        <v>3</v>
      </c>
      <c r="I138" t="n">
        <v>1</v>
      </c>
      <c r="J138" t="n">
        <v>2</v>
      </c>
      <c r="K138" t="n">
        <v>0</v>
      </c>
      <c r="L138" t="n">
        <v>0</v>
      </c>
      <c r="M138" t="n">
        <v>0</v>
      </c>
      <c r="N138" t="n">
        <v>0</v>
      </c>
      <c r="O138" t="n">
        <v>2</v>
      </c>
      <c r="P138" t="n">
        <v>0</v>
      </c>
      <c r="Q138" t="n">
        <v>3</v>
      </c>
      <c r="R138" s="2" t="inlineStr">
        <is>
          <t>Apollofjäril
Svartfläckig blåvinge
Nästrot</t>
        </is>
      </c>
      <c r="S138">
        <f>HYPERLINK("https://klasma.github.io/Logging_0980/artfynd/A 58821-2021 artfynd.xlsx", "A 58821-2021")</f>
        <v/>
      </c>
      <c r="T138">
        <f>HYPERLINK("https://klasma.github.io/Logging_0980/kartor/A 58821-2021 karta.png", "A 58821-2021")</f>
        <v/>
      </c>
      <c r="V138">
        <f>HYPERLINK("https://klasma.github.io/Logging_0980/klagomål/A 58821-2021 FSC-klagomål.docx", "A 58821-2021")</f>
        <v/>
      </c>
      <c r="W138">
        <f>HYPERLINK("https://klasma.github.io/Logging_0980/klagomålsmail/A 58821-2021 FSC-klagomål mail.docx", "A 58821-2021")</f>
        <v/>
      </c>
      <c r="X138">
        <f>HYPERLINK("https://klasma.github.io/Logging_0980/tillsyn/A 58821-2021 tillsynsbegäran.docx", "A 58821-2021")</f>
        <v/>
      </c>
      <c r="Y138">
        <f>HYPERLINK("https://klasma.github.io/Logging_0980/tillsynsmail/A 58821-2021 tillsynsbegäran mail.docx", "A 58821-2021")</f>
        <v/>
      </c>
    </row>
    <row r="139" ht="15" customHeight="1">
      <c r="A139" t="inlineStr">
        <is>
          <t>A 13499-2022</t>
        </is>
      </c>
      <c r="B139" s="1" t="n">
        <v>44647</v>
      </c>
      <c r="C139" s="1" t="n">
        <v>45749</v>
      </c>
      <c r="D139" t="inlineStr">
        <is>
          <t>GOTLANDS LÄN</t>
        </is>
      </c>
      <c r="E139" t="inlineStr">
        <is>
          <t>GOTLAND</t>
        </is>
      </c>
      <c r="G139" t="n">
        <v>6.8</v>
      </c>
      <c r="H139" t="n">
        <v>3</v>
      </c>
      <c r="I139" t="n">
        <v>0</v>
      </c>
      <c r="J139" t="n">
        <v>1</v>
      </c>
      <c r="K139" t="n">
        <v>0</v>
      </c>
      <c r="L139" t="n">
        <v>0</v>
      </c>
      <c r="M139" t="n">
        <v>0</v>
      </c>
      <c r="N139" t="n">
        <v>0</v>
      </c>
      <c r="O139" t="n">
        <v>1</v>
      </c>
      <c r="P139" t="n">
        <v>0</v>
      </c>
      <c r="Q139" t="n">
        <v>3</v>
      </c>
      <c r="R139" s="2" t="inlineStr">
        <is>
          <t>Spillkråka
Sankt pers nycklar
Blåsippa</t>
        </is>
      </c>
      <c r="S139">
        <f>HYPERLINK("https://klasma.github.io/Logging_0980/artfynd/A 13499-2022 artfynd.xlsx", "A 13499-2022")</f>
        <v/>
      </c>
      <c r="T139">
        <f>HYPERLINK("https://klasma.github.io/Logging_0980/kartor/A 13499-2022 karta.png", "A 13499-2022")</f>
        <v/>
      </c>
      <c r="V139">
        <f>HYPERLINK("https://klasma.github.io/Logging_0980/klagomål/A 13499-2022 FSC-klagomål.docx", "A 13499-2022")</f>
        <v/>
      </c>
      <c r="W139">
        <f>HYPERLINK("https://klasma.github.io/Logging_0980/klagomålsmail/A 13499-2022 FSC-klagomål mail.docx", "A 13499-2022")</f>
        <v/>
      </c>
      <c r="X139">
        <f>HYPERLINK("https://klasma.github.io/Logging_0980/tillsyn/A 13499-2022 tillsynsbegäran.docx", "A 13499-2022")</f>
        <v/>
      </c>
      <c r="Y139">
        <f>HYPERLINK("https://klasma.github.io/Logging_0980/tillsynsmail/A 13499-2022 tillsynsbegäran mail.docx", "A 13499-2022")</f>
        <v/>
      </c>
      <c r="Z139">
        <f>HYPERLINK("https://klasma.github.io/Logging_0980/fåglar/A 13499-2022 prioriterade fågelarter.docx", "A 13499-2022")</f>
        <v/>
      </c>
    </row>
    <row r="140" ht="15" customHeight="1">
      <c r="A140" t="inlineStr">
        <is>
          <t>A 43013-2022</t>
        </is>
      </c>
      <c r="B140" s="1" t="n">
        <v>44833</v>
      </c>
      <c r="C140" s="1" t="n">
        <v>45749</v>
      </c>
      <c r="D140" t="inlineStr">
        <is>
          <t>GOTLANDS LÄN</t>
        </is>
      </c>
      <c r="E140" t="inlineStr">
        <is>
          <t>GOTLAND</t>
        </is>
      </c>
      <c r="G140" t="n">
        <v>9.300000000000001</v>
      </c>
      <c r="H140" t="n">
        <v>0</v>
      </c>
      <c r="I140" t="n">
        <v>2</v>
      </c>
      <c r="J140" t="n">
        <v>0</v>
      </c>
      <c r="K140" t="n">
        <v>1</v>
      </c>
      <c r="L140" t="n">
        <v>0</v>
      </c>
      <c r="M140" t="n">
        <v>0</v>
      </c>
      <c r="N140" t="n">
        <v>0</v>
      </c>
      <c r="O140" t="n">
        <v>1</v>
      </c>
      <c r="P140" t="n">
        <v>1</v>
      </c>
      <c r="Q140" t="n">
        <v>3</v>
      </c>
      <c r="R140" s="2" t="inlineStr">
        <is>
          <t>Violettfläckig spindling
Anisspindling
Blå slemspindling</t>
        </is>
      </c>
      <c r="S140">
        <f>HYPERLINK("https://klasma.github.io/Logging_0980/artfynd/A 43013-2022 artfynd.xlsx", "A 43013-2022")</f>
        <v/>
      </c>
      <c r="T140">
        <f>HYPERLINK("https://klasma.github.io/Logging_0980/kartor/A 43013-2022 karta.png", "A 43013-2022")</f>
        <v/>
      </c>
      <c r="V140">
        <f>HYPERLINK("https://klasma.github.io/Logging_0980/klagomål/A 43013-2022 FSC-klagomål.docx", "A 43013-2022")</f>
        <v/>
      </c>
      <c r="W140">
        <f>HYPERLINK("https://klasma.github.io/Logging_0980/klagomålsmail/A 43013-2022 FSC-klagomål mail.docx", "A 43013-2022")</f>
        <v/>
      </c>
      <c r="X140">
        <f>HYPERLINK("https://klasma.github.io/Logging_0980/tillsyn/A 43013-2022 tillsynsbegäran.docx", "A 43013-2022")</f>
        <v/>
      </c>
      <c r="Y140">
        <f>HYPERLINK("https://klasma.github.io/Logging_0980/tillsynsmail/A 43013-2022 tillsynsbegäran mail.docx", "A 43013-2022")</f>
        <v/>
      </c>
    </row>
    <row r="141" ht="15" customHeight="1">
      <c r="A141" t="inlineStr">
        <is>
          <t>A 44913-2022</t>
        </is>
      </c>
      <c r="B141" s="1" t="n">
        <v>44841</v>
      </c>
      <c r="C141" s="1" t="n">
        <v>45749</v>
      </c>
      <c r="D141" t="inlineStr">
        <is>
          <t>GOTLANDS LÄN</t>
        </is>
      </c>
      <c r="E141" t="inlineStr">
        <is>
          <t>GOTLAND</t>
        </is>
      </c>
      <c r="G141" t="n">
        <v>8.800000000000001</v>
      </c>
      <c r="H141" t="n">
        <v>1</v>
      </c>
      <c r="I141" t="n">
        <v>1</v>
      </c>
      <c r="J141" t="n">
        <v>1</v>
      </c>
      <c r="K141" t="n">
        <v>0</v>
      </c>
      <c r="L141" t="n">
        <v>0</v>
      </c>
      <c r="M141" t="n">
        <v>0</v>
      </c>
      <c r="N141" t="n">
        <v>0</v>
      </c>
      <c r="O141" t="n">
        <v>1</v>
      </c>
      <c r="P141" t="n">
        <v>0</v>
      </c>
      <c r="Q141" t="n">
        <v>3</v>
      </c>
      <c r="R141" s="2" t="inlineStr">
        <is>
          <t>Odörspindling
Granbarkgnagare
Kärrknipprot</t>
        </is>
      </c>
      <c r="S141">
        <f>HYPERLINK("https://klasma.github.io/Logging_0980/artfynd/A 44913-2022 artfynd.xlsx", "A 44913-2022")</f>
        <v/>
      </c>
      <c r="T141">
        <f>HYPERLINK("https://klasma.github.io/Logging_0980/kartor/A 44913-2022 karta.png", "A 44913-2022")</f>
        <v/>
      </c>
      <c r="V141">
        <f>HYPERLINK("https://klasma.github.io/Logging_0980/klagomål/A 44913-2022 FSC-klagomål.docx", "A 44913-2022")</f>
        <v/>
      </c>
      <c r="W141">
        <f>HYPERLINK("https://klasma.github.io/Logging_0980/klagomålsmail/A 44913-2022 FSC-klagomål mail.docx", "A 44913-2022")</f>
        <v/>
      </c>
      <c r="X141">
        <f>HYPERLINK("https://klasma.github.io/Logging_0980/tillsyn/A 44913-2022 tillsynsbegäran.docx", "A 44913-2022")</f>
        <v/>
      </c>
      <c r="Y141">
        <f>HYPERLINK("https://klasma.github.io/Logging_0980/tillsynsmail/A 44913-2022 tillsynsbegäran mail.docx", "A 44913-2022")</f>
        <v/>
      </c>
    </row>
    <row r="142" ht="15" customHeight="1">
      <c r="A142" t="inlineStr">
        <is>
          <t>A 17982-2023</t>
        </is>
      </c>
      <c r="B142" s="1" t="n">
        <v>45040</v>
      </c>
      <c r="C142" s="1" t="n">
        <v>45749</v>
      </c>
      <c r="D142" t="inlineStr">
        <is>
          <t>GOTLANDS LÄN</t>
        </is>
      </c>
      <c r="E142" t="inlineStr">
        <is>
          <t>GOTLAND</t>
        </is>
      </c>
      <c r="G142" t="n">
        <v>2.2</v>
      </c>
      <c r="H142" t="n">
        <v>0</v>
      </c>
      <c r="I142" t="n">
        <v>0</v>
      </c>
      <c r="J142" t="n">
        <v>2</v>
      </c>
      <c r="K142" t="n">
        <v>0</v>
      </c>
      <c r="L142" t="n">
        <v>0</v>
      </c>
      <c r="M142" t="n">
        <v>1</v>
      </c>
      <c r="N142" t="n">
        <v>0</v>
      </c>
      <c r="O142" t="n">
        <v>3</v>
      </c>
      <c r="P142" t="n">
        <v>1</v>
      </c>
      <c r="Q142" t="n">
        <v>3</v>
      </c>
      <c r="R142" s="2" t="inlineStr">
        <is>
          <t>Lundalm
Krusfrö
Ängsskära</t>
        </is>
      </c>
      <c r="S142">
        <f>HYPERLINK("https://klasma.github.io/Logging_0980/artfynd/A 17982-2023 artfynd.xlsx", "A 17982-2023")</f>
        <v/>
      </c>
      <c r="T142">
        <f>HYPERLINK("https://klasma.github.io/Logging_0980/kartor/A 17982-2023 karta.png", "A 17982-2023")</f>
        <v/>
      </c>
      <c r="V142">
        <f>HYPERLINK("https://klasma.github.io/Logging_0980/klagomål/A 17982-2023 FSC-klagomål.docx", "A 17982-2023")</f>
        <v/>
      </c>
      <c r="W142">
        <f>HYPERLINK("https://klasma.github.io/Logging_0980/klagomålsmail/A 17982-2023 FSC-klagomål mail.docx", "A 17982-2023")</f>
        <v/>
      </c>
      <c r="X142">
        <f>HYPERLINK("https://klasma.github.io/Logging_0980/tillsyn/A 17982-2023 tillsynsbegäran.docx", "A 17982-2023")</f>
        <v/>
      </c>
      <c r="Y142">
        <f>HYPERLINK("https://klasma.github.io/Logging_0980/tillsynsmail/A 17982-2023 tillsynsbegäran mail.docx", "A 17982-2023")</f>
        <v/>
      </c>
    </row>
    <row r="143" ht="15" customHeight="1">
      <c r="A143" t="inlineStr">
        <is>
          <t>A 27041-2023</t>
        </is>
      </c>
      <c r="B143" s="1" t="n">
        <v>45095</v>
      </c>
      <c r="C143" s="1" t="n">
        <v>45749</v>
      </c>
      <c r="D143" t="inlineStr">
        <is>
          <t>GOTLANDS LÄN</t>
        </is>
      </c>
      <c r="E143" t="inlineStr">
        <is>
          <t>GOTLAND</t>
        </is>
      </c>
      <c r="G143" t="n">
        <v>5.3</v>
      </c>
      <c r="H143" t="n">
        <v>0</v>
      </c>
      <c r="I143" t="n">
        <v>2</v>
      </c>
      <c r="J143" t="n">
        <v>1</v>
      </c>
      <c r="K143" t="n">
        <v>0</v>
      </c>
      <c r="L143" t="n">
        <v>0</v>
      </c>
      <c r="M143" t="n">
        <v>0</v>
      </c>
      <c r="N143" t="n">
        <v>0</v>
      </c>
      <c r="O143" t="n">
        <v>1</v>
      </c>
      <c r="P143" t="n">
        <v>0</v>
      </c>
      <c r="Q143" t="n">
        <v>3</v>
      </c>
      <c r="R143" s="2" t="inlineStr">
        <is>
          <t>Odörspindling
Anisspindling
Besk kastanjemusseron</t>
        </is>
      </c>
      <c r="S143">
        <f>HYPERLINK("https://klasma.github.io/Logging_0980/artfynd/A 27041-2023 artfynd.xlsx", "A 27041-2023")</f>
        <v/>
      </c>
      <c r="T143">
        <f>HYPERLINK("https://klasma.github.io/Logging_0980/kartor/A 27041-2023 karta.png", "A 27041-2023")</f>
        <v/>
      </c>
      <c r="V143">
        <f>HYPERLINK("https://klasma.github.io/Logging_0980/klagomål/A 27041-2023 FSC-klagomål.docx", "A 27041-2023")</f>
        <v/>
      </c>
      <c r="W143">
        <f>HYPERLINK("https://klasma.github.io/Logging_0980/klagomålsmail/A 27041-2023 FSC-klagomål mail.docx", "A 27041-2023")</f>
        <v/>
      </c>
      <c r="X143">
        <f>HYPERLINK("https://klasma.github.io/Logging_0980/tillsyn/A 27041-2023 tillsynsbegäran.docx", "A 27041-2023")</f>
        <v/>
      </c>
      <c r="Y143">
        <f>HYPERLINK("https://klasma.github.io/Logging_0980/tillsynsmail/A 27041-2023 tillsynsbegäran mail.docx", "A 27041-2023")</f>
        <v/>
      </c>
    </row>
    <row r="144" ht="15" customHeight="1">
      <c r="A144" t="inlineStr">
        <is>
          <t>A 27280-2023</t>
        </is>
      </c>
      <c r="B144" s="1" t="n">
        <v>45096</v>
      </c>
      <c r="C144" s="1" t="n">
        <v>45749</v>
      </c>
      <c r="D144" t="inlineStr">
        <is>
          <t>GOTLANDS LÄN</t>
        </is>
      </c>
      <c r="E144" t="inlineStr">
        <is>
          <t>GOTLAND</t>
        </is>
      </c>
      <c r="G144" t="n">
        <v>2.7</v>
      </c>
      <c r="H144" t="n">
        <v>3</v>
      </c>
      <c r="I144" t="n">
        <v>0</v>
      </c>
      <c r="J144" t="n">
        <v>1</v>
      </c>
      <c r="K144" t="n">
        <v>0</v>
      </c>
      <c r="L144" t="n">
        <v>0</v>
      </c>
      <c r="M144" t="n">
        <v>0</v>
      </c>
      <c r="N144" t="n">
        <v>0</v>
      </c>
      <c r="O144" t="n">
        <v>1</v>
      </c>
      <c r="P144" t="n">
        <v>0</v>
      </c>
      <c r="Q144" t="n">
        <v>3</v>
      </c>
      <c r="R144" s="2" t="inlineStr">
        <is>
          <t>Mindre hackspett
Fläcknycklar
Grönvit nattviol</t>
        </is>
      </c>
      <c r="S144">
        <f>HYPERLINK("https://klasma.github.io/Logging_0980/artfynd/A 27280-2023 artfynd.xlsx", "A 27280-2023")</f>
        <v/>
      </c>
      <c r="T144">
        <f>HYPERLINK("https://klasma.github.io/Logging_0980/kartor/A 27280-2023 karta.png", "A 27280-2023")</f>
        <v/>
      </c>
      <c r="V144">
        <f>HYPERLINK("https://klasma.github.io/Logging_0980/klagomål/A 27280-2023 FSC-klagomål.docx", "A 27280-2023")</f>
        <v/>
      </c>
      <c r="W144">
        <f>HYPERLINK("https://klasma.github.io/Logging_0980/klagomålsmail/A 27280-2023 FSC-klagomål mail.docx", "A 27280-2023")</f>
        <v/>
      </c>
      <c r="X144">
        <f>HYPERLINK("https://klasma.github.io/Logging_0980/tillsyn/A 27280-2023 tillsynsbegäran.docx", "A 27280-2023")</f>
        <v/>
      </c>
      <c r="Y144">
        <f>HYPERLINK("https://klasma.github.io/Logging_0980/tillsynsmail/A 27280-2023 tillsynsbegäran mail.docx", "A 27280-2023")</f>
        <v/>
      </c>
      <c r="Z144">
        <f>HYPERLINK("https://klasma.github.io/Logging_0980/fåglar/A 27280-2023 prioriterade fågelarter.docx", "A 27280-2023")</f>
        <v/>
      </c>
    </row>
    <row r="145" ht="15" customHeight="1">
      <c r="A145" t="inlineStr">
        <is>
          <t>A 16542-2024</t>
        </is>
      </c>
      <c r="B145" s="1" t="n">
        <v>45408</v>
      </c>
      <c r="C145" s="1" t="n">
        <v>45749</v>
      </c>
      <c r="D145" t="inlineStr">
        <is>
          <t>GOTLANDS LÄN</t>
        </is>
      </c>
      <c r="E145" t="inlineStr">
        <is>
          <t>GOTLAND</t>
        </is>
      </c>
      <c r="G145" t="n">
        <v>1.6</v>
      </c>
      <c r="H145" t="n">
        <v>2</v>
      </c>
      <c r="I145" t="n">
        <v>2</v>
      </c>
      <c r="J145" t="n">
        <v>1</v>
      </c>
      <c r="K145" t="n">
        <v>0</v>
      </c>
      <c r="L145" t="n">
        <v>0</v>
      </c>
      <c r="M145" t="n">
        <v>0</v>
      </c>
      <c r="N145" t="n">
        <v>0</v>
      </c>
      <c r="O145" t="n">
        <v>1</v>
      </c>
      <c r="P145" t="n">
        <v>0</v>
      </c>
      <c r="Q145" t="n">
        <v>3</v>
      </c>
      <c r="R145" s="2" t="inlineStr">
        <is>
          <t>Tallticka
Nästrot
Tvåblad</t>
        </is>
      </c>
      <c r="S145">
        <f>HYPERLINK("https://klasma.github.io/Logging_0980/artfynd/A 16542-2024 artfynd.xlsx", "A 16542-2024")</f>
        <v/>
      </c>
      <c r="T145">
        <f>HYPERLINK("https://klasma.github.io/Logging_0980/kartor/A 16542-2024 karta.png", "A 16542-2024")</f>
        <v/>
      </c>
      <c r="V145">
        <f>HYPERLINK("https://klasma.github.io/Logging_0980/klagomål/A 16542-2024 FSC-klagomål.docx", "A 16542-2024")</f>
        <v/>
      </c>
      <c r="W145">
        <f>HYPERLINK("https://klasma.github.io/Logging_0980/klagomålsmail/A 16542-2024 FSC-klagomål mail.docx", "A 16542-2024")</f>
        <v/>
      </c>
      <c r="X145">
        <f>HYPERLINK("https://klasma.github.io/Logging_0980/tillsyn/A 16542-2024 tillsynsbegäran.docx", "A 16542-2024")</f>
        <v/>
      </c>
      <c r="Y145">
        <f>HYPERLINK("https://klasma.github.io/Logging_0980/tillsynsmail/A 16542-2024 tillsynsbegäran mail.docx", "A 16542-2024")</f>
        <v/>
      </c>
    </row>
    <row r="146" ht="15" customHeight="1">
      <c r="A146" t="inlineStr">
        <is>
          <t>A 17975-2024</t>
        </is>
      </c>
      <c r="B146" s="1" t="n">
        <v>45419</v>
      </c>
      <c r="C146" s="1" t="n">
        <v>45749</v>
      </c>
      <c r="D146" t="inlineStr">
        <is>
          <t>GOTLANDS LÄN</t>
        </is>
      </c>
      <c r="E146" t="inlineStr">
        <is>
          <t>GOTLAND</t>
        </is>
      </c>
      <c r="G146" t="n">
        <v>7.9</v>
      </c>
      <c r="H146" t="n">
        <v>0</v>
      </c>
      <c r="I146" t="n">
        <v>1</v>
      </c>
      <c r="J146" t="n">
        <v>1</v>
      </c>
      <c r="K146" t="n">
        <v>0</v>
      </c>
      <c r="L146" t="n">
        <v>1</v>
      </c>
      <c r="M146" t="n">
        <v>0</v>
      </c>
      <c r="N146" t="n">
        <v>0</v>
      </c>
      <c r="O146" t="n">
        <v>2</v>
      </c>
      <c r="P146" t="n">
        <v>1</v>
      </c>
      <c r="Q146" t="n">
        <v>3</v>
      </c>
      <c r="R146" s="2" t="inlineStr">
        <is>
          <t>Ask
Skugglosta
Strävlosta</t>
        </is>
      </c>
      <c r="S146">
        <f>HYPERLINK("https://klasma.github.io/Logging_0980/artfynd/A 17975-2024 artfynd.xlsx", "A 17975-2024")</f>
        <v/>
      </c>
      <c r="T146">
        <f>HYPERLINK("https://klasma.github.io/Logging_0980/kartor/A 17975-2024 karta.png", "A 17975-2024")</f>
        <v/>
      </c>
      <c r="V146">
        <f>HYPERLINK("https://klasma.github.io/Logging_0980/klagomål/A 17975-2024 FSC-klagomål.docx", "A 17975-2024")</f>
        <v/>
      </c>
      <c r="W146">
        <f>HYPERLINK("https://klasma.github.io/Logging_0980/klagomålsmail/A 17975-2024 FSC-klagomål mail.docx", "A 17975-2024")</f>
        <v/>
      </c>
      <c r="X146">
        <f>HYPERLINK("https://klasma.github.io/Logging_0980/tillsyn/A 17975-2024 tillsynsbegäran.docx", "A 17975-2024")</f>
        <v/>
      </c>
      <c r="Y146">
        <f>HYPERLINK("https://klasma.github.io/Logging_0980/tillsynsmail/A 17975-2024 tillsynsbegäran mail.docx", "A 17975-2024")</f>
        <v/>
      </c>
    </row>
    <row r="147" ht="15" customHeight="1">
      <c r="A147" t="inlineStr">
        <is>
          <t>A 24345-2024</t>
        </is>
      </c>
      <c r="B147" s="1" t="n">
        <v>45457</v>
      </c>
      <c r="C147" s="1" t="n">
        <v>45749</v>
      </c>
      <c r="D147" t="inlineStr">
        <is>
          <t>GOTLANDS LÄN</t>
        </is>
      </c>
      <c r="E147" t="inlineStr">
        <is>
          <t>GOTLAND</t>
        </is>
      </c>
      <c r="G147" t="n">
        <v>5.2</v>
      </c>
      <c r="H147" t="n">
        <v>1</v>
      </c>
      <c r="I147" t="n">
        <v>1</v>
      </c>
      <c r="J147" t="n">
        <v>2</v>
      </c>
      <c r="K147" t="n">
        <v>0</v>
      </c>
      <c r="L147" t="n">
        <v>0</v>
      </c>
      <c r="M147" t="n">
        <v>0</v>
      </c>
      <c r="N147" t="n">
        <v>0</v>
      </c>
      <c r="O147" t="n">
        <v>2</v>
      </c>
      <c r="P147" t="n">
        <v>0</v>
      </c>
      <c r="Q147" t="n">
        <v>3</v>
      </c>
      <c r="R147" s="2" t="inlineStr">
        <is>
          <t>Backtimjan
Dårgräsfjäril
Rödgul trumpetsvamp</t>
        </is>
      </c>
      <c r="S147">
        <f>HYPERLINK("https://klasma.github.io/Logging_0980/artfynd/A 24345-2024 artfynd.xlsx", "A 24345-2024")</f>
        <v/>
      </c>
      <c r="T147">
        <f>HYPERLINK("https://klasma.github.io/Logging_0980/kartor/A 24345-2024 karta.png", "A 24345-2024")</f>
        <v/>
      </c>
      <c r="V147">
        <f>HYPERLINK("https://klasma.github.io/Logging_0980/klagomål/A 24345-2024 FSC-klagomål.docx", "A 24345-2024")</f>
        <v/>
      </c>
      <c r="W147">
        <f>HYPERLINK("https://klasma.github.io/Logging_0980/klagomålsmail/A 24345-2024 FSC-klagomål mail.docx", "A 24345-2024")</f>
        <v/>
      </c>
      <c r="X147">
        <f>HYPERLINK("https://klasma.github.io/Logging_0980/tillsyn/A 24345-2024 tillsynsbegäran.docx", "A 24345-2024")</f>
        <v/>
      </c>
      <c r="Y147">
        <f>HYPERLINK("https://klasma.github.io/Logging_0980/tillsynsmail/A 24345-2024 tillsynsbegäran mail.docx", "A 24345-2024")</f>
        <v/>
      </c>
    </row>
    <row r="148" ht="15" customHeight="1">
      <c r="A148" t="inlineStr">
        <is>
          <t>A 25981-2024</t>
        </is>
      </c>
      <c r="B148" s="1" t="n">
        <v>45467</v>
      </c>
      <c r="C148" s="1" t="n">
        <v>45749</v>
      </c>
      <c r="D148" t="inlineStr">
        <is>
          <t>GOTLANDS LÄN</t>
        </is>
      </c>
      <c r="E148" t="inlineStr">
        <is>
          <t>GOTLAND</t>
        </is>
      </c>
      <c r="G148" t="n">
        <v>5.9</v>
      </c>
      <c r="H148" t="n">
        <v>3</v>
      </c>
      <c r="I148" t="n">
        <v>2</v>
      </c>
      <c r="J148" t="n">
        <v>0</v>
      </c>
      <c r="K148" t="n">
        <v>0</v>
      </c>
      <c r="L148" t="n">
        <v>0</v>
      </c>
      <c r="M148" t="n">
        <v>0</v>
      </c>
      <c r="N148" t="n">
        <v>0</v>
      </c>
      <c r="O148" t="n">
        <v>0</v>
      </c>
      <c r="P148" t="n">
        <v>0</v>
      </c>
      <c r="Q148" t="n">
        <v>3</v>
      </c>
      <c r="R148" s="2" t="inlineStr">
        <is>
          <t>Purpurknipprot
Skogsknipprot
Fläcknycklar</t>
        </is>
      </c>
      <c r="S148">
        <f>HYPERLINK("https://klasma.github.io/Logging_0980/artfynd/A 25981-2024 artfynd.xlsx", "A 25981-2024")</f>
        <v/>
      </c>
      <c r="T148">
        <f>HYPERLINK("https://klasma.github.io/Logging_0980/kartor/A 25981-2024 karta.png", "A 25981-2024")</f>
        <v/>
      </c>
      <c r="V148">
        <f>HYPERLINK("https://klasma.github.io/Logging_0980/klagomål/A 25981-2024 FSC-klagomål.docx", "A 25981-2024")</f>
        <v/>
      </c>
      <c r="W148">
        <f>HYPERLINK("https://klasma.github.io/Logging_0980/klagomålsmail/A 25981-2024 FSC-klagomål mail.docx", "A 25981-2024")</f>
        <v/>
      </c>
      <c r="X148">
        <f>HYPERLINK("https://klasma.github.io/Logging_0980/tillsyn/A 25981-2024 tillsynsbegäran.docx", "A 25981-2024")</f>
        <v/>
      </c>
      <c r="Y148">
        <f>HYPERLINK("https://klasma.github.io/Logging_0980/tillsynsmail/A 25981-2024 tillsynsbegäran mail.docx", "A 25981-2024")</f>
        <v/>
      </c>
    </row>
    <row r="149" ht="15" customHeight="1">
      <c r="A149" t="inlineStr">
        <is>
          <t>A 54940-2024</t>
        </is>
      </c>
      <c r="B149" s="1" t="n">
        <v>45618</v>
      </c>
      <c r="C149" s="1" t="n">
        <v>45749</v>
      </c>
      <c r="D149" t="inlineStr">
        <is>
          <t>GOTLANDS LÄN</t>
        </is>
      </c>
      <c r="E149" t="inlineStr">
        <is>
          <t>GOTLAND</t>
        </is>
      </c>
      <c r="G149" t="n">
        <v>1.2</v>
      </c>
      <c r="H149" t="n">
        <v>2</v>
      </c>
      <c r="I149" t="n">
        <v>0</v>
      </c>
      <c r="J149" t="n">
        <v>1</v>
      </c>
      <c r="K149" t="n">
        <v>0</v>
      </c>
      <c r="L149" t="n">
        <v>0</v>
      </c>
      <c r="M149" t="n">
        <v>0</v>
      </c>
      <c r="N149" t="n">
        <v>0</v>
      </c>
      <c r="O149" t="n">
        <v>1</v>
      </c>
      <c r="P149" t="n">
        <v>0</v>
      </c>
      <c r="Q149" t="n">
        <v>3</v>
      </c>
      <c r="R149" s="2" t="inlineStr">
        <is>
          <t>Ängsstarr
Brudsporre
Dactylorhiza incarnata subsp. incarnata</t>
        </is>
      </c>
      <c r="S149">
        <f>HYPERLINK("https://klasma.github.io/Logging_0980/artfynd/A 54940-2024 artfynd.xlsx", "A 54940-2024")</f>
        <v/>
      </c>
      <c r="T149">
        <f>HYPERLINK("https://klasma.github.io/Logging_0980/kartor/A 54940-2024 karta.png", "A 54940-2024")</f>
        <v/>
      </c>
      <c r="V149">
        <f>HYPERLINK("https://klasma.github.io/Logging_0980/klagomål/A 54940-2024 FSC-klagomål.docx", "A 54940-2024")</f>
        <v/>
      </c>
      <c r="W149">
        <f>HYPERLINK("https://klasma.github.io/Logging_0980/klagomålsmail/A 54940-2024 FSC-klagomål mail.docx", "A 54940-2024")</f>
        <v/>
      </c>
      <c r="X149">
        <f>HYPERLINK("https://klasma.github.io/Logging_0980/tillsyn/A 54940-2024 tillsynsbegäran.docx", "A 54940-2024")</f>
        <v/>
      </c>
      <c r="Y149">
        <f>HYPERLINK("https://klasma.github.io/Logging_0980/tillsynsmail/A 54940-2024 tillsynsbegäran mail.docx", "A 54940-2024")</f>
        <v/>
      </c>
    </row>
    <row r="150" ht="15" customHeight="1">
      <c r="A150" t="inlineStr">
        <is>
          <t>A 58191-2024</t>
        </is>
      </c>
      <c r="B150" s="1" t="n">
        <v>45632</v>
      </c>
      <c r="C150" s="1" t="n">
        <v>45749</v>
      </c>
      <c r="D150" t="inlineStr">
        <is>
          <t>GOTLANDS LÄN</t>
        </is>
      </c>
      <c r="E150" t="inlineStr">
        <is>
          <t>GOTLAND</t>
        </is>
      </c>
      <c r="G150" t="n">
        <v>14.2</v>
      </c>
      <c r="H150" t="n">
        <v>2</v>
      </c>
      <c r="I150" t="n">
        <v>0</v>
      </c>
      <c r="J150" t="n">
        <v>3</v>
      </c>
      <c r="K150" t="n">
        <v>0</v>
      </c>
      <c r="L150" t="n">
        <v>0</v>
      </c>
      <c r="M150" t="n">
        <v>0</v>
      </c>
      <c r="N150" t="n">
        <v>0</v>
      </c>
      <c r="O150" t="n">
        <v>3</v>
      </c>
      <c r="P150" t="n">
        <v>0</v>
      </c>
      <c r="Q150" t="n">
        <v>3</v>
      </c>
      <c r="R150" s="2" t="inlineStr">
        <is>
          <t>Björktrast
Crepis tectorum subsp. tectorum
Spillkråka</t>
        </is>
      </c>
      <c r="S150">
        <f>HYPERLINK("https://klasma.github.io/Logging_0980/artfynd/A 58191-2024 artfynd.xlsx", "A 58191-2024")</f>
        <v/>
      </c>
      <c r="T150">
        <f>HYPERLINK("https://klasma.github.io/Logging_0980/kartor/A 58191-2024 karta.png", "A 58191-2024")</f>
        <v/>
      </c>
      <c r="V150">
        <f>HYPERLINK("https://klasma.github.io/Logging_0980/klagomål/A 58191-2024 FSC-klagomål.docx", "A 58191-2024")</f>
        <v/>
      </c>
      <c r="W150">
        <f>HYPERLINK("https://klasma.github.io/Logging_0980/klagomålsmail/A 58191-2024 FSC-klagomål mail.docx", "A 58191-2024")</f>
        <v/>
      </c>
      <c r="X150">
        <f>HYPERLINK("https://klasma.github.io/Logging_0980/tillsyn/A 58191-2024 tillsynsbegäran.docx", "A 58191-2024")</f>
        <v/>
      </c>
      <c r="Y150">
        <f>HYPERLINK("https://klasma.github.io/Logging_0980/tillsynsmail/A 58191-2024 tillsynsbegäran mail.docx", "A 58191-2024")</f>
        <v/>
      </c>
      <c r="Z150">
        <f>HYPERLINK("https://klasma.github.io/Logging_0980/fåglar/A 58191-2024 prioriterade fågelarter.docx", "A 58191-2024")</f>
        <v/>
      </c>
    </row>
    <row r="151" ht="15" customHeight="1">
      <c r="A151" t="inlineStr">
        <is>
          <t>A 2318-2025</t>
        </is>
      </c>
      <c r="B151" s="1" t="n">
        <v>45673</v>
      </c>
      <c r="C151" s="1" t="n">
        <v>45749</v>
      </c>
      <c r="D151" t="inlineStr">
        <is>
          <t>GOTLANDS LÄN</t>
        </is>
      </c>
      <c r="E151" t="inlineStr">
        <is>
          <t>GOTLAND</t>
        </is>
      </c>
      <c r="G151" t="n">
        <v>26.3</v>
      </c>
      <c r="H151" t="n">
        <v>0</v>
      </c>
      <c r="I151" t="n">
        <v>1</v>
      </c>
      <c r="J151" t="n">
        <v>1</v>
      </c>
      <c r="K151" t="n">
        <v>1</v>
      </c>
      <c r="L151" t="n">
        <v>0</v>
      </c>
      <c r="M151" t="n">
        <v>0</v>
      </c>
      <c r="N151" t="n">
        <v>0</v>
      </c>
      <c r="O151" t="n">
        <v>2</v>
      </c>
      <c r="P151" t="n">
        <v>1</v>
      </c>
      <c r="Q151" t="n">
        <v>3</v>
      </c>
      <c r="R151" s="2" t="inlineStr">
        <is>
          <t>Strandviol
Lunglav
Strävlosta</t>
        </is>
      </c>
      <c r="S151">
        <f>HYPERLINK("https://klasma.github.io/Logging_0980/artfynd/A 2318-2025 artfynd.xlsx", "A 2318-2025")</f>
        <v/>
      </c>
      <c r="T151">
        <f>HYPERLINK("https://klasma.github.io/Logging_0980/kartor/A 2318-2025 karta.png", "A 2318-2025")</f>
        <v/>
      </c>
      <c r="V151">
        <f>HYPERLINK("https://klasma.github.io/Logging_0980/klagomål/A 2318-2025 FSC-klagomål.docx", "A 2318-2025")</f>
        <v/>
      </c>
      <c r="W151">
        <f>HYPERLINK("https://klasma.github.io/Logging_0980/klagomålsmail/A 2318-2025 FSC-klagomål mail.docx", "A 2318-2025")</f>
        <v/>
      </c>
      <c r="X151">
        <f>HYPERLINK("https://klasma.github.io/Logging_0980/tillsyn/A 2318-2025 tillsynsbegäran.docx", "A 2318-2025")</f>
        <v/>
      </c>
      <c r="Y151">
        <f>HYPERLINK("https://klasma.github.io/Logging_0980/tillsynsmail/A 2318-2025 tillsynsbegäran mail.docx", "A 2318-2025")</f>
        <v/>
      </c>
    </row>
    <row r="152" ht="15" customHeight="1">
      <c r="A152" t="inlineStr">
        <is>
          <t>A 21897-2019</t>
        </is>
      </c>
      <c r="B152" s="1" t="n">
        <v>43584</v>
      </c>
      <c r="C152" s="1" t="n">
        <v>45749</v>
      </c>
      <c r="D152" t="inlineStr">
        <is>
          <t>GOTLANDS LÄN</t>
        </is>
      </c>
      <c r="E152" t="inlineStr">
        <is>
          <t>GOTLAND</t>
        </is>
      </c>
      <c r="G152" t="n">
        <v>7.4</v>
      </c>
      <c r="H152" t="n">
        <v>2</v>
      </c>
      <c r="I152" t="n">
        <v>1</v>
      </c>
      <c r="J152" t="n">
        <v>0</v>
      </c>
      <c r="K152" t="n">
        <v>0</v>
      </c>
      <c r="L152" t="n">
        <v>0</v>
      </c>
      <c r="M152" t="n">
        <v>0</v>
      </c>
      <c r="N152" t="n">
        <v>0</v>
      </c>
      <c r="O152" t="n">
        <v>0</v>
      </c>
      <c r="P152" t="n">
        <v>0</v>
      </c>
      <c r="Q152" t="n">
        <v>2</v>
      </c>
      <c r="R152" s="2" t="inlineStr">
        <is>
          <t>Korallrot
Nattviol</t>
        </is>
      </c>
      <c r="S152">
        <f>HYPERLINK("https://klasma.github.io/Logging_0980/artfynd/A 21897-2019 artfynd.xlsx", "A 21897-2019")</f>
        <v/>
      </c>
      <c r="T152">
        <f>HYPERLINK("https://klasma.github.io/Logging_0980/kartor/A 21897-2019 karta.png", "A 21897-2019")</f>
        <v/>
      </c>
      <c r="V152">
        <f>HYPERLINK("https://klasma.github.io/Logging_0980/klagomål/A 21897-2019 FSC-klagomål.docx", "A 21897-2019")</f>
        <v/>
      </c>
      <c r="W152">
        <f>HYPERLINK("https://klasma.github.io/Logging_0980/klagomålsmail/A 21897-2019 FSC-klagomål mail.docx", "A 21897-2019")</f>
        <v/>
      </c>
      <c r="X152">
        <f>HYPERLINK("https://klasma.github.io/Logging_0980/tillsyn/A 21897-2019 tillsynsbegäran.docx", "A 21897-2019")</f>
        <v/>
      </c>
      <c r="Y152">
        <f>HYPERLINK("https://klasma.github.io/Logging_0980/tillsynsmail/A 21897-2019 tillsynsbegäran mail.docx", "A 21897-2019")</f>
        <v/>
      </c>
    </row>
    <row r="153" ht="15" customHeight="1">
      <c r="A153" t="inlineStr">
        <is>
          <t>A 32969-2019</t>
        </is>
      </c>
      <c r="B153" s="1" t="n">
        <v>43648</v>
      </c>
      <c r="C153" s="1" t="n">
        <v>45749</v>
      </c>
      <c r="D153" t="inlineStr">
        <is>
          <t>GOTLANDS LÄN</t>
        </is>
      </c>
      <c r="E153" t="inlineStr">
        <is>
          <t>GOTLAND</t>
        </is>
      </c>
      <c r="G153" t="n">
        <v>5.1</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32969-2019 artfynd.xlsx", "A 32969-2019")</f>
        <v/>
      </c>
      <c r="T153">
        <f>HYPERLINK("https://klasma.github.io/Logging_0980/kartor/A 32969-2019 karta.png", "A 32969-2019")</f>
        <v/>
      </c>
      <c r="V153">
        <f>HYPERLINK("https://klasma.github.io/Logging_0980/klagomål/A 32969-2019 FSC-klagomål.docx", "A 32969-2019")</f>
        <v/>
      </c>
      <c r="W153">
        <f>HYPERLINK("https://klasma.github.io/Logging_0980/klagomålsmail/A 32969-2019 FSC-klagomål mail.docx", "A 32969-2019")</f>
        <v/>
      </c>
      <c r="X153">
        <f>HYPERLINK("https://klasma.github.io/Logging_0980/tillsyn/A 32969-2019 tillsynsbegäran.docx", "A 32969-2019")</f>
        <v/>
      </c>
      <c r="Y153">
        <f>HYPERLINK("https://klasma.github.io/Logging_0980/tillsynsmail/A 32969-2019 tillsynsbegäran mail.docx", "A 32969-2019")</f>
        <v/>
      </c>
    </row>
    <row r="154" ht="15" customHeight="1">
      <c r="A154" t="inlineStr">
        <is>
          <t>A 32966-2019</t>
        </is>
      </c>
      <c r="B154" s="1" t="n">
        <v>43648</v>
      </c>
      <c r="C154" s="1" t="n">
        <v>45749</v>
      </c>
      <c r="D154" t="inlineStr">
        <is>
          <t>GOTLANDS LÄN</t>
        </is>
      </c>
      <c r="E154" t="inlineStr">
        <is>
          <t>GOTLAND</t>
        </is>
      </c>
      <c r="G154" t="n">
        <v>4</v>
      </c>
      <c r="H154" t="n">
        <v>1</v>
      </c>
      <c r="I154" t="n">
        <v>1</v>
      </c>
      <c r="J154" t="n">
        <v>0</v>
      </c>
      <c r="K154" t="n">
        <v>0</v>
      </c>
      <c r="L154" t="n">
        <v>0</v>
      </c>
      <c r="M154" t="n">
        <v>0</v>
      </c>
      <c r="N154" t="n">
        <v>0</v>
      </c>
      <c r="O154" t="n">
        <v>0</v>
      </c>
      <c r="P154" t="n">
        <v>0</v>
      </c>
      <c r="Q154" t="n">
        <v>2</v>
      </c>
      <c r="R154" s="2" t="inlineStr">
        <is>
          <t>Kattfotslav
Blåsippa</t>
        </is>
      </c>
      <c r="S154">
        <f>HYPERLINK("https://klasma.github.io/Logging_0980/artfynd/A 32966-2019 artfynd.xlsx", "A 32966-2019")</f>
        <v/>
      </c>
      <c r="T154">
        <f>HYPERLINK("https://klasma.github.io/Logging_0980/kartor/A 32966-2019 karta.png", "A 32966-2019")</f>
        <v/>
      </c>
      <c r="V154">
        <f>HYPERLINK("https://klasma.github.io/Logging_0980/klagomål/A 32966-2019 FSC-klagomål.docx", "A 32966-2019")</f>
        <v/>
      </c>
      <c r="W154">
        <f>HYPERLINK("https://klasma.github.io/Logging_0980/klagomålsmail/A 32966-2019 FSC-klagomål mail.docx", "A 32966-2019")</f>
        <v/>
      </c>
      <c r="X154">
        <f>HYPERLINK("https://klasma.github.io/Logging_0980/tillsyn/A 32966-2019 tillsynsbegäran.docx", "A 32966-2019")</f>
        <v/>
      </c>
      <c r="Y154">
        <f>HYPERLINK("https://klasma.github.io/Logging_0980/tillsynsmail/A 32966-2019 tillsynsbegäran mail.docx", "A 32966-2019")</f>
        <v/>
      </c>
    </row>
    <row r="155" ht="15" customHeight="1">
      <c r="A155" t="inlineStr">
        <is>
          <t>A 43304-2019</t>
        </is>
      </c>
      <c r="B155" s="1" t="n">
        <v>43706</v>
      </c>
      <c r="C155" s="1" t="n">
        <v>45749</v>
      </c>
      <c r="D155" t="inlineStr">
        <is>
          <t>GOTLANDS LÄN</t>
        </is>
      </c>
      <c r="E155" t="inlineStr">
        <is>
          <t>GOTLAND</t>
        </is>
      </c>
      <c r="G155" t="n">
        <v>3.2</v>
      </c>
      <c r="H155" t="n">
        <v>2</v>
      </c>
      <c r="I155" t="n">
        <v>1</v>
      </c>
      <c r="J155" t="n">
        <v>0</v>
      </c>
      <c r="K155" t="n">
        <v>0</v>
      </c>
      <c r="L155" t="n">
        <v>0</v>
      </c>
      <c r="M155" t="n">
        <v>0</v>
      </c>
      <c r="N155" t="n">
        <v>0</v>
      </c>
      <c r="O155" t="n">
        <v>0</v>
      </c>
      <c r="P155" t="n">
        <v>0</v>
      </c>
      <c r="Q155" t="n">
        <v>2</v>
      </c>
      <c r="R155" s="2" t="inlineStr">
        <is>
          <t>Skogsknipprot
Blåsippa</t>
        </is>
      </c>
      <c r="S155">
        <f>HYPERLINK("https://klasma.github.io/Logging_0980/artfynd/A 43304-2019 artfynd.xlsx", "A 43304-2019")</f>
        <v/>
      </c>
      <c r="T155">
        <f>HYPERLINK("https://klasma.github.io/Logging_0980/kartor/A 43304-2019 karta.png", "A 43304-2019")</f>
        <v/>
      </c>
      <c r="V155">
        <f>HYPERLINK("https://klasma.github.io/Logging_0980/klagomål/A 43304-2019 FSC-klagomål.docx", "A 43304-2019")</f>
        <v/>
      </c>
      <c r="W155">
        <f>HYPERLINK("https://klasma.github.io/Logging_0980/klagomålsmail/A 43304-2019 FSC-klagomål mail.docx", "A 43304-2019")</f>
        <v/>
      </c>
      <c r="X155">
        <f>HYPERLINK("https://klasma.github.io/Logging_0980/tillsyn/A 43304-2019 tillsynsbegäran.docx", "A 43304-2019")</f>
        <v/>
      </c>
      <c r="Y155">
        <f>HYPERLINK("https://klasma.github.io/Logging_0980/tillsynsmail/A 43304-2019 tillsynsbegäran mail.docx", "A 43304-2019")</f>
        <v/>
      </c>
    </row>
    <row r="156" ht="15" customHeight="1">
      <c r="A156" t="inlineStr">
        <is>
          <t>A 60700-2019</t>
        </is>
      </c>
      <c r="B156" s="1" t="n">
        <v>43781</v>
      </c>
      <c r="C156" s="1" t="n">
        <v>45749</v>
      </c>
      <c r="D156" t="inlineStr">
        <is>
          <t>GOTLANDS LÄN</t>
        </is>
      </c>
      <c r="E156" t="inlineStr">
        <is>
          <t>GOTLAND</t>
        </is>
      </c>
      <c r="G156" t="n">
        <v>4.3</v>
      </c>
      <c r="H156" t="n">
        <v>0</v>
      </c>
      <c r="I156" t="n">
        <v>2</v>
      </c>
      <c r="J156" t="n">
        <v>0</v>
      </c>
      <c r="K156" t="n">
        <v>0</v>
      </c>
      <c r="L156" t="n">
        <v>0</v>
      </c>
      <c r="M156" t="n">
        <v>0</v>
      </c>
      <c r="N156" t="n">
        <v>0</v>
      </c>
      <c r="O156" t="n">
        <v>0</v>
      </c>
      <c r="P156" t="n">
        <v>0</v>
      </c>
      <c r="Q156" t="n">
        <v>2</v>
      </c>
      <c r="R156" s="2" t="inlineStr">
        <is>
          <t>Blåmossa
Kattfotslav</t>
        </is>
      </c>
      <c r="S156">
        <f>HYPERLINK("https://klasma.github.io/Logging_0980/artfynd/A 60700-2019 artfynd.xlsx", "A 60700-2019")</f>
        <v/>
      </c>
      <c r="T156">
        <f>HYPERLINK("https://klasma.github.io/Logging_0980/kartor/A 60700-2019 karta.png", "A 60700-2019")</f>
        <v/>
      </c>
      <c r="V156">
        <f>HYPERLINK("https://klasma.github.io/Logging_0980/klagomål/A 60700-2019 FSC-klagomål.docx", "A 60700-2019")</f>
        <v/>
      </c>
      <c r="W156">
        <f>HYPERLINK("https://klasma.github.io/Logging_0980/klagomålsmail/A 60700-2019 FSC-klagomål mail.docx", "A 60700-2019")</f>
        <v/>
      </c>
      <c r="X156">
        <f>HYPERLINK("https://klasma.github.io/Logging_0980/tillsyn/A 60700-2019 tillsynsbegäran.docx", "A 60700-2019")</f>
        <v/>
      </c>
      <c r="Y156">
        <f>HYPERLINK("https://klasma.github.io/Logging_0980/tillsynsmail/A 60700-2019 tillsynsbegäran mail.docx", "A 60700-2019")</f>
        <v/>
      </c>
    </row>
    <row r="157" ht="15" customHeight="1">
      <c r="A157" t="inlineStr">
        <is>
          <t>A 334-2020</t>
        </is>
      </c>
      <c r="B157" s="1" t="n">
        <v>43837</v>
      </c>
      <c r="C157" s="1" t="n">
        <v>45749</v>
      </c>
      <c r="D157" t="inlineStr">
        <is>
          <t>GOTLANDS LÄN</t>
        </is>
      </c>
      <c r="E157" t="inlineStr">
        <is>
          <t>GOTLAND</t>
        </is>
      </c>
      <c r="G157" t="n">
        <v>5.3</v>
      </c>
      <c r="H157" t="n">
        <v>2</v>
      </c>
      <c r="I157" t="n">
        <v>0</v>
      </c>
      <c r="J157" t="n">
        <v>1</v>
      </c>
      <c r="K157" t="n">
        <v>0</v>
      </c>
      <c r="L157" t="n">
        <v>0</v>
      </c>
      <c r="M157" t="n">
        <v>0</v>
      </c>
      <c r="N157" t="n">
        <v>0</v>
      </c>
      <c r="O157" t="n">
        <v>1</v>
      </c>
      <c r="P157" t="n">
        <v>0</v>
      </c>
      <c r="Q157" t="n">
        <v>2</v>
      </c>
      <c r="R157" s="2" t="inlineStr">
        <is>
          <t>Smådopping
Mindre vattensalamander</t>
        </is>
      </c>
      <c r="S157">
        <f>HYPERLINK("https://klasma.github.io/Logging_0980/artfynd/A 334-2020 artfynd.xlsx", "A 334-2020")</f>
        <v/>
      </c>
      <c r="T157">
        <f>HYPERLINK("https://klasma.github.io/Logging_0980/kartor/A 334-2020 karta.png", "A 334-2020")</f>
        <v/>
      </c>
      <c r="V157">
        <f>HYPERLINK("https://klasma.github.io/Logging_0980/klagomål/A 334-2020 FSC-klagomål.docx", "A 334-2020")</f>
        <v/>
      </c>
      <c r="W157">
        <f>HYPERLINK("https://klasma.github.io/Logging_0980/klagomålsmail/A 334-2020 FSC-klagomål mail.docx", "A 334-2020")</f>
        <v/>
      </c>
      <c r="X157">
        <f>HYPERLINK("https://klasma.github.io/Logging_0980/tillsyn/A 334-2020 tillsynsbegäran.docx", "A 334-2020")</f>
        <v/>
      </c>
      <c r="Y157">
        <f>HYPERLINK("https://klasma.github.io/Logging_0980/tillsynsmail/A 334-2020 tillsynsbegäran mail.docx", "A 334-2020")</f>
        <v/>
      </c>
    </row>
    <row r="158" ht="15" customHeight="1">
      <c r="A158" t="inlineStr">
        <is>
          <t>A 4812-2020</t>
        </is>
      </c>
      <c r="B158" s="1" t="n">
        <v>43852</v>
      </c>
      <c r="C158" s="1" t="n">
        <v>45749</v>
      </c>
      <c r="D158" t="inlineStr">
        <is>
          <t>GOTLANDS LÄN</t>
        </is>
      </c>
      <c r="E158" t="inlineStr">
        <is>
          <t>GOTLAND</t>
        </is>
      </c>
      <c r="G158" t="n">
        <v>3.9</v>
      </c>
      <c r="H158" t="n">
        <v>1</v>
      </c>
      <c r="I158" t="n">
        <v>1</v>
      </c>
      <c r="J158" t="n">
        <v>0</v>
      </c>
      <c r="K158" t="n">
        <v>1</v>
      </c>
      <c r="L158" t="n">
        <v>0</v>
      </c>
      <c r="M158" t="n">
        <v>0</v>
      </c>
      <c r="N158" t="n">
        <v>0</v>
      </c>
      <c r="O158" t="n">
        <v>1</v>
      </c>
      <c r="P158" t="n">
        <v>1</v>
      </c>
      <c r="Q158" t="n">
        <v>2</v>
      </c>
      <c r="R158" s="2" t="inlineStr">
        <is>
          <t>Gotlandsmåra
Nästrot</t>
        </is>
      </c>
      <c r="S158">
        <f>HYPERLINK("https://klasma.github.io/Logging_0980/artfynd/A 4812-2020 artfynd.xlsx", "A 4812-2020")</f>
        <v/>
      </c>
      <c r="T158">
        <f>HYPERLINK("https://klasma.github.io/Logging_0980/kartor/A 4812-2020 karta.png", "A 4812-2020")</f>
        <v/>
      </c>
      <c r="V158">
        <f>HYPERLINK("https://klasma.github.io/Logging_0980/klagomål/A 4812-2020 FSC-klagomål.docx", "A 4812-2020")</f>
        <v/>
      </c>
      <c r="W158">
        <f>HYPERLINK("https://klasma.github.io/Logging_0980/klagomålsmail/A 4812-2020 FSC-klagomål mail.docx", "A 4812-2020")</f>
        <v/>
      </c>
      <c r="X158">
        <f>HYPERLINK("https://klasma.github.io/Logging_0980/tillsyn/A 4812-2020 tillsynsbegäran.docx", "A 4812-2020")</f>
        <v/>
      </c>
      <c r="Y158">
        <f>HYPERLINK("https://klasma.github.io/Logging_0980/tillsynsmail/A 4812-2020 tillsynsbegäran mail.docx", "A 4812-2020")</f>
        <v/>
      </c>
    </row>
    <row r="159" ht="15" customHeight="1">
      <c r="A159" t="inlineStr">
        <is>
          <t>A 40879-2020</t>
        </is>
      </c>
      <c r="B159" s="1" t="n">
        <v>44070</v>
      </c>
      <c r="C159" s="1" t="n">
        <v>45749</v>
      </c>
      <c r="D159" t="inlineStr">
        <is>
          <t>GOTLANDS LÄN</t>
        </is>
      </c>
      <c r="E159" t="inlineStr">
        <is>
          <t>GOTLAND</t>
        </is>
      </c>
      <c r="G159" t="n">
        <v>6.4</v>
      </c>
      <c r="H159" t="n">
        <v>0</v>
      </c>
      <c r="I159" t="n">
        <v>1</v>
      </c>
      <c r="J159" t="n">
        <v>1</v>
      </c>
      <c r="K159" t="n">
        <v>0</v>
      </c>
      <c r="L159" t="n">
        <v>0</v>
      </c>
      <c r="M159" t="n">
        <v>0</v>
      </c>
      <c r="N159" t="n">
        <v>0</v>
      </c>
      <c r="O159" t="n">
        <v>1</v>
      </c>
      <c r="P159" t="n">
        <v>0</v>
      </c>
      <c r="Q159" t="n">
        <v>2</v>
      </c>
      <c r="R159" s="2" t="inlineStr">
        <is>
          <t>Odörspindling
Olivspindling</t>
        </is>
      </c>
      <c r="S159">
        <f>HYPERLINK("https://klasma.github.io/Logging_0980/artfynd/A 40879-2020 artfynd.xlsx", "A 40879-2020")</f>
        <v/>
      </c>
      <c r="T159">
        <f>HYPERLINK("https://klasma.github.io/Logging_0980/kartor/A 40879-2020 karta.png", "A 40879-2020")</f>
        <v/>
      </c>
      <c r="V159">
        <f>HYPERLINK("https://klasma.github.io/Logging_0980/klagomål/A 40879-2020 FSC-klagomål.docx", "A 40879-2020")</f>
        <v/>
      </c>
      <c r="W159">
        <f>HYPERLINK("https://klasma.github.io/Logging_0980/klagomålsmail/A 40879-2020 FSC-klagomål mail.docx", "A 40879-2020")</f>
        <v/>
      </c>
      <c r="X159">
        <f>HYPERLINK("https://klasma.github.io/Logging_0980/tillsyn/A 40879-2020 tillsynsbegäran.docx", "A 40879-2020")</f>
        <v/>
      </c>
      <c r="Y159">
        <f>HYPERLINK("https://klasma.github.io/Logging_0980/tillsynsmail/A 40879-2020 tillsynsbegäran mail.docx", "A 40879-2020")</f>
        <v/>
      </c>
    </row>
    <row r="160" ht="15" customHeight="1">
      <c r="A160" t="inlineStr">
        <is>
          <t>A 43321-2020</t>
        </is>
      </c>
      <c r="B160" s="1" t="n">
        <v>44081</v>
      </c>
      <c r="C160" s="1" t="n">
        <v>45749</v>
      </c>
      <c r="D160" t="inlineStr">
        <is>
          <t>GOTLANDS LÄN</t>
        </is>
      </c>
      <c r="E160" t="inlineStr">
        <is>
          <t>GOTLAND</t>
        </is>
      </c>
      <c r="G160" t="n">
        <v>10</v>
      </c>
      <c r="H160" t="n">
        <v>1</v>
      </c>
      <c r="I160" t="n">
        <v>0</v>
      </c>
      <c r="J160" t="n">
        <v>2</v>
      </c>
      <c r="K160" t="n">
        <v>0</v>
      </c>
      <c r="L160" t="n">
        <v>0</v>
      </c>
      <c r="M160" t="n">
        <v>0</v>
      </c>
      <c r="N160" t="n">
        <v>0</v>
      </c>
      <c r="O160" t="n">
        <v>2</v>
      </c>
      <c r="P160" t="n">
        <v>0</v>
      </c>
      <c r="Q160" t="n">
        <v>2</v>
      </c>
      <c r="R160" s="2" t="inlineStr">
        <is>
          <t>Buskskvätta
Ängsnätfjäril</t>
        </is>
      </c>
      <c r="S160">
        <f>HYPERLINK("https://klasma.github.io/Logging_0980/artfynd/A 43321-2020 artfynd.xlsx", "A 43321-2020")</f>
        <v/>
      </c>
      <c r="T160">
        <f>HYPERLINK("https://klasma.github.io/Logging_0980/kartor/A 43321-2020 karta.png", "A 43321-2020")</f>
        <v/>
      </c>
      <c r="V160">
        <f>HYPERLINK("https://klasma.github.io/Logging_0980/klagomål/A 43321-2020 FSC-klagomål.docx", "A 43321-2020")</f>
        <v/>
      </c>
      <c r="W160">
        <f>HYPERLINK("https://klasma.github.io/Logging_0980/klagomålsmail/A 43321-2020 FSC-klagomål mail.docx", "A 43321-2020")</f>
        <v/>
      </c>
      <c r="X160">
        <f>HYPERLINK("https://klasma.github.io/Logging_0980/tillsyn/A 43321-2020 tillsynsbegäran.docx", "A 43321-2020")</f>
        <v/>
      </c>
      <c r="Y160">
        <f>HYPERLINK("https://klasma.github.io/Logging_0980/tillsynsmail/A 43321-2020 tillsynsbegäran mail.docx", "A 43321-2020")</f>
        <v/>
      </c>
      <c r="Z160">
        <f>HYPERLINK("https://klasma.github.io/Logging_0980/fåglar/A 43321-2020 prioriterade fågelarter.docx", "A 43321-2020")</f>
        <v/>
      </c>
    </row>
    <row r="161" ht="15" customHeight="1">
      <c r="A161" t="inlineStr">
        <is>
          <t>A 58701-2020</t>
        </is>
      </c>
      <c r="B161" s="1" t="n">
        <v>44146</v>
      </c>
      <c r="C161" s="1" t="n">
        <v>45749</v>
      </c>
      <c r="D161" t="inlineStr">
        <is>
          <t>GOTLANDS LÄN</t>
        </is>
      </c>
      <c r="E161" t="inlineStr">
        <is>
          <t>GOTLAND</t>
        </is>
      </c>
      <c r="G161" t="n">
        <v>5.5</v>
      </c>
      <c r="H161" t="n">
        <v>0</v>
      </c>
      <c r="I161" t="n">
        <v>0</v>
      </c>
      <c r="J161" t="n">
        <v>1</v>
      </c>
      <c r="K161" t="n">
        <v>1</v>
      </c>
      <c r="L161" t="n">
        <v>0</v>
      </c>
      <c r="M161" t="n">
        <v>0</v>
      </c>
      <c r="N161" t="n">
        <v>0</v>
      </c>
      <c r="O161" t="n">
        <v>2</v>
      </c>
      <c r="P161" t="n">
        <v>1</v>
      </c>
      <c r="Q161" t="n">
        <v>2</v>
      </c>
      <c r="R161" s="2" t="inlineStr">
        <is>
          <t>Vit taggsvamp
Odörspindling</t>
        </is>
      </c>
      <c r="S161">
        <f>HYPERLINK("https://klasma.github.io/Logging_0980/artfynd/A 58701-2020 artfynd.xlsx", "A 58701-2020")</f>
        <v/>
      </c>
      <c r="T161">
        <f>HYPERLINK("https://klasma.github.io/Logging_0980/kartor/A 58701-2020 karta.png", "A 58701-2020")</f>
        <v/>
      </c>
      <c r="V161">
        <f>HYPERLINK("https://klasma.github.io/Logging_0980/klagomål/A 58701-2020 FSC-klagomål.docx", "A 58701-2020")</f>
        <v/>
      </c>
      <c r="W161">
        <f>HYPERLINK("https://klasma.github.io/Logging_0980/klagomålsmail/A 58701-2020 FSC-klagomål mail.docx", "A 58701-2020")</f>
        <v/>
      </c>
      <c r="X161">
        <f>HYPERLINK("https://klasma.github.io/Logging_0980/tillsyn/A 58701-2020 tillsynsbegäran.docx", "A 58701-2020")</f>
        <v/>
      </c>
      <c r="Y161">
        <f>HYPERLINK("https://klasma.github.io/Logging_0980/tillsynsmail/A 58701-2020 tillsynsbegäran mail.docx", "A 58701-2020")</f>
        <v/>
      </c>
    </row>
    <row r="162" ht="15" customHeight="1">
      <c r="A162" t="inlineStr">
        <is>
          <t>A 64263-2020</t>
        </is>
      </c>
      <c r="B162" s="1" t="n">
        <v>44168</v>
      </c>
      <c r="C162" s="1" t="n">
        <v>45749</v>
      </c>
      <c r="D162" t="inlineStr">
        <is>
          <t>GOTLANDS LÄN</t>
        </is>
      </c>
      <c r="E162" t="inlineStr">
        <is>
          <t>GOTLAND</t>
        </is>
      </c>
      <c r="G162" t="n">
        <v>10.9</v>
      </c>
      <c r="H162" t="n">
        <v>1</v>
      </c>
      <c r="I162" t="n">
        <v>0</v>
      </c>
      <c r="J162" t="n">
        <v>2</v>
      </c>
      <c r="K162" t="n">
        <v>0</v>
      </c>
      <c r="L162" t="n">
        <v>0</v>
      </c>
      <c r="M162" t="n">
        <v>0</v>
      </c>
      <c r="N162" t="n">
        <v>0</v>
      </c>
      <c r="O162" t="n">
        <v>2</v>
      </c>
      <c r="P162" t="n">
        <v>0</v>
      </c>
      <c r="Q162" t="n">
        <v>2</v>
      </c>
      <c r="R162" s="2" t="inlineStr">
        <is>
          <t>Mindre hackspett
Ullticka</t>
        </is>
      </c>
      <c r="S162">
        <f>HYPERLINK("https://klasma.github.io/Logging_0980/artfynd/A 64263-2020 artfynd.xlsx", "A 64263-2020")</f>
        <v/>
      </c>
      <c r="T162">
        <f>HYPERLINK("https://klasma.github.io/Logging_0980/kartor/A 64263-2020 karta.png", "A 64263-2020")</f>
        <v/>
      </c>
      <c r="V162">
        <f>HYPERLINK("https://klasma.github.io/Logging_0980/klagomål/A 64263-2020 FSC-klagomål.docx", "A 64263-2020")</f>
        <v/>
      </c>
      <c r="W162">
        <f>HYPERLINK("https://klasma.github.io/Logging_0980/klagomålsmail/A 64263-2020 FSC-klagomål mail.docx", "A 64263-2020")</f>
        <v/>
      </c>
      <c r="X162">
        <f>HYPERLINK("https://klasma.github.io/Logging_0980/tillsyn/A 64263-2020 tillsynsbegäran.docx", "A 64263-2020")</f>
        <v/>
      </c>
      <c r="Y162">
        <f>HYPERLINK("https://klasma.github.io/Logging_0980/tillsynsmail/A 64263-2020 tillsynsbegäran mail.docx", "A 64263-2020")</f>
        <v/>
      </c>
      <c r="Z162">
        <f>HYPERLINK("https://klasma.github.io/Logging_0980/fåglar/A 64263-2020 prioriterade fågelarter.docx", "A 64263-2020")</f>
        <v/>
      </c>
    </row>
    <row r="163" ht="15" customHeight="1">
      <c r="A163" t="inlineStr">
        <is>
          <t>A 9930-2021</t>
        </is>
      </c>
      <c r="B163" s="1" t="n">
        <v>44252</v>
      </c>
      <c r="C163" s="1" t="n">
        <v>45749</v>
      </c>
      <c r="D163" t="inlineStr">
        <is>
          <t>GOTLANDS LÄN</t>
        </is>
      </c>
      <c r="E163" t="inlineStr">
        <is>
          <t>GOTLAND</t>
        </is>
      </c>
      <c r="G163" t="n">
        <v>1.9</v>
      </c>
      <c r="H163" t="n">
        <v>0</v>
      </c>
      <c r="I163" t="n">
        <v>0</v>
      </c>
      <c r="J163" t="n">
        <v>0</v>
      </c>
      <c r="K163" t="n">
        <v>0</v>
      </c>
      <c r="L163" t="n">
        <v>1</v>
      </c>
      <c r="M163" t="n">
        <v>1</v>
      </c>
      <c r="N163" t="n">
        <v>0</v>
      </c>
      <c r="O163" t="n">
        <v>2</v>
      </c>
      <c r="P163" t="n">
        <v>2</v>
      </c>
      <c r="Q163" t="n">
        <v>2</v>
      </c>
      <c r="R163" s="2" t="inlineStr">
        <is>
          <t>Lundalm
Ask</t>
        </is>
      </c>
      <c r="S163">
        <f>HYPERLINK("https://klasma.github.io/Logging_0980/artfynd/A 9930-2021 artfynd.xlsx", "A 9930-2021")</f>
        <v/>
      </c>
      <c r="T163">
        <f>HYPERLINK("https://klasma.github.io/Logging_0980/kartor/A 9930-2021 karta.png", "A 9930-2021")</f>
        <v/>
      </c>
      <c r="V163">
        <f>HYPERLINK("https://klasma.github.io/Logging_0980/klagomål/A 9930-2021 FSC-klagomål.docx", "A 9930-2021")</f>
        <v/>
      </c>
      <c r="W163">
        <f>HYPERLINK("https://klasma.github.io/Logging_0980/klagomålsmail/A 9930-2021 FSC-klagomål mail.docx", "A 9930-2021")</f>
        <v/>
      </c>
      <c r="X163">
        <f>HYPERLINK("https://klasma.github.io/Logging_0980/tillsyn/A 9930-2021 tillsynsbegäran.docx", "A 9930-2021")</f>
        <v/>
      </c>
      <c r="Y163">
        <f>HYPERLINK("https://klasma.github.io/Logging_0980/tillsynsmail/A 9930-2021 tillsynsbegäran mail.docx", "A 9930-2021")</f>
        <v/>
      </c>
    </row>
    <row r="164" ht="15" customHeight="1">
      <c r="A164" t="inlineStr">
        <is>
          <t>A 16429-2021</t>
        </is>
      </c>
      <c r="B164" s="1" t="n">
        <v>44293</v>
      </c>
      <c r="C164" s="1" t="n">
        <v>45749</v>
      </c>
      <c r="D164" t="inlineStr">
        <is>
          <t>GOTLANDS LÄN</t>
        </is>
      </c>
      <c r="E164" t="inlineStr">
        <is>
          <t>GOTLAND</t>
        </is>
      </c>
      <c r="G164" t="n">
        <v>3.4</v>
      </c>
      <c r="H164" t="n">
        <v>0</v>
      </c>
      <c r="I164" t="n">
        <v>0</v>
      </c>
      <c r="J164" t="n">
        <v>1</v>
      </c>
      <c r="K164" t="n">
        <v>1</v>
      </c>
      <c r="L164" t="n">
        <v>0</v>
      </c>
      <c r="M164" t="n">
        <v>0</v>
      </c>
      <c r="N164" t="n">
        <v>0</v>
      </c>
      <c r="O164" t="n">
        <v>2</v>
      </c>
      <c r="P164" t="n">
        <v>1</v>
      </c>
      <c r="Q164" t="n">
        <v>2</v>
      </c>
      <c r="R164" s="2" t="inlineStr">
        <is>
          <t>Gotlandsmåra
Barrviolspindling</t>
        </is>
      </c>
      <c r="S164">
        <f>HYPERLINK("https://klasma.github.io/Logging_0980/artfynd/A 16429-2021 artfynd.xlsx", "A 16429-2021")</f>
        <v/>
      </c>
      <c r="T164">
        <f>HYPERLINK("https://klasma.github.io/Logging_0980/kartor/A 16429-2021 karta.png", "A 16429-2021")</f>
        <v/>
      </c>
      <c r="V164">
        <f>HYPERLINK("https://klasma.github.io/Logging_0980/klagomål/A 16429-2021 FSC-klagomål.docx", "A 16429-2021")</f>
        <v/>
      </c>
      <c r="W164">
        <f>HYPERLINK("https://klasma.github.io/Logging_0980/klagomålsmail/A 16429-2021 FSC-klagomål mail.docx", "A 16429-2021")</f>
        <v/>
      </c>
      <c r="X164">
        <f>HYPERLINK("https://klasma.github.io/Logging_0980/tillsyn/A 16429-2021 tillsynsbegäran.docx", "A 16429-2021")</f>
        <v/>
      </c>
      <c r="Y164">
        <f>HYPERLINK("https://klasma.github.io/Logging_0980/tillsynsmail/A 16429-2021 tillsynsbegäran mail.docx", "A 16429-2021")</f>
        <v/>
      </c>
    </row>
    <row r="165" ht="15" customHeight="1">
      <c r="A165" t="inlineStr">
        <is>
          <t>A 29870-2021</t>
        </is>
      </c>
      <c r="B165" s="1" t="n">
        <v>44362</v>
      </c>
      <c r="C165" s="1" t="n">
        <v>45749</v>
      </c>
      <c r="D165" t="inlineStr">
        <is>
          <t>GOTLANDS LÄN</t>
        </is>
      </c>
      <c r="E165" t="inlineStr">
        <is>
          <t>GOTLAND</t>
        </is>
      </c>
      <c r="G165" t="n">
        <v>2.4</v>
      </c>
      <c r="H165" t="n">
        <v>0</v>
      </c>
      <c r="I165" t="n">
        <v>1</v>
      </c>
      <c r="J165" t="n">
        <v>0</v>
      </c>
      <c r="K165" t="n">
        <v>1</v>
      </c>
      <c r="L165" t="n">
        <v>0</v>
      </c>
      <c r="M165" t="n">
        <v>0</v>
      </c>
      <c r="N165" t="n">
        <v>0</v>
      </c>
      <c r="O165" t="n">
        <v>1</v>
      </c>
      <c r="P165" t="n">
        <v>1</v>
      </c>
      <c r="Q165" t="n">
        <v>2</v>
      </c>
      <c r="R165" s="2" t="inlineStr">
        <is>
          <t>Blåfotad fagerspindling
Olivspindling</t>
        </is>
      </c>
      <c r="S165">
        <f>HYPERLINK("https://klasma.github.io/Logging_0980/artfynd/A 29870-2021 artfynd.xlsx", "A 29870-2021")</f>
        <v/>
      </c>
      <c r="T165">
        <f>HYPERLINK("https://klasma.github.io/Logging_0980/kartor/A 29870-2021 karta.png", "A 29870-2021")</f>
        <v/>
      </c>
      <c r="V165">
        <f>HYPERLINK("https://klasma.github.io/Logging_0980/klagomål/A 29870-2021 FSC-klagomål.docx", "A 29870-2021")</f>
        <v/>
      </c>
      <c r="W165">
        <f>HYPERLINK("https://klasma.github.io/Logging_0980/klagomålsmail/A 29870-2021 FSC-klagomål mail.docx", "A 29870-2021")</f>
        <v/>
      </c>
      <c r="X165">
        <f>HYPERLINK("https://klasma.github.io/Logging_0980/tillsyn/A 29870-2021 tillsynsbegäran.docx", "A 29870-2021")</f>
        <v/>
      </c>
      <c r="Y165">
        <f>HYPERLINK("https://klasma.github.io/Logging_0980/tillsynsmail/A 29870-2021 tillsynsbegäran mail.docx", "A 29870-2021")</f>
        <v/>
      </c>
    </row>
    <row r="166" ht="15" customHeight="1">
      <c r="A166" t="inlineStr">
        <is>
          <t>A 41346-2021</t>
        </is>
      </c>
      <c r="B166" s="1" t="n">
        <v>44424</v>
      </c>
      <c r="C166" s="1" t="n">
        <v>45749</v>
      </c>
      <c r="D166" t="inlineStr">
        <is>
          <t>GOTLANDS LÄN</t>
        </is>
      </c>
      <c r="E166" t="inlineStr">
        <is>
          <t>GOTLAND</t>
        </is>
      </c>
      <c r="G166" t="n">
        <v>0.9</v>
      </c>
      <c r="H166" t="n">
        <v>0</v>
      </c>
      <c r="I166" t="n">
        <v>1</v>
      </c>
      <c r="J166" t="n">
        <v>0</v>
      </c>
      <c r="K166" t="n">
        <v>1</v>
      </c>
      <c r="L166" t="n">
        <v>0</v>
      </c>
      <c r="M166" t="n">
        <v>0</v>
      </c>
      <c r="N166" t="n">
        <v>0</v>
      </c>
      <c r="O166" t="n">
        <v>1</v>
      </c>
      <c r="P166" t="n">
        <v>1</v>
      </c>
      <c r="Q166" t="n">
        <v>2</v>
      </c>
      <c r="R166" s="2" t="inlineStr">
        <is>
          <t>Vit taggsvamp
Fjällig taggsvamp s.str.</t>
        </is>
      </c>
      <c r="S166">
        <f>HYPERLINK("https://klasma.github.io/Logging_0980/artfynd/A 41346-2021 artfynd.xlsx", "A 41346-2021")</f>
        <v/>
      </c>
      <c r="T166">
        <f>HYPERLINK("https://klasma.github.io/Logging_0980/kartor/A 41346-2021 karta.png", "A 41346-2021")</f>
        <v/>
      </c>
      <c r="V166">
        <f>HYPERLINK("https://klasma.github.io/Logging_0980/klagomål/A 41346-2021 FSC-klagomål.docx", "A 41346-2021")</f>
        <v/>
      </c>
      <c r="W166">
        <f>HYPERLINK("https://klasma.github.io/Logging_0980/klagomålsmail/A 41346-2021 FSC-klagomål mail.docx", "A 41346-2021")</f>
        <v/>
      </c>
      <c r="X166">
        <f>HYPERLINK("https://klasma.github.io/Logging_0980/tillsyn/A 41346-2021 tillsynsbegäran.docx", "A 41346-2021")</f>
        <v/>
      </c>
      <c r="Y166">
        <f>HYPERLINK("https://klasma.github.io/Logging_0980/tillsynsmail/A 41346-2021 tillsynsbegäran mail.docx", "A 41346-2021")</f>
        <v/>
      </c>
    </row>
    <row r="167" ht="15" customHeight="1">
      <c r="A167" t="inlineStr">
        <is>
          <t>A 51737-2021</t>
        </is>
      </c>
      <c r="B167" s="1" t="n">
        <v>44462</v>
      </c>
      <c r="C167" s="1" t="n">
        <v>45749</v>
      </c>
      <c r="D167" t="inlineStr">
        <is>
          <t>GOTLANDS LÄN</t>
        </is>
      </c>
      <c r="E167" t="inlineStr">
        <is>
          <t>GOTLAND</t>
        </is>
      </c>
      <c r="G167" t="n">
        <v>8.6</v>
      </c>
      <c r="H167" t="n">
        <v>0</v>
      </c>
      <c r="I167" t="n">
        <v>1</v>
      </c>
      <c r="J167" t="n">
        <v>1</v>
      </c>
      <c r="K167" t="n">
        <v>0</v>
      </c>
      <c r="L167" t="n">
        <v>0</v>
      </c>
      <c r="M167" t="n">
        <v>0</v>
      </c>
      <c r="N167" t="n">
        <v>0</v>
      </c>
      <c r="O167" t="n">
        <v>1</v>
      </c>
      <c r="P167" t="n">
        <v>0</v>
      </c>
      <c r="Q167" t="n">
        <v>2</v>
      </c>
      <c r="R167" s="2" t="inlineStr">
        <is>
          <t>Igelkott
Kambräken</t>
        </is>
      </c>
      <c r="S167">
        <f>HYPERLINK("https://klasma.github.io/Logging_0980/artfynd/A 51737-2021 artfynd.xlsx", "A 51737-2021")</f>
        <v/>
      </c>
      <c r="T167">
        <f>HYPERLINK("https://klasma.github.io/Logging_0980/kartor/A 51737-2021 karta.png", "A 51737-2021")</f>
        <v/>
      </c>
      <c r="V167">
        <f>HYPERLINK("https://klasma.github.io/Logging_0980/klagomål/A 51737-2021 FSC-klagomål.docx", "A 51737-2021")</f>
        <v/>
      </c>
      <c r="W167">
        <f>HYPERLINK("https://klasma.github.io/Logging_0980/klagomålsmail/A 51737-2021 FSC-klagomål mail.docx", "A 51737-2021")</f>
        <v/>
      </c>
      <c r="X167">
        <f>HYPERLINK("https://klasma.github.io/Logging_0980/tillsyn/A 51737-2021 tillsynsbegäran.docx", "A 51737-2021")</f>
        <v/>
      </c>
      <c r="Y167">
        <f>HYPERLINK("https://klasma.github.io/Logging_0980/tillsynsmail/A 51737-2021 tillsynsbegäran mail.docx", "A 51737-2021")</f>
        <v/>
      </c>
    </row>
    <row r="168" ht="15" customHeight="1">
      <c r="A168" t="inlineStr">
        <is>
          <t>A 60665-2021</t>
        </is>
      </c>
      <c r="B168" s="1" t="n">
        <v>44496</v>
      </c>
      <c r="C168" s="1" t="n">
        <v>45749</v>
      </c>
      <c r="D168" t="inlineStr">
        <is>
          <t>GOTLANDS LÄN</t>
        </is>
      </c>
      <c r="E168" t="inlineStr">
        <is>
          <t>GOTLAND</t>
        </is>
      </c>
      <c r="G168" t="n">
        <v>1.6</v>
      </c>
      <c r="H168" t="n">
        <v>0</v>
      </c>
      <c r="I168" t="n">
        <v>0</v>
      </c>
      <c r="J168" t="n">
        <v>0</v>
      </c>
      <c r="K168" t="n">
        <v>1</v>
      </c>
      <c r="L168" t="n">
        <v>1</v>
      </c>
      <c r="M168" t="n">
        <v>0</v>
      </c>
      <c r="N168" t="n">
        <v>0</v>
      </c>
      <c r="O168" t="n">
        <v>2</v>
      </c>
      <c r="P168" t="n">
        <v>2</v>
      </c>
      <c r="Q168" t="n">
        <v>2</v>
      </c>
      <c r="R168" s="2" t="inlineStr">
        <is>
          <t>Ädellav
Skogskorn</t>
        </is>
      </c>
      <c r="S168">
        <f>HYPERLINK("https://klasma.github.io/Logging_0980/artfynd/A 60665-2021 artfynd.xlsx", "A 60665-2021")</f>
        <v/>
      </c>
      <c r="T168">
        <f>HYPERLINK("https://klasma.github.io/Logging_0980/kartor/A 60665-2021 karta.png", "A 60665-2021")</f>
        <v/>
      </c>
      <c r="V168">
        <f>HYPERLINK("https://klasma.github.io/Logging_0980/klagomål/A 60665-2021 FSC-klagomål.docx", "A 60665-2021")</f>
        <v/>
      </c>
      <c r="W168">
        <f>HYPERLINK("https://klasma.github.io/Logging_0980/klagomålsmail/A 60665-2021 FSC-klagomål mail.docx", "A 60665-2021")</f>
        <v/>
      </c>
      <c r="X168">
        <f>HYPERLINK("https://klasma.github.io/Logging_0980/tillsyn/A 60665-2021 tillsynsbegäran.docx", "A 60665-2021")</f>
        <v/>
      </c>
      <c r="Y168">
        <f>HYPERLINK("https://klasma.github.io/Logging_0980/tillsynsmail/A 60665-2021 tillsynsbegäran mail.docx", "A 60665-2021")</f>
        <v/>
      </c>
    </row>
    <row r="169" ht="15" customHeight="1">
      <c r="A169" t="inlineStr">
        <is>
          <t>A 73144-2021</t>
        </is>
      </c>
      <c r="B169" s="1" t="n">
        <v>44550</v>
      </c>
      <c r="C169" s="1" t="n">
        <v>45749</v>
      </c>
      <c r="D169" t="inlineStr">
        <is>
          <t>GOTLANDS LÄN</t>
        </is>
      </c>
      <c r="E169" t="inlineStr">
        <is>
          <t>GOTLAND</t>
        </is>
      </c>
      <c r="G169" t="n">
        <v>1.9</v>
      </c>
      <c r="H169" t="n">
        <v>0</v>
      </c>
      <c r="I169" t="n">
        <v>1</v>
      </c>
      <c r="J169" t="n">
        <v>0</v>
      </c>
      <c r="K169" t="n">
        <v>1</v>
      </c>
      <c r="L169" t="n">
        <v>0</v>
      </c>
      <c r="M169" t="n">
        <v>0</v>
      </c>
      <c r="N169" t="n">
        <v>0</v>
      </c>
      <c r="O169" t="n">
        <v>1</v>
      </c>
      <c r="P169" t="n">
        <v>1</v>
      </c>
      <c r="Q169" t="n">
        <v>2</v>
      </c>
      <c r="R169" s="2" t="inlineStr">
        <is>
          <t>Skogskorn
Kambräken</t>
        </is>
      </c>
      <c r="S169">
        <f>HYPERLINK("https://klasma.github.io/Logging_0980/artfynd/A 73144-2021 artfynd.xlsx", "A 73144-2021")</f>
        <v/>
      </c>
      <c r="T169">
        <f>HYPERLINK("https://klasma.github.io/Logging_0980/kartor/A 73144-2021 karta.png", "A 73144-2021")</f>
        <v/>
      </c>
      <c r="V169">
        <f>HYPERLINK("https://klasma.github.io/Logging_0980/klagomål/A 73144-2021 FSC-klagomål.docx", "A 73144-2021")</f>
        <v/>
      </c>
      <c r="W169">
        <f>HYPERLINK("https://klasma.github.io/Logging_0980/klagomålsmail/A 73144-2021 FSC-klagomål mail.docx", "A 73144-2021")</f>
        <v/>
      </c>
      <c r="X169">
        <f>HYPERLINK("https://klasma.github.io/Logging_0980/tillsyn/A 73144-2021 tillsynsbegäran.docx", "A 73144-2021")</f>
        <v/>
      </c>
      <c r="Y169">
        <f>HYPERLINK("https://klasma.github.io/Logging_0980/tillsynsmail/A 73144-2021 tillsynsbegäran mail.docx", "A 73144-2021")</f>
        <v/>
      </c>
    </row>
    <row r="170" ht="15" customHeight="1">
      <c r="A170" t="inlineStr">
        <is>
          <t>A 7070-2022</t>
        </is>
      </c>
      <c r="B170" s="1" t="n">
        <v>44603</v>
      </c>
      <c r="C170" s="1" t="n">
        <v>45749</v>
      </c>
      <c r="D170" t="inlineStr">
        <is>
          <t>GOTLANDS LÄN</t>
        </is>
      </c>
      <c r="E170" t="inlineStr">
        <is>
          <t>GOTLAND</t>
        </is>
      </c>
      <c r="G170" t="n">
        <v>2.6</v>
      </c>
      <c r="H170" t="n">
        <v>0</v>
      </c>
      <c r="I170" t="n">
        <v>2</v>
      </c>
      <c r="J170" t="n">
        <v>0</v>
      </c>
      <c r="K170" t="n">
        <v>0</v>
      </c>
      <c r="L170" t="n">
        <v>0</v>
      </c>
      <c r="M170" t="n">
        <v>0</v>
      </c>
      <c r="N170" t="n">
        <v>0</v>
      </c>
      <c r="O170" t="n">
        <v>0</v>
      </c>
      <c r="P170" t="n">
        <v>0</v>
      </c>
      <c r="Q170" t="n">
        <v>2</v>
      </c>
      <c r="R170" s="2" t="inlineStr">
        <is>
          <t>Blåmossa
Kattfotslav</t>
        </is>
      </c>
      <c r="S170">
        <f>HYPERLINK("https://klasma.github.io/Logging_0980/artfynd/A 7070-2022 artfynd.xlsx", "A 7070-2022")</f>
        <v/>
      </c>
      <c r="T170">
        <f>HYPERLINK("https://klasma.github.io/Logging_0980/kartor/A 7070-2022 karta.png", "A 7070-2022")</f>
        <v/>
      </c>
      <c r="V170">
        <f>HYPERLINK("https://klasma.github.io/Logging_0980/klagomål/A 7070-2022 FSC-klagomål.docx", "A 7070-2022")</f>
        <v/>
      </c>
      <c r="W170">
        <f>HYPERLINK("https://klasma.github.io/Logging_0980/klagomålsmail/A 7070-2022 FSC-klagomål mail.docx", "A 7070-2022")</f>
        <v/>
      </c>
      <c r="X170">
        <f>HYPERLINK("https://klasma.github.io/Logging_0980/tillsyn/A 7070-2022 tillsynsbegäran.docx", "A 7070-2022")</f>
        <v/>
      </c>
      <c r="Y170">
        <f>HYPERLINK("https://klasma.github.io/Logging_0980/tillsynsmail/A 7070-2022 tillsynsbegäran mail.docx", "A 7070-2022")</f>
        <v/>
      </c>
    </row>
    <row r="171" ht="15" customHeight="1">
      <c r="A171" t="inlineStr">
        <is>
          <t>A 19175-2022</t>
        </is>
      </c>
      <c r="B171" s="1" t="n">
        <v>44691</v>
      </c>
      <c r="C171" s="1" t="n">
        <v>45749</v>
      </c>
      <c r="D171" t="inlineStr">
        <is>
          <t>GOTLANDS LÄN</t>
        </is>
      </c>
      <c r="E171" t="inlineStr">
        <is>
          <t>GOTLAND</t>
        </is>
      </c>
      <c r="G171" t="n">
        <v>8.5</v>
      </c>
      <c r="H171" t="n">
        <v>1</v>
      </c>
      <c r="I171" t="n">
        <v>0</v>
      </c>
      <c r="J171" t="n">
        <v>2</v>
      </c>
      <c r="K171" t="n">
        <v>0</v>
      </c>
      <c r="L171" t="n">
        <v>0</v>
      </c>
      <c r="M171" t="n">
        <v>0</v>
      </c>
      <c r="N171" t="n">
        <v>0</v>
      </c>
      <c r="O171" t="n">
        <v>2</v>
      </c>
      <c r="P171" t="n">
        <v>0</v>
      </c>
      <c r="Q171" t="n">
        <v>2</v>
      </c>
      <c r="R171" s="2" t="inlineStr">
        <is>
          <t>Jordtistel
Spillkråka</t>
        </is>
      </c>
      <c r="S171">
        <f>HYPERLINK("https://klasma.github.io/Logging_0980/artfynd/A 19175-2022 artfynd.xlsx", "A 19175-2022")</f>
        <v/>
      </c>
      <c r="T171">
        <f>HYPERLINK("https://klasma.github.io/Logging_0980/kartor/A 19175-2022 karta.png", "A 19175-2022")</f>
        <v/>
      </c>
      <c r="V171">
        <f>HYPERLINK("https://klasma.github.io/Logging_0980/klagomål/A 19175-2022 FSC-klagomål.docx", "A 19175-2022")</f>
        <v/>
      </c>
      <c r="W171">
        <f>HYPERLINK("https://klasma.github.io/Logging_0980/klagomålsmail/A 19175-2022 FSC-klagomål mail.docx", "A 19175-2022")</f>
        <v/>
      </c>
      <c r="X171">
        <f>HYPERLINK("https://klasma.github.io/Logging_0980/tillsyn/A 19175-2022 tillsynsbegäran.docx", "A 19175-2022")</f>
        <v/>
      </c>
      <c r="Y171">
        <f>HYPERLINK("https://klasma.github.io/Logging_0980/tillsynsmail/A 19175-2022 tillsynsbegäran mail.docx", "A 19175-2022")</f>
        <v/>
      </c>
      <c r="Z171">
        <f>HYPERLINK("https://klasma.github.io/Logging_0980/fåglar/A 19175-2022 prioriterade fågelarter.docx", "A 19175-2022")</f>
        <v/>
      </c>
    </row>
    <row r="172" ht="15" customHeight="1">
      <c r="A172" t="inlineStr">
        <is>
          <t>A 20218-2022</t>
        </is>
      </c>
      <c r="B172" s="1" t="n">
        <v>44698</v>
      </c>
      <c r="C172" s="1" t="n">
        <v>45749</v>
      </c>
      <c r="D172" t="inlineStr">
        <is>
          <t>GOTLANDS LÄN</t>
        </is>
      </c>
      <c r="E172" t="inlineStr">
        <is>
          <t>GOTLAND</t>
        </is>
      </c>
      <c r="G172" t="n">
        <v>4.3</v>
      </c>
      <c r="H172" t="n">
        <v>0</v>
      </c>
      <c r="I172" t="n">
        <v>1</v>
      </c>
      <c r="J172" t="n">
        <v>1</v>
      </c>
      <c r="K172" t="n">
        <v>0</v>
      </c>
      <c r="L172" t="n">
        <v>0</v>
      </c>
      <c r="M172" t="n">
        <v>0</v>
      </c>
      <c r="N172" t="n">
        <v>0</v>
      </c>
      <c r="O172" t="n">
        <v>1</v>
      </c>
      <c r="P172" t="n">
        <v>0</v>
      </c>
      <c r="Q172" t="n">
        <v>2</v>
      </c>
      <c r="R172" s="2" t="inlineStr">
        <is>
          <t>Flattoppad klubbsvamp
Rödgul trumpetsvamp</t>
        </is>
      </c>
      <c r="S172">
        <f>HYPERLINK("https://klasma.github.io/Logging_0980/artfynd/A 20218-2022 artfynd.xlsx", "A 20218-2022")</f>
        <v/>
      </c>
      <c r="T172">
        <f>HYPERLINK("https://klasma.github.io/Logging_0980/kartor/A 20218-2022 karta.png", "A 20218-2022")</f>
        <v/>
      </c>
      <c r="V172">
        <f>HYPERLINK("https://klasma.github.io/Logging_0980/klagomål/A 20218-2022 FSC-klagomål.docx", "A 20218-2022")</f>
        <v/>
      </c>
      <c r="W172">
        <f>HYPERLINK("https://klasma.github.io/Logging_0980/klagomålsmail/A 20218-2022 FSC-klagomål mail.docx", "A 20218-2022")</f>
        <v/>
      </c>
      <c r="X172">
        <f>HYPERLINK("https://klasma.github.io/Logging_0980/tillsyn/A 20218-2022 tillsynsbegäran.docx", "A 20218-2022")</f>
        <v/>
      </c>
      <c r="Y172">
        <f>HYPERLINK("https://klasma.github.io/Logging_0980/tillsynsmail/A 20218-2022 tillsynsbegäran mail.docx", "A 20218-2022")</f>
        <v/>
      </c>
    </row>
    <row r="173" ht="15" customHeight="1">
      <c r="A173" t="inlineStr">
        <is>
          <t>A 48126-2022</t>
        </is>
      </c>
      <c r="B173" s="1" t="n">
        <v>44857</v>
      </c>
      <c r="C173" s="1" t="n">
        <v>45749</v>
      </c>
      <c r="D173" t="inlineStr">
        <is>
          <t>GOTLANDS LÄN</t>
        </is>
      </c>
      <c r="E173" t="inlineStr">
        <is>
          <t>GOTLAND</t>
        </is>
      </c>
      <c r="G173" t="n">
        <v>9.800000000000001</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48126-2022 artfynd.xlsx", "A 48126-2022")</f>
        <v/>
      </c>
      <c r="T173">
        <f>HYPERLINK("https://klasma.github.io/Logging_0980/kartor/A 48126-2022 karta.png", "A 48126-2022")</f>
        <v/>
      </c>
      <c r="V173">
        <f>HYPERLINK("https://klasma.github.io/Logging_0980/klagomål/A 48126-2022 FSC-klagomål.docx", "A 48126-2022")</f>
        <v/>
      </c>
      <c r="W173">
        <f>HYPERLINK("https://klasma.github.io/Logging_0980/klagomålsmail/A 48126-2022 FSC-klagomål mail.docx", "A 48126-2022")</f>
        <v/>
      </c>
      <c r="X173">
        <f>HYPERLINK("https://klasma.github.io/Logging_0980/tillsyn/A 48126-2022 tillsynsbegäran.docx", "A 48126-2022")</f>
        <v/>
      </c>
      <c r="Y173">
        <f>HYPERLINK("https://klasma.github.io/Logging_0980/tillsynsmail/A 48126-2022 tillsynsbegäran mail.docx", "A 48126-2022")</f>
        <v/>
      </c>
      <c r="Z173">
        <f>HYPERLINK("https://klasma.github.io/Logging_0980/fåglar/A 48126-2022 prioriterade fågelarter.docx", "A 48126-2022")</f>
        <v/>
      </c>
    </row>
    <row r="174" ht="15" customHeight="1">
      <c r="A174" t="inlineStr">
        <is>
          <t>A 3779-2023</t>
        </is>
      </c>
      <c r="B174" s="1" t="n">
        <v>44951</v>
      </c>
      <c r="C174" s="1" t="n">
        <v>45749</v>
      </c>
      <c r="D174" t="inlineStr">
        <is>
          <t>GOTLANDS LÄN</t>
        </is>
      </c>
      <c r="E174" t="inlineStr">
        <is>
          <t>GOTLAND</t>
        </is>
      </c>
      <c r="G174" t="n">
        <v>5.2</v>
      </c>
      <c r="H174" t="n">
        <v>0</v>
      </c>
      <c r="I174" t="n">
        <v>2</v>
      </c>
      <c r="J174" t="n">
        <v>0</v>
      </c>
      <c r="K174" t="n">
        <v>0</v>
      </c>
      <c r="L174" t="n">
        <v>0</v>
      </c>
      <c r="M174" t="n">
        <v>0</v>
      </c>
      <c r="N174" t="n">
        <v>0</v>
      </c>
      <c r="O174" t="n">
        <v>0</v>
      </c>
      <c r="P174" t="n">
        <v>0</v>
      </c>
      <c r="Q174" t="n">
        <v>2</v>
      </c>
      <c r="R174" s="2" t="inlineStr">
        <is>
          <t>Blå slemspindling
Olivspindling</t>
        </is>
      </c>
      <c r="S174">
        <f>HYPERLINK("https://klasma.github.io/Logging_0980/artfynd/A 3779-2023 artfynd.xlsx", "A 3779-2023")</f>
        <v/>
      </c>
      <c r="T174">
        <f>HYPERLINK("https://klasma.github.io/Logging_0980/kartor/A 3779-2023 karta.png", "A 3779-2023")</f>
        <v/>
      </c>
      <c r="V174">
        <f>HYPERLINK("https://klasma.github.io/Logging_0980/klagomål/A 3779-2023 FSC-klagomål.docx", "A 3779-2023")</f>
        <v/>
      </c>
      <c r="W174">
        <f>HYPERLINK("https://klasma.github.io/Logging_0980/klagomålsmail/A 3779-2023 FSC-klagomål mail.docx", "A 3779-2023")</f>
        <v/>
      </c>
      <c r="X174">
        <f>HYPERLINK("https://klasma.github.io/Logging_0980/tillsyn/A 3779-2023 tillsynsbegäran.docx", "A 3779-2023")</f>
        <v/>
      </c>
      <c r="Y174">
        <f>HYPERLINK("https://klasma.github.io/Logging_0980/tillsynsmail/A 3779-2023 tillsynsbegäran mail.docx", "A 3779-2023")</f>
        <v/>
      </c>
    </row>
    <row r="175" ht="15" customHeight="1">
      <c r="A175" t="inlineStr">
        <is>
          <t>A 35028-2023</t>
        </is>
      </c>
      <c r="B175" s="1" t="n">
        <v>45145</v>
      </c>
      <c r="C175" s="1" t="n">
        <v>45749</v>
      </c>
      <c r="D175" t="inlineStr">
        <is>
          <t>GOTLANDS LÄN</t>
        </is>
      </c>
      <c r="E175" t="inlineStr">
        <is>
          <t>GOTLAND</t>
        </is>
      </c>
      <c r="G175" t="n">
        <v>1.1</v>
      </c>
      <c r="H175" t="n">
        <v>0</v>
      </c>
      <c r="I175" t="n">
        <v>1</v>
      </c>
      <c r="J175" t="n">
        <v>0</v>
      </c>
      <c r="K175" t="n">
        <v>1</v>
      </c>
      <c r="L175" t="n">
        <v>0</v>
      </c>
      <c r="M175" t="n">
        <v>0</v>
      </c>
      <c r="N175" t="n">
        <v>0</v>
      </c>
      <c r="O175" t="n">
        <v>1</v>
      </c>
      <c r="P175" t="n">
        <v>1</v>
      </c>
      <c r="Q175" t="n">
        <v>2</v>
      </c>
      <c r="R175" s="2" t="inlineStr">
        <is>
          <t>Tät korallorangelav
Guldlockmossa</t>
        </is>
      </c>
      <c r="S175">
        <f>HYPERLINK("https://klasma.github.io/Logging_0980/artfynd/A 35028-2023 artfynd.xlsx", "A 35028-2023")</f>
        <v/>
      </c>
      <c r="T175">
        <f>HYPERLINK("https://klasma.github.io/Logging_0980/kartor/A 35028-2023 karta.png", "A 35028-2023")</f>
        <v/>
      </c>
      <c r="V175">
        <f>HYPERLINK("https://klasma.github.io/Logging_0980/klagomål/A 35028-2023 FSC-klagomål.docx", "A 35028-2023")</f>
        <v/>
      </c>
      <c r="W175">
        <f>HYPERLINK("https://klasma.github.io/Logging_0980/klagomålsmail/A 35028-2023 FSC-klagomål mail.docx", "A 35028-2023")</f>
        <v/>
      </c>
      <c r="X175">
        <f>HYPERLINK("https://klasma.github.io/Logging_0980/tillsyn/A 35028-2023 tillsynsbegäran.docx", "A 35028-2023")</f>
        <v/>
      </c>
      <c r="Y175">
        <f>HYPERLINK("https://klasma.github.io/Logging_0980/tillsynsmail/A 35028-2023 tillsynsbegäran mail.docx", "A 35028-2023")</f>
        <v/>
      </c>
    </row>
    <row r="176" ht="15" customHeight="1">
      <c r="A176" t="inlineStr">
        <is>
          <t>A 35029-2023</t>
        </is>
      </c>
      <c r="B176" s="1" t="n">
        <v>45145</v>
      </c>
      <c r="C176" s="1" t="n">
        <v>45749</v>
      </c>
      <c r="D176" t="inlineStr">
        <is>
          <t>GOTLANDS LÄN</t>
        </is>
      </c>
      <c r="E176" t="inlineStr">
        <is>
          <t>GOTLAND</t>
        </is>
      </c>
      <c r="G176" t="n">
        <v>1.7</v>
      </c>
      <c r="H176" t="n">
        <v>0</v>
      </c>
      <c r="I176" t="n">
        <v>1</v>
      </c>
      <c r="J176" t="n">
        <v>1</v>
      </c>
      <c r="K176" t="n">
        <v>0</v>
      </c>
      <c r="L176" t="n">
        <v>0</v>
      </c>
      <c r="M176" t="n">
        <v>0</v>
      </c>
      <c r="N176" t="n">
        <v>0</v>
      </c>
      <c r="O176" t="n">
        <v>1</v>
      </c>
      <c r="P176" t="n">
        <v>0</v>
      </c>
      <c r="Q176" t="n">
        <v>2</v>
      </c>
      <c r="R176" s="2" t="inlineStr">
        <is>
          <t>Odörspindling
Anisspindling</t>
        </is>
      </c>
      <c r="S176">
        <f>HYPERLINK("https://klasma.github.io/Logging_0980/artfynd/A 35029-2023 artfynd.xlsx", "A 35029-2023")</f>
        <v/>
      </c>
      <c r="T176">
        <f>HYPERLINK("https://klasma.github.io/Logging_0980/kartor/A 35029-2023 karta.png", "A 35029-2023")</f>
        <v/>
      </c>
      <c r="V176">
        <f>HYPERLINK("https://klasma.github.io/Logging_0980/klagomål/A 35029-2023 FSC-klagomål.docx", "A 35029-2023")</f>
        <v/>
      </c>
      <c r="W176">
        <f>HYPERLINK("https://klasma.github.io/Logging_0980/klagomålsmail/A 35029-2023 FSC-klagomål mail.docx", "A 35029-2023")</f>
        <v/>
      </c>
      <c r="X176">
        <f>HYPERLINK("https://klasma.github.io/Logging_0980/tillsyn/A 35029-2023 tillsynsbegäran.docx", "A 35029-2023")</f>
        <v/>
      </c>
      <c r="Y176">
        <f>HYPERLINK("https://klasma.github.io/Logging_0980/tillsynsmail/A 35029-2023 tillsynsbegäran mail.docx", "A 35029-2023")</f>
        <v/>
      </c>
    </row>
    <row r="177" ht="15" customHeight="1">
      <c r="A177" t="inlineStr">
        <is>
          <t>A 39430-2023</t>
        </is>
      </c>
      <c r="B177" s="1" t="n">
        <v>45166</v>
      </c>
      <c r="C177" s="1" t="n">
        <v>45749</v>
      </c>
      <c r="D177" t="inlineStr">
        <is>
          <t>GOTLANDS LÄN</t>
        </is>
      </c>
      <c r="E177" t="inlineStr">
        <is>
          <t>GOTLAND</t>
        </is>
      </c>
      <c r="G177" t="n">
        <v>2.3</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39430-2023 artfynd.xlsx", "A 39430-2023")</f>
        <v/>
      </c>
      <c r="T177">
        <f>HYPERLINK("https://klasma.github.io/Logging_0980/kartor/A 39430-2023 karta.png", "A 39430-2023")</f>
        <v/>
      </c>
      <c r="V177">
        <f>HYPERLINK("https://klasma.github.io/Logging_0980/klagomål/A 39430-2023 FSC-klagomål.docx", "A 39430-2023")</f>
        <v/>
      </c>
      <c r="W177">
        <f>HYPERLINK("https://klasma.github.io/Logging_0980/klagomålsmail/A 39430-2023 FSC-klagomål mail.docx", "A 39430-2023")</f>
        <v/>
      </c>
      <c r="X177">
        <f>HYPERLINK("https://klasma.github.io/Logging_0980/tillsyn/A 39430-2023 tillsynsbegäran.docx", "A 39430-2023")</f>
        <v/>
      </c>
      <c r="Y177">
        <f>HYPERLINK("https://klasma.github.io/Logging_0980/tillsynsmail/A 39430-2023 tillsynsbegäran mail.docx", "A 39430-2023")</f>
        <v/>
      </c>
    </row>
    <row r="178" ht="15" customHeight="1">
      <c r="A178" t="inlineStr">
        <is>
          <t>A 39749-2023</t>
        </is>
      </c>
      <c r="B178" s="1" t="n">
        <v>45167</v>
      </c>
      <c r="C178" s="1" t="n">
        <v>45749</v>
      </c>
      <c r="D178" t="inlineStr">
        <is>
          <t>GOTLANDS LÄN</t>
        </is>
      </c>
      <c r="E178" t="inlineStr">
        <is>
          <t>GOTLAND</t>
        </is>
      </c>
      <c r="G178" t="n">
        <v>8.300000000000001</v>
      </c>
      <c r="H178" t="n">
        <v>0</v>
      </c>
      <c r="I178" t="n">
        <v>1</v>
      </c>
      <c r="J178" t="n">
        <v>1</v>
      </c>
      <c r="K178" t="n">
        <v>0</v>
      </c>
      <c r="L178" t="n">
        <v>0</v>
      </c>
      <c r="M178" t="n">
        <v>0</v>
      </c>
      <c r="N178" t="n">
        <v>0</v>
      </c>
      <c r="O178" t="n">
        <v>1</v>
      </c>
      <c r="P178" t="n">
        <v>0</v>
      </c>
      <c r="Q178" t="n">
        <v>2</v>
      </c>
      <c r="R178" s="2" t="inlineStr">
        <is>
          <t>Majviva
Axag</t>
        </is>
      </c>
      <c r="S178">
        <f>HYPERLINK("https://klasma.github.io/Logging_0980/artfynd/A 39749-2023 artfynd.xlsx", "A 39749-2023")</f>
        <v/>
      </c>
      <c r="T178">
        <f>HYPERLINK("https://klasma.github.io/Logging_0980/kartor/A 39749-2023 karta.png", "A 39749-2023")</f>
        <v/>
      </c>
      <c r="V178">
        <f>HYPERLINK("https://klasma.github.io/Logging_0980/klagomål/A 39749-2023 FSC-klagomål.docx", "A 39749-2023")</f>
        <v/>
      </c>
      <c r="W178">
        <f>HYPERLINK("https://klasma.github.io/Logging_0980/klagomålsmail/A 39749-2023 FSC-klagomål mail.docx", "A 39749-2023")</f>
        <v/>
      </c>
      <c r="X178">
        <f>HYPERLINK("https://klasma.github.io/Logging_0980/tillsyn/A 39749-2023 tillsynsbegäran.docx", "A 39749-2023")</f>
        <v/>
      </c>
      <c r="Y178">
        <f>HYPERLINK("https://klasma.github.io/Logging_0980/tillsynsmail/A 39749-2023 tillsynsbegäran mail.docx", "A 39749-2023")</f>
        <v/>
      </c>
    </row>
    <row r="179" ht="15" customHeight="1">
      <c r="A179" t="inlineStr">
        <is>
          <t>A 2818-2024</t>
        </is>
      </c>
      <c r="B179" s="1" t="n">
        <v>45314</v>
      </c>
      <c r="C179" s="1" t="n">
        <v>45749</v>
      </c>
      <c r="D179" t="inlineStr">
        <is>
          <t>GOTLANDS LÄN</t>
        </is>
      </c>
      <c r="E179" t="inlineStr">
        <is>
          <t>GOTLAND</t>
        </is>
      </c>
      <c r="G179" t="n">
        <v>2.4</v>
      </c>
      <c r="H179" t="n">
        <v>1</v>
      </c>
      <c r="I179" t="n">
        <v>0</v>
      </c>
      <c r="J179" t="n">
        <v>1</v>
      </c>
      <c r="K179" t="n">
        <v>0</v>
      </c>
      <c r="L179" t="n">
        <v>0</v>
      </c>
      <c r="M179" t="n">
        <v>0</v>
      </c>
      <c r="N179" t="n">
        <v>0</v>
      </c>
      <c r="O179" t="n">
        <v>1</v>
      </c>
      <c r="P179" t="n">
        <v>0</v>
      </c>
      <c r="Q179" t="n">
        <v>2</v>
      </c>
      <c r="R179" s="2" t="inlineStr">
        <is>
          <t>Solvända
Gullviva</t>
        </is>
      </c>
      <c r="S179">
        <f>HYPERLINK("https://klasma.github.io/Logging_0980/artfynd/A 2818-2024 artfynd.xlsx", "A 2818-2024")</f>
        <v/>
      </c>
      <c r="T179">
        <f>HYPERLINK("https://klasma.github.io/Logging_0980/kartor/A 2818-2024 karta.png", "A 2818-2024")</f>
        <v/>
      </c>
      <c r="V179">
        <f>HYPERLINK("https://klasma.github.io/Logging_0980/klagomål/A 2818-2024 FSC-klagomål.docx", "A 2818-2024")</f>
        <v/>
      </c>
      <c r="W179">
        <f>HYPERLINK("https://klasma.github.io/Logging_0980/klagomålsmail/A 2818-2024 FSC-klagomål mail.docx", "A 2818-2024")</f>
        <v/>
      </c>
      <c r="X179">
        <f>HYPERLINK("https://klasma.github.io/Logging_0980/tillsyn/A 2818-2024 tillsynsbegäran.docx", "A 2818-2024")</f>
        <v/>
      </c>
      <c r="Y179">
        <f>HYPERLINK("https://klasma.github.io/Logging_0980/tillsynsmail/A 2818-2024 tillsynsbegäran mail.docx", "A 2818-2024")</f>
        <v/>
      </c>
    </row>
    <row r="180" ht="15" customHeight="1">
      <c r="A180" t="inlineStr">
        <is>
          <t>A 12315-2024</t>
        </is>
      </c>
      <c r="B180" s="1" t="n">
        <v>45378</v>
      </c>
      <c r="C180" s="1" t="n">
        <v>45749</v>
      </c>
      <c r="D180" t="inlineStr">
        <is>
          <t>GOTLANDS LÄN</t>
        </is>
      </c>
      <c r="E180" t="inlineStr">
        <is>
          <t>GOTLAND</t>
        </is>
      </c>
      <c r="G180" t="n">
        <v>6</v>
      </c>
      <c r="H180" t="n">
        <v>2</v>
      </c>
      <c r="I180" t="n">
        <v>1</v>
      </c>
      <c r="J180" t="n">
        <v>0</v>
      </c>
      <c r="K180" t="n">
        <v>0</v>
      </c>
      <c r="L180" t="n">
        <v>0</v>
      </c>
      <c r="M180" t="n">
        <v>0</v>
      </c>
      <c r="N180" t="n">
        <v>0</v>
      </c>
      <c r="O180" t="n">
        <v>0</v>
      </c>
      <c r="P180" t="n">
        <v>0</v>
      </c>
      <c r="Q180" t="n">
        <v>2</v>
      </c>
      <c r="R180" s="2" t="inlineStr">
        <is>
          <t>Tvåblad
Fläcknycklar</t>
        </is>
      </c>
      <c r="S180">
        <f>HYPERLINK("https://klasma.github.io/Logging_0980/artfynd/A 12315-2024 artfynd.xlsx", "A 12315-2024")</f>
        <v/>
      </c>
      <c r="T180">
        <f>HYPERLINK("https://klasma.github.io/Logging_0980/kartor/A 12315-2024 karta.png", "A 12315-2024")</f>
        <v/>
      </c>
      <c r="V180">
        <f>HYPERLINK("https://klasma.github.io/Logging_0980/klagomål/A 12315-2024 FSC-klagomål.docx", "A 12315-2024")</f>
        <v/>
      </c>
      <c r="W180">
        <f>HYPERLINK("https://klasma.github.io/Logging_0980/klagomålsmail/A 12315-2024 FSC-klagomål mail.docx", "A 12315-2024")</f>
        <v/>
      </c>
      <c r="X180">
        <f>HYPERLINK("https://klasma.github.io/Logging_0980/tillsyn/A 12315-2024 tillsynsbegäran.docx", "A 12315-2024")</f>
        <v/>
      </c>
      <c r="Y180">
        <f>HYPERLINK("https://klasma.github.io/Logging_0980/tillsynsmail/A 12315-2024 tillsynsbegäran mail.docx", "A 12315-2024")</f>
        <v/>
      </c>
    </row>
    <row r="181" ht="15" customHeight="1">
      <c r="A181" t="inlineStr">
        <is>
          <t>A 16331-2024</t>
        </is>
      </c>
      <c r="B181" s="1" t="n">
        <v>45407</v>
      </c>
      <c r="C181" s="1" t="n">
        <v>45749</v>
      </c>
      <c r="D181" t="inlineStr">
        <is>
          <t>GOTLANDS LÄN</t>
        </is>
      </c>
      <c r="E181" t="inlineStr">
        <is>
          <t>GOTLAND</t>
        </is>
      </c>
      <c r="G181" t="n">
        <v>4.2</v>
      </c>
      <c r="H181" t="n">
        <v>0</v>
      </c>
      <c r="I181" t="n">
        <v>2</v>
      </c>
      <c r="J181" t="n">
        <v>0</v>
      </c>
      <c r="K181" t="n">
        <v>0</v>
      </c>
      <c r="L181" t="n">
        <v>0</v>
      </c>
      <c r="M181" t="n">
        <v>0</v>
      </c>
      <c r="N181" t="n">
        <v>0</v>
      </c>
      <c r="O181" t="n">
        <v>0</v>
      </c>
      <c r="P181" t="n">
        <v>0</v>
      </c>
      <c r="Q181" t="n">
        <v>2</v>
      </c>
      <c r="R181" s="2" t="inlineStr">
        <is>
          <t>Blå slemspindling
Västlig hakmossa</t>
        </is>
      </c>
      <c r="S181">
        <f>HYPERLINK("https://klasma.github.io/Logging_0980/artfynd/A 16331-2024 artfynd.xlsx", "A 16331-2024")</f>
        <v/>
      </c>
      <c r="T181">
        <f>HYPERLINK("https://klasma.github.io/Logging_0980/kartor/A 16331-2024 karta.png", "A 16331-2024")</f>
        <v/>
      </c>
      <c r="V181">
        <f>HYPERLINK("https://klasma.github.io/Logging_0980/klagomål/A 16331-2024 FSC-klagomål.docx", "A 16331-2024")</f>
        <v/>
      </c>
      <c r="W181">
        <f>HYPERLINK("https://klasma.github.io/Logging_0980/klagomålsmail/A 16331-2024 FSC-klagomål mail.docx", "A 16331-2024")</f>
        <v/>
      </c>
      <c r="X181">
        <f>HYPERLINK("https://klasma.github.io/Logging_0980/tillsyn/A 16331-2024 tillsynsbegäran.docx", "A 16331-2024")</f>
        <v/>
      </c>
      <c r="Y181">
        <f>HYPERLINK("https://klasma.github.io/Logging_0980/tillsynsmail/A 16331-2024 tillsynsbegäran mail.docx", "A 16331-2024")</f>
        <v/>
      </c>
    </row>
    <row r="182" ht="15" customHeight="1">
      <c r="A182" t="inlineStr">
        <is>
          <t>A 17533-2024</t>
        </is>
      </c>
      <c r="B182" s="1" t="n">
        <v>45415</v>
      </c>
      <c r="C182" s="1" t="n">
        <v>45749</v>
      </c>
      <c r="D182" t="inlineStr">
        <is>
          <t>GOTLANDS LÄN</t>
        </is>
      </c>
      <c r="E182" t="inlineStr">
        <is>
          <t>GOTLAND</t>
        </is>
      </c>
      <c r="G182" t="n">
        <v>2.3</v>
      </c>
      <c r="H182" t="n">
        <v>0</v>
      </c>
      <c r="I182" t="n">
        <v>1</v>
      </c>
      <c r="J182" t="n">
        <v>0</v>
      </c>
      <c r="K182" t="n">
        <v>1</v>
      </c>
      <c r="L182" t="n">
        <v>0</v>
      </c>
      <c r="M182" t="n">
        <v>0</v>
      </c>
      <c r="N182" t="n">
        <v>0</v>
      </c>
      <c r="O182" t="n">
        <v>1</v>
      </c>
      <c r="P182" t="n">
        <v>1</v>
      </c>
      <c r="Q182" t="n">
        <v>2</v>
      </c>
      <c r="R182" s="2" t="inlineStr">
        <is>
          <t>Skogskorn
Strävlosta</t>
        </is>
      </c>
      <c r="S182">
        <f>HYPERLINK("https://klasma.github.io/Logging_0980/artfynd/A 17533-2024 artfynd.xlsx", "A 17533-2024")</f>
        <v/>
      </c>
      <c r="T182">
        <f>HYPERLINK("https://klasma.github.io/Logging_0980/kartor/A 17533-2024 karta.png", "A 17533-2024")</f>
        <v/>
      </c>
      <c r="V182">
        <f>HYPERLINK("https://klasma.github.io/Logging_0980/klagomål/A 17533-2024 FSC-klagomål.docx", "A 17533-2024")</f>
        <v/>
      </c>
      <c r="W182">
        <f>HYPERLINK("https://klasma.github.io/Logging_0980/klagomålsmail/A 17533-2024 FSC-klagomål mail.docx", "A 17533-2024")</f>
        <v/>
      </c>
      <c r="X182">
        <f>HYPERLINK("https://klasma.github.io/Logging_0980/tillsyn/A 17533-2024 tillsynsbegäran.docx", "A 17533-2024")</f>
        <v/>
      </c>
      <c r="Y182">
        <f>HYPERLINK("https://klasma.github.io/Logging_0980/tillsynsmail/A 17533-2024 tillsynsbegäran mail.docx", "A 17533-2024")</f>
        <v/>
      </c>
    </row>
    <row r="183" ht="15" customHeight="1">
      <c r="A183" t="inlineStr">
        <is>
          <t>A 25973-2024</t>
        </is>
      </c>
      <c r="B183" s="1" t="n">
        <v>45467</v>
      </c>
      <c r="C183" s="1" t="n">
        <v>45749</v>
      </c>
      <c r="D183" t="inlineStr">
        <is>
          <t>GOTLANDS LÄN</t>
        </is>
      </c>
      <c r="E183" t="inlineStr">
        <is>
          <t>GOTLAND</t>
        </is>
      </c>
      <c r="G183" t="n">
        <v>2.3</v>
      </c>
      <c r="H183" t="n">
        <v>1</v>
      </c>
      <c r="I183" t="n">
        <v>0</v>
      </c>
      <c r="J183" t="n">
        <v>2</v>
      </c>
      <c r="K183" t="n">
        <v>0</v>
      </c>
      <c r="L183" t="n">
        <v>0</v>
      </c>
      <c r="M183" t="n">
        <v>0</v>
      </c>
      <c r="N183" t="n">
        <v>0</v>
      </c>
      <c r="O183" t="n">
        <v>2</v>
      </c>
      <c r="P183" t="n">
        <v>0</v>
      </c>
      <c r="Q183" t="n">
        <v>2</v>
      </c>
      <c r="R183" s="2" t="inlineStr">
        <is>
          <t>Dårgräsfjäril
Svinrot</t>
        </is>
      </c>
      <c r="S183">
        <f>HYPERLINK("https://klasma.github.io/Logging_0980/artfynd/A 25973-2024 artfynd.xlsx", "A 25973-2024")</f>
        <v/>
      </c>
      <c r="T183">
        <f>HYPERLINK("https://klasma.github.io/Logging_0980/kartor/A 25973-2024 karta.png", "A 25973-2024")</f>
        <v/>
      </c>
      <c r="V183">
        <f>HYPERLINK("https://klasma.github.io/Logging_0980/klagomål/A 25973-2024 FSC-klagomål.docx", "A 25973-2024")</f>
        <v/>
      </c>
      <c r="W183">
        <f>HYPERLINK("https://klasma.github.io/Logging_0980/klagomålsmail/A 25973-2024 FSC-klagomål mail.docx", "A 25973-2024")</f>
        <v/>
      </c>
      <c r="X183">
        <f>HYPERLINK("https://klasma.github.io/Logging_0980/tillsyn/A 25973-2024 tillsynsbegäran.docx", "A 25973-2024")</f>
        <v/>
      </c>
      <c r="Y183">
        <f>HYPERLINK("https://klasma.github.io/Logging_0980/tillsynsmail/A 25973-2024 tillsynsbegäran mail.docx", "A 25973-2024")</f>
        <v/>
      </c>
    </row>
    <row r="184" ht="15" customHeight="1">
      <c r="A184" t="inlineStr">
        <is>
          <t>A 26077-2024</t>
        </is>
      </c>
      <c r="B184" s="1" t="n">
        <v>45467</v>
      </c>
      <c r="C184" s="1" t="n">
        <v>45749</v>
      </c>
      <c r="D184" t="inlineStr">
        <is>
          <t>GOTLANDS LÄN</t>
        </is>
      </c>
      <c r="E184" t="inlineStr">
        <is>
          <t>GOTLAND</t>
        </is>
      </c>
      <c r="G184" t="n">
        <v>4.6</v>
      </c>
      <c r="H184" t="n">
        <v>0</v>
      </c>
      <c r="I184" t="n">
        <v>0</v>
      </c>
      <c r="J184" t="n">
        <v>1</v>
      </c>
      <c r="K184" t="n">
        <v>0</v>
      </c>
      <c r="L184" t="n">
        <v>1</v>
      </c>
      <c r="M184" t="n">
        <v>0</v>
      </c>
      <c r="N184" t="n">
        <v>0</v>
      </c>
      <c r="O184" t="n">
        <v>2</v>
      </c>
      <c r="P184" t="n">
        <v>1</v>
      </c>
      <c r="Q184" t="n">
        <v>2</v>
      </c>
      <c r="R184" s="2" t="inlineStr">
        <is>
          <t>Ask
Tallticka</t>
        </is>
      </c>
      <c r="S184">
        <f>HYPERLINK("https://klasma.github.io/Logging_0980/artfynd/A 26077-2024 artfynd.xlsx", "A 26077-2024")</f>
        <v/>
      </c>
      <c r="T184">
        <f>HYPERLINK("https://klasma.github.io/Logging_0980/kartor/A 26077-2024 karta.png", "A 26077-2024")</f>
        <v/>
      </c>
      <c r="V184">
        <f>HYPERLINK("https://klasma.github.io/Logging_0980/klagomål/A 26077-2024 FSC-klagomål.docx", "A 26077-2024")</f>
        <v/>
      </c>
      <c r="W184">
        <f>HYPERLINK("https://klasma.github.io/Logging_0980/klagomålsmail/A 26077-2024 FSC-klagomål mail.docx", "A 26077-2024")</f>
        <v/>
      </c>
      <c r="X184">
        <f>HYPERLINK("https://klasma.github.io/Logging_0980/tillsyn/A 26077-2024 tillsynsbegäran.docx", "A 26077-2024")</f>
        <v/>
      </c>
      <c r="Y184">
        <f>HYPERLINK("https://klasma.github.io/Logging_0980/tillsynsmail/A 26077-2024 tillsynsbegäran mail.docx", "A 26077-2024")</f>
        <v/>
      </c>
    </row>
    <row r="185" ht="15" customHeight="1">
      <c r="A185" t="inlineStr">
        <is>
          <t>A 28261-2024</t>
        </is>
      </c>
      <c r="B185" s="1" t="n">
        <v>45477</v>
      </c>
      <c r="C185" s="1" t="n">
        <v>45749</v>
      </c>
      <c r="D185" t="inlineStr">
        <is>
          <t>GOTLANDS LÄN</t>
        </is>
      </c>
      <c r="E185" t="inlineStr">
        <is>
          <t>GOTLAND</t>
        </is>
      </c>
      <c r="G185" t="n">
        <v>22.8</v>
      </c>
      <c r="H185" t="n">
        <v>0</v>
      </c>
      <c r="I185" t="n">
        <v>0</v>
      </c>
      <c r="J185" t="n">
        <v>2</v>
      </c>
      <c r="K185" t="n">
        <v>0</v>
      </c>
      <c r="L185" t="n">
        <v>0</v>
      </c>
      <c r="M185" t="n">
        <v>0</v>
      </c>
      <c r="N185" t="n">
        <v>0</v>
      </c>
      <c r="O185" t="n">
        <v>2</v>
      </c>
      <c r="P185" t="n">
        <v>0</v>
      </c>
      <c r="Q185" t="n">
        <v>2</v>
      </c>
      <c r="R185" s="2" t="inlineStr">
        <is>
          <t>Grådådra
Åkerkulla</t>
        </is>
      </c>
      <c r="S185">
        <f>HYPERLINK("https://klasma.github.io/Logging_0980/artfynd/A 28261-2024 artfynd.xlsx", "A 28261-2024")</f>
        <v/>
      </c>
      <c r="T185">
        <f>HYPERLINK("https://klasma.github.io/Logging_0980/kartor/A 28261-2024 karta.png", "A 28261-2024")</f>
        <v/>
      </c>
      <c r="V185">
        <f>HYPERLINK("https://klasma.github.io/Logging_0980/klagomål/A 28261-2024 FSC-klagomål.docx", "A 28261-2024")</f>
        <v/>
      </c>
      <c r="W185">
        <f>HYPERLINK("https://klasma.github.io/Logging_0980/klagomålsmail/A 28261-2024 FSC-klagomål mail.docx", "A 28261-2024")</f>
        <v/>
      </c>
      <c r="X185">
        <f>HYPERLINK("https://klasma.github.io/Logging_0980/tillsyn/A 28261-2024 tillsynsbegäran.docx", "A 28261-2024")</f>
        <v/>
      </c>
      <c r="Y185">
        <f>HYPERLINK("https://klasma.github.io/Logging_0980/tillsynsmail/A 28261-2024 tillsynsbegäran mail.docx", "A 28261-2024")</f>
        <v/>
      </c>
    </row>
    <row r="186" ht="15" customHeight="1">
      <c r="A186" t="inlineStr">
        <is>
          <t>A 28276-2024</t>
        </is>
      </c>
      <c r="B186" s="1" t="n">
        <v>45477</v>
      </c>
      <c r="C186" s="1" t="n">
        <v>45749</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28276-2024 artfynd.xlsx", "A 28276-2024")</f>
        <v/>
      </c>
      <c r="T186">
        <f>HYPERLINK("https://klasma.github.io/Logging_0980/kartor/A 28276-2024 karta.png", "A 28276-2024")</f>
        <v/>
      </c>
      <c r="V186">
        <f>HYPERLINK("https://klasma.github.io/Logging_0980/klagomål/A 28276-2024 FSC-klagomål.docx", "A 28276-2024")</f>
        <v/>
      </c>
      <c r="W186">
        <f>HYPERLINK("https://klasma.github.io/Logging_0980/klagomålsmail/A 28276-2024 FSC-klagomål mail.docx", "A 28276-2024")</f>
        <v/>
      </c>
      <c r="X186">
        <f>HYPERLINK("https://klasma.github.io/Logging_0980/tillsyn/A 28276-2024 tillsynsbegäran.docx", "A 28276-2024")</f>
        <v/>
      </c>
      <c r="Y186">
        <f>HYPERLINK("https://klasma.github.io/Logging_0980/tillsynsmail/A 28276-2024 tillsynsbegäran mail.docx", "A 28276-2024")</f>
        <v/>
      </c>
    </row>
    <row r="187" ht="15" customHeight="1">
      <c r="A187" t="inlineStr">
        <is>
          <t>A 54357-2024</t>
        </is>
      </c>
      <c r="B187" s="1" t="n">
        <v>45617</v>
      </c>
      <c r="C187" s="1" t="n">
        <v>45749</v>
      </c>
      <c r="D187" t="inlineStr">
        <is>
          <t>GOTLANDS LÄN</t>
        </is>
      </c>
      <c r="E187" t="inlineStr">
        <is>
          <t>GOTLAND</t>
        </is>
      </c>
      <c r="G187" t="n">
        <v>1.5</v>
      </c>
      <c r="H187" t="n">
        <v>1</v>
      </c>
      <c r="I187" t="n">
        <v>0</v>
      </c>
      <c r="J187" t="n">
        <v>1</v>
      </c>
      <c r="K187" t="n">
        <v>0</v>
      </c>
      <c r="L187" t="n">
        <v>0</v>
      </c>
      <c r="M187" t="n">
        <v>0</v>
      </c>
      <c r="N187" t="n">
        <v>0</v>
      </c>
      <c r="O187" t="n">
        <v>1</v>
      </c>
      <c r="P187" t="n">
        <v>0</v>
      </c>
      <c r="Q187" t="n">
        <v>2</v>
      </c>
      <c r="R187" s="2" t="inlineStr">
        <is>
          <t>Loppstarr
Fläcknycklar</t>
        </is>
      </c>
      <c r="S187">
        <f>HYPERLINK("https://klasma.github.io/Logging_0980/artfynd/A 54357-2024 artfynd.xlsx", "A 54357-2024")</f>
        <v/>
      </c>
      <c r="T187">
        <f>HYPERLINK("https://klasma.github.io/Logging_0980/kartor/A 54357-2024 karta.png", "A 54357-2024")</f>
        <v/>
      </c>
      <c r="V187">
        <f>HYPERLINK("https://klasma.github.io/Logging_0980/klagomål/A 54357-2024 FSC-klagomål.docx", "A 54357-2024")</f>
        <v/>
      </c>
      <c r="W187">
        <f>HYPERLINK("https://klasma.github.io/Logging_0980/klagomålsmail/A 54357-2024 FSC-klagomål mail.docx", "A 54357-2024")</f>
        <v/>
      </c>
      <c r="X187">
        <f>HYPERLINK("https://klasma.github.io/Logging_0980/tillsyn/A 54357-2024 tillsynsbegäran.docx", "A 54357-2024")</f>
        <v/>
      </c>
      <c r="Y187">
        <f>HYPERLINK("https://klasma.github.io/Logging_0980/tillsynsmail/A 54357-2024 tillsynsbegäran mail.docx", "A 54357-2024")</f>
        <v/>
      </c>
    </row>
    <row r="188" ht="15" customHeight="1">
      <c r="A188" t="inlineStr">
        <is>
          <t>A 54647-2024</t>
        </is>
      </c>
      <c r="B188" s="1" t="n">
        <v>45617</v>
      </c>
      <c r="C188" s="1" t="n">
        <v>45749</v>
      </c>
      <c r="D188" t="inlineStr">
        <is>
          <t>GOTLANDS LÄN</t>
        </is>
      </c>
      <c r="E188" t="inlineStr">
        <is>
          <t>GOTLAND</t>
        </is>
      </c>
      <c r="G188" t="n">
        <v>2.2</v>
      </c>
      <c r="H188" t="n">
        <v>0</v>
      </c>
      <c r="I188" t="n">
        <v>2</v>
      </c>
      <c r="J188" t="n">
        <v>0</v>
      </c>
      <c r="K188" t="n">
        <v>0</v>
      </c>
      <c r="L188" t="n">
        <v>0</v>
      </c>
      <c r="M188" t="n">
        <v>0</v>
      </c>
      <c r="N188" t="n">
        <v>0</v>
      </c>
      <c r="O188" t="n">
        <v>0</v>
      </c>
      <c r="P188" t="n">
        <v>0</v>
      </c>
      <c r="Q188" t="n">
        <v>2</v>
      </c>
      <c r="R188" s="2" t="inlineStr">
        <is>
          <t>Kattfotslav
Olivspindling</t>
        </is>
      </c>
      <c r="S188">
        <f>HYPERLINK("https://klasma.github.io/Logging_0980/artfynd/A 54647-2024 artfynd.xlsx", "A 54647-2024")</f>
        <v/>
      </c>
      <c r="T188">
        <f>HYPERLINK("https://klasma.github.io/Logging_0980/kartor/A 54647-2024 karta.png", "A 54647-2024")</f>
        <v/>
      </c>
      <c r="V188">
        <f>HYPERLINK("https://klasma.github.io/Logging_0980/klagomål/A 54647-2024 FSC-klagomål.docx", "A 54647-2024")</f>
        <v/>
      </c>
      <c r="W188">
        <f>HYPERLINK("https://klasma.github.io/Logging_0980/klagomålsmail/A 54647-2024 FSC-klagomål mail.docx", "A 54647-2024")</f>
        <v/>
      </c>
      <c r="X188">
        <f>HYPERLINK("https://klasma.github.io/Logging_0980/tillsyn/A 54647-2024 tillsynsbegäran.docx", "A 54647-2024")</f>
        <v/>
      </c>
      <c r="Y188">
        <f>HYPERLINK("https://klasma.github.io/Logging_0980/tillsynsmail/A 54647-2024 tillsynsbegäran mail.docx", "A 54647-2024")</f>
        <v/>
      </c>
    </row>
    <row r="189" ht="15" customHeight="1">
      <c r="A189" t="inlineStr">
        <is>
          <t>A 55649-2024</t>
        </is>
      </c>
      <c r="B189" s="1" t="n">
        <v>45622</v>
      </c>
      <c r="C189" s="1" t="n">
        <v>45749</v>
      </c>
      <c r="D189" t="inlineStr">
        <is>
          <t>GOTLANDS LÄN</t>
        </is>
      </c>
      <c r="E189" t="inlineStr">
        <is>
          <t>GOTLAND</t>
        </is>
      </c>
      <c r="G189" t="n">
        <v>4.6</v>
      </c>
      <c r="H189" t="n">
        <v>2</v>
      </c>
      <c r="I189" t="n">
        <v>0</v>
      </c>
      <c r="J189" t="n">
        <v>0</v>
      </c>
      <c r="K189" t="n">
        <v>0</v>
      </c>
      <c r="L189" t="n">
        <v>0</v>
      </c>
      <c r="M189" t="n">
        <v>0</v>
      </c>
      <c r="N189" t="n">
        <v>0</v>
      </c>
      <c r="O189" t="n">
        <v>0</v>
      </c>
      <c r="P189" t="n">
        <v>0</v>
      </c>
      <c r="Q189" t="n">
        <v>2</v>
      </c>
      <c r="R189" s="2" t="inlineStr">
        <is>
          <t>Sankt pers nycklar
Blåsippa</t>
        </is>
      </c>
      <c r="S189">
        <f>HYPERLINK("https://klasma.github.io/Logging_0980/artfynd/A 55649-2024 artfynd.xlsx", "A 55649-2024")</f>
        <v/>
      </c>
      <c r="T189">
        <f>HYPERLINK("https://klasma.github.io/Logging_0980/kartor/A 55649-2024 karta.png", "A 55649-2024")</f>
        <v/>
      </c>
      <c r="V189">
        <f>HYPERLINK("https://klasma.github.io/Logging_0980/klagomål/A 55649-2024 FSC-klagomål.docx", "A 55649-2024")</f>
        <v/>
      </c>
      <c r="W189">
        <f>HYPERLINK("https://klasma.github.io/Logging_0980/klagomålsmail/A 55649-2024 FSC-klagomål mail.docx", "A 55649-2024")</f>
        <v/>
      </c>
      <c r="X189">
        <f>HYPERLINK("https://klasma.github.io/Logging_0980/tillsyn/A 55649-2024 tillsynsbegäran.docx", "A 55649-2024")</f>
        <v/>
      </c>
      <c r="Y189">
        <f>HYPERLINK("https://klasma.github.io/Logging_0980/tillsynsmail/A 55649-2024 tillsynsbegäran mail.docx", "A 55649-2024")</f>
        <v/>
      </c>
    </row>
    <row r="190" ht="15" customHeight="1">
      <c r="A190" t="inlineStr">
        <is>
          <t>A 1120-2025</t>
        </is>
      </c>
      <c r="B190" s="1" t="n">
        <v>45666</v>
      </c>
      <c r="C190" s="1" t="n">
        <v>45749</v>
      </c>
      <c r="D190" t="inlineStr">
        <is>
          <t>GOTLANDS LÄN</t>
        </is>
      </c>
      <c r="E190" t="inlineStr">
        <is>
          <t>GOTLAND</t>
        </is>
      </c>
      <c r="G190" t="n">
        <v>9.300000000000001</v>
      </c>
      <c r="H190" t="n">
        <v>1</v>
      </c>
      <c r="I190" t="n">
        <v>1</v>
      </c>
      <c r="J190" t="n">
        <v>1</v>
      </c>
      <c r="K190" t="n">
        <v>0</v>
      </c>
      <c r="L190" t="n">
        <v>0</v>
      </c>
      <c r="M190" t="n">
        <v>0</v>
      </c>
      <c r="N190" t="n">
        <v>0</v>
      </c>
      <c r="O190" t="n">
        <v>1</v>
      </c>
      <c r="P190" t="n">
        <v>0</v>
      </c>
      <c r="Q190" t="n">
        <v>2</v>
      </c>
      <c r="R190" s="2" t="inlineStr">
        <is>
          <t>Röd skogslilja
Vårärt</t>
        </is>
      </c>
      <c r="S190">
        <f>HYPERLINK("https://klasma.github.io/Logging_0980/artfynd/A 1120-2025 artfynd.xlsx", "A 1120-2025")</f>
        <v/>
      </c>
      <c r="T190">
        <f>HYPERLINK("https://klasma.github.io/Logging_0980/kartor/A 1120-2025 karta.png", "A 1120-2025")</f>
        <v/>
      </c>
      <c r="V190">
        <f>HYPERLINK("https://klasma.github.io/Logging_0980/klagomål/A 1120-2025 FSC-klagomål.docx", "A 1120-2025")</f>
        <v/>
      </c>
      <c r="W190">
        <f>HYPERLINK("https://klasma.github.io/Logging_0980/klagomålsmail/A 1120-2025 FSC-klagomål mail.docx", "A 1120-2025")</f>
        <v/>
      </c>
      <c r="X190">
        <f>HYPERLINK("https://klasma.github.io/Logging_0980/tillsyn/A 1120-2025 tillsynsbegäran.docx", "A 1120-2025")</f>
        <v/>
      </c>
      <c r="Y190">
        <f>HYPERLINK("https://klasma.github.io/Logging_0980/tillsynsmail/A 1120-2025 tillsynsbegäran mail.docx", "A 1120-2025")</f>
        <v/>
      </c>
    </row>
    <row r="191" ht="15" customHeight="1">
      <c r="A191" t="inlineStr">
        <is>
          <t>A 9209-2025</t>
        </is>
      </c>
      <c r="B191" s="1" t="n">
        <v>45714</v>
      </c>
      <c r="C191" s="1" t="n">
        <v>45749</v>
      </c>
      <c r="D191" t="inlineStr">
        <is>
          <t>GOTLANDS LÄN</t>
        </is>
      </c>
      <c r="E191" t="inlineStr">
        <is>
          <t>GOTLAND</t>
        </is>
      </c>
      <c r="G191" t="n">
        <v>11.6</v>
      </c>
      <c r="H191" t="n">
        <v>0</v>
      </c>
      <c r="I191" t="n">
        <v>1</v>
      </c>
      <c r="J191" t="n">
        <v>0</v>
      </c>
      <c r="K191" t="n">
        <v>1</v>
      </c>
      <c r="L191" t="n">
        <v>0</v>
      </c>
      <c r="M191" t="n">
        <v>0</v>
      </c>
      <c r="N191" t="n">
        <v>0</v>
      </c>
      <c r="O191" t="n">
        <v>1</v>
      </c>
      <c r="P191" t="n">
        <v>1</v>
      </c>
      <c r="Q191" t="n">
        <v>2</v>
      </c>
      <c r="R191" s="2" t="inlineStr">
        <is>
          <t>Skogskorn
Myskmadra</t>
        </is>
      </c>
      <c r="S191">
        <f>HYPERLINK("https://klasma.github.io/Logging_0980/artfynd/A 9209-2025 artfynd.xlsx", "A 9209-2025")</f>
        <v/>
      </c>
      <c r="T191">
        <f>HYPERLINK("https://klasma.github.io/Logging_0980/kartor/A 9209-2025 karta.png", "A 9209-2025")</f>
        <v/>
      </c>
      <c r="V191">
        <f>HYPERLINK("https://klasma.github.io/Logging_0980/klagomål/A 9209-2025 FSC-klagomål.docx", "A 9209-2025")</f>
        <v/>
      </c>
      <c r="W191">
        <f>HYPERLINK("https://klasma.github.io/Logging_0980/klagomålsmail/A 9209-2025 FSC-klagomål mail.docx", "A 9209-2025")</f>
        <v/>
      </c>
      <c r="X191">
        <f>HYPERLINK("https://klasma.github.io/Logging_0980/tillsyn/A 9209-2025 tillsynsbegäran.docx", "A 9209-2025")</f>
        <v/>
      </c>
      <c r="Y191">
        <f>HYPERLINK("https://klasma.github.io/Logging_0980/tillsynsmail/A 9209-2025 tillsynsbegäran mail.docx", "A 9209-2025")</f>
        <v/>
      </c>
    </row>
    <row r="192" ht="15" customHeight="1">
      <c r="A192" t="inlineStr">
        <is>
          <t>A 12914-2025</t>
        </is>
      </c>
      <c r="B192" s="1" t="n">
        <v>45733</v>
      </c>
      <c r="C192" s="1" t="n">
        <v>45749</v>
      </c>
      <c r="D192" t="inlineStr">
        <is>
          <t>GOTLANDS LÄN</t>
        </is>
      </c>
      <c r="E192" t="inlineStr">
        <is>
          <t>GOTLAND</t>
        </is>
      </c>
      <c r="G192" t="n">
        <v>24.8</v>
      </c>
      <c r="H192" t="n">
        <v>2</v>
      </c>
      <c r="I192" t="n">
        <v>1</v>
      </c>
      <c r="J192" t="n">
        <v>0</v>
      </c>
      <c r="K192" t="n">
        <v>0</v>
      </c>
      <c r="L192" t="n">
        <v>0</v>
      </c>
      <c r="M192" t="n">
        <v>0</v>
      </c>
      <c r="N192" t="n">
        <v>0</v>
      </c>
      <c r="O192" t="n">
        <v>0</v>
      </c>
      <c r="P192" t="n">
        <v>0</v>
      </c>
      <c r="Q192" t="n">
        <v>2</v>
      </c>
      <c r="R192" s="2" t="inlineStr">
        <is>
          <t>Purpurknipprot
Brudsporre</t>
        </is>
      </c>
      <c r="S192">
        <f>HYPERLINK("https://klasma.github.io/Logging_090980/artfynd/A 12914-2025 artfynd.xlsx", "A 12914-2025")</f>
        <v/>
      </c>
      <c r="T192">
        <f>HYPERLINK("https://klasma.github.io/Logging_090980/kartor/A 12914-2025 karta.png", "A 12914-2025")</f>
        <v/>
      </c>
      <c r="V192">
        <f>HYPERLINK("https://klasma.github.io/Logging_090980/klagomål/A 12914-2025 FSC-klagomål.docx", "A 12914-2025")</f>
        <v/>
      </c>
      <c r="W192">
        <f>HYPERLINK("https://klasma.github.io/Logging_090980/klagomålsmail/A 12914-2025 FSC-klagomål mail.docx", "A 12914-2025")</f>
        <v/>
      </c>
      <c r="X192">
        <f>HYPERLINK("https://klasma.github.io/Logging_090980/tillsyn/A 12914-2025 tillsynsbegäran.docx", "A 12914-2025")</f>
        <v/>
      </c>
      <c r="Y192">
        <f>HYPERLINK("https://klasma.github.io/Logging_090980/tillsynsmail/A 12914-2025 tillsynsbegäran mail.docx", "A 12914-2025")</f>
        <v/>
      </c>
    </row>
    <row r="193" ht="15" customHeight="1">
      <c r="A193" t="inlineStr">
        <is>
          <t>A 18223-2019</t>
        </is>
      </c>
      <c r="B193" s="1" t="n">
        <v>43558</v>
      </c>
      <c r="C193" s="1" t="n">
        <v>45749</v>
      </c>
      <c r="D193" t="inlineStr">
        <is>
          <t>GOTLANDS LÄN</t>
        </is>
      </c>
      <c r="E193" t="inlineStr">
        <is>
          <t>GOTLAND</t>
        </is>
      </c>
      <c r="G193" t="n">
        <v>1.1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18223-2019 artfynd.xlsx", "A 18223-2019")</f>
        <v/>
      </c>
      <c r="T193">
        <f>HYPERLINK("https://klasma.github.io/Logging_0980/kartor/A 18223-2019 karta.png", "A 18223-2019")</f>
        <v/>
      </c>
      <c r="V193">
        <f>HYPERLINK("https://klasma.github.io/Logging_0980/klagomål/A 18223-2019 FSC-klagomål.docx", "A 18223-2019")</f>
        <v/>
      </c>
      <c r="W193">
        <f>HYPERLINK("https://klasma.github.io/Logging_0980/klagomålsmail/A 18223-2019 FSC-klagomål mail.docx", "A 18223-2019")</f>
        <v/>
      </c>
      <c r="X193">
        <f>HYPERLINK("https://klasma.github.io/Logging_0980/tillsyn/A 18223-2019 tillsynsbegäran.docx", "A 18223-2019")</f>
        <v/>
      </c>
      <c r="Y193">
        <f>HYPERLINK("https://klasma.github.io/Logging_0980/tillsynsmail/A 18223-2019 tillsynsbegäran mail.docx", "A 18223-2019")</f>
        <v/>
      </c>
    </row>
    <row r="194" ht="15" customHeight="1">
      <c r="A194" t="inlineStr">
        <is>
          <t>A 23016-2019</t>
        </is>
      </c>
      <c r="B194" s="1" t="n">
        <v>43591</v>
      </c>
      <c r="C194" s="1" t="n">
        <v>45749</v>
      </c>
      <c r="D194" t="inlineStr">
        <is>
          <t>GOTLANDS LÄN</t>
        </is>
      </c>
      <c r="E194" t="inlineStr">
        <is>
          <t>GOTLAND</t>
        </is>
      </c>
      <c r="G194" t="n">
        <v>7.9</v>
      </c>
      <c r="H194" t="n">
        <v>1</v>
      </c>
      <c r="I194" t="n">
        <v>0</v>
      </c>
      <c r="J194" t="n">
        <v>0</v>
      </c>
      <c r="K194" t="n">
        <v>0</v>
      </c>
      <c r="L194" t="n">
        <v>0</v>
      </c>
      <c r="M194" t="n">
        <v>0</v>
      </c>
      <c r="N194" t="n">
        <v>0</v>
      </c>
      <c r="O194" t="n">
        <v>0</v>
      </c>
      <c r="P194" t="n">
        <v>0</v>
      </c>
      <c r="Q194" t="n">
        <v>1</v>
      </c>
      <c r="R194" s="2" t="inlineStr">
        <is>
          <t>Äkta lopplummer</t>
        </is>
      </c>
      <c r="S194">
        <f>HYPERLINK("https://klasma.github.io/Logging_0980/artfynd/A 23016-2019 artfynd.xlsx", "A 23016-2019")</f>
        <v/>
      </c>
      <c r="T194">
        <f>HYPERLINK("https://klasma.github.io/Logging_0980/kartor/A 23016-2019 karta.png", "A 23016-2019")</f>
        <v/>
      </c>
      <c r="V194">
        <f>HYPERLINK("https://klasma.github.io/Logging_0980/klagomål/A 23016-2019 FSC-klagomål.docx", "A 23016-2019")</f>
        <v/>
      </c>
      <c r="W194">
        <f>HYPERLINK("https://klasma.github.io/Logging_0980/klagomålsmail/A 23016-2019 FSC-klagomål mail.docx", "A 23016-2019")</f>
        <v/>
      </c>
      <c r="X194">
        <f>HYPERLINK("https://klasma.github.io/Logging_0980/tillsyn/A 23016-2019 tillsynsbegäran.docx", "A 23016-2019")</f>
        <v/>
      </c>
      <c r="Y194">
        <f>HYPERLINK("https://klasma.github.io/Logging_0980/tillsynsmail/A 23016-2019 tillsynsbegäran mail.docx", "A 23016-2019")</f>
        <v/>
      </c>
    </row>
    <row r="195" ht="15" customHeight="1">
      <c r="A195" t="inlineStr">
        <is>
          <t>A 32963-2019</t>
        </is>
      </c>
      <c r="B195" s="1" t="n">
        <v>43648</v>
      </c>
      <c r="C195" s="1" t="n">
        <v>45749</v>
      </c>
      <c r="D195" t="inlineStr">
        <is>
          <t>GOTLANDS LÄN</t>
        </is>
      </c>
      <c r="E195" t="inlineStr">
        <is>
          <t>GOTLAND</t>
        </is>
      </c>
      <c r="G195" t="n">
        <v>5.8</v>
      </c>
      <c r="H195" t="n">
        <v>0</v>
      </c>
      <c r="I195" t="n">
        <v>0</v>
      </c>
      <c r="J195" t="n">
        <v>1</v>
      </c>
      <c r="K195" t="n">
        <v>0</v>
      </c>
      <c r="L195" t="n">
        <v>0</v>
      </c>
      <c r="M195" t="n">
        <v>0</v>
      </c>
      <c r="N195" t="n">
        <v>0</v>
      </c>
      <c r="O195" t="n">
        <v>1</v>
      </c>
      <c r="P195" t="n">
        <v>0</v>
      </c>
      <c r="Q195" t="n">
        <v>1</v>
      </c>
      <c r="R195" s="2" t="inlineStr">
        <is>
          <t>Mindre blåvinge</t>
        </is>
      </c>
      <c r="S195">
        <f>HYPERLINK("https://klasma.github.io/Logging_0980/artfynd/A 32963-2019 artfynd.xlsx", "A 32963-2019")</f>
        <v/>
      </c>
      <c r="T195">
        <f>HYPERLINK("https://klasma.github.io/Logging_0980/kartor/A 32963-2019 karta.png", "A 32963-2019")</f>
        <v/>
      </c>
      <c r="V195">
        <f>HYPERLINK("https://klasma.github.io/Logging_0980/klagomål/A 32963-2019 FSC-klagomål.docx", "A 32963-2019")</f>
        <v/>
      </c>
      <c r="W195">
        <f>HYPERLINK("https://klasma.github.io/Logging_0980/klagomålsmail/A 32963-2019 FSC-klagomål mail.docx", "A 32963-2019")</f>
        <v/>
      </c>
      <c r="X195">
        <f>HYPERLINK("https://klasma.github.io/Logging_0980/tillsyn/A 32963-2019 tillsynsbegäran.docx", "A 32963-2019")</f>
        <v/>
      </c>
      <c r="Y195">
        <f>HYPERLINK("https://klasma.github.io/Logging_0980/tillsynsmail/A 32963-2019 tillsynsbegäran mail.docx", "A 32963-2019")</f>
        <v/>
      </c>
    </row>
    <row r="196" ht="15" customHeight="1">
      <c r="A196" t="inlineStr">
        <is>
          <t>A 35282-2019</t>
        </is>
      </c>
      <c r="B196" s="1" t="n">
        <v>43656</v>
      </c>
      <c r="C196" s="1" t="n">
        <v>45749</v>
      </c>
      <c r="D196" t="inlineStr">
        <is>
          <t>GOTLANDS LÄN</t>
        </is>
      </c>
      <c r="E196" t="inlineStr">
        <is>
          <t>GOTLAND</t>
        </is>
      </c>
      <c r="G196" t="n">
        <v>5.6</v>
      </c>
      <c r="H196" t="n">
        <v>1</v>
      </c>
      <c r="I196" t="n">
        <v>0</v>
      </c>
      <c r="J196" t="n">
        <v>1</v>
      </c>
      <c r="K196" t="n">
        <v>0</v>
      </c>
      <c r="L196" t="n">
        <v>0</v>
      </c>
      <c r="M196" t="n">
        <v>0</v>
      </c>
      <c r="N196" t="n">
        <v>0</v>
      </c>
      <c r="O196" t="n">
        <v>1</v>
      </c>
      <c r="P196" t="n">
        <v>0</v>
      </c>
      <c r="Q196" t="n">
        <v>1</v>
      </c>
      <c r="R196" s="2" t="inlineStr">
        <is>
          <t>Spillkråka</t>
        </is>
      </c>
      <c r="S196">
        <f>HYPERLINK("https://klasma.github.io/Logging_0980/artfynd/A 35282-2019 artfynd.xlsx", "A 35282-2019")</f>
        <v/>
      </c>
      <c r="T196">
        <f>HYPERLINK("https://klasma.github.io/Logging_0980/kartor/A 35282-2019 karta.png", "A 35282-2019")</f>
        <v/>
      </c>
      <c r="V196">
        <f>HYPERLINK("https://klasma.github.io/Logging_0980/klagomål/A 35282-2019 FSC-klagomål.docx", "A 35282-2019")</f>
        <v/>
      </c>
      <c r="W196">
        <f>HYPERLINK("https://klasma.github.io/Logging_0980/klagomålsmail/A 35282-2019 FSC-klagomål mail.docx", "A 35282-2019")</f>
        <v/>
      </c>
      <c r="X196">
        <f>HYPERLINK("https://klasma.github.io/Logging_0980/tillsyn/A 35282-2019 tillsynsbegäran.docx", "A 35282-2019")</f>
        <v/>
      </c>
      <c r="Y196">
        <f>HYPERLINK("https://klasma.github.io/Logging_0980/tillsynsmail/A 35282-2019 tillsynsbegäran mail.docx", "A 35282-2019")</f>
        <v/>
      </c>
      <c r="Z196">
        <f>HYPERLINK("https://klasma.github.io/Logging_0980/fåglar/A 35282-2019 prioriterade fågelarter.docx", "A 35282-2019")</f>
        <v/>
      </c>
    </row>
    <row r="197" ht="15" customHeight="1">
      <c r="A197" t="inlineStr">
        <is>
          <t>A 48584-2019</t>
        </is>
      </c>
      <c r="B197" s="1" t="n">
        <v>43727</v>
      </c>
      <c r="C197" s="1" t="n">
        <v>45749</v>
      </c>
      <c r="D197" t="inlineStr">
        <is>
          <t>GOTLANDS LÄN</t>
        </is>
      </c>
      <c r="E197" t="inlineStr">
        <is>
          <t>GOTLAND</t>
        </is>
      </c>
      <c r="G197" t="n">
        <v>4.4</v>
      </c>
      <c r="H197" t="n">
        <v>0</v>
      </c>
      <c r="I197" t="n">
        <v>1</v>
      </c>
      <c r="J197" t="n">
        <v>0</v>
      </c>
      <c r="K197" t="n">
        <v>0</v>
      </c>
      <c r="L197" t="n">
        <v>0</v>
      </c>
      <c r="M197" t="n">
        <v>0</v>
      </c>
      <c r="N197" t="n">
        <v>0</v>
      </c>
      <c r="O197" t="n">
        <v>0</v>
      </c>
      <c r="P197" t="n">
        <v>0</v>
      </c>
      <c r="Q197" t="n">
        <v>1</v>
      </c>
      <c r="R197" s="2" t="inlineStr">
        <is>
          <t>Scharlakansskål</t>
        </is>
      </c>
      <c r="S197">
        <f>HYPERLINK("https://klasma.github.io/Logging_0980/artfynd/A 48584-2019 artfynd.xlsx", "A 48584-2019")</f>
        <v/>
      </c>
      <c r="T197">
        <f>HYPERLINK("https://klasma.github.io/Logging_0980/kartor/A 48584-2019 karta.png", "A 48584-2019")</f>
        <v/>
      </c>
      <c r="V197">
        <f>HYPERLINK("https://klasma.github.io/Logging_0980/klagomål/A 48584-2019 FSC-klagomål.docx", "A 48584-2019")</f>
        <v/>
      </c>
      <c r="W197">
        <f>HYPERLINK("https://klasma.github.io/Logging_0980/klagomålsmail/A 48584-2019 FSC-klagomål mail.docx", "A 48584-2019")</f>
        <v/>
      </c>
      <c r="X197">
        <f>HYPERLINK("https://klasma.github.io/Logging_0980/tillsyn/A 48584-2019 tillsynsbegäran.docx", "A 48584-2019")</f>
        <v/>
      </c>
      <c r="Y197">
        <f>HYPERLINK("https://klasma.github.io/Logging_0980/tillsynsmail/A 48584-2019 tillsynsbegäran mail.docx", "A 48584-2019")</f>
        <v/>
      </c>
    </row>
    <row r="198" ht="15" customHeight="1">
      <c r="A198" t="inlineStr">
        <is>
          <t>A 68988-2019</t>
        </is>
      </c>
      <c r="B198" s="1" t="n">
        <v>43826</v>
      </c>
      <c r="C198" s="1" t="n">
        <v>45749</v>
      </c>
      <c r="D198" t="inlineStr">
        <is>
          <t>GOTLANDS LÄN</t>
        </is>
      </c>
      <c r="E198" t="inlineStr">
        <is>
          <t>GOTLAND</t>
        </is>
      </c>
      <c r="F198" t="inlineStr">
        <is>
          <t>Kyrkan</t>
        </is>
      </c>
      <c r="G198" t="n">
        <v>4.6</v>
      </c>
      <c r="H198" t="n">
        <v>0</v>
      </c>
      <c r="I198" t="n">
        <v>1</v>
      </c>
      <c r="J198" t="n">
        <v>0</v>
      </c>
      <c r="K198" t="n">
        <v>0</v>
      </c>
      <c r="L198" t="n">
        <v>0</v>
      </c>
      <c r="M198" t="n">
        <v>0</v>
      </c>
      <c r="N198" t="n">
        <v>0</v>
      </c>
      <c r="O198" t="n">
        <v>0</v>
      </c>
      <c r="P198" t="n">
        <v>0</v>
      </c>
      <c r="Q198" t="n">
        <v>1</v>
      </c>
      <c r="R198" s="2" t="inlineStr">
        <is>
          <t>Kattfotslav</t>
        </is>
      </c>
      <c r="S198">
        <f>HYPERLINK("https://klasma.github.io/Logging_0980/artfynd/A 68988-2019 artfynd.xlsx", "A 68988-2019")</f>
        <v/>
      </c>
      <c r="T198">
        <f>HYPERLINK("https://klasma.github.io/Logging_0980/kartor/A 68988-2019 karta.png", "A 68988-2019")</f>
        <v/>
      </c>
      <c r="V198">
        <f>HYPERLINK("https://klasma.github.io/Logging_0980/klagomål/A 68988-2019 FSC-klagomål.docx", "A 68988-2019")</f>
        <v/>
      </c>
      <c r="W198">
        <f>HYPERLINK("https://klasma.github.io/Logging_0980/klagomålsmail/A 68988-2019 FSC-klagomål mail.docx", "A 68988-2019")</f>
        <v/>
      </c>
      <c r="X198">
        <f>HYPERLINK("https://klasma.github.io/Logging_0980/tillsyn/A 68988-2019 tillsynsbegäran.docx", "A 68988-2019")</f>
        <v/>
      </c>
      <c r="Y198">
        <f>HYPERLINK("https://klasma.github.io/Logging_0980/tillsynsmail/A 68988-2019 tillsynsbegäran mail.docx", "A 68988-2019")</f>
        <v/>
      </c>
    </row>
    <row r="199" ht="15" customHeight="1">
      <c r="A199" t="inlineStr">
        <is>
          <t>A 14010-2020</t>
        </is>
      </c>
      <c r="B199" s="1" t="n">
        <v>43899</v>
      </c>
      <c r="C199" s="1" t="n">
        <v>45749</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Gulsparv</t>
        </is>
      </c>
      <c r="S199">
        <f>HYPERLINK("https://klasma.github.io/Logging_0980/artfynd/A 14010-2020 artfynd.xlsx", "A 14010-2020")</f>
        <v/>
      </c>
      <c r="T199">
        <f>HYPERLINK("https://klasma.github.io/Logging_0980/kartor/A 14010-2020 karta.png", "A 14010-2020")</f>
        <v/>
      </c>
      <c r="V199">
        <f>HYPERLINK("https://klasma.github.io/Logging_0980/klagomål/A 14010-2020 FSC-klagomål.docx", "A 14010-2020")</f>
        <v/>
      </c>
      <c r="W199">
        <f>HYPERLINK("https://klasma.github.io/Logging_0980/klagomålsmail/A 14010-2020 FSC-klagomål mail.docx", "A 14010-2020")</f>
        <v/>
      </c>
      <c r="X199">
        <f>HYPERLINK("https://klasma.github.io/Logging_0980/tillsyn/A 14010-2020 tillsynsbegäran.docx", "A 14010-2020")</f>
        <v/>
      </c>
      <c r="Y199">
        <f>HYPERLINK("https://klasma.github.io/Logging_0980/tillsynsmail/A 14010-2020 tillsynsbegäran mail.docx", "A 14010-2020")</f>
        <v/>
      </c>
      <c r="Z199">
        <f>HYPERLINK("https://klasma.github.io/Logging_0980/fåglar/A 14010-2020 prioriterade fågelarter.docx", "A 14010-2020")</f>
        <v/>
      </c>
    </row>
    <row r="200" ht="15" customHeight="1">
      <c r="A200" t="inlineStr">
        <is>
          <t>A 21753-2020</t>
        </is>
      </c>
      <c r="B200" s="1" t="n">
        <v>43957</v>
      </c>
      <c r="C200" s="1" t="n">
        <v>45749</v>
      </c>
      <c r="D200" t="inlineStr">
        <is>
          <t>GOTLANDS LÄN</t>
        </is>
      </c>
      <c r="E200" t="inlineStr">
        <is>
          <t>GOTLAND</t>
        </is>
      </c>
      <c r="G200" t="n">
        <v>3.5</v>
      </c>
      <c r="H200" t="n">
        <v>0</v>
      </c>
      <c r="I200" t="n">
        <v>0</v>
      </c>
      <c r="J200" t="n">
        <v>0</v>
      </c>
      <c r="K200" t="n">
        <v>0</v>
      </c>
      <c r="L200" t="n">
        <v>0</v>
      </c>
      <c r="M200" t="n">
        <v>1</v>
      </c>
      <c r="N200" t="n">
        <v>0</v>
      </c>
      <c r="O200" t="n">
        <v>1</v>
      </c>
      <c r="P200" t="n">
        <v>1</v>
      </c>
      <c r="Q200" t="n">
        <v>1</v>
      </c>
      <c r="R200" s="2" t="inlineStr">
        <is>
          <t>Skogsalm</t>
        </is>
      </c>
      <c r="S200">
        <f>HYPERLINK("https://klasma.github.io/Logging_0980/artfynd/A 21753-2020 artfynd.xlsx", "A 21753-2020")</f>
        <v/>
      </c>
      <c r="T200">
        <f>HYPERLINK("https://klasma.github.io/Logging_0980/kartor/A 21753-2020 karta.png", "A 21753-2020")</f>
        <v/>
      </c>
      <c r="V200">
        <f>HYPERLINK("https://klasma.github.io/Logging_0980/klagomål/A 21753-2020 FSC-klagomål.docx", "A 21753-2020")</f>
        <v/>
      </c>
      <c r="W200">
        <f>HYPERLINK("https://klasma.github.io/Logging_0980/klagomålsmail/A 21753-2020 FSC-klagomål mail.docx", "A 21753-2020")</f>
        <v/>
      </c>
      <c r="X200">
        <f>HYPERLINK("https://klasma.github.io/Logging_0980/tillsyn/A 21753-2020 tillsynsbegäran.docx", "A 21753-2020")</f>
        <v/>
      </c>
      <c r="Y200">
        <f>HYPERLINK("https://klasma.github.io/Logging_0980/tillsynsmail/A 21753-2020 tillsynsbegäran mail.docx", "A 21753-2020")</f>
        <v/>
      </c>
    </row>
    <row r="201" ht="15" customHeight="1">
      <c r="A201" t="inlineStr">
        <is>
          <t>A 22203-2020</t>
        </is>
      </c>
      <c r="B201" s="1" t="n">
        <v>43962</v>
      </c>
      <c r="C201" s="1" t="n">
        <v>45749</v>
      </c>
      <c r="D201" t="inlineStr">
        <is>
          <t>GOTLANDS LÄN</t>
        </is>
      </c>
      <c r="E201" t="inlineStr">
        <is>
          <t>GOTLAND</t>
        </is>
      </c>
      <c r="G201" t="n">
        <v>3.2</v>
      </c>
      <c r="H201" t="n">
        <v>0</v>
      </c>
      <c r="I201" t="n">
        <v>0</v>
      </c>
      <c r="J201" t="n">
        <v>1</v>
      </c>
      <c r="K201" t="n">
        <v>0</v>
      </c>
      <c r="L201" t="n">
        <v>0</v>
      </c>
      <c r="M201" t="n">
        <v>0</v>
      </c>
      <c r="N201" t="n">
        <v>0</v>
      </c>
      <c r="O201" t="n">
        <v>1</v>
      </c>
      <c r="P201" t="n">
        <v>0</v>
      </c>
      <c r="Q201" t="n">
        <v>1</v>
      </c>
      <c r="R201" s="2" t="inlineStr">
        <is>
          <t>Svinrot</t>
        </is>
      </c>
      <c r="S201">
        <f>HYPERLINK("https://klasma.github.io/Logging_0980/artfynd/A 22203-2020 artfynd.xlsx", "A 22203-2020")</f>
        <v/>
      </c>
      <c r="T201">
        <f>HYPERLINK("https://klasma.github.io/Logging_0980/kartor/A 22203-2020 karta.png", "A 22203-2020")</f>
        <v/>
      </c>
      <c r="V201">
        <f>HYPERLINK("https://klasma.github.io/Logging_0980/klagomål/A 22203-2020 FSC-klagomål.docx", "A 22203-2020")</f>
        <v/>
      </c>
      <c r="W201">
        <f>HYPERLINK("https://klasma.github.io/Logging_0980/klagomålsmail/A 22203-2020 FSC-klagomål mail.docx", "A 22203-2020")</f>
        <v/>
      </c>
      <c r="X201">
        <f>HYPERLINK("https://klasma.github.io/Logging_0980/tillsyn/A 22203-2020 tillsynsbegäran.docx", "A 22203-2020")</f>
        <v/>
      </c>
      <c r="Y201">
        <f>HYPERLINK("https://klasma.github.io/Logging_0980/tillsynsmail/A 22203-2020 tillsynsbegäran mail.docx", "A 22203-2020")</f>
        <v/>
      </c>
    </row>
    <row r="202" ht="15" customHeight="1">
      <c r="A202" t="inlineStr">
        <is>
          <t>A 22628-2020</t>
        </is>
      </c>
      <c r="B202" s="1" t="n">
        <v>43963</v>
      </c>
      <c r="C202" s="1" t="n">
        <v>45749</v>
      </c>
      <c r="D202" t="inlineStr">
        <is>
          <t>GOTLANDS LÄN</t>
        </is>
      </c>
      <c r="E202" t="inlineStr">
        <is>
          <t>GOTLAND</t>
        </is>
      </c>
      <c r="G202" t="n">
        <v>4.3</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22628-2020 artfynd.xlsx", "A 22628-2020")</f>
        <v/>
      </c>
      <c r="T202">
        <f>HYPERLINK("https://klasma.github.io/Logging_0980/kartor/A 22628-2020 karta.png", "A 22628-2020")</f>
        <v/>
      </c>
      <c r="V202">
        <f>HYPERLINK("https://klasma.github.io/Logging_0980/klagomål/A 22628-2020 FSC-klagomål.docx", "A 22628-2020")</f>
        <v/>
      </c>
      <c r="W202">
        <f>HYPERLINK("https://klasma.github.io/Logging_0980/klagomålsmail/A 22628-2020 FSC-klagomål mail.docx", "A 22628-2020")</f>
        <v/>
      </c>
      <c r="X202">
        <f>HYPERLINK("https://klasma.github.io/Logging_0980/tillsyn/A 22628-2020 tillsynsbegäran.docx", "A 22628-2020")</f>
        <v/>
      </c>
      <c r="Y202">
        <f>HYPERLINK("https://klasma.github.io/Logging_0980/tillsynsmail/A 22628-2020 tillsynsbegäran mail.docx", "A 22628-2020")</f>
        <v/>
      </c>
    </row>
    <row r="203" ht="15" customHeight="1">
      <c r="A203" t="inlineStr">
        <is>
          <t>A 39999-2020</t>
        </is>
      </c>
      <c r="B203" s="1" t="n">
        <v>44067</v>
      </c>
      <c r="C203" s="1" t="n">
        <v>45749</v>
      </c>
      <c r="D203" t="inlineStr">
        <is>
          <t>GOTLANDS LÄN</t>
        </is>
      </c>
      <c r="E203" t="inlineStr">
        <is>
          <t>GOTLAND</t>
        </is>
      </c>
      <c r="G203" t="n">
        <v>1.8</v>
      </c>
      <c r="H203" t="n">
        <v>0</v>
      </c>
      <c r="I203" t="n">
        <v>1</v>
      </c>
      <c r="J203" t="n">
        <v>0</v>
      </c>
      <c r="K203" t="n">
        <v>0</v>
      </c>
      <c r="L203" t="n">
        <v>0</v>
      </c>
      <c r="M203" t="n">
        <v>0</v>
      </c>
      <c r="N203" t="n">
        <v>0</v>
      </c>
      <c r="O203" t="n">
        <v>0</v>
      </c>
      <c r="P203" t="n">
        <v>0</v>
      </c>
      <c r="Q203" t="n">
        <v>1</v>
      </c>
      <c r="R203" s="2" t="inlineStr">
        <is>
          <t>Strävlosta</t>
        </is>
      </c>
      <c r="S203">
        <f>HYPERLINK("https://klasma.github.io/Logging_0980/artfynd/A 39999-2020 artfynd.xlsx", "A 39999-2020")</f>
        <v/>
      </c>
      <c r="T203">
        <f>HYPERLINK("https://klasma.github.io/Logging_0980/kartor/A 39999-2020 karta.png", "A 39999-2020")</f>
        <v/>
      </c>
      <c r="V203">
        <f>HYPERLINK("https://klasma.github.io/Logging_0980/klagomål/A 39999-2020 FSC-klagomål.docx", "A 39999-2020")</f>
        <v/>
      </c>
      <c r="W203">
        <f>HYPERLINK("https://klasma.github.io/Logging_0980/klagomålsmail/A 39999-2020 FSC-klagomål mail.docx", "A 39999-2020")</f>
        <v/>
      </c>
      <c r="X203">
        <f>HYPERLINK("https://klasma.github.io/Logging_0980/tillsyn/A 39999-2020 tillsynsbegäran.docx", "A 39999-2020")</f>
        <v/>
      </c>
      <c r="Y203">
        <f>HYPERLINK("https://klasma.github.io/Logging_0980/tillsynsmail/A 39999-2020 tillsynsbegäran mail.docx", "A 39999-2020")</f>
        <v/>
      </c>
    </row>
    <row r="204" ht="15" customHeight="1">
      <c r="A204" t="inlineStr">
        <is>
          <t>A 40266-2020</t>
        </is>
      </c>
      <c r="B204" s="1" t="n">
        <v>44068</v>
      </c>
      <c r="C204" s="1" t="n">
        <v>45749</v>
      </c>
      <c r="D204" t="inlineStr">
        <is>
          <t>GOTLANDS LÄN</t>
        </is>
      </c>
      <c r="E204" t="inlineStr">
        <is>
          <t>GOTLAND</t>
        </is>
      </c>
      <c r="F204" t="inlineStr">
        <is>
          <t>Kyrkan</t>
        </is>
      </c>
      <c r="G204" t="n">
        <v>1.3</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40266-2020 artfynd.xlsx", "A 40266-2020")</f>
        <v/>
      </c>
      <c r="T204">
        <f>HYPERLINK("https://klasma.github.io/Logging_0980/kartor/A 40266-2020 karta.png", "A 40266-2020")</f>
        <v/>
      </c>
      <c r="V204">
        <f>HYPERLINK("https://klasma.github.io/Logging_0980/klagomål/A 40266-2020 FSC-klagomål.docx", "A 40266-2020")</f>
        <v/>
      </c>
      <c r="W204">
        <f>HYPERLINK("https://klasma.github.io/Logging_0980/klagomålsmail/A 40266-2020 FSC-klagomål mail.docx", "A 40266-2020")</f>
        <v/>
      </c>
      <c r="X204">
        <f>HYPERLINK("https://klasma.github.io/Logging_0980/tillsyn/A 40266-2020 tillsynsbegäran.docx", "A 40266-2020")</f>
        <v/>
      </c>
      <c r="Y204">
        <f>HYPERLINK("https://klasma.github.io/Logging_0980/tillsynsmail/A 40266-2020 tillsynsbegäran mail.docx", "A 40266-2020")</f>
        <v/>
      </c>
    </row>
    <row r="205" ht="15" customHeight="1">
      <c r="A205" t="inlineStr">
        <is>
          <t>A 41065-2020</t>
        </is>
      </c>
      <c r="B205" s="1" t="n">
        <v>44069</v>
      </c>
      <c r="C205" s="1" t="n">
        <v>45749</v>
      </c>
      <c r="D205" t="inlineStr">
        <is>
          <t>GOTLANDS LÄN</t>
        </is>
      </c>
      <c r="E205" t="inlineStr">
        <is>
          <t>GOTLAND</t>
        </is>
      </c>
      <c r="G205" t="n">
        <v>12</v>
      </c>
      <c r="H205" t="n">
        <v>0</v>
      </c>
      <c r="I205" t="n">
        <v>1</v>
      </c>
      <c r="J205" t="n">
        <v>0</v>
      </c>
      <c r="K205" t="n">
        <v>0</v>
      </c>
      <c r="L205" t="n">
        <v>0</v>
      </c>
      <c r="M205" t="n">
        <v>0</v>
      </c>
      <c r="N205" t="n">
        <v>0</v>
      </c>
      <c r="O205" t="n">
        <v>0</v>
      </c>
      <c r="P205" t="n">
        <v>0</v>
      </c>
      <c r="Q205" t="n">
        <v>1</v>
      </c>
      <c r="R205" s="2" t="inlineStr">
        <is>
          <t>Myskmadra</t>
        </is>
      </c>
      <c r="S205">
        <f>HYPERLINK("https://klasma.github.io/Logging_0980/artfynd/A 41065-2020 artfynd.xlsx", "A 41065-2020")</f>
        <v/>
      </c>
      <c r="T205">
        <f>HYPERLINK("https://klasma.github.io/Logging_0980/kartor/A 41065-2020 karta.png", "A 41065-2020")</f>
        <v/>
      </c>
      <c r="V205">
        <f>HYPERLINK("https://klasma.github.io/Logging_0980/klagomål/A 41065-2020 FSC-klagomål.docx", "A 41065-2020")</f>
        <v/>
      </c>
      <c r="W205">
        <f>HYPERLINK("https://klasma.github.io/Logging_0980/klagomålsmail/A 41065-2020 FSC-klagomål mail.docx", "A 41065-2020")</f>
        <v/>
      </c>
      <c r="X205">
        <f>HYPERLINK("https://klasma.github.io/Logging_0980/tillsyn/A 41065-2020 tillsynsbegäran.docx", "A 41065-2020")</f>
        <v/>
      </c>
      <c r="Y205">
        <f>HYPERLINK("https://klasma.github.io/Logging_0980/tillsynsmail/A 41065-2020 tillsynsbegäran mail.docx", "A 41065-2020")</f>
        <v/>
      </c>
    </row>
    <row r="206" ht="15" customHeight="1">
      <c r="A206" t="inlineStr">
        <is>
          <t>A 44958-2020</t>
        </is>
      </c>
      <c r="B206" s="1" t="n">
        <v>44088</v>
      </c>
      <c r="C206" s="1" t="n">
        <v>45749</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Hornuggla</t>
        </is>
      </c>
      <c r="S206">
        <f>HYPERLINK("https://klasma.github.io/Logging_0980/artfynd/A 44958-2020 artfynd.xlsx", "A 44958-2020")</f>
        <v/>
      </c>
      <c r="T206">
        <f>HYPERLINK("https://klasma.github.io/Logging_0980/kartor/A 44958-2020 karta.png", "A 44958-2020")</f>
        <v/>
      </c>
      <c r="V206">
        <f>HYPERLINK("https://klasma.github.io/Logging_0980/klagomål/A 44958-2020 FSC-klagomål.docx", "A 44958-2020")</f>
        <v/>
      </c>
      <c r="W206">
        <f>HYPERLINK("https://klasma.github.io/Logging_0980/klagomålsmail/A 44958-2020 FSC-klagomål mail.docx", "A 44958-2020")</f>
        <v/>
      </c>
      <c r="X206">
        <f>HYPERLINK("https://klasma.github.io/Logging_0980/tillsyn/A 44958-2020 tillsynsbegäran.docx", "A 44958-2020")</f>
        <v/>
      </c>
      <c r="Y206">
        <f>HYPERLINK("https://klasma.github.io/Logging_0980/tillsynsmail/A 44958-2020 tillsynsbegäran mail.docx", "A 44958-2020")</f>
        <v/>
      </c>
      <c r="Z206">
        <f>HYPERLINK("https://klasma.github.io/Logging_0980/fåglar/A 44958-2020 prioriterade fågelarter.docx", "A 44958-2020")</f>
        <v/>
      </c>
    </row>
    <row r="207" ht="15" customHeight="1">
      <c r="A207" t="inlineStr">
        <is>
          <t>A 45924-2020</t>
        </is>
      </c>
      <c r="B207" s="1" t="n">
        <v>44088</v>
      </c>
      <c r="C207" s="1" t="n">
        <v>45749</v>
      </c>
      <c r="D207" t="inlineStr">
        <is>
          <t>GOTLANDS LÄN</t>
        </is>
      </c>
      <c r="E207" t="inlineStr">
        <is>
          <t>GOTLAND</t>
        </is>
      </c>
      <c r="G207" t="n">
        <v>15</v>
      </c>
      <c r="H207" t="n">
        <v>0</v>
      </c>
      <c r="I207" t="n">
        <v>1</v>
      </c>
      <c r="J207" t="n">
        <v>0</v>
      </c>
      <c r="K207" t="n">
        <v>0</v>
      </c>
      <c r="L207" t="n">
        <v>0</v>
      </c>
      <c r="M207" t="n">
        <v>0</v>
      </c>
      <c r="N207" t="n">
        <v>0</v>
      </c>
      <c r="O207" t="n">
        <v>0</v>
      </c>
      <c r="P207" t="n">
        <v>0</v>
      </c>
      <c r="Q207" t="n">
        <v>1</v>
      </c>
      <c r="R207" s="2" t="inlineStr">
        <is>
          <t>Myskmadra</t>
        </is>
      </c>
      <c r="S207">
        <f>HYPERLINK("https://klasma.github.io/Logging_0980/artfynd/A 45924-2020 artfynd.xlsx", "A 45924-2020")</f>
        <v/>
      </c>
      <c r="T207">
        <f>HYPERLINK("https://klasma.github.io/Logging_0980/kartor/A 45924-2020 karta.png", "A 45924-2020")</f>
        <v/>
      </c>
      <c r="V207">
        <f>HYPERLINK("https://klasma.github.io/Logging_0980/klagomål/A 45924-2020 FSC-klagomål.docx", "A 45924-2020")</f>
        <v/>
      </c>
      <c r="W207">
        <f>HYPERLINK("https://klasma.github.io/Logging_0980/klagomålsmail/A 45924-2020 FSC-klagomål mail.docx", "A 45924-2020")</f>
        <v/>
      </c>
      <c r="X207">
        <f>HYPERLINK("https://klasma.github.io/Logging_0980/tillsyn/A 45924-2020 tillsynsbegäran.docx", "A 45924-2020")</f>
        <v/>
      </c>
      <c r="Y207">
        <f>HYPERLINK("https://klasma.github.io/Logging_0980/tillsynsmail/A 45924-2020 tillsynsbegäran mail.docx", "A 45924-2020")</f>
        <v/>
      </c>
    </row>
    <row r="208" ht="15" customHeight="1">
      <c r="A208" t="inlineStr">
        <is>
          <t>A 63299-2020</t>
        </is>
      </c>
      <c r="B208" s="1" t="n">
        <v>44165</v>
      </c>
      <c r="C208" s="1" t="n">
        <v>45749</v>
      </c>
      <c r="D208" t="inlineStr">
        <is>
          <t>GOTLANDS LÄN</t>
        </is>
      </c>
      <c r="E208" t="inlineStr">
        <is>
          <t>GOTLAND</t>
        </is>
      </c>
      <c r="G208" t="n">
        <v>12.9</v>
      </c>
      <c r="H208" t="n">
        <v>1</v>
      </c>
      <c r="I208" t="n">
        <v>0</v>
      </c>
      <c r="J208" t="n">
        <v>1</v>
      </c>
      <c r="K208" t="n">
        <v>0</v>
      </c>
      <c r="L208" t="n">
        <v>0</v>
      </c>
      <c r="M208" t="n">
        <v>0</v>
      </c>
      <c r="N208" t="n">
        <v>0</v>
      </c>
      <c r="O208" t="n">
        <v>1</v>
      </c>
      <c r="P208" t="n">
        <v>0</v>
      </c>
      <c r="Q208" t="n">
        <v>1</v>
      </c>
      <c r="R208" s="2" t="inlineStr">
        <is>
          <t>Svartfläckig blåvinge</t>
        </is>
      </c>
      <c r="S208">
        <f>HYPERLINK("https://klasma.github.io/Logging_0980/artfynd/A 63299-2020 artfynd.xlsx", "A 63299-2020")</f>
        <v/>
      </c>
      <c r="T208">
        <f>HYPERLINK("https://klasma.github.io/Logging_0980/kartor/A 63299-2020 karta.png", "A 63299-2020")</f>
        <v/>
      </c>
      <c r="V208">
        <f>HYPERLINK("https://klasma.github.io/Logging_0980/klagomål/A 63299-2020 FSC-klagomål.docx", "A 63299-2020")</f>
        <v/>
      </c>
      <c r="W208">
        <f>HYPERLINK("https://klasma.github.io/Logging_0980/klagomålsmail/A 63299-2020 FSC-klagomål mail.docx", "A 63299-2020")</f>
        <v/>
      </c>
      <c r="X208">
        <f>HYPERLINK("https://klasma.github.io/Logging_0980/tillsyn/A 63299-2020 tillsynsbegäran.docx", "A 63299-2020")</f>
        <v/>
      </c>
      <c r="Y208">
        <f>HYPERLINK("https://klasma.github.io/Logging_0980/tillsynsmail/A 63299-2020 tillsynsbegäran mail.docx", "A 63299-2020")</f>
        <v/>
      </c>
    </row>
    <row r="209" ht="15" customHeight="1">
      <c r="A209" t="inlineStr">
        <is>
          <t>A 24-2021</t>
        </is>
      </c>
      <c r="B209" s="1" t="n">
        <v>44197</v>
      </c>
      <c r="C209" s="1" t="n">
        <v>45749</v>
      </c>
      <c r="D209" t="inlineStr">
        <is>
          <t>GOTLANDS LÄN</t>
        </is>
      </c>
      <c r="E209" t="inlineStr">
        <is>
          <t>GOTLAND</t>
        </is>
      </c>
      <c r="F209" t="inlineStr">
        <is>
          <t>Kyrkan</t>
        </is>
      </c>
      <c r="G209" t="n">
        <v>1.7</v>
      </c>
      <c r="H209" t="n">
        <v>0</v>
      </c>
      <c r="I209" t="n">
        <v>1</v>
      </c>
      <c r="J209" t="n">
        <v>0</v>
      </c>
      <c r="K209" t="n">
        <v>0</v>
      </c>
      <c r="L209" t="n">
        <v>0</v>
      </c>
      <c r="M209" t="n">
        <v>0</v>
      </c>
      <c r="N209" t="n">
        <v>0</v>
      </c>
      <c r="O209" t="n">
        <v>0</v>
      </c>
      <c r="P209" t="n">
        <v>0</v>
      </c>
      <c r="Q209" t="n">
        <v>1</v>
      </c>
      <c r="R209" s="2" t="inlineStr">
        <is>
          <t>Svavelriska</t>
        </is>
      </c>
      <c r="S209">
        <f>HYPERLINK("https://klasma.github.io/Logging_0980/artfynd/A 24-2021 artfynd.xlsx", "A 24-2021")</f>
        <v/>
      </c>
      <c r="T209">
        <f>HYPERLINK("https://klasma.github.io/Logging_0980/kartor/A 24-2021 karta.png", "A 24-2021")</f>
        <v/>
      </c>
      <c r="V209">
        <f>HYPERLINK("https://klasma.github.io/Logging_0980/klagomål/A 24-2021 FSC-klagomål.docx", "A 24-2021")</f>
        <v/>
      </c>
      <c r="W209">
        <f>HYPERLINK("https://klasma.github.io/Logging_0980/klagomålsmail/A 24-2021 FSC-klagomål mail.docx", "A 24-2021")</f>
        <v/>
      </c>
      <c r="X209">
        <f>HYPERLINK("https://klasma.github.io/Logging_0980/tillsyn/A 24-2021 tillsynsbegäran.docx", "A 24-2021")</f>
        <v/>
      </c>
      <c r="Y209">
        <f>HYPERLINK("https://klasma.github.io/Logging_0980/tillsynsmail/A 24-2021 tillsynsbegäran mail.docx", "A 24-2021")</f>
        <v/>
      </c>
    </row>
    <row r="210" ht="15" customHeight="1">
      <c r="A210" t="inlineStr">
        <is>
          <t>A 7485-2021</t>
        </is>
      </c>
      <c r="B210" s="1" t="n">
        <v>44238</v>
      </c>
      <c r="C210" s="1" t="n">
        <v>45749</v>
      </c>
      <c r="D210" t="inlineStr">
        <is>
          <t>GOTLANDS LÄN</t>
        </is>
      </c>
      <c r="E210" t="inlineStr">
        <is>
          <t>GOTLAND</t>
        </is>
      </c>
      <c r="G210" t="n">
        <v>2.9</v>
      </c>
      <c r="H210" t="n">
        <v>1</v>
      </c>
      <c r="I210" t="n">
        <v>0</v>
      </c>
      <c r="J210" t="n">
        <v>1</v>
      </c>
      <c r="K210" t="n">
        <v>0</v>
      </c>
      <c r="L210" t="n">
        <v>0</v>
      </c>
      <c r="M210" t="n">
        <v>0</v>
      </c>
      <c r="N210" t="n">
        <v>0</v>
      </c>
      <c r="O210" t="n">
        <v>1</v>
      </c>
      <c r="P210" t="n">
        <v>0</v>
      </c>
      <c r="Q210" t="n">
        <v>1</v>
      </c>
      <c r="R210" s="2" t="inlineStr">
        <is>
          <t>Spillkråka</t>
        </is>
      </c>
      <c r="S210">
        <f>HYPERLINK("https://klasma.github.io/Logging_0980/artfynd/A 7485-2021 artfynd.xlsx", "A 7485-2021")</f>
        <v/>
      </c>
      <c r="T210">
        <f>HYPERLINK("https://klasma.github.io/Logging_0980/kartor/A 7485-2021 karta.png", "A 7485-2021")</f>
        <v/>
      </c>
      <c r="V210">
        <f>HYPERLINK("https://klasma.github.io/Logging_0980/klagomål/A 7485-2021 FSC-klagomål.docx", "A 7485-2021")</f>
        <v/>
      </c>
      <c r="W210">
        <f>HYPERLINK("https://klasma.github.io/Logging_0980/klagomålsmail/A 7485-2021 FSC-klagomål mail.docx", "A 7485-2021")</f>
        <v/>
      </c>
      <c r="X210">
        <f>HYPERLINK("https://klasma.github.io/Logging_0980/tillsyn/A 7485-2021 tillsynsbegäran.docx", "A 7485-2021")</f>
        <v/>
      </c>
      <c r="Y210">
        <f>HYPERLINK("https://klasma.github.io/Logging_0980/tillsynsmail/A 7485-2021 tillsynsbegäran mail.docx", "A 7485-2021")</f>
        <v/>
      </c>
      <c r="Z210">
        <f>HYPERLINK("https://klasma.github.io/Logging_0980/fåglar/A 7485-2021 prioriterade fågelarter.docx", "A 7485-2021")</f>
        <v/>
      </c>
    </row>
    <row r="211" ht="15" customHeight="1">
      <c r="A211" t="inlineStr">
        <is>
          <t>A 13939-2021</t>
        </is>
      </c>
      <c r="B211" s="1" t="n">
        <v>44277</v>
      </c>
      <c r="C211" s="1" t="n">
        <v>45749</v>
      </c>
      <c r="D211" t="inlineStr">
        <is>
          <t>GOTLANDS LÄN</t>
        </is>
      </c>
      <c r="E211" t="inlineStr">
        <is>
          <t>GOTLAND</t>
        </is>
      </c>
      <c r="G211" t="n">
        <v>1</v>
      </c>
      <c r="H211" t="n">
        <v>0</v>
      </c>
      <c r="I211" t="n">
        <v>0</v>
      </c>
      <c r="J211" t="n">
        <v>1</v>
      </c>
      <c r="K211" t="n">
        <v>0</v>
      </c>
      <c r="L211" t="n">
        <v>0</v>
      </c>
      <c r="M211" t="n">
        <v>0</v>
      </c>
      <c r="N211" t="n">
        <v>0</v>
      </c>
      <c r="O211" t="n">
        <v>1</v>
      </c>
      <c r="P211" t="n">
        <v>0</v>
      </c>
      <c r="Q211" t="n">
        <v>1</v>
      </c>
      <c r="R211" s="2" t="inlineStr">
        <is>
          <t>Axveronika</t>
        </is>
      </c>
      <c r="S211">
        <f>HYPERLINK("https://klasma.github.io/Logging_0980/artfynd/A 13939-2021 artfynd.xlsx", "A 13939-2021")</f>
        <v/>
      </c>
      <c r="T211">
        <f>HYPERLINK("https://klasma.github.io/Logging_0980/kartor/A 13939-2021 karta.png", "A 13939-2021")</f>
        <v/>
      </c>
      <c r="V211">
        <f>HYPERLINK("https://klasma.github.io/Logging_0980/klagomål/A 13939-2021 FSC-klagomål.docx", "A 13939-2021")</f>
        <v/>
      </c>
      <c r="W211">
        <f>HYPERLINK("https://klasma.github.io/Logging_0980/klagomålsmail/A 13939-2021 FSC-klagomål mail.docx", "A 13939-2021")</f>
        <v/>
      </c>
      <c r="X211">
        <f>HYPERLINK("https://klasma.github.io/Logging_0980/tillsyn/A 13939-2021 tillsynsbegäran.docx", "A 13939-2021")</f>
        <v/>
      </c>
      <c r="Y211">
        <f>HYPERLINK("https://klasma.github.io/Logging_0980/tillsynsmail/A 13939-2021 tillsynsbegäran mail.docx", "A 13939-2021")</f>
        <v/>
      </c>
    </row>
    <row r="212" ht="15" customHeight="1">
      <c r="A212" t="inlineStr">
        <is>
          <t>A 17723-2021</t>
        </is>
      </c>
      <c r="B212" s="1" t="n">
        <v>44300</v>
      </c>
      <c r="C212" s="1" t="n">
        <v>45749</v>
      </c>
      <c r="D212" t="inlineStr">
        <is>
          <t>GOTLANDS LÄN</t>
        </is>
      </c>
      <c r="E212" t="inlineStr">
        <is>
          <t>GOTLAND</t>
        </is>
      </c>
      <c r="G212" t="n">
        <v>1.5</v>
      </c>
      <c r="H212" t="n">
        <v>1</v>
      </c>
      <c r="I212" t="n">
        <v>1</v>
      </c>
      <c r="J212" t="n">
        <v>0</v>
      </c>
      <c r="K212" t="n">
        <v>0</v>
      </c>
      <c r="L212" t="n">
        <v>0</v>
      </c>
      <c r="M212" t="n">
        <v>0</v>
      </c>
      <c r="N212" t="n">
        <v>0</v>
      </c>
      <c r="O212" t="n">
        <v>0</v>
      </c>
      <c r="P212" t="n">
        <v>0</v>
      </c>
      <c r="Q212" t="n">
        <v>1</v>
      </c>
      <c r="R212" s="2" t="inlineStr">
        <is>
          <t>Vit skogslilja</t>
        </is>
      </c>
      <c r="S212">
        <f>HYPERLINK("https://klasma.github.io/Logging_0980/artfynd/A 17723-2021 artfynd.xlsx", "A 17723-2021")</f>
        <v/>
      </c>
      <c r="T212">
        <f>HYPERLINK("https://klasma.github.io/Logging_0980/kartor/A 17723-2021 karta.png", "A 17723-2021")</f>
        <v/>
      </c>
      <c r="V212">
        <f>HYPERLINK("https://klasma.github.io/Logging_0980/klagomål/A 17723-2021 FSC-klagomål.docx", "A 17723-2021")</f>
        <v/>
      </c>
      <c r="W212">
        <f>HYPERLINK("https://klasma.github.io/Logging_0980/klagomålsmail/A 17723-2021 FSC-klagomål mail.docx", "A 17723-2021")</f>
        <v/>
      </c>
      <c r="X212">
        <f>HYPERLINK("https://klasma.github.io/Logging_0980/tillsyn/A 17723-2021 tillsynsbegäran.docx", "A 17723-2021")</f>
        <v/>
      </c>
      <c r="Y212">
        <f>HYPERLINK("https://klasma.github.io/Logging_0980/tillsynsmail/A 17723-2021 tillsynsbegäran mail.docx", "A 17723-2021")</f>
        <v/>
      </c>
    </row>
    <row r="213" ht="15" customHeight="1">
      <c r="A213" t="inlineStr">
        <is>
          <t>A 29951-2021</t>
        </is>
      </c>
      <c r="B213" s="1" t="n">
        <v>44362</v>
      </c>
      <c r="C213" s="1" t="n">
        <v>45749</v>
      </c>
      <c r="D213" t="inlineStr">
        <is>
          <t>GOTLANDS LÄN</t>
        </is>
      </c>
      <c r="E213" t="inlineStr">
        <is>
          <t>GOTLAND</t>
        </is>
      </c>
      <c r="G213" t="n">
        <v>3.4</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29951-2021 artfynd.xlsx", "A 29951-2021")</f>
        <v/>
      </c>
      <c r="T213">
        <f>HYPERLINK("https://klasma.github.io/Logging_0980/kartor/A 29951-2021 karta.png", "A 29951-2021")</f>
        <v/>
      </c>
      <c r="V213">
        <f>HYPERLINK("https://klasma.github.io/Logging_0980/klagomål/A 29951-2021 FSC-klagomål.docx", "A 29951-2021")</f>
        <v/>
      </c>
      <c r="W213">
        <f>HYPERLINK("https://klasma.github.io/Logging_0980/klagomålsmail/A 29951-2021 FSC-klagomål mail.docx", "A 29951-2021")</f>
        <v/>
      </c>
      <c r="X213">
        <f>HYPERLINK("https://klasma.github.io/Logging_0980/tillsyn/A 29951-2021 tillsynsbegäran.docx", "A 29951-2021")</f>
        <v/>
      </c>
      <c r="Y213">
        <f>HYPERLINK("https://klasma.github.io/Logging_0980/tillsynsmail/A 29951-2021 tillsynsbegäran mail.docx", "A 29951-2021")</f>
        <v/>
      </c>
    </row>
    <row r="214" ht="15" customHeight="1">
      <c r="A214" t="inlineStr">
        <is>
          <t>A 35467-2021</t>
        </is>
      </c>
      <c r="B214" s="1" t="n">
        <v>44385</v>
      </c>
      <c r="C214" s="1" t="n">
        <v>45749</v>
      </c>
      <c r="D214" t="inlineStr">
        <is>
          <t>GOTLANDS LÄN</t>
        </is>
      </c>
      <c r="E214" t="inlineStr">
        <is>
          <t>GOTLAND</t>
        </is>
      </c>
      <c r="G214" t="n">
        <v>12.7</v>
      </c>
      <c r="H214" t="n">
        <v>0</v>
      </c>
      <c r="I214" t="n">
        <v>0</v>
      </c>
      <c r="J214" t="n">
        <v>1</v>
      </c>
      <c r="K214" t="n">
        <v>0</v>
      </c>
      <c r="L214" t="n">
        <v>0</v>
      </c>
      <c r="M214" t="n">
        <v>0</v>
      </c>
      <c r="N214" t="n">
        <v>0</v>
      </c>
      <c r="O214" t="n">
        <v>1</v>
      </c>
      <c r="P214" t="n">
        <v>0</v>
      </c>
      <c r="Q214" t="n">
        <v>1</v>
      </c>
      <c r="R214" s="2" t="inlineStr">
        <is>
          <t>Loppstarr</t>
        </is>
      </c>
      <c r="S214">
        <f>HYPERLINK("https://klasma.github.io/Logging_0980/artfynd/A 35467-2021 artfynd.xlsx", "A 35467-2021")</f>
        <v/>
      </c>
      <c r="T214">
        <f>HYPERLINK("https://klasma.github.io/Logging_0980/kartor/A 35467-2021 karta.png", "A 35467-2021")</f>
        <v/>
      </c>
      <c r="V214">
        <f>HYPERLINK("https://klasma.github.io/Logging_0980/klagomål/A 35467-2021 FSC-klagomål.docx", "A 35467-2021")</f>
        <v/>
      </c>
      <c r="W214">
        <f>HYPERLINK("https://klasma.github.io/Logging_0980/klagomålsmail/A 35467-2021 FSC-klagomål mail.docx", "A 35467-2021")</f>
        <v/>
      </c>
      <c r="X214">
        <f>HYPERLINK("https://klasma.github.io/Logging_0980/tillsyn/A 35467-2021 tillsynsbegäran.docx", "A 35467-2021")</f>
        <v/>
      </c>
      <c r="Y214">
        <f>HYPERLINK("https://klasma.github.io/Logging_0980/tillsynsmail/A 35467-2021 tillsynsbegäran mail.docx", "A 35467-2021")</f>
        <v/>
      </c>
    </row>
    <row r="215" ht="15" customHeight="1">
      <c r="A215" t="inlineStr">
        <is>
          <t>A 44308-2021</t>
        </is>
      </c>
      <c r="B215" s="1" t="n">
        <v>44434</v>
      </c>
      <c r="C215" s="1" t="n">
        <v>45749</v>
      </c>
      <c r="D215" t="inlineStr">
        <is>
          <t>GOTLANDS LÄN</t>
        </is>
      </c>
      <c r="E215" t="inlineStr">
        <is>
          <t>GOTLAND</t>
        </is>
      </c>
      <c r="G215" t="n">
        <v>5.9</v>
      </c>
      <c r="H215" t="n">
        <v>0</v>
      </c>
      <c r="I215" t="n">
        <v>1</v>
      </c>
      <c r="J215" t="n">
        <v>0</v>
      </c>
      <c r="K215" t="n">
        <v>0</v>
      </c>
      <c r="L215" t="n">
        <v>0</v>
      </c>
      <c r="M215" t="n">
        <v>0</v>
      </c>
      <c r="N215" t="n">
        <v>0</v>
      </c>
      <c r="O215" t="n">
        <v>0</v>
      </c>
      <c r="P215" t="n">
        <v>0</v>
      </c>
      <c r="Q215" t="n">
        <v>1</v>
      </c>
      <c r="R215" s="2" t="inlineStr">
        <is>
          <t>Svavelriska</t>
        </is>
      </c>
      <c r="S215">
        <f>HYPERLINK("https://klasma.github.io/Logging_0980/artfynd/A 44308-2021 artfynd.xlsx", "A 44308-2021")</f>
        <v/>
      </c>
      <c r="T215">
        <f>HYPERLINK("https://klasma.github.io/Logging_0980/kartor/A 44308-2021 karta.png", "A 44308-2021")</f>
        <v/>
      </c>
      <c r="V215">
        <f>HYPERLINK("https://klasma.github.io/Logging_0980/klagomål/A 44308-2021 FSC-klagomål.docx", "A 44308-2021")</f>
        <v/>
      </c>
      <c r="W215">
        <f>HYPERLINK("https://klasma.github.io/Logging_0980/klagomålsmail/A 44308-2021 FSC-klagomål mail.docx", "A 44308-2021")</f>
        <v/>
      </c>
      <c r="X215">
        <f>HYPERLINK("https://klasma.github.io/Logging_0980/tillsyn/A 44308-2021 tillsynsbegäran.docx", "A 44308-2021")</f>
        <v/>
      </c>
      <c r="Y215">
        <f>HYPERLINK("https://klasma.github.io/Logging_0980/tillsynsmail/A 44308-2021 tillsynsbegäran mail.docx", "A 44308-2021")</f>
        <v/>
      </c>
    </row>
    <row r="216" ht="15" customHeight="1">
      <c r="A216" t="inlineStr">
        <is>
          <t>A 47411-2021</t>
        </is>
      </c>
      <c r="B216" s="1" t="n">
        <v>44447</v>
      </c>
      <c r="C216" s="1" t="n">
        <v>45749</v>
      </c>
      <c r="D216" t="inlineStr">
        <is>
          <t>GOTLANDS LÄN</t>
        </is>
      </c>
      <c r="E216" t="inlineStr">
        <is>
          <t>GOTLAND</t>
        </is>
      </c>
      <c r="G216" t="n">
        <v>2.7</v>
      </c>
      <c r="H216" t="n">
        <v>1</v>
      </c>
      <c r="I216" t="n">
        <v>0</v>
      </c>
      <c r="J216" t="n">
        <v>0</v>
      </c>
      <c r="K216" t="n">
        <v>0</v>
      </c>
      <c r="L216" t="n">
        <v>0</v>
      </c>
      <c r="M216" t="n">
        <v>0</v>
      </c>
      <c r="N216" t="n">
        <v>0</v>
      </c>
      <c r="O216" t="n">
        <v>0</v>
      </c>
      <c r="P216" t="n">
        <v>0</v>
      </c>
      <c r="Q216" t="n">
        <v>1</v>
      </c>
      <c r="R216" s="2" t="inlineStr">
        <is>
          <t>Revlummer</t>
        </is>
      </c>
      <c r="S216">
        <f>HYPERLINK("https://klasma.github.io/Logging_0980/artfynd/A 47411-2021 artfynd.xlsx", "A 47411-2021")</f>
        <v/>
      </c>
      <c r="T216">
        <f>HYPERLINK("https://klasma.github.io/Logging_0980/kartor/A 47411-2021 karta.png", "A 47411-2021")</f>
        <v/>
      </c>
      <c r="V216">
        <f>HYPERLINK("https://klasma.github.io/Logging_0980/klagomål/A 47411-2021 FSC-klagomål.docx", "A 47411-2021")</f>
        <v/>
      </c>
      <c r="W216">
        <f>HYPERLINK("https://klasma.github.io/Logging_0980/klagomålsmail/A 47411-2021 FSC-klagomål mail.docx", "A 47411-2021")</f>
        <v/>
      </c>
      <c r="X216">
        <f>HYPERLINK("https://klasma.github.io/Logging_0980/tillsyn/A 47411-2021 tillsynsbegäran.docx", "A 47411-2021")</f>
        <v/>
      </c>
      <c r="Y216">
        <f>HYPERLINK("https://klasma.github.io/Logging_0980/tillsynsmail/A 47411-2021 tillsynsbegäran mail.docx", "A 47411-2021")</f>
        <v/>
      </c>
    </row>
    <row r="217" ht="15" customHeight="1">
      <c r="A217" t="inlineStr">
        <is>
          <t>A 63576-2021</t>
        </is>
      </c>
      <c r="B217" s="1" t="n">
        <v>44508</v>
      </c>
      <c r="C217" s="1" t="n">
        <v>45749</v>
      </c>
      <c r="D217" t="inlineStr">
        <is>
          <t>GOTLANDS LÄN</t>
        </is>
      </c>
      <c r="E217" t="inlineStr">
        <is>
          <t>GOTLAND</t>
        </is>
      </c>
      <c r="F217" t="inlineStr">
        <is>
          <t>Kyrkan</t>
        </is>
      </c>
      <c r="G217" t="n">
        <v>4.1</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63576-2021 artfynd.xlsx", "A 63576-2021")</f>
        <v/>
      </c>
      <c r="T217">
        <f>HYPERLINK("https://klasma.github.io/Logging_0980/kartor/A 63576-2021 karta.png", "A 63576-2021")</f>
        <v/>
      </c>
      <c r="V217">
        <f>HYPERLINK("https://klasma.github.io/Logging_0980/klagomål/A 63576-2021 FSC-klagomål.docx", "A 63576-2021")</f>
        <v/>
      </c>
      <c r="W217">
        <f>HYPERLINK("https://klasma.github.io/Logging_0980/klagomålsmail/A 63576-2021 FSC-klagomål mail.docx", "A 63576-2021")</f>
        <v/>
      </c>
      <c r="X217">
        <f>HYPERLINK("https://klasma.github.io/Logging_0980/tillsyn/A 63576-2021 tillsynsbegäran.docx", "A 63576-2021")</f>
        <v/>
      </c>
      <c r="Y217">
        <f>HYPERLINK("https://klasma.github.io/Logging_0980/tillsynsmail/A 63576-2021 tillsynsbegäran mail.docx", "A 63576-2021")</f>
        <v/>
      </c>
    </row>
    <row r="218" ht="15" customHeight="1">
      <c r="A218" t="inlineStr">
        <is>
          <t>A 64700-2021</t>
        </is>
      </c>
      <c r="B218" s="1" t="n">
        <v>44511</v>
      </c>
      <c r="C218" s="1" t="n">
        <v>45749</v>
      </c>
      <c r="D218" t="inlineStr">
        <is>
          <t>GOTLANDS LÄN</t>
        </is>
      </c>
      <c r="E218" t="inlineStr">
        <is>
          <t>GOTLAND</t>
        </is>
      </c>
      <c r="F218" t="inlineStr">
        <is>
          <t>Naturvårdsverket</t>
        </is>
      </c>
      <c r="G218" t="n">
        <v>2.4</v>
      </c>
      <c r="H218" t="n">
        <v>1</v>
      </c>
      <c r="I218" t="n">
        <v>0</v>
      </c>
      <c r="J218" t="n">
        <v>0</v>
      </c>
      <c r="K218" t="n">
        <v>1</v>
      </c>
      <c r="L218" t="n">
        <v>0</v>
      </c>
      <c r="M218" t="n">
        <v>0</v>
      </c>
      <c r="N218" t="n">
        <v>0</v>
      </c>
      <c r="O218" t="n">
        <v>1</v>
      </c>
      <c r="P218" t="n">
        <v>1</v>
      </c>
      <c r="Q218" t="n">
        <v>1</v>
      </c>
      <c r="R218" s="2" t="inlineStr">
        <is>
          <t>Kalkdån</t>
        </is>
      </c>
      <c r="S218">
        <f>HYPERLINK("https://klasma.github.io/Logging_0980/artfynd/A 64700-2021 artfynd.xlsx", "A 64700-2021")</f>
        <v/>
      </c>
      <c r="T218">
        <f>HYPERLINK("https://klasma.github.io/Logging_0980/kartor/A 64700-2021 karta.png", "A 64700-2021")</f>
        <v/>
      </c>
      <c r="V218">
        <f>HYPERLINK("https://klasma.github.io/Logging_0980/klagomål/A 64700-2021 FSC-klagomål.docx", "A 64700-2021")</f>
        <v/>
      </c>
      <c r="W218">
        <f>HYPERLINK("https://klasma.github.io/Logging_0980/klagomålsmail/A 64700-2021 FSC-klagomål mail.docx", "A 64700-2021")</f>
        <v/>
      </c>
      <c r="X218">
        <f>HYPERLINK("https://klasma.github.io/Logging_0980/tillsyn/A 64700-2021 tillsynsbegäran.docx", "A 64700-2021")</f>
        <v/>
      </c>
      <c r="Y218">
        <f>HYPERLINK("https://klasma.github.io/Logging_0980/tillsynsmail/A 64700-2021 tillsynsbegäran mail.docx", "A 64700-2021")</f>
        <v/>
      </c>
    </row>
    <row r="219" ht="15" customHeight="1">
      <c r="A219" t="inlineStr">
        <is>
          <t>A 65927-2021</t>
        </is>
      </c>
      <c r="B219" s="1" t="n">
        <v>44516</v>
      </c>
      <c r="C219" s="1" t="n">
        <v>45749</v>
      </c>
      <c r="D219" t="inlineStr">
        <is>
          <t>GOTLANDS LÄN</t>
        </is>
      </c>
      <c r="E219" t="inlineStr">
        <is>
          <t>GOTLAND</t>
        </is>
      </c>
      <c r="G219" t="n">
        <v>3.1</v>
      </c>
      <c r="H219" t="n">
        <v>1</v>
      </c>
      <c r="I219" t="n">
        <v>0</v>
      </c>
      <c r="J219" t="n">
        <v>0</v>
      </c>
      <c r="K219" t="n">
        <v>1</v>
      </c>
      <c r="L219" t="n">
        <v>0</v>
      </c>
      <c r="M219" t="n">
        <v>0</v>
      </c>
      <c r="N219" t="n">
        <v>0</v>
      </c>
      <c r="O219" t="n">
        <v>1</v>
      </c>
      <c r="P219" t="n">
        <v>1</v>
      </c>
      <c r="Q219" t="n">
        <v>1</v>
      </c>
      <c r="R219" s="2" t="inlineStr">
        <is>
          <t>Grenigt kungsljus</t>
        </is>
      </c>
      <c r="S219">
        <f>HYPERLINK("https://klasma.github.io/Logging_0980/artfynd/A 65927-2021 artfynd.xlsx", "A 65927-2021")</f>
        <v/>
      </c>
      <c r="T219">
        <f>HYPERLINK("https://klasma.github.io/Logging_0980/kartor/A 65927-2021 karta.png", "A 65927-2021")</f>
        <v/>
      </c>
      <c r="V219">
        <f>HYPERLINK("https://klasma.github.io/Logging_0980/klagomål/A 65927-2021 FSC-klagomål.docx", "A 65927-2021")</f>
        <v/>
      </c>
      <c r="W219">
        <f>HYPERLINK("https://klasma.github.io/Logging_0980/klagomålsmail/A 65927-2021 FSC-klagomål mail.docx", "A 65927-2021")</f>
        <v/>
      </c>
      <c r="X219">
        <f>HYPERLINK("https://klasma.github.io/Logging_0980/tillsyn/A 65927-2021 tillsynsbegäran.docx", "A 65927-2021")</f>
        <v/>
      </c>
      <c r="Y219">
        <f>HYPERLINK("https://klasma.github.io/Logging_0980/tillsynsmail/A 65927-2021 tillsynsbegäran mail.docx", "A 65927-2021")</f>
        <v/>
      </c>
    </row>
    <row r="220" ht="15" customHeight="1">
      <c r="A220" t="inlineStr">
        <is>
          <t>A 66091-2021</t>
        </is>
      </c>
      <c r="B220" s="1" t="n">
        <v>44517</v>
      </c>
      <c r="C220" s="1" t="n">
        <v>45749</v>
      </c>
      <c r="D220" t="inlineStr">
        <is>
          <t>GOTLANDS LÄN</t>
        </is>
      </c>
      <c r="E220" t="inlineStr">
        <is>
          <t>GOTLAND</t>
        </is>
      </c>
      <c r="G220" t="n">
        <v>11.7</v>
      </c>
      <c r="H220" t="n">
        <v>1</v>
      </c>
      <c r="I220" t="n">
        <v>0</v>
      </c>
      <c r="J220" t="n">
        <v>0</v>
      </c>
      <c r="K220" t="n">
        <v>0</v>
      </c>
      <c r="L220" t="n">
        <v>0</v>
      </c>
      <c r="M220" t="n">
        <v>0</v>
      </c>
      <c r="N220" t="n">
        <v>0</v>
      </c>
      <c r="O220" t="n">
        <v>0</v>
      </c>
      <c r="P220" t="n">
        <v>0</v>
      </c>
      <c r="Q220" t="n">
        <v>1</v>
      </c>
      <c r="R220" s="2" t="inlineStr">
        <is>
          <t>Pärluggla</t>
        </is>
      </c>
      <c r="S220">
        <f>HYPERLINK("https://klasma.github.io/Logging_0980/artfynd/A 66091-2021 artfynd.xlsx", "A 66091-2021")</f>
        <v/>
      </c>
      <c r="T220">
        <f>HYPERLINK("https://klasma.github.io/Logging_0980/kartor/A 66091-2021 karta.png", "A 66091-2021")</f>
        <v/>
      </c>
      <c r="V220">
        <f>HYPERLINK("https://klasma.github.io/Logging_0980/klagomål/A 66091-2021 FSC-klagomål.docx", "A 66091-2021")</f>
        <v/>
      </c>
      <c r="W220">
        <f>HYPERLINK("https://klasma.github.io/Logging_0980/klagomålsmail/A 66091-2021 FSC-klagomål mail.docx", "A 66091-2021")</f>
        <v/>
      </c>
      <c r="X220">
        <f>HYPERLINK("https://klasma.github.io/Logging_0980/tillsyn/A 66091-2021 tillsynsbegäran.docx", "A 66091-2021")</f>
        <v/>
      </c>
      <c r="Y220">
        <f>HYPERLINK("https://klasma.github.io/Logging_0980/tillsynsmail/A 66091-2021 tillsynsbegäran mail.docx", "A 66091-2021")</f>
        <v/>
      </c>
      <c r="Z220">
        <f>HYPERLINK("https://klasma.github.io/Logging_0980/fåglar/A 66091-2021 prioriterade fågelarter.docx", "A 66091-2021")</f>
        <v/>
      </c>
    </row>
    <row r="221" ht="15" customHeight="1">
      <c r="A221" t="inlineStr">
        <is>
          <t>A 24245-2022</t>
        </is>
      </c>
      <c r="B221" s="1" t="n">
        <v>44725</v>
      </c>
      <c r="C221" s="1" t="n">
        <v>45749</v>
      </c>
      <c r="D221" t="inlineStr">
        <is>
          <t>GOTLANDS LÄN</t>
        </is>
      </c>
      <c r="E221" t="inlineStr">
        <is>
          <t>GOTLAND</t>
        </is>
      </c>
      <c r="G221" t="n">
        <v>4.9</v>
      </c>
      <c r="H221" t="n">
        <v>0</v>
      </c>
      <c r="I221" t="n">
        <v>0</v>
      </c>
      <c r="J221" t="n">
        <v>0</v>
      </c>
      <c r="K221" t="n">
        <v>0</v>
      </c>
      <c r="L221" t="n">
        <v>1</v>
      </c>
      <c r="M221" t="n">
        <v>0</v>
      </c>
      <c r="N221" t="n">
        <v>0</v>
      </c>
      <c r="O221" t="n">
        <v>1</v>
      </c>
      <c r="P221" t="n">
        <v>1</v>
      </c>
      <c r="Q221" t="n">
        <v>1</v>
      </c>
      <c r="R221" s="2" t="inlineStr">
        <is>
          <t>Slät taggsvamp</t>
        </is>
      </c>
      <c r="S221">
        <f>HYPERLINK("https://klasma.github.io/Logging_0980/artfynd/A 24245-2022 artfynd.xlsx", "A 24245-2022")</f>
        <v/>
      </c>
      <c r="T221">
        <f>HYPERLINK("https://klasma.github.io/Logging_0980/kartor/A 24245-2022 karta.png", "A 24245-2022")</f>
        <v/>
      </c>
      <c r="V221">
        <f>HYPERLINK("https://klasma.github.io/Logging_0980/klagomål/A 24245-2022 FSC-klagomål.docx", "A 24245-2022")</f>
        <v/>
      </c>
      <c r="W221">
        <f>HYPERLINK("https://klasma.github.io/Logging_0980/klagomålsmail/A 24245-2022 FSC-klagomål mail.docx", "A 24245-2022")</f>
        <v/>
      </c>
      <c r="X221">
        <f>HYPERLINK("https://klasma.github.io/Logging_0980/tillsyn/A 24245-2022 tillsynsbegäran.docx", "A 24245-2022")</f>
        <v/>
      </c>
      <c r="Y221">
        <f>HYPERLINK("https://klasma.github.io/Logging_0980/tillsynsmail/A 24245-2022 tillsynsbegäran mail.docx", "A 24245-2022")</f>
        <v/>
      </c>
    </row>
    <row r="222" ht="15" customHeight="1">
      <c r="A222" t="inlineStr">
        <is>
          <t>A 25783-2022</t>
        </is>
      </c>
      <c r="B222" s="1" t="n">
        <v>44733</v>
      </c>
      <c r="C222" s="1" t="n">
        <v>45749</v>
      </c>
      <c r="D222" t="inlineStr">
        <is>
          <t>GOTLANDS LÄN</t>
        </is>
      </c>
      <c r="E222" t="inlineStr">
        <is>
          <t>GOTLAND</t>
        </is>
      </c>
      <c r="G222" t="n">
        <v>1</v>
      </c>
      <c r="H222" t="n">
        <v>1</v>
      </c>
      <c r="I222" t="n">
        <v>1</v>
      </c>
      <c r="J222" t="n">
        <v>0</v>
      </c>
      <c r="K222" t="n">
        <v>0</v>
      </c>
      <c r="L222" t="n">
        <v>0</v>
      </c>
      <c r="M222" t="n">
        <v>0</v>
      </c>
      <c r="N222" t="n">
        <v>0</v>
      </c>
      <c r="O222" t="n">
        <v>0</v>
      </c>
      <c r="P222" t="n">
        <v>0</v>
      </c>
      <c r="Q222" t="n">
        <v>1</v>
      </c>
      <c r="R222" s="2" t="inlineStr">
        <is>
          <t>Vit skogslilja</t>
        </is>
      </c>
      <c r="S222">
        <f>HYPERLINK("https://klasma.github.io/Logging_0980/artfynd/A 25783-2022 artfynd.xlsx", "A 25783-2022")</f>
        <v/>
      </c>
      <c r="T222">
        <f>HYPERLINK("https://klasma.github.io/Logging_0980/kartor/A 25783-2022 karta.png", "A 25783-2022")</f>
        <v/>
      </c>
      <c r="V222">
        <f>HYPERLINK("https://klasma.github.io/Logging_0980/klagomål/A 25783-2022 FSC-klagomål.docx", "A 25783-2022")</f>
        <v/>
      </c>
      <c r="W222">
        <f>HYPERLINK("https://klasma.github.io/Logging_0980/klagomålsmail/A 25783-2022 FSC-klagomål mail.docx", "A 25783-2022")</f>
        <v/>
      </c>
      <c r="X222">
        <f>HYPERLINK("https://klasma.github.io/Logging_0980/tillsyn/A 25783-2022 tillsynsbegäran.docx", "A 25783-2022")</f>
        <v/>
      </c>
      <c r="Y222">
        <f>HYPERLINK("https://klasma.github.io/Logging_0980/tillsynsmail/A 25783-2022 tillsynsbegäran mail.docx", "A 25783-2022")</f>
        <v/>
      </c>
    </row>
    <row r="223" ht="15" customHeight="1">
      <c r="A223" t="inlineStr">
        <is>
          <t>A 27168-2022</t>
        </is>
      </c>
      <c r="B223" s="1" t="n">
        <v>44741</v>
      </c>
      <c r="C223" s="1" t="n">
        <v>45749</v>
      </c>
      <c r="D223" t="inlineStr">
        <is>
          <t>GOTLANDS LÄN</t>
        </is>
      </c>
      <c r="E223" t="inlineStr">
        <is>
          <t>GOTLAND</t>
        </is>
      </c>
      <c r="G223" t="n">
        <v>2.2</v>
      </c>
      <c r="H223" t="n">
        <v>1</v>
      </c>
      <c r="I223" t="n">
        <v>1</v>
      </c>
      <c r="J223" t="n">
        <v>0</v>
      </c>
      <c r="K223" t="n">
        <v>0</v>
      </c>
      <c r="L223" t="n">
        <v>0</v>
      </c>
      <c r="M223" t="n">
        <v>0</v>
      </c>
      <c r="N223" t="n">
        <v>0</v>
      </c>
      <c r="O223" t="n">
        <v>0</v>
      </c>
      <c r="P223" t="n">
        <v>0</v>
      </c>
      <c r="Q223" t="n">
        <v>1</v>
      </c>
      <c r="R223" s="2" t="inlineStr">
        <is>
          <t>Purpurknipprot</t>
        </is>
      </c>
      <c r="S223">
        <f>HYPERLINK("https://klasma.github.io/Logging_0980/artfynd/A 27168-2022 artfynd.xlsx", "A 27168-2022")</f>
        <v/>
      </c>
      <c r="T223">
        <f>HYPERLINK("https://klasma.github.io/Logging_0980/kartor/A 27168-2022 karta.png", "A 27168-2022")</f>
        <v/>
      </c>
      <c r="V223">
        <f>HYPERLINK("https://klasma.github.io/Logging_0980/klagomål/A 27168-2022 FSC-klagomål.docx", "A 27168-2022")</f>
        <v/>
      </c>
      <c r="W223">
        <f>HYPERLINK("https://klasma.github.io/Logging_0980/klagomålsmail/A 27168-2022 FSC-klagomål mail.docx", "A 27168-2022")</f>
        <v/>
      </c>
      <c r="X223">
        <f>HYPERLINK("https://klasma.github.io/Logging_0980/tillsyn/A 27168-2022 tillsynsbegäran.docx", "A 27168-2022")</f>
        <v/>
      </c>
      <c r="Y223">
        <f>HYPERLINK("https://klasma.github.io/Logging_0980/tillsynsmail/A 27168-2022 tillsynsbegäran mail.docx", "A 27168-2022")</f>
        <v/>
      </c>
    </row>
    <row r="224" ht="15" customHeight="1">
      <c r="A224" t="inlineStr">
        <is>
          <t>A 27814-2022</t>
        </is>
      </c>
      <c r="B224" s="1" t="n">
        <v>44743</v>
      </c>
      <c r="C224" s="1" t="n">
        <v>45749</v>
      </c>
      <c r="D224" t="inlineStr">
        <is>
          <t>GOTLANDS LÄN</t>
        </is>
      </c>
      <c r="E224" t="inlineStr">
        <is>
          <t>GOTLAND</t>
        </is>
      </c>
      <c r="G224" t="n">
        <v>25</v>
      </c>
      <c r="H224" t="n">
        <v>1</v>
      </c>
      <c r="I224" t="n">
        <v>0</v>
      </c>
      <c r="J224" t="n">
        <v>0</v>
      </c>
      <c r="K224" t="n">
        <v>0</v>
      </c>
      <c r="L224" t="n">
        <v>0</v>
      </c>
      <c r="M224" t="n">
        <v>0</v>
      </c>
      <c r="N224" t="n">
        <v>0</v>
      </c>
      <c r="O224" t="n">
        <v>0</v>
      </c>
      <c r="P224" t="n">
        <v>0</v>
      </c>
      <c r="Q224" t="n">
        <v>1</v>
      </c>
      <c r="R224" s="2" t="inlineStr">
        <is>
          <t>Mindre vattensalamander</t>
        </is>
      </c>
      <c r="S224">
        <f>HYPERLINK("https://klasma.github.io/Logging_0980/artfynd/A 27814-2022 artfynd.xlsx", "A 27814-2022")</f>
        <v/>
      </c>
      <c r="T224">
        <f>HYPERLINK("https://klasma.github.io/Logging_0980/kartor/A 27814-2022 karta.png", "A 27814-2022")</f>
        <v/>
      </c>
      <c r="V224">
        <f>HYPERLINK("https://klasma.github.io/Logging_0980/klagomål/A 27814-2022 FSC-klagomål.docx", "A 27814-2022")</f>
        <v/>
      </c>
      <c r="W224">
        <f>HYPERLINK("https://klasma.github.io/Logging_0980/klagomålsmail/A 27814-2022 FSC-klagomål mail.docx", "A 27814-2022")</f>
        <v/>
      </c>
      <c r="X224">
        <f>HYPERLINK("https://klasma.github.io/Logging_0980/tillsyn/A 27814-2022 tillsynsbegäran.docx", "A 27814-2022")</f>
        <v/>
      </c>
      <c r="Y224">
        <f>HYPERLINK("https://klasma.github.io/Logging_0980/tillsynsmail/A 27814-2022 tillsynsbegäran mail.docx", "A 27814-2022")</f>
        <v/>
      </c>
    </row>
    <row r="225" ht="15" customHeight="1">
      <c r="A225" t="inlineStr">
        <is>
          <t>A 44095-2022</t>
        </is>
      </c>
      <c r="B225" s="1" t="n">
        <v>44839</v>
      </c>
      <c r="C225" s="1" t="n">
        <v>45749</v>
      </c>
      <c r="D225" t="inlineStr">
        <is>
          <t>GOTLANDS LÄN</t>
        </is>
      </c>
      <c r="E225" t="inlineStr">
        <is>
          <t>GOTLAND</t>
        </is>
      </c>
      <c r="G225" t="n">
        <v>9</v>
      </c>
      <c r="H225" t="n">
        <v>0</v>
      </c>
      <c r="I225" t="n">
        <v>1</v>
      </c>
      <c r="J225" t="n">
        <v>0</v>
      </c>
      <c r="K225" t="n">
        <v>0</v>
      </c>
      <c r="L225" t="n">
        <v>0</v>
      </c>
      <c r="M225" t="n">
        <v>0</v>
      </c>
      <c r="N225" t="n">
        <v>0</v>
      </c>
      <c r="O225" t="n">
        <v>0</v>
      </c>
      <c r="P225" t="n">
        <v>0</v>
      </c>
      <c r="Q225" t="n">
        <v>1</v>
      </c>
      <c r="R225" s="2" t="inlineStr">
        <is>
          <t>Strävlosta</t>
        </is>
      </c>
      <c r="S225">
        <f>HYPERLINK("https://klasma.github.io/Logging_0980/artfynd/A 44095-2022 artfynd.xlsx", "A 44095-2022")</f>
        <v/>
      </c>
      <c r="T225">
        <f>HYPERLINK("https://klasma.github.io/Logging_0980/kartor/A 44095-2022 karta.png", "A 44095-2022")</f>
        <v/>
      </c>
      <c r="V225">
        <f>HYPERLINK("https://klasma.github.io/Logging_0980/klagomål/A 44095-2022 FSC-klagomål.docx", "A 44095-2022")</f>
        <v/>
      </c>
      <c r="W225">
        <f>HYPERLINK("https://klasma.github.io/Logging_0980/klagomålsmail/A 44095-2022 FSC-klagomål mail.docx", "A 44095-2022")</f>
        <v/>
      </c>
      <c r="X225">
        <f>HYPERLINK("https://klasma.github.io/Logging_0980/tillsyn/A 44095-2022 tillsynsbegäran.docx", "A 44095-2022")</f>
        <v/>
      </c>
      <c r="Y225">
        <f>HYPERLINK("https://klasma.github.io/Logging_0980/tillsynsmail/A 44095-2022 tillsynsbegäran mail.docx", "A 44095-2022")</f>
        <v/>
      </c>
    </row>
    <row r="226" ht="15" customHeight="1">
      <c r="A226" t="inlineStr">
        <is>
          <t>A 44088-2022</t>
        </is>
      </c>
      <c r="B226" s="1" t="n">
        <v>44839</v>
      </c>
      <c r="C226" s="1" t="n">
        <v>45749</v>
      </c>
      <c r="D226" t="inlineStr">
        <is>
          <t>GOTLANDS LÄN</t>
        </is>
      </c>
      <c r="E226" t="inlineStr">
        <is>
          <t>GOTLAND</t>
        </is>
      </c>
      <c r="G226" t="n">
        <v>1.5</v>
      </c>
      <c r="H226" t="n">
        <v>0</v>
      </c>
      <c r="I226" t="n">
        <v>1</v>
      </c>
      <c r="J226" t="n">
        <v>0</v>
      </c>
      <c r="K226" t="n">
        <v>0</v>
      </c>
      <c r="L226" t="n">
        <v>0</v>
      </c>
      <c r="M226" t="n">
        <v>0</v>
      </c>
      <c r="N226" t="n">
        <v>0</v>
      </c>
      <c r="O226" t="n">
        <v>0</v>
      </c>
      <c r="P226" t="n">
        <v>0</v>
      </c>
      <c r="Q226" t="n">
        <v>1</v>
      </c>
      <c r="R226" s="2" t="inlineStr">
        <is>
          <t>Strävlosta</t>
        </is>
      </c>
      <c r="S226">
        <f>HYPERLINK("https://klasma.github.io/Logging_0980/artfynd/A 44088-2022 artfynd.xlsx", "A 44088-2022")</f>
        <v/>
      </c>
      <c r="T226">
        <f>HYPERLINK("https://klasma.github.io/Logging_0980/kartor/A 44088-2022 karta.png", "A 44088-2022")</f>
        <v/>
      </c>
      <c r="V226">
        <f>HYPERLINK("https://klasma.github.io/Logging_0980/klagomål/A 44088-2022 FSC-klagomål.docx", "A 44088-2022")</f>
        <v/>
      </c>
      <c r="W226">
        <f>HYPERLINK("https://klasma.github.io/Logging_0980/klagomålsmail/A 44088-2022 FSC-klagomål mail.docx", "A 44088-2022")</f>
        <v/>
      </c>
      <c r="X226">
        <f>HYPERLINK("https://klasma.github.io/Logging_0980/tillsyn/A 44088-2022 tillsynsbegäran.docx", "A 44088-2022")</f>
        <v/>
      </c>
      <c r="Y226">
        <f>HYPERLINK("https://klasma.github.io/Logging_0980/tillsynsmail/A 44088-2022 tillsynsbegäran mail.docx", "A 44088-2022")</f>
        <v/>
      </c>
    </row>
    <row r="227" ht="15" customHeight="1">
      <c r="A227" t="inlineStr">
        <is>
          <t>A 61796-2022</t>
        </is>
      </c>
      <c r="B227" s="1" t="n">
        <v>44917</v>
      </c>
      <c r="C227" s="1" t="n">
        <v>45749</v>
      </c>
      <c r="D227" t="inlineStr">
        <is>
          <t>GOTLANDS LÄN</t>
        </is>
      </c>
      <c r="E227" t="inlineStr">
        <is>
          <t>GOTLAND</t>
        </is>
      </c>
      <c r="G227" t="n">
        <v>1.5</v>
      </c>
      <c r="H227" t="n">
        <v>1</v>
      </c>
      <c r="I227" t="n">
        <v>0</v>
      </c>
      <c r="J227" t="n">
        <v>0</v>
      </c>
      <c r="K227" t="n">
        <v>0</v>
      </c>
      <c r="L227" t="n">
        <v>0</v>
      </c>
      <c r="M227" t="n">
        <v>0</v>
      </c>
      <c r="N227" t="n">
        <v>0</v>
      </c>
      <c r="O227" t="n">
        <v>0</v>
      </c>
      <c r="P227" t="n">
        <v>0</v>
      </c>
      <c r="Q227" t="n">
        <v>1</v>
      </c>
      <c r="R227" s="2" t="inlineStr">
        <is>
          <t>Skogsduva</t>
        </is>
      </c>
      <c r="S227">
        <f>HYPERLINK("https://klasma.github.io/Logging_0980/artfynd/A 61796-2022 artfynd.xlsx", "A 61796-2022")</f>
        <v/>
      </c>
      <c r="T227">
        <f>HYPERLINK("https://klasma.github.io/Logging_0980/kartor/A 61796-2022 karta.png", "A 61796-2022")</f>
        <v/>
      </c>
      <c r="V227">
        <f>HYPERLINK("https://klasma.github.io/Logging_0980/klagomål/A 61796-2022 FSC-klagomål.docx", "A 61796-2022")</f>
        <v/>
      </c>
      <c r="W227">
        <f>HYPERLINK("https://klasma.github.io/Logging_0980/klagomålsmail/A 61796-2022 FSC-klagomål mail.docx", "A 61796-2022")</f>
        <v/>
      </c>
      <c r="X227">
        <f>HYPERLINK("https://klasma.github.io/Logging_0980/tillsyn/A 61796-2022 tillsynsbegäran.docx", "A 61796-2022")</f>
        <v/>
      </c>
      <c r="Y227">
        <f>HYPERLINK("https://klasma.github.io/Logging_0980/tillsynsmail/A 61796-2022 tillsynsbegäran mail.docx", "A 61796-2022")</f>
        <v/>
      </c>
      <c r="Z227">
        <f>HYPERLINK("https://klasma.github.io/Logging_0980/fåglar/A 61796-2022 prioriterade fågelarter.docx", "A 61796-2022")</f>
        <v/>
      </c>
    </row>
    <row r="228" ht="15" customHeight="1">
      <c r="A228" t="inlineStr">
        <is>
          <t>A 62552-2022</t>
        </is>
      </c>
      <c r="B228" s="1" t="n">
        <v>44924</v>
      </c>
      <c r="C228" s="1" t="n">
        <v>45749</v>
      </c>
      <c r="D228" t="inlineStr">
        <is>
          <t>GOTLANDS LÄN</t>
        </is>
      </c>
      <c r="E228" t="inlineStr">
        <is>
          <t>GOTLAND</t>
        </is>
      </c>
      <c r="G228" t="n">
        <v>1.6</v>
      </c>
      <c r="H228" t="n">
        <v>0</v>
      </c>
      <c r="I228" t="n">
        <v>0</v>
      </c>
      <c r="J228" t="n">
        <v>1</v>
      </c>
      <c r="K228" t="n">
        <v>0</v>
      </c>
      <c r="L228" t="n">
        <v>0</v>
      </c>
      <c r="M228" t="n">
        <v>0</v>
      </c>
      <c r="N228" t="n">
        <v>0</v>
      </c>
      <c r="O228" t="n">
        <v>1</v>
      </c>
      <c r="P228" t="n">
        <v>0</v>
      </c>
      <c r="Q228" t="n">
        <v>1</v>
      </c>
      <c r="R228" s="2" t="inlineStr">
        <is>
          <t>Äggspindling</t>
        </is>
      </c>
      <c r="S228">
        <f>HYPERLINK("https://klasma.github.io/Logging_0980/artfynd/A 62552-2022 artfynd.xlsx", "A 62552-2022")</f>
        <v/>
      </c>
      <c r="T228">
        <f>HYPERLINK("https://klasma.github.io/Logging_0980/kartor/A 62552-2022 karta.png", "A 62552-2022")</f>
        <v/>
      </c>
      <c r="V228">
        <f>HYPERLINK("https://klasma.github.io/Logging_0980/klagomål/A 62552-2022 FSC-klagomål.docx", "A 62552-2022")</f>
        <v/>
      </c>
      <c r="W228">
        <f>HYPERLINK("https://klasma.github.io/Logging_0980/klagomålsmail/A 62552-2022 FSC-klagomål mail.docx", "A 62552-2022")</f>
        <v/>
      </c>
      <c r="X228">
        <f>HYPERLINK("https://klasma.github.io/Logging_0980/tillsyn/A 62552-2022 tillsynsbegäran.docx", "A 62552-2022")</f>
        <v/>
      </c>
      <c r="Y228">
        <f>HYPERLINK("https://klasma.github.io/Logging_0980/tillsynsmail/A 62552-2022 tillsynsbegäran mail.docx", "A 62552-2022")</f>
        <v/>
      </c>
    </row>
    <row r="229" ht="15" customHeight="1">
      <c r="A229" t="inlineStr">
        <is>
          <t>A 447-2023</t>
        </is>
      </c>
      <c r="B229" s="1" t="n">
        <v>44929</v>
      </c>
      <c r="C229" s="1" t="n">
        <v>45749</v>
      </c>
      <c r="D229" t="inlineStr">
        <is>
          <t>GOTLANDS LÄN</t>
        </is>
      </c>
      <c r="E229" t="inlineStr">
        <is>
          <t>GOTLAND</t>
        </is>
      </c>
      <c r="G229" t="n">
        <v>5.1</v>
      </c>
      <c r="H229" t="n">
        <v>0</v>
      </c>
      <c r="I229" t="n">
        <v>0</v>
      </c>
      <c r="J229" t="n">
        <v>1</v>
      </c>
      <c r="K229" t="n">
        <v>0</v>
      </c>
      <c r="L229" t="n">
        <v>0</v>
      </c>
      <c r="M229" t="n">
        <v>0</v>
      </c>
      <c r="N229" t="n">
        <v>0</v>
      </c>
      <c r="O229" t="n">
        <v>1</v>
      </c>
      <c r="P229" t="n">
        <v>0</v>
      </c>
      <c r="Q229" t="n">
        <v>1</v>
      </c>
      <c r="R229" s="2" t="inlineStr">
        <is>
          <t>Äggspindling</t>
        </is>
      </c>
      <c r="S229">
        <f>HYPERLINK("https://klasma.github.io/Logging_0980/artfynd/A 447-2023 artfynd.xlsx", "A 447-2023")</f>
        <v/>
      </c>
      <c r="T229">
        <f>HYPERLINK("https://klasma.github.io/Logging_0980/kartor/A 447-2023 karta.png", "A 447-2023")</f>
        <v/>
      </c>
      <c r="V229">
        <f>HYPERLINK("https://klasma.github.io/Logging_0980/klagomål/A 447-2023 FSC-klagomål.docx", "A 447-2023")</f>
        <v/>
      </c>
      <c r="W229">
        <f>HYPERLINK("https://klasma.github.io/Logging_0980/klagomålsmail/A 447-2023 FSC-klagomål mail.docx", "A 447-2023")</f>
        <v/>
      </c>
      <c r="X229">
        <f>HYPERLINK("https://klasma.github.io/Logging_0980/tillsyn/A 447-2023 tillsynsbegäran.docx", "A 447-2023")</f>
        <v/>
      </c>
      <c r="Y229">
        <f>HYPERLINK("https://klasma.github.io/Logging_0980/tillsynsmail/A 447-2023 tillsynsbegäran mail.docx", "A 447-2023")</f>
        <v/>
      </c>
    </row>
    <row r="230" ht="15" customHeight="1">
      <c r="A230" t="inlineStr">
        <is>
          <t>A 947-2023</t>
        </is>
      </c>
      <c r="B230" s="1" t="n">
        <v>44934</v>
      </c>
      <c r="C230" s="1" t="n">
        <v>45749</v>
      </c>
      <c r="D230" t="inlineStr">
        <is>
          <t>GOTLANDS LÄN</t>
        </is>
      </c>
      <c r="E230" t="inlineStr">
        <is>
          <t>GOTLAND</t>
        </is>
      </c>
      <c r="G230" t="n">
        <v>0.7</v>
      </c>
      <c r="H230" t="n">
        <v>1</v>
      </c>
      <c r="I230" t="n">
        <v>0</v>
      </c>
      <c r="J230" t="n">
        <v>0</v>
      </c>
      <c r="K230" t="n">
        <v>1</v>
      </c>
      <c r="L230" t="n">
        <v>0</v>
      </c>
      <c r="M230" t="n">
        <v>0</v>
      </c>
      <c r="N230" t="n">
        <v>0</v>
      </c>
      <c r="O230" t="n">
        <v>1</v>
      </c>
      <c r="P230" t="n">
        <v>1</v>
      </c>
      <c r="Q230" t="n">
        <v>1</v>
      </c>
      <c r="R230" s="2" t="inlineStr">
        <is>
          <t>Garderönn</t>
        </is>
      </c>
      <c r="S230">
        <f>HYPERLINK("https://klasma.github.io/Logging_0980/artfynd/A 947-2023 artfynd.xlsx", "A 947-2023")</f>
        <v/>
      </c>
      <c r="T230">
        <f>HYPERLINK("https://klasma.github.io/Logging_0980/kartor/A 947-2023 karta.png", "A 947-2023")</f>
        <v/>
      </c>
      <c r="V230">
        <f>HYPERLINK("https://klasma.github.io/Logging_0980/klagomål/A 947-2023 FSC-klagomål.docx", "A 947-2023")</f>
        <v/>
      </c>
      <c r="W230">
        <f>HYPERLINK("https://klasma.github.io/Logging_0980/klagomålsmail/A 947-2023 FSC-klagomål mail.docx", "A 947-2023")</f>
        <v/>
      </c>
      <c r="X230">
        <f>HYPERLINK("https://klasma.github.io/Logging_0980/tillsyn/A 947-2023 tillsynsbegäran.docx", "A 947-2023")</f>
        <v/>
      </c>
      <c r="Y230">
        <f>HYPERLINK("https://klasma.github.io/Logging_0980/tillsynsmail/A 947-2023 tillsynsbegäran mail.docx", "A 947-2023")</f>
        <v/>
      </c>
    </row>
    <row r="231" ht="15" customHeight="1">
      <c r="A231" t="inlineStr">
        <is>
          <t>A 2213-2023</t>
        </is>
      </c>
      <c r="B231" s="1" t="n">
        <v>44942</v>
      </c>
      <c r="C231" s="1" t="n">
        <v>45749</v>
      </c>
      <c r="D231" t="inlineStr">
        <is>
          <t>GOTLANDS LÄN</t>
        </is>
      </c>
      <c r="E231" t="inlineStr">
        <is>
          <t>GOTLAND</t>
        </is>
      </c>
      <c r="G231" t="n">
        <v>2.7</v>
      </c>
      <c r="H231" t="n">
        <v>0</v>
      </c>
      <c r="I231" t="n">
        <v>0</v>
      </c>
      <c r="J231" t="n">
        <v>1</v>
      </c>
      <c r="K231" t="n">
        <v>0</v>
      </c>
      <c r="L231" t="n">
        <v>0</v>
      </c>
      <c r="M231" t="n">
        <v>0</v>
      </c>
      <c r="N231" t="n">
        <v>0</v>
      </c>
      <c r="O231" t="n">
        <v>1</v>
      </c>
      <c r="P231" t="n">
        <v>0</v>
      </c>
      <c r="Q231" t="n">
        <v>1</v>
      </c>
      <c r="R231" s="2" t="inlineStr">
        <is>
          <t>Odörspindling</t>
        </is>
      </c>
      <c r="S231">
        <f>HYPERLINK("https://klasma.github.io/Logging_0980/artfynd/A 2213-2023 artfynd.xlsx", "A 2213-2023")</f>
        <v/>
      </c>
      <c r="T231">
        <f>HYPERLINK("https://klasma.github.io/Logging_0980/kartor/A 2213-2023 karta.png", "A 2213-2023")</f>
        <v/>
      </c>
      <c r="V231">
        <f>HYPERLINK("https://klasma.github.io/Logging_0980/klagomål/A 2213-2023 FSC-klagomål.docx", "A 2213-2023")</f>
        <v/>
      </c>
      <c r="W231">
        <f>HYPERLINK("https://klasma.github.io/Logging_0980/klagomålsmail/A 2213-2023 FSC-klagomål mail.docx", "A 2213-2023")</f>
        <v/>
      </c>
      <c r="X231">
        <f>HYPERLINK("https://klasma.github.io/Logging_0980/tillsyn/A 2213-2023 tillsynsbegäran.docx", "A 2213-2023")</f>
        <v/>
      </c>
      <c r="Y231">
        <f>HYPERLINK("https://klasma.github.io/Logging_0980/tillsynsmail/A 2213-2023 tillsynsbegäran mail.docx", "A 2213-2023")</f>
        <v/>
      </c>
    </row>
    <row r="232" ht="15" customHeight="1">
      <c r="A232" t="inlineStr">
        <is>
          <t>A 10995-2023</t>
        </is>
      </c>
      <c r="B232" s="1" t="n">
        <v>44986</v>
      </c>
      <c r="C232" s="1" t="n">
        <v>45749</v>
      </c>
      <c r="D232" t="inlineStr">
        <is>
          <t>GOTLANDS LÄN</t>
        </is>
      </c>
      <c r="E232" t="inlineStr">
        <is>
          <t>GOTLAND</t>
        </is>
      </c>
      <c r="G232" t="n">
        <v>2.8</v>
      </c>
      <c r="H232" t="n">
        <v>0</v>
      </c>
      <c r="I232" t="n">
        <v>0</v>
      </c>
      <c r="J232" t="n">
        <v>0</v>
      </c>
      <c r="K232" t="n">
        <v>1</v>
      </c>
      <c r="L232" t="n">
        <v>0</v>
      </c>
      <c r="M232" t="n">
        <v>0</v>
      </c>
      <c r="N232" t="n">
        <v>0</v>
      </c>
      <c r="O232" t="n">
        <v>1</v>
      </c>
      <c r="P232" t="n">
        <v>1</v>
      </c>
      <c r="Q232" t="n">
        <v>1</v>
      </c>
      <c r="R232" s="2" t="inlineStr">
        <is>
          <t>Violettfläckig spindling</t>
        </is>
      </c>
      <c r="S232">
        <f>HYPERLINK("https://klasma.github.io/Logging_0980/artfynd/A 10995-2023 artfynd.xlsx", "A 10995-2023")</f>
        <v/>
      </c>
      <c r="T232">
        <f>HYPERLINK("https://klasma.github.io/Logging_0980/kartor/A 10995-2023 karta.png", "A 10995-2023")</f>
        <v/>
      </c>
      <c r="V232">
        <f>HYPERLINK("https://klasma.github.io/Logging_0980/klagomål/A 10995-2023 FSC-klagomål.docx", "A 10995-2023")</f>
        <v/>
      </c>
      <c r="W232">
        <f>HYPERLINK("https://klasma.github.io/Logging_0980/klagomålsmail/A 10995-2023 FSC-klagomål mail.docx", "A 10995-2023")</f>
        <v/>
      </c>
      <c r="X232">
        <f>HYPERLINK("https://klasma.github.io/Logging_0980/tillsyn/A 10995-2023 tillsynsbegäran.docx", "A 10995-2023")</f>
        <v/>
      </c>
      <c r="Y232">
        <f>HYPERLINK("https://klasma.github.io/Logging_0980/tillsynsmail/A 10995-2023 tillsynsbegäran mail.docx", "A 10995-2023")</f>
        <v/>
      </c>
    </row>
    <row r="233" ht="15" customHeight="1">
      <c r="A233" t="inlineStr">
        <is>
          <t>A 15212-2023</t>
        </is>
      </c>
      <c r="B233" s="1" t="n">
        <v>45019</v>
      </c>
      <c r="C233" s="1" t="n">
        <v>45749</v>
      </c>
      <c r="D233" t="inlineStr">
        <is>
          <t>GOTLANDS LÄN</t>
        </is>
      </c>
      <c r="E233" t="inlineStr">
        <is>
          <t>GOTLAND</t>
        </is>
      </c>
      <c r="G233" t="n">
        <v>3.1</v>
      </c>
      <c r="H233" t="n">
        <v>0</v>
      </c>
      <c r="I233" t="n">
        <v>0</v>
      </c>
      <c r="J233" t="n">
        <v>1</v>
      </c>
      <c r="K233" t="n">
        <v>0</v>
      </c>
      <c r="L233" t="n">
        <v>0</v>
      </c>
      <c r="M233" t="n">
        <v>0</v>
      </c>
      <c r="N233" t="n">
        <v>0</v>
      </c>
      <c r="O233" t="n">
        <v>1</v>
      </c>
      <c r="P233" t="n">
        <v>0</v>
      </c>
      <c r="Q233" t="n">
        <v>1</v>
      </c>
      <c r="R233" s="2" t="inlineStr">
        <is>
          <t>Grådådra</t>
        </is>
      </c>
      <c r="S233">
        <f>HYPERLINK("https://klasma.github.io/Logging_0980/artfynd/A 15212-2023 artfynd.xlsx", "A 15212-2023")</f>
        <v/>
      </c>
      <c r="T233">
        <f>HYPERLINK("https://klasma.github.io/Logging_0980/kartor/A 15212-2023 karta.png", "A 15212-2023")</f>
        <v/>
      </c>
      <c r="V233">
        <f>HYPERLINK("https://klasma.github.io/Logging_0980/klagomål/A 15212-2023 FSC-klagomål.docx", "A 15212-2023")</f>
        <v/>
      </c>
      <c r="W233">
        <f>HYPERLINK("https://klasma.github.io/Logging_0980/klagomålsmail/A 15212-2023 FSC-klagomål mail.docx", "A 15212-2023")</f>
        <v/>
      </c>
      <c r="X233">
        <f>HYPERLINK("https://klasma.github.io/Logging_0980/tillsyn/A 15212-2023 tillsynsbegäran.docx", "A 15212-2023")</f>
        <v/>
      </c>
      <c r="Y233">
        <f>HYPERLINK("https://klasma.github.io/Logging_0980/tillsynsmail/A 15212-2023 tillsynsbegäran mail.docx", "A 15212-2023")</f>
        <v/>
      </c>
    </row>
    <row r="234" ht="15" customHeight="1">
      <c r="A234" t="inlineStr">
        <is>
          <t>A 22782-2023</t>
        </is>
      </c>
      <c r="B234" s="1" t="n">
        <v>45072</v>
      </c>
      <c r="C234" s="1" t="n">
        <v>45749</v>
      </c>
      <c r="D234" t="inlineStr">
        <is>
          <t>GOTLANDS LÄN</t>
        </is>
      </c>
      <c r="E234" t="inlineStr">
        <is>
          <t>GOTLAND</t>
        </is>
      </c>
      <c r="F234" t="inlineStr">
        <is>
          <t>Kyrkan</t>
        </is>
      </c>
      <c r="G234" t="n">
        <v>3.1</v>
      </c>
      <c r="H234" t="n">
        <v>1</v>
      </c>
      <c r="I234" t="n">
        <v>0</v>
      </c>
      <c r="J234" t="n">
        <v>0</v>
      </c>
      <c r="K234" t="n">
        <v>0</v>
      </c>
      <c r="L234" t="n">
        <v>0</v>
      </c>
      <c r="M234" t="n">
        <v>0</v>
      </c>
      <c r="N234" t="n">
        <v>0</v>
      </c>
      <c r="O234" t="n">
        <v>0</v>
      </c>
      <c r="P234" t="n">
        <v>0</v>
      </c>
      <c r="Q234" t="n">
        <v>1</v>
      </c>
      <c r="R234" s="2" t="inlineStr">
        <is>
          <t>Ängsnycklar × skogsnycklar</t>
        </is>
      </c>
      <c r="S234">
        <f>HYPERLINK("https://klasma.github.io/Logging_0980/artfynd/A 22782-2023 artfynd.xlsx", "A 22782-2023")</f>
        <v/>
      </c>
      <c r="T234">
        <f>HYPERLINK("https://klasma.github.io/Logging_0980/kartor/A 22782-2023 karta.png", "A 22782-2023")</f>
        <v/>
      </c>
      <c r="V234">
        <f>HYPERLINK("https://klasma.github.io/Logging_0980/klagomål/A 22782-2023 FSC-klagomål.docx", "A 22782-2023")</f>
        <v/>
      </c>
      <c r="W234">
        <f>HYPERLINK("https://klasma.github.io/Logging_0980/klagomålsmail/A 22782-2023 FSC-klagomål mail.docx", "A 22782-2023")</f>
        <v/>
      </c>
      <c r="X234">
        <f>HYPERLINK("https://klasma.github.io/Logging_0980/tillsyn/A 22782-2023 tillsynsbegäran.docx", "A 22782-2023")</f>
        <v/>
      </c>
      <c r="Y234">
        <f>HYPERLINK("https://klasma.github.io/Logging_0980/tillsynsmail/A 22782-2023 tillsynsbegäran mail.docx", "A 22782-2023")</f>
        <v/>
      </c>
    </row>
    <row r="235" ht="15" customHeight="1">
      <c r="A235" t="inlineStr">
        <is>
          <t>A 24007-2023</t>
        </is>
      </c>
      <c r="B235" s="1" t="n">
        <v>45078</v>
      </c>
      <c r="C235" s="1" t="n">
        <v>45749</v>
      </c>
      <c r="D235" t="inlineStr">
        <is>
          <t>GOTLANDS LÄN</t>
        </is>
      </c>
      <c r="E235" t="inlineStr">
        <is>
          <t>GOTLAND</t>
        </is>
      </c>
      <c r="F235" t="inlineStr">
        <is>
          <t>Naturvårdsverket</t>
        </is>
      </c>
      <c r="G235" t="n">
        <v>2.5</v>
      </c>
      <c r="H235" t="n">
        <v>1</v>
      </c>
      <c r="I235" t="n">
        <v>1</v>
      </c>
      <c r="J235" t="n">
        <v>0</v>
      </c>
      <c r="K235" t="n">
        <v>0</v>
      </c>
      <c r="L235" t="n">
        <v>0</v>
      </c>
      <c r="M235" t="n">
        <v>0</v>
      </c>
      <c r="N235" t="n">
        <v>0</v>
      </c>
      <c r="O235" t="n">
        <v>0</v>
      </c>
      <c r="P235" t="n">
        <v>0</v>
      </c>
      <c r="Q235" t="n">
        <v>1</v>
      </c>
      <c r="R235" s="2" t="inlineStr">
        <is>
          <t>Nästrot</t>
        </is>
      </c>
      <c r="S235">
        <f>HYPERLINK("https://klasma.github.io/Logging_0980/artfynd/A 24007-2023 artfynd.xlsx", "A 24007-2023")</f>
        <v/>
      </c>
      <c r="T235">
        <f>HYPERLINK("https://klasma.github.io/Logging_0980/kartor/A 24007-2023 karta.png", "A 24007-2023")</f>
        <v/>
      </c>
      <c r="V235">
        <f>HYPERLINK("https://klasma.github.io/Logging_0980/klagomål/A 24007-2023 FSC-klagomål.docx", "A 24007-2023")</f>
        <v/>
      </c>
      <c r="W235">
        <f>HYPERLINK("https://klasma.github.io/Logging_0980/klagomålsmail/A 24007-2023 FSC-klagomål mail.docx", "A 24007-2023")</f>
        <v/>
      </c>
      <c r="X235">
        <f>HYPERLINK("https://klasma.github.io/Logging_0980/tillsyn/A 24007-2023 tillsynsbegäran.docx", "A 24007-2023")</f>
        <v/>
      </c>
      <c r="Y235">
        <f>HYPERLINK("https://klasma.github.io/Logging_0980/tillsynsmail/A 24007-2023 tillsynsbegäran mail.docx", "A 24007-2023")</f>
        <v/>
      </c>
    </row>
    <row r="236" ht="15" customHeight="1">
      <c r="A236" t="inlineStr">
        <is>
          <t>A 27589-2023</t>
        </is>
      </c>
      <c r="B236" s="1" t="n">
        <v>45097</v>
      </c>
      <c r="C236" s="1" t="n">
        <v>45749</v>
      </c>
      <c r="D236" t="inlineStr">
        <is>
          <t>GOTLANDS LÄN</t>
        </is>
      </c>
      <c r="E236" t="inlineStr">
        <is>
          <t>GOTLAND</t>
        </is>
      </c>
      <c r="G236" t="n">
        <v>5.4</v>
      </c>
      <c r="H236" t="n">
        <v>0</v>
      </c>
      <c r="I236" t="n">
        <v>0</v>
      </c>
      <c r="J236" t="n">
        <v>0</v>
      </c>
      <c r="K236" t="n">
        <v>0</v>
      </c>
      <c r="L236" t="n">
        <v>0</v>
      </c>
      <c r="M236" t="n">
        <v>1</v>
      </c>
      <c r="N236" t="n">
        <v>0</v>
      </c>
      <c r="O236" t="n">
        <v>1</v>
      </c>
      <c r="P236" t="n">
        <v>1</v>
      </c>
      <c r="Q236" t="n">
        <v>1</v>
      </c>
      <c r="R236" s="2" t="inlineStr">
        <is>
          <t>Skogsalm</t>
        </is>
      </c>
      <c r="S236">
        <f>HYPERLINK("https://klasma.github.io/Logging_0980/artfynd/A 27589-2023 artfynd.xlsx", "A 27589-2023")</f>
        <v/>
      </c>
      <c r="T236">
        <f>HYPERLINK("https://klasma.github.io/Logging_0980/kartor/A 27589-2023 karta.png", "A 27589-2023")</f>
        <v/>
      </c>
      <c r="V236">
        <f>HYPERLINK("https://klasma.github.io/Logging_0980/klagomål/A 27589-2023 FSC-klagomål.docx", "A 27589-2023")</f>
        <v/>
      </c>
      <c r="W236">
        <f>HYPERLINK("https://klasma.github.io/Logging_0980/klagomålsmail/A 27589-2023 FSC-klagomål mail.docx", "A 27589-2023")</f>
        <v/>
      </c>
      <c r="X236">
        <f>HYPERLINK("https://klasma.github.io/Logging_0980/tillsyn/A 27589-2023 tillsynsbegäran.docx", "A 27589-2023")</f>
        <v/>
      </c>
      <c r="Y236">
        <f>HYPERLINK("https://klasma.github.io/Logging_0980/tillsynsmail/A 27589-2023 tillsynsbegäran mail.docx", "A 27589-2023")</f>
        <v/>
      </c>
    </row>
    <row r="237" ht="15" customHeight="1">
      <c r="A237" t="inlineStr">
        <is>
          <t>A 28546-2023</t>
        </is>
      </c>
      <c r="B237" s="1" t="n">
        <v>45103</v>
      </c>
      <c r="C237" s="1" t="n">
        <v>45749</v>
      </c>
      <c r="D237" t="inlineStr">
        <is>
          <t>GOTLANDS LÄN</t>
        </is>
      </c>
      <c r="E237" t="inlineStr">
        <is>
          <t>GOTLAND</t>
        </is>
      </c>
      <c r="G237" t="n">
        <v>7.9</v>
      </c>
      <c r="H237" t="n">
        <v>1</v>
      </c>
      <c r="I237" t="n">
        <v>0</v>
      </c>
      <c r="J237" t="n">
        <v>0</v>
      </c>
      <c r="K237" t="n">
        <v>0</v>
      </c>
      <c r="L237" t="n">
        <v>0</v>
      </c>
      <c r="M237" t="n">
        <v>0</v>
      </c>
      <c r="N237" t="n">
        <v>0</v>
      </c>
      <c r="O237" t="n">
        <v>0</v>
      </c>
      <c r="P237" t="n">
        <v>0</v>
      </c>
      <c r="Q237" t="n">
        <v>1</v>
      </c>
      <c r="R237" s="2" t="inlineStr">
        <is>
          <t>Äkta lopplummer</t>
        </is>
      </c>
      <c r="S237">
        <f>HYPERLINK("https://klasma.github.io/Logging_0980/artfynd/A 28546-2023 artfynd.xlsx", "A 28546-2023")</f>
        <v/>
      </c>
      <c r="T237">
        <f>HYPERLINK("https://klasma.github.io/Logging_0980/kartor/A 28546-2023 karta.png", "A 28546-2023")</f>
        <v/>
      </c>
      <c r="V237">
        <f>HYPERLINK("https://klasma.github.io/Logging_0980/klagomål/A 28546-2023 FSC-klagomål.docx", "A 28546-2023")</f>
        <v/>
      </c>
      <c r="W237">
        <f>HYPERLINK("https://klasma.github.io/Logging_0980/klagomålsmail/A 28546-2023 FSC-klagomål mail.docx", "A 28546-2023")</f>
        <v/>
      </c>
      <c r="X237">
        <f>HYPERLINK("https://klasma.github.io/Logging_0980/tillsyn/A 28546-2023 tillsynsbegäran.docx", "A 28546-2023")</f>
        <v/>
      </c>
      <c r="Y237">
        <f>HYPERLINK("https://klasma.github.io/Logging_0980/tillsynsmail/A 28546-2023 tillsynsbegäran mail.docx", "A 28546-2023")</f>
        <v/>
      </c>
    </row>
    <row r="238" ht="15" customHeight="1">
      <c r="A238" t="inlineStr">
        <is>
          <t>A 35615-2023</t>
        </is>
      </c>
      <c r="B238" s="1" t="n">
        <v>45147</v>
      </c>
      <c r="C238" s="1" t="n">
        <v>45749</v>
      </c>
      <c r="D238" t="inlineStr">
        <is>
          <t>GOTLANDS LÄN</t>
        </is>
      </c>
      <c r="E238" t="inlineStr">
        <is>
          <t>GOTLAND</t>
        </is>
      </c>
      <c r="G238" t="n">
        <v>6.1</v>
      </c>
      <c r="H238" t="n">
        <v>0</v>
      </c>
      <c r="I238" t="n">
        <v>0</v>
      </c>
      <c r="J238" t="n">
        <v>1</v>
      </c>
      <c r="K238" t="n">
        <v>0</v>
      </c>
      <c r="L238" t="n">
        <v>0</v>
      </c>
      <c r="M238" t="n">
        <v>0</v>
      </c>
      <c r="N238" t="n">
        <v>0</v>
      </c>
      <c r="O238" t="n">
        <v>1</v>
      </c>
      <c r="P238" t="n">
        <v>0</v>
      </c>
      <c r="Q238" t="n">
        <v>1</v>
      </c>
      <c r="R238" s="2" t="inlineStr">
        <is>
          <t>Åkerranunkel</t>
        </is>
      </c>
      <c r="S238">
        <f>HYPERLINK("https://klasma.github.io/Logging_0980/artfynd/A 35615-2023 artfynd.xlsx", "A 35615-2023")</f>
        <v/>
      </c>
      <c r="T238">
        <f>HYPERLINK("https://klasma.github.io/Logging_0980/kartor/A 35615-2023 karta.png", "A 35615-2023")</f>
        <v/>
      </c>
      <c r="V238">
        <f>HYPERLINK("https://klasma.github.io/Logging_0980/klagomål/A 35615-2023 FSC-klagomål.docx", "A 35615-2023")</f>
        <v/>
      </c>
      <c r="W238">
        <f>HYPERLINK("https://klasma.github.io/Logging_0980/klagomålsmail/A 35615-2023 FSC-klagomål mail.docx", "A 35615-2023")</f>
        <v/>
      </c>
      <c r="X238">
        <f>HYPERLINK("https://klasma.github.io/Logging_0980/tillsyn/A 35615-2023 tillsynsbegäran.docx", "A 35615-2023")</f>
        <v/>
      </c>
      <c r="Y238">
        <f>HYPERLINK("https://klasma.github.io/Logging_0980/tillsynsmail/A 35615-2023 tillsynsbegäran mail.docx", "A 35615-2023")</f>
        <v/>
      </c>
    </row>
    <row r="239" ht="15" customHeight="1">
      <c r="A239" t="inlineStr">
        <is>
          <t>A 37584-2023</t>
        </is>
      </c>
      <c r="B239" s="1" t="n">
        <v>45159</v>
      </c>
      <c r="C239" s="1" t="n">
        <v>45749</v>
      </c>
      <c r="D239" t="inlineStr">
        <is>
          <t>GOTLANDS LÄN</t>
        </is>
      </c>
      <c r="E239" t="inlineStr">
        <is>
          <t>GOTLAND</t>
        </is>
      </c>
      <c r="G239" t="n">
        <v>5.4</v>
      </c>
      <c r="H239" t="n">
        <v>0</v>
      </c>
      <c r="I239" t="n">
        <v>1</v>
      </c>
      <c r="J239" t="n">
        <v>0</v>
      </c>
      <c r="K239" t="n">
        <v>0</v>
      </c>
      <c r="L239" t="n">
        <v>0</v>
      </c>
      <c r="M239" t="n">
        <v>0</v>
      </c>
      <c r="N239" t="n">
        <v>0</v>
      </c>
      <c r="O239" t="n">
        <v>0</v>
      </c>
      <c r="P239" t="n">
        <v>0</v>
      </c>
      <c r="Q239" t="n">
        <v>1</v>
      </c>
      <c r="R239" s="2" t="inlineStr">
        <is>
          <t>Myskmadra</t>
        </is>
      </c>
      <c r="S239">
        <f>HYPERLINK("https://klasma.github.io/Logging_0980/artfynd/A 37584-2023 artfynd.xlsx", "A 37584-2023")</f>
        <v/>
      </c>
      <c r="T239">
        <f>HYPERLINK("https://klasma.github.io/Logging_0980/kartor/A 37584-2023 karta.png", "A 37584-2023")</f>
        <v/>
      </c>
      <c r="V239">
        <f>HYPERLINK("https://klasma.github.io/Logging_0980/klagomål/A 37584-2023 FSC-klagomål.docx", "A 37584-2023")</f>
        <v/>
      </c>
      <c r="W239">
        <f>HYPERLINK("https://klasma.github.io/Logging_0980/klagomålsmail/A 37584-2023 FSC-klagomål mail.docx", "A 37584-2023")</f>
        <v/>
      </c>
      <c r="X239">
        <f>HYPERLINK("https://klasma.github.io/Logging_0980/tillsyn/A 37584-2023 tillsynsbegäran.docx", "A 37584-2023")</f>
        <v/>
      </c>
      <c r="Y239">
        <f>HYPERLINK("https://klasma.github.io/Logging_0980/tillsynsmail/A 37584-2023 tillsynsbegäran mail.docx", "A 37584-2023")</f>
        <v/>
      </c>
    </row>
    <row r="240" ht="15" customHeight="1">
      <c r="A240" t="inlineStr">
        <is>
          <t>A 42939-2023</t>
        </is>
      </c>
      <c r="B240" s="1" t="n">
        <v>45182</v>
      </c>
      <c r="C240" s="1" t="n">
        <v>45749</v>
      </c>
      <c r="D240" t="inlineStr">
        <is>
          <t>GOTLANDS LÄN</t>
        </is>
      </c>
      <c r="E240" t="inlineStr">
        <is>
          <t>GOTLAND</t>
        </is>
      </c>
      <c r="G240" t="n">
        <v>7.5</v>
      </c>
      <c r="H240" t="n">
        <v>0</v>
      </c>
      <c r="I240" t="n">
        <v>0</v>
      </c>
      <c r="J240" t="n">
        <v>0</v>
      </c>
      <c r="K240" t="n">
        <v>1</v>
      </c>
      <c r="L240" t="n">
        <v>0</v>
      </c>
      <c r="M240" t="n">
        <v>0</v>
      </c>
      <c r="N240" t="n">
        <v>0</v>
      </c>
      <c r="O240" t="n">
        <v>1</v>
      </c>
      <c r="P240" t="n">
        <v>1</v>
      </c>
      <c r="Q240" t="n">
        <v>1</v>
      </c>
      <c r="R240" s="2" t="inlineStr">
        <is>
          <t>Skogskorn</t>
        </is>
      </c>
      <c r="S240">
        <f>HYPERLINK("https://klasma.github.io/Logging_0980/artfynd/A 42939-2023 artfynd.xlsx", "A 42939-2023")</f>
        <v/>
      </c>
      <c r="T240">
        <f>HYPERLINK("https://klasma.github.io/Logging_0980/kartor/A 42939-2023 karta.png", "A 42939-2023")</f>
        <v/>
      </c>
      <c r="V240">
        <f>HYPERLINK("https://klasma.github.io/Logging_0980/klagomål/A 42939-2023 FSC-klagomål.docx", "A 42939-2023")</f>
        <v/>
      </c>
      <c r="W240">
        <f>HYPERLINK("https://klasma.github.io/Logging_0980/klagomålsmail/A 42939-2023 FSC-klagomål mail.docx", "A 42939-2023")</f>
        <v/>
      </c>
      <c r="X240">
        <f>HYPERLINK("https://klasma.github.io/Logging_0980/tillsyn/A 42939-2023 tillsynsbegäran.docx", "A 42939-2023")</f>
        <v/>
      </c>
      <c r="Y240">
        <f>HYPERLINK("https://klasma.github.io/Logging_0980/tillsynsmail/A 42939-2023 tillsynsbegäran mail.docx", "A 42939-2023")</f>
        <v/>
      </c>
    </row>
    <row r="241" ht="15" customHeight="1">
      <c r="A241" t="inlineStr">
        <is>
          <t>A 43219-2023</t>
        </is>
      </c>
      <c r="B241" s="1" t="n">
        <v>45183</v>
      </c>
      <c r="C241" s="1" t="n">
        <v>45749</v>
      </c>
      <c r="D241" t="inlineStr">
        <is>
          <t>GOTLANDS LÄN</t>
        </is>
      </c>
      <c r="E241" t="inlineStr">
        <is>
          <t>GOTLAND</t>
        </is>
      </c>
      <c r="G241" t="n">
        <v>3.6</v>
      </c>
      <c r="H241" t="n">
        <v>1</v>
      </c>
      <c r="I241" t="n">
        <v>0</v>
      </c>
      <c r="J241" t="n">
        <v>0</v>
      </c>
      <c r="K241" t="n">
        <v>0</v>
      </c>
      <c r="L241" t="n">
        <v>0</v>
      </c>
      <c r="M241" t="n">
        <v>0</v>
      </c>
      <c r="N241" t="n">
        <v>0</v>
      </c>
      <c r="O241" t="n">
        <v>0</v>
      </c>
      <c r="P241" t="n">
        <v>0</v>
      </c>
      <c r="Q241" t="n">
        <v>1</v>
      </c>
      <c r="R241" s="2" t="inlineStr">
        <is>
          <t>Skogsduva</t>
        </is>
      </c>
      <c r="S241">
        <f>HYPERLINK("https://klasma.github.io/Logging_0980/artfynd/A 43219-2023 artfynd.xlsx", "A 43219-2023")</f>
        <v/>
      </c>
      <c r="T241">
        <f>HYPERLINK("https://klasma.github.io/Logging_0980/kartor/A 43219-2023 karta.png", "A 43219-2023")</f>
        <v/>
      </c>
      <c r="V241">
        <f>HYPERLINK("https://klasma.github.io/Logging_0980/klagomål/A 43219-2023 FSC-klagomål.docx", "A 43219-2023")</f>
        <v/>
      </c>
      <c r="W241">
        <f>HYPERLINK("https://klasma.github.io/Logging_0980/klagomålsmail/A 43219-2023 FSC-klagomål mail.docx", "A 43219-2023")</f>
        <v/>
      </c>
      <c r="X241">
        <f>HYPERLINK("https://klasma.github.io/Logging_0980/tillsyn/A 43219-2023 tillsynsbegäran.docx", "A 43219-2023")</f>
        <v/>
      </c>
      <c r="Y241">
        <f>HYPERLINK("https://klasma.github.io/Logging_0980/tillsynsmail/A 43219-2023 tillsynsbegäran mail.docx", "A 43219-2023")</f>
        <v/>
      </c>
      <c r="Z241">
        <f>HYPERLINK("https://klasma.github.io/Logging_0980/fåglar/A 43219-2023 prioriterade fågelarter.docx", "A 43219-2023")</f>
        <v/>
      </c>
    </row>
    <row r="242" ht="15" customHeight="1">
      <c r="A242" t="inlineStr">
        <is>
          <t>A 46527-2023</t>
        </is>
      </c>
      <c r="B242" s="1" t="n">
        <v>45197</v>
      </c>
      <c r="C242" s="1" t="n">
        <v>45749</v>
      </c>
      <c r="D242" t="inlineStr">
        <is>
          <t>GOTLANDS LÄN</t>
        </is>
      </c>
      <c r="E242" t="inlineStr">
        <is>
          <t>GOTLAND</t>
        </is>
      </c>
      <c r="G242" t="n">
        <v>0.9</v>
      </c>
      <c r="H242" t="n">
        <v>0</v>
      </c>
      <c r="I242" t="n">
        <v>0</v>
      </c>
      <c r="J242" t="n">
        <v>1</v>
      </c>
      <c r="K242" t="n">
        <v>0</v>
      </c>
      <c r="L242" t="n">
        <v>0</v>
      </c>
      <c r="M242" t="n">
        <v>0</v>
      </c>
      <c r="N242" t="n">
        <v>0</v>
      </c>
      <c r="O242" t="n">
        <v>1</v>
      </c>
      <c r="P242" t="n">
        <v>0</v>
      </c>
      <c r="Q242" t="n">
        <v>1</v>
      </c>
      <c r="R242" s="2" t="inlineStr">
        <is>
          <t>Guldgräshoppa</t>
        </is>
      </c>
      <c r="S242">
        <f>HYPERLINK("https://klasma.github.io/Logging_0980/artfynd/A 46527-2023 artfynd.xlsx", "A 46527-2023")</f>
        <v/>
      </c>
      <c r="T242">
        <f>HYPERLINK("https://klasma.github.io/Logging_0980/kartor/A 46527-2023 karta.png", "A 46527-2023")</f>
        <v/>
      </c>
      <c r="V242">
        <f>HYPERLINK("https://klasma.github.io/Logging_0980/klagomål/A 46527-2023 FSC-klagomål.docx", "A 46527-2023")</f>
        <v/>
      </c>
      <c r="W242">
        <f>HYPERLINK("https://klasma.github.io/Logging_0980/klagomålsmail/A 46527-2023 FSC-klagomål mail.docx", "A 46527-2023")</f>
        <v/>
      </c>
      <c r="X242">
        <f>HYPERLINK("https://klasma.github.io/Logging_0980/tillsyn/A 46527-2023 tillsynsbegäran.docx", "A 46527-2023")</f>
        <v/>
      </c>
      <c r="Y242">
        <f>HYPERLINK("https://klasma.github.io/Logging_0980/tillsynsmail/A 46527-2023 tillsynsbegäran mail.docx", "A 46527-2023")</f>
        <v/>
      </c>
    </row>
    <row r="243" ht="15" customHeight="1">
      <c r="A243" t="inlineStr">
        <is>
          <t>A 49847-2023</t>
        </is>
      </c>
      <c r="B243" s="1" t="n">
        <v>45212</v>
      </c>
      <c r="C243" s="1" t="n">
        <v>45749</v>
      </c>
      <c r="D243" t="inlineStr">
        <is>
          <t>GOTLANDS LÄN</t>
        </is>
      </c>
      <c r="E243" t="inlineStr">
        <is>
          <t>GOTLAND</t>
        </is>
      </c>
      <c r="G243" t="n">
        <v>35.2</v>
      </c>
      <c r="H243" t="n">
        <v>0</v>
      </c>
      <c r="I243" t="n">
        <v>0</v>
      </c>
      <c r="J243" t="n">
        <v>0</v>
      </c>
      <c r="K243" t="n">
        <v>1</v>
      </c>
      <c r="L243" t="n">
        <v>0</v>
      </c>
      <c r="M243" t="n">
        <v>0</v>
      </c>
      <c r="N243" t="n">
        <v>0</v>
      </c>
      <c r="O243" t="n">
        <v>1</v>
      </c>
      <c r="P243" t="n">
        <v>1</v>
      </c>
      <c r="Q243" t="n">
        <v>1</v>
      </c>
      <c r="R243" s="2" t="inlineStr">
        <is>
          <t>Strandviol</t>
        </is>
      </c>
      <c r="S243">
        <f>HYPERLINK("https://klasma.github.io/Logging_0980/artfynd/A 49847-2023 artfynd.xlsx", "A 49847-2023")</f>
        <v/>
      </c>
      <c r="T243">
        <f>HYPERLINK("https://klasma.github.io/Logging_0980/kartor/A 49847-2023 karta.png", "A 49847-2023")</f>
        <v/>
      </c>
      <c r="V243">
        <f>HYPERLINK("https://klasma.github.io/Logging_0980/klagomål/A 49847-2023 FSC-klagomål.docx", "A 49847-2023")</f>
        <v/>
      </c>
      <c r="W243">
        <f>HYPERLINK("https://klasma.github.io/Logging_0980/klagomålsmail/A 49847-2023 FSC-klagomål mail.docx", "A 49847-2023")</f>
        <v/>
      </c>
      <c r="X243">
        <f>HYPERLINK("https://klasma.github.io/Logging_0980/tillsyn/A 49847-2023 tillsynsbegäran.docx", "A 49847-2023")</f>
        <v/>
      </c>
      <c r="Y243">
        <f>HYPERLINK("https://klasma.github.io/Logging_0980/tillsynsmail/A 49847-2023 tillsynsbegäran mail.docx", "A 49847-2023")</f>
        <v/>
      </c>
    </row>
    <row r="244" ht="15" customHeight="1">
      <c r="A244" t="inlineStr">
        <is>
          <t>A 53907-2023</t>
        </is>
      </c>
      <c r="B244" s="1" t="n">
        <v>45231</v>
      </c>
      <c r="C244" s="1" t="n">
        <v>45749</v>
      </c>
      <c r="D244" t="inlineStr">
        <is>
          <t>GOTLANDS LÄN</t>
        </is>
      </c>
      <c r="E244" t="inlineStr">
        <is>
          <t>GOTLAND</t>
        </is>
      </c>
      <c r="G244" t="n">
        <v>13.7</v>
      </c>
      <c r="H244" t="n">
        <v>0</v>
      </c>
      <c r="I244" t="n">
        <v>0</v>
      </c>
      <c r="J244" t="n">
        <v>0</v>
      </c>
      <c r="K244" t="n">
        <v>1</v>
      </c>
      <c r="L244" t="n">
        <v>0</v>
      </c>
      <c r="M244" t="n">
        <v>0</v>
      </c>
      <c r="N244" t="n">
        <v>0</v>
      </c>
      <c r="O244" t="n">
        <v>1</v>
      </c>
      <c r="P244" t="n">
        <v>1</v>
      </c>
      <c r="Q244" t="n">
        <v>1</v>
      </c>
      <c r="R244" s="2" t="inlineStr">
        <is>
          <t>Granrotspindling</t>
        </is>
      </c>
      <c r="S244">
        <f>HYPERLINK("https://klasma.github.io/Logging_0980/artfynd/A 53907-2023 artfynd.xlsx", "A 53907-2023")</f>
        <v/>
      </c>
      <c r="T244">
        <f>HYPERLINK("https://klasma.github.io/Logging_0980/kartor/A 53907-2023 karta.png", "A 53907-2023")</f>
        <v/>
      </c>
      <c r="V244">
        <f>HYPERLINK("https://klasma.github.io/Logging_0980/klagomål/A 53907-2023 FSC-klagomål.docx", "A 53907-2023")</f>
        <v/>
      </c>
      <c r="W244">
        <f>HYPERLINK("https://klasma.github.io/Logging_0980/klagomålsmail/A 53907-2023 FSC-klagomål mail.docx", "A 53907-2023")</f>
        <v/>
      </c>
      <c r="X244">
        <f>HYPERLINK("https://klasma.github.io/Logging_0980/tillsyn/A 53907-2023 tillsynsbegäran.docx", "A 53907-2023")</f>
        <v/>
      </c>
      <c r="Y244">
        <f>HYPERLINK("https://klasma.github.io/Logging_0980/tillsynsmail/A 53907-2023 tillsynsbegäran mail.docx", "A 53907-2023")</f>
        <v/>
      </c>
    </row>
    <row r="245" ht="15" customHeight="1">
      <c r="A245" t="inlineStr">
        <is>
          <t>A 56304-2023</t>
        </is>
      </c>
      <c r="B245" s="1" t="n">
        <v>45242</v>
      </c>
      <c r="C245" s="1" t="n">
        <v>45749</v>
      </c>
      <c r="D245" t="inlineStr">
        <is>
          <t>GOTLANDS LÄN</t>
        </is>
      </c>
      <c r="E245" t="inlineStr">
        <is>
          <t>GOTLAND</t>
        </is>
      </c>
      <c r="G245" t="n">
        <v>0.9</v>
      </c>
      <c r="H245" t="n">
        <v>1</v>
      </c>
      <c r="I245" t="n">
        <v>0</v>
      </c>
      <c r="J245" t="n">
        <v>0</v>
      </c>
      <c r="K245" t="n">
        <v>1</v>
      </c>
      <c r="L245" t="n">
        <v>0</v>
      </c>
      <c r="M245" t="n">
        <v>0</v>
      </c>
      <c r="N245" t="n">
        <v>0</v>
      </c>
      <c r="O245" t="n">
        <v>1</v>
      </c>
      <c r="P245" t="n">
        <v>1</v>
      </c>
      <c r="Q245" t="n">
        <v>1</v>
      </c>
      <c r="R245" s="2" t="inlineStr">
        <is>
          <t>Garderönn</t>
        </is>
      </c>
      <c r="S245">
        <f>HYPERLINK("https://klasma.github.io/Logging_0980/artfynd/A 56304-2023 artfynd.xlsx", "A 56304-2023")</f>
        <v/>
      </c>
      <c r="T245">
        <f>HYPERLINK("https://klasma.github.io/Logging_0980/kartor/A 56304-2023 karta.png", "A 56304-2023")</f>
        <v/>
      </c>
      <c r="V245">
        <f>HYPERLINK("https://klasma.github.io/Logging_0980/klagomål/A 56304-2023 FSC-klagomål.docx", "A 56304-2023")</f>
        <v/>
      </c>
      <c r="W245">
        <f>HYPERLINK("https://klasma.github.io/Logging_0980/klagomålsmail/A 56304-2023 FSC-klagomål mail.docx", "A 56304-2023")</f>
        <v/>
      </c>
      <c r="X245">
        <f>HYPERLINK("https://klasma.github.io/Logging_0980/tillsyn/A 56304-2023 tillsynsbegäran.docx", "A 56304-2023")</f>
        <v/>
      </c>
      <c r="Y245">
        <f>HYPERLINK("https://klasma.github.io/Logging_0980/tillsynsmail/A 56304-2023 tillsynsbegäran mail.docx", "A 56304-2023")</f>
        <v/>
      </c>
    </row>
    <row r="246" ht="15" customHeight="1">
      <c r="A246" t="inlineStr">
        <is>
          <t>A 61561-2023</t>
        </is>
      </c>
      <c r="B246" s="1" t="n">
        <v>45265</v>
      </c>
      <c r="C246" s="1" t="n">
        <v>45749</v>
      </c>
      <c r="D246" t="inlineStr">
        <is>
          <t>GOTLANDS LÄN</t>
        </is>
      </c>
      <c r="E246" t="inlineStr">
        <is>
          <t>GOTLAND</t>
        </is>
      </c>
      <c r="G246" t="n">
        <v>7.4</v>
      </c>
      <c r="H246" t="n">
        <v>0</v>
      </c>
      <c r="I246" t="n">
        <v>0</v>
      </c>
      <c r="J246" t="n">
        <v>1</v>
      </c>
      <c r="K246" t="n">
        <v>0</v>
      </c>
      <c r="L246" t="n">
        <v>0</v>
      </c>
      <c r="M246" t="n">
        <v>0</v>
      </c>
      <c r="N246" t="n">
        <v>0</v>
      </c>
      <c r="O246" t="n">
        <v>1</v>
      </c>
      <c r="P246" t="n">
        <v>0</v>
      </c>
      <c r="Q246" t="n">
        <v>1</v>
      </c>
      <c r="R246" s="2" t="inlineStr">
        <is>
          <t>Loppstarr</t>
        </is>
      </c>
      <c r="S246">
        <f>HYPERLINK("https://klasma.github.io/Logging_0980/artfynd/A 61561-2023 artfynd.xlsx", "A 61561-2023")</f>
        <v/>
      </c>
      <c r="T246">
        <f>HYPERLINK("https://klasma.github.io/Logging_0980/kartor/A 61561-2023 karta.png", "A 61561-2023")</f>
        <v/>
      </c>
      <c r="V246">
        <f>HYPERLINK("https://klasma.github.io/Logging_0980/klagomål/A 61561-2023 FSC-klagomål.docx", "A 61561-2023")</f>
        <v/>
      </c>
      <c r="W246">
        <f>HYPERLINK("https://klasma.github.io/Logging_0980/klagomålsmail/A 61561-2023 FSC-klagomål mail.docx", "A 61561-2023")</f>
        <v/>
      </c>
      <c r="X246">
        <f>HYPERLINK("https://klasma.github.io/Logging_0980/tillsyn/A 61561-2023 tillsynsbegäran.docx", "A 61561-2023")</f>
        <v/>
      </c>
      <c r="Y246">
        <f>HYPERLINK("https://klasma.github.io/Logging_0980/tillsynsmail/A 61561-2023 tillsynsbegäran mail.docx", "A 61561-2023")</f>
        <v/>
      </c>
    </row>
    <row r="247" ht="15" customHeight="1">
      <c r="A247" t="inlineStr">
        <is>
          <t>A 61846-2023</t>
        </is>
      </c>
      <c r="B247" s="1" t="n">
        <v>45266</v>
      </c>
      <c r="C247" s="1" t="n">
        <v>45749</v>
      </c>
      <c r="D247" t="inlineStr">
        <is>
          <t>GOTLANDS LÄN</t>
        </is>
      </c>
      <c r="E247" t="inlineStr">
        <is>
          <t>GOTLAND</t>
        </is>
      </c>
      <c r="G247" t="n">
        <v>2.2</v>
      </c>
      <c r="H247" t="n">
        <v>1</v>
      </c>
      <c r="I247" t="n">
        <v>0</v>
      </c>
      <c r="J247" t="n">
        <v>1</v>
      </c>
      <c r="K247" t="n">
        <v>0</v>
      </c>
      <c r="L247" t="n">
        <v>0</v>
      </c>
      <c r="M247" t="n">
        <v>0</v>
      </c>
      <c r="N247" t="n">
        <v>0</v>
      </c>
      <c r="O247" t="n">
        <v>1</v>
      </c>
      <c r="P247" t="n">
        <v>0</v>
      </c>
      <c r="Q247" t="n">
        <v>1</v>
      </c>
      <c r="R247" s="2" t="inlineStr">
        <is>
          <t>Rosenfink</t>
        </is>
      </c>
      <c r="S247">
        <f>HYPERLINK("https://klasma.github.io/Logging_0980/artfynd/A 61846-2023 artfynd.xlsx", "A 61846-2023")</f>
        <v/>
      </c>
      <c r="T247">
        <f>HYPERLINK("https://klasma.github.io/Logging_0980/kartor/A 61846-2023 karta.png", "A 61846-2023")</f>
        <v/>
      </c>
      <c r="V247">
        <f>HYPERLINK("https://klasma.github.io/Logging_0980/klagomål/A 61846-2023 FSC-klagomål.docx", "A 61846-2023")</f>
        <v/>
      </c>
      <c r="W247">
        <f>HYPERLINK("https://klasma.github.io/Logging_0980/klagomålsmail/A 61846-2023 FSC-klagomål mail.docx", "A 61846-2023")</f>
        <v/>
      </c>
      <c r="X247">
        <f>HYPERLINK("https://klasma.github.io/Logging_0980/tillsyn/A 61846-2023 tillsynsbegäran.docx", "A 61846-2023")</f>
        <v/>
      </c>
      <c r="Y247">
        <f>HYPERLINK("https://klasma.github.io/Logging_0980/tillsynsmail/A 61846-2023 tillsynsbegäran mail.docx", "A 61846-2023")</f>
        <v/>
      </c>
      <c r="Z247">
        <f>HYPERLINK("https://klasma.github.io/Logging_0980/fåglar/A 61846-2023 prioriterade fågelarter.docx", "A 61846-2023")</f>
        <v/>
      </c>
    </row>
    <row r="248" ht="15" customHeight="1">
      <c r="A248" t="inlineStr">
        <is>
          <t>A 61994-2023</t>
        </is>
      </c>
      <c r="B248" s="1" t="n">
        <v>45266</v>
      </c>
      <c r="C248" s="1" t="n">
        <v>45749</v>
      </c>
      <c r="D248" t="inlineStr">
        <is>
          <t>GOTLANDS LÄN</t>
        </is>
      </c>
      <c r="E248" t="inlineStr">
        <is>
          <t>GOTLAND</t>
        </is>
      </c>
      <c r="G248" t="n">
        <v>2.9</v>
      </c>
      <c r="H248" t="n">
        <v>1</v>
      </c>
      <c r="I248" t="n">
        <v>0</v>
      </c>
      <c r="J248" t="n">
        <v>0</v>
      </c>
      <c r="K248" t="n">
        <v>0</v>
      </c>
      <c r="L248" t="n">
        <v>0</v>
      </c>
      <c r="M248" t="n">
        <v>0</v>
      </c>
      <c r="N248" t="n">
        <v>0</v>
      </c>
      <c r="O248" t="n">
        <v>0</v>
      </c>
      <c r="P248" t="n">
        <v>0</v>
      </c>
      <c r="Q248" t="n">
        <v>1</v>
      </c>
      <c r="R248" s="2" t="inlineStr">
        <is>
          <t>Revlummer</t>
        </is>
      </c>
      <c r="S248">
        <f>HYPERLINK("https://klasma.github.io/Logging_0980/artfynd/A 61994-2023 artfynd.xlsx", "A 61994-2023")</f>
        <v/>
      </c>
      <c r="T248">
        <f>HYPERLINK("https://klasma.github.io/Logging_0980/kartor/A 61994-2023 karta.png", "A 61994-2023")</f>
        <v/>
      </c>
      <c r="V248">
        <f>HYPERLINK("https://klasma.github.io/Logging_0980/klagomål/A 61994-2023 FSC-klagomål.docx", "A 61994-2023")</f>
        <v/>
      </c>
      <c r="W248">
        <f>HYPERLINK("https://klasma.github.io/Logging_0980/klagomålsmail/A 61994-2023 FSC-klagomål mail.docx", "A 61994-2023")</f>
        <v/>
      </c>
      <c r="X248">
        <f>HYPERLINK("https://klasma.github.io/Logging_0980/tillsyn/A 61994-2023 tillsynsbegäran.docx", "A 61994-2023")</f>
        <v/>
      </c>
      <c r="Y248">
        <f>HYPERLINK("https://klasma.github.io/Logging_0980/tillsynsmail/A 61994-2023 tillsynsbegäran mail.docx", "A 61994-2023")</f>
        <v/>
      </c>
    </row>
    <row r="249" ht="15" customHeight="1">
      <c r="A249" t="inlineStr">
        <is>
          <t>A 62376-2023</t>
        </is>
      </c>
      <c r="B249" s="1" t="n">
        <v>45268</v>
      </c>
      <c r="C249" s="1" t="n">
        <v>45749</v>
      </c>
      <c r="D249" t="inlineStr">
        <is>
          <t>GOTLANDS LÄN</t>
        </is>
      </c>
      <c r="E249" t="inlineStr">
        <is>
          <t>GOTLAND</t>
        </is>
      </c>
      <c r="G249" t="n">
        <v>4.2</v>
      </c>
      <c r="H249" t="n">
        <v>1</v>
      </c>
      <c r="I249" t="n">
        <v>0</v>
      </c>
      <c r="J249" t="n">
        <v>0</v>
      </c>
      <c r="K249" t="n">
        <v>0</v>
      </c>
      <c r="L249" t="n">
        <v>0</v>
      </c>
      <c r="M249" t="n">
        <v>0</v>
      </c>
      <c r="N249" t="n">
        <v>0</v>
      </c>
      <c r="O249" t="n">
        <v>0</v>
      </c>
      <c r="P249" t="n">
        <v>0</v>
      </c>
      <c r="Q249" t="n">
        <v>1</v>
      </c>
      <c r="R249" s="2" t="inlineStr">
        <is>
          <t>Fläcknycklar</t>
        </is>
      </c>
      <c r="S249">
        <f>HYPERLINK("https://klasma.github.io/Logging_0980/artfynd/A 62376-2023 artfynd.xlsx", "A 62376-2023")</f>
        <v/>
      </c>
      <c r="T249">
        <f>HYPERLINK("https://klasma.github.io/Logging_0980/kartor/A 62376-2023 karta.png", "A 62376-2023")</f>
        <v/>
      </c>
      <c r="V249">
        <f>HYPERLINK("https://klasma.github.io/Logging_0980/klagomål/A 62376-2023 FSC-klagomål.docx", "A 62376-2023")</f>
        <v/>
      </c>
      <c r="W249">
        <f>HYPERLINK("https://klasma.github.io/Logging_0980/klagomålsmail/A 62376-2023 FSC-klagomål mail.docx", "A 62376-2023")</f>
        <v/>
      </c>
      <c r="X249">
        <f>HYPERLINK("https://klasma.github.io/Logging_0980/tillsyn/A 62376-2023 tillsynsbegäran.docx", "A 62376-2023")</f>
        <v/>
      </c>
      <c r="Y249">
        <f>HYPERLINK("https://klasma.github.io/Logging_0980/tillsynsmail/A 62376-2023 tillsynsbegäran mail.docx", "A 62376-2023")</f>
        <v/>
      </c>
    </row>
    <row r="250" ht="15" customHeight="1">
      <c r="A250" t="inlineStr">
        <is>
          <t>A 63515-2023</t>
        </is>
      </c>
      <c r="B250" s="1" t="n">
        <v>45274</v>
      </c>
      <c r="C250" s="1" t="n">
        <v>45749</v>
      </c>
      <c r="D250" t="inlineStr">
        <is>
          <t>GOTLANDS LÄN</t>
        </is>
      </c>
      <c r="E250" t="inlineStr">
        <is>
          <t>GOTLAND</t>
        </is>
      </c>
      <c r="G250" t="n">
        <v>2.1</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63515-2023 artfynd.xlsx", "A 63515-2023")</f>
        <v/>
      </c>
      <c r="T250">
        <f>HYPERLINK("https://klasma.github.io/Logging_0980/kartor/A 63515-2023 karta.png", "A 63515-2023")</f>
        <v/>
      </c>
      <c r="V250">
        <f>HYPERLINK("https://klasma.github.io/Logging_0980/klagomål/A 63515-2023 FSC-klagomål.docx", "A 63515-2023")</f>
        <v/>
      </c>
      <c r="W250">
        <f>HYPERLINK("https://klasma.github.io/Logging_0980/klagomålsmail/A 63515-2023 FSC-klagomål mail.docx", "A 63515-2023")</f>
        <v/>
      </c>
      <c r="X250">
        <f>HYPERLINK("https://klasma.github.io/Logging_0980/tillsyn/A 63515-2023 tillsynsbegäran.docx", "A 63515-2023")</f>
        <v/>
      </c>
      <c r="Y250">
        <f>HYPERLINK("https://klasma.github.io/Logging_0980/tillsynsmail/A 63515-2023 tillsynsbegäran mail.docx", "A 63515-2023")</f>
        <v/>
      </c>
    </row>
    <row r="251" ht="15" customHeight="1">
      <c r="A251" t="inlineStr">
        <is>
          <t>A 63302-2023</t>
        </is>
      </c>
      <c r="B251" s="1" t="n">
        <v>45274</v>
      </c>
      <c r="C251" s="1" t="n">
        <v>45749</v>
      </c>
      <c r="D251" t="inlineStr">
        <is>
          <t>GOTLANDS LÄN</t>
        </is>
      </c>
      <c r="E251" t="inlineStr">
        <is>
          <t>GOTLAND</t>
        </is>
      </c>
      <c r="G251" t="n">
        <v>1.3</v>
      </c>
      <c r="H251" t="n">
        <v>1</v>
      </c>
      <c r="I251" t="n">
        <v>0</v>
      </c>
      <c r="J251" t="n">
        <v>0</v>
      </c>
      <c r="K251" t="n">
        <v>0</v>
      </c>
      <c r="L251" t="n">
        <v>0</v>
      </c>
      <c r="M251" t="n">
        <v>0</v>
      </c>
      <c r="N251" t="n">
        <v>0</v>
      </c>
      <c r="O251" t="n">
        <v>0</v>
      </c>
      <c r="P251" t="n">
        <v>0</v>
      </c>
      <c r="Q251" t="n">
        <v>1</v>
      </c>
      <c r="R251" s="2" t="inlineStr">
        <is>
          <t>Nattskärra</t>
        </is>
      </c>
      <c r="S251">
        <f>HYPERLINK("https://klasma.github.io/Logging_0980/artfynd/A 63302-2023 artfynd.xlsx", "A 63302-2023")</f>
        <v/>
      </c>
      <c r="T251">
        <f>HYPERLINK("https://klasma.github.io/Logging_0980/kartor/A 63302-2023 karta.png", "A 63302-2023")</f>
        <v/>
      </c>
      <c r="V251">
        <f>HYPERLINK("https://klasma.github.io/Logging_0980/klagomål/A 63302-2023 FSC-klagomål.docx", "A 63302-2023")</f>
        <v/>
      </c>
      <c r="W251">
        <f>HYPERLINK("https://klasma.github.io/Logging_0980/klagomålsmail/A 63302-2023 FSC-klagomål mail.docx", "A 63302-2023")</f>
        <v/>
      </c>
      <c r="X251">
        <f>HYPERLINK("https://klasma.github.io/Logging_0980/tillsyn/A 63302-2023 tillsynsbegäran.docx", "A 63302-2023")</f>
        <v/>
      </c>
      <c r="Y251">
        <f>HYPERLINK("https://klasma.github.io/Logging_0980/tillsynsmail/A 63302-2023 tillsynsbegäran mail.docx", "A 63302-2023")</f>
        <v/>
      </c>
      <c r="Z251">
        <f>HYPERLINK("https://klasma.github.io/Logging_0980/fåglar/A 63302-2023 prioriterade fågelarter.docx", "A 63302-2023")</f>
        <v/>
      </c>
    </row>
    <row r="252" ht="15" customHeight="1">
      <c r="A252" t="inlineStr">
        <is>
          <t>A 2534-2024</t>
        </is>
      </c>
      <c r="B252" s="1" t="n">
        <v>45313</v>
      </c>
      <c r="C252" s="1" t="n">
        <v>45749</v>
      </c>
      <c r="D252" t="inlineStr">
        <is>
          <t>GOTLANDS LÄN</t>
        </is>
      </c>
      <c r="E252" t="inlineStr">
        <is>
          <t>GOTLAND</t>
        </is>
      </c>
      <c r="G252" t="n">
        <v>1</v>
      </c>
      <c r="H252" t="n">
        <v>0</v>
      </c>
      <c r="I252" t="n">
        <v>0</v>
      </c>
      <c r="J252" t="n">
        <v>0</v>
      </c>
      <c r="K252" t="n">
        <v>0</v>
      </c>
      <c r="L252" t="n">
        <v>1</v>
      </c>
      <c r="M252" t="n">
        <v>0</v>
      </c>
      <c r="N252" t="n">
        <v>0</v>
      </c>
      <c r="O252" t="n">
        <v>1</v>
      </c>
      <c r="P252" t="n">
        <v>1</v>
      </c>
      <c r="Q252" t="n">
        <v>1</v>
      </c>
      <c r="R252" s="2" t="inlineStr">
        <is>
          <t>Ryl</t>
        </is>
      </c>
      <c r="S252">
        <f>HYPERLINK("https://klasma.github.io/Logging_0980/artfynd/A 2534-2024 artfynd.xlsx", "A 2534-2024")</f>
        <v/>
      </c>
      <c r="T252">
        <f>HYPERLINK("https://klasma.github.io/Logging_0980/kartor/A 2534-2024 karta.png", "A 2534-2024")</f>
        <v/>
      </c>
      <c r="V252">
        <f>HYPERLINK("https://klasma.github.io/Logging_0980/klagomål/A 2534-2024 FSC-klagomål.docx", "A 2534-2024")</f>
        <v/>
      </c>
      <c r="W252">
        <f>HYPERLINK("https://klasma.github.io/Logging_0980/klagomålsmail/A 2534-2024 FSC-klagomål mail.docx", "A 2534-2024")</f>
        <v/>
      </c>
      <c r="X252">
        <f>HYPERLINK("https://klasma.github.io/Logging_0980/tillsyn/A 2534-2024 tillsynsbegäran.docx", "A 2534-2024")</f>
        <v/>
      </c>
      <c r="Y252">
        <f>HYPERLINK("https://klasma.github.io/Logging_0980/tillsynsmail/A 2534-2024 tillsynsbegäran mail.docx", "A 2534-2024")</f>
        <v/>
      </c>
    </row>
    <row r="253" ht="15" customHeight="1">
      <c r="A253" t="inlineStr">
        <is>
          <t>A 6303-2024</t>
        </is>
      </c>
      <c r="B253" s="1" t="n">
        <v>45338</v>
      </c>
      <c r="C253" s="1" t="n">
        <v>45749</v>
      </c>
      <c r="D253" t="inlineStr">
        <is>
          <t>GOTLANDS LÄN</t>
        </is>
      </c>
      <c r="E253" t="inlineStr">
        <is>
          <t>GOTLAND</t>
        </is>
      </c>
      <c r="G253" t="n">
        <v>0.6</v>
      </c>
      <c r="H253" t="n">
        <v>0</v>
      </c>
      <c r="I253" t="n">
        <v>1</v>
      </c>
      <c r="J253" t="n">
        <v>0</v>
      </c>
      <c r="K253" t="n">
        <v>0</v>
      </c>
      <c r="L253" t="n">
        <v>0</v>
      </c>
      <c r="M253" t="n">
        <v>0</v>
      </c>
      <c r="N253" t="n">
        <v>0</v>
      </c>
      <c r="O253" t="n">
        <v>0</v>
      </c>
      <c r="P253" t="n">
        <v>0</v>
      </c>
      <c r="Q253" t="n">
        <v>1</v>
      </c>
      <c r="R253" s="2" t="inlineStr">
        <is>
          <t>Strävlosta</t>
        </is>
      </c>
      <c r="S253">
        <f>HYPERLINK("https://klasma.github.io/Logging_0980/artfynd/A 6303-2024 artfynd.xlsx", "A 6303-2024")</f>
        <v/>
      </c>
      <c r="T253">
        <f>HYPERLINK("https://klasma.github.io/Logging_0980/kartor/A 6303-2024 karta.png", "A 6303-2024")</f>
        <v/>
      </c>
      <c r="V253">
        <f>HYPERLINK("https://klasma.github.io/Logging_0980/klagomål/A 6303-2024 FSC-klagomål.docx", "A 6303-2024")</f>
        <v/>
      </c>
      <c r="W253">
        <f>HYPERLINK("https://klasma.github.io/Logging_0980/klagomålsmail/A 6303-2024 FSC-klagomål mail.docx", "A 6303-2024")</f>
        <v/>
      </c>
      <c r="X253">
        <f>HYPERLINK("https://klasma.github.io/Logging_0980/tillsyn/A 6303-2024 tillsynsbegäran.docx", "A 6303-2024")</f>
        <v/>
      </c>
      <c r="Y253">
        <f>HYPERLINK("https://klasma.github.io/Logging_0980/tillsynsmail/A 6303-2024 tillsynsbegäran mail.docx", "A 6303-2024")</f>
        <v/>
      </c>
    </row>
    <row r="254" ht="15" customHeight="1">
      <c r="A254" t="inlineStr">
        <is>
          <t>A 8291-2024</t>
        </is>
      </c>
      <c r="B254" s="1" t="n">
        <v>45352</v>
      </c>
      <c r="C254" s="1" t="n">
        <v>45749</v>
      </c>
      <c r="D254" t="inlineStr">
        <is>
          <t>GOTLANDS LÄN</t>
        </is>
      </c>
      <c r="E254" t="inlineStr">
        <is>
          <t>GOTLAND</t>
        </is>
      </c>
      <c r="G254" t="n">
        <v>5.4</v>
      </c>
      <c r="H254" t="n">
        <v>1</v>
      </c>
      <c r="I254" t="n">
        <v>0</v>
      </c>
      <c r="J254" t="n">
        <v>1</v>
      </c>
      <c r="K254" t="n">
        <v>0</v>
      </c>
      <c r="L254" t="n">
        <v>0</v>
      </c>
      <c r="M254" t="n">
        <v>0</v>
      </c>
      <c r="N254" t="n">
        <v>0</v>
      </c>
      <c r="O254" t="n">
        <v>1</v>
      </c>
      <c r="P254" t="n">
        <v>0</v>
      </c>
      <c r="Q254" t="n">
        <v>1</v>
      </c>
      <c r="R254" s="2" t="inlineStr">
        <is>
          <t>Ärtsångare</t>
        </is>
      </c>
      <c r="S254">
        <f>HYPERLINK("https://klasma.github.io/Logging_0980/artfynd/A 8291-2024 artfynd.xlsx", "A 8291-2024")</f>
        <v/>
      </c>
      <c r="T254">
        <f>HYPERLINK("https://klasma.github.io/Logging_0980/kartor/A 8291-2024 karta.png", "A 8291-2024")</f>
        <v/>
      </c>
      <c r="V254">
        <f>HYPERLINK("https://klasma.github.io/Logging_0980/klagomål/A 8291-2024 FSC-klagomål.docx", "A 8291-2024")</f>
        <v/>
      </c>
      <c r="W254">
        <f>HYPERLINK("https://klasma.github.io/Logging_0980/klagomålsmail/A 8291-2024 FSC-klagomål mail.docx", "A 8291-2024")</f>
        <v/>
      </c>
      <c r="X254">
        <f>HYPERLINK("https://klasma.github.io/Logging_0980/tillsyn/A 8291-2024 tillsynsbegäran.docx", "A 8291-2024")</f>
        <v/>
      </c>
      <c r="Y254">
        <f>HYPERLINK("https://klasma.github.io/Logging_0980/tillsynsmail/A 8291-2024 tillsynsbegäran mail.docx", "A 8291-2024")</f>
        <v/>
      </c>
      <c r="Z254">
        <f>HYPERLINK("https://klasma.github.io/Logging_0980/fåglar/A 8291-2024 prioriterade fågelarter.docx", "A 8291-2024")</f>
        <v/>
      </c>
    </row>
    <row r="255" ht="15" customHeight="1">
      <c r="A255" t="inlineStr">
        <is>
          <t>A 9862-2024</t>
        </is>
      </c>
      <c r="B255" s="1" t="n">
        <v>45363</v>
      </c>
      <c r="C255" s="1" t="n">
        <v>45749</v>
      </c>
      <c r="D255" t="inlineStr">
        <is>
          <t>GOTLANDS LÄN</t>
        </is>
      </c>
      <c r="E255" t="inlineStr">
        <is>
          <t>GOTLAND</t>
        </is>
      </c>
      <c r="G255" t="n">
        <v>3.5</v>
      </c>
      <c r="H255" t="n">
        <v>1</v>
      </c>
      <c r="I255" t="n">
        <v>0</v>
      </c>
      <c r="J255" t="n">
        <v>0</v>
      </c>
      <c r="K255" t="n">
        <v>0</v>
      </c>
      <c r="L255" t="n">
        <v>0</v>
      </c>
      <c r="M255" t="n">
        <v>0</v>
      </c>
      <c r="N255" t="n">
        <v>0</v>
      </c>
      <c r="O255" t="n">
        <v>0</v>
      </c>
      <c r="P255" t="n">
        <v>0</v>
      </c>
      <c r="Q255" t="n">
        <v>1</v>
      </c>
      <c r="R255" s="2" t="inlineStr">
        <is>
          <t>Nattviol</t>
        </is>
      </c>
      <c r="S255">
        <f>HYPERLINK("https://klasma.github.io/Logging_0980/artfynd/A 9862-2024 artfynd.xlsx", "A 9862-2024")</f>
        <v/>
      </c>
      <c r="T255">
        <f>HYPERLINK("https://klasma.github.io/Logging_0980/kartor/A 9862-2024 karta.png", "A 9862-2024")</f>
        <v/>
      </c>
      <c r="V255">
        <f>HYPERLINK("https://klasma.github.io/Logging_0980/klagomål/A 9862-2024 FSC-klagomål.docx", "A 9862-2024")</f>
        <v/>
      </c>
      <c r="W255">
        <f>HYPERLINK("https://klasma.github.io/Logging_0980/klagomålsmail/A 9862-2024 FSC-klagomål mail.docx", "A 9862-2024")</f>
        <v/>
      </c>
      <c r="X255">
        <f>HYPERLINK("https://klasma.github.io/Logging_0980/tillsyn/A 9862-2024 tillsynsbegäran.docx", "A 9862-2024")</f>
        <v/>
      </c>
      <c r="Y255">
        <f>HYPERLINK("https://klasma.github.io/Logging_0980/tillsynsmail/A 9862-2024 tillsynsbegäran mail.docx", "A 9862-2024")</f>
        <v/>
      </c>
    </row>
    <row r="256" ht="15" customHeight="1">
      <c r="A256" t="inlineStr">
        <is>
          <t>A 10440-2024</t>
        </is>
      </c>
      <c r="B256" s="1" t="n">
        <v>45366</v>
      </c>
      <c r="C256" s="1" t="n">
        <v>45749</v>
      </c>
      <c r="D256" t="inlineStr">
        <is>
          <t>GOTLANDS LÄN</t>
        </is>
      </c>
      <c r="E256" t="inlineStr">
        <is>
          <t>GOTLAND</t>
        </is>
      </c>
      <c r="G256" t="n">
        <v>2.5</v>
      </c>
      <c r="H256" t="n">
        <v>1</v>
      </c>
      <c r="I256" t="n">
        <v>0</v>
      </c>
      <c r="J256" t="n">
        <v>1</v>
      </c>
      <c r="K256" t="n">
        <v>0</v>
      </c>
      <c r="L256" t="n">
        <v>0</v>
      </c>
      <c r="M256" t="n">
        <v>0</v>
      </c>
      <c r="N256" t="n">
        <v>0</v>
      </c>
      <c r="O256" t="n">
        <v>1</v>
      </c>
      <c r="P256" t="n">
        <v>0</v>
      </c>
      <c r="Q256" t="n">
        <v>1</v>
      </c>
      <c r="R256" s="2" t="inlineStr">
        <is>
          <t>Mindre hackspett</t>
        </is>
      </c>
      <c r="S256">
        <f>HYPERLINK("https://klasma.github.io/Logging_0980/artfynd/A 10440-2024 artfynd.xlsx", "A 10440-2024")</f>
        <v/>
      </c>
      <c r="T256">
        <f>HYPERLINK("https://klasma.github.io/Logging_0980/kartor/A 10440-2024 karta.png", "A 10440-2024")</f>
        <v/>
      </c>
      <c r="V256">
        <f>HYPERLINK("https://klasma.github.io/Logging_0980/klagomål/A 10440-2024 FSC-klagomål.docx", "A 10440-2024")</f>
        <v/>
      </c>
      <c r="W256">
        <f>HYPERLINK("https://klasma.github.io/Logging_0980/klagomålsmail/A 10440-2024 FSC-klagomål mail.docx", "A 10440-2024")</f>
        <v/>
      </c>
      <c r="X256">
        <f>HYPERLINK("https://klasma.github.io/Logging_0980/tillsyn/A 10440-2024 tillsynsbegäran.docx", "A 10440-2024")</f>
        <v/>
      </c>
      <c r="Y256">
        <f>HYPERLINK("https://klasma.github.io/Logging_0980/tillsynsmail/A 10440-2024 tillsynsbegäran mail.docx", "A 10440-2024")</f>
        <v/>
      </c>
      <c r="Z256">
        <f>HYPERLINK("https://klasma.github.io/Logging_0980/fåglar/A 10440-2024 prioriterade fågelarter.docx", "A 10440-2024")</f>
        <v/>
      </c>
    </row>
    <row r="257" ht="15" customHeight="1">
      <c r="A257" t="inlineStr">
        <is>
          <t>A 12379-2024</t>
        </is>
      </c>
      <c r="B257" s="1" t="n">
        <v>45379</v>
      </c>
      <c r="C257" s="1" t="n">
        <v>45749</v>
      </c>
      <c r="D257" t="inlineStr">
        <is>
          <t>GOTLANDS LÄN</t>
        </is>
      </c>
      <c r="E257" t="inlineStr">
        <is>
          <t>GOTLAND</t>
        </is>
      </c>
      <c r="G257" t="n">
        <v>4.4</v>
      </c>
      <c r="H257" t="n">
        <v>0</v>
      </c>
      <c r="I257" t="n">
        <v>0</v>
      </c>
      <c r="J257" t="n">
        <v>1</v>
      </c>
      <c r="K257" t="n">
        <v>0</v>
      </c>
      <c r="L257" t="n">
        <v>0</v>
      </c>
      <c r="M257" t="n">
        <v>0</v>
      </c>
      <c r="N257" t="n">
        <v>0</v>
      </c>
      <c r="O257" t="n">
        <v>1</v>
      </c>
      <c r="P257" t="n">
        <v>0</v>
      </c>
      <c r="Q257" t="n">
        <v>1</v>
      </c>
      <c r="R257" s="2" t="inlineStr">
        <is>
          <t>Svinrot</t>
        </is>
      </c>
      <c r="S257">
        <f>HYPERLINK("https://klasma.github.io/Logging_0980/artfynd/A 12379-2024 artfynd.xlsx", "A 12379-2024")</f>
        <v/>
      </c>
      <c r="T257">
        <f>HYPERLINK("https://klasma.github.io/Logging_0980/kartor/A 12379-2024 karta.png", "A 12379-2024")</f>
        <v/>
      </c>
      <c r="V257">
        <f>HYPERLINK("https://klasma.github.io/Logging_0980/klagomål/A 12379-2024 FSC-klagomål.docx", "A 12379-2024")</f>
        <v/>
      </c>
      <c r="W257">
        <f>HYPERLINK("https://klasma.github.io/Logging_0980/klagomålsmail/A 12379-2024 FSC-klagomål mail.docx", "A 12379-2024")</f>
        <v/>
      </c>
      <c r="X257">
        <f>HYPERLINK("https://klasma.github.io/Logging_0980/tillsyn/A 12379-2024 tillsynsbegäran.docx", "A 12379-2024")</f>
        <v/>
      </c>
      <c r="Y257">
        <f>HYPERLINK("https://klasma.github.io/Logging_0980/tillsynsmail/A 12379-2024 tillsynsbegäran mail.docx", "A 12379-2024")</f>
        <v/>
      </c>
    </row>
    <row r="258" ht="15" customHeight="1">
      <c r="A258" t="inlineStr">
        <is>
          <t>A 15629-2024</t>
        </is>
      </c>
      <c r="B258" s="1" t="n">
        <v>45402</v>
      </c>
      <c r="C258" s="1" t="n">
        <v>45749</v>
      </c>
      <c r="D258" t="inlineStr">
        <is>
          <t>GOTLANDS LÄN</t>
        </is>
      </c>
      <c r="E258" t="inlineStr">
        <is>
          <t>GOTLAND</t>
        </is>
      </c>
      <c r="G258" t="n">
        <v>6.3</v>
      </c>
      <c r="H258" t="n">
        <v>1</v>
      </c>
      <c r="I258" t="n">
        <v>0</v>
      </c>
      <c r="J258" t="n">
        <v>1</v>
      </c>
      <c r="K258" t="n">
        <v>0</v>
      </c>
      <c r="L258" t="n">
        <v>0</v>
      </c>
      <c r="M258" t="n">
        <v>0</v>
      </c>
      <c r="N258" t="n">
        <v>0</v>
      </c>
      <c r="O258" t="n">
        <v>1</v>
      </c>
      <c r="P258" t="n">
        <v>0</v>
      </c>
      <c r="Q258" t="n">
        <v>1</v>
      </c>
      <c r="R258" s="2" t="inlineStr">
        <is>
          <t>Apollofjäril</t>
        </is>
      </c>
      <c r="S258">
        <f>HYPERLINK("https://klasma.github.io/Logging_0980/artfynd/A 15629-2024 artfynd.xlsx", "A 15629-2024")</f>
        <v/>
      </c>
      <c r="T258">
        <f>HYPERLINK("https://klasma.github.io/Logging_0980/kartor/A 15629-2024 karta.png", "A 15629-2024")</f>
        <v/>
      </c>
      <c r="V258">
        <f>HYPERLINK("https://klasma.github.io/Logging_0980/klagomål/A 15629-2024 FSC-klagomål.docx", "A 15629-2024")</f>
        <v/>
      </c>
      <c r="W258">
        <f>HYPERLINK("https://klasma.github.io/Logging_0980/klagomålsmail/A 15629-2024 FSC-klagomål mail.docx", "A 15629-2024")</f>
        <v/>
      </c>
      <c r="X258">
        <f>HYPERLINK("https://klasma.github.io/Logging_0980/tillsyn/A 15629-2024 tillsynsbegäran.docx", "A 15629-2024")</f>
        <v/>
      </c>
      <c r="Y258">
        <f>HYPERLINK("https://klasma.github.io/Logging_0980/tillsynsmail/A 15629-2024 tillsynsbegäran mail.docx", "A 15629-2024")</f>
        <v/>
      </c>
    </row>
    <row r="259" ht="15" customHeight="1">
      <c r="A259" t="inlineStr">
        <is>
          <t>A 15637-2024</t>
        </is>
      </c>
      <c r="B259" s="1" t="n">
        <v>45403</v>
      </c>
      <c r="C259" s="1" t="n">
        <v>45749</v>
      </c>
      <c r="D259" t="inlineStr">
        <is>
          <t>GOTLANDS LÄN</t>
        </is>
      </c>
      <c r="E259" t="inlineStr">
        <is>
          <t>GOTLAND</t>
        </is>
      </c>
      <c r="G259" t="n">
        <v>4.1</v>
      </c>
      <c r="H259" t="n">
        <v>1</v>
      </c>
      <c r="I259" t="n">
        <v>0</v>
      </c>
      <c r="J259" t="n">
        <v>0</v>
      </c>
      <c r="K259" t="n">
        <v>0</v>
      </c>
      <c r="L259" t="n">
        <v>0</v>
      </c>
      <c r="M259" t="n">
        <v>0</v>
      </c>
      <c r="N259" t="n">
        <v>0</v>
      </c>
      <c r="O259" t="n">
        <v>0</v>
      </c>
      <c r="P259" t="n">
        <v>0</v>
      </c>
      <c r="Q259" t="n">
        <v>1</v>
      </c>
      <c r="R259" s="2" t="inlineStr">
        <is>
          <t>Blåsippa</t>
        </is>
      </c>
      <c r="S259">
        <f>HYPERLINK("https://klasma.github.io/Logging_0980/artfynd/A 15637-2024 artfynd.xlsx", "A 15637-2024")</f>
        <v/>
      </c>
      <c r="T259">
        <f>HYPERLINK("https://klasma.github.io/Logging_0980/kartor/A 15637-2024 karta.png", "A 15637-2024")</f>
        <v/>
      </c>
      <c r="V259">
        <f>HYPERLINK("https://klasma.github.io/Logging_0980/klagomål/A 15637-2024 FSC-klagomål.docx", "A 15637-2024")</f>
        <v/>
      </c>
      <c r="W259">
        <f>HYPERLINK("https://klasma.github.io/Logging_0980/klagomålsmail/A 15637-2024 FSC-klagomål mail.docx", "A 15637-2024")</f>
        <v/>
      </c>
      <c r="X259">
        <f>HYPERLINK("https://klasma.github.io/Logging_0980/tillsyn/A 15637-2024 tillsynsbegäran.docx", "A 15637-2024")</f>
        <v/>
      </c>
      <c r="Y259">
        <f>HYPERLINK("https://klasma.github.io/Logging_0980/tillsynsmail/A 15637-2024 tillsynsbegäran mail.docx", "A 15637-2024")</f>
        <v/>
      </c>
    </row>
    <row r="260" ht="15" customHeight="1">
      <c r="A260" t="inlineStr">
        <is>
          <t>A 17681-2024</t>
        </is>
      </c>
      <c r="B260" s="1" t="n">
        <v>45418</v>
      </c>
      <c r="C260" s="1" t="n">
        <v>45749</v>
      </c>
      <c r="D260" t="inlineStr">
        <is>
          <t>GOTLANDS LÄN</t>
        </is>
      </c>
      <c r="E260" t="inlineStr">
        <is>
          <t>GOTLAND</t>
        </is>
      </c>
      <c r="G260" t="n">
        <v>1.9</v>
      </c>
      <c r="H260" t="n">
        <v>0</v>
      </c>
      <c r="I260" t="n">
        <v>0</v>
      </c>
      <c r="J260" t="n">
        <v>1</v>
      </c>
      <c r="K260" t="n">
        <v>0</v>
      </c>
      <c r="L260" t="n">
        <v>0</v>
      </c>
      <c r="M260" t="n">
        <v>0</v>
      </c>
      <c r="N260" t="n">
        <v>0</v>
      </c>
      <c r="O260" t="n">
        <v>1</v>
      </c>
      <c r="P260" t="n">
        <v>0</v>
      </c>
      <c r="Q260" t="n">
        <v>1</v>
      </c>
      <c r="R260" s="2" t="inlineStr">
        <is>
          <t>Igelkott</t>
        </is>
      </c>
      <c r="S260">
        <f>HYPERLINK("https://klasma.github.io/Logging_0980/artfynd/A 17681-2024 artfynd.xlsx", "A 17681-2024")</f>
        <v/>
      </c>
      <c r="T260">
        <f>HYPERLINK("https://klasma.github.io/Logging_0980/kartor/A 17681-2024 karta.png", "A 17681-2024")</f>
        <v/>
      </c>
      <c r="V260">
        <f>HYPERLINK("https://klasma.github.io/Logging_0980/klagomål/A 17681-2024 FSC-klagomål.docx", "A 17681-2024")</f>
        <v/>
      </c>
      <c r="W260">
        <f>HYPERLINK("https://klasma.github.io/Logging_0980/klagomålsmail/A 17681-2024 FSC-klagomål mail.docx", "A 17681-2024")</f>
        <v/>
      </c>
      <c r="X260">
        <f>HYPERLINK("https://klasma.github.io/Logging_0980/tillsyn/A 17681-2024 tillsynsbegäran.docx", "A 17681-2024")</f>
        <v/>
      </c>
      <c r="Y260">
        <f>HYPERLINK("https://klasma.github.io/Logging_0980/tillsynsmail/A 17681-2024 tillsynsbegäran mail.docx", "A 17681-2024")</f>
        <v/>
      </c>
    </row>
    <row r="261" ht="15" customHeight="1">
      <c r="A261" t="inlineStr">
        <is>
          <t>A 17727-2024</t>
        </is>
      </c>
      <c r="B261" s="1" t="n">
        <v>45418</v>
      </c>
      <c r="C261" s="1" t="n">
        <v>45749</v>
      </c>
      <c r="D261" t="inlineStr">
        <is>
          <t>GOTLANDS LÄN</t>
        </is>
      </c>
      <c r="E261" t="inlineStr">
        <is>
          <t>GOTLAND</t>
        </is>
      </c>
      <c r="G261" t="n">
        <v>1</v>
      </c>
      <c r="H261" t="n">
        <v>0</v>
      </c>
      <c r="I261" t="n">
        <v>0</v>
      </c>
      <c r="J261" t="n">
        <v>1</v>
      </c>
      <c r="K261" t="n">
        <v>0</v>
      </c>
      <c r="L261" t="n">
        <v>0</v>
      </c>
      <c r="M261" t="n">
        <v>0</v>
      </c>
      <c r="N261" t="n">
        <v>0</v>
      </c>
      <c r="O261" t="n">
        <v>1</v>
      </c>
      <c r="P261" t="n">
        <v>0</v>
      </c>
      <c r="Q261" t="n">
        <v>1</v>
      </c>
      <c r="R261" s="2" t="inlineStr">
        <is>
          <t>Åkerranunkel</t>
        </is>
      </c>
      <c r="S261">
        <f>HYPERLINK("https://klasma.github.io/Logging_0980/artfynd/A 17727-2024 artfynd.xlsx", "A 17727-2024")</f>
        <v/>
      </c>
      <c r="T261">
        <f>HYPERLINK("https://klasma.github.io/Logging_0980/kartor/A 17727-2024 karta.png", "A 17727-2024")</f>
        <v/>
      </c>
      <c r="V261">
        <f>HYPERLINK("https://klasma.github.io/Logging_0980/klagomål/A 17727-2024 FSC-klagomål.docx", "A 17727-2024")</f>
        <v/>
      </c>
      <c r="W261">
        <f>HYPERLINK("https://klasma.github.io/Logging_0980/klagomålsmail/A 17727-2024 FSC-klagomål mail.docx", "A 17727-2024")</f>
        <v/>
      </c>
      <c r="X261">
        <f>HYPERLINK("https://klasma.github.io/Logging_0980/tillsyn/A 17727-2024 tillsynsbegäran.docx", "A 17727-2024")</f>
        <v/>
      </c>
      <c r="Y261">
        <f>HYPERLINK("https://klasma.github.io/Logging_0980/tillsynsmail/A 17727-2024 tillsynsbegäran mail.docx", "A 17727-2024")</f>
        <v/>
      </c>
    </row>
    <row r="262" ht="15" customHeight="1">
      <c r="A262" t="inlineStr">
        <is>
          <t>A 20831-2024</t>
        </is>
      </c>
      <c r="B262" s="1" t="n">
        <v>45439</v>
      </c>
      <c r="C262" s="1" t="n">
        <v>45749</v>
      </c>
      <c r="D262" t="inlineStr">
        <is>
          <t>GOTLANDS LÄN</t>
        </is>
      </c>
      <c r="E262" t="inlineStr">
        <is>
          <t>GOTLAND</t>
        </is>
      </c>
      <c r="G262" t="n">
        <v>2.9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20831-2024 artfynd.xlsx", "A 20831-2024")</f>
        <v/>
      </c>
      <c r="T262">
        <f>HYPERLINK("https://klasma.github.io/Logging_0980/kartor/A 20831-2024 karta.png", "A 20831-2024")</f>
        <v/>
      </c>
      <c r="V262">
        <f>HYPERLINK("https://klasma.github.io/Logging_0980/klagomål/A 20831-2024 FSC-klagomål.docx", "A 20831-2024")</f>
        <v/>
      </c>
      <c r="W262">
        <f>HYPERLINK("https://klasma.github.io/Logging_0980/klagomålsmail/A 20831-2024 FSC-klagomål mail.docx", "A 20831-2024")</f>
        <v/>
      </c>
      <c r="X262">
        <f>HYPERLINK("https://klasma.github.io/Logging_0980/tillsyn/A 20831-2024 tillsynsbegäran.docx", "A 20831-2024")</f>
        <v/>
      </c>
      <c r="Y262">
        <f>HYPERLINK("https://klasma.github.io/Logging_0980/tillsynsmail/A 20831-2024 tillsynsbegäran mail.docx", "A 20831-2024")</f>
        <v/>
      </c>
    </row>
    <row r="263" ht="15" customHeight="1">
      <c r="A263" t="inlineStr">
        <is>
          <t>A 20838-2024</t>
        </is>
      </c>
      <c r="B263" s="1" t="n">
        <v>45439</v>
      </c>
      <c r="C263" s="1" t="n">
        <v>45749</v>
      </c>
      <c r="D263" t="inlineStr">
        <is>
          <t>GOTLANDS LÄN</t>
        </is>
      </c>
      <c r="E263" t="inlineStr">
        <is>
          <t>GOTLAND</t>
        </is>
      </c>
      <c r="G263" t="n">
        <v>0.7</v>
      </c>
      <c r="H263" t="n">
        <v>1</v>
      </c>
      <c r="I263" t="n">
        <v>1</v>
      </c>
      <c r="J263" t="n">
        <v>0</v>
      </c>
      <c r="K263" t="n">
        <v>0</v>
      </c>
      <c r="L263" t="n">
        <v>0</v>
      </c>
      <c r="M263" t="n">
        <v>0</v>
      </c>
      <c r="N263" t="n">
        <v>0</v>
      </c>
      <c r="O263" t="n">
        <v>0</v>
      </c>
      <c r="P263" t="n">
        <v>0</v>
      </c>
      <c r="Q263" t="n">
        <v>1</v>
      </c>
      <c r="R263" s="2" t="inlineStr">
        <is>
          <t>Skogsknipprot</t>
        </is>
      </c>
      <c r="S263">
        <f>HYPERLINK("https://klasma.github.io/Logging_0980/artfynd/A 20838-2024 artfynd.xlsx", "A 20838-2024")</f>
        <v/>
      </c>
      <c r="T263">
        <f>HYPERLINK("https://klasma.github.io/Logging_0980/kartor/A 20838-2024 karta.png", "A 20838-2024")</f>
        <v/>
      </c>
      <c r="V263">
        <f>HYPERLINK("https://klasma.github.io/Logging_0980/klagomål/A 20838-2024 FSC-klagomål.docx", "A 20838-2024")</f>
        <v/>
      </c>
      <c r="W263">
        <f>HYPERLINK("https://klasma.github.io/Logging_0980/klagomålsmail/A 20838-2024 FSC-klagomål mail.docx", "A 20838-2024")</f>
        <v/>
      </c>
      <c r="X263">
        <f>HYPERLINK("https://klasma.github.io/Logging_0980/tillsyn/A 20838-2024 tillsynsbegäran.docx", "A 20838-2024")</f>
        <v/>
      </c>
      <c r="Y263">
        <f>HYPERLINK("https://klasma.github.io/Logging_0980/tillsynsmail/A 20838-2024 tillsynsbegäran mail.docx", "A 20838-2024")</f>
        <v/>
      </c>
    </row>
    <row r="264" ht="15" customHeight="1">
      <c r="A264" t="inlineStr">
        <is>
          <t>A 20833-2024</t>
        </is>
      </c>
      <c r="B264" s="1" t="n">
        <v>45439</v>
      </c>
      <c r="C264" s="1" t="n">
        <v>45749</v>
      </c>
      <c r="D264" t="inlineStr">
        <is>
          <t>GOTLANDS LÄN</t>
        </is>
      </c>
      <c r="E264" t="inlineStr">
        <is>
          <t>GOTLAND</t>
        </is>
      </c>
      <c r="G264" t="n">
        <v>0.9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20833-2024 artfynd.xlsx", "A 20833-2024")</f>
        <v/>
      </c>
      <c r="T264">
        <f>HYPERLINK("https://klasma.github.io/Logging_0980/kartor/A 20833-2024 karta.png", "A 20833-2024")</f>
        <v/>
      </c>
      <c r="V264">
        <f>HYPERLINK("https://klasma.github.io/Logging_0980/klagomål/A 20833-2024 FSC-klagomål.docx", "A 20833-2024")</f>
        <v/>
      </c>
      <c r="W264">
        <f>HYPERLINK("https://klasma.github.io/Logging_0980/klagomålsmail/A 20833-2024 FSC-klagomål mail.docx", "A 20833-2024")</f>
        <v/>
      </c>
      <c r="X264">
        <f>HYPERLINK("https://klasma.github.io/Logging_0980/tillsyn/A 20833-2024 tillsynsbegäran.docx", "A 20833-2024")</f>
        <v/>
      </c>
      <c r="Y264">
        <f>HYPERLINK("https://klasma.github.io/Logging_0980/tillsynsmail/A 20833-2024 tillsynsbegäran mail.docx", "A 20833-2024")</f>
        <v/>
      </c>
    </row>
    <row r="265" ht="15" customHeight="1">
      <c r="A265" t="inlineStr">
        <is>
          <t>A 25977-2024</t>
        </is>
      </c>
      <c r="B265" s="1" t="n">
        <v>45467</v>
      </c>
      <c r="C265" s="1" t="n">
        <v>45749</v>
      </c>
      <c r="D265" t="inlineStr">
        <is>
          <t>GOTLANDS LÄN</t>
        </is>
      </c>
      <c r="E265" t="inlineStr">
        <is>
          <t>GOTLAND</t>
        </is>
      </c>
      <c r="G265" t="n">
        <v>3</v>
      </c>
      <c r="H265" t="n">
        <v>1</v>
      </c>
      <c r="I265" t="n">
        <v>0</v>
      </c>
      <c r="J265" t="n">
        <v>0</v>
      </c>
      <c r="K265" t="n">
        <v>0</v>
      </c>
      <c r="L265" t="n">
        <v>0</v>
      </c>
      <c r="M265" t="n">
        <v>0</v>
      </c>
      <c r="N265" t="n">
        <v>0</v>
      </c>
      <c r="O265" t="n">
        <v>0</v>
      </c>
      <c r="P265" t="n">
        <v>0</v>
      </c>
      <c r="Q265" t="n">
        <v>1</v>
      </c>
      <c r="R265" s="2" t="inlineStr">
        <is>
          <t>Nattviol</t>
        </is>
      </c>
      <c r="S265">
        <f>HYPERLINK("https://klasma.github.io/Logging_0980/artfynd/A 25977-2024 artfynd.xlsx", "A 25977-2024")</f>
        <v/>
      </c>
      <c r="T265">
        <f>HYPERLINK("https://klasma.github.io/Logging_0980/kartor/A 25977-2024 karta.png", "A 25977-2024")</f>
        <v/>
      </c>
      <c r="V265">
        <f>HYPERLINK("https://klasma.github.io/Logging_0980/klagomål/A 25977-2024 FSC-klagomål.docx", "A 25977-2024")</f>
        <v/>
      </c>
      <c r="W265">
        <f>HYPERLINK("https://klasma.github.io/Logging_0980/klagomålsmail/A 25977-2024 FSC-klagomål mail.docx", "A 25977-2024")</f>
        <v/>
      </c>
      <c r="X265">
        <f>HYPERLINK("https://klasma.github.io/Logging_0980/tillsyn/A 25977-2024 tillsynsbegäran.docx", "A 25977-2024")</f>
        <v/>
      </c>
      <c r="Y265">
        <f>HYPERLINK("https://klasma.github.io/Logging_0980/tillsynsmail/A 25977-2024 tillsynsbegäran mail.docx", "A 25977-2024")</f>
        <v/>
      </c>
    </row>
    <row r="266" ht="15" customHeight="1">
      <c r="A266" t="inlineStr">
        <is>
          <t>A 30892-2024</t>
        </is>
      </c>
      <c r="B266" s="1" t="n">
        <v>45491</v>
      </c>
      <c r="C266" s="1" t="n">
        <v>45749</v>
      </c>
      <c r="D266" t="inlineStr">
        <is>
          <t>GOTLANDS LÄN</t>
        </is>
      </c>
      <c r="E266" t="inlineStr">
        <is>
          <t>GOTLAND</t>
        </is>
      </c>
      <c r="G266" t="n">
        <v>16.3</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30892-2024 artfynd.xlsx", "A 30892-2024")</f>
        <v/>
      </c>
      <c r="T266">
        <f>HYPERLINK("https://klasma.github.io/Logging_0980/kartor/A 30892-2024 karta.png", "A 30892-2024")</f>
        <v/>
      </c>
      <c r="V266">
        <f>HYPERLINK("https://klasma.github.io/Logging_0980/klagomål/A 30892-2024 FSC-klagomål.docx", "A 30892-2024")</f>
        <v/>
      </c>
      <c r="W266">
        <f>HYPERLINK("https://klasma.github.io/Logging_0980/klagomålsmail/A 30892-2024 FSC-klagomål mail.docx", "A 30892-2024")</f>
        <v/>
      </c>
      <c r="X266">
        <f>HYPERLINK("https://klasma.github.io/Logging_0980/tillsyn/A 30892-2024 tillsynsbegäran.docx", "A 30892-2024")</f>
        <v/>
      </c>
      <c r="Y266">
        <f>HYPERLINK("https://klasma.github.io/Logging_0980/tillsynsmail/A 30892-2024 tillsynsbegäran mail.docx", "A 30892-2024")</f>
        <v/>
      </c>
    </row>
    <row r="267" ht="15" customHeight="1">
      <c r="A267" t="inlineStr">
        <is>
          <t>A 30410-2024</t>
        </is>
      </c>
      <c r="B267" s="1" t="n">
        <v>45491</v>
      </c>
      <c r="C267" s="1" t="n">
        <v>45749</v>
      </c>
      <c r="D267" t="inlineStr">
        <is>
          <t>GOTLANDS LÄN</t>
        </is>
      </c>
      <c r="E267" t="inlineStr">
        <is>
          <t>GOTLAND</t>
        </is>
      </c>
      <c r="G267" t="n">
        <v>4</v>
      </c>
      <c r="H267" t="n">
        <v>0</v>
      </c>
      <c r="I267" t="n">
        <v>0</v>
      </c>
      <c r="J267" t="n">
        <v>1</v>
      </c>
      <c r="K267" t="n">
        <v>0</v>
      </c>
      <c r="L267" t="n">
        <v>0</v>
      </c>
      <c r="M267" t="n">
        <v>0</v>
      </c>
      <c r="N267" t="n">
        <v>0</v>
      </c>
      <c r="O267" t="n">
        <v>1</v>
      </c>
      <c r="P267" t="n">
        <v>0</v>
      </c>
      <c r="Q267" t="n">
        <v>1</v>
      </c>
      <c r="R267" s="2" t="inlineStr">
        <is>
          <t>Granticka</t>
        </is>
      </c>
      <c r="S267">
        <f>HYPERLINK("https://klasma.github.io/Logging_0980/artfynd/A 30410-2024 artfynd.xlsx", "A 30410-2024")</f>
        <v/>
      </c>
      <c r="T267">
        <f>HYPERLINK("https://klasma.github.io/Logging_0980/kartor/A 30410-2024 karta.png", "A 30410-2024")</f>
        <v/>
      </c>
      <c r="V267">
        <f>HYPERLINK("https://klasma.github.io/Logging_0980/klagomål/A 30410-2024 FSC-klagomål.docx", "A 30410-2024")</f>
        <v/>
      </c>
      <c r="W267">
        <f>HYPERLINK("https://klasma.github.io/Logging_0980/klagomålsmail/A 30410-2024 FSC-klagomål mail.docx", "A 30410-2024")</f>
        <v/>
      </c>
      <c r="X267">
        <f>HYPERLINK("https://klasma.github.io/Logging_0980/tillsyn/A 30410-2024 tillsynsbegäran.docx", "A 30410-2024")</f>
        <v/>
      </c>
      <c r="Y267">
        <f>HYPERLINK("https://klasma.github.io/Logging_0980/tillsynsmail/A 30410-2024 tillsynsbegäran mail.docx", "A 30410-2024")</f>
        <v/>
      </c>
    </row>
    <row r="268" ht="15" customHeight="1">
      <c r="A268" t="inlineStr">
        <is>
          <t>A 31750-2024</t>
        </is>
      </c>
      <c r="B268" s="1" t="n">
        <v>45509</v>
      </c>
      <c r="C268" s="1" t="n">
        <v>45749</v>
      </c>
      <c r="D268" t="inlineStr">
        <is>
          <t>GOTLANDS LÄN</t>
        </is>
      </c>
      <c r="E268" t="inlineStr">
        <is>
          <t>GOTLAND</t>
        </is>
      </c>
      <c r="G268" t="n">
        <v>10.3</v>
      </c>
      <c r="H268" t="n">
        <v>1</v>
      </c>
      <c r="I268" t="n">
        <v>0</v>
      </c>
      <c r="J268" t="n">
        <v>1</v>
      </c>
      <c r="K268" t="n">
        <v>0</v>
      </c>
      <c r="L268" t="n">
        <v>0</v>
      </c>
      <c r="M268" t="n">
        <v>0</v>
      </c>
      <c r="N268" t="n">
        <v>0</v>
      </c>
      <c r="O268" t="n">
        <v>1</v>
      </c>
      <c r="P268" t="n">
        <v>0</v>
      </c>
      <c r="Q268" t="n">
        <v>1</v>
      </c>
      <c r="R268" s="2" t="inlineStr">
        <is>
          <t>Grönsångare</t>
        </is>
      </c>
      <c r="S268">
        <f>HYPERLINK("https://klasma.github.io/Logging_0980/artfynd/A 31750-2024 artfynd.xlsx", "A 31750-2024")</f>
        <v/>
      </c>
      <c r="T268">
        <f>HYPERLINK("https://klasma.github.io/Logging_0980/kartor/A 31750-2024 karta.png", "A 31750-2024")</f>
        <v/>
      </c>
      <c r="V268">
        <f>HYPERLINK("https://klasma.github.io/Logging_0980/klagomål/A 31750-2024 FSC-klagomål.docx", "A 31750-2024")</f>
        <v/>
      </c>
      <c r="W268">
        <f>HYPERLINK("https://klasma.github.io/Logging_0980/klagomålsmail/A 31750-2024 FSC-klagomål mail.docx", "A 31750-2024")</f>
        <v/>
      </c>
      <c r="X268">
        <f>HYPERLINK("https://klasma.github.io/Logging_0980/tillsyn/A 31750-2024 tillsynsbegäran.docx", "A 31750-2024")</f>
        <v/>
      </c>
      <c r="Y268">
        <f>HYPERLINK("https://klasma.github.io/Logging_0980/tillsynsmail/A 31750-2024 tillsynsbegäran mail.docx", "A 31750-2024")</f>
        <v/>
      </c>
      <c r="Z268">
        <f>HYPERLINK("https://klasma.github.io/Logging_0980/fåglar/A 31750-2024 prioriterade fågelarter.docx", "A 31750-2024")</f>
        <v/>
      </c>
    </row>
    <row r="269" ht="15" customHeight="1">
      <c r="A269" t="inlineStr">
        <is>
          <t>A 33081-2024</t>
        </is>
      </c>
      <c r="B269" s="1" t="n">
        <v>45517</v>
      </c>
      <c r="C269" s="1" t="n">
        <v>45749</v>
      </c>
      <c r="D269" t="inlineStr">
        <is>
          <t>GOTLANDS LÄN</t>
        </is>
      </c>
      <c r="E269" t="inlineStr">
        <is>
          <t>GOTLAND</t>
        </is>
      </c>
      <c r="G269" t="n">
        <v>1.4</v>
      </c>
      <c r="H269" t="n">
        <v>0</v>
      </c>
      <c r="I269" t="n">
        <v>0</v>
      </c>
      <c r="J269" t="n">
        <v>0</v>
      </c>
      <c r="K269" t="n">
        <v>1</v>
      </c>
      <c r="L269" t="n">
        <v>0</v>
      </c>
      <c r="M269" t="n">
        <v>0</v>
      </c>
      <c r="N269" t="n">
        <v>0</v>
      </c>
      <c r="O269" t="n">
        <v>1</v>
      </c>
      <c r="P269" t="n">
        <v>1</v>
      </c>
      <c r="Q269" t="n">
        <v>1</v>
      </c>
      <c r="R269" s="2" t="inlineStr">
        <is>
          <t>Gotlandsmåra</t>
        </is>
      </c>
      <c r="S269">
        <f>HYPERLINK("https://klasma.github.io/Logging_0980/artfynd/A 33081-2024 artfynd.xlsx", "A 33081-2024")</f>
        <v/>
      </c>
      <c r="T269">
        <f>HYPERLINK("https://klasma.github.io/Logging_0980/kartor/A 33081-2024 karta.png", "A 33081-2024")</f>
        <v/>
      </c>
      <c r="V269">
        <f>HYPERLINK("https://klasma.github.io/Logging_0980/klagomål/A 33081-2024 FSC-klagomål.docx", "A 33081-2024")</f>
        <v/>
      </c>
      <c r="W269">
        <f>HYPERLINK("https://klasma.github.io/Logging_0980/klagomålsmail/A 33081-2024 FSC-klagomål mail.docx", "A 33081-2024")</f>
        <v/>
      </c>
      <c r="X269">
        <f>HYPERLINK("https://klasma.github.io/Logging_0980/tillsyn/A 33081-2024 tillsynsbegäran.docx", "A 33081-2024")</f>
        <v/>
      </c>
      <c r="Y269">
        <f>HYPERLINK("https://klasma.github.io/Logging_0980/tillsynsmail/A 33081-2024 tillsynsbegäran mail.docx", "A 33081-2024")</f>
        <v/>
      </c>
    </row>
    <row r="270" ht="15" customHeight="1">
      <c r="A270" t="inlineStr">
        <is>
          <t>A 34141-2024</t>
        </is>
      </c>
      <c r="B270" s="1" t="n">
        <v>45524</v>
      </c>
      <c r="C270" s="1" t="n">
        <v>45749</v>
      </c>
      <c r="D270" t="inlineStr">
        <is>
          <t>GOTLANDS LÄN</t>
        </is>
      </c>
      <c r="E270" t="inlineStr">
        <is>
          <t>GOTLAND</t>
        </is>
      </c>
      <c r="G270" t="n">
        <v>0.9</v>
      </c>
      <c r="H270" t="n">
        <v>0</v>
      </c>
      <c r="I270" t="n">
        <v>1</v>
      </c>
      <c r="J270" t="n">
        <v>0</v>
      </c>
      <c r="K270" t="n">
        <v>0</v>
      </c>
      <c r="L270" t="n">
        <v>0</v>
      </c>
      <c r="M270" t="n">
        <v>0</v>
      </c>
      <c r="N270" t="n">
        <v>0</v>
      </c>
      <c r="O270" t="n">
        <v>0</v>
      </c>
      <c r="P270" t="n">
        <v>0</v>
      </c>
      <c r="Q270" t="n">
        <v>1</v>
      </c>
      <c r="R270" s="2" t="inlineStr">
        <is>
          <t>Strävlosta</t>
        </is>
      </c>
      <c r="S270">
        <f>HYPERLINK("https://klasma.github.io/Logging_0980/artfynd/A 34141-2024 artfynd.xlsx", "A 34141-2024")</f>
        <v/>
      </c>
      <c r="T270">
        <f>HYPERLINK("https://klasma.github.io/Logging_0980/kartor/A 34141-2024 karta.png", "A 34141-2024")</f>
        <v/>
      </c>
      <c r="V270">
        <f>HYPERLINK("https://klasma.github.io/Logging_0980/klagomål/A 34141-2024 FSC-klagomål.docx", "A 34141-2024")</f>
        <v/>
      </c>
      <c r="W270">
        <f>HYPERLINK("https://klasma.github.io/Logging_0980/klagomålsmail/A 34141-2024 FSC-klagomål mail.docx", "A 34141-2024")</f>
        <v/>
      </c>
      <c r="X270">
        <f>HYPERLINK("https://klasma.github.io/Logging_0980/tillsyn/A 34141-2024 tillsynsbegäran.docx", "A 34141-2024")</f>
        <v/>
      </c>
      <c r="Y270">
        <f>HYPERLINK("https://klasma.github.io/Logging_0980/tillsynsmail/A 34141-2024 tillsynsbegäran mail.docx", "A 34141-2024")</f>
        <v/>
      </c>
    </row>
    <row r="271" ht="15" customHeight="1">
      <c r="A271" t="inlineStr">
        <is>
          <t>A 34809-2024</t>
        </is>
      </c>
      <c r="B271" s="1" t="n">
        <v>45526</v>
      </c>
      <c r="C271" s="1" t="n">
        <v>45749</v>
      </c>
      <c r="D271" t="inlineStr">
        <is>
          <t>GOTLANDS LÄN</t>
        </is>
      </c>
      <c r="E271" t="inlineStr">
        <is>
          <t>GOTLAND</t>
        </is>
      </c>
      <c r="G271" t="n">
        <v>9.9</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34809-2024 artfynd.xlsx", "A 34809-2024")</f>
        <v/>
      </c>
      <c r="T271">
        <f>HYPERLINK("https://klasma.github.io/Logging_0980/kartor/A 34809-2024 karta.png", "A 34809-2024")</f>
        <v/>
      </c>
      <c r="V271">
        <f>HYPERLINK("https://klasma.github.io/Logging_0980/klagomål/A 34809-2024 FSC-klagomål.docx", "A 34809-2024")</f>
        <v/>
      </c>
      <c r="W271">
        <f>HYPERLINK("https://klasma.github.io/Logging_0980/klagomålsmail/A 34809-2024 FSC-klagomål mail.docx", "A 34809-2024")</f>
        <v/>
      </c>
      <c r="X271">
        <f>HYPERLINK("https://klasma.github.io/Logging_0980/tillsyn/A 34809-2024 tillsynsbegäran.docx", "A 34809-2024")</f>
        <v/>
      </c>
      <c r="Y271">
        <f>HYPERLINK("https://klasma.github.io/Logging_0980/tillsynsmail/A 34809-2024 tillsynsbegäran mail.docx", "A 34809-2024")</f>
        <v/>
      </c>
    </row>
    <row r="272" ht="15" customHeight="1">
      <c r="A272" t="inlineStr">
        <is>
          <t>A 35574-2024</t>
        </is>
      </c>
      <c r="B272" s="1" t="n">
        <v>45531</v>
      </c>
      <c r="C272" s="1" t="n">
        <v>45749</v>
      </c>
      <c r="D272" t="inlineStr">
        <is>
          <t>GOTLANDS LÄN</t>
        </is>
      </c>
      <c r="E272" t="inlineStr">
        <is>
          <t>GOTLAND</t>
        </is>
      </c>
      <c r="G272" t="n">
        <v>5.7</v>
      </c>
      <c r="H272" t="n">
        <v>0</v>
      </c>
      <c r="I272" t="n">
        <v>1</v>
      </c>
      <c r="J272" t="n">
        <v>0</v>
      </c>
      <c r="K272" t="n">
        <v>0</v>
      </c>
      <c r="L272" t="n">
        <v>0</v>
      </c>
      <c r="M272" t="n">
        <v>0</v>
      </c>
      <c r="N272" t="n">
        <v>0</v>
      </c>
      <c r="O272" t="n">
        <v>0</v>
      </c>
      <c r="P272" t="n">
        <v>0</v>
      </c>
      <c r="Q272" t="n">
        <v>1</v>
      </c>
      <c r="R272" s="2" t="inlineStr">
        <is>
          <t>Murgröna</t>
        </is>
      </c>
      <c r="S272">
        <f>HYPERLINK("https://klasma.github.io/Logging_0980/artfynd/A 35574-2024 artfynd.xlsx", "A 35574-2024")</f>
        <v/>
      </c>
      <c r="T272">
        <f>HYPERLINK("https://klasma.github.io/Logging_0980/kartor/A 35574-2024 karta.png", "A 35574-2024")</f>
        <v/>
      </c>
      <c r="V272">
        <f>HYPERLINK("https://klasma.github.io/Logging_0980/klagomål/A 35574-2024 FSC-klagomål.docx", "A 35574-2024")</f>
        <v/>
      </c>
      <c r="W272">
        <f>HYPERLINK("https://klasma.github.io/Logging_0980/klagomålsmail/A 35574-2024 FSC-klagomål mail.docx", "A 35574-2024")</f>
        <v/>
      </c>
      <c r="X272">
        <f>HYPERLINK("https://klasma.github.io/Logging_0980/tillsyn/A 35574-2024 tillsynsbegäran.docx", "A 35574-2024")</f>
        <v/>
      </c>
      <c r="Y272">
        <f>HYPERLINK("https://klasma.github.io/Logging_0980/tillsynsmail/A 35574-2024 tillsynsbegäran mail.docx", "A 35574-2024")</f>
        <v/>
      </c>
    </row>
    <row r="273" ht="15" customHeight="1">
      <c r="A273" t="inlineStr">
        <is>
          <t>A 40805-2024</t>
        </is>
      </c>
      <c r="B273" s="1" t="n">
        <v>45558</v>
      </c>
      <c r="C273" s="1" t="n">
        <v>45749</v>
      </c>
      <c r="D273" t="inlineStr">
        <is>
          <t>GOTLANDS LÄN</t>
        </is>
      </c>
      <c r="E273" t="inlineStr">
        <is>
          <t>GOTLAND</t>
        </is>
      </c>
      <c r="G273" t="n">
        <v>13.2</v>
      </c>
      <c r="H273" t="n">
        <v>1</v>
      </c>
      <c r="I273" t="n">
        <v>1</v>
      </c>
      <c r="J273" t="n">
        <v>0</v>
      </c>
      <c r="K273" t="n">
        <v>0</v>
      </c>
      <c r="L273" t="n">
        <v>0</v>
      </c>
      <c r="M273" t="n">
        <v>0</v>
      </c>
      <c r="N273" t="n">
        <v>0</v>
      </c>
      <c r="O273" t="n">
        <v>0</v>
      </c>
      <c r="P273" t="n">
        <v>0</v>
      </c>
      <c r="Q273" t="n">
        <v>1</v>
      </c>
      <c r="R273" s="2" t="inlineStr">
        <is>
          <t>Skogsknipprot</t>
        </is>
      </c>
      <c r="S273">
        <f>HYPERLINK("https://klasma.github.io/Logging_0980/artfynd/A 40805-2024 artfynd.xlsx", "A 40805-2024")</f>
        <v/>
      </c>
      <c r="T273">
        <f>HYPERLINK("https://klasma.github.io/Logging_0980/kartor/A 40805-2024 karta.png", "A 40805-2024")</f>
        <v/>
      </c>
      <c r="V273">
        <f>HYPERLINK("https://klasma.github.io/Logging_0980/klagomål/A 40805-2024 FSC-klagomål.docx", "A 40805-2024")</f>
        <v/>
      </c>
      <c r="W273">
        <f>HYPERLINK("https://klasma.github.io/Logging_0980/klagomålsmail/A 40805-2024 FSC-klagomål mail.docx", "A 40805-2024")</f>
        <v/>
      </c>
      <c r="X273">
        <f>HYPERLINK("https://klasma.github.io/Logging_0980/tillsyn/A 40805-2024 tillsynsbegäran.docx", "A 40805-2024")</f>
        <v/>
      </c>
      <c r="Y273">
        <f>HYPERLINK("https://klasma.github.io/Logging_0980/tillsynsmail/A 40805-2024 tillsynsbegäran mail.docx", "A 40805-2024")</f>
        <v/>
      </c>
    </row>
    <row r="274" ht="15" customHeight="1">
      <c r="A274" t="inlineStr">
        <is>
          <t>A 44468-2024</t>
        </is>
      </c>
      <c r="B274" s="1" t="n">
        <v>45574</v>
      </c>
      <c r="C274" s="1" t="n">
        <v>45749</v>
      </c>
      <c r="D274" t="inlineStr">
        <is>
          <t>GOTLANDS LÄN</t>
        </is>
      </c>
      <c r="E274" t="inlineStr">
        <is>
          <t>GOTLAND</t>
        </is>
      </c>
      <c r="G274" t="n">
        <v>7</v>
      </c>
      <c r="H274" t="n">
        <v>0</v>
      </c>
      <c r="I274" t="n">
        <v>0</v>
      </c>
      <c r="J274" t="n">
        <v>0</v>
      </c>
      <c r="K274" t="n">
        <v>0</v>
      </c>
      <c r="L274" t="n">
        <v>0</v>
      </c>
      <c r="M274" t="n">
        <v>1</v>
      </c>
      <c r="N274" t="n">
        <v>0</v>
      </c>
      <c r="O274" t="n">
        <v>1</v>
      </c>
      <c r="P274" t="n">
        <v>1</v>
      </c>
      <c r="Q274" t="n">
        <v>1</v>
      </c>
      <c r="R274" s="2" t="inlineStr">
        <is>
          <t>Skogsalm</t>
        </is>
      </c>
      <c r="S274">
        <f>HYPERLINK("https://klasma.github.io/Logging_0980/artfynd/A 44468-2024 artfynd.xlsx", "A 44468-2024")</f>
        <v/>
      </c>
      <c r="T274">
        <f>HYPERLINK("https://klasma.github.io/Logging_0980/kartor/A 44468-2024 karta.png", "A 44468-2024")</f>
        <v/>
      </c>
      <c r="V274">
        <f>HYPERLINK("https://klasma.github.io/Logging_0980/klagomål/A 44468-2024 FSC-klagomål.docx", "A 44468-2024")</f>
        <v/>
      </c>
      <c r="W274">
        <f>HYPERLINK("https://klasma.github.io/Logging_0980/klagomålsmail/A 44468-2024 FSC-klagomål mail.docx", "A 44468-2024")</f>
        <v/>
      </c>
      <c r="X274">
        <f>HYPERLINK("https://klasma.github.io/Logging_0980/tillsyn/A 44468-2024 tillsynsbegäran.docx", "A 44468-2024")</f>
        <v/>
      </c>
      <c r="Y274">
        <f>HYPERLINK("https://klasma.github.io/Logging_0980/tillsynsmail/A 44468-2024 tillsynsbegäran mail.docx", "A 44468-2024")</f>
        <v/>
      </c>
    </row>
    <row r="275" ht="15" customHeight="1">
      <c r="A275" t="inlineStr">
        <is>
          <t>A 49304-2024</t>
        </is>
      </c>
      <c r="B275" s="1" t="n">
        <v>45595</v>
      </c>
      <c r="C275" s="1" t="n">
        <v>45749</v>
      </c>
      <c r="D275" t="inlineStr">
        <is>
          <t>GOTLANDS LÄN</t>
        </is>
      </c>
      <c r="E275" t="inlineStr">
        <is>
          <t>GOTLAND</t>
        </is>
      </c>
      <c r="G275" t="n">
        <v>10.8</v>
      </c>
      <c r="H275" t="n">
        <v>0</v>
      </c>
      <c r="I275" t="n">
        <v>0</v>
      </c>
      <c r="J275" t="n">
        <v>1</v>
      </c>
      <c r="K275" t="n">
        <v>0</v>
      </c>
      <c r="L275" t="n">
        <v>0</v>
      </c>
      <c r="M275" t="n">
        <v>0</v>
      </c>
      <c r="N275" t="n">
        <v>0</v>
      </c>
      <c r="O275" t="n">
        <v>1</v>
      </c>
      <c r="P275" t="n">
        <v>0</v>
      </c>
      <c r="Q275" t="n">
        <v>1</v>
      </c>
      <c r="R275" s="2" t="inlineStr">
        <is>
          <t>Åkerranunkel</t>
        </is>
      </c>
      <c r="S275">
        <f>HYPERLINK("https://klasma.github.io/Logging_0980/artfynd/A 49304-2024 artfynd.xlsx", "A 49304-2024")</f>
        <v/>
      </c>
      <c r="T275">
        <f>HYPERLINK("https://klasma.github.io/Logging_0980/kartor/A 49304-2024 karta.png", "A 49304-2024")</f>
        <v/>
      </c>
      <c r="V275">
        <f>HYPERLINK("https://klasma.github.io/Logging_0980/klagomål/A 49304-2024 FSC-klagomål.docx", "A 49304-2024")</f>
        <v/>
      </c>
      <c r="W275">
        <f>HYPERLINK("https://klasma.github.io/Logging_0980/klagomålsmail/A 49304-2024 FSC-klagomål mail.docx", "A 49304-2024")</f>
        <v/>
      </c>
      <c r="X275">
        <f>HYPERLINK("https://klasma.github.io/Logging_0980/tillsyn/A 49304-2024 tillsynsbegäran.docx", "A 49304-2024")</f>
        <v/>
      </c>
      <c r="Y275">
        <f>HYPERLINK("https://klasma.github.io/Logging_0980/tillsynsmail/A 49304-2024 tillsynsbegäran mail.docx", "A 49304-2024")</f>
        <v/>
      </c>
    </row>
    <row r="276" ht="15" customHeight="1">
      <c r="A276" t="inlineStr">
        <is>
          <t>A 2476-2025</t>
        </is>
      </c>
      <c r="B276" s="1" t="n">
        <v>45673</v>
      </c>
      <c r="C276" s="1" t="n">
        <v>45749</v>
      </c>
      <c r="D276" t="inlineStr">
        <is>
          <t>GOTLANDS LÄN</t>
        </is>
      </c>
      <c r="E276" t="inlineStr">
        <is>
          <t>GOTLAND</t>
        </is>
      </c>
      <c r="G276" t="n">
        <v>3.1</v>
      </c>
      <c r="H276" t="n">
        <v>0</v>
      </c>
      <c r="I276" t="n">
        <v>1</v>
      </c>
      <c r="J276" t="n">
        <v>0</v>
      </c>
      <c r="K276" t="n">
        <v>0</v>
      </c>
      <c r="L276" t="n">
        <v>0</v>
      </c>
      <c r="M276" t="n">
        <v>0</v>
      </c>
      <c r="N276" t="n">
        <v>0</v>
      </c>
      <c r="O276" t="n">
        <v>0</v>
      </c>
      <c r="P276" t="n">
        <v>0</v>
      </c>
      <c r="Q276" t="n">
        <v>1</v>
      </c>
      <c r="R276" s="2" t="inlineStr">
        <is>
          <t>Kryddspindling</t>
        </is>
      </c>
      <c r="S276">
        <f>HYPERLINK("https://klasma.github.io/Logging_0980/artfynd/A 2476-2025 artfynd.xlsx", "A 2476-2025")</f>
        <v/>
      </c>
      <c r="T276">
        <f>HYPERLINK("https://klasma.github.io/Logging_0980/kartor/A 2476-2025 karta.png", "A 2476-2025")</f>
        <v/>
      </c>
      <c r="V276">
        <f>HYPERLINK("https://klasma.github.io/Logging_0980/klagomål/A 2476-2025 FSC-klagomål.docx", "A 2476-2025")</f>
        <v/>
      </c>
      <c r="W276">
        <f>HYPERLINK("https://klasma.github.io/Logging_0980/klagomålsmail/A 2476-2025 FSC-klagomål mail.docx", "A 2476-2025")</f>
        <v/>
      </c>
      <c r="X276">
        <f>HYPERLINK("https://klasma.github.io/Logging_0980/tillsyn/A 2476-2025 tillsynsbegäran.docx", "A 2476-2025")</f>
        <v/>
      </c>
      <c r="Y276">
        <f>HYPERLINK("https://klasma.github.io/Logging_0980/tillsynsmail/A 2476-2025 tillsynsbegäran mail.docx", "A 2476-2025")</f>
        <v/>
      </c>
    </row>
    <row r="277" ht="15" customHeight="1">
      <c r="A277" t="inlineStr">
        <is>
          <t>A 4984-2025</t>
        </is>
      </c>
      <c r="B277" s="1" t="n">
        <v>45691</v>
      </c>
      <c r="C277" s="1" t="n">
        <v>45749</v>
      </c>
      <c r="D277" t="inlineStr">
        <is>
          <t>GOTLANDS LÄN</t>
        </is>
      </c>
      <c r="E277" t="inlineStr">
        <is>
          <t>GOTLAND</t>
        </is>
      </c>
      <c r="G277" t="n">
        <v>1.3</v>
      </c>
      <c r="H277" t="n">
        <v>1</v>
      </c>
      <c r="I277" t="n">
        <v>0</v>
      </c>
      <c r="J277" t="n">
        <v>0</v>
      </c>
      <c r="K277" t="n">
        <v>0</v>
      </c>
      <c r="L277" t="n">
        <v>0</v>
      </c>
      <c r="M277" t="n">
        <v>0</v>
      </c>
      <c r="N277" t="n">
        <v>0</v>
      </c>
      <c r="O277" t="n">
        <v>0</v>
      </c>
      <c r="P277" t="n">
        <v>0</v>
      </c>
      <c r="Q277" t="n">
        <v>1</v>
      </c>
      <c r="R277" s="2" t="inlineStr">
        <is>
          <t>Kärrknipprot</t>
        </is>
      </c>
      <c r="S277">
        <f>HYPERLINK("https://klasma.github.io/Logging_0980/artfynd/A 4984-2025 artfynd.xlsx", "A 4984-2025")</f>
        <v/>
      </c>
      <c r="T277">
        <f>HYPERLINK("https://klasma.github.io/Logging_0980/kartor/A 4984-2025 karta.png", "A 4984-2025")</f>
        <v/>
      </c>
      <c r="V277">
        <f>HYPERLINK("https://klasma.github.io/Logging_0980/klagomål/A 4984-2025 FSC-klagomål.docx", "A 4984-2025")</f>
        <v/>
      </c>
      <c r="W277">
        <f>HYPERLINK("https://klasma.github.io/Logging_0980/klagomålsmail/A 4984-2025 FSC-klagomål mail.docx", "A 4984-2025")</f>
        <v/>
      </c>
      <c r="X277">
        <f>HYPERLINK("https://klasma.github.io/Logging_0980/tillsyn/A 4984-2025 tillsynsbegäran.docx", "A 4984-2025")</f>
        <v/>
      </c>
      <c r="Y277">
        <f>HYPERLINK("https://klasma.github.io/Logging_0980/tillsynsmail/A 4984-2025 tillsynsbegäran mail.docx", "A 4984-2025")</f>
        <v/>
      </c>
    </row>
    <row r="278" ht="15" customHeight="1">
      <c r="A278" t="inlineStr">
        <is>
          <t>A 7637-2025</t>
        </is>
      </c>
      <c r="B278" s="1" t="n">
        <v>45705</v>
      </c>
      <c r="C278" s="1" t="n">
        <v>45749</v>
      </c>
      <c r="D278" t="inlineStr">
        <is>
          <t>GOTLANDS LÄN</t>
        </is>
      </c>
      <c r="E278" t="inlineStr">
        <is>
          <t>GOTLAND</t>
        </is>
      </c>
      <c r="G278" t="n">
        <v>3.7</v>
      </c>
      <c r="H278" t="n">
        <v>0</v>
      </c>
      <c r="I278" t="n">
        <v>0</v>
      </c>
      <c r="J278" t="n">
        <v>0</v>
      </c>
      <c r="K278" t="n">
        <v>0</v>
      </c>
      <c r="L278" t="n">
        <v>0</v>
      </c>
      <c r="M278" t="n">
        <v>1</v>
      </c>
      <c r="N278" t="n">
        <v>0</v>
      </c>
      <c r="O278" t="n">
        <v>1</v>
      </c>
      <c r="P278" t="n">
        <v>1</v>
      </c>
      <c r="Q278" t="n">
        <v>1</v>
      </c>
      <c r="R278" s="2" t="inlineStr">
        <is>
          <t>Skogsalm</t>
        </is>
      </c>
      <c r="S278">
        <f>HYPERLINK("https://klasma.github.io/Logging_0980/artfynd/A 7637-2025 artfynd.xlsx", "A 7637-2025")</f>
        <v/>
      </c>
      <c r="T278">
        <f>HYPERLINK("https://klasma.github.io/Logging_0980/kartor/A 7637-2025 karta.png", "A 7637-2025")</f>
        <v/>
      </c>
      <c r="V278">
        <f>HYPERLINK("https://klasma.github.io/Logging_0980/klagomål/A 7637-2025 FSC-klagomål.docx", "A 7637-2025")</f>
        <v/>
      </c>
      <c r="W278">
        <f>HYPERLINK("https://klasma.github.io/Logging_0980/klagomålsmail/A 7637-2025 FSC-klagomål mail.docx", "A 7637-2025")</f>
        <v/>
      </c>
      <c r="X278">
        <f>HYPERLINK("https://klasma.github.io/Logging_0980/tillsyn/A 7637-2025 tillsynsbegäran.docx", "A 7637-2025")</f>
        <v/>
      </c>
      <c r="Y278">
        <f>HYPERLINK("https://klasma.github.io/Logging_0980/tillsynsmail/A 7637-2025 tillsynsbegäran mail.docx", "A 7637-2025")</f>
        <v/>
      </c>
    </row>
    <row r="279" ht="15" customHeight="1">
      <c r="A279" t="inlineStr">
        <is>
          <t>A 8725-2025</t>
        </is>
      </c>
      <c r="B279" s="1" t="n">
        <v>45712</v>
      </c>
      <c r="C279" s="1" t="n">
        <v>45749</v>
      </c>
      <c r="D279" t="inlineStr">
        <is>
          <t>GOTLANDS LÄN</t>
        </is>
      </c>
      <c r="E279" t="inlineStr">
        <is>
          <t>GOTLAND</t>
        </is>
      </c>
      <c r="G279" t="n">
        <v>4.4</v>
      </c>
      <c r="H279" t="n">
        <v>1</v>
      </c>
      <c r="I279" t="n">
        <v>0</v>
      </c>
      <c r="J279" t="n">
        <v>1</v>
      </c>
      <c r="K279" t="n">
        <v>0</v>
      </c>
      <c r="L279" t="n">
        <v>0</v>
      </c>
      <c r="M279" t="n">
        <v>0</v>
      </c>
      <c r="N279" t="n">
        <v>0</v>
      </c>
      <c r="O279" t="n">
        <v>1</v>
      </c>
      <c r="P279" t="n">
        <v>0</v>
      </c>
      <c r="Q279" t="n">
        <v>1</v>
      </c>
      <c r="R279" s="2" t="inlineStr">
        <is>
          <t>Spillkråka</t>
        </is>
      </c>
      <c r="S279">
        <f>HYPERLINK("https://klasma.github.io/Logging_0980/artfynd/A 8725-2025 artfynd.xlsx", "A 8725-2025")</f>
        <v/>
      </c>
      <c r="T279">
        <f>HYPERLINK("https://klasma.github.io/Logging_0980/kartor/A 8725-2025 karta.png", "A 8725-2025")</f>
        <v/>
      </c>
      <c r="V279">
        <f>HYPERLINK("https://klasma.github.io/Logging_0980/klagomål/A 8725-2025 FSC-klagomål.docx", "A 8725-2025")</f>
        <v/>
      </c>
      <c r="W279">
        <f>HYPERLINK("https://klasma.github.io/Logging_0980/klagomålsmail/A 8725-2025 FSC-klagomål mail.docx", "A 8725-2025")</f>
        <v/>
      </c>
      <c r="X279">
        <f>HYPERLINK("https://klasma.github.io/Logging_0980/tillsyn/A 8725-2025 tillsynsbegäran.docx", "A 8725-2025")</f>
        <v/>
      </c>
      <c r="Y279">
        <f>HYPERLINK("https://klasma.github.io/Logging_0980/tillsynsmail/A 8725-2025 tillsynsbegäran mail.docx", "A 8725-2025")</f>
        <v/>
      </c>
      <c r="Z279">
        <f>HYPERLINK("https://klasma.github.io/Logging_0980/fåglar/A 8725-2025 prioriterade fågelarter.docx", "A 8725-2025")</f>
        <v/>
      </c>
    </row>
    <row r="280" ht="15" customHeight="1">
      <c r="A280" t="inlineStr">
        <is>
          <t>A 10780-2025</t>
        </is>
      </c>
      <c r="B280" s="1" t="n">
        <v>45722</v>
      </c>
      <c r="C280" s="1" t="n">
        <v>45749</v>
      </c>
      <c r="D280" t="inlineStr">
        <is>
          <t>GOTLANDS LÄN</t>
        </is>
      </c>
      <c r="E280" t="inlineStr">
        <is>
          <t>GOTLAND</t>
        </is>
      </c>
      <c r="G280" t="n">
        <v>6.1</v>
      </c>
      <c r="H280" t="n">
        <v>1</v>
      </c>
      <c r="I280" t="n">
        <v>0</v>
      </c>
      <c r="J280" t="n">
        <v>0</v>
      </c>
      <c r="K280" t="n">
        <v>1</v>
      </c>
      <c r="L280" t="n">
        <v>0</v>
      </c>
      <c r="M280" t="n">
        <v>0</v>
      </c>
      <c r="N280" t="n">
        <v>0</v>
      </c>
      <c r="O280" t="n">
        <v>1</v>
      </c>
      <c r="P280" t="n">
        <v>1</v>
      </c>
      <c r="Q280" t="n">
        <v>1</v>
      </c>
      <c r="R280" s="2" t="inlineStr">
        <is>
          <t>Knärot</t>
        </is>
      </c>
      <c r="S280">
        <f>HYPERLINK("https://klasma.github.io/Logging_090980/artfynd/A 10780-2025 artfynd.xlsx", "A 10780-2025")</f>
        <v/>
      </c>
      <c r="T280">
        <f>HYPERLINK("https://klasma.github.io/Logging_090980/kartor/A 10780-2025 karta.png", "A 10780-2025")</f>
        <v/>
      </c>
      <c r="U280">
        <f>HYPERLINK("https://klasma.github.io/Logging_090980/knärot/A 10780-2025 karta knärot.png", "A 10780-2025")</f>
        <v/>
      </c>
      <c r="V280">
        <f>HYPERLINK("https://klasma.github.io/Logging_090980/klagomål/A 10780-2025 FSC-klagomål.docx", "A 10780-2025")</f>
        <v/>
      </c>
      <c r="W280">
        <f>HYPERLINK("https://klasma.github.io/Logging_090980/klagomålsmail/A 10780-2025 FSC-klagomål mail.docx", "A 10780-2025")</f>
        <v/>
      </c>
      <c r="X280">
        <f>HYPERLINK("https://klasma.github.io/Logging_090980/tillsyn/A 10780-2025 tillsynsbegäran.docx", "A 10780-2025")</f>
        <v/>
      </c>
      <c r="Y280">
        <f>HYPERLINK("https://klasma.github.io/Logging_090980/tillsynsmail/A 10780-2025 tillsynsbegäran mail.docx", "A 10780-2025")</f>
        <v/>
      </c>
    </row>
    <row r="281" ht="15" customHeight="1">
      <c r="A281" t="inlineStr">
        <is>
          <t>A 12324-2025</t>
        </is>
      </c>
      <c r="B281" s="1" t="n">
        <v>45730</v>
      </c>
      <c r="C281" s="1" t="n">
        <v>45749</v>
      </c>
      <c r="D281" t="inlineStr">
        <is>
          <t>GOTLANDS LÄN</t>
        </is>
      </c>
      <c r="E281" t="inlineStr">
        <is>
          <t>GOTLAND</t>
        </is>
      </c>
      <c r="G281" t="n">
        <v>5</v>
      </c>
      <c r="H281" t="n">
        <v>0</v>
      </c>
      <c r="I281" t="n">
        <v>0</v>
      </c>
      <c r="J281" t="n">
        <v>0</v>
      </c>
      <c r="K281" t="n">
        <v>1</v>
      </c>
      <c r="L281" t="n">
        <v>0</v>
      </c>
      <c r="M281" t="n">
        <v>0</v>
      </c>
      <c r="N281" t="n">
        <v>0</v>
      </c>
      <c r="O281" t="n">
        <v>1</v>
      </c>
      <c r="P281" t="n">
        <v>1</v>
      </c>
      <c r="Q281" t="n">
        <v>1</v>
      </c>
      <c r="R281" s="2" t="inlineStr">
        <is>
          <t>Sommarklynne</t>
        </is>
      </c>
      <c r="S281">
        <f>HYPERLINK("https://klasma.github.io/Logging_090980/artfynd/A 12324-2025 artfynd.xlsx", "A 12324-2025")</f>
        <v/>
      </c>
      <c r="T281">
        <f>HYPERLINK("https://klasma.github.io/Logging_090980/kartor/A 12324-2025 karta.png", "A 12324-2025")</f>
        <v/>
      </c>
      <c r="V281">
        <f>HYPERLINK("https://klasma.github.io/Logging_090980/klagomål/A 12324-2025 FSC-klagomål.docx", "A 12324-2025")</f>
        <v/>
      </c>
      <c r="W281">
        <f>HYPERLINK("https://klasma.github.io/Logging_090980/klagomålsmail/A 12324-2025 FSC-klagomål mail.docx", "A 12324-2025")</f>
        <v/>
      </c>
      <c r="X281">
        <f>HYPERLINK("https://klasma.github.io/Logging_090980/tillsyn/A 12324-2025 tillsynsbegäran.docx", "A 12324-2025")</f>
        <v/>
      </c>
      <c r="Y281">
        <f>HYPERLINK("https://klasma.github.io/Logging_090980/tillsynsmail/A 12324-2025 tillsynsbegäran mail.docx", "A 12324-2025")</f>
        <v/>
      </c>
    </row>
    <row r="282" ht="15" customHeight="1">
      <c r="A282" t="inlineStr">
        <is>
          <t>A 12924-2025</t>
        </is>
      </c>
      <c r="B282" s="1" t="n">
        <v>45734</v>
      </c>
      <c r="C282" s="1" t="n">
        <v>45749</v>
      </c>
      <c r="D282" t="inlineStr">
        <is>
          <t>GOTLANDS LÄN</t>
        </is>
      </c>
      <c r="E282" t="inlineStr">
        <is>
          <t>GOTLAND</t>
        </is>
      </c>
      <c r="G282" t="n">
        <v>11.7</v>
      </c>
      <c r="H282" t="n">
        <v>0</v>
      </c>
      <c r="I282" t="n">
        <v>0</v>
      </c>
      <c r="J282" t="n">
        <v>0</v>
      </c>
      <c r="K282" t="n">
        <v>1</v>
      </c>
      <c r="L282" t="n">
        <v>0</v>
      </c>
      <c r="M282" t="n">
        <v>0</v>
      </c>
      <c r="N282" t="n">
        <v>0</v>
      </c>
      <c r="O282" t="n">
        <v>1</v>
      </c>
      <c r="P282" t="n">
        <v>1</v>
      </c>
      <c r="Q282" t="n">
        <v>1</v>
      </c>
      <c r="R282" s="2" t="inlineStr">
        <is>
          <t>Gotlandsmåra</t>
        </is>
      </c>
      <c r="S282">
        <f>HYPERLINK("https://klasma.github.io/Logging_090980/artfynd/A 12924-2025 artfynd.xlsx", "A 12924-2025")</f>
        <v/>
      </c>
      <c r="T282">
        <f>HYPERLINK("https://klasma.github.io/Logging_090980/kartor/A 12924-2025 karta.png", "A 12924-2025")</f>
        <v/>
      </c>
      <c r="V282">
        <f>HYPERLINK("https://klasma.github.io/Logging_090980/klagomål/A 12924-2025 FSC-klagomål.docx", "A 12924-2025")</f>
        <v/>
      </c>
      <c r="W282">
        <f>HYPERLINK("https://klasma.github.io/Logging_090980/klagomålsmail/A 12924-2025 FSC-klagomål mail.docx", "A 12924-2025")</f>
        <v/>
      </c>
      <c r="X282">
        <f>HYPERLINK("https://klasma.github.io/Logging_090980/tillsyn/A 12924-2025 tillsynsbegäran.docx", "A 12924-2025")</f>
        <v/>
      </c>
      <c r="Y282">
        <f>HYPERLINK("https://klasma.github.io/Logging_090980/tillsynsmail/A 12924-2025 tillsynsbegäran mail.docx", "A 12924-2025")</f>
        <v/>
      </c>
    </row>
    <row r="283" ht="15" customHeight="1">
      <c r="A283" t="inlineStr">
        <is>
          <t>A 19159-2019</t>
        </is>
      </c>
      <c r="B283" s="1" t="n">
        <v>43564</v>
      </c>
      <c r="C283" s="1" t="n">
        <v>45749</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45749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45749</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45749</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45749</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45749</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45749</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45749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45749</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45749</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45749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45749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45749</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45749</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45749</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45749</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45749</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45749</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45749</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45749</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45749</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34790-2019</t>
        </is>
      </c>
      <c r="B304" s="1" t="n">
        <v>43658</v>
      </c>
      <c r="C304" s="1" t="n">
        <v>45749</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36344-2019</t>
        </is>
      </c>
      <c r="B305" s="1" t="n">
        <v>43661</v>
      </c>
      <c r="C305" s="1" t="n">
        <v>45749</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36072-2019</t>
        </is>
      </c>
      <c r="B306" s="1" t="n">
        <v>43668</v>
      </c>
      <c r="C306" s="1" t="n">
        <v>45749</v>
      </c>
      <c r="D306" t="inlineStr">
        <is>
          <t>GOTLANDS LÄN</t>
        </is>
      </c>
      <c r="E306" t="inlineStr">
        <is>
          <t>GOTLAND</t>
        </is>
      </c>
      <c r="F306" t="inlineStr">
        <is>
          <t>Kyrkan</t>
        </is>
      </c>
      <c r="G306" t="n">
        <v>0.5</v>
      </c>
      <c r="H306" t="n">
        <v>0</v>
      </c>
      <c r="I306" t="n">
        <v>0</v>
      </c>
      <c r="J306" t="n">
        <v>0</v>
      </c>
      <c r="K306" t="n">
        <v>0</v>
      </c>
      <c r="L306" t="n">
        <v>0</v>
      </c>
      <c r="M306" t="n">
        <v>0</v>
      </c>
      <c r="N306" t="n">
        <v>0</v>
      </c>
      <c r="O306" t="n">
        <v>0</v>
      </c>
      <c r="P306" t="n">
        <v>0</v>
      </c>
      <c r="Q306" t="n">
        <v>0</v>
      </c>
      <c r="R306" s="2" t="inlineStr"/>
    </row>
    <row r="307" ht="15" customHeight="1">
      <c r="A307" t="inlineStr">
        <is>
          <t>A 37028-2019</t>
        </is>
      </c>
      <c r="B307" s="1" t="n">
        <v>43675</v>
      </c>
      <c r="C307" s="1" t="n">
        <v>45749</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40205-2019</t>
        </is>
      </c>
      <c r="B308" s="1" t="n">
        <v>43693</v>
      </c>
      <c r="C308" s="1" t="n">
        <v>45749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46423-2019</t>
        </is>
      </c>
      <c r="B309" s="1" t="n">
        <v>43719</v>
      </c>
      <c r="C309" s="1" t="n">
        <v>45749</v>
      </c>
      <c r="D309" t="inlineStr">
        <is>
          <t>GOTLANDS LÄN</t>
        </is>
      </c>
      <c r="E309" t="inlineStr">
        <is>
          <t>GOTLAND</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47141-2019</t>
        </is>
      </c>
      <c r="B310" s="1" t="n">
        <v>43721</v>
      </c>
      <c r="C310" s="1" t="n">
        <v>45749</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48459-2019</t>
        </is>
      </c>
      <c r="B311" s="1" t="n">
        <v>43727</v>
      </c>
      <c r="C311" s="1" t="n">
        <v>45749</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49769-2019</t>
        </is>
      </c>
      <c r="B312" s="1" t="n">
        <v>43733</v>
      </c>
      <c r="C312" s="1" t="n">
        <v>45749</v>
      </c>
      <c r="D312" t="inlineStr">
        <is>
          <t>GOTLANDS LÄN</t>
        </is>
      </c>
      <c r="E312" t="inlineStr">
        <is>
          <t>GOTLAND</t>
        </is>
      </c>
      <c r="G312" t="n">
        <v>22.3</v>
      </c>
      <c r="H312" t="n">
        <v>0</v>
      </c>
      <c r="I312" t="n">
        <v>0</v>
      </c>
      <c r="J312" t="n">
        <v>0</v>
      </c>
      <c r="K312" t="n">
        <v>0</v>
      </c>
      <c r="L312" t="n">
        <v>0</v>
      </c>
      <c r="M312" t="n">
        <v>0</v>
      </c>
      <c r="N312" t="n">
        <v>0</v>
      </c>
      <c r="O312" t="n">
        <v>0</v>
      </c>
      <c r="P312" t="n">
        <v>0</v>
      </c>
      <c r="Q312" t="n">
        <v>0</v>
      </c>
      <c r="R312" s="2" t="inlineStr"/>
    </row>
    <row r="313" ht="15" customHeight="1">
      <c r="A313" t="inlineStr">
        <is>
          <t>A 50463-2019</t>
        </is>
      </c>
      <c r="B313" s="1" t="n">
        <v>43735</v>
      </c>
      <c r="C313" s="1" t="n">
        <v>45749</v>
      </c>
      <c r="D313" t="inlineStr">
        <is>
          <t>GOTLANDS LÄN</t>
        </is>
      </c>
      <c r="E313" t="inlineStr">
        <is>
          <t>GOTLAND</t>
        </is>
      </c>
      <c r="F313" t="inlineStr">
        <is>
          <t>Kyrkan</t>
        </is>
      </c>
      <c r="G313" t="n">
        <v>1.3</v>
      </c>
      <c r="H313" t="n">
        <v>0</v>
      </c>
      <c r="I313" t="n">
        <v>0</v>
      </c>
      <c r="J313" t="n">
        <v>0</v>
      </c>
      <c r="K313" t="n">
        <v>0</v>
      </c>
      <c r="L313" t="n">
        <v>0</v>
      </c>
      <c r="M313" t="n">
        <v>0</v>
      </c>
      <c r="N313" t="n">
        <v>0</v>
      </c>
      <c r="O313" t="n">
        <v>0</v>
      </c>
      <c r="P313" t="n">
        <v>0</v>
      </c>
      <c r="Q313" t="n">
        <v>0</v>
      </c>
      <c r="R313" s="2" t="inlineStr"/>
    </row>
    <row r="314" ht="15" customHeight="1">
      <c r="A314" t="inlineStr">
        <is>
          <t>A 50632-2019</t>
        </is>
      </c>
      <c r="B314" s="1" t="n">
        <v>43737</v>
      </c>
      <c r="C314" s="1" t="n">
        <v>45749</v>
      </c>
      <c r="D314" t="inlineStr">
        <is>
          <t>GOTLANDS LÄN</t>
        </is>
      </c>
      <c r="E314" t="inlineStr">
        <is>
          <t>GOTLAND</t>
        </is>
      </c>
      <c r="G314" t="n">
        <v>7.7</v>
      </c>
      <c r="H314" t="n">
        <v>0</v>
      </c>
      <c r="I314" t="n">
        <v>0</v>
      </c>
      <c r="J314" t="n">
        <v>0</v>
      </c>
      <c r="K314" t="n">
        <v>0</v>
      </c>
      <c r="L314" t="n">
        <v>0</v>
      </c>
      <c r="M314" t="n">
        <v>0</v>
      </c>
      <c r="N314" t="n">
        <v>0</v>
      </c>
      <c r="O314" t="n">
        <v>0</v>
      </c>
      <c r="P314" t="n">
        <v>0</v>
      </c>
      <c r="Q314" t="n">
        <v>0</v>
      </c>
      <c r="R314" s="2" t="inlineStr"/>
    </row>
    <row r="315" ht="15" customHeight="1">
      <c r="A315" t="inlineStr">
        <is>
          <t>A 51577-2019</t>
        </is>
      </c>
      <c r="B315" s="1" t="n">
        <v>43740</v>
      </c>
      <c r="C315" s="1" t="n">
        <v>45749</v>
      </c>
      <c r="D315" t="inlineStr">
        <is>
          <t>GOTLANDS LÄN</t>
        </is>
      </c>
      <c r="E315" t="inlineStr">
        <is>
          <t>GOTLAND</t>
        </is>
      </c>
      <c r="G315" t="n">
        <v>6.5</v>
      </c>
      <c r="H315" t="n">
        <v>0</v>
      </c>
      <c r="I315" t="n">
        <v>0</v>
      </c>
      <c r="J315" t="n">
        <v>0</v>
      </c>
      <c r="K315" t="n">
        <v>0</v>
      </c>
      <c r="L315" t="n">
        <v>0</v>
      </c>
      <c r="M315" t="n">
        <v>0</v>
      </c>
      <c r="N315" t="n">
        <v>0</v>
      </c>
      <c r="O315" t="n">
        <v>0</v>
      </c>
      <c r="P315" t="n">
        <v>0</v>
      </c>
      <c r="Q315" t="n">
        <v>0</v>
      </c>
      <c r="R315" s="2" t="inlineStr"/>
    </row>
    <row r="316" ht="15" customHeight="1">
      <c r="A316" t="inlineStr">
        <is>
          <t>A 53783-2019</t>
        </is>
      </c>
      <c r="B316" s="1" t="n">
        <v>43750</v>
      </c>
      <c r="C316" s="1" t="n">
        <v>45749</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56238-2019</t>
        </is>
      </c>
      <c r="B317" s="1" t="n">
        <v>43762</v>
      </c>
      <c r="C317" s="1" t="n">
        <v>45749</v>
      </c>
      <c r="D317" t="inlineStr">
        <is>
          <t>GOTLANDS LÄN</t>
        </is>
      </c>
      <c r="E317" t="inlineStr">
        <is>
          <t>GOTLAND</t>
        </is>
      </c>
      <c r="G317" t="n">
        <v>5.8</v>
      </c>
      <c r="H317" t="n">
        <v>0</v>
      </c>
      <c r="I317" t="n">
        <v>0</v>
      </c>
      <c r="J317" t="n">
        <v>0</v>
      </c>
      <c r="K317" t="n">
        <v>0</v>
      </c>
      <c r="L317" t="n">
        <v>0</v>
      </c>
      <c r="M317" t="n">
        <v>0</v>
      </c>
      <c r="N317" t="n">
        <v>0</v>
      </c>
      <c r="O317" t="n">
        <v>0</v>
      </c>
      <c r="P317" t="n">
        <v>0</v>
      </c>
      <c r="Q317" t="n">
        <v>0</v>
      </c>
      <c r="R317" s="2" t="inlineStr"/>
    </row>
    <row r="318" ht="15" customHeight="1">
      <c r="A318" t="inlineStr">
        <is>
          <t>A 56845-2019</t>
        </is>
      </c>
      <c r="B318" s="1" t="n">
        <v>43765</v>
      </c>
      <c r="C318" s="1" t="n">
        <v>45749</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62212-2019</t>
        </is>
      </c>
      <c r="B319" s="1" t="n">
        <v>43788</v>
      </c>
      <c r="C319" s="1" t="n">
        <v>45749</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62209-2019</t>
        </is>
      </c>
      <c r="B320" s="1" t="n">
        <v>43788</v>
      </c>
      <c r="C320" s="1" t="n">
        <v>45749</v>
      </c>
      <c r="D320" t="inlineStr">
        <is>
          <t>GOTLANDS LÄN</t>
        </is>
      </c>
      <c r="E320" t="inlineStr">
        <is>
          <t>GOTLAND</t>
        </is>
      </c>
      <c r="G320" t="n">
        <v>4.8</v>
      </c>
      <c r="H320" t="n">
        <v>0</v>
      </c>
      <c r="I320" t="n">
        <v>0</v>
      </c>
      <c r="J320" t="n">
        <v>0</v>
      </c>
      <c r="K320" t="n">
        <v>0</v>
      </c>
      <c r="L320" t="n">
        <v>0</v>
      </c>
      <c r="M320" t="n">
        <v>0</v>
      </c>
      <c r="N320" t="n">
        <v>0</v>
      </c>
      <c r="O320" t="n">
        <v>0</v>
      </c>
      <c r="P320" t="n">
        <v>0</v>
      </c>
      <c r="Q320" t="n">
        <v>0</v>
      </c>
      <c r="R320" s="2" t="inlineStr"/>
    </row>
    <row r="321" ht="15" customHeight="1">
      <c r="A321" t="inlineStr">
        <is>
          <t>A 62218-2019</t>
        </is>
      </c>
      <c r="B321" s="1" t="n">
        <v>43788</v>
      </c>
      <c r="C321" s="1" t="n">
        <v>45749</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63366-2019</t>
        </is>
      </c>
      <c r="B322" s="1" t="n">
        <v>43794</v>
      </c>
      <c r="C322" s="1" t="n">
        <v>45749</v>
      </c>
      <c r="D322" t="inlineStr">
        <is>
          <t>GOTLANDS LÄN</t>
        </is>
      </c>
      <c r="E322" t="inlineStr">
        <is>
          <t>GOTLAND</t>
        </is>
      </c>
      <c r="G322" t="n">
        <v>16.4</v>
      </c>
      <c r="H322" t="n">
        <v>0</v>
      </c>
      <c r="I322" t="n">
        <v>0</v>
      </c>
      <c r="J322" t="n">
        <v>0</v>
      </c>
      <c r="K322" t="n">
        <v>0</v>
      </c>
      <c r="L322" t="n">
        <v>0</v>
      </c>
      <c r="M322" t="n">
        <v>0</v>
      </c>
      <c r="N322" t="n">
        <v>0</v>
      </c>
      <c r="O322" t="n">
        <v>0</v>
      </c>
      <c r="P322" t="n">
        <v>0</v>
      </c>
      <c r="Q322" t="n">
        <v>0</v>
      </c>
      <c r="R322" s="2" t="inlineStr"/>
    </row>
    <row r="323" ht="15" customHeight="1">
      <c r="A323" t="inlineStr">
        <is>
          <t>A 63747-2019</t>
        </is>
      </c>
      <c r="B323" s="1" t="n">
        <v>43795</v>
      </c>
      <c r="C323" s="1" t="n">
        <v>45749</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63751-2019</t>
        </is>
      </c>
      <c r="B324" s="1" t="n">
        <v>43795</v>
      </c>
      <c r="C324" s="1" t="n">
        <v>45749</v>
      </c>
      <c r="D324" t="inlineStr">
        <is>
          <t>GOTLANDS LÄN</t>
        </is>
      </c>
      <c r="E324" t="inlineStr">
        <is>
          <t>GOTLAND</t>
        </is>
      </c>
      <c r="G324" t="n">
        <v>4.9</v>
      </c>
      <c r="H324" t="n">
        <v>0</v>
      </c>
      <c r="I324" t="n">
        <v>0</v>
      </c>
      <c r="J324" t="n">
        <v>0</v>
      </c>
      <c r="K324" t="n">
        <v>0</v>
      </c>
      <c r="L324" t="n">
        <v>0</v>
      </c>
      <c r="M324" t="n">
        <v>0</v>
      </c>
      <c r="N324" t="n">
        <v>0</v>
      </c>
      <c r="O324" t="n">
        <v>0</v>
      </c>
      <c r="P324" t="n">
        <v>0</v>
      </c>
      <c r="Q324" t="n">
        <v>0</v>
      </c>
      <c r="R324" s="2" t="inlineStr"/>
    </row>
    <row r="325" ht="15" customHeight="1">
      <c r="A325" t="inlineStr">
        <is>
          <t>A 66960-2019</t>
        </is>
      </c>
      <c r="B325" s="1" t="n">
        <v>43810</v>
      </c>
      <c r="C325" s="1" t="n">
        <v>45749</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67079-2019</t>
        </is>
      </c>
      <c r="B326" s="1" t="n">
        <v>43811</v>
      </c>
      <c r="C326" s="1" t="n">
        <v>45749</v>
      </c>
      <c r="D326" t="inlineStr">
        <is>
          <t>GOTLANDS LÄN</t>
        </is>
      </c>
      <c r="E326" t="inlineStr">
        <is>
          <t>GOTLAND</t>
        </is>
      </c>
      <c r="G326" t="n">
        <v>18.7</v>
      </c>
      <c r="H326" t="n">
        <v>0</v>
      </c>
      <c r="I326" t="n">
        <v>0</v>
      </c>
      <c r="J326" t="n">
        <v>0</v>
      </c>
      <c r="K326" t="n">
        <v>0</v>
      </c>
      <c r="L326" t="n">
        <v>0</v>
      </c>
      <c r="M326" t="n">
        <v>0</v>
      </c>
      <c r="N326" t="n">
        <v>0</v>
      </c>
      <c r="O326" t="n">
        <v>0</v>
      </c>
      <c r="P326" t="n">
        <v>0</v>
      </c>
      <c r="Q326" t="n">
        <v>0</v>
      </c>
      <c r="R326" s="2" t="inlineStr"/>
    </row>
    <row r="327" ht="15" customHeight="1">
      <c r="A327" t="inlineStr">
        <is>
          <t>A 67737-2019</t>
        </is>
      </c>
      <c r="B327" s="1" t="n">
        <v>43815</v>
      </c>
      <c r="C327" s="1" t="n">
        <v>45749</v>
      </c>
      <c r="D327" t="inlineStr">
        <is>
          <t>GOTLANDS LÄN</t>
        </is>
      </c>
      <c r="E327" t="inlineStr">
        <is>
          <t>GOTLAND</t>
        </is>
      </c>
      <c r="G327" t="n">
        <v>22.1</v>
      </c>
      <c r="H327" t="n">
        <v>0</v>
      </c>
      <c r="I327" t="n">
        <v>0</v>
      </c>
      <c r="J327" t="n">
        <v>0</v>
      </c>
      <c r="K327" t="n">
        <v>0</v>
      </c>
      <c r="L327" t="n">
        <v>0</v>
      </c>
      <c r="M327" t="n">
        <v>0</v>
      </c>
      <c r="N327" t="n">
        <v>0</v>
      </c>
      <c r="O327" t="n">
        <v>0</v>
      </c>
      <c r="P327" t="n">
        <v>0</v>
      </c>
      <c r="Q327" t="n">
        <v>0</v>
      </c>
      <c r="R327" s="2" t="inlineStr"/>
    </row>
    <row r="328" ht="15" customHeight="1">
      <c r="A328" t="inlineStr">
        <is>
          <t>A 67791-2019</t>
        </is>
      </c>
      <c r="B328" s="1" t="n">
        <v>43815</v>
      </c>
      <c r="C328" s="1" t="n">
        <v>45749</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67743-2019</t>
        </is>
      </c>
      <c r="B329" s="1" t="n">
        <v>43815</v>
      </c>
      <c r="C329" s="1" t="n">
        <v>45749</v>
      </c>
      <c r="D329" t="inlineStr">
        <is>
          <t>GOTLANDS LÄN</t>
        </is>
      </c>
      <c r="E329" t="inlineStr">
        <is>
          <t>GOTLAND</t>
        </is>
      </c>
      <c r="G329" t="n">
        <v>1.5</v>
      </c>
      <c r="H329" t="n">
        <v>0</v>
      </c>
      <c r="I329" t="n">
        <v>0</v>
      </c>
      <c r="J329" t="n">
        <v>0</v>
      </c>
      <c r="K329" t="n">
        <v>0</v>
      </c>
      <c r="L329" t="n">
        <v>0</v>
      </c>
      <c r="M329" t="n">
        <v>0</v>
      </c>
      <c r="N329" t="n">
        <v>0</v>
      </c>
      <c r="O329" t="n">
        <v>0</v>
      </c>
      <c r="P329" t="n">
        <v>0</v>
      </c>
      <c r="Q329" t="n">
        <v>0</v>
      </c>
      <c r="R329" s="2" t="inlineStr"/>
    </row>
    <row r="330" ht="15" customHeight="1">
      <c r="A330" t="inlineStr">
        <is>
          <t>A 972-2020</t>
        </is>
      </c>
      <c r="B330" s="1" t="n">
        <v>43819</v>
      </c>
      <c r="C330" s="1" t="n">
        <v>45749</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68750-2019</t>
        </is>
      </c>
      <c r="B331" s="1" t="n">
        <v>43819</v>
      </c>
      <c r="C331" s="1" t="n">
        <v>45749</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164-2020</t>
        </is>
      </c>
      <c r="B332" s="1" t="n">
        <v>43833</v>
      </c>
      <c r="C332" s="1" t="n">
        <v>45749</v>
      </c>
      <c r="D332" t="inlineStr">
        <is>
          <t>GOTLANDS LÄN</t>
        </is>
      </c>
      <c r="E332" t="inlineStr">
        <is>
          <t>GOTLAND</t>
        </is>
      </c>
      <c r="F332" t="inlineStr">
        <is>
          <t>Kyrkan</t>
        </is>
      </c>
      <c r="G332" t="n">
        <v>6.2</v>
      </c>
      <c r="H332" t="n">
        <v>0</v>
      </c>
      <c r="I332" t="n">
        <v>0</v>
      </c>
      <c r="J332" t="n">
        <v>0</v>
      </c>
      <c r="K332" t="n">
        <v>0</v>
      </c>
      <c r="L332" t="n">
        <v>0</v>
      </c>
      <c r="M332" t="n">
        <v>0</v>
      </c>
      <c r="N332" t="n">
        <v>0</v>
      </c>
      <c r="O332" t="n">
        <v>0</v>
      </c>
      <c r="P332" t="n">
        <v>0</v>
      </c>
      <c r="Q332" t="n">
        <v>0</v>
      </c>
      <c r="R332" s="2" t="inlineStr"/>
    </row>
    <row r="333" ht="15" customHeight="1">
      <c r="A333" t="inlineStr">
        <is>
          <t>A 768-2020</t>
        </is>
      </c>
      <c r="B333" s="1" t="n">
        <v>43838</v>
      </c>
      <c r="C333" s="1" t="n">
        <v>45749</v>
      </c>
      <c r="D333" t="inlineStr">
        <is>
          <t>GOTLANDS LÄN</t>
        </is>
      </c>
      <c r="E333" t="inlineStr">
        <is>
          <t>GOTLAND</t>
        </is>
      </c>
      <c r="G333" t="n">
        <v>4.3</v>
      </c>
      <c r="H333" t="n">
        <v>0</v>
      </c>
      <c r="I333" t="n">
        <v>0</v>
      </c>
      <c r="J333" t="n">
        <v>0</v>
      </c>
      <c r="K333" t="n">
        <v>0</v>
      </c>
      <c r="L333" t="n">
        <v>0</v>
      </c>
      <c r="M333" t="n">
        <v>0</v>
      </c>
      <c r="N333" t="n">
        <v>0</v>
      </c>
      <c r="O333" t="n">
        <v>0</v>
      </c>
      <c r="P333" t="n">
        <v>0</v>
      </c>
      <c r="Q333" t="n">
        <v>0</v>
      </c>
      <c r="R333" s="2" t="inlineStr"/>
    </row>
    <row r="334" ht="15" customHeight="1">
      <c r="A334" t="inlineStr">
        <is>
          <t>A 1384-2020</t>
        </is>
      </c>
      <c r="B334" s="1" t="n">
        <v>43843</v>
      </c>
      <c r="C334" s="1" t="n">
        <v>45749</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1541-2020</t>
        </is>
      </c>
      <c r="B335" s="1" t="n">
        <v>43843</v>
      </c>
      <c r="C335" s="1" t="n">
        <v>45749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2675-2020</t>
        </is>
      </c>
      <c r="B336" s="1" t="n">
        <v>43849</v>
      </c>
      <c r="C336" s="1" t="n">
        <v>45749</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4409-2020</t>
        </is>
      </c>
      <c r="B337" s="1" t="n">
        <v>43850</v>
      </c>
      <c r="C337" s="1" t="n">
        <v>45749</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5724-2020</t>
        </is>
      </c>
      <c r="B338" s="1" t="n">
        <v>43862</v>
      </c>
      <c r="C338" s="1" t="n">
        <v>45749</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5731-2020</t>
        </is>
      </c>
      <c r="B339" s="1" t="n">
        <v>43862</v>
      </c>
      <c r="C339" s="1" t="n">
        <v>45749</v>
      </c>
      <c r="D339" t="inlineStr">
        <is>
          <t>GOTLANDS LÄN</t>
        </is>
      </c>
      <c r="E339" t="inlineStr">
        <is>
          <t>GOTLAND</t>
        </is>
      </c>
      <c r="G339" t="n">
        <v>2.2</v>
      </c>
      <c r="H339" t="n">
        <v>0</v>
      </c>
      <c r="I339" t="n">
        <v>0</v>
      </c>
      <c r="J339" t="n">
        <v>0</v>
      </c>
      <c r="K339" t="n">
        <v>0</v>
      </c>
      <c r="L339" t="n">
        <v>0</v>
      </c>
      <c r="M339" t="n">
        <v>0</v>
      </c>
      <c r="N339" t="n">
        <v>0</v>
      </c>
      <c r="O339" t="n">
        <v>0</v>
      </c>
      <c r="P339" t="n">
        <v>0</v>
      </c>
      <c r="Q339" t="n">
        <v>0</v>
      </c>
      <c r="R339" s="2" t="inlineStr"/>
    </row>
    <row r="340" ht="15" customHeight="1">
      <c r="A340" t="inlineStr">
        <is>
          <t>A 5723-2020</t>
        </is>
      </c>
      <c r="B340" s="1" t="n">
        <v>43862</v>
      </c>
      <c r="C340" s="1" t="n">
        <v>45749</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5727-2020</t>
        </is>
      </c>
      <c r="B341" s="1" t="n">
        <v>43862</v>
      </c>
      <c r="C341" s="1" t="n">
        <v>45749</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6226-2020</t>
        </is>
      </c>
      <c r="B342" s="1" t="n">
        <v>43865</v>
      </c>
      <c r="C342" s="1" t="n">
        <v>45749</v>
      </c>
      <c r="D342" t="inlineStr">
        <is>
          <t>GOTLANDS LÄN</t>
        </is>
      </c>
      <c r="E342" t="inlineStr">
        <is>
          <t>GOTLAND</t>
        </is>
      </c>
      <c r="G342" t="n">
        <v>3.1</v>
      </c>
      <c r="H342" t="n">
        <v>0</v>
      </c>
      <c r="I342" t="n">
        <v>0</v>
      </c>
      <c r="J342" t="n">
        <v>0</v>
      </c>
      <c r="K342" t="n">
        <v>0</v>
      </c>
      <c r="L342" t="n">
        <v>0</v>
      </c>
      <c r="M342" t="n">
        <v>0</v>
      </c>
      <c r="N342" t="n">
        <v>0</v>
      </c>
      <c r="O342" t="n">
        <v>0</v>
      </c>
      <c r="P342" t="n">
        <v>0</v>
      </c>
      <c r="Q342" t="n">
        <v>0</v>
      </c>
      <c r="R342" s="2" t="inlineStr"/>
    </row>
    <row r="343" ht="15" customHeight="1">
      <c r="A343" t="inlineStr">
        <is>
          <t>A 6611-2020</t>
        </is>
      </c>
      <c r="B343" s="1" t="n">
        <v>43867</v>
      </c>
      <c r="C343" s="1" t="n">
        <v>45749</v>
      </c>
      <c r="D343" t="inlineStr">
        <is>
          <t>GOTLANDS LÄN</t>
        </is>
      </c>
      <c r="E343" t="inlineStr">
        <is>
          <t>GOTLAND</t>
        </is>
      </c>
      <c r="G343" t="n">
        <v>3.3</v>
      </c>
      <c r="H343" t="n">
        <v>0</v>
      </c>
      <c r="I343" t="n">
        <v>0</v>
      </c>
      <c r="J343" t="n">
        <v>0</v>
      </c>
      <c r="K343" t="n">
        <v>0</v>
      </c>
      <c r="L343" t="n">
        <v>0</v>
      </c>
      <c r="M343" t="n">
        <v>0</v>
      </c>
      <c r="N343" t="n">
        <v>0</v>
      </c>
      <c r="O343" t="n">
        <v>0</v>
      </c>
      <c r="P343" t="n">
        <v>0</v>
      </c>
      <c r="Q343" t="n">
        <v>0</v>
      </c>
      <c r="R343" s="2" t="inlineStr"/>
    </row>
    <row r="344" ht="15" customHeight="1">
      <c r="A344" t="inlineStr">
        <is>
          <t>A 8217-2020</t>
        </is>
      </c>
      <c r="B344" s="1" t="n">
        <v>43874</v>
      </c>
      <c r="C344" s="1" t="n">
        <v>45749</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8872-2020</t>
        </is>
      </c>
      <c r="B345" s="1" t="n">
        <v>43878</v>
      </c>
      <c r="C345" s="1" t="n">
        <v>45749</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9502-2020</t>
        </is>
      </c>
      <c r="B346" s="1" t="n">
        <v>43880</v>
      </c>
      <c r="C346" s="1" t="n">
        <v>45749</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10932-2020</t>
        </is>
      </c>
      <c r="B347" s="1" t="n">
        <v>43889</v>
      </c>
      <c r="C347" s="1" t="n">
        <v>45749</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10931-2020</t>
        </is>
      </c>
      <c r="B348" s="1" t="n">
        <v>43889</v>
      </c>
      <c r="C348" s="1" t="n">
        <v>45749</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12309-2020</t>
        </is>
      </c>
      <c r="B349" s="1" t="n">
        <v>43895</v>
      </c>
      <c r="C349" s="1" t="n">
        <v>45749</v>
      </c>
      <c r="D349" t="inlineStr">
        <is>
          <t>GOTLANDS LÄN</t>
        </is>
      </c>
      <c r="E349" t="inlineStr">
        <is>
          <t>GOTLAND</t>
        </is>
      </c>
      <c r="G349" t="n">
        <v>0.9</v>
      </c>
      <c r="H349" t="n">
        <v>0</v>
      </c>
      <c r="I349" t="n">
        <v>0</v>
      </c>
      <c r="J349" t="n">
        <v>0</v>
      </c>
      <c r="K349" t="n">
        <v>0</v>
      </c>
      <c r="L349" t="n">
        <v>0</v>
      </c>
      <c r="M349" t="n">
        <v>0</v>
      </c>
      <c r="N349" t="n">
        <v>0</v>
      </c>
      <c r="O349" t="n">
        <v>0</v>
      </c>
      <c r="P349" t="n">
        <v>0</v>
      </c>
      <c r="Q349" t="n">
        <v>0</v>
      </c>
      <c r="R349" s="2" t="inlineStr"/>
    </row>
    <row r="350" ht="15" customHeight="1">
      <c r="A350" t="inlineStr">
        <is>
          <t>A 13940-2020</t>
        </is>
      </c>
      <c r="B350" s="1" t="n">
        <v>43903</v>
      </c>
      <c r="C350" s="1" t="n">
        <v>45749</v>
      </c>
      <c r="D350" t="inlineStr">
        <is>
          <t>GOTLANDS LÄN</t>
        </is>
      </c>
      <c r="E350" t="inlineStr">
        <is>
          <t>GOTLAND</t>
        </is>
      </c>
      <c r="G350" t="n">
        <v>0.8</v>
      </c>
      <c r="H350" t="n">
        <v>0</v>
      </c>
      <c r="I350" t="n">
        <v>0</v>
      </c>
      <c r="J350" t="n">
        <v>0</v>
      </c>
      <c r="K350" t="n">
        <v>0</v>
      </c>
      <c r="L350" t="n">
        <v>0</v>
      </c>
      <c r="M350" t="n">
        <v>0</v>
      </c>
      <c r="N350" t="n">
        <v>0</v>
      </c>
      <c r="O350" t="n">
        <v>0</v>
      </c>
      <c r="P350" t="n">
        <v>0</v>
      </c>
      <c r="Q350" t="n">
        <v>0</v>
      </c>
      <c r="R350" s="2" t="inlineStr"/>
    </row>
    <row r="351" ht="15" customHeight="1">
      <c r="A351" t="inlineStr">
        <is>
          <t>A 13930-2020</t>
        </is>
      </c>
      <c r="B351" s="1" t="n">
        <v>43906</v>
      </c>
      <c r="C351" s="1" t="n">
        <v>45749</v>
      </c>
      <c r="D351" t="inlineStr">
        <is>
          <t>GOTLANDS LÄN</t>
        </is>
      </c>
      <c r="E351" t="inlineStr">
        <is>
          <t>GOTLAND</t>
        </is>
      </c>
      <c r="G351" t="n">
        <v>4</v>
      </c>
      <c r="H351" t="n">
        <v>0</v>
      </c>
      <c r="I351" t="n">
        <v>0</v>
      </c>
      <c r="J351" t="n">
        <v>0</v>
      </c>
      <c r="K351" t="n">
        <v>0</v>
      </c>
      <c r="L351" t="n">
        <v>0</v>
      </c>
      <c r="M351" t="n">
        <v>0</v>
      </c>
      <c r="N351" t="n">
        <v>0</v>
      </c>
      <c r="O351" t="n">
        <v>0</v>
      </c>
      <c r="P351" t="n">
        <v>0</v>
      </c>
      <c r="Q351" t="n">
        <v>0</v>
      </c>
      <c r="R351" s="2" t="inlineStr"/>
    </row>
    <row r="352" ht="15" customHeight="1">
      <c r="A352" t="inlineStr">
        <is>
          <t>A 13995-2020</t>
        </is>
      </c>
      <c r="B352" s="1" t="n">
        <v>43906</v>
      </c>
      <c r="C352" s="1" t="n">
        <v>45749</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13987-2020</t>
        </is>
      </c>
      <c r="B353" s="1" t="n">
        <v>43906</v>
      </c>
      <c r="C353" s="1" t="n">
        <v>45749</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14073-2020</t>
        </is>
      </c>
      <c r="B354" s="1" t="n">
        <v>43907</v>
      </c>
      <c r="C354" s="1" t="n">
        <v>45749</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14074-2020</t>
        </is>
      </c>
      <c r="B355" s="1" t="n">
        <v>43907</v>
      </c>
      <c r="C355" s="1" t="n">
        <v>45749</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16452-2020</t>
        </is>
      </c>
      <c r="B356" s="1" t="n">
        <v>43909</v>
      </c>
      <c r="C356" s="1" t="n">
        <v>45749</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14995-2020</t>
        </is>
      </c>
      <c r="B357" s="1" t="n">
        <v>43910</v>
      </c>
      <c r="C357" s="1" t="n">
        <v>45749</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15202-2020</t>
        </is>
      </c>
      <c r="B358" s="1" t="n">
        <v>43913</v>
      </c>
      <c r="C358" s="1" t="n">
        <v>45749</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15197-2020</t>
        </is>
      </c>
      <c r="B359" s="1" t="n">
        <v>43913</v>
      </c>
      <c r="C359" s="1" t="n">
        <v>45749</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15888-2020</t>
        </is>
      </c>
      <c r="B360" s="1" t="n">
        <v>43915</v>
      </c>
      <c r="C360" s="1" t="n">
        <v>45749</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16133-2020</t>
        </is>
      </c>
      <c r="B361" s="1" t="n">
        <v>43916</v>
      </c>
      <c r="C361" s="1" t="n">
        <v>45749</v>
      </c>
      <c r="D361" t="inlineStr">
        <is>
          <t>GOTLANDS LÄN</t>
        </is>
      </c>
      <c r="E361" t="inlineStr">
        <is>
          <t>GOTLAND</t>
        </is>
      </c>
      <c r="G361" t="n">
        <v>6.7</v>
      </c>
      <c r="H361" t="n">
        <v>0</v>
      </c>
      <c r="I361" t="n">
        <v>0</v>
      </c>
      <c r="J361" t="n">
        <v>0</v>
      </c>
      <c r="K361" t="n">
        <v>0</v>
      </c>
      <c r="L361" t="n">
        <v>0</v>
      </c>
      <c r="M361" t="n">
        <v>0</v>
      </c>
      <c r="N361" t="n">
        <v>0</v>
      </c>
      <c r="O361" t="n">
        <v>0</v>
      </c>
      <c r="P361" t="n">
        <v>0</v>
      </c>
      <c r="Q361" t="n">
        <v>0</v>
      </c>
      <c r="R361" s="2" t="inlineStr"/>
    </row>
    <row r="362" ht="15" customHeight="1">
      <c r="A362" t="inlineStr">
        <is>
          <t>A 17403-2020</t>
        </is>
      </c>
      <c r="B362" s="1" t="n">
        <v>43917</v>
      </c>
      <c r="C362" s="1" t="n">
        <v>45749</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17869-2020</t>
        </is>
      </c>
      <c r="B363" s="1" t="n">
        <v>43924</v>
      </c>
      <c r="C363" s="1" t="n">
        <v>45749</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19900-2020</t>
        </is>
      </c>
      <c r="B364" s="1" t="n">
        <v>43942</v>
      </c>
      <c r="C364" s="1" t="n">
        <v>45749</v>
      </c>
      <c r="D364" t="inlineStr">
        <is>
          <t>GOTLANDS LÄN</t>
        </is>
      </c>
      <c r="E364" t="inlineStr">
        <is>
          <t>GOTLAND</t>
        </is>
      </c>
      <c r="G364" t="n">
        <v>3.5</v>
      </c>
      <c r="H364" t="n">
        <v>0</v>
      </c>
      <c r="I364" t="n">
        <v>0</v>
      </c>
      <c r="J364" t="n">
        <v>0</v>
      </c>
      <c r="K364" t="n">
        <v>0</v>
      </c>
      <c r="L364" t="n">
        <v>0</v>
      </c>
      <c r="M364" t="n">
        <v>0</v>
      </c>
      <c r="N364" t="n">
        <v>0</v>
      </c>
      <c r="O364" t="n">
        <v>0</v>
      </c>
      <c r="P364" t="n">
        <v>0</v>
      </c>
      <c r="Q364" t="n">
        <v>0</v>
      </c>
      <c r="R364" s="2" t="inlineStr"/>
    </row>
    <row r="365" ht="15" customHeight="1">
      <c r="A365" t="inlineStr">
        <is>
          <t>A 21568-2020</t>
        </is>
      </c>
      <c r="B365" s="1" t="n">
        <v>43956</v>
      </c>
      <c r="C365" s="1" t="n">
        <v>45749</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22093-2020</t>
        </is>
      </c>
      <c r="B366" s="1" t="n">
        <v>43959</v>
      </c>
      <c r="C366" s="1" t="n">
        <v>45749</v>
      </c>
      <c r="D366" t="inlineStr">
        <is>
          <t>GOTLANDS LÄN</t>
        </is>
      </c>
      <c r="E366" t="inlineStr">
        <is>
          <t>GOTLAND</t>
        </is>
      </c>
      <c r="F366" t="inlineStr">
        <is>
          <t>Kommuner</t>
        </is>
      </c>
      <c r="G366" t="n">
        <v>0.6</v>
      </c>
      <c r="H366" t="n">
        <v>0</v>
      </c>
      <c r="I366" t="n">
        <v>0</v>
      </c>
      <c r="J366" t="n">
        <v>0</v>
      </c>
      <c r="K366" t="n">
        <v>0</v>
      </c>
      <c r="L366" t="n">
        <v>0</v>
      </c>
      <c r="M366" t="n">
        <v>0</v>
      </c>
      <c r="N366" t="n">
        <v>0</v>
      </c>
      <c r="O366" t="n">
        <v>0</v>
      </c>
      <c r="P366" t="n">
        <v>0</v>
      </c>
      <c r="Q366" t="n">
        <v>0</v>
      </c>
      <c r="R366" s="2" t="inlineStr"/>
    </row>
    <row r="367" ht="15" customHeight="1">
      <c r="A367" t="inlineStr">
        <is>
          <t>A 22329-2020</t>
        </is>
      </c>
      <c r="B367" s="1" t="n">
        <v>43962</v>
      </c>
      <c r="C367" s="1" t="n">
        <v>45749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22333-2020</t>
        </is>
      </c>
      <c r="B368" s="1" t="n">
        <v>43962</v>
      </c>
      <c r="C368" s="1" t="n">
        <v>45749</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23498-2020</t>
        </is>
      </c>
      <c r="B369" s="1" t="n">
        <v>43969</v>
      </c>
      <c r="C369" s="1" t="n">
        <v>45749</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23728-2020</t>
        </is>
      </c>
      <c r="B370" s="1" t="n">
        <v>43970</v>
      </c>
      <c r="C370" s="1" t="n">
        <v>45749</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24537-2020</t>
        </is>
      </c>
      <c r="B371" s="1" t="n">
        <v>43977</v>
      </c>
      <c r="C371" s="1" t="n">
        <v>45749</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25039-2020</t>
        </is>
      </c>
      <c r="B372" s="1" t="n">
        <v>43979</v>
      </c>
      <c r="C372" s="1" t="n">
        <v>45749</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26117-2020</t>
        </is>
      </c>
      <c r="B373" s="1" t="n">
        <v>43985</v>
      </c>
      <c r="C373" s="1" t="n">
        <v>45749</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27322-2020</t>
        </is>
      </c>
      <c r="B374" s="1" t="n">
        <v>43992</v>
      </c>
      <c r="C374" s="1" t="n">
        <v>45749</v>
      </c>
      <c r="D374" t="inlineStr">
        <is>
          <t>GOTLANDS LÄN</t>
        </is>
      </c>
      <c r="E374" t="inlineStr">
        <is>
          <t>GOTLAND</t>
        </is>
      </c>
      <c r="F374" t="inlineStr">
        <is>
          <t>Övriga statliga verk och myndigheter</t>
        </is>
      </c>
      <c r="G374" t="n">
        <v>7.4</v>
      </c>
      <c r="H374" t="n">
        <v>0</v>
      </c>
      <c r="I374" t="n">
        <v>0</v>
      </c>
      <c r="J374" t="n">
        <v>0</v>
      </c>
      <c r="K374" t="n">
        <v>0</v>
      </c>
      <c r="L374" t="n">
        <v>0</v>
      </c>
      <c r="M374" t="n">
        <v>0</v>
      </c>
      <c r="N374" t="n">
        <v>0</v>
      </c>
      <c r="O374" t="n">
        <v>0</v>
      </c>
      <c r="P374" t="n">
        <v>0</v>
      </c>
      <c r="Q374" t="n">
        <v>0</v>
      </c>
      <c r="R374" s="2" t="inlineStr"/>
    </row>
    <row r="375" ht="15" customHeight="1">
      <c r="A375" t="inlineStr">
        <is>
          <t>A 27334-2020</t>
        </is>
      </c>
      <c r="B375" s="1" t="n">
        <v>43992</v>
      </c>
      <c r="C375" s="1" t="n">
        <v>45749</v>
      </c>
      <c r="D375" t="inlineStr">
        <is>
          <t>GOTLANDS LÄN</t>
        </is>
      </c>
      <c r="E375" t="inlineStr">
        <is>
          <t>GOTLAND</t>
        </is>
      </c>
      <c r="F375" t="inlineStr">
        <is>
          <t>Övriga statliga verk och myndigheter</t>
        </is>
      </c>
      <c r="G375" t="n">
        <v>5.4</v>
      </c>
      <c r="H375" t="n">
        <v>0</v>
      </c>
      <c r="I375" t="n">
        <v>0</v>
      </c>
      <c r="J375" t="n">
        <v>0</v>
      </c>
      <c r="K375" t="n">
        <v>0</v>
      </c>
      <c r="L375" t="n">
        <v>0</v>
      </c>
      <c r="M375" t="n">
        <v>0</v>
      </c>
      <c r="N375" t="n">
        <v>0</v>
      </c>
      <c r="O375" t="n">
        <v>0</v>
      </c>
      <c r="P375" t="n">
        <v>0</v>
      </c>
      <c r="Q375" t="n">
        <v>0</v>
      </c>
      <c r="R375" s="2" t="inlineStr"/>
    </row>
    <row r="376" ht="15" customHeight="1">
      <c r="A376" t="inlineStr">
        <is>
          <t>A 27723-2020</t>
        </is>
      </c>
      <c r="B376" s="1" t="n">
        <v>43994</v>
      </c>
      <c r="C376" s="1" t="n">
        <v>45749</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27719-2020</t>
        </is>
      </c>
      <c r="B377" s="1" t="n">
        <v>43994</v>
      </c>
      <c r="C377" s="1" t="n">
        <v>45749</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27713-2020</t>
        </is>
      </c>
      <c r="B378" s="1" t="n">
        <v>43994</v>
      </c>
      <c r="C378" s="1" t="n">
        <v>45749</v>
      </c>
      <c r="D378" t="inlineStr">
        <is>
          <t>GOTLANDS LÄN</t>
        </is>
      </c>
      <c r="E378" t="inlineStr">
        <is>
          <t>GOTLAND</t>
        </is>
      </c>
      <c r="F378" t="inlineStr">
        <is>
          <t>Övriga statliga verk och myndigheter</t>
        </is>
      </c>
      <c r="G378" t="n">
        <v>0.8</v>
      </c>
      <c r="H378" t="n">
        <v>0</v>
      </c>
      <c r="I378" t="n">
        <v>0</v>
      </c>
      <c r="J378" t="n">
        <v>0</v>
      </c>
      <c r="K378" t="n">
        <v>0</v>
      </c>
      <c r="L378" t="n">
        <v>0</v>
      </c>
      <c r="M378" t="n">
        <v>0</v>
      </c>
      <c r="N378" t="n">
        <v>0</v>
      </c>
      <c r="O378" t="n">
        <v>0</v>
      </c>
      <c r="P378" t="n">
        <v>0</v>
      </c>
      <c r="Q378" t="n">
        <v>0</v>
      </c>
      <c r="R378" s="2" t="inlineStr"/>
    </row>
    <row r="379" ht="15" customHeight="1">
      <c r="A379" t="inlineStr">
        <is>
          <t>A 29529-2020</t>
        </is>
      </c>
      <c r="B379" s="1" t="n">
        <v>44005</v>
      </c>
      <c r="C379" s="1" t="n">
        <v>45749</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29915-2020</t>
        </is>
      </c>
      <c r="B380" s="1" t="n">
        <v>44006</v>
      </c>
      <c r="C380" s="1" t="n">
        <v>45749</v>
      </c>
      <c r="D380" t="inlineStr">
        <is>
          <t>GOTLANDS LÄN</t>
        </is>
      </c>
      <c r="E380" t="inlineStr">
        <is>
          <t>GOTLAND</t>
        </is>
      </c>
      <c r="F380" t="inlineStr">
        <is>
          <t>Kommuner</t>
        </is>
      </c>
      <c r="G380" t="n">
        <v>5.8</v>
      </c>
      <c r="H380" t="n">
        <v>0</v>
      </c>
      <c r="I380" t="n">
        <v>0</v>
      </c>
      <c r="J380" t="n">
        <v>0</v>
      </c>
      <c r="K380" t="n">
        <v>0</v>
      </c>
      <c r="L380" t="n">
        <v>0</v>
      </c>
      <c r="M380" t="n">
        <v>0</v>
      </c>
      <c r="N380" t="n">
        <v>0</v>
      </c>
      <c r="O380" t="n">
        <v>0</v>
      </c>
      <c r="P380" t="n">
        <v>0</v>
      </c>
      <c r="Q380" t="n">
        <v>0</v>
      </c>
      <c r="R380" s="2" t="inlineStr"/>
    </row>
    <row r="381" ht="15" customHeight="1">
      <c r="A381" t="inlineStr">
        <is>
          <t>A 30980-2020</t>
        </is>
      </c>
      <c r="B381" s="1" t="n">
        <v>44011</v>
      </c>
      <c r="C381" s="1" t="n">
        <v>45749</v>
      </c>
      <c r="D381" t="inlineStr">
        <is>
          <t>GOTLANDS LÄN</t>
        </is>
      </c>
      <c r="E381" t="inlineStr">
        <is>
          <t>GOTLAND</t>
        </is>
      </c>
      <c r="G381" t="n">
        <v>17.9</v>
      </c>
      <c r="H381" t="n">
        <v>0</v>
      </c>
      <c r="I381" t="n">
        <v>0</v>
      </c>
      <c r="J381" t="n">
        <v>0</v>
      </c>
      <c r="K381" t="n">
        <v>0</v>
      </c>
      <c r="L381" t="n">
        <v>0</v>
      </c>
      <c r="M381" t="n">
        <v>0</v>
      </c>
      <c r="N381" t="n">
        <v>0</v>
      </c>
      <c r="O381" t="n">
        <v>0</v>
      </c>
      <c r="P381" t="n">
        <v>0</v>
      </c>
      <c r="Q381" t="n">
        <v>0</v>
      </c>
      <c r="R381" s="2" t="inlineStr"/>
    </row>
    <row r="382" ht="15" customHeight="1">
      <c r="A382" t="inlineStr">
        <is>
          <t>A 32804-2020</t>
        </is>
      </c>
      <c r="B382" s="1" t="n">
        <v>44018</v>
      </c>
      <c r="C382" s="1" t="n">
        <v>45749</v>
      </c>
      <c r="D382" t="inlineStr">
        <is>
          <t>GOTLANDS LÄN</t>
        </is>
      </c>
      <c r="E382" t="inlineStr">
        <is>
          <t>GOTLAND</t>
        </is>
      </c>
      <c r="G382" t="n">
        <v>19.3</v>
      </c>
      <c r="H382" t="n">
        <v>0</v>
      </c>
      <c r="I382" t="n">
        <v>0</v>
      </c>
      <c r="J382" t="n">
        <v>0</v>
      </c>
      <c r="K382" t="n">
        <v>0</v>
      </c>
      <c r="L382" t="n">
        <v>0</v>
      </c>
      <c r="M382" t="n">
        <v>0</v>
      </c>
      <c r="N382" t="n">
        <v>0</v>
      </c>
      <c r="O382" t="n">
        <v>0</v>
      </c>
      <c r="P382" t="n">
        <v>0</v>
      </c>
      <c r="Q382" t="n">
        <v>0</v>
      </c>
      <c r="R382" s="2" t="inlineStr"/>
    </row>
    <row r="383" ht="15" customHeight="1">
      <c r="A383" t="inlineStr">
        <is>
          <t>A 32974-2020</t>
        </is>
      </c>
      <c r="B383" s="1" t="n">
        <v>44020</v>
      </c>
      <c r="C383" s="1" t="n">
        <v>45749</v>
      </c>
      <c r="D383" t="inlineStr">
        <is>
          <t>GOTLANDS LÄN</t>
        </is>
      </c>
      <c r="E383" t="inlineStr">
        <is>
          <t>GOTLAND</t>
        </is>
      </c>
      <c r="F383" t="inlineStr">
        <is>
          <t>Kyrkan</t>
        </is>
      </c>
      <c r="G383" t="n">
        <v>0.7</v>
      </c>
      <c r="H383" t="n">
        <v>0</v>
      </c>
      <c r="I383" t="n">
        <v>0</v>
      </c>
      <c r="J383" t="n">
        <v>0</v>
      </c>
      <c r="K383" t="n">
        <v>0</v>
      </c>
      <c r="L383" t="n">
        <v>0</v>
      </c>
      <c r="M383" t="n">
        <v>0</v>
      </c>
      <c r="N383" t="n">
        <v>0</v>
      </c>
      <c r="O383" t="n">
        <v>0</v>
      </c>
      <c r="P383" t="n">
        <v>0</v>
      </c>
      <c r="Q383" t="n">
        <v>0</v>
      </c>
      <c r="R383" s="2" t="inlineStr"/>
    </row>
    <row r="384" ht="15" customHeight="1">
      <c r="A384" t="inlineStr">
        <is>
          <t>A 35074-2020</t>
        </is>
      </c>
      <c r="B384" s="1" t="n">
        <v>44039</v>
      </c>
      <c r="C384" s="1" t="n">
        <v>45749</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36073-2020</t>
        </is>
      </c>
      <c r="B385" s="1" t="n">
        <v>44048</v>
      </c>
      <c r="C385" s="1" t="n">
        <v>45749</v>
      </c>
      <c r="D385" t="inlineStr">
        <is>
          <t>GOTLANDS LÄN</t>
        </is>
      </c>
      <c r="E385" t="inlineStr">
        <is>
          <t>GOTLAND</t>
        </is>
      </c>
      <c r="G385" t="n">
        <v>10.1</v>
      </c>
      <c r="H385" t="n">
        <v>0</v>
      </c>
      <c r="I385" t="n">
        <v>0</v>
      </c>
      <c r="J385" t="n">
        <v>0</v>
      </c>
      <c r="K385" t="n">
        <v>0</v>
      </c>
      <c r="L385" t="n">
        <v>0</v>
      </c>
      <c r="M385" t="n">
        <v>0</v>
      </c>
      <c r="N385" t="n">
        <v>0</v>
      </c>
      <c r="O385" t="n">
        <v>0</v>
      </c>
      <c r="P385" t="n">
        <v>0</v>
      </c>
      <c r="Q385" t="n">
        <v>0</v>
      </c>
      <c r="R385" s="2" t="inlineStr"/>
    </row>
    <row r="386" ht="15" customHeight="1">
      <c r="A386" t="inlineStr">
        <is>
          <t>A 36076-2020</t>
        </is>
      </c>
      <c r="B386" s="1" t="n">
        <v>44048</v>
      </c>
      <c r="C386" s="1" t="n">
        <v>45749</v>
      </c>
      <c r="D386" t="inlineStr">
        <is>
          <t>GOTLANDS LÄN</t>
        </is>
      </c>
      <c r="E386" t="inlineStr">
        <is>
          <t>GOTLAND</t>
        </is>
      </c>
      <c r="G386" t="n">
        <v>0.8</v>
      </c>
      <c r="H386" t="n">
        <v>0</v>
      </c>
      <c r="I386" t="n">
        <v>0</v>
      </c>
      <c r="J386" t="n">
        <v>0</v>
      </c>
      <c r="K386" t="n">
        <v>0</v>
      </c>
      <c r="L386" t="n">
        <v>0</v>
      </c>
      <c r="M386" t="n">
        <v>0</v>
      </c>
      <c r="N386" t="n">
        <v>0</v>
      </c>
      <c r="O386" t="n">
        <v>0</v>
      </c>
      <c r="P386" t="n">
        <v>0</v>
      </c>
      <c r="Q386" t="n">
        <v>0</v>
      </c>
      <c r="R386" s="2" t="inlineStr"/>
    </row>
    <row r="387" ht="15" customHeight="1">
      <c r="A387" t="inlineStr">
        <is>
          <t>A 36284-2020</t>
        </is>
      </c>
      <c r="B387" s="1" t="n">
        <v>44049</v>
      </c>
      <c r="C387" s="1" t="n">
        <v>45749</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37204-2020</t>
        </is>
      </c>
      <c r="B388" s="1" t="n">
        <v>44054</v>
      </c>
      <c r="C388" s="1" t="n">
        <v>45749</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38709-2020</t>
        </is>
      </c>
      <c r="B389" s="1" t="n">
        <v>44061</v>
      </c>
      <c r="C389" s="1" t="n">
        <v>45749</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39477-2020</t>
        </is>
      </c>
      <c r="B390" s="1" t="n">
        <v>44064</v>
      </c>
      <c r="C390" s="1" t="n">
        <v>45749</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41109-2020</t>
        </is>
      </c>
      <c r="B391" s="1" t="n">
        <v>44069</v>
      </c>
      <c r="C391" s="1" t="n">
        <v>45749</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41576-2020</t>
        </is>
      </c>
      <c r="B392" s="1" t="n">
        <v>44074</v>
      </c>
      <c r="C392" s="1" t="n">
        <v>45749</v>
      </c>
      <c r="D392" t="inlineStr">
        <is>
          <t>GOTLANDS LÄN</t>
        </is>
      </c>
      <c r="E392" t="inlineStr">
        <is>
          <t>GOTLAND</t>
        </is>
      </c>
      <c r="G392" t="n">
        <v>8.4</v>
      </c>
      <c r="H392" t="n">
        <v>0</v>
      </c>
      <c r="I392" t="n">
        <v>0</v>
      </c>
      <c r="J392" t="n">
        <v>0</v>
      </c>
      <c r="K392" t="n">
        <v>0</v>
      </c>
      <c r="L392" t="n">
        <v>0</v>
      </c>
      <c r="M392" t="n">
        <v>0</v>
      </c>
      <c r="N392" t="n">
        <v>0</v>
      </c>
      <c r="O392" t="n">
        <v>0</v>
      </c>
      <c r="P392" t="n">
        <v>0</v>
      </c>
      <c r="Q392" t="n">
        <v>0</v>
      </c>
      <c r="R392" s="2" t="inlineStr"/>
    </row>
    <row r="393" ht="15" customHeight="1">
      <c r="A393" t="inlineStr">
        <is>
          <t>A 45921-2020</t>
        </is>
      </c>
      <c r="B393" s="1" t="n">
        <v>44088</v>
      </c>
      <c r="C393" s="1" t="n">
        <v>45749</v>
      </c>
      <c r="D393" t="inlineStr">
        <is>
          <t>GOTLANDS LÄN</t>
        </is>
      </c>
      <c r="E393" t="inlineStr">
        <is>
          <t>GOTLAND</t>
        </is>
      </c>
      <c r="G393" t="n">
        <v>6.5</v>
      </c>
      <c r="H393" t="n">
        <v>0</v>
      </c>
      <c r="I393" t="n">
        <v>0</v>
      </c>
      <c r="J393" t="n">
        <v>0</v>
      </c>
      <c r="K393" t="n">
        <v>0</v>
      </c>
      <c r="L393" t="n">
        <v>0</v>
      </c>
      <c r="M393" t="n">
        <v>0</v>
      </c>
      <c r="N393" t="n">
        <v>0</v>
      </c>
      <c r="O393" t="n">
        <v>0</v>
      </c>
      <c r="P393" t="n">
        <v>0</v>
      </c>
      <c r="Q393" t="n">
        <v>0</v>
      </c>
      <c r="R393" s="2" t="inlineStr"/>
    </row>
    <row r="394" ht="15" customHeight="1">
      <c r="A394" t="inlineStr">
        <is>
          <t>A 46019-2020</t>
        </is>
      </c>
      <c r="B394" s="1" t="n">
        <v>44091</v>
      </c>
      <c r="C394" s="1" t="n">
        <v>45749</v>
      </c>
      <c r="D394" t="inlineStr">
        <is>
          <t>GOTLANDS LÄN</t>
        </is>
      </c>
      <c r="E394" t="inlineStr">
        <is>
          <t>GOTLAND</t>
        </is>
      </c>
      <c r="G394" t="n">
        <v>1.8</v>
      </c>
      <c r="H394" t="n">
        <v>0</v>
      </c>
      <c r="I394" t="n">
        <v>0</v>
      </c>
      <c r="J394" t="n">
        <v>0</v>
      </c>
      <c r="K394" t="n">
        <v>0</v>
      </c>
      <c r="L394" t="n">
        <v>0</v>
      </c>
      <c r="M394" t="n">
        <v>0</v>
      </c>
      <c r="N394" t="n">
        <v>0</v>
      </c>
      <c r="O394" t="n">
        <v>0</v>
      </c>
      <c r="P394" t="n">
        <v>0</v>
      </c>
      <c r="Q394" t="n">
        <v>0</v>
      </c>
      <c r="R394" s="2" t="inlineStr"/>
    </row>
    <row r="395" ht="15" customHeight="1">
      <c r="A395" t="inlineStr">
        <is>
          <t>A 46778-2020</t>
        </is>
      </c>
      <c r="B395" s="1" t="n">
        <v>44096</v>
      </c>
      <c r="C395" s="1" t="n">
        <v>45749</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53641-2020</t>
        </is>
      </c>
      <c r="B396" s="1" t="n">
        <v>44124</v>
      </c>
      <c r="C396" s="1" t="n">
        <v>45749</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53665-2020</t>
        </is>
      </c>
      <c r="B397" s="1" t="n">
        <v>44124</v>
      </c>
      <c r="C397" s="1" t="n">
        <v>45749</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59052-2020</t>
        </is>
      </c>
      <c r="B398" s="1" t="n">
        <v>44147</v>
      </c>
      <c r="C398" s="1" t="n">
        <v>45749</v>
      </c>
      <c r="D398" t="inlineStr">
        <is>
          <t>GOTLANDS LÄN</t>
        </is>
      </c>
      <c r="E398" t="inlineStr">
        <is>
          <t>GOTLAND</t>
        </is>
      </c>
      <c r="G398" t="n">
        <v>3.4</v>
      </c>
      <c r="H398" t="n">
        <v>0</v>
      </c>
      <c r="I398" t="n">
        <v>0</v>
      </c>
      <c r="J398" t="n">
        <v>0</v>
      </c>
      <c r="K398" t="n">
        <v>0</v>
      </c>
      <c r="L398" t="n">
        <v>0</v>
      </c>
      <c r="M398" t="n">
        <v>0</v>
      </c>
      <c r="N398" t="n">
        <v>0</v>
      </c>
      <c r="O398" t="n">
        <v>0</v>
      </c>
      <c r="P398" t="n">
        <v>0</v>
      </c>
      <c r="Q398" t="n">
        <v>0</v>
      </c>
      <c r="R398" s="2" t="inlineStr"/>
    </row>
    <row r="399" ht="15" customHeight="1">
      <c r="A399" t="inlineStr">
        <is>
          <t>A 59630-2020</t>
        </is>
      </c>
      <c r="B399" s="1" t="n">
        <v>44150</v>
      </c>
      <c r="C399" s="1" t="n">
        <v>45749</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60356-2020</t>
        </is>
      </c>
      <c r="B400" s="1" t="n">
        <v>44152</v>
      </c>
      <c r="C400" s="1" t="n">
        <v>45749</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62120-2020</t>
        </is>
      </c>
      <c r="B401" s="1" t="n">
        <v>44158</v>
      </c>
      <c r="C401" s="1" t="n">
        <v>45749</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64380-2020</t>
        </is>
      </c>
      <c r="B402" s="1" t="n">
        <v>44168</v>
      </c>
      <c r="C402" s="1" t="n">
        <v>45749</v>
      </c>
      <c r="D402" t="inlineStr">
        <is>
          <t>GOTLANDS LÄN</t>
        </is>
      </c>
      <c r="E402" t="inlineStr">
        <is>
          <t>GOTLAND</t>
        </is>
      </c>
      <c r="G402" t="n">
        <v>2.1</v>
      </c>
      <c r="H402" t="n">
        <v>0</v>
      </c>
      <c r="I402" t="n">
        <v>0</v>
      </c>
      <c r="J402" t="n">
        <v>0</v>
      </c>
      <c r="K402" t="n">
        <v>0</v>
      </c>
      <c r="L402" t="n">
        <v>0</v>
      </c>
      <c r="M402" t="n">
        <v>0</v>
      </c>
      <c r="N402" t="n">
        <v>0</v>
      </c>
      <c r="O402" t="n">
        <v>0</v>
      </c>
      <c r="P402" t="n">
        <v>0</v>
      </c>
      <c r="Q402" t="n">
        <v>0</v>
      </c>
      <c r="R402" s="2" t="inlineStr"/>
    </row>
    <row r="403" ht="15" customHeight="1">
      <c r="A403" t="inlineStr">
        <is>
          <t>A 65126-2020</t>
        </is>
      </c>
      <c r="B403" s="1" t="n">
        <v>44168</v>
      </c>
      <c r="C403" s="1" t="n">
        <v>45749</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65537-2020</t>
        </is>
      </c>
      <c r="B404" s="1" t="n">
        <v>44173</v>
      </c>
      <c r="C404" s="1" t="n">
        <v>45749</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69643-2020</t>
        </is>
      </c>
      <c r="B405" s="1" t="n">
        <v>44195</v>
      </c>
      <c r="C405" s="1" t="n">
        <v>45749</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14-2021</t>
        </is>
      </c>
      <c r="B406" s="1" t="n">
        <v>44197</v>
      </c>
      <c r="C406" s="1" t="n">
        <v>45749</v>
      </c>
      <c r="D406" t="inlineStr">
        <is>
          <t>GOTLANDS LÄN</t>
        </is>
      </c>
      <c r="E406" t="inlineStr">
        <is>
          <t>GOTLAND</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1229-2021</t>
        </is>
      </c>
      <c r="B407" s="1" t="n">
        <v>44208</v>
      </c>
      <c r="C407" s="1" t="n">
        <v>45749</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2292-2021</t>
        </is>
      </c>
      <c r="B408" s="1" t="n">
        <v>44212</v>
      </c>
      <c r="C408" s="1" t="n">
        <v>45749</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2608-2021</t>
        </is>
      </c>
      <c r="B409" s="1" t="n">
        <v>44214</v>
      </c>
      <c r="C409" s="1" t="n">
        <v>45749</v>
      </c>
      <c r="D409" t="inlineStr">
        <is>
          <t>GOTLANDS LÄN</t>
        </is>
      </c>
      <c r="E409" t="inlineStr">
        <is>
          <t>GOTLAND</t>
        </is>
      </c>
      <c r="G409" t="n">
        <v>3.9</v>
      </c>
      <c r="H409" t="n">
        <v>0</v>
      </c>
      <c r="I409" t="n">
        <v>0</v>
      </c>
      <c r="J409" t="n">
        <v>0</v>
      </c>
      <c r="K409" t="n">
        <v>0</v>
      </c>
      <c r="L409" t="n">
        <v>0</v>
      </c>
      <c r="M409" t="n">
        <v>0</v>
      </c>
      <c r="N409" t="n">
        <v>0</v>
      </c>
      <c r="O409" t="n">
        <v>0</v>
      </c>
      <c r="P409" t="n">
        <v>0</v>
      </c>
      <c r="Q409" t="n">
        <v>0</v>
      </c>
      <c r="R409" s="2" t="inlineStr"/>
    </row>
    <row r="410" ht="15" customHeight="1">
      <c r="A410" t="inlineStr">
        <is>
          <t>A 3319-2021</t>
        </is>
      </c>
      <c r="B410" s="1" t="n">
        <v>44216</v>
      </c>
      <c r="C410" s="1" t="n">
        <v>45749</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3172-2021</t>
        </is>
      </c>
      <c r="B411" s="1" t="n">
        <v>44217</v>
      </c>
      <c r="C411" s="1" t="n">
        <v>45749</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3271-2021</t>
        </is>
      </c>
      <c r="B412" s="1" t="n">
        <v>44217</v>
      </c>
      <c r="C412" s="1" t="n">
        <v>45749</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8329-2021</t>
        </is>
      </c>
      <c r="B413" s="1" t="n">
        <v>44244</v>
      </c>
      <c r="C413" s="1" t="n">
        <v>45749</v>
      </c>
      <c r="D413" t="inlineStr">
        <is>
          <t>GOTLANDS LÄN</t>
        </is>
      </c>
      <c r="E413" t="inlineStr">
        <is>
          <t>GOTLAND</t>
        </is>
      </c>
      <c r="F413" t="inlineStr">
        <is>
          <t>Kyrkan</t>
        </is>
      </c>
      <c r="G413" t="n">
        <v>4.5</v>
      </c>
      <c r="H413" t="n">
        <v>0</v>
      </c>
      <c r="I413" t="n">
        <v>0</v>
      </c>
      <c r="J413" t="n">
        <v>0</v>
      </c>
      <c r="K413" t="n">
        <v>0</v>
      </c>
      <c r="L413" t="n">
        <v>0</v>
      </c>
      <c r="M413" t="n">
        <v>0</v>
      </c>
      <c r="N413" t="n">
        <v>0</v>
      </c>
      <c r="O413" t="n">
        <v>0</v>
      </c>
      <c r="P413" t="n">
        <v>0</v>
      </c>
      <c r="Q413" t="n">
        <v>0</v>
      </c>
      <c r="R413" s="2" t="inlineStr"/>
    </row>
    <row r="414" ht="15" customHeight="1">
      <c r="A414" t="inlineStr">
        <is>
          <t>A 8700-2021</t>
        </is>
      </c>
      <c r="B414" s="1" t="n">
        <v>44246</v>
      </c>
      <c r="C414" s="1" t="n">
        <v>45749</v>
      </c>
      <c r="D414" t="inlineStr">
        <is>
          <t>GOTLANDS LÄN</t>
        </is>
      </c>
      <c r="E414" t="inlineStr">
        <is>
          <t>GOTLAND</t>
        </is>
      </c>
      <c r="G414" t="n">
        <v>0.1</v>
      </c>
      <c r="H414" t="n">
        <v>0</v>
      </c>
      <c r="I414" t="n">
        <v>0</v>
      </c>
      <c r="J414" t="n">
        <v>0</v>
      </c>
      <c r="K414" t="n">
        <v>0</v>
      </c>
      <c r="L414" t="n">
        <v>0</v>
      </c>
      <c r="M414" t="n">
        <v>0</v>
      </c>
      <c r="N414" t="n">
        <v>0</v>
      </c>
      <c r="O414" t="n">
        <v>0</v>
      </c>
      <c r="P414" t="n">
        <v>0</v>
      </c>
      <c r="Q414" t="n">
        <v>0</v>
      </c>
      <c r="R414" s="2" t="inlineStr"/>
    </row>
    <row r="415" ht="15" customHeight="1">
      <c r="A415" t="inlineStr">
        <is>
          <t>A 11400-2021</t>
        </is>
      </c>
      <c r="B415" s="1" t="n">
        <v>44263</v>
      </c>
      <c r="C415" s="1" t="n">
        <v>45749</v>
      </c>
      <c r="D415" t="inlineStr">
        <is>
          <t>GOTLANDS LÄN</t>
        </is>
      </c>
      <c r="E415" t="inlineStr">
        <is>
          <t>GOTLAND</t>
        </is>
      </c>
      <c r="G415" t="n">
        <v>5.6</v>
      </c>
      <c r="H415" t="n">
        <v>0</v>
      </c>
      <c r="I415" t="n">
        <v>0</v>
      </c>
      <c r="J415" t="n">
        <v>0</v>
      </c>
      <c r="K415" t="n">
        <v>0</v>
      </c>
      <c r="L415" t="n">
        <v>0</v>
      </c>
      <c r="M415" t="n">
        <v>0</v>
      </c>
      <c r="N415" t="n">
        <v>0</v>
      </c>
      <c r="O415" t="n">
        <v>0</v>
      </c>
      <c r="P415" t="n">
        <v>0</v>
      </c>
      <c r="Q415" t="n">
        <v>0</v>
      </c>
      <c r="R415" s="2" t="inlineStr"/>
    </row>
    <row r="416" ht="15" customHeight="1">
      <c r="A416" t="inlineStr">
        <is>
          <t>A 11402-2021</t>
        </is>
      </c>
      <c r="B416" s="1" t="n">
        <v>44263</v>
      </c>
      <c r="C416" s="1" t="n">
        <v>45749</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12318-2021</t>
        </is>
      </c>
      <c r="B417" s="1" t="n">
        <v>44266</v>
      </c>
      <c r="C417" s="1" t="n">
        <v>45749</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13274-2021</t>
        </is>
      </c>
      <c r="B418" s="1" t="n">
        <v>44272</v>
      </c>
      <c r="C418" s="1" t="n">
        <v>45749</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14536-2021</t>
        </is>
      </c>
      <c r="B419" s="1" t="n">
        <v>44279</v>
      </c>
      <c r="C419" s="1" t="n">
        <v>45749</v>
      </c>
      <c r="D419" t="inlineStr">
        <is>
          <t>GOTLANDS LÄN</t>
        </is>
      </c>
      <c r="E419" t="inlineStr">
        <is>
          <t>GOTLAND</t>
        </is>
      </c>
      <c r="G419" t="n">
        <v>8.5</v>
      </c>
      <c r="H419" t="n">
        <v>0</v>
      </c>
      <c r="I419" t="n">
        <v>0</v>
      </c>
      <c r="J419" t="n">
        <v>0</v>
      </c>
      <c r="K419" t="n">
        <v>0</v>
      </c>
      <c r="L419" t="n">
        <v>0</v>
      </c>
      <c r="M419" t="n">
        <v>0</v>
      </c>
      <c r="N419" t="n">
        <v>0</v>
      </c>
      <c r="O419" t="n">
        <v>0</v>
      </c>
      <c r="P419" t="n">
        <v>0</v>
      </c>
      <c r="Q419" t="n">
        <v>0</v>
      </c>
      <c r="R419" s="2" t="inlineStr"/>
    </row>
    <row r="420" ht="15" customHeight="1">
      <c r="A420" t="inlineStr">
        <is>
          <t>A 14804-2021</t>
        </is>
      </c>
      <c r="B420" s="1" t="n">
        <v>44280</v>
      </c>
      <c r="C420" s="1" t="n">
        <v>45749</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15127-2021</t>
        </is>
      </c>
      <c r="B421" s="1" t="n">
        <v>44283</v>
      </c>
      <c r="C421" s="1" t="n">
        <v>45749</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16435-2021</t>
        </is>
      </c>
      <c r="B422" s="1" t="n">
        <v>44293</v>
      </c>
      <c r="C422" s="1" t="n">
        <v>45749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17254-2021</t>
        </is>
      </c>
      <c r="B423" s="1" t="n">
        <v>44298</v>
      </c>
      <c r="C423" s="1" t="n">
        <v>45749</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17227-2021</t>
        </is>
      </c>
      <c r="B424" s="1" t="n">
        <v>44298</v>
      </c>
      <c r="C424" s="1" t="n">
        <v>45749</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17199-2021</t>
        </is>
      </c>
      <c r="B425" s="1" t="n">
        <v>44298</v>
      </c>
      <c r="C425" s="1" t="n">
        <v>45749</v>
      </c>
      <c r="D425" t="inlineStr">
        <is>
          <t>GOTLANDS LÄN</t>
        </is>
      </c>
      <c r="E425" t="inlineStr">
        <is>
          <t>GOTLAND</t>
        </is>
      </c>
      <c r="G425" t="n">
        <v>9.6</v>
      </c>
      <c r="H425" t="n">
        <v>0</v>
      </c>
      <c r="I425" t="n">
        <v>0</v>
      </c>
      <c r="J425" t="n">
        <v>0</v>
      </c>
      <c r="K425" t="n">
        <v>0</v>
      </c>
      <c r="L425" t="n">
        <v>0</v>
      </c>
      <c r="M425" t="n">
        <v>0</v>
      </c>
      <c r="N425" t="n">
        <v>0</v>
      </c>
      <c r="O425" t="n">
        <v>0</v>
      </c>
      <c r="P425" t="n">
        <v>0</v>
      </c>
      <c r="Q425" t="n">
        <v>0</v>
      </c>
      <c r="R425" s="2" t="inlineStr"/>
    </row>
    <row r="426" ht="15" customHeight="1">
      <c r="A426" t="inlineStr">
        <is>
          <t>A 17585-2021</t>
        </is>
      </c>
      <c r="B426" s="1" t="n">
        <v>44299</v>
      </c>
      <c r="C426" s="1" t="n">
        <v>45749</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17920-2021</t>
        </is>
      </c>
      <c r="B427" s="1" t="n">
        <v>44301</v>
      </c>
      <c r="C427" s="1" t="n">
        <v>45749</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18038-2021</t>
        </is>
      </c>
      <c r="B428" s="1" t="n">
        <v>44302</v>
      </c>
      <c r="C428" s="1" t="n">
        <v>45749</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19447-2021</t>
        </is>
      </c>
      <c r="B429" s="1" t="n">
        <v>44310</v>
      </c>
      <c r="C429" s="1" t="n">
        <v>45749</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19448-2021</t>
        </is>
      </c>
      <c r="B430" s="1" t="n">
        <v>44310</v>
      </c>
      <c r="C430" s="1" t="n">
        <v>45749</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19892-2021</t>
        </is>
      </c>
      <c r="B431" s="1" t="n">
        <v>44312</v>
      </c>
      <c r="C431" s="1" t="n">
        <v>45749</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19901-2021</t>
        </is>
      </c>
      <c r="B432" s="1" t="n">
        <v>44312</v>
      </c>
      <c r="C432" s="1" t="n">
        <v>45749</v>
      </c>
      <c r="D432" t="inlineStr">
        <is>
          <t>GOTLANDS LÄN</t>
        </is>
      </c>
      <c r="E432" t="inlineStr">
        <is>
          <t>GOTLAND</t>
        </is>
      </c>
      <c r="G432" t="n">
        <v>4.5</v>
      </c>
      <c r="H432" t="n">
        <v>0</v>
      </c>
      <c r="I432" t="n">
        <v>0</v>
      </c>
      <c r="J432" t="n">
        <v>0</v>
      </c>
      <c r="K432" t="n">
        <v>0</v>
      </c>
      <c r="L432" t="n">
        <v>0</v>
      </c>
      <c r="M432" t="n">
        <v>0</v>
      </c>
      <c r="N432" t="n">
        <v>0</v>
      </c>
      <c r="O432" t="n">
        <v>0</v>
      </c>
      <c r="P432" t="n">
        <v>0</v>
      </c>
      <c r="Q432" t="n">
        <v>0</v>
      </c>
      <c r="R432" s="2" t="inlineStr"/>
    </row>
    <row r="433" ht="15" customHeight="1">
      <c r="A433" t="inlineStr">
        <is>
          <t>A 19939-2021</t>
        </is>
      </c>
      <c r="B433" s="1" t="n">
        <v>44313</v>
      </c>
      <c r="C433" s="1" t="n">
        <v>45749</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20111-2021</t>
        </is>
      </c>
      <c r="B434" s="1" t="n">
        <v>44314</v>
      </c>
      <c r="C434" s="1" t="n">
        <v>45749</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21507-2021</t>
        </is>
      </c>
      <c r="B435" s="1" t="n">
        <v>44321</v>
      </c>
      <c r="C435" s="1" t="n">
        <v>45749</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22155-2021</t>
        </is>
      </c>
      <c r="B436" s="1" t="n">
        <v>44325</v>
      </c>
      <c r="C436" s="1" t="n">
        <v>45749</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23910-2021</t>
        </is>
      </c>
      <c r="B437" s="1" t="n">
        <v>44335</v>
      </c>
      <c r="C437" s="1" t="n">
        <v>45749</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24001-2021</t>
        </is>
      </c>
      <c r="B438" s="1" t="n">
        <v>44335</v>
      </c>
      <c r="C438" s="1" t="n">
        <v>45749</v>
      </c>
      <c r="D438" t="inlineStr">
        <is>
          <t>GOTLANDS LÄN</t>
        </is>
      </c>
      <c r="E438" t="inlineStr">
        <is>
          <t>GOTLAND</t>
        </is>
      </c>
      <c r="G438" t="n">
        <v>3.4</v>
      </c>
      <c r="H438" t="n">
        <v>0</v>
      </c>
      <c r="I438" t="n">
        <v>0</v>
      </c>
      <c r="J438" t="n">
        <v>0</v>
      </c>
      <c r="K438" t="n">
        <v>0</v>
      </c>
      <c r="L438" t="n">
        <v>0</v>
      </c>
      <c r="M438" t="n">
        <v>0</v>
      </c>
      <c r="N438" t="n">
        <v>0</v>
      </c>
      <c r="O438" t="n">
        <v>0</v>
      </c>
      <c r="P438" t="n">
        <v>0</v>
      </c>
      <c r="Q438" t="n">
        <v>0</v>
      </c>
      <c r="R438" s="2" t="inlineStr"/>
    </row>
    <row r="439" ht="15" customHeight="1">
      <c r="A439" t="inlineStr">
        <is>
          <t>A 26810-2021</t>
        </is>
      </c>
      <c r="B439" s="1" t="n">
        <v>44349</v>
      </c>
      <c r="C439" s="1" t="n">
        <v>45749</v>
      </c>
      <c r="D439" t="inlineStr">
        <is>
          <t>GOTLANDS LÄN</t>
        </is>
      </c>
      <c r="E439" t="inlineStr">
        <is>
          <t>GOTLAND</t>
        </is>
      </c>
      <c r="G439" t="n">
        <v>3.5</v>
      </c>
      <c r="H439" t="n">
        <v>0</v>
      </c>
      <c r="I439" t="n">
        <v>0</v>
      </c>
      <c r="J439" t="n">
        <v>0</v>
      </c>
      <c r="K439" t="n">
        <v>0</v>
      </c>
      <c r="L439" t="n">
        <v>0</v>
      </c>
      <c r="M439" t="n">
        <v>0</v>
      </c>
      <c r="N439" t="n">
        <v>0</v>
      </c>
      <c r="O439" t="n">
        <v>0</v>
      </c>
      <c r="P439" t="n">
        <v>0</v>
      </c>
      <c r="Q439" t="n">
        <v>0</v>
      </c>
      <c r="R439" s="2" t="inlineStr"/>
    </row>
    <row r="440" ht="15" customHeight="1">
      <c r="A440" t="inlineStr">
        <is>
          <t>A 26857-2021</t>
        </is>
      </c>
      <c r="B440" s="1" t="n">
        <v>44349</v>
      </c>
      <c r="C440" s="1" t="n">
        <v>45749</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26867-2021</t>
        </is>
      </c>
      <c r="B441" s="1" t="n">
        <v>44349</v>
      </c>
      <c r="C441" s="1" t="n">
        <v>45749</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27930-2021</t>
        </is>
      </c>
      <c r="B442" s="1" t="n">
        <v>44354</v>
      </c>
      <c r="C442" s="1" t="n">
        <v>45749</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30055-2021</t>
        </is>
      </c>
      <c r="B443" s="1" t="n">
        <v>44363</v>
      </c>
      <c r="C443" s="1" t="n">
        <v>45749</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31264-2021</t>
        </is>
      </c>
      <c r="B444" s="1" t="n">
        <v>44368</v>
      </c>
      <c r="C444" s="1" t="n">
        <v>45749</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31981-2021</t>
        </is>
      </c>
      <c r="B445" s="1" t="n">
        <v>44370</v>
      </c>
      <c r="C445" s="1" t="n">
        <v>45749</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32647-2021</t>
        </is>
      </c>
      <c r="B446" s="1" t="n">
        <v>44375</v>
      </c>
      <c r="C446" s="1" t="n">
        <v>45749</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32691-2021</t>
        </is>
      </c>
      <c r="B447" s="1" t="n">
        <v>44375</v>
      </c>
      <c r="C447" s="1" t="n">
        <v>45749</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45749</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36313-2021</t>
        </is>
      </c>
      <c r="B449" s="1" t="n">
        <v>44390</v>
      </c>
      <c r="C449" s="1" t="n">
        <v>45749</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37037-2021</t>
        </is>
      </c>
      <c r="B450" s="1" t="n">
        <v>44393</v>
      </c>
      <c r="C450" s="1" t="n">
        <v>45749</v>
      </c>
      <c r="D450" t="inlineStr">
        <is>
          <t>GOTLANDS LÄN</t>
        </is>
      </c>
      <c r="E450" t="inlineStr">
        <is>
          <t>GOTLAND</t>
        </is>
      </c>
      <c r="G450" t="n">
        <v>10.2</v>
      </c>
      <c r="H450" t="n">
        <v>0</v>
      </c>
      <c r="I450" t="n">
        <v>0</v>
      </c>
      <c r="J450" t="n">
        <v>0</v>
      </c>
      <c r="K450" t="n">
        <v>0</v>
      </c>
      <c r="L450" t="n">
        <v>0</v>
      </c>
      <c r="M450" t="n">
        <v>0</v>
      </c>
      <c r="N450" t="n">
        <v>0</v>
      </c>
      <c r="O450" t="n">
        <v>0</v>
      </c>
      <c r="P450" t="n">
        <v>0</v>
      </c>
      <c r="Q450" t="n">
        <v>0</v>
      </c>
      <c r="R450" s="2" t="inlineStr"/>
    </row>
    <row r="451" ht="15" customHeight="1">
      <c r="A451" t="inlineStr">
        <is>
          <t>A 37222-2021</t>
        </is>
      </c>
      <c r="B451" s="1" t="n">
        <v>44396</v>
      </c>
      <c r="C451" s="1" t="n">
        <v>45749</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42688-2021</t>
        </is>
      </c>
      <c r="B452" s="1" t="n">
        <v>44428</v>
      </c>
      <c r="C452" s="1" t="n">
        <v>45749</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44304-2021</t>
        </is>
      </c>
      <c r="B453" s="1" t="n">
        <v>44434</v>
      </c>
      <c r="C453" s="1" t="n">
        <v>45749</v>
      </c>
      <c r="D453" t="inlineStr">
        <is>
          <t>GOTLANDS LÄN</t>
        </is>
      </c>
      <c r="E453" t="inlineStr">
        <is>
          <t>GOTLAND</t>
        </is>
      </c>
      <c r="G453" t="n">
        <v>5.8</v>
      </c>
      <c r="H453" t="n">
        <v>0</v>
      </c>
      <c r="I453" t="n">
        <v>0</v>
      </c>
      <c r="J453" t="n">
        <v>0</v>
      </c>
      <c r="K453" t="n">
        <v>0</v>
      </c>
      <c r="L453" t="n">
        <v>0</v>
      </c>
      <c r="M453" t="n">
        <v>0</v>
      </c>
      <c r="N453" t="n">
        <v>0</v>
      </c>
      <c r="O453" t="n">
        <v>0</v>
      </c>
      <c r="P453" t="n">
        <v>0</v>
      </c>
      <c r="Q453" t="n">
        <v>0</v>
      </c>
      <c r="R453" s="2" t="inlineStr"/>
    </row>
    <row r="454" ht="15" customHeight="1">
      <c r="A454" t="inlineStr">
        <is>
          <t>A 44649-2021</t>
        </is>
      </c>
      <c r="B454" s="1" t="n">
        <v>44437</v>
      </c>
      <c r="C454" s="1" t="n">
        <v>45749</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46362-2021</t>
        </is>
      </c>
      <c r="B455" s="1" t="n">
        <v>44442</v>
      </c>
      <c r="C455" s="1" t="n">
        <v>45749</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46389-2021</t>
        </is>
      </c>
      <c r="B456" s="1" t="n">
        <v>44443</v>
      </c>
      <c r="C456" s="1" t="n">
        <v>45749</v>
      </c>
      <c r="D456" t="inlineStr">
        <is>
          <t>GOTLANDS LÄN</t>
        </is>
      </c>
      <c r="E456" t="inlineStr">
        <is>
          <t>GOTLAND</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47369-2021</t>
        </is>
      </c>
      <c r="B457" s="1" t="n">
        <v>44447</v>
      </c>
      <c r="C457" s="1" t="n">
        <v>45749</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50892-2021</t>
        </is>
      </c>
      <c r="B458" s="1" t="n">
        <v>44459</v>
      </c>
      <c r="C458" s="1" t="n">
        <v>45749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52892-2021</t>
        </is>
      </c>
      <c r="B459" s="1" t="n">
        <v>44467</v>
      </c>
      <c r="C459" s="1" t="n">
        <v>45749</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53479-2021</t>
        </is>
      </c>
      <c r="B460" s="1" t="n">
        <v>44468</v>
      </c>
      <c r="C460" s="1" t="n">
        <v>45749</v>
      </c>
      <c r="D460" t="inlineStr">
        <is>
          <t>GOTLANDS LÄN</t>
        </is>
      </c>
      <c r="E460" t="inlineStr">
        <is>
          <t>GOTLAND</t>
        </is>
      </c>
      <c r="G460" t="n">
        <v>8</v>
      </c>
      <c r="H460" t="n">
        <v>0</v>
      </c>
      <c r="I460" t="n">
        <v>0</v>
      </c>
      <c r="J460" t="n">
        <v>0</v>
      </c>
      <c r="K460" t="n">
        <v>0</v>
      </c>
      <c r="L460" t="n">
        <v>0</v>
      </c>
      <c r="M460" t="n">
        <v>0</v>
      </c>
      <c r="N460" t="n">
        <v>0</v>
      </c>
      <c r="O460" t="n">
        <v>0</v>
      </c>
      <c r="P460" t="n">
        <v>0</v>
      </c>
      <c r="Q460" t="n">
        <v>0</v>
      </c>
      <c r="R460" s="2" t="inlineStr"/>
    </row>
    <row r="461" ht="15" customHeight="1">
      <c r="A461" t="inlineStr">
        <is>
          <t>A 56951-2021</t>
        </is>
      </c>
      <c r="B461" s="1" t="n">
        <v>44482</v>
      </c>
      <c r="C461" s="1" t="n">
        <v>45749</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57219-2021</t>
        </is>
      </c>
      <c r="B462" s="1" t="n">
        <v>44483</v>
      </c>
      <c r="C462" s="1" t="n">
        <v>45749</v>
      </c>
      <c r="D462" t="inlineStr">
        <is>
          <t>GOTLANDS LÄN</t>
        </is>
      </c>
      <c r="E462" t="inlineStr">
        <is>
          <t>GOTLAND</t>
        </is>
      </c>
      <c r="F462" t="inlineStr">
        <is>
          <t>Kyrkan</t>
        </is>
      </c>
      <c r="G462" t="n">
        <v>4</v>
      </c>
      <c r="H462" t="n">
        <v>0</v>
      </c>
      <c r="I462" t="n">
        <v>0</v>
      </c>
      <c r="J462" t="n">
        <v>0</v>
      </c>
      <c r="K462" t="n">
        <v>0</v>
      </c>
      <c r="L462" t="n">
        <v>0</v>
      </c>
      <c r="M462" t="n">
        <v>0</v>
      </c>
      <c r="N462" t="n">
        <v>0</v>
      </c>
      <c r="O462" t="n">
        <v>0</v>
      </c>
      <c r="P462" t="n">
        <v>0</v>
      </c>
      <c r="Q462" t="n">
        <v>0</v>
      </c>
      <c r="R462" s="2" t="inlineStr"/>
    </row>
    <row r="463" ht="15" customHeight="1">
      <c r="A463" t="inlineStr">
        <is>
          <t>A 58224-2021</t>
        </is>
      </c>
      <c r="B463" s="1" t="n">
        <v>44487</v>
      </c>
      <c r="C463" s="1" t="n">
        <v>45749</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58600-2021</t>
        </is>
      </c>
      <c r="B464" s="1" t="n">
        <v>44488</v>
      </c>
      <c r="C464" s="1" t="n">
        <v>45749</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58815-2021</t>
        </is>
      </c>
      <c r="B465" s="1" t="n">
        <v>44489</v>
      </c>
      <c r="C465" s="1" t="n">
        <v>45749</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60607-2021</t>
        </is>
      </c>
      <c r="B466" s="1" t="n">
        <v>44496</v>
      </c>
      <c r="C466" s="1" t="n">
        <v>45749</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60675-2021</t>
        </is>
      </c>
      <c r="B467" s="1" t="n">
        <v>44496</v>
      </c>
      <c r="C467" s="1" t="n">
        <v>45749</v>
      </c>
      <c r="D467" t="inlineStr">
        <is>
          <t>GOTLANDS LÄN</t>
        </is>
      </c>
      <c r="E467" t="inlineStr">
        <is>
          <t>GOTLAND</t>
        </is>
      </c>
      <c r="G467" t="n">
        <v>4.6</v>
      </c>
      <c r="H467" t="n">
        <v>0</v>
      </c>
      <c r="I467" t="n">
        <v>0</v>
      </c>
      <c r="J467" t="n">
        <v>0</v>
      </c>
      <c r="K467" t="n">
        <v>0</v>
      </c>
      <c r="L467" t="n">
        <v>0</v>
      </c>
      <c r="M467" t="n">
        <v>0</v>
      </c>
      <c r="N467" t="n">
        <v>0</v>
      </c>
      <c r="O467" t="n">
        <v>0</v>
      </c>
      <c r="P467" t="n">
        <v>0</v>
      </c>
      <c r="Q467" t="n">
        <v>0</v>
      </c>
      <c r="R467" s="2" t="inlineStr"/>
    </row>
    <row r="468" ht="15" customHeight="1">
      <c r="A468" t="inlineStr">
        <is>
          <t>A 62915-2021</t>
        </is>
      </c>
      <c r="B468" s="1" t="n">
        <v>44504</v>
      </c>
      <c r="C468" s="1" t="n">
        <v>45749</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63229-2021</t>
        </is>
      </c>
      <c r="B469" s="1" t="n">
        <v>44508</v>
      </c>
      <c r="C469" s="1" t="n">
        <v>45749</v>
      </c>
      <c r="D469" t="inlineStr">
        <is>
          <t>GOTLANDS LÄN</t>
        </is>
      </c>
      <c r="E469" t="inlineStr">
        <is>
          <t>GOTLAND</t>
        </is>
      </c>
      <c r="F469" t="inlineStr">
        <is>
          <t>Kyrkan</t>
        </is>
      </c>
      <c r="G469" t="n">
        <v>3.8</v>
      </c>
      <c r="H469" t="n">
        <v>0</v>
      </c>
      <c r="I469" t="n">
        <v>0</v>
      </c>
      <c r="J469" t="n">
        <v>0</v>
      </c>
      <c r="K469" t="n">
        <v>0</v>
      </c>
      <c r="L469" t="n">
        <v>0</v>
      </c>
      <c r="M469" t="n">
        <v>0</v>
      </c>
      <c r="N469" t="n">
        <v>0</v>
      </c>
      <c r="O469" t="n">
        <v>0</v>
      </c>
      <c r="P469" t="n">
        <v>0</v>
      </c>
      <c r="Q469" t="n">
        <v>0</v>
      </c>
      <c r="R469" s="2" t="inlineStr"/>
    </row>
    <row r="470" ht="15" customHeight="1">
      <c r="A470" t="inlineStr">
        <is>
          <t>A 64208-2021</t>
        </is>
      </c>
      <c r="B470" s="1" t="n">
        <v>44510</v>
      </c>
      <c r="C470" s="1" t="n">
        <v>45749</v>
      </c>
      <c r="D470" t="inlineStr">
        <is>
          <t>GOTLANDS LÄN</t>
        </is>
      </c>
      <c r="E470" t="inlineStr">
        <is>
          <t>GOTLAND</t>
        </is>
      </c>
      <c r="G470" t="n">
        <v>4.7</v>
      </c>
      <c r="H470" t="n">
        <v>0</v>
      </c>
      <c r="I470" t="n">
        <v>0</v>
      </c>
      <c r="J470" t="n">
        <v>0</v>
      </c>
      <c r="K470" t="n">
        <v>0</v>
      </c>
      <c r="L470" t="n">
        <v>0</v>
      </c>
      <c r="M470" t="n">
        <v>0</v>
      </c>
      <c r="N470" t="n">
        <v>0</v>
      </c>
      <c r="O470" t="n">
        <v>0</v>
      </c>
      <c r="P470" t="n">
        <v>0</v>
      </c>
      <c r="Q470" t="n">
        <v>0</v>
      </c>
      <c r="R470" s="2" t="inlineStr"/>
    </row>
    <row r="471" ht="15" customHeight="1">
      <c r="A471" t="inlineStr">
        <is>
          <t>A 65393-2021</t>
        </is>
      </c>
      <c r="B471" s="1" t="n">
        <v>44515</v>
      </c>
      <c r="C471" s="1" t="n">
        <v>45749</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65901-2021</t>
        </is>
      </c>
      <c r="B472" s="1" t="n">
        <v>44516</v>
      </c>
      <c r="C472" s="1" t="n">
        <v>45749</v>
      </c>
      <c r="D472" t="inlineStr">
        <is>
          <t>GOTLANDS LÄN</t>
        </is>
      </c>
      <c r="E472" t="inlineStr">
        <is>
          <t>GOTLAND</t>
        </is>
      </c>
      <c r="G472" t="n">
        <v>4.9</v>
      </c>
      <c r="H472" t="n">
        <v>0</v>
      </c>
      <c r="I472" t="n">
        <v>0</v>
      </c>
      <c r="J472" t="n">
        <v>0</v>
      </c>
      <c r="K472" t="n">
        <v>0</v>
      </c>
      <c r="L472" t="n">
        <v>0</v>
      </c>
      <c r="M472" t="n">
        <v>0</v>
      </c>
      <c r="N472" t="n">
        <v>0</v>
      </c>
      <c r="O472" t="n">
        <v>0</v>
      </c>
      <c r="P472" t="n">
        <v>0</v>
      </c>
      <c r="Q472" t="n">
        <v>0</v>
      </c>
      <c r="R472" s="2" t="inlineStr"/>
    </row>
    <row r="473" ht="15" customHeight="1">
      <c r="A473" t="inlineStr">
        <is>
          <t>A 69112-2021</t>
        </is>
      </c>
      <c r="B473" s="1" t="n">
        <v>44530</v>
      </c>
      <c r="C473" s="1" t="n">
        <v>45749</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70997-2021</t>
        </is>
      </c>
      <c r="B474" s="1" t="n">
        <v>44538</v>
      </c>
      <c r="C474" s="1" t="n">
        <v>45749</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71010-2021</t>
        </is>
      </c>
      <c r="B475" s="1" t="n">
        <v>44538</v>
      </c>
      <c r="C475" s="1" t="n">
        <v>45749</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71620-2021</t>
        </is>
      </c>
      <c r="B476" s="1" t="n">
        <v>44542</v>
      </c>
      <c r="C476" s="1" t="n">
        <v>45749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72626-2021</t>
        </is>
      </c>
      <c r="B477" s="1" t="n">
        <v>44546</v>
      </c>
      <c r="C477" s="1" t="n">
        <v>45749</v>
      </c>
      <c r="D477" t="inlineStr">
        <is>
          <t>GOTLANDS LÄN</t>
        </is>
      </c>
      <c r="E477" t="inlineStr">
        <is>
          <t>GOTLAND</t>
        </is>
      </c>
      <c r="G477" t="n">
        <v>7.3</v>
      </c>
      <c r="H477" t="n">
        <v>0</v>
      </c>
      <c r="I477" t="n">
        <v>0</v>
      </c>
      <c r="J477" t="n">
        <v>0</v>
      </c>
      <c r="K477" t="n">
        <v>0</v>
      </c>
      <c r="L477" t="n">
        <v>0</v>
      </c>
      <c r="M477" t="n">
        <v>0</v>
      </c>
      <c r="N477" t="n">
        <v>0</v>
      </c>
      <c r="O477" t="n">
        <v>0</v>
      </c>
      <c r="P477" t="n">
        <v>0</v>
      </c>
      <c r="Q477" t="n">
        <v>0</v>
      </c>
      <c r="R477" s="2" t="inlineStr"/>
    </row>
    <row r="478" ht="15" customHeight="1">
      <c r="A478" t="inlineStr">
        <is>
          <t>A 411-2022</t>
        </is>
      </c>
      <c r="B478" s="1" t="n">
        <v>44565</v>
      </c>
      <c r="C478" s="1" t="n">
        <v>45749</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4262-2022</t>
        </is>
      </c>
      <c r="B479" s="1" t="n">
        <v>44588</v>
      </c>
      <c r="C479" s="1" t="n">
        <v>45749</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8055-2022</t>
        </is>
      </c>
      <c r="B480" s="1" t="n">
        <v>44609</v>
      </c>
      <c r="C480" s="1" t="n">
        <v>45749</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8036-2022</t>
        </is>
      </c>
      <c r="B481" s="1" t="n">
        <v>44609</v>
      </c>
      <c r="C481" s="1" t="n">
        <v>45749</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8045-2022</t>
        </is>
      </c>
      <c r="B482" s="1" t="n">
        <v>44609</v>
      </c>
      <c r="C482" s="1" t="n">
        <v>45749</v>
      </c>
      <c r="D482" t="inlineStr">
        <is>
          <t>GOTLANDS LÄN</t>
        </is>
      </c>
      <c r="E482" t="inlineStr">
        <is>
          <t>GOTLAND</t>
        </is>
      </c>
      <c r="G482" t="n">
        <v>7</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v>
      </c>
      <c r="C483" s="1" t="n">
        <v>45749</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11029-2022</t>
        </is>
      </c>
      <c r="B484" s="1" t="n">
        <v>44628</v>
      </c>
      <c r="C484" s="1" t="n">
        <v>45749</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13498-2022</t>
        </is>
      </c>
      <c r="B485" s="1" t="n">
        <v>44647</v>
      </c>
      <c r="C485" s="1" t="n">
        <v>45749</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13500-2022</t>
        </is>
      </c>
      <c r="B486" s="1" t="n">
        <v>44647</v>
      </c>
      <c r="C486" s="1" t="n">
        <v>45749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13643-2022</t>
        </is>
      </c>
      <c r="B487" s="1" t="n">
        <v>44648</v>
      </c>
      <c r="C487" s="1" t="n">
        <v>45749</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14413-2022</t>
        </is>
      </c>
      <c r="B488" s="1" t="n">
        <v>44652</v>
      </c>
      <c r="C488" s="1" t="n">
        <v>45749</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15713-2022</t>
        </is>
      </c>
      <c r="B489" s="1" t="n">
        <v>44663</v>
      </c>
      <c r="C489" s="1" t="n">
        <v>45749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15710-2022</t>
        </is>
      </c>
      <c r="B490" s="1" t="n">
        <v>44663</v>
      </c>
      <c r="C490" s="1" t="n">
        <v>45749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16858-2022</t>
        </is>
      </c>
      <c r="B491" s="1" t="n">
        <v>44674</v>
      </c>
      <c r="C491" s="1" t="n">
        <v>45749</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17147-2022</t>
        </is>
      </c>
      <c r="B492" s="1" t="n">
        <v>44677</v>
      </c>
      <c r="C492" s="1" t="n">
        <v>45749</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17354-2022</t>
        </is>
      </c>
      <c r="B493" s="1" t="n">
        <v>44678</v>
      </c>
      <c r="C493" s="1" t="n">
        <v>45749</v>
      </c>
      <c r="D493" t="inlineStr">
        <is>
          <t>GOTLANDS LÄN</t>
        </is>
      </c>
      <c r="E493" t="inlineStr">
        <is>
          <t>GOTLAND</t>
        </is>
      </c>
      <c r="G493" t="n">
        <v>7.1</v>
      </c>
      <c r="H493" t="n">
        <v>0</v>
      </c>
      <c r="I493" t="n">
        <v>0</v>
      </c>
      <c r="J493" t="n">
        <v>0</v>
      </c>
      <c r="K493" t="n">
        <v>0</v>
      </c>
      <c r="L493" t="n">
        <v>0</v>
      </c>
      <c r="M493" t="n">
        <v>0</v>
      </c>
      <c r="N493" t="n">
        <v>0</v>
      </c>
      <c r="O493" t="n">
        <v>0</v>
      </c>
      <c r="P493" t="n">
        <v>0</v>
      </c>
      <c r="Q493" t="n">
        <v>0</v>
      </c>
      <c r="R493" s="2" t="inlineStr"/>
    </row>
    <row r="494" ht="15" customHeight="1">
      <c r="A494" t="inlineStr">
        <is>
          <t>A 17381-2022</t>
        </is>
      </c>
      <c r="B494" s="1" t="n">
        <v>44678</v>
      </c>
      <c r="C494" s="1" t="n">
        <v>45749</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17780-2022</t>
        </is>
      </c>
      <c r="B495" s="1" t="n">
        <v>44682</v>
      </c>
      <c r="C495" s="1" t="n">
        <v>45749</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v>
      </c>
      <c r="C496" s="1" t="n">
        <v>45749</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20356-2022</t>
        </is>
      </c>
      <c r="B497" s="1" t="n">
        <v>44699</v>
      </c>
      <c r="C497" s="1" t="n">
        <v>45749</v>
      </c>
      <c r="D497" t="inlineStr">
        <is>
          <t>GOTLANDS LÄN</t>
        </is>
      </c>
      <c r="E497" t="inlineStr">
        <is>
          <t>GOTLAND</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20990-2022</t>
        </is>
      </c>
      <c r="B498" s="1" t="n">
        <v>44703</v>
      </c>
      <c r="C498" s="1" t="n">
        <v>45749</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20993-2022</t>
        </is>
      </c>
      <c r="B499" s="1" t="n">
        <v>44703</v>
      </c>
      <c r="C499" s="1" t="n">
        <v>45749</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v>
      </c>
      <c r="C500" s="1" t="n">
        <v>45749</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22287-2022</t>
        </is>
      </c>
      <c r="B501" s="1" t="n">
        <v>44712</v>
      </c>
      <c r="C501" s="1" t="n">
        <v>45749</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22498-2022</t>
        </is>
      </c>
      <c r="B502" s="1" t="n">
        <v>44713</v>
      </c>
      <c r="C502" s="1" t="n">
        <v>45749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22495-2022</t>
        </is>
      </c>
      <c r="B503" s="1" t="n">
        <v>44713</v>
      </c>
      <c r="C503" s="1" t="n">
        <v>45749</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24123-2022</t>
        </is>
      </c>
      <c r="B504" s="1" t="n">
        <v>44725</v>
      </c>
      <c r="C504" s="1" t="n">
        <v>45749</v>
      </c>
      <c r="D504" t="inlineStr">
        <is>
          <t>GOTLANDS LÄN</t>
        </is>
      </c>
      <c r="E504" t="inlineStr">
        <is>
          <t>GOTLAND</t>
        </is>
      </c>
      <c r="G504" t="n">
        <v>6</v>
      </c>
      <c r="H504" t="n">
        <v>0</v>
      </c>
      <c r="I504" t="n">
        <v>0</v>
      </c>
      <c r="J504" t="n">
        <v>0</v>
      </c>
      <c r="K504" t="n">
        <v>0</v>
      </c>
      <c r="L504" t="n">
        <v>0</v>
      </c>
      <c r="M504" t="n">
        <v>0</v>
      </c>
      <c r="N504" t="n">
        <v>0</v>
      </c>
      <c r="O504" t="n">
        <v>0</v>
      </c>
      <c r="P504" t="n">
        <v>0</v>
      </c>
      <c r="Q504" t="n">
        <v>0</v>
      </c>
      <c r="R504" s="2" t="inlineStr"/>
    </row>
    <row r="505" ht="15" customHeight="1">
      <c r="A505" t="inlineStr">
        <is>
          <t>A 24235-2022</t>
        </is>
      </c>
      <c r="B505" s="1" t="n">
        <v>44725</v>
      </c>
      <c r="C505" s="1" t="n">
        <v>45749</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25866-2022</t>
        </is>
      </c>
      <c r="B506" s="1" t="n">
        <v>44733</v>
      </c>
      <c r="C506" s="1" t="n">
        <v>45749</v>
      </c>
      <c r="D506" t="inlineStr">
        <is>
          <t>GOTLANDS LÄN</t>
        </is>
      </c>
      <c r="E506" t="inlineStr">
        <is>
          <t>GOTLAND</t>
        </is>
      </c>
      <c r="G506" t="n">
        <v>2.9</v>
      </c>
      <c r="H506" t="n">
        <v>0</v>
      </c>
      <c r="I506" t="n">
        <v>0</v>
      </c>
      <c r="J506" t="n">
        <v>0</v>
      </c>
      <c r="K506" t="n">
        <v>0</v>
      </c>
      <c r="L506" t="n">
        <v>0</v>
      </c>
      <c r="M506" t="n">
        <v>0</v>
      </c>
      <c r="N506" t="n">
        <v>0</v>
      </c>
      <c r="O506" t="n">
        <v>0</v>
      </c>
      <c r="P506" t="n">
        <v>0</v>
      </c>
      <c r="Q506" t="n">
        <v>0</v>
      </c>
      <c r="R506" s="2" t="inlineStr"/>
    </row>
    <row r="507" ht="15" customHeight="1">
      <c r="A507" t="inlineStr">
        <is>
          <t>A 27095-2022</t>
        </is>
      </c>
      <c r="B507" s="1" t="n">
        <v>44741</v>
      </c>
      <c r="C507" s="1" t="n">
        <v>45749</v>
      </c>
      <c r="D507" t="inlineStr">
        <is>
          <t>GOTLANDS LÄN</t>
        </is>
      </c>
      <c r="E507" t="inlineStr">
        <is>
          <t>GOTLAND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29809-2022</t>
        </is>
      </c>
      <c r="B508" s="1" t="n">
        <v>44755</v>
      </c>
      <c r="C508" s="1" t="n">
        <v>45749</v>
      </c>
      <c r="D508" t="inlineStr">
        <is>
          <t>GOTLANDS LÄN</t>
        </is>
      </c>
      <c r="E508" t="inlineStr">
        <is>
          <t>GOTLAND</t>
        </is>
      </c>
      <c r="G508" t="n">
        <v>11.5</v>
      </c>
      <c r="H508" t="n">
        <v>0</v>
      </c>
      <c r="I508" t="n">
        <v>0</v>
      </c>
      <c r="J508" t="n">
        <v>0</v>
      </c>
      <c r="K508" t="n">
        <v>0</v>
      </c>
      <c r="L508" t="n">
        <v>0</v>
      </c>
      <c r="M508" t="n">
        <v>0</v>
      </c>
      <c r="N508" t="n">
        <v>0</v>
      </c>
      <c r="O508" t="n">
        <v>0</v>
      </c>
      <c r="P508" t="n">
        <v>0</v>
      </c>
      <c r="Q508" t="n">
        <v>0</v>
      </c>
      <c r="R508" s="2" t="inlineStr"/>
    </row>
    <row r="509" ht="15" customHeight="1">
      <c r="A509" t="inlineStr">
        <is>
          <t>A 30282-2022</t>
        </is>
      </c>
      <c r="B509" s="1" t="n">
        <v>44760</v>
      </c>
      <c r="C509" s="1" t="n">
        <v>45749</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31239-2022</t>
        </is>
      </c>
      <c r="B510" s="1" t="n">
        <v>44771</v>
      </c>
      <c r="C510" s="1" t="n">
        <v>45749</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37569-2022</t>
        </is>
      </c>
      <c r="B511" s="1" t="n">
        <v>44809</v>
      </c>
      <c r="C511" s="1" t="n">
        <v>45749</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39302-2022</t>
        </is>
      </c>
      <c r="B512" s="1" t="n">
        <v>44817</v>
      </c>
      <c r="C512" s="1" t="n">
        <v>45749</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39496-2022</t>
        </is>
      </c>
      <c r="B513" s="1" t="n">
        <v>44818</v>
      </c>
      <c r="C513" s="1" t="n">
        <v>45749</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39479-2022</t>
        </is>
      </c>
      <c r="B514" s="1" t="n">
        <v>44818</v>
      </c>
      <c r="C514" s="1" t="n">
        <v>45749</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39764-2022</t>
        </is>
      </c>
      <c r="B515" s="1" t="n">
        <v>44819</v>
      </c>
      <c r="C515" s="1" t="n">
        <v>45749</v>
      </c>
      <c r="D515" t="inlineStr">
        <is>
          <t>GOTLANDS LÄN</t>
        </is>
      </c>
      <c r="E515" t="inlineStr">
        <is>
          <t>GOTLAND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45749</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40478-2022</t>
        </is>
      </c>
      <c r="B517" s="1" t="n">
        <v>44823</v>
      </c>
      <c r="C517" s="1" t="n">
        <v>45749</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45749</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44102-2022</t>
        </is>
      </c>
      <c r="B519" s="1" t="n">
        <v>44839</v>
      </c>
      <c r="C519" s="1" t="n">
        <v>45749</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44108-2022</t>
        </is>
      </c>
      <c r="B520" s="1" t="n">
        <v>44839</v>
      </c>
      <c r="C520" s="1" t="n">
        <v>45749</v>
      </c>
      <c r="D520" t="inlineStr">
        <is>
          <t>GOTLANDS LÄN</t>
        </is>
      </c>
      <c r="E520" t="inlineStr">
        <is>
          <t>GOTLAND</t>
        </is>
      </c>
      <c r="G520" t="n">
        <v>12.9</v>
      </c>
      <c r="H520" t="n">
        <v>0</v>
      </c>
      <c r="I520" t="n">
        <v>0</v>
      </c>
      <c r="J520" t="n">
        <v>0</v>
      </c>
      <c r="K520" t="n">
        <v>0</v>
      </c>
      <c r="L520" t="n">
        <v>0</v>
      </c>
      <c r="M520" t="n">
        <v>0</v>
      </c>
      <c r="N520" t="n">
        <v>0</v>
      </c>
      <c r="O520" t="n">
        <v>0</v>
      </c>
      <c r="P520" t="n">
        <v>0</v>
      </c>
      <c r="Q520" t="n">
        <v>0</v>
      </c>
      <c r="R520" s="2" t="inlineStr"/>
    </row>
    <row r="521" ht="15" customHeight="1">
      <c r="A521" t="inlineStr">
        <is>
          <t>A 44207-2022</t>
        </is>
      </c>
      <c r="B521" s="1" t="n">
        <v>44839</v>
      </c>
      <c r="C521" s="1" t="n">
        <v>45749</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44204-2022</t>
        </is>
      </c>
      <c r="B522" s="1" t="n">
        <v>44839</v>
      </c>
      <c r="C522" s="1" t="n">
        <v>45749</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44228-2022</t>
        </is>
      </c>
      <c r="B523" s="1" t="n">
        <v>44839</v>
      </c>
      <c r="C523" s="1" t="n">
        <v>45749</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44878-2022</t>
        </is>
      </c>
      <c r="B524" s="1" t="n">
        <v>44839</v>
      </c>
      <c r="C524" s="1" t="n">
        <v>45749</v>
      </c>
      <c r="D524" t="inlineStr">
        <is>
          <t>GOTLANDS LÄN</t>
        </is>
      </c>
      <c r="E524" t="inlineStr">
        <is>
          <t>GOTLAND</t>
        </is>
      </c>
      <c r="G524" t="n">
        <v>4</v>
      </c>
      <c r="H524" t="n">
        <v>0</v>
      </c>
      <c r="I524" t="n">
        <v>0</v>
      </c>
      <c r="J524" t="n">
        <v>0</v>
      </c>
      <c r="K524" t="n">
        <v>0</v>
      </c>
      <c r="L524" t="n">
        <v>0</v>
      </c>
      <c r="M524" t="n">
        <v>0</v>
      </c>
      <c r="N524" t="n">
        <v>0</v>
      </c>
      <c r="O524" t="n">
        <v>0</v>
      </c>
      <c r="P524" t="n">
        <v>0</v>
      </c>
      <c r="Q524" t="n">
        <v>0</v>
      </c>
      <c r="R524" s="2" t="inlineStr"/>
    </row>
    <row r="525" ht="15" customHeight="1">
      <c r="A525" t="inlineStr">
        <is>
          <t>A 44919-2022</t>
        </is>
      </c>
      <c r="B525" s="1" t="n">
        <v>44841</v>
      </c>
      <c r="C525" s="1" t="n">
        <v>45749</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44942-2022</t>
        </is>
      </c>
      <c r="B526" s="1" t="n">
        <v>44841</v>
      </c>
      <c r="C526" s="1" t="n">
        <v>45749</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46189-2022</t>
        </is>
      </c>
      <c r="B527" s="1" t="n">
        <v>44847</v>
      </c>
      <c r="C527" s="1" t="n">
        <v>45749</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47231-2022</t>
        </is>
      </c>
      <c r="B528" s="1" t="n">
        <v>44852</v>
      </c>
      <c r="C528" s="1" t="n">
        <v>45749</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45749</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49812-2022</t>
        </is>
      </c>
      <c r="B530" s="1" t="n">
        <v>44862</v>
      </c>
      <c r="C530" s="1" t="n">
        <v>45749</v>
      </c>
      <c r="D530" t="inlineStr">
        <is>
          <t>GOTLANDS LÄN</t>
        </is>
      </c>
      <c r="E530" t="inlineStr">
        <is>
          <t>GOTLAND</t>
        </is>
      </c>
      <c r="F530" t="inlineStr">
        <is>
          <t>Kyrkan</t>
        </is>
      </c>
      <c r="G530" t="n">
        <v>1.3</v>
      </c>
      <c r="H530" t="n">
        <v>0</v>
      </c>
      <c r="I530" t="n">
        <v>0</v>
      </c>
      <c r="J530" t="n">
        <v>0</v>
      </c>
      <c r="K530" t="n">
        <v>0</v>
      </c>
      <c r="L530" t="n">
        <v>0</v>
      </c>
      <c r="M530" t="n">
        <v>0</v>
      </c>
      <c r="N530" t="n">
        <v>0</v>
      </c>
      <c r="O530" t="n">
        <v>0</v>
      </c>
      <c r="P530" t="n">
        <v>0</v>
      </c>
      <c r="Q530" t="n">
        <v>0</v>
      </c>
      <c r="R530" s="2" t="inlineStr"/>
    </row>
    <row r="531" ht="15" customHeight="1">
      <c r="A531" t="inlineStr">
        <is>
          <t>A 50810-2022</t>
        </is>
      </c>
      <c r="B531" s="1" t="n">
        <v>44867</v>
      </c>
      <c r="C531" s="1" t="n">
        <v>45749</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51591-2022</t>
        </is>
      </c>
      <c r="B532" s="1" t="n">
        <v>44871</v>
      </c>
      <c r="C532" s="1" t="n">
        <v>45749</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53725-2022</t>
        </is>
      </c>
      <c r="B533" s="1" t="n">
        <v>44875</v>
      </c>
      <c r="C533" s="1" t="n">
        <v>45749</v>
      </c>
      <c r="D533" t="inlineStr">
        <is>
          <t>GOTLANDS LÄN</t>
        </is>
      </c>
      <c r="E533" t="inlineStr">
        <is>
          <t>GOTLAND</t>
        </is>
      </c>
      <c r="F533" t="inlineStr">
        <is>
          <t>Övriga statliga verk och myndigheter</t>
        </is>
      </c>
      <c r="G533" t="n">
        <v>6.2</v>
      </c>
      <c r="H533" t="n">
        <v>0</v>
      </c>
      <c r="I533" t="n">
        <v>0</v>
      </c>
      <c r="J533" t="n">
        <v>0</v>
      </c>
      <c r="K533" t="n">
        <v>0</v>
      </c>
      <c r="L533" t="n">
        <v>0</v>
      </c>
      <c r="M533" t="n">
        <v>0</v>
      </c>
      <c r="N533" t="n">
        <v>0</v>
      </c>
      <c r="O533" t="n">
        <v>0</v>
      </c>
      <c r="P533" t="n">
        <v>0</v>
      </c>
      <c r="Q533" t="n">
        <v>0</v>
      </c>
      <c r="R533" s="2" t="inlineStr"/>
    </row>
    <row r="534" ht="15" customHeight="1">
      <c r="A534" t="inlineStr">
        <is>
          <t>A 53722-2022</t>
        </is>
      </c>
      <c r="B534" s="1" t="n">
        <v>44875</v>
      </c>
      <c r="C534" s="1" t="n">
        <v>45749</v>
      </c>
      <c r="D534" t="inlineStr">
        <is>
          <t>GOTLANDS LÄN</t>
        </is>
      </c>
      <c r="E534" t="inlineStr">
        <is>
          <t>GOTLAND</t>
        </is>
      </c>
      <c r="F534" t="inlineStr">
        <is>
          <t>Övriga statliga verk och myndigheter</t>
        </is>
      </c>
      <c r="G534" t="n">
        <v>8</v>
      </c>
      <c r="H534" t="n">
        <v>0</v>
      </c>
      <c r="I534" t="n">
        <v>0</v>
      </c>
      <c r="J534" t="n">
        <v>0</v>
      </c>
      <c r="K534" t="n">
        <v>0</v>
      </c>
      <c r="L534" t="n">
        <v>0</v>
      </c>
      <c r="M534" t="n">
        <v>0</v>
      </c>
      <c r="N534" t="n">
        <v>0</v>
      </c>
      <c r="O534" t="n">
        <v>0</v>
      </c>
      <c r="P534" t="n">
        <v>0</v>
      </c>
      <c r="Q534" t="n">
        <v>0</v>
      </c>
      <c r="R534" s="2" t="inlineStr"/>
    </row>
    <row r="535" ht="15" customHeight="1">
      <c r="A535" t="inlineStr">
        <is>
          <t>A 53727-2022</t>
        </is>
      </c>
      <c r="B535" s="1" t="n">
        <v>44875</v>
      </c>
      <c r="C535" s="1" t="n">
        <v>45749</v>
      </c>
      <c r="D535" t="inlineStr">
        <is>
          <t>GOTLANDS LÄN</t>
        </is>
      </c>
      <c r="E535" t="inlineStr">
        <is>
          <t>GOTLAND</t>
        </is>
      </c>
      <c r="F535" t="inlineStr">
        <is>
          <t>Övriga statliga verk och myndigheter</t>
        </is>
      </c>
      <c r="G535" t="n">
        <v>3.6</v>
      </c>
      <c r="H535" t="n">
        <v>0</v>
      </c>
      <c r="I535" t="n">
        <v>0</v>
      </c>
      <c r="J535" t="n">
        <v>0</v>
      </c>
      <c r="K535" t="n">
        <v>0</v>
      </c>
      <c r="L535" t="n">
        <v>0</v>
      </c>
      <c r="M535" t="n">
        <v>0</v>
      </c>
      <c r="N535" t="n">
        <v>0</v>
      </c>
      <c r="O535" t="n">
        <v>0</v>
      </c>
      <c r="P535" t="n">
        <v>0</v>
      </c>
      <c r="Q535" t="n">
        <v>0</v>
      </c>
      <c r="R535" s="2" t="inlineStr"/>
    </row>
    <row r="536" ht="15" customHeight="1">
      <c r="A536" t="inlineStr">
        <is>
          <t>A 53225-2022</t>
        </is>
      </c>
      <c r="B536" s="1" t="n">
        <v>44876</v>
      </c>
      <c r="C536" s="1" t="n">
        <v>45749</v>
      </c>
      <c r="D536" t="inlineStr">
        <is>
          <t>GOTLANDS LÄN</t>
        </is>
      </c>
      <c r="E536" t="inlineStr">
        <is>
          <t>GOTLAND</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54074-2022</t>
        </is>
      </c>
      <c r="B537" s="1" t="n">
        <v>44881</v>
      </c>
      <c r="C537" s="1" t="n">
        <v>45749</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54073-2022</t>
        </is>
      </c>
      <c r="B538" s="1" t="n">
        <v>44881</v>
      </c>
      <c r="C538" s="1" t="n">
        <v>45749</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54268-2022</t>
        </is>
      </c>
      <c r="B539" s="1" t="n">
        <v>44882</v>
      </c>
      <c r="C539" s="1" t="n">
        <v>45749</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55866-2022</t>
        </is>
      </c>
      <c r="B540" s="1" t="n">
        <v>44888</v>
      </c>
      <c r="C540" s="1" t="n">
        <v>45749</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56928-2022</t>
        </is>
      </c>
      <c r="B541" s="1" t="n">
        <v>44894</v>
      </c>
      <c r="C541" s="1" t="n">
        <v>45749</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58388-2022</t>
        </is>
      </c>
      <c r="B542" s="1" t="n">
        <v>44894</v>
      </c>
      <c r="C542" s="1" t="n">
        <v>45749</v>
      </c>
      <c r="D542" t="inlineStr">
        <is>
          <t>GOTLANDS LÄN</t>
        </is>
      </c>
      <c r="E542" t="inlineStr">
        <is>
          <t>GOTLAND</t>
        </is>
      </c>
      <c r="F542" t="inlineStr">
        <is>
          <t>Övriga statliga verk och myndigheter</t>
        </is>
      </c>
      <c r="G542" t="n">
        <v>3.1</v>
      </c>
      <c r="H542" t="n">
        <v>0</v>
      </c>
      <c r="I542" t="n">
        <v>0</v>
      </c>
      <c r="J542" t="n">
        <v>0</v>
      </c>
      <c r="K542" t="n">
        <v>0</v>
      </c>
      <c r="L542" t="n">
        <v>0</v>
      </c>
      <c r="M542" t="n">
        <v>0</v>
      </c>
      <c r="N542" t="n">
        <v>0</v>
      </c>
      <c r="O542" t="n">
        <v>0</v>
      </c>
      <c r="P542" t="n">
        <v>0</v>
      </c>
      <c r="Q542" t="n">
        <v>0</v>
      </c>
      <c r="R542" s="2" t="inlineStr"/>
    </row>
    <row r="543" ht="15" customHeight="1">
      <c r="A543" t="inlineStr">
        <is>
          <t>A 57534-2022</t>
        </is>
      </c>
      <c r="B543" s="1" t="n">
        <v>44896</v>
      </c>
      <c r="C543" s="1" t="n">
        <v>45749</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57522-2022</t>
        </is>
      </c>
      <c r="B544" s="1" t="n">
        <v>44896</v>
      </c>
      <c r="C544" s="1" t="n">
        <v>45749</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57685-2022</t>
        </is>
      </c>
      <c r="B545" s="1" t="n">
        <v>44897</v>
      </c>
      <c r="C545" s="1" t="n">
        <v>45749</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57947-2022</t>
        </is>
      </c>
      <c r="B546" s="1" t="n">
        <v>44900</v>
      </c>
      <c r="C546" s="1" t="n">
        <v>45749</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58479-2022</t>
        </is>
      </c>
      <c r="B547" s="1" t="n">
        <v>44902</v>
      </c>
      <c r="C547" s="1" t="n">
        <v>45749</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58476-2022</t>
        </is>
      </c>
      <c r="B548" s="1" t="n">
        <v>44902</v>
      </c>
      <c r="C548" s="1" t="n">
        <v>45749</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59874-2022</t>
        </is>
      </c>
      <c r="B549" s="1" t="n">
        <v>44908</v>
      </c>
      <c r="C549" s="1" t="n">
        <v>45749</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60086-2022</t>
        </is>
      </c>
      <c r="B550" s="1" t="n">
        <v>44909</v>
      </c>
      <c r="C550" s="1" t="n">
        <v>45749</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45749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60372-2022</t>
        </is>
      </c>
      <c r="B552" s="1" t="n">
        <v>44910</v>
      </c>
      <c r="C552" s="1" t="n">
        <v>45749</v>
      </c>
      <c r="D552" t="inlineStr">
        <is>
          <t>GOTLANDS LÄN</t>
        </is>
      </c>
      <c r="E552" t="inlineStr">
        <is>
          <t>GOTLAND</t>
        </is>
      </c>
      <c r="G552" t="n">
        <v>3.9</v>
      </c>
      <c r="H552" t="n">
        <v>0</v>
      </c>
      <c r="I552" t="n">
        <v>0</v>
      </c>
      <c r="J552" t="n">
        <v>0</v>
      </c>
      <c r="K552" t="n">
        <v>0</v>
      </c>
      <c r="L552" t="n">
        <v>0</v>
      </c>
      <c r="M552" t="n">
        <v>0</v>
      </c>
      <c r="N552" t="n">
        <v>0</v>
      </c>
      <c r="O552" t="n">
        <v>0</v>
      </c>
      <c r="P552" t="n">
        <v>0</v>
      </c>
      <c r="Q552" t="n">
        <v>0</v>
      </c>
      <c r="R552" s="2" t="inlineStr"/>
    </row>
    <row r="553" ht="15" customHeight="1">
      <c r="A553" t="inlineStr">
        <is>
          <t>A 61100-2022</t>
        </is>
      </c>
      <c r="B553" s="1" t="n">
        <v>44915</v>
      </c>
      <c r="C553" s="1" t="n">
        <v>45749</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61570-2022</t>
        </is>
      </c>
      <c r="B554" s="1" t="n">
        <v>44916</v>
      </c>
      <c r="C554" s="1" t="n">
        <v>45749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61563-2022</t>
        </is>
      </c>
      <c r="B555" s="1" t="n">
        <v>44916</v>
      </c>
      <c r="C555" s="1" t="n">
        <v>45749</v>
      </c>
      <c r="D555" t="inlineStr">
        <is>
          <t>GOTLANDS LÄN</t>
        </is>
      </c>
      <c r="E555" t="inlineStr">
        <is>
          <t>GOTLAND</t>
        </is>
      </c>
      <c r="G555" t="n">
        <v>3.4</v>
      </c>
      <c r="H555" t="n">
        <v>0</v>
      </c>
      <c r="I555" t="n">
        <v>0</v>
      </c>
      <c r="J555" t="n">
        <v>0</v>
      </c>
      <c r="K555" t="n">
        <v>0</v>
      </c>
      <c r="L555" t="n">
        <v>0</v>
      </c>
      <c r="M555" t="n">
        <v>0</v>
      </c>
      <c r="N555" t="n">
        <v>0</v>
      </c>
      <c r="O555" t="n">
        <v>0</v>
      </c>
      <c r="P555" t="n">
        <v>0</v>
      </c>
      <c r="Q555" t="n">
        <v>0</v>
      </c>
      <c r="R555" s="2" t="inlineStr"/>
    </row>
    <row r="556" ht="15" customHeight="1">
      <c r="A556" t="inlineStr">
        <is>
          <t>A 62155-2022</t>
        </is>
      </c>
      <c r="B556" s="1" t="n">
        <v>44922</v>
      </c>
      <c r="C556" s="1" t="n">
        <v>45749</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62164-2022</t>
        </is>
      </c>
      <c r="B557" s="1" t="n">
        <v>44922</v>
      </c>
      <c r="C557" s="1" t="n">
        <v>45749</v>
      </c>
      <c r="D557" t="inlineStr">
        <is>
          <t>GOTLANDS LÄN</t>
        </is>
      </c>
      <c r="E557" t="inlineStr">
        <is>
          <t>GOTLAND</t>
        </is>
      </c>
      <c r="G557" t="n">
        <v>3.8</v>
      </c>
      <c r="H557" t="n">
        <v>0</v>
      </c>
      <c r="I557" t="n">
        <v>0</v>
      </c>
      <c r="J557" t="n">
        <v>0</v>
      </c>
      <c r="K557" t="n">
        <v>0</v>
      </c>
      <c r="L557" t="n">
        <v>0</v>
      </c>
      <c r="M557" t="n">
        <v>0</v>
      </c>
      <c r="N557" t="n">
        <v>0</v>
      </c>
      <c r="O557" t="n">
        <v>0</v>
      </c>
      <c r="P557" t="n">
        <v>0</v>
      </c>
      <c r="Q557" t="n">
        <v>0</v>
      </c>
      <c r="R557" s="2" t="inlineStr"/>
    </row>
    <row r="558" ht="15" customHeight="1">
      <c r="A558" t="inlineStr">
        <is>
          <t>A 62182-2022</t>
        </is>
      </c>
      <c r="B558" s="1" t="n">
        <v>44922</v>
      </c>
      <c r="C558" s="1" t="n">
        <v>45749</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62193-2022</t>
        </is>
      </c>
      <c r="B559" s="1" t="n">
        <v>44922</v>
      </c>
      <c r="C559" s="1" t="n">
        <v>45749</v>
      </c>
      <c r="D559" t="inlineStr">
        <is>
          <t>GOTLANDS LÄN</t>
        </is>
      </c>
      <c r="E559" t="inlineStr">
        <is>
          <t>GOTLAND</t>
        </is>
      </c>
      <c r="G559" t="n">
        <v>5.6</v>
      </c>
      <c r="H559" t="n">
        <v>0</v>
      </c>
      <c r="I559" t="n">
        <v>0</v>
      </c>
      <c r="J559" t="n">
        <v>0</v>
      </c>
      <c r="K559" t="n">
        <v>0</v>
      </c>
      <c r="L559" t="n">
        <v>0</v>
      </c>
      <c r="M559" t="n">
        <v>0</v>
      </c>
      <c r="N559" t="n">
        <v>0</v>
      </c>
      <c r="O559" t="n">
        <v>0</v>
      </c>
      <c r="P559" t="n">
        <v>0</v>
      </c>
      <c r="Q559" t="n">
        <v>0</v>
      </c>
      <c r="R559" s="2" t="inlineStr"/>
    </row>
    <row r="560" ht="15" customHeight="1">
      <c r="A560" t="inlineStr">
        <is>
          <t>A 62151-2022</t>
        </is>
      </c>
      <c r="B560" s="1" t="n">
        <v>44922</v>
      </c>
      <c r="C560" s="1" t="n">
        <v>45749</v>
      </c>
      <c r="D560" t="inlineStr">
        <is>
          <t>GOTLANDS LÄN</t>
        </is>
      </c>
      <c r="E560" t="inlineStr">
        <is>
          <t>GOTLAND</t>
        </is>
      </c>
      <c r="G560" t="n">
        <v>6.5</v>
      </c>
      <c r="H560" t="n">
        <v>0</v>
      </c>
      <c r="I560" t="n">
        <v>0</v>
      </c>
      <c r="J560" t="n">
        <v>0</v>
      </c>
      <c r="K560" t="n">
        <v>0</v>
      </c>
      <c r="L560" t="n">
        <v>0</v>
      </c>
      <c r="M560" t="n">
        <v>0</v>
      </c>
      <c r="N560" t="n">
        <v>0</v>
      </c>
      <c r="O560" t="n">
        <v>0</v>
      </c>
      <c r="P560" t="n">
        <v>0</v>
      </c>
      <c r="Q560" t="n">
        <v>0</v>
      </c>
      <c r="R560" s="2" t="inlineStr"/>
    </row>
    <row r="561" ht="15" customHeight="1">
      <c r="A561" t="inlineStr">
        <is>
          <t>A 62186-2022</t>
        </is>
      </c>
      <c r="B561" s="1" t="n">
        <v>44922</v>
      </c>
      <c r="C561" s="1" t="n">
        <v>45749</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62184-2022</t>
        </is>
      </c>
      <c r="B562" s="1" t="n">
        <v>44922</v>
      </c>
      <c r="C562" s="1" t="n">
        <v>45749</v>
      </c>
      <c r="D562" t="inlineStr">
        <is>
          <t>GOTLANDS LÄN</t>
        </is>
      </c>
      <c r="E562" t="inlineStr">
        <is>
          <t>GOTLAND</t>
        </is>
      </c>
      <c r="G562" t="n">
        <v>4.9</v>
      </c>
      <c r="H562" t="n">
        <v>0</v>
      </c>
      <c r="I562" t="n">
        <v>0</v>
      </c>
      <c r="J562" t="n">
        <v>0</v>
      </c>
      <c r="K562" t="n">
        <v>0</v>
      </c>
      <c r="L562" t="n">
        <v>0</v>
      </c>
      <c r="M562" t="n">
        <v>0</v>
      </c>
      <c r="N562" t="n">
        <v>0</v>
      </c>
      <c r="O562" t="n">
        <v>0</v>
      </c>
      <c r="P562" t="n">
        <v>0</v>
      </c>
      <c r="Q562" t="n">
        <v>0</v>
      </c>
      <c r="R562" s="2" t="inlineStr"/>
    </row>
    <row r="563" ht="15" customHeight="1">
      <c r="A563" t="inlineStr">
        <is>
          <t>A 163-2023</t>
        </is>
      </c>
      <c r="B563" s="1" t="n">
        <v>44928</v>
      </c>
      <c r="C563" s="1" t="n">
        <v>45749</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458-2023</t>
        </is>
      </c>
      <c r="B564" s="1" t="n">
        <v>44929</v>
      </c>
      <c r="C564" s="1" t="n">
        <v>45749</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457-2023</t>
        </is>
      </c>
      <c r="B565" s="1" t="n">
        <v>44929</v>
      </c>
      <c r="C565" s="1" t="n">
        <v>45749</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456-2023</t>
        </is>
      </c>
      <c r="B566" s="1" t="n">
        <v>44929</v>
      </c>
      <c r="C566" s="1" t="n">
        <v>45749</v>
      </c>
      <c r="D566" t="inlineStr">
        <is>
          <t>GOTLANDS LÄN</t>
        </is>
      </c>
      <c r="E566" t="inlineStr">
        <is>
          <t>GOTLAND</t>
        </is>
      </c>
      <c r="G566" t="n">
        <v>3.2</v>
      </c>
      <c r="H566" t="n">
        <v>0</v>
      </c>
      <c r="I566" t="n">
        <v>0</v>
      </c>
      <c r="J566" t="n">
        <v>0</v>
      </c>
      <c r="K566" t="n">
        <v>0</v>
      </c>
      <c r="L566" t="n">
        <v>0</v>
      </c>
      <c r="M566" t="n">
        <v>0</v>
      </c>
      <c r="N566" t="n">
        <v>0</v>
      </c>
      <c r="O566" t="n">
        <v>0</v>
      </c>
      <c r="P566" t="n">
        <v>0</v>
      </c>
      <c r="Q566" t="n">
        <v>0</v>
      </c>
      <c r="R566" s="2" t="inlineStr"/>
    </row>
    <row r="567" ht="15" customHeight="1">
      <c r="A567" t="inlineStr">
        <is>
          <t>A 459-2023</t>
        </is>
      </c>
      <c r="B567" s="1" t="n">
        <v>44929</v>
      </c>
      <c r="C567" s="1" t="n">
        <v>45749</v>
      </c>
      <c r="D567" t="inlineStr">
        <is>
          <t>GOTLANDS LÄN</t>
        </is>
      </c>
      <c r="E567" t="inlineStr">
        <is>
          <t>GOTLAND</t>
        </is>
      </c>
      <c r="G567" t="n">
        <v>4.2</v>
      </c>
      <c r="H567" t="n">
        <v>0</v>
      </c>
      <c r="I567" t="n">
        <v>0</v>
      </c>
      <c r="J567" t="n">
        <v>0</v>
      </c>
      <c r="K567" t="n">
        <v>0</v>
      </c>
      <c r="L567" t="n">
        <v>0</v>
      </c>
      <c r="M567" t="n">
        <v>0</v>
      </c>
      <c r="N567" t="n">
        <v>0</v>
      </c>
      <c r="O567" t="n">
        <v>0</v>
      </c>
      <c r="P567" t="n">
        <v>0</v>
      </c>
      <c r="Q567" t="n">
        <v>0</v>
      </c>
      <c r="R567" s="2" t="inlineStr"/>
    </row>
    <row r="568" ht="15" customHeight="1">
      <c r="A568" t="inlineStr">
        <is>
          <t>A 581-2023</t>
        </is>
      </c>
      <c r="B568" s="1" t="n">
        <v>44930</v>
      </c>
      <c r="C568" s="1" t="n">
        <v>45749</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811-2023</t>
        </is>
      </c>
      <c r="B569" s="1" t="n">
        <v>44931</v>
      </c>
      <c r="C569" s="1" t="n">
        <v>45749</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999-2023</t>
        </is>
      </c>
      <c r="B570" s="1" t="n">
        <v>44935</v>
      </c>
      <c r="C570" s="1" t="n">
        <v>45749</v>
      </c>
      <c r="D570" t="inlineStr">
        <is>
          <t>GOTLANDS LÄN</t>
        </is>
      </c>
      <c r="E570" t="inlineStr">
        <is>
          <t>GOTLAND</t>
        </is>
      </c>
      <c r="G570" t="n">
        <v>4.7</v>
      </c>
      <c r="H570" t="n">
        <v>0</v>
      </c>
      <c r="I570" t="n">
        <v>0</v>
      </c>
      <c r="J570" t="n">
        <v>0</v>
      </c>
      <c r="K570" t="n">
        <v>0</v>
      </c>
      <c r="L570" t="n">
        <v>0</v>
      </c>
      <c r="M570" t="n">
        <v>0</v>
      </c>
      <c r="N570" t="n">
        <v>0</v>
      </c>
      <c r="O570" t="n">
        <v>0</v>
      </c>
      <c r="P570" t="n">
        <v>0</v>
      </c>
      <c r="Q570" t="n">
        <v>0</v>
      </c>
      <c r="R570" s="2" t="inlineStr"/>
    </row>
    <row r="571" ht="15" customHeight="1">
      <c r="A571" t="inlineStr">
        <is>
          <t>A 1284-2023</t>
        </is>
      </c>
      <c r="B571" s="1" t="n">
        <v>44936</v>
      </c>
      <c r="C571" s="1" t="n">
        <v>45749</v>
      </c>
      <c r="D571" t="inlineStr">
        <is>
          <t>GOTLANDS LÄN</t>
        </is>
      </c>
      <c r="E571" t="inlineStr">
        <is>
          <t>GOTLAND</t>
        </is>
      </c>
      <c r="G571" t="n">
        <v>0.9</v>
      </c>
      <c r="H571" t="n">
        <v>0</v>
      </c>
      <c r="I571" t="n">
        <v>0</v>
      </c>
      <c r="J571" t="n">
        <v>0</v>
      </c>
      <c r="K571" t="n">
        <v>0</v>
      </c>
      <c r="L571" t="n">
        <v>0</v>
      </c>
      <c r="M571" t="n">
        <v>0</v>
      </c>
      <c r="N571" t="n">
        <v>0</v>
      </c>
      <c r="O571" t="n">
        <v>0</v>
      </c>
      <c r="P571" t="n">
        <v>0</v>
      </c>
      <c r="Q571" t="n">
        <v>0</v>
      </c>
      <c r="R571" s="2" t="inlineStr"/>
    </row>
    <row r="572" ht="15" customHeight="1">
      <c r="A572" t="inlineStr">
        <is>
          <t>A 1273-2023</t>
        </is>
      </c>
      <c r="B572" s="1" t="n">
        <v>44936</v>
      </c>
      <c r="C572" s="1" t="n">
        <v>45749</v>
      </c>
      <c r="D572" t="inlineStr">
        <is>
          <t>GOTLANDS LÄN</t>
        </is>
      </c>
      <c r="E572" t="inlineStr">
        <is>
          <t>GOTLAND</t>
        </is>
      </c>
      <c r="G572" t="n">
        <v>4.5</v>
      </c>
      <c r="H572" t="n">
        <v>0</v>
      </c>
      <c r="I572" t="n">
        <v>0</v>
      </c>
      <c r="J572" t="n">
        <v>0</v>
      </c>
      <c r="K572" t="n">
        <v>0</v>
      </c>
      <c r="L572" t="n">
        <v>0</v>
      </c>
      <c r="M572" t="n">
        <v>0</v>
      </c>
      <c r="N572" t="n">
        <v>0</v>
      </c>
      <c r="O572" t="n">
        <v>0</v>
      </c>
      <c r="P572" t="n">
        <v>0</v>
      </c>
      <c r="Q572" t="n">
        <v>0</v>
      </c>
      <c r="R572" s="2" t="inlineStr"/>
    </row>
    <row r="573" ht="15" customHeight="1">
      <c r="A573" t="inlineStr">
        <is>
          <t>A 1291-2023</t>
        </is>
      </c>
      <c r="B573" s="1" t="n">
        <v>44936</v>
      </c>
      <c r="C573" s="1" t="n">
        <v>45749</v>
      </c>
      <c r="D573" t="inlineStr">
        <is>
          <t>GOTLANDS LÄN</t>
        </is>
      </c>
      <c r="E573" t="inlineStr">
        <is>
          <t>GOTLAND</t>
        </is>
      </c>
      <c r="G573" t="n">
        <v>7.4</v>
      </c>
      <c r="H573" t="n">
        <v>0</v>
      </c>
      <c r="I573" t="n">
        <v>0</v>
      </c>
      <c r="J573" t="n">
        <v>0</v>
      </c>
      <c r="K573" t="n">
        <v>0</v>
      </c>
      <c r="L573" t="n">
        <v>0</v>
      </c>
      <c r="M573" t="n">
        <v>0</v>
      </c>
      <c r="N573" t="n">
        <v>0</v>
      </c>
      <c r="O573" t="n">
        <v>0</v>
      </c>
      <c r="P573" t="n">
        <v>0</v>
      </c>
      <c r="Q573" t="n">
        <v>0</v>
      </c>
      <c r="R573" s="2" t="inlineStr"/>
    </row>
    <row r="574" ht="15" customHeight="1">
      <c r="A574" t="inlineStr">
        <is>
          <t>A 1394-2023</t>
        </is>
      </c>
      <c r="B574" s="1" t="n">
        <v>44936</v>
      </c>
      <c r="C574" s="1" t="n">
        <v>45749</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1677-2023</t>
        </is>
      </c>
      <c r="B575" s="1" t="n">
        <v>44938</v>
      </c>
      <c r="C575" s="1" t="n">
        <v>45749</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1681-2023</t>
        </is>
      </c>
      <c r="B576" s="1" t="n">
        <v>44938</v>
      </c>
      <c r="C576" s="1" t="n">
        <v>45749</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45749</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2676-2023</t>
        </is>
      </c>
      <c r="B578" s="1" t="n">
        <v>44944</v>
      </c>
      <c r="C578" s="1" t="n">
        <v>45749</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v>
      </c>
      <c r="C579" s="1" t="n">
        <v>45749</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2727-2023</t>
        </is>
      </c>
      <c r="B580" s="1" t="n">
        <v>44944</v>
      </c>
      <c r="C580" s="1" t="n">
        <v>45749</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2719-2023</t>
        </is>
      </c>
      <c r="B581" s="1" t="n">
        <v>44944</v>
      </c>
      <c r="C581" s="1" t="n">
        <v>45749</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2805-2023</t>
        </is>
      </c>
      <c r="B582" s="1" t="n">
        <v>44944</v>
      </c>
      <c r="C582" s="1" t="n">
        <v>45749</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2815-2023</t>
        </is>
      </c>
      <c r="B583" s="1" t="n">
        <v>44944</v>
      </c>
      <c r="C583" s="1" t="n">
        <v>45749</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3230-2023</t>
        </is>
      </c>
      <c r="B584" s="1" t="n">
        <v>44946</v>
      </c>
      <c r="C584" s="1" t="n">
        <v>45749</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4378-2023</t>
        </is>
      </c>
      <c r="B585" s="1" t="n">
        <v>44955</v>
      </c>
      <c r="C585" s="1" t="n">
        <v>45749</v>
      </c>
      <c r="D585" t="inlineStr">
        <is>
          <t>GOTLANDS LÄN</t>
        </is>
      </c>
      <c r="E585" t="inlineStr">
        <is>
          <t>GOTLAND</t>
        </is>
      </c>
      <c r="F585" t="inlineStr">
        <is>
          <t>Kyrkan</t>
        </is>
      </c>
      <c r="G585" t="n">
        <v>1.5</v>
      </c>
      <c r="H585" t="n">
        <v>0</v>
      </c>
      <c r="I585" t="n">
        <v>0</v>
      </c>
      <c r="J585" t="n">
        <v>0</v>
      </c>
      <c r="K585" t="n">
        <v>0</v>
      </c>
      <c r="L585" t="n">
        <v>0</v>
      </c>
      <c r="M585" t="n">
        <v>0</v>
      </c>
      <c r="N585" t="n">
        <v>0</v>
      </c>
      <c r="O585" t="n">
        <v>0</v>
      </c>
      <c r="P585" t="n">
        <v>0</v>
      </c>
      <c r="Q585" t="n">
        <v>0</v>
      </c>
      <c r="R585" s="2" t="inlineStr"/>
    </row>
    <row r="586" ht="15" customHeight="1">
      <c r="A586" t="inlineStr">
        <is>
          <t>A 4377-2023</t>
        </is>
      </c>
      <c r="B586" s="1" t="n">
        <v>44955</v>
      </c>
      <c r="C586" s="1" t="n">
        <v>45749</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4387-2023</t>
        </is>
      </c>
      <c r="B587" s="1" t="n">
        <v>44955</v>
      </c>
      <c r="C587" s="1" t="n">
        <v>45749</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4565-2023</t>
        </is>
      </c>
      <c r="B588" s="1" t="n">
        <v>44956</v>
      </c>
      <c r="C588" s="1" t="n">
        <v>45749</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5217-2023</t>
        </is>
      </c>
      <c r="B589" s="1" t="n">
        <v>44959</v>
      </c>
      <c r="C589" s="1" t="n">
        <v>45749</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5379-2023</t>
        </is>
      </c>
      <c r="B590" s="1" t="n">
        <v>44959</v>
      </c>
      <c r="C590" s="1" t="n">
        <v>45749</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5386-2023</t>
        </is>
      </c>
      <c r="B591" s="1" t="n">
        <v>44959</v>
      </c>
      <c r="C591" s="1" t="n">
        <v>45749</v>
      </c>
      <c r="D591" t="inlineStr">
        <is>
          <t>GOTLANDS LÄN</t>
        </is>
      </c>
      <c r="E591" t="inlineStr">
        <is>
          <t>GOTLAND</t>
        </is>
      </c>
      <c r="G591" t="n">
        <v>5.4</v>
      </c>
      <c r="H591" t="n">
        <v>0</v>
      </c>
      <c r="I591" t="n">
        <v>0</v>
      </c>
      <c r="J591" t="n">
        <v>0</v>
      </c>
      <c r="K591" t="n">
        <v>0</v>
      </c>
      <c r="L591" t="n">
        <v>0</v>
      </c>
      <c r="M591" t="n">
        <v>0</v>
      </c>
      <c r="N591" t="n">
        <v>0</v>
      </c>
      <c r="O591" t="n">
        <v>0</v>
      </c>
      <c r="P591" t="n">
        <v>0</v>
      </c>
      <c r="Q591" t="n">
        <v>0</v>
      </c>
      <c r="R591" s="2" t="inlineStr"/>
    </row>
    <row r="592" ht="15" customHeight="1">
      <c r="A592" t="inlineStr">
        <is>
          <t>A 5923-2023</t>
        </is>
      </c>
      <c r="B592" s="1" t="n">
        <v>44963</v>
      </c>
      <c r="C592" s="1" t="n">
        <v>45749</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6721-2023</t>
        </is>
      </c>
      <c r="B593" s="1" t="n">
        <v>44966</v>
      </c>
      <c r="C593" s="1" t="n">
        <v>45749</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6717-2023</t>
        </is>
      </c>
      <c r="B594" s="1" t="n">
        <v>44966</v>
      </c>
      <c r="C594" s="1" t="n">
        <v>45749</v>
      </c>
      <c r="D594" t="inlineStr">
        <is>
          <t>GOTLANDS LÄN</t>
        </is>
      </c>
      <c r="E594" t="inlineStr">
        <is>
          <t>GOTLAND</t>
        </is>
      </c>
      <c r="F594" t="inlineStr">
        <is>
          <t>Naturvårdsverket</t>
        </is>
      </c>
      <c r="G594" t="n">
        <v>1.4</v>
      </c>
      <c r="H594" t="n">
        <v>0</v>
      </c>
      <c r="I594" t="n">
        <v>0</v>
      </c>
      <c r="J594" t="n">
        <v>0</v>
      </c>
      <c r="K594" t="n">
        <v>0</v>
      </c>
      <c r="L594" t="n">
        <v>0</v>
      </c>
      <c r="M594" t="n">
        <v>0</v>
      </c>
      <c r="N594" t="n">
        <v>0</v>
      </c>
      <c r="O594" t="n">
        <v>0</v>
      </c>
      <c r="P594" t="n">
        <v>0</v>
      </c>
      <c r="Q594" t="n">
        <v>0</v>
      </c>
      <c r="R594" s="2" t="inlineStr"/>
    </row>
    <row r="595" ht="15" customHeight="1">
      <c r="A595" t="inlineStr">
        <is>
          <t>A 7041-2023</t>
        </is>
      </c>
      <c r="B595" s="1" t="n">
        <v>44968</v>
      </c>
      <c r="C595" s="1" t="n">
        <v>45749</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7026-2023</t>
        </is>
      </c>
      <c r="B596" s="1" t="n">
        <v>44968</v>
      </c>
      <c r="C596" s="1" t="n">
        <v>45749</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7034-2023</t>
        </is>
      </c>
      <c r="B597" s="1" t="n">
        <v>44968</v>
      </c>
      <c r="C597" s="1" t="n">
        <v>45749</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7040-2023</t>
        </is>
      </c>
      <c r="B598" s="1" t="n">
        <v>44968</v>
      </c>
      <c r="C598" s="1" t="n">
        <v>45749</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7042-2023</t>
        </is>
      </c>
      <c r="B599" s="1" t="n">
        <v>44968</v>
      </c>
      <c r="C599" s="1" t="n">
        <v>45749</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8260-2023</t>
        </is>
      </c>
      <c r="B600" s="1" t="n">
        <v>44974</v>
      </c>
      <c r="C600" s="1" t="n">
        <v>45749</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8962-2023</t>
        </is>
      </c>
      <c r="B601" s="1" t="n">
        <v>44979</v>
      </c>
      <c r="C601" s="1" t="n">
        <v>45749</v>
      </c>
      <c r="D601" t="inlineStr">
        <is>
          <t>GOTLANDS LÄN</t>
        </is>
      </c>
      <c r="E601" t="inlineStr">
        <is>
          <t>GOTLAND</t>
        </is>
      </c>
      <c r="G601" t="n">
        <v>5.5</v>
      </c>
      <c r="H601" t="n">
        <v>0</v>
      </c>
      <c r="I601" t="n">
        <v>0</v>
      </c>
      <c r="J601" t="n">
        <v>0</v>
      </c>
      <c r="K601" t="n">
        <v>0</v>
      </c>
      <c r="L601" t="n">
        <v>0</v>
      </c>
      <c r="M601" t="n">
        <v>0</v>
      </c>
      <c r="N601" t="n">
        <v>0</v>
      </c>
      <c r="O601" t="n">
        <v>0</v>
      </c>
      <c r="P601" t="n">
        <v>0</v>
      </c>
      <c r="Q601" t="n">
        <v>0</v>
      </c>
      <c r="R601" s="2" t="inlineStr"/>
    </row>
    <row r="602" ht="15" customHeight="1">
      <c r="A602" t="inlineStr">
        <is>
          <t>A 10492-2023</t>
        </is>
      </c>
      <c r="B602" s="1" t="n">
        <v>44987</v>
      </c>
      <c r="C602" s="1" t="n">
        <v>45749</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v>
      </c>
      <c r="C603" s="1" t="n">
        <v>45749</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10657-2023</t>
        </is>
      </c>
      <c r="B604" s="1" t="n">
        <v>44988</v>
      </c>
      <c r="C604" s="1" t="n">
        <v>45749</v>
      </c>
      <c r="D604" t="inlineStr">
        <is>
          <t>GOTLANDS LÄN</t>
        </is>
      </c>
      <c r="E604" t="inlineStr">
        <is>
          <t>GOTLAND</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10653-2023</t>
        </is>
      </c>
      <c r="B605" s="1" t="n">
        <v>44988</v>
      </c>
      <c r="C605" s="1" t="n">
        <v>45749</v>
      </c>
      <c r="D605" t="inlineStr">
        <is>
          <t>GOTLANDS LÄN</t>
        </is>
      </c>
      <c r="E605" t="inlineStr">
        <is>
          <t>GOTLAND</t>
        </is>
      </c>
      <c r="F605" t="inlineStr">
        <is>
          <t>Kyrkan</t>
        </is>
      </c>
      <c r="G605" t="n">
        <v>3</v>
      </c>
      <c r="H605" t="n">
        <v>0</v>
      </c>
      <c r="I605" t="n">
        <v>0</v>
      </c>
      <c r="J605" t="n">
        <v>0</v>
      </c>
      <c r="K605" t="n">
        <v>0</v>
      </c>
      <c r="L605" t="n">
        <v>0</v>
      </c>
      <c r="M605" t="n">
        <v>0</v>
      </c>
      <c r="N605" t="n">
        <v>0</v>
      </c>
      <c r="O605" t="n">
        <v>0</v>
      </c>
      <c r="P605" t="n">
        <v>0</v>
      </c>
      <c r="Q605" t="n">
        <v>0</v>
      </c>
      <c r="R605" s="2" t="inlineStr"/>
    </row>
    <row r="606" ht="15" customHeight="1">
      <c r="A606" t="inlineStr">
        <is>
          <t>A 11115-2023</t>
        </is>
      </c>
      <c r="B606" s="1" t="n">
        <v>44992</v>
      </c>
      <c r="C606" s="1" t="n">
        <v>45749</v>
      </c>
      <c r="D606" t="inlineStr">
        <is>
          <t>GOTLANDS LÄN</t>
        </is>
      </c>
      <c r="E606" t="inlineStr">
        <is>
          <t>GOTLAND</t>
        </is>
      </c>
      <c r="G606" t="n">
        <v>3.5</v>
      </c>
      <c r="H606" t="n">
        <v>0</v>
      </c>
      <c r="I606" t="n">
        <v>0</v>
      </c>
      <c r="J606" t="n">
        <v>0</v>
      </c>
      <c r="K606" t="n">
        <v>0</v>
      </c>
      <c r="L606" t="n">
        <v>0</v>
      </c>
      <c r="M606" t="n">
        <v>0</v>
      </c>
      <c r="N606" t="n">
        <v>0</v>
      </c>
      <c r="O606" t="n">
        <v>0</v>
      </c>
      <c r="P606" t="n">
        <v>0</v>
      </c>
      <c r="Q606" t="n">
        <v>0</v>
      </c>
      <c r="R606" s="2" t="inlineStr"/>
    </row>
    <row r="607" ht="15" customHeight="1">
      <c r="A607" t="inlineStr">
        <is>
          <t>A 12161-2023</t>
        </is>
      </c>
      <c r="B607" s="1" t="n">
        <v>44998</v>
      </c>
      <c r="C607" s="1" t="n">
        <v>45749</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12155-2023</t>
        </is>
      </c>
      <c r="B608" s="1" t="n">
        <v>44998</v>
      </c>
      <c r="C608" s="1" t="n">
        <v>45749</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12596-2023</t>
        </is>
      </c>
      <c r="B609" s="1" t="n">
        <v>45000</v>
      </c>
      <c r="C609" s="1" t="n">
        <v>45749</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13627-2023</t>
        </is>
      </c>
      <c r="B610" s="1" t="n">
        <v>45006</v>
      </c>
      <c r="C610" s="1" t="n">
        <v>45749</v>
      </c>
      <c r="D610" t="inlineStr">
        <is>
          <t>GOTLANDS LÄN</t>
        </is>
      </c>
      <c r="E610" t="inlineStr">
        <is>
          <t>GOTLAND</t>
        </is>
      </c>
      <c r="G610" t="n">
        <v>10.7</v>
      </c>
      <c r="H610" t="n">
        <v>0</v>
      </c>
      <c r="I610" t="n">
        <v>0</v>
      </c>
      <c r="J610" t="n">
        <v>0</v>
      </c>
      <c r="K610" t="n">
        <v>0</v>
      </c>
      <c r="L610" t="n">
        <v>0</v>
      </c>
      <c r="M610" t="n">
        <v>0</v>
      </c>
      <c r="N610" t="n">
        <v>0</v>
      </c>
      <c r="O610" t="n">
        <v>0</v>
      </c>
      <c r="P610" t="n">
        <v>0</v>
      </c>
      <c r="Q610" t="n">
        <v>0</v>
      </c>
      <c r="R610" s="2" t="inlineStr"/>
    </row>
    <row r="611" ht="15" customHeight="1">
      <c r="A611" t="inlineStr">
        <is>
          <t>A 13910-2023</t>
        </is>
      </c>
      <c r="B611" s="1" t="n">
        <v>45008</v>
      </c>
      <c r="C611" s="1" t="n">
        <v>45749</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14635-2023</t>
        </is>
      </c>
      <c r="B612" s="1" t="n">
        <v>45013</v>
      </c>
      <c r="C612" s="1" t="n">
        <v>45749</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14704-2023</t>
        </is>
      </c>
      <c r="B613" s="1" t="n">
        <v>45014</v>
      </c>
      <c r="C613" s="1" t="n">
        <v>45749</v>
      </c>
      <c r="D613" t="inlineStr">
        <is>
          <t>GOTLANDS LÄN</t>
        </is>
      </c>
      <c r="E613" t="inlineStr">
        <is>
          <t>GOTLAND</t>
        </is>
      </c>
      <c r="G613" t="n">
        <v>4.4</v>
      </c>
      <c r="H613" t="n">
        <v>0</v>
      </c>
      <c r="I613" t="n">
        <v>0</v>
      </c>
      <c r="J613" t="n">
        <v>0</v>
      </c>
      <c r="K613" t="n">
        <v>0</v>
      </c>
      <c r="L613" t="n">
        <v>0</v>
      </c>
      <c r="M613" t="n">
        <v>0</v>
      </c>
      <c r="N613" t="n">
        <v>0</v>
      </c>
      <c r="O613" t="n">
        <v>0</v>
      </c>
      <c r="P613" t="n">
        <v>0</v>
      </c>
      <c r="Q613" t="n">
        <v>0</v>
      </c>
      <c r="R613" s="2" t="inlineStr"/>
    </row>
    <row r="614" ht="15" customHeight="1">
      <c r="A614" t="inlineStr">
        <is>
          <t>A 15182-2023</t>
        </is>
      </c>
      <c r="B614" s="1" t="n">
        <v>45016</v>
      </c>
      <c r="C614" s="1" t="n">
        <v>45749</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15216-2023</t>
        </is>
      </c>
      <c r="B615" s="1" t="n">
        <v>45019</v>
      </c>
      <c r="C615" s="1" t="n">
        <v>45749</v>
      </c>
      <c r="D615" t="inlineStr">
        <is>
          <t>GOTLANDS LÄN</t>
        </is>
      </c>
      <c r="E615" t="inlineStr">
        <is>
          <t>GOTLAND</t>
        </is>
      </c>
      <c r="G615" t="n">
        <v>5</v>
      </c>
      <c r="H615" t="n">
        <v>0</v>
      </c>
      <c r="I615" t="n">
        <v>0</v>
      </c>
      <c r="J615" t="n">
        <v>0</v>
      </c>
      <c r="K615" t="n">
        <v>0</v>
      </c>
      <c r="L615" t="n">
        <v>0</v>
      </c>
      <c r="M615" t="n">
        <v>0</v>
      </c>
      <c r="N615" t="n">
        <v>0</v>
      </c>
      <c r="O615" t="n">
        <v>0</v>
      </c>
      <c r="P615" t="n">
        <v>0</v>
      </c>
      <c r="Q615" t="n">
        <v>0</v>
      </c>
      <c r="R615" s="2" t="inlineStr"/>
    </row>
    <row r="616" ht="15" customHeight="1">
      <c r="A616" t="inlineStr">
        <is>
          <t>A 15617-2023</t>
        </is>
      </c>
      <c r="B616" s="1" t="n">
        <v>45020</v>
      </c>
      <c r="C616" s="1" t="n">
        <v>45749</v>
      </c>
      <c r="D616" t="inlineStr">
        <is>
          <t>GOTLANDS LÄN</t>
        </is>
      </c>
      <c r="E616" t="inlineStr">
        <is>
          <t>GOTLAND</t>
        </is>
      </c>
      <c r="G616" t="n">
        <v>6.1</v>
      </c>
      <c r="H616" t="n">
        <v>0</v>
      </c>
      <c r="I616" t="n">
        <v>0</v>
      </c>
      <c r="J616" t="n">
        <v>0</v>
      </c>
      <c r="K616" t="n">
        <v>0</v>
      </c>
      <c r="L616" t="n">
        <v>0</v>
      </c>
      <c r="M616" t="n">
        <v>0</v>
      </c>
      <c r="N616" t="n">
        <v>0</v>
      </c>
      <c r="O616" t="n">
        <v>0</v>
      </c>
      <c r="P616" t="n">
        <v>0</v>
      </c>
      <c r="Q616" t="n">
        <v>0</v>
      </c>
      <c r="R616" s="2" t="inlineStr"/>
    </row>
    <row r="617" ht="15" customHeight="1">
      <c r="A617" t="inlineStr">
        <is>
          <t>A 16501-2023</t>
        </is>
      </c>
      <c r="B617" s="1" t="n">
        <v>45029</v>
      </c>
      <c r="C617" s="1" t="n">
        <v>45749</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17080-2023</t>
        </is>
      </c>
      <c r="B618" s="1" t="n">
        <v>45033</v>
      </c>
      <c r="C618" s="1" t="n">
        <v>45749</v>
      </c>
      <c r="D618" t="inlineStr">
        <is>
          <t>GOTLANDS LÄN</t>
        </is>
      </c>
      <c r="E618" t="inlineStr">
        <is>
          <t>GOTLAND</t>
        </is>
      </c>
      <c r="G618" t="n">
        <v>2</v>
      </c>
      <c r="H618" t="n">
        <v>0</v>
      </c>
      <c r="I618" t="n">
        <v>0</v>
      </c>
      <c r="J618" t="n">
        <v>0</v>
      </c>
      <c r="K618" t="n">
        <v>0</v>
      </c>
      <c r="L618" t="n">
        <v>0</v>
      </c>
      <c r="M618" t="n">
        <v>0</v>
      </c>
      <c r="N618" t="n">
        <v>0</v>
      </c>
      <c r="O618" t="n">
        <v>0</v>
      </c>
      <c r="P618" t="n">
        <v>0</v>
      </c>
      <c r="Q618" t="n">
        <v>0</v>
      </c>
      <c r="R618" s="2" t="inlineStr"/>
    </row>
    <row r="619" ht="15" customHeight="1">
      <c r="A619" t="inlineStr">
        <is>
          <t>A 17901-2023</t>
        </is>
      </c>
      <c r="B619" s="1" t="n">
        <v>45039</v>
      </c>
      <c r="C619" s="1" t="n">
        <v>45749</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18889-2023</t>
        </is>
      </c>
      <c r="B620" s="1" t="n">
        <v>45044</v>
      </c>
      <c r="C620" s="1" t="n">
        <v>45749</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20993-2023</t>
        </is>
      </c>
      <c r="B621" s="1" t="n">
        <v>45056</v>
      </c>
      <c r="C621" s="1" t="n">
        <v>45749</v>
      </c>
      <c r="D621" t="inlineStr">
        <is>
          <t>GOTLANDS LÄN</t>
        </is>
      </c>
      <c r="E621" t="inlineStr">
        <is>
          <t>GOTLAND</t>
        </is>
      </c>
      <c r="G621" t="n">
        <v>7.1</v>
      </c>
      <c r="H621" t="n">
        <v>0</v>
      </c>
      <c r="I621" t="n">
        <v>0</v>
      </c>
      <c r="J621" t="n">
        <v>0</v>
      </c>
      <c r="K621" t="n">
        <v>0</v>
      </c>
      <c r="L621" t="n">
        <v>0</v>
      </c>
      <c r="M621" t="n">
        <v>0</v>
      </c>
      <c r="N621" t="n">
        <v>0</v>
      </c>
      <c r="O621" t="n">
        <v>0</v>
      </c>
      <c r="P621" t="n">
        <v>0</v>
      </c>
      <c r="Q621" t="n">
        <v>0</v>
      </c>
      <c r="R621" s="2" t="inlineStr"/>
    </row>
    <row r="622" ht="15" customHeight="1">
      <c r="A622" t="inlineStr">
        <is>
          <t>A 20855-2023</t>
        </is>
      </c>
      <c r="B622" s="1" t="n">
        <v>45058</v>
      </c>
      <c r="C622" s="1" t="n">
        <v>45749</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20856-2023</t>
        </is>
      </c>
      <c r="B623" s="1" t="n">
        <v>45058</v>
      </c>
      <c r="C623" s="1" t="n">
        <v>45749</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20857-2023</t>
        </is>
      </c>
      <c r="B624" s="1" t="n">
        <v>45058</v>
      </c>
      <c r="C624" s="1" t="n">
        <v>45749</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20854-2023</t>
        </is>
      </c>
      <c r="B625" s="1" t="n">
        <v>45058</v>
      </c>
      <c r="C625" s="1" t="n">
        <v>45749</v>
      </c>
      <c r="D625" t="inlineStr">
        <is>
          <t>GOTLANDS LÄN</t>
        </is>
      </c>
      <c r="E625" t="inlineStr">
        <is>
          <t>GOTLAND</t>
        </is>
      </c>
      <c r="G625" t="n">
        <v>2.6</v>
      </c>
      <c r="H625" t="n">
        <v>0</v>
      </c>
      <c r="I625" t="n">
        <v>0</v>
      </c>
      <c r="J625" t="n">
        <v>0</v>
      </c>
      <c r="K625" t="n">
        <v>0</v>
      </c>
      <c r="L625" t="n">
        <v>0</v>
      </c>
      <c r="M625" t="n">
        <v>0</v>
      </c>
      <c r="N625" t="n">
        <v>0</v>
      </c>
      <c r="O625" t="n">
        <v>0</v>
      </c>
      <c r="P625" t="n">
        <v>0</v>
      </c>
      <c r="Q625" t="n">
        <v>0</v>
      </c>
      <c r="R625" s="2" t="inlineStr"/>
    </row>
    <row r="626" ht="15" customHeight="1">
      <c r="A626" t="inlineStr">
        <is>
          <t>A 22275-2023</t>
        </is>
      </c>
      <c r="B626" s="1" t="n">
        <v>45070</v>
      </c>
      <c r="C626" s="1" t="n">
        <v>45749</v>
      </c>
      <c r="D626" t="inlineStr">
        <is>
          <t>GOTLANDS LÄN</t>
        </is>
      </c>
      <c r="E626" t="inlineStr">
        <is>
          <t>GOTLAND</t>
        </is>
      </c>
      <c r="G626" t="n">
        <v>7.2</v>
      </c>
      <c r="H626" t="n">
        <v>0</v>
      </c>
      <c r="I626" t="n">
        <v>0</v>
      </c>
      <c r="J626" t="n">
        <v>0</v>
      </c>
      <c r="K626" t="n">
        <v>0</v>
      </c>
      <c r="L626" t="n">
        <v>0</v>
      </c>
      <c r="M626" t="n">
        <v>0</v>
      </c>
      <c r="N626" t="n">
        <v>0</v>
      </c>
      <c r="O626" t="n">
        <v>0</v>
      </c>
      <c r="P626" t="n">
        <v>0</v>
      </c>
      <c r="Q626" t="n">
        <v>0</v>
      </c>
      <c r="R626" s="2" t="inlineStr"/>
    </row>
    <row r="627" ht="15" customHeight="1">
      <c r="A627" t="inlineStr">
        <is>
          <t>A 22412-2023</t>
        </is>
      </c>
      <c r="B627" s="1" t="n">
        <v>45070</v>
      </c>
      <c r="C627" s="1" t="n">
        <v>45749</v>
      </c>
      <c r="D627" t="inlineStr">
        <is>
          <t>GOTLANDS LÄN</t>
        </is>
      </c>
      <c r="E627" t="inlineStr">
        <is>
          <t>GOTLAND</t>
        </is>
      </c>
      <c r="G627" t="n">
        <v>7.3</v>
      </c>
      <c r="H627" t="n">
        <v>0</v>
      </c>
      <c r="I627" t="n">
        <v>0</v>
      </c>
      <c r="J627" t="n">
        <v>0</v>
      </c>
      <c r="K627" t="n">
        <v>0</v>
      </c>
      <c r="L627" t="n">
        <v>0</v>
      </c>
      <c r="M627" t="n">
        <v>0</v>
      </c>
      <c r="N627" t="n">
        <v>0</v>
      </c>
      <c r="O627" t="n">
        <v>0</v>
      </c>
      <c r="P627" t="n">
        <v>0</v>
      </c>
      <c r="Q627" t="n">
        <v>0</v>
      </c>
      <c r="R627" s="2" t="inlineStr"/>
    </row>
    <row r="628" ht="15" customHeight="1">
      <c r="A628" t="inlineStr">
        <is>
          <t>A 22709-2023</t>
        </is>
      </c>
      <c r="B628" s="1" t="n">
        <v>45071</v>
      </c>
      <c r="C628" s="1" t="n">
        <v>45749</v>
      </c>
      <c r="D628" t="inlineStr">
        <is>
          <t>GOTLANDS LÄN</t>
        </is>
      </c>
      <c r="E628" t="inlineStr">
        <is>
          <t>GOTLAND</t>
        </is>
      </c>
      <c r="G628" t="n">
        <v>0.9</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45749</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22708-2023</t>
        </is>
      </c>
      <c r="B630" s="1" t="n">
        <v>45071</v>
      </c>
      <c r="C630" s="1" t="n">
        <v>45749</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22707-2023</t>
        </is>
      </c>
      <c r="B631" s="1" t="n">
        <v>45071</v>
      </c>
      <c r="C631" s="1" t="n">
        <v>45749</v>
      </c>
      <c r="D631" t="inlineStr">
        <is>
          <t>GOTLANDS LÄN</t>
        </is>
      </c>
      <c r="E631" t="inlineStr">
        <is>
          <t>GOTLAND</t>
        </is>
      </c>
      <c r="G631" t="n">
        <v>2.2</v>
      </c>
      <c r="H631" t="n">
        <v>0</v>
      </c>
      <c r="I631" t="n">
        <v>0</v>
      </c>
      <c r="J631" t="n">
        <v>0</v>
      </c>
      <c r="K631" t="n">
        <v>0</v>
      </c>
      <c r="L631" t="n">
        <v>0</v>
      </c>
      <c r="M631" t="n">
        <v>0</v>
      </c>
      <c r="N631" t="n">
        <v>0</v>
      </c>
      <c r="O631" t="n">
        <v>0</v>
      </c>
      <c r="P631" t="n">
        <v>0</v>
      </c>
      <c r="Q631" t="n">
        <v>0</v>
      </c>
      <c r="R631" s="2" t="inlineStr"/>
    </row>
    <row r="632" ht="15" customHeight="1">
      <c r="A632" t="inlineStr">
        <is>
          <t>A 22723-2023</t>
        </is>
      </c>
      <c r="B632" s="1" t="n">
        <v>45071</v>
      </c>
      <c r="C632" s="1" t="n">
        <v>45749</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22706-2023</t>
        </is>
      </c>
      <c r="B633" s="1" t="n">
        <v>45071</v>
      </c>
      <c r="C633" s="1" t="n">
        <v>45749</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22890-2023</t>
        </is>
      </c>
      <c r="B634" s="1" t="n">
        <v>45072</v>
      </c>
      <c r="C634" s="1" t="n">
        <v>45749</v>
      </c>
      <c r="D634" t="inlineStr">
        <is>
          <t>GOTLANDS LÄN</t>
        </is>
      </c>
      <c r="E634" t="inlineStr">
        <is>
          <t>GOTLAND</t>
        </is>
      </c>
      <c r="G634" t="n">
        <v>7.5</v>
      </c>
      <c r="H634" t="n">
        <v>0</v>
      </c>
      <c r="I634" t="n">
        <v>0</v>
      </c>
      <c r="J634" t="n">
        <v>0</v>
      </c>
      <c r="K634" t="n">
        <v>0</v>
      </c>
      <c r="L634" t="n">
        <v>0</v>
      </c>
      <c r="M634" t="n">
        <v>0</v>
      </c>
      <c r="N634" t="n">
        <v>0</v>
      </c>
      <c r="O634" t="n">
        <v>0</v>
      </c>
      <c r="P634" t="n">
        <v>0</v>
      </c>
      <c r="Q634" t="n">
        <v>0</v>
      </c>
      <c r="R634" s="2" t="inlineStr"/>
    </row>
    <row r="635" ht="15" customHeight="1">
      <c r="A635" t="inlineStr">
        <is>
          <t>A 22899-2023</t>
        </is>
      </c>
      <c r="B635" s="1" t="n">
        <v>45072</v>
      </c>
      <c r="C635" s="1" t="n">
        <v>45749</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22903-2023</t>
        </is>
      </c>
      <c r="B636" s="1" t="n">
        <v>45072</v>
      </c>
      <c r="C636" s="1" t="n">
        <v>45749</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22897-2023</t>
        </is>
      </c>
      <c r="B637" s="1" t="n">
        <v>45072</v>
      </c>
      <c r="C637" s="1" t="n">
        <v>45749</v>
      </c>
      <c r="D637" t="inlineStr">
        <is>
          <t>GOTLANDS LÄN</t>
        </is>
      </c>
      <c r="E637" t="inlineStr">
        <is>
          <t>GOTLAND</t>
        </is>
      </c>
      <c r="G637" t="n">
        <v>1.1</v>
      </c>
      <c r="H637" t="n">
        <v>0</v>
      </c>
      <c r="I637" t="n">
        <v>0</v>
      </c>
      <c r="J637" t="n">
        <v>0</v>
      </c>
      <c r="K637" t="n">
        <v>0</v>
      </c>
      <c r="L637" t="n">
        <v>0</v>
      </c>
      <c r="M637" t="n">
        <v>0</v>
      </c>
      <c r="N637" t="n">
        <v>0</v>
      </c>
      <c r="O637" t="n">
        <v>0</v>
      </c>
      <c r="P637" t="n">
        <v>0</v>
      </c>
      <c r="Q637" t="n">
        <v>0</v>
      </c>
      <c r="R637" s="2" t="inlineStr"/>
    </row>
    <row r="638" ht="15" customHeight="1">
      <c r="A638" t="inlineStr">
        <is>
          <t>A 23511-2023</t>
        </is>
      </c>
      <c r="B638" s="1" t="n">
        <v>45077</v>
      </c>
      <c r="C638" s="1" t="n">
        <v>45749</v>
      </c>
      <c r="D638" t="inlineStr">
        <is>
          <t>GOTLANDS LÄN</t>
        </is>
      </c>
      <c r="E638" t="inlineStr">
        <is>
          <t>GOTLAND</t>
        </is>
      </c>
      <c r="G638" t="n">
        <v>11.2</v>
      </c>
      <c r="H638" t="n">
        <v>0</v>
      </c>
      <c r="I638" t="n">
        <v>0</v>
      </c>
      <c r="J638" t="n">
        <v>0</v>
      </c>
      <c r="K638" t="n">
        <v>0</v>
      </c>
      <c r="L638" t="n">
        <v>0</v>
      </c>
      <c r="M638" t="n">
        <v>0</v>
      </c>
      <c r="N638" t="n">
        <v>0</v>
      </c>
      <c r="O638" t="n">
        <v>0</v>
      </c>
      <c r="P638" t="n">
        <v>0</v>
      </c>
      <c r="Q638" t="n">
        <v>0</v>
      </c>
      <c r="R638" s="2" t="inlineStr"/>
    </row>
    <row r="639" ht="15" customHeight="1">
      <c r="A639" t="inlineStr">
        <is>
          <t>A 23516-2023</t>
        </is>
      </c>
      <c r="B639" s="1" t="n">
        <v>45077</v>
      </c>
      <c r="C639" s="1" t="n">
        <v>45749</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23858-2023</t>
        </is>
      </c>
      <c r="B640" s="1" t="n">
        <v>45078</v>
      </c>
      <c r="C640" s="1" t="n">
        <v>45749</v>
      </c>
      <c r="D640" t="inlineStr">
        <is>
          <t>GOTLANDS LÄN</t>
        </is>
      </c>
      <c r="E640" t="inlineStr">
        <is>
          <t>GOTLAND</t>
        </is>
      </c>
      <c r="F640" t="inlineStr">
        <is>
          <t>Naturvårdsverket</t>
        </is>
      </c>
      <c r="G640" t="n">
        <v>4.2</v>
      </c>
      <c r="H640" t="n">
        <v>0</v>
      </c>
      <c r="I640" t="n">
        <v>0</v>
      </c>
      <c r="J640" t="n">
        <v>0</v>
      </c>
      <c r="K640" t="n">
        <v>0</v>
      </c>
      <c r="L640" t="n">
        <v>0</v>
      </c>
      <c r="M640" t="n">
        <v>0</v>
      </c>
      <c r="N640" t="n">
        <v>0</v>
      </c>
      <c r="O640" t="n">
        <v>0</v>
      </c>
      <c r="P640" t="n">
        <v>0</v>
      </c>
      <c r="Q640" t="n">
        <v>0</v>
      </c>
      <c r="R640" s="2" t="inlineStr"/>
    </row>
    <row r="641" ht="15" customHeight="1">
      <c r="A641" t="inlineStr">
        <is>
          <t>A 23966-2023</t>
        </is>
      </c>
      <c r="B641" s="1" t="n">
        <v>45078</v>
      </c>
      <c r="C641" s="1" t="n">
        <v>45749</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23978-2023</t>
        </is>
      </c>
      <c r="B642" s="1" t="n">
        <v>45078</v>
      </c>
      <c r="C642" s="1" t="n">
        <v>45749</v>
      </c>
      <c r="D642" t="inlineStr">
        <is>
          <t>GOTLANDS LÄN</t>
        </is>
      </c>
      <c r="E642" t="inlineStr">
        <is>
          <t>GOTLAND</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24192-2023</t>
        </is>
      </c>
      <c r="B643" s="1" t="n">
        <v>45079</v>
      </c>
      <c r="C643" s="1" t="n">
        <v>45749</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ht="15" customHeight="1">
      <c r="A644" t="inlineStr">
        <is>
          <t>A 24719-2023</t>
        </is>
      </c>
      <c r="B644" s="1" t="n">
        <v>45084</v>
      </c>
      <c r="C644" s="1" t="n">
        <v>45749</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24966-2023</t>
        </is>
      </c>
      <c r="B645" s="1" t="n">
        <v>45085</v>
      </c>
      <c r="C645" s="1" t="n">
        <v>45749</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25129-2023</t>
        </is>
      </c>
      <c r="B646" s="1" t="n">
        <v>45086</v>
      </c>
      <c r="C646" s="1" t="n">
        <v>45749</v>
      </c>
      <c r="D646" t="inlineStr">
        <is>
          <t>GOTLANDS LÄN</t>
        </is>
      </c>
      <c r="E646" t="inlineStr">
        <is>
          <t>GOTLAND</t>
        </is>
      </c>
      <c r="G646" t="n">
        <v>1.5</v>
      </c>
      <c r="H646" t="n">
        <v>0</v>
      </c>
      <c r="I646" t="n">
        <v>0</v>
      </c>
      <c r="J646" t="n">
        <v>0</v>
      </c>
      <c r="K646" t="n">
        <v>0</v>
      </c>
      <c r="L646" t="n">
        <v>0</v>
      </c>
      <c r="M646" t="n">
        <v>0</v>
      </c>
      <c r="N646" t="n">
        <v>0</v>
      </c>
      <c r="O646" t="n">
        <v>0</v>
      </c>
      <c r="P646" t="n">
        <v>0</v>
      </c>
      <c r="Q646" t="n">
        <v>0</v>
      </c>
      <c r="R646" s="2" t="inlineStr"/>
    </row>
    <row r="647" ht="15" customHeight="1">
      <c r="A647" t="inlineStr">
        <is>
          <t>A 27593-2023</t>
        </is>
      </c>
      <c r="B647" s="1" t="n">
        <v>45097</v>
      </c>
      <c r="C647" s="1" t="n">
        <v>45749</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27597-2023</t>
        </is>
      </c>
      <c r="B648" s="1" t="n">
        <v>45097</v>
      </c>
      <c r="C648" s="1" t="n">
        <v>45749</v>
      </c>
      <c r="D648" t="inlineStr">
        <is>
          <t>GOTLANDS LÄN</t>
        </is>
      </c>
      <c r="E648" t="inlineStr">
        <is>
          <t>GOTLAND</t>
        </is>
      </c>
      <c r="G648" t="n">
        <v>1.9</v>
      </c>
      <c r="H648" t="n">
        <v>0</v>
      </c>
      <c r="I648" t="n">
        <v>0</v>
      </c>
      <c r="J648" t="n">
        <v>0</v>
      </c>
      <c r="K648" t="n">
        <v>0</v>
      </c>
      <c r="L648" t="n">
        <v>0</v>
      </c>
      <c r="M648" t="n">
        <v>0</v>
      </c>
      <c r="N648" t="n">
        <v>0</v>
      </c>
      <c r="O648" t="n">
        <v>0</v>
      </c>
      <c r="P648" t="n">
        <v>0</v>
      </c>
      <c r="Q648" t="n">
        <v>0</v>
      </c>
      <c r="R648" s="2" t="inlineStr"/>
    </row>
    <row r="649" ht="15" customHeight="1">
      <c r="A649" t="inlineStr">
        <is>
          <t>A 27602-2023</t>
        </is>
      </c>
      <c r="B649" s="1" t="n">
        <v>45097</v>
      </c>
      <c r="C649" s="1" t="n">
        <v>45749</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27596-2023</t>
        </is>
      </c>
      <c r="B650" s="1" t="n">
        <v>45097</v>
      </c>
      <c r="C650" s="1" t="n">
        <v>45749</v>
      </c>
      <c r="D650" t="inlineStr">
        <is>
          <t>GOTLANDS LÄN</t>
        </is>
      </c>
      <c r="E650" t="inlineStr">
        <is>
          <t>GOTLAND</t>
        </is>
      </c>
      <c r="G650" t="n">
        <v>3.6</v>
      </c>
      <c r="H650" t="n">
        <v>0</v>
      </c>
      <c r="I650" t="n">
        <v>0</v>
      </c>
      <c r="J650" t="n">
        <v>0</v>
      </c>
      <c r="K650" t="n">
        <v>0</v>
      </c>
      <c r="L650" t="n">
        <v>0</v>
      </c>
      <c r="M650" t="n">
        <v>0</v>
      </c>
      <c r="N650" t="n">
        <v>0</v>
      </c>
      <c r="O650" t="n">
        <v>0</v>
      </c>
      <c r="P650" t="n">
        <v>0</v>
      </c>
      <c r="Q650" t="n">
        <v>0</v>
      </c>
      <c r="R650" s="2" t="inlineStr"/>
    </row>
    <row r="651" ht="15" customHeight="1">
      <c r="A651" t="inlineStr">
        <is>
          <t>A 28228-2023</t>
        </is>
      </c>
      <c r="B651" s="1" t="n">
        <v>45099</v>
      </c>
      <c r="C651" s="1" t="n">
        <v>45749</v>
      </c>
      <c r="D651" t="inlineStr">
        <is>
          <t>GOTLANDS LÄN</t>
        </is>
      </c>
      <c r="E651" t="inlineStr">
        <is>
          <t>GOTLAND</t>
        </is>
      </c>
      <c r="G651" t="n">
        <v>1</v>
      </c>
      <c r="H651" t="n">
        <v>0</v>
      </c>
      <c r="I651" t="n">
        <v>0</v>
      </c>
      <c r="J651" t="n">
        <v>0</v>
      </c>
      <c r="K651" t="n">
        <v>0</v>
      </c>
      <c r="L651" t="n">
        <v>0</v>
      </c>
      <c r="M651" t="n">
        <v>0</v>
      </c>
      <c r="N651" t="n">
        <v>0</v>
      </c>
      <c r="O651" t="n">
        <v>0</v>
      </c>
      <c r="P651" t="n">
        <v>0</v>
      </c>
      <c r="Q651" t="n">
        <v>0</v>
      </c>
      <c r="R651" s="2" t="inlineStr"/>
    </row>
    <row r="652" ht="15" customHeight="1">
      <c r="A652" t="inlineStr">
        <is>
          <t>A 28425-2023</t>
        </is>
      </c>
      <c r="B652" s="1" t="n">
        <v>45102</v>
      </c>
      <c r="C652" s="1" t="n">
        <v>45749</v>
      </c>
      <c r="D652" t="inlineStr">
        <is>
          <t>GOTLANDS LÄN</t>
        </is>
      </c>
      <c r="E652" t="inlineStr">
        <is>
          <t>GOTLAND</t>
        </is>
      </c>
      <c r="G652" t="n">
        <v>0.5</v>
      </c>
      <c r="H652" t="n">
        <v>0</v>
      </c>
      <c r="I652" t="n">
        <v>0</v>
      </c>
      <c r="J652" t="n">
        <v>0</v>
      </c>
      <c r="K652" t="n">
        <v>0</v>
      </c>
      <c r="L652" t="n">
        <v>0</v>
      </c>
      <c r="M652" t="n">
        <v>0</v>
      </c>
      <c r="N652" t="n">
        <v>0</v>
      </c>
      <c r="O652" t="n">
        <v>0</v>
      </c>
      <c r="P652" t="n">
        <v>0</v>
      </c>
      <c r="Q652" t="n">
        <v>0</v>
      </c>
      <c r="R652" s="2" t="inlineStr"/>
    </row>
    <row r="653" ht="15" customHeight="1">
      <c r="A653" t="inlineStr">
        <is>
          <t>A 28486-2023</t>
        </is>
      </c>
      <c r="B653" s="1" t="n">
        <v>45103</v>
      </c>
      <c r="C653" s="1" t="n">
        <v>45749</v>
      </c>
      <c r="D653" t="inlineStr">
        <is>
          <t>GOTLANDS LÄN</t>
        </is>
      </c>
      <c r="E653" t="inlineStr">
        <is>
          <t>GOTLAND</t>
        </is>
      </c>
      <c r="G653" t="n">
        <v>7.7</v>
      </c>
      <c r="H653" t="n">
        <v>0</v>
      </c>
      <c r="I653" t="n">
        <v>0</v>
      </c>
      <c r="J653" t="n">
        <v>0</v>
      </c>
      <c r="K653" t="n">
        <v>0</v>
      </c>
      <c r="L653" t="n">
        <v>0</v>
      </c>
      <c r="M653" t="n">
        <v>0</v>
      </c>
      <c r="N653" t="n">
        <v>0</v>
      </c>
      <c r="O653" t="n">
        <v>0</v>
      </c>
      <c r="P653" t="n">
        <v>0</v>
      </c>
      <c r="Q653" t="n">
        <v>0</v>
      </c>
      <c r="R653" s="2" t="inlineStr"/>
    </row>
    <row r="654" ht="15" customHeight="1">
      <c r="A654" t="inlineStr">
        <is>
          <t>A 28485-2023</t>
        </is>
      </c>
      <c r="B654" s="1" t="n">
        <v>45103</v>
      </c>
      <c r="C654" s="1" t="n">
        <v>45749</v>
      </c>
      <c r="D654" t="inlineStr">
        <is>
          <t>GOTLANDS LÄN</t>
        </is>
      </c>
      <c r="E654" t="inlineStr">
        <is>
          <t>GOTLAND</t>
        </is>
      </c>
      <c r="G654" t="n">
        <v>2.3</v>
      </c>
      <c r="H654" t="n">
        <v>0</v>
      </c>
      <c r="I654" t="n">
        <v>0</v>
      </c>
      <c r="J654" t="n">
        <v>0</v>
      </c>
      <c r="K654" t="n">
        <v>0</v>
      </c>
      <c r="L654" t="n">
        <v>0</v>
      </c>
      <c r="M654" t="n">
        <v>0</v>
      </c>
      <c r="N654" t="n">
        <v>0</v>
      </c>
      <c r="O654" t="n">
        <v>0</v>
      </c>
      <c r="P654" t="n">
        <v>0</v>
      </c>
      <c r="Q654" t="n">
        <v>0</v>
      </c>
      <c r="R654" s="2" t="inlineStr"/>
    </row>
    <row r="655" ht="15" customHeight="1">
      <c r="A655" t="inlineStr">
        <is>
          <t>A 28480-2023</t>
        </is>
      </c>
      <c r="B655" s="1" t="n">
        <v>45103</v>
      </c>
      <c r="C655" s="1" t="n">
        <v>45749</v>
      </c>
      <c r="D655" t="inlineStr">
        <is>
          <t>GOTLANDS LÄN</t>
        </is>
      </c>
      <c r="E655" t="inlineStr">
        <is>
          <t>GOTLAND</t>
        </is>
      </c>
      <c r="G655" t="n">
        <v>5.7</v>
      </c>
      <c r="H655" t="n">
        <v>0</v>
      </c>
      <c r="I655" t="n">
        <v>0</v>
      </c>
      <c r="J655" t="n">
        <v>0</v>
      </c>
      <c r="K655" t="n">
        <v>0</v>
      </c>
      <c r="L655" t="n">
        <v>0</v>
      </c>
      <c r="M655" t="n">
        <v>0</v>
      </c>
      <c r="N655" t="n">
        <v>0</v>
      </c>
      <c r="O655" t="n">
        <v>0</v>
      </c>
      <c r="P655" t="n">
        <v>0</v>
      </c>
      <c r="Q655" t="n">
        <v>0</v>
      </c>
      <c r="R655" s="2" t="inlineStr"/>
    </row>
    <row r="656" ht="15" customHeight="1">
      <c r="A656" t="inlineStr">
        <is>
          <t>A 28506-2023</t>
        </is>
      </c>
      <c r="B656" s="1" t="n">
        <v>45103</v>
      </c>
      <c r="C656" s="1" t="n">
        <v>45749</v>
      </c>
      <c r="D656" t="inlineStr">
        <is>
          <t>GOTLANDS LÄN</t>
        </is>
      </c>
      <c r="E656" t="inlineStr">
        <is>
          <t>GOTLAND</t>
        </is>
      </c>
      <c r="G656" t="n">
        <v>3.2</v>
      </c>
      <c r="H656" t="n">
        <v>0</v>
      </c>
      <c r="I656" t="n">
        <v>0</v>
      </c>
      <c r="J656" t="n">
        <v>0</v>
      </c>
      <c r="K656" t="n">
        <v>0</v>
      </c>
      <c r="L656" t="n">
        <v>0</v>
      </c>
      <c r="M656" t="n">
        <v>0</v>
      </c>
      <c r="N656" t="n">
        <v>0</v>
      </c>
      <c r="O656" t="n">
        <v>0</v>
      </c>
      <c r="P656" t="n">
        <v>0</v>
      </c>
      <c r="Q656" t="n">
        <v>0</v>
      </c>
      <c r="R656" s="2" t="inlineStr"/>
    </row>
    <row r="657" ht="15" customHeight="1">
      <c r="A657" t="inlineStr">
        <is>
          <t>A 28560-2023</t>
        </is>
      </c>
      <c r="B657" s="1" t="n">
        <v>45103</v>
      </c>
      <c r="C657" s="1" t="n">
        <v>45749</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29126-2023</t>
        </is>
      </c>
      <c r="B658" s="1" t="n">
        <v>45105</v>
      </c>
      <c r="C658" s="1" t="n">
        <v>45749</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29499-2023</t>
        </is>
      </c>
      <c r="B659" s="1" t="n">
        <v>45106</v>
      </c>
      <c r="C659" s="1" t="n">
        <v>45749</v>
      </c>
      <c r="D659" t="inlineStr">
        <is>
          <t>GOTLANDS LÄN</t>
        </is>
      </c>
      <c r="E659" t="inlineStr">
        <is>
          <t>GOTLAND</t>
        </is>
      </c>
      <c r="G659" t="n">
        <v>2.5</v>
      </c>
      <c r="H659" t="n">
        <v>0</v>
      </c>
      <c r="I659" t="n">
        <v>0</v>
      </c>
      <c r="J659" t="n">
        <v>0</v>
      </c>
      <c r="K659" t="n">
        <v>0</v>
      </c>
      <c r="L659" t="n">
        <v>0</v>
      </c>
      <c r="M659" t="n">
        <v>0</v>
      </c>
      <c r="N659" t="n">
        <v>0</v>
      </c>
      <c r="O659" t="n">
        <v>0</v>
      </c>
      <c r="P659" t="n">
        <v>0</v>
      </c>
      <c r="Q659" t="n">
        <v>0</v>
      </c>
      <c r="R659" s="2" t="inlineStr"/>
    </row>
    <row r="660" ht="15" customHeight="1">
      <c r="A660" t="inlineStr">
        <is>
          <t>A 30164-2023</t>
        </is>
      </c>
      <c r="B660" s="1" t="n">
        <v>45110</v>
      </c>
      <c r="C660" s="1" t="n">
        <v>45749</v>
      </c>
      <c r="D660" t="inlineStr">
        <is>
          <t>GOTLANDS LÄN</t>
        </is>
      </c>
      <c r="E660" t="inlineStr">
        <is>
          <t>GOTLAND</t>
        </is>
      </c>
      <c r="G660" t="n">
        <v>5.5</v>
      </c>
      <c r="H660" t="n">
        <v>0</v>
      </c>
      <c r="I660" t="n">
        <v>0</v>
      </c>
      <c r="J660" t="n">
        <v>0</v>
      </c>
      <c r="K660" t="n">
        <v>0</v>
      </c>
      <c r="L660" t="n">
        <v>0</v>
      </c>
      <c r="M660" t="n">
        <v>0</v>
      </c>
      <c r="N660" t="n">
        <v>0</v>
      </c>
      <c r="O660" t="n">
        <v>0</v>
      </c>
      <c r="P660" t="n">
        <v>0</v>
      </c>
      <c r="Q660" t="n">
        <v>0</v>
      </c>
      <c r="R660" s="2" t="inlineStr"/>
    </row>
    <row r="661" ht="15" customHeight="1">
      <c r="A661" t="inlineStr">
        <is>
          <t>A 30815-2023</t>
        </is>
      </c>
      <c r="B661" s="1" t="n">
        <v>45112</v>
      </c>
      <c r="C661" s="1" t="n">
        <v>45749</v>
      </c>
      <c r="D661" t="inlineStr">
        <is>
          <t>GOTLANDS LÄN</t>
        </is>
      </c>
      <c r="E661" t="inlineStr">
        <is>
          <t>GOTLAND</t>
        </is>
      </c>
      <c r="G661" t="n">
        <v>6</v>
      </c>
      <c r="H661" t="n">
        <v>0</v>
      </c>
      <c r="I661" t="n">
        <v>0</v>
      </c>
      <c r="J661" t="n">
        <v>0</v>
      </c>
      <c r="K661" t="n">
        <v>0</v>
      </c>
      <c r="L661" t="n">
        <v>0</v>
      </c>
      <c r="M661" t="n">
        <v>0</v>
      </c>
      <c r="N661" t="n">
        <v>0</v>
      </c>
      <c r="O661" t="n">
        <v>0</v>
      </c>
      <c r="P661" t="n">
        <v>0</v>
      </c>
      <c r="Q661" t="n">
        <v>0</v>
      </c>
      <c r="R661" s="2" t="inlineStr"/>
    </row>
    <row r="662" ht="15" customHeight="1">
      <c r="A662" t="inlineStr">
        <is>
          <t>A 32737-2023</t>
        </is>
      </c>
      <c r="B662" s="1" t="n">
        <v>45122</v>
      </c>
      <c r="C662" s="1" t="n">
        <v>45749</v>
      </c>
      <c r="D662" t="inlineStr">
        <is>
          <t>GOTLANDS LÄN</t>
        </is>
      </c>
      <c r="E662" t="inlineStr">
        <is>
          <t>GOTLAND</t>
        </is>
      </c>
      <c r="F662" t="inlineStr">
        <is>
          <t>Kyrkan</t>
        </is>
      </c>
      <c r="G662" t="n">
        <v>15.4</v>
      </c>
      <c r="H662" t="n">
        <v>0</v>
      </c>
      <c r="I662" t="n">
        <v>0</v>
      </c>
      <c r="J662" t="n">
        <v>0</v>
      </c>
      <c r="K662" t="n">
        <v>0</v>
      </c>
      <c r="L662" t="n">
        <v>0</v>
      </c>
      <c r="M662" t="n">
        <v>0</v>
      </c>
      <c r="N662" t="n">
        <v>0</v>
      </c>
      <c r="O662" t="n">
        <v>0</v>
      </c>
      <c r="P662" t="n">
        <v>0</v>
      </c>
      <c r="Q662" t="n">
        <v>0</v>
      </c>
      <c r="R662" s="2" t="inlineStr"/>
    </row>
    <row r="663" ht="15" customHeight="1">
      <c r="A663" t="inlineStr">
        <is>
          <t>A 32783-2023</t>
        </is>
      </c>
      <c r="B663" s="1" t="n">
        <v>45124</v>
      </c>
      <c r="C663" s="1" t="n">
        <v>45749</v>
      </c>
      <c r="D663" t="inlineStr">
        <is>
          <t>GOTLANDS LÄN</t>
        </is>
      </c>
      <c r="E663" t="inlineStr">
        <is>
          <t>GOTLAND</t>
        </is>
      </c>
      <c r="G663" t="n">
        <v>17.8</v>
      </c>
      <c r="H663" t="n">
        <v>0</v>
      </c>
      <c r="I663" t="n">
        <v>0</v>
      </c>
      <c r="J663" t="n">
        <v>0</v>
      </c>
      <c r="K663" t="n">
        <v>0</v>
      </c>
      <c r="L663" t="n">
        <v>0</v>
      </c>
      <c r="M663" t="n">
        <v>0</v>
      </c>
      <c r="N663" t="n">
        <v>0</v>
      </c>
      <c r="O663" t="n">
        <v>0</v>
      </c>
      <c r="P663" t="n">
        <v>0</v>
      </c>
      <c r="Q663" t="n">
        <v>0</v>
      </c>
      <c r="R663" s="2" t="inlineStr"/>
    </row>
    <row r="664" ht="15" customHeight="1">
      <c r="A664" t="inlineStr">
        <is>
          <t>A 34081-2023</t>
        </is>
      </c>
      <c r="B664" s="1" t="n">
        <v>45125</v>
      </c>
      <c r="C664" s="1" t="n">
        <v>45749</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34407-2023</t>
        </is>
      </c>
      <c r="B665" s="1" t="n">
        <v>45132</v>
      </c>
      <c r="C665" s="1" t="n">
        <v>45749</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35478-2023</t>
        </is>
      </c>
      <c r="B666" s="1" t="n">
        <v>45146</v>
      </c>
      <c r="C666" s="1" t="n">
        <v>45749</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35512-2023</t>
        </is>
      </c>
      <c r="B667" s="1" t="n">
        <v>45147</v>
      </c>
      <c r="C667" s="1" t="n">
        <v>45749</v>
      </c>
      <c r="D667" t="inlineStr">
        <is>
          <t>GOTLANDS LÄN</t>
        </is>
      </c>
      <c r="E667" t="inlineStr">
        <is>
          <t>GOTLAND</t>
        </is>
      </c>
      <c r="G667" t="n">
        <v>1.2</v>
      </c>
      <c r="H667" t="n">
        <v>0</v>
      </c>
      <c r="I667" t="n">
        <v>0</v>
      </c>
      <c r="J667" t="n">
        <v>0</v>
      </c>
      <c r="K667" t="n">
        <v>0</v>
      </c>
      <c r="L667" t="n">
        <v>0</v>
      </c>
      <c r="M667" t="n">
        <v>0</v>
      </c>
      <c r="N667" t="n">
        <v>0</v>
      </c>
      <c r="O667" t="n">
        <v>0</v>
      </c>
      <c r="P667" t="n">
        <v>0</v>
      </c>
      <c r="Q667" t="n">
        <v>0</v>
      </c>
      <c r="R667" s="2" t="inlineStr"/>
    </row>
    <row r="668" ht="15" customHeight="1">
      <c r="A668" t="inlineStr">
        <is>
          <t>A 35595-2023</t>
        </is>
      </c>
      <c r="B668" s="1" t="n">
        <v>45147</v>
      </c>
      <c r="C668" s="1" t="n">
        <v>45749</v>
      </c>
      <c r="D668" t="inlineStr">
        <is>
          <t>GOTLANDS LÄN</t>
        </is>
      </c>
      <c r="E668" t="inlineStr">
        <is>
          <t>GOTLAND</t>
        </is>
      </c>
      <c r="G668" t="n">
        <v>4.2</v>
      </c>
      <c r="H668" t="n">
        <v>0</v>
      </c>
      <c r="I668" t="n">
        <v>0</v>
      </c>
      <c r="J668" t="n">
        <v>0</v>
      </c>
      <c r="K668" t="n">
        <v>0</v>
      </c>
      <c r="L668" t="n">
        <v>0</v>
      </c>
      <c r="M668" t="n">
        <v>0</v>
      </c>
      <c r="N668" t="n">
        <v>0</v>
      </c>
      <c r="O668" t="n">
        <v>0</v>
      </c>
      <c r="P668" t="n">
        <v>0</v>
      </c>
      <c r="Q668" t="n">
        <v>0</v>
      </c>
      <c r="R668" s="2" t="inlineStr"/>
    </row>
    <row r="669" ht="15" customHeight="1">
      <c r="A669" t="inlineStr">
        <is>
          <t>A 35592-2023</t>
        </is>
      </c>
      <c r="B669" s="1" t="n">
        <v>45147</v>
      </c>
      <c r="C669" s="1" t="n">
        <v>45749</v>
      </c>
      <c r="D669" t="inlineStr">
        <is>
          <t>GOTLANDS LÄN</t>
        </is>
      </c>
      <c r="E669" t="inlineStr">
        <is>
          <t>GOTLAND</t>
        </is>
      </c>
      <c r="G669" t="n">
        <v>5.1</v>
      </c>
      <c r="H669" t="n">
        <v>0</v>
      </c>
      <c r="I669" t="n">
        <v>0</v>
      </c>
      <c r="J669" t="n">
        <v>0</v>
      </c>
      <c r="K669" t="n">
        <v>0</v>
      </c>
      <c r="L669" t="n">
        <v>0</v>
      </c>
      <c r="M669" t="n">
        <v>0</v>
      </c>
      <c r="N669" t="n">
        <v>0</v>
      </c>
      <c r="O669" t="n">
        <v>0</v>
      </c>
      <c r="P669" t="n">
        <v>0</v>
      </c>
      <c r="Q669" t="n">
        <v>0</v>
      </c>
      <c r="R669" s="2" t="inlineStr"/>
    </row>
    <row r="670" ht="15" customHeight="1">
      <c r="A670" t="inlineStr">
        <is>
          <t>A 37591-2023</t>
        </is>
      </c>
      <c r="B670" s="1" t="n">
        <v>45159</v>
      </c>
      <c r="C670" s="1" t="n">
        <v>45749</v>
      </c>
      <c r="D670" t="inlineStr">
        <is>
          <t>GOTLANDS LÄN</t>
        </is>
      </c>
      <c r="E670" t="inlineStr">
        <is>
          <t>GOTLAND</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38234-2023</t>
        </is>
      </c>
      <c r="B671" s="1" t="n">
        <v>45161</v>
      </c>
      <c r="C671" s="1" t="n">
        <v>45749</v>
      </c>
      <c r="D671" t="inlineStr">
        <is>
          <t>GOTLANDS LÄN</t>
        </is>
      </c>
      <c r="E671" t="inlineStr">
        <is>
          <t>GOTLAND</t>
        </is>
      </c>
      <c r="G671" t="n">
        <v>1.3</v>
      </c>
      <c r="H671" t="n">
        <v>0</v>
      </c>
      <c r="I671" t="n">
        <v>0</v>
      </c>
      <c r="J671" t="n">
        <v>0</v>
      </c>
      <c r="K671" t="n">
        <v>0</v>
      </c>
      <c r="L671" t="n">
        <v>0</v>
      </c>
      <c r="M671" t="n">
        <v>0</v>
      </c>
      <c r="N671" t="n">
        <v>0</v>
      </c>
      <c r="O671" t="n">
        <v>0</v>
      </c>
      <c r="P671" t="n">
        <v>0</v>
      </c>
      <c r="Q671" t="n">
        <v>0</v>
      </c>
      <c r="R671" s="2" t="inlineStr"/>
    </row>
    <row r="672" ht="15" customHeight="1">
      <c r="A672" t="inlineStr">
        <is>
          <t>A 38237-2023</t>
        </is>
      </c>
      <c r="B672" s="1" t="n">
        <v>45161</v>
      </c>
      <c r="C672" s="1" t="n">
        <v>45749</v>
      </c>
      <c r="D672" t="inlineStr">
        <is>
          <t>GOTLANDS LÄN</t>
        </is>
      </c>
      <c r="E672" t="inlineStr">
        <is>
          <t>GOTLAND</t>
        </is>
      </c>
      <c r="G672" t="n">
        <v>2.8</v>
      </c>
      <c r="H672" t="n">
        <v>0</v>
      </c>
      <c r="I672" t="n">
        <v>0</v>
      </c>
      <c r="J672" t="n">
        <v>0</v>
      </c>
      <c r="K672" t="n">
        <v>0</v>
      </c>
      <c r="L672" t="n">
        <v>0</v>
      </c>
      <c r="M672" t="n">
        <v>0</v>
      </c>
      <c r="N672" t="n">
        <v>0</v>
      </c>
      <c r="O672" t="n">
        <v>0</v>
      </c>
      <c r="P672" t="n">
        <v>0</v>
      </c>
      <c r="Q672" t="n">
        <v>0</v>
      </c>
      <c r="R672" s="2" t="inlineStr"/>
    </row>
    <row r="673" ht="15" customHeight="1">
      <c r="A673" t="inlineStr">
        <is>
          <t>A 38165-2023</t>
        </is>
      </c>
      <c r="B673" s="1" t="n">
        <v>45161</v>
      </c>
      <c r="C673" s="1" t="n">
        <v>45749</v>
      </c>
      <c r="D673" t="inlineStr">
        <is>
          <t>GOTLANDS LÄN</t>
        </is>
      </c>
      <c r="E673" t="inlineStr">
        <is>
          <t>GOTLAND</t>
        </is>
      </c>
      <c r="G673" t="n">
        <v>2.6</v>
      </c>
      <c r="H673" t="n">
        <v>0</v>
      </c>
      <c r="I673" t="n">
        <v>0</v>
      </c>
      <c r="J673" t="n">
        <v>0</v>
      </c>
      <c r="K673" t="n">
        <v>0</v>
      </c>
      <c r="L673" t="n">
        <v>0</v>
      </c>
      <c r="M673" t="n">
        <v>0</v>
      </c>
      <c r="N673" t="n">
        <v>0</v>
      </c>
      <c r="O673" t="n">
        <v>0</v>
      </c>
      <c r="P673" t="n">
        <v>0</v>
      </c>
      <c r="Q673" t="n">
        <v>0</v>
      </c>
      <c r="R673" s="2" t="inlineStr"/>
    </row>
    <row r="674" ht="15" customHeight="1">
      <c r="A674" t="inlineStr">
        <is>
          <t>A 38787-2023</t>
        </is>
      </c>
      <c r="B674" s="1" t="n">
        <v>45163</v>
      </c>
      <c r="C674" s="1" t="n">
        <v>45749</v>
      </c>
      <c r="D674" t="inlineStr">
        <is>
          <t>GOTLANDS LÄN</t>
        </is>
      </c>
      <c r="E674" t="inlineStr">
        <is>
          <t>GOTLAND</t>
        </is>
      </c>
      <c r="G674" t="n">
        <v>0.4</v>
      </c>
      <c r="H674" t="n">
        <v>0</v>
      </c>
      <c r="I674" t="n">
        <v>0</v>
      </c>
      <c r="J674" t="n">
        <v>0</v>
      </c>
      <c r="K674" t="n">
        <v>0</v>
      </c>
      <c r="L674" t="n">
        <v>0</v>
      </c>
      <c r="M674" t="n">
        <v>0</v>
      </c>
      <c r="N674" t="n">
        <v>0</v>
      </c>
      <c r="O674" t="n">
        <v>0</v>
      </c>
      <c r="P674" t="n">
        <v>0</v>
      </c>
      <c r="Q674" t="n">
        <v>0</v>
      </c>
      <c r="R674" s="2" t="inlineStr"/>
    </row>
    <row r="675" ht="15" customHeight="1">
      <c r="A675" t="inlineStr">
        <is>
          <t>A 39436-2023</t>
        </is>
      </c>
      <c r="B675" s="1" t="n">
        <v>45166</v>
      </c>
      <c r="C675" s="1" t="n">
        <v>45749</v>
      </c>
      <c r="D675" t="inlineStr">
        <is>
          <t>GOTLANDS LÄN</t>
        </is>
      </c>
      <c r="E675" t="inlineStr">
        <is>
          <t>GOTLAND</t>
        </is>
      </c>
      <c r="G675" t="n">
        <v>7</v>
      </c>
      <c r="H675" t="n">
        <v>0</v>
      </c>
      <c r="I675" t="n">
        <v>0</v>
      </c>
      <c r="J675" t="n">
        <v>0</v>
      </c>
      <c r="K675" t="n">
        <v>0</v>
      </c>
      <c r="L675" t="n">
        <v>0</v>
      </c>
      <c r="M675" t="n">
        <v>0</v>
      </c>
      <c r="N675" t="n">
        <v>0</v>
      </c>
      <c r="O675" t="n">
        <v>0</v>
      </c>
      <c r="P675" t="n">
        <v>0</v>
      </c>
      <c r="Q675" t="n">
        <v>0</v>
      </c>
      <c r="R675" s="2" t="inlineStr"/>
    </row>
    <row r="676" ht="15" customHeight="1">
      <c r="A676" t="inlineStr">
        <is>
          <t>A 39371-2023</t>
        </is>
      </c>
      <c r="B676" s="1" t="n">
        <v>45166</v>
      </c>
      <c r="C676" s="1" t="n">
        <v>45749</v>
      </c>
      <c r="D676" t="inlineStr">
        <is>
          <t>GOTLANDS LÄN</t>
        </is>
      </c>
      <c r="E676" t="inlineStr">
        <is>
          <t>GOTLAND</t>
        </is>
      </c>
      <c r="G676" t="n">
        <v>8.4</v>
      </c>
      <c r="H676" t="n">
        <v>0</v>
      </c>
      <c r="I676" t="n">
        <v>0</v>
      </c>
      <c r="J676" t="n">
        <v>0</v>
      </c>
      <c r="K676" t="n">
        <v>0</v>
      </c>
      <c r="L676" t="n">
        <v>0</v>
      </c>
      <c r="M676" t="n">
        <v>0</v>
      </c>
      <c r="N676" t="n">
        <v>0</v>
      </c>
      <c r="O676" t="n">
        <v>0</v>
      </c>
      <c r="P676" t="n">
        <v>0</v>
      </c>
      <c r="Q676" t="n">
        <v>0</v>
      </c>
      <c r="R676" s="2" t="inlineStr"/>
    </row>
    <row r="677" ht="15" customHeight="1">
      <c r="A677" t="inlineStr">
        <is>
          <t>A 39711-2023</t>
        </is>
      </c>
      <c r="B677" s="1" t="n">
        <v>45166</v>
      </c>
      <c r="C677" s="1" t="n">
        <v>45749</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41038-2023</t>
        </is>
      </c>
      <c r="B678" s="1" t="n">
        <v>45173</v>
      </c>
      <c r="C678" s="1" t="n">
        <v>45749</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41378-2023</t>
        </is>
      </c>
      <c r="B679" s="1" t="n">
        <v>45174</v>
      </c>
      <c r="C679" s="1" t="n">
        <v>45749</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41336-2023</t>
        </is>
      </c>
      <c r="B680" s="1" t="n">
        <v>45174</v>
      </c>
      <c r="C680" s="1" t="n">
        <v>45749</v>
      </c>
      <c r="D680" t="inlineStr">
        <is>
          <t>GOTLANDS LÄN</t>
        </is>
      </c>
      <c r="E680" t="inlineStr">
        <is>
          <t>GOTLAND</t>
        </is>
      </c>
      <c r="G680" t="n">
        <v>2.1</v>
      </c>
      <c r="H680" t="n">
        <v>0</v>
      </c>
      <c r="I680" t="n">
        <v>0</v>
      </c>
      <c r="J680" t="n">
        <v>0</v>
      </c>
      <c r="K680" t="n">
        <v>0</v>
      </c>
      <c r="L680" t="n">
        <v>0</v>
      </c>
      <c r="M680" t="n">
        <v>0</v>
      </c>
      <c r="N680" t="n">
        <v>0</v>
      </c>
      <c r="O680" t="n">
        <v>0</v>
      </c>
      <c r="P680" t="n">
        <v>0</v>
      </c>
      <c r="Q680" t="n">
        <v>0</v>
      </c>
      <c r="R680" s="2" t="inlineStr"/>
    </row>
    <row r="681" ht="15" customHeight="1">
      <c r="A681" t="inlineStr">
        <is>
          <t>A 41697-2023</t>
        </is>
      </c>
      <c r="B681" s="1" t="n">
        <v>45176</v>
      </c>
      <c r="C681" s="1" t="n">
        <v>45749</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41893-2023</t>
        </is>
      </c>
      <c r="B682" s="1" t="n">
        <v>45176</v>
      </c>
      <c r="C682" s="1" t="n">
        <v>45749</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42007-2023</t>
        </is>
      </c>
      <c r="B683" s="1" t="n">
        <v>45177</v>
      </c>
      <c r="C683" s="1" t="n">
        <v>45749</v>
      </c>
      <c r="D683" t="inlineStr">
        <is>
          <t>GOTLANDS LÄN</t>
        </is>
      </c>
      <c r="E683" t="inlineStr">
        <is>
          <t>GOTLAND</t>
        </is>
      </c>
      <c r="G683" t="n">
        <v>0.8</v>
      </c>
      <c r="H683" t="n">
        <v>0</v>
      </c>
      <c r="I683" t="n">
        <v>0</v>
      </c>
      <c r="J683" t="n">
        <v>0</v>
      </c>
      <c r="K683" t="n">
        <v>0</v>
      </c>
      <c r="L683" t="n">
        <v>0</v>
      </c>
      <c r="M683" t="n">
        <v>0</v>
      </c>
      <c r="N683" t="n">
        <v>0</v>
      </c>
      <c r="O683" t="n">
        <v>0</v>
      </c>
      <c r="P683" t="n">
        <v>0</v>
      </c>
      <c r="Q683" t="n">
        <v>0</v>
      </c>
      <c r="R683" s="2" t="inlineStr"/>
    </row>
    <row r="684" ht="15" customHeight="1">
      <c r="A684" t="inlineStr">
        <is>
          <t>A 42097-2023</t>
        </is>
      </c>
      <c r="B684" s="1" t="n">
        <v>45177</v>
      </c>
      <c r="C684" s="1" t="n">
        <v>45749</v>
      </c>
      <c r="D684" t="inlineStr">
        <is>
          <t>GOTLANDS LÄN</t>
        </is>
      </c>
      <c r="E684" t="inlineStr">
        <is>
          <t>GOTLAND</t>
        </is>
      </c>
      <c r="G684" t="n">
        <v>3.9</v>
      </c>
      <c r="H684" t="n">
        <v>0</v>
      </c>
      <c r="I684" t="n">
        <v>0</v>
      </c>
      <c r="J684" t="n">
        <v>0</v>
      </c>
      <c r="K684" t="n">
        <v>0</v>
      </c>
      <c r="L684" t="n">
        <v>0</v>
      </c>
      <c r="M684" t="n">
        <v>0</v>
      </c>
      <c r="N684" t="n">
        <v>0</v>
      </c>
      <c r="O684" t="n">
        <v>0</v>
      </c>
      <c r="P684" t="n">
        <v>0</v>
      </c>
      <c r="Q684" t="n">
        <v>0</v>
      </c>
      <c r="R684" s="2" t="inlineStr"/>
    </row>
    <row r="685" ht="15" customHeight="1">
      <c r="A685" t="inlineStr">
        <is>
          <t>A 42201-2023</t>
        </is>
      </c>
      <c r="B685" s="1" t="n">
        <v>45179</v>
      </c>
      <c r="C685" s="1" t="n">
        <v>45749</v>
      </c>
      <c r="D685" t="inlineStr">
        <is>
          <t>GOTLANDS LÄN</t>
        </is>
      </c>
      <c r="E685" t="inlineStr">
        <is>
          <t>GOTLAND</t>
        </is>
      </c>
      <c r="G685" t="n">
        <v>11.9</v>
      </c>
      <c r="H685" t="n">
        <v>0</v>
      </c>
      <c r="I685" t="n">
        <v>0</v>
      </c>
      <c r="J685" t="n">
        <v>0</v>
      </c>
      <c r="K685" t="n">
        <v>0</v>
      </c>
      <c r="L685" t="n">
        <v>0</v>
      </c>
      <c r="M685" t="n">
        <v>0</v>
      </c>
      <c r="N685" t="n">
        <v>0</v>
      </c>
      <c r="O685" t="n">
        <v>0</v>
      </c>
      <c r="P685" t="n">
        <v>0</v>
      </c>
      <c r="Q685" t="n">
        <v>0</v>
      </c>
      <c r="R685" s="2" t="inlineStr"/>
    </row>
    <row r="686" ht="15" customHeight="1">
      <c r="A686" t="inlineStr">
        <is>
          <t>A 42338-2023</t>
        </is>
      </c>
      <c r="B686" s="1" t="n">
        <v>45180</v>
      </c>
      <c r="C686" s="1" t="n">
        <v>45749</v>
      </c>
      <c r="D686" t="inlineStr">
        <is>
          <t>GOTLANDS LÄN</t>
        </is>
      </c>
      <c r="E686" t="inlineStr">
        <is>
          <t>GOTLAND</t>
        </is>
      </c>
      <c r="G686" t="n">
        <v>0.7</v>
      </c>
      <c r="H686" t="n">
        <v>0</v>
      </c>
      <c r="I686" t="n">
        <v>0</v>
      </c>
      <c r="J686" t="n">
        <v>0</v>
      </c>
      <c r="K686" t="n">
        <v>0</v>
      </c>
      <c r="L686" t="n">
        <v>0</v>
      </c>
      <c r="M686" t="n">
        <v>0</v>
      </c>
      <c r="N686" t="n">
        <v>0</v>
      </c>
      <c r="O686" t="n">
        <v>0</v>
      </c>
      <c r="P686" t="n">
        <v>0</v>
      </c>
      <c r="Q686" t="n">
        <v>0</v>
      </c>
      <c r="R686" s="2" t="inlineStr"/>
    </row>
    <row r="687" ht="15" customHeight="1">
      <c r="A687" t="inlineStr">
        <is>
          <t>A 42465-2023</t>
        </is>
      </c>
      <c r="B687" s="1" t="n">
        <v>45180</v>
      </c>
      <c r="C687" s="1" t="n">
        <v>45749</v>
      </c>
      <c r="D687" t="inlineStr">
        <is>
          <t>GOTLANDS LÄN</t>
        </is>
      </c>
      <c r="E687" t="inlineStr">
        <is>
          <t>GOTLAND</t>
        </is>
      </c>
      <c r="G687" t="n">
        <v>0.9</v>
      </c>
      <c r="H687" t="n">
        <v>0</v>
      </c>
      <c r="I687" t="n">
        <v>0</v>
      </c>
      <c r="J687" t="n">
        <v>0</v>
      </c>
      <c r="K687" t="n">
        <v>0</v>
      </c>
      <c r="L687" t="n">
        <v>0</v>
      </c>
      <c r="M687" t="n">
        <v>0</v>
      </c>
      <c r="N687" t="n">
        <v>0</v>
      </c>
      <c r="O687" t="n">
        <v>0</v>
      </c>
      <c r="P687" t="n">
        <v>0</v>
      </c>
      <c r="Q687" t="n">
        <v>0</v>
      </c>
      <c r="R687" s="2" t="inlineStr"/>
    </row>
    <row r="688" ht="15" customHeight="1">
      <c r="A688" t="inlineStr">
        <is>
          <t>A 43223-2023</t>
        </is>
      </c>
      <c r="B688" s="1" t="n">
        <v>45183</v>
      </c>
      <c r="C688" s="1" t="n">
        <v>45749</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43200-2023</t>
        </is>
      </c>
      <c r="B689" s="1" t="n">
        <v>45183</v>
      </c>
      <c r="C689" s="1" t="n">
        <v>45749</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43226-2023</t>
        </is>
      </c>
      <c r="B690" s="1" t="n">
        <v>45183</v>
      </c>
      <c r="C690" s="1" t="n">
        <v>45749</v>
      </c>
      <c r="D690" t="inlineStr">
        <is>
          <t>GOTLANDS LÄN</t>
        </is>
      </c>
      <c r="E690" t="inlineStr">
        <is>
          <t>GOTLAND</t>
        </is>
      </c>
      <c r="G690" t="n">
        <v>1.5</v>
      </c>
      <c r="H690" t="n">
        <v>0</v>
      </c>
      <c r="I690" t="n">
        <v>0</v>
      </c>
      <c r="J690" t="n">
        <v>0</v>
      </c>
      <c r="K690" t="n">
        <v>0</v>
      </c>
      <c r="L690" t="n">
        <v>0</v>
      </c>
      <c r="M690" t="n">
        <v>0</v>
      </c>
      <c r="N690" t="n">
        <v>0</v>
      </c>
      <c r="O690" t="n">
        <v>0</v>
      </c>
      <c r="P690" t="n">
        <v>0</v>
      </c>
      <c r="Q690" t="n">
        <v>0</v>
      </c>
      <c r="R690" s="2" t="inlineStr"/>
    </row>
    <row r="691" ht="15" customHeight="1">
      <c r="A691" t="inlineStr">
        <is>
          <t>A 43231-2023</t>
        </is>
      </c>
      <c r="B691" s="1" t="n">
        <v>45183</v>
      </c>
      <c r="C691" s="1" t="n">
        <v>45749</v>
      </c>
      <c r="D691" t="inlineStr">
        <is>
          <t>GOTLANDS LÄN</t>
        </is>
      </c>
      <c r="E691" t="inlineStr">
        <is>
          <t>GOTLAND</t>
        </is>
      </c>
      <c r="G691" t="n">
        <v>3.6</v>
      </c>
      <c r="H691" t="n">
        <v>0</v>
      </c>
      <c r="I691" t="n">
        <v>0</v>
      </c>
      <c r="J691" t="n">
        <v>0</v>
      </c>
      <c r="K691" t="n">
        <v>0</v>
      </c>
      <c r="L691" t="n">
        <v>0</v>
      </c>
      <c r="M691" t="n">
        <v>0</v>
      </c>
      <c r="N691" t="n">
        <v>0</v>
      </c>
      <c r="O691" t="n">
        <v>0</v>
      </c>
      <c r="P691" t="n">
        <v>0</v>
      </c>
      <c r="Q691" t="n">
        <v>0</v>
      </c>
      <c r="R691" s="2" t="inlineStr"/>
    </row>
    <row r="692" ht="15" customHeight="1">
      <c r="A692" t="inlineStr">
        <is>
          <t>A 43220-2023</t>
        </is>
      </c>
      <c r="B692" s="1" t="n">
        <v>45183</v>
      </c>
      <c r="C692" s="1" t="n">
        <v>45749</v>
      </c>
      <c r="D692" t="inlineStr">
        <is>
          <t>GOTLANDS LÄN</t>
        </is>
      </c>
      <c r="E692" t="inlineStr">
        <is>
          <t>GOTLAND</t>
        </is>
      </c>
      <c r="G692" t="n">
        <v>3.3</v>
      </c>
      <c r="H692" t="n">
        <v>0</v>
      </c>
      <c r="I692" t="n">
        <v>0</v>
      </c>
      <c r="J692" t="n">
        <v>0</v>
      </c>
      <c r="K692" t="n">
        <v>0</v>
      </c>
      <c r="L692" t="n">
        <v>0</v>
      </c>
      <c r="M692" t="n">
        <v>0</v>
      </c>
      <c r="N692" t="n">
        <v>0</v>
      </c>
      <c r="O692" t="n">
        <v>0</v>
      </c>
      <c r="P692" t="n">
        <v>0</v>
      </c>
      <c r="Q692" t="n">
        <v>0</v>
      </c>
      <c r="R692" s="2" t="inlineStr"/>
    </row>
    <row r="693" ht="15" customHeight="1">
      <c r="A693" t="inlineStr">
        <is>
          <t>A 43224-2023</t>
        </is>
      </c>
      <c r="B693" s="1" t="n">
        <v>45183</v>
      </c>
      <c r="C693" s="1" t="n">
        <v>45749</v>
      </c>
      <c r="D693" t="inlineStr">
        <is>
          <t>GOTLANDS LÄN</t>
        </is>
      </c>
      <c r="E693" t="inlineStr">
        <is>
          <t>GOTLAND</t>
        </is>
      </c>
      <c r="G693" t="n">
        <v>1.1</v>
      </c>
      <c r="H693" t="n">
        <v>0</v>
      </c>
      <c r="I693" t="n">
        <v>0</v>
      </c>
      <c r="J693" t="n">
        <v>0</v>
      </c>
      <c r="K693" t="n">
        <v>0</v>
      </c>
      <c r="L693" t="n">
        <v>0</v>
      </c>
      <c r="M693" t="n">
        <v>0</v>
      </c>
      <c r="N693" t="n">
        <v>0</v>
      </c>
      <c r="O693" t="n">
        <v>0</v>
      </c>
      <c r="P693" t="n">
        <v>0</v>
      </c>
      <c r="Q693" t="n">
        <v>0</v>
      </c>
      <c r="R693" s="2" t="inlineStr"/>
    </row>
    <row r="694" ht="15" customHeight="1">
      <c r="A694" t="inlineStr">
        <is>
          <t>A 43229-2023</t>
        </is>
      </c>
      <c r="B694" s="1" t="n">
        <v>45183</v>
      </c>
      <c r="C694" s="1" t="n">
        <v>45749</v>
      </c>
      <c r="D694" t="inlineStr">
        <is>
          <t>GOTLANDS LÄN</t>
        </is>
      </c>
      <c r="E694" t="inlineStr">
        <is>
          <t>GOTLAND</t>
        </is>
      </c>
      <c r="G694" t="n">
        <v>7.1</v>
      </c>
      <c r="H694" t="n">
        <v>0</v>
      </c>
      <c r="I694" t="n">
        <v>0</v>
      </c>
      <c r="J694" t="n">
        <v>0</v>
      </c>
      <c r="K694" t="n">
        <v>0</v>
      </c>
      <c r="L694" t="n">
        <v>0</v>
      </c>
      <c r="M694" t="n">
        <v>0</v>
      </c>
      <c r="N694" t="n">
        <v>0</v>
      </c>
      <c r="O694" t="n">
        <v>0</v>
      </c>
      <c r="P694" t="n">
        <v>0</v>
      </c>
      <c r="Q694" t="n">
        <v>0</v>
      </c>
      <c r="R694" s="2" t="inlineStr"/>
    </row>
    <row r="695" ht="15" customHeight="1">
      <c r="A695" t="inlineStr">
        <is>
          <t>A 43901-2023</t>
        </is>
      </c>
      <c r="B695" s="1" t="n">
        <v>45187</v>
      </c>
      <c r="C695" s="1" t="n">
        <v>45749</v>
      </c>
      <c r="D695" t="inlineStr">
        <is>
          <t>GOTLANDS LÄN</t>
        </is>
      </c>
      <c r="E695" t="inlineStr">
        <is>
          <t>GOTLAND</t>
        </is>
      </c>
      <c r="G695" t="n">
        <v>5.4</v>
      </c>
      <c r="H695" t="n">
        <v>0</v>
      </c>
      <c r="I695" t="n">
        <v>0</v>
      </c>
      <c r="J695" t="n">
        <v>0</v>
      </c>
      <c r="K695" t="n">
        <v>0</v>
      </c>
      <c r="L695" t="n">
        <v>0</v>
      </c>
      <c r="M695" t="n">
        <v>0</v>
      </c>
      <c r="N695" t="n">
        <v>0</v>
      </c>
      <c r="O695" t="n">
        <v>0</v>
      </c>
      <c r="P695" t="n">
        <v>0</v>
      </c>
      <c r="Q695" t="n">
        <v>0</v>
      </c>
      <c r="R695" s="2" t="inlineStr"/>
    </row>
    <row r="696" ht="15" customHeight="1">
      <c r="A696" t="inlineStr">
        <is>
          <t>A 44189-2023</t>
        </is>
      </c>
      <c r="B696" s="1" t="n">
        <v>45188</v>
      </c>
      <c r="C696" s="1" t="n">
        <v>45749</v>
      </c>
      <c r="D696" t="inlineStr">
        <is>
          <t>GOTLANDS LÄN</t>
        </is>
      </c>
      <c r="E696" t="inlineStr">
        <is>
          <t>GOTLAND</t>
        </is>
      </c>
      <c r="G696" t="n">
        <v>2.3</v>
      </c>
      <c r="H696" t="n">
        <v>0</v>
      </c>
      <c r="I696" t="n">
        <v>0</v>
      </c>
      <c r="J696" t="n">
        <v>0</v>
      </c>
      <c r="K696" t="n">
        <v>0</v>
      </c>
      <c r="L696" t="n">
        <v>0</v>
      </c>
      <c r="M696" t="n">
        <v>0</v>
      </c>
      <c r="N696" t="n">
        <v>0</v>
      </c>
      <c r="O696" t="n">
        <v>0</v>
      </c>
      <c r="P696" t="n">
        <v>0</v>
      </c>
      <c r="Q696" t="n">
        <v>0</v>
      </c>
      <c r="R696" s="2" t="inlineStr"/>
    </row>
    <row r="697" ht="15" customHeight="1">
      <c r="A697" t="inlineStr">
        <is>
          <t>A 44888-2023</t>
        </is>
      </c>
      <c r="B697" s="1" t="n">
        <v>45190</v>
      </c>
      <c r="C697" s="1" t="n">
        <v>45749</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44941-2023</t>
        </is>
      </c>
      <c r="B698" s="1" t="n">
        <v>45190</v>
      </c>
      <c r="C698" s="1" t="n">
        <v>45749</v>
      </c>
      <c r="D698" t="inlineStr">
        <is>
          <t>GOTLANDS LÄN</t>
        </is>
      </c>
      <c r="E698" t="inlineStr">
        <is>
          <t>GOTLAND</t>
        </is>
      </c>
      <c r="G698" t="n">
        <v>2.7</v>
      </c>
      <c r="H698" t="n">
        <v>0</v>
      </c>
      <c r="I698" t="n">
        <v>0</v>
      </c>
      <c r="J698" t="n">
        <v>0</v>
      </c>
      <c r="K698" t="n">
        <v>0</v>
      </c>
      <c r="L698" t="n">
        <v>0</v>
      </c>
      <c r="M698" t="n">
        <v>0</v>
      </c>
      <c r="N698" t="n">
        <v>0</v>
      </c>
      <c r="O698" t="n">
        <v>0</v>
      </c>
      <c r="P698" t="n">
        <v>0</v>
      </c>
      <c r="Q698" t="n">
        <v>0</v>
      </c>
      <c r="R698" s="2" t="inlineStr"/>
    </row>
    <row r="699" ht="15" customHeight="1">
      <c r="A699" t="inlineStr">
        <is>
          <t>A 44953-2023</t>
        </is>
      </c>
      <c r="B699" s="1" t="n">
        <v>45190</v>
      </c>
      <c r="C699" s="1" t="n">
        <v>45749</v>
      </c>
      <c r="D699" t="inlineStr">
        <is>
          <t>GOTLANDS LÄN</t>
        </is>
      </c>
      <c r="E699" t="inlineStr">
        <is>
          <t>GOTLAND</t>
        </is>
      </c>
      <c r="G699" t="n">
        <v>3.7</v>
      </c>
      <c r="H699" t="n">
        <v>0</v>
      </c>
      <c r="I699" t="n">
        <v>0</v>
      </c>
      <c r="J699" t="n">
        <v>0</v>
      </c>
      <c r="K699" t="n">
        <v>0</v>
      </c>
      <c r="L699" t="n">
        <v>0</v>
      </c>
      <c r="M699" t="n">
        <v>0</v>
      </c>
      <c r="N699" t="n">
        <v>0</v>
      </c>
      <c r="O699" t="n">
        <v>0</v>
      </c>
      <c r="P699" t="n">
        <v>0</v>
      </c>
      <c r="Q699" t="n">
        <v>0</v>
      </c>
      <c r="R699" s="2" t="inlineStr"/>
    </row>
    <row r="700" ht="15" customHeight="1">
      <c r="A700" t="inlineStr">
        <is>
          <t>A 44918-2023</t>
        </is>
      </c>
      <c r="B700" s="1" t="n">
        <v>45190</v>
      </c>
      <c r="C700" s="1" t="n">
        <v>45749</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44949-2023</t>
        </is>
      </c>
      <c r="B701" s="1" t="n">
        <v>45190</v>
      </c>
      <c r="C701" s="1" t="n">
        <v>45749</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45168-2023</t>
        </is>
      </c>
      <c r="B702" s="1" t="n">
        <v>45191</v>
      </c>
      <c r="C702" s="1" t="n">
        <v>45749</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45600-2023</t>
        </is>
      </c>
      <c r="B703" s="1" t="n">
        <v>45194</v>
      </c>
      <c r="C703" s="1" t="n">
        <v>45749</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45692-2023</t>
        </is>
      </c>
      <c r="B704" s="1" t="n">
        <v>45195</v>
      </c>
      <c r="C704" s="1" t="n">
        <v>45749</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46402-2023</t>
        </is>
      </c>
      <c r="B705" s="1" t="n">
        <v>45197</v>
      </c>
      <c r="C705" s="1" t="n">
        <v>45749</v>
      </c>
      <c r="D705" t="inlineStr">
        <is>
          <t>GOTLANDS LÄN</t>
        </is>
      </c>
      <c r="E705" t="inlineStr">
        <is>
          <t>GOTLAND</t>
        </is>
      </c>
      <c r="G705" t="n">
        <v>2.5</v>
      </c>
      <c r="H705" t="n">
        <v>0</v>
      </c>
      <c r="I705" t="n">
        <v>0</v>
      </c>
      <c r="J705" t="n">
        <v>0</v>
      </c>
      <c r="K705" t="n">
        <v>0</v>
      </c>
      <c r="L705" t="n">
        <v>0</v>
      </c>
      <c r="M705" t="n">
        <v>0</v>
      </c>
      <c r="N705" t="n">
        <v>0</v>
      </c>
      <c r="O705" t="n">
        <v>0</v>
      </c>
      <c r="P705" t="n">
        <v>0</v>
      </c>
      <c r="Q705" t="n">
        <v>0</v>
      </c>
      <c r="R705" s="2" t="inlineStr"/>
    </row>
    <row r="706" ht="15" customHeight="1">
      <c r="A706" t="inlineStr">
        <is>
          <t>A 46396-2023</t>
        </is>
      </c>
      <c r="B706" s="1" t="n">
        <v>45197</v>
      </c>
      <c r="C706" s="1" t="n">
        <v>45749</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46400-2023</t>
        </is>
      </c>
      <c r="B707" s="1" t="n">
        <v>45197</v>
      </c>
      <c r="C707" s="1" t="n">
        <v>45749</v>
      </c>
      <c r="D707" t="inlineStr">
        <is>
          <t>GOTLANDS LÄN</t>
        </is>
      </c>
      <c r="E707" t="inlineStr">
        <is>
          <t>GOTLAND</t>
        </is>
      </c>
      <c r="G707" t="n">
        <v>0.8</v>
      </c>
      <c r="H707" t="n">
        <v>0</v>
      </c>
      <c r="I707" t="n">
        <v>0</v>
      </c>
      <c r="J707" t="n">
        <v>0</v>
      </c>
      <c r="K707" t="n">
        <v>0</v>
      </c>
      <c r="L707" t="n">
        <v>0</v>
      </c>
      <c r="M707" t="n">
        <v>0</v>
      </c>
      <c r="N707" t="n">
        <v>0</v>
      </c>
      <c r="O707" t="n">
        <v>0</v>
      </c>
      <c r="P707" t="n">
        <v>0</v>
      </c>
      <c r="Q707" t="n">
        <v>0</v>
      </c>
      <c r="R707" s="2" t="inlineStr"/>
    </row>
    <row r="708" ht="15" customHeight="1">
      <c r="A708" t="inlineStr">
        <is>
          <t>A 47322-2023</t>
        </is>
      </c>
      <c r="B708" s="1" t="n">
        <v>45202</v>
      </c>
      <c r="C708" s="1" t="n">
        <v>45749</v>
      </c>
      <c r="D708" t="inlineStr">
        <is>
          <t>GOTLANDS LÄN</t>
        </is>
      </c>
      <c r="E708" t="inlineStr">
        <is>
          <t>GOTLAND</t>
        </is>
      </c>
      <c r="G708" t="n">
        <v>3.9</v>
      </c>
      <c r="H708" t="n">
        <v>0</v>
      </c>
      <c r="I708" t="n">
        <v>0</v>
      </c>
      <c r="J708" t="n">
        <v>0</v>
      </c>
      <c r="K708" t="n">
        <v>0</v>
      </c>
      <c r="L708" t="n">
        <v>0</v>
      </c>
      <c r="M708" t="n">
        <v>0</v>
      </c>
      <c r="N708" t="n">
        <v>0</v>
      </c>
      <c r="O708" t="n">
        <v>0</v>
      </c>
      <c r="P708" t="n">
        <v>0</v>
      </c>
      <c r="Q708" t="n">
        <v>0</v>
      </c>
      <c r="R708" s="2" t="inlineStr"/>
    </row>
    <row r="709" ht="15" customHeight="1">
      <c r="A709" t="inlineStr">
        <is>
          <t>A 47762-2023</t>
        </is>
      </c>
      <c r="B709" s="1" t="n">
        <v>45203</v>
      </c>
      <c r="C709" s="1" t="n">
        <v>45749</v>
      </c>
      <c r="D709" t="inlineStr">
        <is>
          <t>GOTLANDS LÄN</t>
        </is>
      </c>
      <c r="E709" t="inlineStr">
        <is>
          <t>GOTLAND</t>
        </is>
      </c>
      <c r="G709" t="n">
        <v>1.3</v>
      </c>
      <c r="H709" t="n">
        <v>0</v>
      </c>
      <c r="I709" t="n">
        <v>0</v>
      </c>
      <c r="J709" t="n">
        <v>0</v>
      </c>
      <c r="K709" t="n">
        <v>0</v>
      </c>
      <c r="L709" t="n">
        <v>0</v>
      </c>
      <c r="M709" t="n">
        <v>0</v>
      </c>
      <c r="N709" t="n">
        <v>0</v>
      </c>
      <c r="O709" t="n">
        <v>0</v>
      </c>
      <c r="P709" t="n">
        <v>0</v>
      </c>
      <c r="Q709" t="n">
        <v>0</v>
      </c>
      <c r="R709" s="2" t="inlineStr"/>
    </row>
    <row r="710" ht="15" customHeight="1">
      <c r="A710" t="inlineStr">
        <is>
          <t>A 49411-2023</t>
        </is>
      </c>
      <c r="B710" s="1" t="n">
        <v>45205</v>
      </c>
      <c r="C710" s="1" t="n">
        <v>45749</v>
      </c>
      <c r="D710" t="inlineStr">
        <is>
          <t>GOTLANDS LÄN</t>
        </is>
      </c>
      <c r="E710" t="inlineStr">
        <is>
          <t>GOTLAND</t>
        </is>
      </c>
      <c r="G710" t="n">
        <v>2</v>
      </c>
      <c r="H710" t="n">
        <v>0</v>
      </c>
      <c r="I710" t="n">
        <v>0</v>
      </c>
      <c r="J710" t="n">
        <v>0</v>
      </c>
      <c r="K710" t="n">
        <v>0</v>
      </c>
      <c r="L710" t="n">
        <v>0</v>
      </c>
      <c r="M710" t="n">
        <v>0</v>
      </c>
      <c r="N710" t="n">
        <v>0</v>
      </c>
      <c r="O710" t="n">
        <v>0</v>
      </c>
      <c r="P710" t="n">
        <v>0</v>
      </c>
      <c r="Q710" t="n">
        <v>0</v>
      </c>
      <c r="R710" s="2" t="inlineStr"/>
    </row>
    <row r="711" ht="15" customHeight="1">
      <c r="A711" t="inlineStr">
        <is>
          <t>A 48503-2023</t>
        </is>
      </c>
      <c r="B711" s="1" t="n">
        <v>45207</v>
      </c>
      <c r="C711" s="1" t="n">
        <v>45749</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48504-2023</t>
        </is>
      </c>
      <c r="B712" s="1" t="n">
        <v>45207</v>
      </c>
      <c r="C712" s="1" t="n">
        <v>45749</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48745-2023</t>
        </is>
      </c>
      <c r="B713" s="1" t="n">
        <v>45208</v>
      </c>
      <c r="C713" s="1" t="n">
        <v>45749</v>
      </c>
      <c r="D713" t="inlineStr">
        <is>
          <t>GOTLANDS LÄN</t>
        </is>
      </c>
      <c r="E713" t="inlineStr">
        <is>
          <t>GOTLAND</t>
        </is>
      </c>
      <c r="G713" t="n">
        <v>3.6</v>
      </c>
      <c r="H713" t="n">
        <v>0</v>
      </c>
      <c r="I713" t="n">
        <v>0</v>
      </c>
      <c r="J713" t="n">
        <v>0</v>
      </c>
      <c r="K713" t="n">
        <v>0</v>
      </c>
      <c r="L713" t="n">
        <v>0</v>
      </c>
      <c r="M713" t="n">
        <v>0</v>
      </c>
      <c r="N713" t="n">
        <v>0</v>
      </c>
      <c r="O713" t="n">
        <v>0</v>
      </c>
      <c r="P713" t="n">
        <v>0</v>
      </c>
      <c r="Q713" t="n">
        <v>0</v>
      </c>
      <c r="R713" s="2" t="inlineStr"/>
    </row>
    <row r="714" ht="15" customHeight="1">
      <c r="A714" t="inlineStr">
        <is>
          <t>A 49693-2023</t>
        </is>
      </c>
      <c r="B714" s="1" t="n">
        <v>45212</v>
      </c>
      <c r="C714" s="1" t="n">
        <v>45749</v>
      </c>
      <c r="D714" t="inlineStr">
        <is>
          <t>GOTLANDS LÄN</t>
        </is>
      </c>
      <c r="E714" t="inlineStr">
        <is>
          <t>GOTLAND</t>
        </is>
      </c>
      <c r="G714" t="n">
        <v>2.4</v>
      </c>
      <c r="H714" t="n">
        <v>0</v>
      </c>
      <c r="I714" t="n">
        <v>0</v>
      </c>
      <c r="J714" t="n">
        <v>0</v>
      </c>
      <c r="K714" t="n">
        <v>0</v>
      </c>
      <c r="L714" t="n">
        <v>0</v>
      </c>
      <c r="M714" t="n">
        <v>0</v>
      </c>
      <c r="N714" t="n">
        <v>0</v>
      </c>
      <c r="O714" t="n">
        <v>0</v>
      </c>
      <c r="P714" t="n">
        <v>0</v>
      </c>
      <c r="Q714" t="n">
        <v>0</v>
      </c>
      <c r="R714" s="2" t="inlineStr"/>
    </row>
    <row r="715" ht="15" customHeight="1">
      <c r="A715" t="inlineStr">
        <is>
          <t>A 49697-2023</t>
        </is>
      </c>
      <c r="B715" s="1" t="n">
        <v>45212</v>
      </c>
      <c r="C715" s="1" t="n">
        <v>45749</v>
      </c>
      <c r="D715" t="inlineStr">
        <is>
          <t>GOTLANDS LÄN</t>
        </is>
      </c>
      <c r="E715" t="inlineStr">
        <is>
          <t>GOTLAND</t>
        </is>
      </c>
      <c r="G715" t="n">
        <v>4.4</v>
      </c>
      <c r="H715" t="n">
        <v>0</v>
      </c>
      <c r="I715" t="n">
        <v>0</v>
      </c>
      <c r="J715" t="n">
        <v>0</v>
      </c>
      <c r="K715" t="n">
        <v>0</v>
      </c>
      <c r="L715" t="n">
        <v>0</v>
      </c>
      <c r="M715" t="n">
        <v>0</v>
      </c>
      <c r="N715" t="n">
        <v>0</v>
      </c>
      <c r="O715" t="n">
        <v>0</v>
      </c>
      <c r="P715" t="n">
        <v>0</v>
      </c>
      <c r="Q715" t="n">
        <v>0</v>
      </c>
      <c r="R715" s="2" t="inlineStr"/>
    </row>
    <row r="716" ht="15" customHeight="1">
      <c r="A716" t="inlineStr">
        <is>
          <t>A 49846-2023</t>
        </is>
      </c>
      <c r="B716" s="1" t="n">
        <v>45212</v>
      </c>
      <c r="C716" s="1" t="n">
        <v>45749</v>
      </c>
      <c r="D716" t="inlineStr">
        <is>
          <t>GOTLANDS LÄN</t>
        </is>
      </c>
      <c r="E716" t="inlineStr">
        <is>
          <t>GOTLAND</t>
        </is>
      </c>
      <c r="G716" t="n">
        <v>16.9</v>
      </c>
      <c r="H716" t="n">
        <v>0</v>
      </c>
      <c r="I716" t="n">
        <v>0</v>
      </c>
      <c r="J716" t="n">
        <v>0</v>
      </c>
      <c r="K716" t="n">
        <v>0</v>
      </c>
      <c r="L716" t="n">
        <v>0</v>
      </c>
      <c r="M716" t="n">
        <v>0</v>
      </c>
      <c r="N716" t="n">
        <v>0</v>
      </c>
      <c r="O716" t="n">
        <v>0</v>
      </c>
      <c r="P716" t="n">
        <v>0</v>
      </c>
      <c r="Q716" t="n">
        <v>0</v>
      </c>
      <c r="R716" s="2" t="inlineStr"/>
    </row>
    <row r="717" ht="15" customHeight="1">
      <c r="A717" t="inlineStr">
        <is>
          <t>A 49884-2023</t>
        </is>
      </c>
      <c r="B717" s="1" t="n">
        <v>45213</v>
      </c>
      <c r="C717" s="1" t="n">
        <v>45749</v>
      </c>
      <c r="D717" t="inlineStr">
        <is>
          <t>GOTLANDS LÄN</t>
        </is>
      </c>
      <c r="E717" t="inlineStr">
        <is>
          <t>GOTLAND</t>
        </is>
      </c>
      <c r="G717" t="n">
        <v>8.9</v>
      </c>
      <c r="H717" t="n">
        <v>0</v>
      </c>
      <c r="I717" t="n">
        <v>0</v>
      </c>
      <c r="J717" t="n">
        <v>0</v>
      </c>
      <c r="K717" t="n">
        <v>0</v>
      </c>
      <c r="L717" t="n">
        <v>0</v>
      </c>
      <c r="M717" t="n">
        <v>0</v>
      </c>
      <c r="N717" t="n">
        <v>0</v>
      </c>
      <c r="O717" t="n">
        <v>0</v>
      </c>
      <c r="P717" t="n">
        <v>0</v>
      </c>
      <c r="Q717" t="n">
        <v>0</v>
      </c>
      <c r="R717" s="2" t="inlineStr"/>
    </row>
    <row r="718" ht="15" customHeight="1">
      <c r="A718" t="inlineStr">
        <is>
          <t>A 49962-2023</t>
        </is>
      </c>
      <c r="B718" s="1" t="n">
        <v>45215</v>
      </c>
      <c r="C718" s="1" t="n">
        <v>45749</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49966-2023</t>
        </is>
      </c>
      <c r="B719" s="1" t="n">
        <v>45215</v>
      </c>
      <c r="C719" s="1" t="n">
        <v>45749</v>
      </c>
      <c r="D719" t="inlineStr">
        <is>
          <t>GOTLANDS LÄN</t>
        </is>
      </c>
      <c r="E719" t="inlineStr">
        <is>
          <t>GOTLAND</t>
        </is>
      </c>
      <c r="G719" t="n">
        <v>5</v>
      </c>
      <c r="H719" t="n">
        <v>0</v>
      </c>
      <c r="I719" t="n">
        <v>0</v>
      </c>
      <c r="J719" t="n">
        <v>0</v>
      </c>
      <c r="K719" t="n">
        <v>0</v>
      </c>
      <c r="L719" t="n">
        <v>0</v>
      </c>
      <c r="M719" t="n">
        <v>0</v>
      </c>
      <c r="N719" t="n">
        <v>0</v>
      </c>
      <c r="O719" t="n">
        <v>0</v>
      </c>
      <c r="P719" t="n">
        <v>0</v>
      </c>
      <c r="Q719" t="n">
        <v>0</v>
      </c>
      <c r="R719" s="2" t="inlineStr"/>
    </row>
    <row r="720" ht="15" customHeight="1">
      <c r="A720" t="inlineStr">
        <is>
          <t>A 49964-2023</t>
        </is>
      </c>
      <c r="B720" s="1" t="n">
        <v>45215</v>
      </c>
      <c r="C720" s="1" t="n">
        <v>45749</v>
      </c>
      <c r="D720" t="inlineStr">
        <is>
          <t>GOTLANDS LÄN</t>
        </is>
      </c>
      <c r="E720" t="inlineStr">
        <is>
          <t>GOTLAND</t>
        </is>
      </c>
      <c r="G720" t="n">
        <v>3.1</v>
      </c>
      <c r="H720" t="n">
        <v>0</v>
      </c>
      <c r="I720" t="n">
        <v>0</v>
      </c>
      <c r="J720" t="n">
        <v>0</v>
      </c>
      <c r="K720" t="n">
        <v>0</v>
      </c>
      <c r="L720" t="n">
        <v>0</v>
      </c>
      <c r="M720" t="n">
        <v>0</v>
      </c>
      <c r="N720" t="n">
        <v>0</v>
      </c>
      <c r="O720" t="n">
        <v>0</v>
      </c>
      <c r="P720" t="n">
        <v>0</v>
      </c>
      <c r="Q720" t="n">
        <v>0</v>
      </c>
      <c r="R720" s="2" t="inlineStr"/>
    </row>
    <row r="721" ht="15" customHeight="1">
      <c r="A721" t="inlineStr">
        <is>
          <t>A 49968-2023</t>
        </is>
      </c>
      <c r="B721" s="1" t="n">
        <v>45215</v>
      </c>
      <c r="C721" s="1" t="n">
        <v>45749</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50566-2023</t>
        </is>
      </c>
      <c r="B722" s="1" t="n">
        <v>45217</v>
      </c>
      <c r="C722" s="1" t="n">
        <v>45749</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51035-2023</t>
        </is>
      </c>
      <c r="B723" s="1" t="n">
        <v>45218</v>
      </c>
      <c r="C723" s="1" t="n">
        <v>45749</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51782-2023</t>
        </is>
      </c>
      <c r="B724" s="1" t="n">
        <v>45222</v>
      </c>
      <c r="C724" s="1" t="n">
        <v>45749</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52684-2023</t>
        </is>
      </c>
      <c r="B725" s="1" t="n">
        <v>45225</v>
      </c>
      <c r="C725" s="1" t="n">
        <v>45749</v>
      </c>
      <c r="D725" t="inlineStr">
        <is>
          <t>GOTLANDS LÄN</t>
        </is>
      </c>
      <c r="E725" t="inlineStr">
        <is>
          <t>GOTLAND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53913-2023</t>
        </is>
      </c>
      <c r="B726" s="1" t="n">
        <v>45231</v>
      </c>
      <c r="C726" s="1" t="n">
        <v>45749</v>
      </c>
      <c r="D726" t="inlineStr">
        <is>
          <t>GOTLANDS LÄN</t>
        </is>
      </c>
      <c r="E726" t="inlineStr">
        <is>
          <t>GOTLAND</t>
        </is>
      </c>
      <c r="G726" t="n">
        <v>6.2</v>
      </c>
      <c r="H726" t="n">
        <v>0</v>
      </c>
      <c r="I726" t="n">
        <v>0</v>
      </c>
      <c r="J726" t="n">
        <v>0</v>
      </c>
      <c r="K726" t="n">
        <v>0</v>
      </c>
      <c r="L726" t="n">
        <v>0</v>
      </c>
      <c r="M726" t="n">
        <v>0</v>
      </c>
      <c r="N726" t="n">
        <v>0</v>
      </c>
      <c r="O726" t="n">
        <v>0</v>
      </c>
      <c r="P726" t="n">
        <v>0</v>
      </c>
      <c r="Q726" t="n">
        <v>0</v>
      </c>
      <c r="R726" s="2" t="inlineStr"/>
    </row>
    <row r="727" ht="15" customHeight="1">
      <c r="A727" t="inlineStr">
        <is>
          <t>A 56115-2023</t>
        </is>
      </c>
      <c r="B727" s="1" t="n">
        <v>45236</v>
      </c>
      <c r="C727" s="1" t="n">
        <v>45749</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57356-2023</t>
        </is>
      </c>
      <c r="B728" s="1" t="n">
        <v>45240</v>
      </c>
      <c r="C728" s="1" t="n">
        <v>45749</v>
      </c>
      <c r="D728" t="inlineStr">
        <is>
          <t>GOTLANDS LÄN</t>
        </is>
      </c>
      <c r="E728" t="inlineStr">
        <is>
          <t>GOTLAND</t>
        </is>
      </c>
      <c r="G728" t="n">
        <v>6.4</v>
      </c>
      <c r="H728" t="n">
        <v>0</v>
      </c>
      <c r="I728" t="n">
        <v>0</v>
      </c>
      <c r="J728" t="n">
        <v>0</v>
      </c>
      <c r="K728" t="n">
        <v>0</v>
      </c>
      <c r="L728" t="n">
        <v>0</v>
      </c>
      <c r="M728" t="n">
        <v>0</v>
      </c>
      <c r="N728" t="n">
        <v>0</v>
      </c>
      <c r="O728" t="n">
        <v>0</v>
      </c>
      <c r="P728" t="n">
        <v>0</v>
      </c>
      <c r="Q728" t="n">
        <v>0</v>
      </c>
      <c r="R728" s="2" t="inlineStr"/>
    </row>
    <row r="729" ht="15" customHeight="1">
      <c r="A729" t="inlineStr">
        <is>
          <t>A 56303-2023</t>
        </is>
      </c>
      <c r="B729" s="1" t="n">
        <v>45242</v>
      </c>
      <c r="C729" s="1" t="n">
        <v>45749</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56568-2023</t>
        </is>
      </c>
      <c r="B730" s="1" t="n">
        <v>45243</v>
      </c>
      <c r="C730" s="1" t="n">
        <v>45749</v>
      </c>
      <c r="D730" t="inlineStr">
        <is>
          <t>GOTLANDS LÄN</t>
        </is>
      </c>
      <c r="E730" t="inlineStr">
        <is>
          <t>GOTLAND</t>
        </is>
      </c>
      <c r="G730" t="n">
        <v>3.3</v>
      </c>
      <c r="H730" t="n">
        <v>0</v>
      </c>
      <c r="I730" t="n">
        <v>0</v>
      </c>
      <c r="J730" t="n">
        <v>0</v>
      </c>
      <c r="K730" t="n">
        <v>0</v>
      </c>
      <c r="L730" t="n">
        <v>0</v>
      </c>
      <c r="M730" t="n">
        <v>0</v>
      </c>
      <c r="N730" t="n">
        <v>0</v>
      </c>
      <c r="O730" t="n">
        <v>0</v>
      </c>
      <c r="P730" t="n">
        <v>0</v>
      </c>
      <c r="Q730" t="n">
        <v>0</v>
      </c>
      <c r="R730" s="2" t="inlineStr"/>
    </row>
    <row r="731" ht="15" customHeight="1">
      <c r="A731" t="inlineStr">
        <is>
          <t>A 56877-2023</t>
        </is>
      </c>
      <c r="B731" s="1" t="n">
        <v>45244</v>
      </c>
      <c r="C731" s="1" t="n">
        <v>45749</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57573-2023</t>
        </is>
      </c>
      <c r="B732" s="1" t="n">
        <v>45246</v>
      </c>
      <c r="C732" s="1" t="n">
        <v>45749</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57652-2023</t>
        </is>
      </c>
      <c r="B733" s="1" t="n">
        <v>45246</v>
      </c>
      <c r="C733" s="1" t="n">
        <v>45749</v>
      </c>
      <c r="D733" t="inlineStr">
        <is>
          <t>GOTLANDS LÄN</t>
        </is>
      </c>
      <c r="E733" t="inlineStr">
        <is>
          <t>GOTLAND</t>
        </is>
      </c>
      <c r="G733" t="n">
        <v>7.2</v>
      </c>
      <c r="H733" t="n">
        <v>0</v>
      </c>
      <c r="I733" t="n">
        <v>0</v>
      </c>
      <c r="J733" t="n">
        <v>0</v>
      </c>
      <c r="K733" t="n">
        <v>0</v>
      </c>
      <c r="L733" t="n">
        <v>0</v>
      </c>
      <c r="M733" t="n">
        <v>0</v>
      </c>
      <c r="N733" t="n">
        <v>0</v>
      </c>
      <c r="O733" t="n">
        <v>0</v>
      </c>
      <c r="P733" t="n">
        <v>0</v>
      </c>
      <c r="Q733" t="n">
        <v>0</v>
      </c>
      <c r="R733" s="2" t="inlineStr"/>
    </row>
    <row r="734" ht="15" customHeight="1">
      <c r="A734" t="inlineStr">
        <is>
          <t>A 57765-2023</t>
        </is>
      </c>
      <c r="B734" s="1" t="n">
        <v>45246</v>
      </c>
      <c r="C734" s="1" t="n">
        <v>45749</v>
      </c>
      <c r="D734" t="inlineStr">
        <is>
          <t>GOTLANDS LÄN</t>
        </is>
      </c>
      <c r="E734" t="inlineStr">
        <is>
          <t>GOTLAND</t>
        </is>
      </c>
      <c r="G734" t="n">
        <v>1.8</v>
      </c>
      <c r="H734" t="n">
        <v>0</v>
      </c>
      <c r="I734" t="n">
        <v>0</v>
      </c>
      <c r="J734" t="n">
        <v>0</v>
      </c>
      <c r="K734" t="n">
        <v>0</v>
      </c>
      <c r="L734" t="n">
        <v>0</v>
      </c>
      <c r="M734" t="n">
        <v>0</v>
      </c>
      <c r="N734" t="n">
        <v>0</v>
      </c>
      <c r="O734" t="n">
        <v>0</v>
      </c>
      <c r="P734" t="n">
        <v>0</v>
      </c>
      <c r="Q734" t="n">
        <v>0</v>
      </c>
      <c r="R734" s="2" t="inlineStr"/>
    </row>
    <row r="735" ht="15" customHeight="1">
      <c r="A735" t="inlineStr">
        <is>
          <t>A 58132-2023</t>
        </is>
      </c>
      <c r="B735" s="1" t="n">
        <v>45250</v>
      </c>
      <c r="C735" s="1" t="n">
        <v>45749</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59559-2023</t>
        </is>
      </c>
      <c r="B736" s="1" t="n">
        <v>45254</v>
      </c>
      <c r="C736" s="1" t="n">
        <v>45749</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59554-2023</t>
        </is>
      </c>
      <c r="B737" s="1" t="n">
        <v>45254</v>
      </c>
      <c r="C737" s="1" t="n">
        <v>45749</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60269-2023</t>
        </is>
      </c>
      <c r="B738" s="1" t="n">
        <v>45258</v>
      </c>
      <c r="C738" s="1" t="n">
        <v>45749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60273-2023</t>
        </is>
      </c>
      <c r="B739" s="1" t="n">
        <v>45258</v>
      </c>
      <c r="C739" s="1" t="n">
        <v>45749</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60709-2023</t>
        </is>
      </c>
      <c r="B740" s="1" t="n">
        <v>45260</v>
      </c>
      <c r="C740" s="1" t="n">
        <v>45749</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61175-2023</t>
        </is>
      </c>
      <c r="B741" s="1" t="n">
        <v>45263</v>
      </c>
      <c r="C741" s="1" t="n">
        <v>45749</v>
      </c>
      <c r="D741" t="inlineStr">
        <is>
          <t>GOTLANDS LÄN</t>
        </is>
      </c>
      <c r="E741" t="inlineStr">
        <is>
          <t>GOTLAND</t>
        </is>
      </c>
      <c r="G741" t="n">
        <v>0.9</v>
      </c>
      <c r="H741" t="n">
        <v>0</v>
      </c>
      <c r="I741" t="n">
        <v>0</v>
      </c>
      <c r="J741" t="n">
        <v>0</v>
      </c>
      <c r="K741" t="n">
        <v>0</v>
      </c>
      <c r="L741" t="n">
        <v>0</v>
      </c>
      <c r="M741" t="n">
        <v>0</v>
      </c>
      <c r="N741" t="n">
        <v>0</v>
      </c>
      <c r="O741" t="n">
        <v>0</v>
      </c>
      <c r="P741" t="n">
        <v>0</v>
      </c>
      <c r="Q741" t="n">
        <v>0</v>
      </c>
      <c r="R741" s="2" t="inlineStr"/>
    </row>
    <row r="742" ht="15" customHeight="1">
      <c r="A742" t="inlineStr">
        <is>
          <t>A 61386-2023</t>
        </is>
      </c>
      <c r="B742" s="1" t="n">
        <v>45264</v>
      </c>
      <c r="C742" s="1" t="n">
        <v>45749</v>
      </c>
      <c r="D742" t="inlineStr">
        <is>
          <t>GOTLANDS LÄN</t>
        </is>
      </c>
      <c r="E742" t="inlineStr">
        <is>
          <t>GOTLAND</t>
        </is>
      </c>
      <c r="G742" t="n">
        <v>0.7</v>
      </c>
      <c r="H742" t="n">
        <v>0</v>
      </c>
      <c r="I742" t="n">
        <v>0</v>
      </c>
      <c r="J742" t="n">
        <v>0</v>
      </c>
      <c r="K742" t="n">
        <v>0</v>
      </c>
      <c r="L742" t="n">
        <v>0</v>
      </c>
      <c r="M742" t="n">
        <v>0</v>
      </c>
      <c r="N742" t="n">
        <v>0</v>
      </c>
      <c r="O742" t="n">
        <v>0</v>
      </c>
      <c r="P742" t="n">
        <v>0</v>
      </c>
      <c r="Q742" t="n">
        <v>0</v>
      </c>
      <c r="R742" s="2" t="inlineStr"/>
    </row>
    <row r="743" ht="15" customHeight="1">
      <c r="A743" t="inlineStr">
        <is>
          <t>A 61694-2023</t>
        </is>
      </c>
      <c r="B743" s="1" t="n">
        <v>45264</v>
      </c>
      <c r="C743" s="1" t="n">
        <v>45749</v>
      </c>
      <c r="D743" t="inlineStr">
        <is>
          <t>GOTLANDS LÄN</t>
        </is>
      </c>
      <c r="E743" t="inlineStr">
        <is>
          <t>GOTLAND</t>
        </is>
      </c>
      <c r="G743" t="n">
        <v>4.6</v>
      </c>
      <c r="H743" t="n">
        <v>0</v>
      </c>
      <c r="I743" t="n">
        <v>0</v>
      </c>
      <c r="J743" t="n">
        <v>0</v>
      </c>
      <c r="K743" t="n">
        <v>0</v>
      </c>
      <c r="L743" t="n">
        <v>0</v>
      </c>
      <c r="M743" t="n">
        <v>0</v>
      </c>
      <c r="N743" t="n">
        <v>0</v>
      </c>
      <c r="O743" t="n">
        <v>0</v>
      </c>
      <c r="P743" t="n">
        <v>0</v>
      </c>
      <c r="Q743" t="n">
        <v>0</v>
      </c>
      <c r="R743" s="2" t="inlineStr"/>
    </row>
    <row r="744" ht="15" customHeight="1">
      <c r="A744" t="inlineStr">
        <is>
          <t>A 61596-2023</t>
        </is>
      </c>
      <c r="B744" s="1" t="n">
        <v>45265</v>
      </c>
      <c r="C744" s="1" t="n">
        <v>45749</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61634-2023</t>
        </is>
      </c>
      <c r="B745" s="1" t="n">
        <v>45265</v>
      </c>
      <c r="C745" s="1" t="n">
        <v>45749</v>
      </c>
      <c r="D745" t="inlineStr">
        <is>
          <t>GOTLANDS LÄN</t>
        </is>
      </c>
      <c r="E745" t="inlineStr">
        <is>
          <t>GOTLAND</t>
        </is>
      </c>
      <c r="G745" t="n">
        <v>7.4</v>
      </c>
      <c r="H745" t="n">
        <v>0</v>
      </c>
      <c r="I745" t="n">
        <v>0</v>
      </c>
      <c r="J745" t="n">
        <v>0</v>
      </c>
      <c r="K745" t="n">
        <v>0</v>
      </c>
      <c r="L745" t="n">
        <v>0</v>
      </c>
      <c r="M745" t="n">
        <v>0</v>
      </c>
      <c r="N745" t="n">
        <v>0</v>
      </c>
      <c r="O745" t="n">
        <v>0</v>
      </c>
      <c r="P745" t="n">
        <v>0</v>
      </c>
      <c r="Q745" t="n">
        <v>0</v>
      </c>
      <c r="R745" s="2" t="inlineStr"/>
    </row>
    <row r="746" ht="15" customHeight="1">
      <c r="A746" t="inlineStr">
        <is>
          <t>A 63246-2023</t>
        </is>
      </c>
      <c r="B746" s="1" t="n">
        <v>45273</v>
      </c>
      <c r="C746" s="1" t="n">
        <v>45749</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63303-2023</t>
        </is>
      </c>
      <c r="B747" s="1" t="n">
        <v>45274</v>
      </c>
      <c r="C747" s="1" t="n">
        <v>45749</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63516-2023</t>
        </is>
      </c>
      <c r="B748" s="1" t="n">
        <v>45274</v>
      </c>
      <c r="C748" s="1" t="n">
        <v>45749</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63773-2023</t>
        </is>
      </c>
      <c r="B749" s="1" t="n">
        <v>45278</v>
      </c>
      <c r="C749" s="1" t="n">
        <v>45749</v>
      </c>
      <c r="D749" t="inlineStr">
        <is>
          <t>GOTLANDS LÄN</t>
        </is>
      </c>
      <c r="E749" t="inlineStr">
        <is>
          <t>GOTLAND</t>
        </is>
      </c>
      <c r="G749" t="n">
        <v>8.5</v>
      </c>
      <c r="H749" t="n">
        <v>0</v>
      </c>
      <c r="I749" t="n">
        <v>0</v>
      </c>
      <c r="J749" t="n">
        <v>0</v>
      </c>
      <c r="K749" t="n">
        <v>0</v>
      </c>
      <c r="L749" t="n">
        <v>0</v>
      </c>
      <c r="M749" t="n">
        <v>0</v>
      </c>
      <c r="N749" t="n">
        <v>0</v>
      </c>
      <c r="O749" t="n">
        <v>0</v>
      </c>
      <c r="P749" t="n">
        <v>0</v>
      </c>
      <c r="Q749" t="n">
        <v>0</v>
      </c>
      <c r="R749" s="2" t="inlineStr"/>
    </row>
    <row r="750" ht="15" customHeight="1">
      <c r="A750" t="inlineStr">
        <is>
          <t>A 63763-2023</t>
        </is>
      </c>
      <c r="B750" s="1" t="n">
        <v>45278</v>
      </c>
      <c r="C750" s="1" t="n">
        <v>45749</v>
      </c>
      <c r="D750" t="inlineStr">
        <is>
          <t>GOTLANDS LÄN</t>
        </is>
      </c>
      <c r="E750" t="inlineStr">
        <is>
          <t>GOTLAND</t>
        </is>
      </c>
      <c r="G750" t="n">
        <v>0.5</v>
      </c>
      <c r="H750" t="n">
        <v>0</v>
      </c>
      <c r="I750" t="n">
        <v>0</v>
      </c>
      <c r="J750" t="n">
        <v>0</v>
      </c>
      <c r="K750" t="n">
        <v>0</v>
      </c>
      <c r="L750" t="n">
        <v>0</v>
      </c>
      <c r="M750" t="n">
        <v>0</v>
      </c>
      <c r="N750" t="n">
        <v>0</v>
      </c>
      <c r="O750" t="n">
        <v>0</v>
      </c>
      <c r="P750" t="n">
        <v>0</v>
      </c>
      <c r="Q750" t="n">
        <v>0</v>
      </c>
      <c r="R750" s="2" t="inlineStr"/>
    </row>
    <row r="751" ht="15" customHeight="1">
      <c r="A751" t="inlineStr">
        <is>
          <t>A 63996-2023</t>
        </is>
      </c>
      <c r="B751" s="1" t="n">
        <v>45278</v>
      </c>
      <c r="C751" s="1" t="n">
        <v>45749</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64555-2023</t>
        </is>
      </c>
      <c r="B752" s="1" t="n">
        <v>45281</v>
      </c>
      <c r="C752" s="1" t="n">
        <v>45749</v>
      </c>
      <c r="D752" t="inlineStr">
        <is>
          <t>GOTLANDS LÄN</t>
        </is>
      </c>
      <c r="E752" t="inlineStr">
        <is>
          <t>GOTLAND</t>
        </is>
      </c>
      <c r="G752" t="n">
        <v>3.5</v>
      </c>
      <c r="H752" t="n">
        <v>0</v>
      </c>
      <c r="I752" t="n">
        <v>0</v>
      </c>
      <c r="J752" t="n">
        <v>0</v>
      </c>
      <c r="K752" t="n">
        <v>0</v>
      </c>
      <c r="L752" t="n">
        <v>0</v>
      </c>
      <c r="M752" t="n">
        <v>0</v>
      </c>
      <c r="N752" t="n">
        <v>0</v>
      </c>
      <c r="O752" t="n">
        <v>0</v>
      </c>
      <c r="P752" t="n">
        <v>0</v>
      </c>
      <c r="Q752" t="n">
        <v>0</v>
      </c>
      <c r="R752" s="2" t="inlineStr"/>
    </row>
    <row r="753" ht="15" customHeight="1">
      <c r="A753" t="inlineStr">
        <is>
          <t>A 64660-2023</t>
        </is>
      </c>
      <c r="B753" s="1" t="n">
        <v>45281</v>
      </c>
      <c r="C753" s="1" t="n">
        <v>45749</v>
      </c>
      <c r="D753" t="inlineStr">
        <is>
          <t>GOTLANDS LÄN</t>
        </is>
      </c>
      <c r="E753" t="inlineStr">
        <is>
          <t>GOTLAND</t>
        </is>
      </c>
      <c r="G753" t="n">
        <v>6.3</v>
      </c>
      <c r="H753" t="n">
        <v>0</v>
      </c>
      <c r="I753" t="n">
        <v>0</v>
      </c>
      <c r="J753" t="n">
        <v>0</v>
      </c>
      <c r="K753" t="n">
        <v>0</v>
      </c>
      <c r="L753" t="n">
        <v>0</v>
      </c>
      <c r="M753" t="n">
        <v>0</v>
      </c>
      <c r="N753" t="n">
        <v>0</v>
      </c>
      <c r="O753" t="n">
        <v>0</v>
      </c>
      <c r="P753" t="n">
        <v>0</v>
      </c>
      <c r="Q753" t="n">
        <v>0</v>
      </c>
      <c r="R753" s="2" t="inlineStr"/>
    </row>
    <row r="754" ht="15" customHeight="1">
      <c r="A754" t="inlineStr">
        <is>
          <t>A 64831-2023</t>
        </is>
      </c>
      <c r="B754" s="1" t="n">
        <v>45282</v>
      </c>
      <c r="C754" s="1" t="n">
        <v>45749</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64838-2023</t>
        </is>
      </c>
      <c r="B755" s="1" t="n">
        <v>45282</v>
      </c>
      <c r="C755" s="1" t="n">
        <v>45749</v>
      </c>
      <c r="D755" t="inlineStr">
        <is>
          <t>GOTLANDS LÄN</t>
        </is>
      </c>
      <c r="E755" t="inlineStr">
        <is>
          <t>GOTLAND</t>
        </is>
      </c>
      <c r="G755" t="n">
        <v>7.5</v>
      </c>
      <c r="H755" t="n">
        <v>0</v>
      </c>
      <c r="I755" t="n">
        <v>0</v>
      </c>
      <c r="J755" t="n">
        <v>0</v>
      </c>
      <c r="K755" t="n">
        <v>0</v>
      </c>
      <c r="L755" t="n">
        <v>0</v>
      </c>
      <c r="M755" t="n">
        <v>0</v>
      </c>
      <c r="N755" t="n">
        <v>0</v>
      </c>
      <c r="O755" t="n">
        <v>0</v>
      </c>
      <c r="P755" t="n">
        <v>0</v>
      </c>
      <c r="Q755" t="n">
        <v>0</v>
      </c>
      <c r="R755" s="2" t="inlineStr"/>
    </row>
    <row r="756" ht="15" customHeight="1">
      <c r="A756" t="inlineStr">
        <is>
          <t>A 64969-2023</t>
        </is>
      </c>
      <c r="B756" s="1" t="n">
        <v>45284</v>
      </c>
      <c r="C756" s="1" t="n">
        <v>45749</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65088-2023</t>
        </is>
      </c>
      <c r="B757" s="1" t="n">
        <v>45287</v>
      </c>
      <c r="C757" s="1" t="n">
        <v>45749</v>
      </c>
      <c r="D757" t="inlineStr">
        <is>
          <t>GOTLANDS LÄN</t>
        </is>
      </c>
      <c r="E757" t="inlineStr">
        <is>
          <t>GOTLAND</t>
        </is>
      </c>
      <c r="G757" t="n">
        <v>2.5</v>
      </c>
      <c r="H757" t="n">
        <v>0</v>
      </c>
      <c r="I757" t="n">
        <v>0</v>
      </c>
      <c r="J757" t="n">
        <v>0</v>
      </c>
      <c r="K757" t="n">
        <v>0</v>
      </c>
      <c r="L757" t="n">
        <v>0</v>
      </c>
      <c r="M757" t="n">
        <v>0</v>
      </c>
      <c r="N757" t="n">
        <v>0</v>
      </c>
      <c r="O757" t="n">
        <v>0</v>
      </c>
      <c r="P757" t="n">
        <v>0</v>
      </c>
      <c r="Q757" t="n">
        <v>0</v>
      </c>
      <c r="R757" s="2" t="inlineStr"/>
    </row>
    <row r="758" ht="15" customHeight="1">
      <c r="A758" t="inlineStr">
        <is>
          <t>A 65097-2023</t>
        </is>
      </c>
      <c r="B758" s="1" t="n">
        <v>45287</v>
      </c>
      <c r="C758" s="1" t="n">
        <v>45749</v>
      </c>
      <c r="D758" t="inlineStr">
        <is>
          <t>GOTLANDS LÄN</t>
        </is>
      </c>
      <c r="E758" t="inlineStr">
        <is>
          <t>GOTLAND</t>
        </is>
      </c>
      <c r="G758" t="n">
        <v>15.4</v>
      </c>
      <c r="H758" t="n">
        <v>0</v>
      </c>
      <c r="I758" t="n">
        <v>0</v>
      </c>
      <c r="J758" t="n">
        <v>0</v>
      </c>
      <c r="K758" t="n">
        <v>0</v>
      </c>
      <c r="L758" t="n">
        <v>0</v>
      </c>
      <c r="M758" t="n">
        <v>0</v>
      </c>
      <c r="N758" t="n">
        <v>0</v>
      </c>
      <c r="O758" t="n">
        <v>0</v>
      </c>
      <c r="P758" t="n">
        <v>0</v>
      </c>
      <c r="Q758" t="n">
        <v>0</v>
      </c>
      <c r="R758" s="2" t="inlineStr"/>
    </row>
    <row r="759" ht="15" customHeight="1">
      <c r="A759" t="inlineStr">
        <is>
          <t>A 65249-2023</t>
        </is>
      </c>
      <c r="B759" s="1" t="n">
        <v>45290</v>
      </c>
      <c r="C759" s="1" t="n">
        <v>45749</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98-2024</t>
        </is>
      </c>
      <c r="B760" s="1" t="n">
        <v>45293</v>
      </c>
      <c r="C760" s="1" t="n">
        <v>45749</v>
      </c>
      <c r="D760" t="inlineStr">
        <is>
          <t>GOTLANDS LÄN</t>
        </is>
      </c>
      <c r="E760" t="inlineStr">
        <is>
          <t>GOTLAND</t>
        </is>
      </c>
      <c r="G760" t="n">
        <v>2</v>
      </c>
      <c r="H760" t="n">
        <v>0</v>
      </c>
      <c r="I760" t="n">
        <v>0</v>
      </c>
      <c r="J760" t="n">
        <v>0</v>
      </c>
      <c r="K760" t="n">
        <v>0</v>
      </c>
      <c r="L760" t="n">
        <v>0</v>
      </c>
      <c r="M760" t="n">
        <v>0</v>
      </c>
      <c r="N760" t="n">
        <v>0</v>
      </c>
      <c r="O760" t="n">
        <v>0</v>
      </c>
      <c r="P760" t="n">
        <v>0</v>
      </c>
      <c r="Q760" t="n">
        <v>0</v>
      </c>
      <c r="R760" s="2" t="inlineStr"/>
    </row>
    <row r="761" ht="15" customHeight="1">
      <c r="A761" t="inlineStr">
        <is>
          <t>A 450-2024</t>
        </is>
      </c>
      <c r="B761" s="1" t="n">
        <v>45296</v>
      </c>
      <c r="C761" s="1" t="n">
        <v>45749</v>
      </c>
      <c r="D761" t="inlineStr">
        <is>
          <t>GOTLANDS LÄN</t>
        </is>
      </c>
      <c r="E761" t="inlineStr">
        <is>
          <t>GOTLAND</t>
        </is>
      </c>
      <c r="G761" t="n">
        <v>10.1</v>
      </c>
      <c r="H761" t="n">
        <v>0</v>
      </c>
      <c r="I761" t="n">
        <v>0</v>
      </c>
      <c r="J761" t="n">
        <v>0</v>
      </c>
      <c r="K761" t="n">
        <v>0</v>
      </c>
      <c r="L761" t="n">
        <v>0</v>
      </c>
      <c r="M761" t="n">
        <v>0</v>
      </c>
      <c r="N761" t="n">
        <v>0</v>
      </c>
      <c r="O761" t="n">
        <v>0</v>
      </c>
      <c r="P761" t="n">
        <v>0</v>
      </c>
      <c r="Q761" t="n">
        <v>0</v>
      </c>
      <c r="R761" s="2" t="inlineStr"/>
    </row>
    <row r="762" ht="15" customHeight="1">
      <c r="A762" t="inlineStr">
        <is>
          <t>A 533-2024</t>
        </is>
      </c>
      <c r="B762" s="1" t="n">
        <v>45299</v>
      </c>
      <c r="C762" s="1" t="n">
        <v>45749</v>
      </c>
      <c r="D762" t="inlineStr">
        <is>
          <t>GOTLANDS LÄN</t>
        </is>
      </c>
      <c r="E762" t="inlineStr">
        <is>
          <t>GOTLAND</t>
        </is>
      </c>
      <c r="G762" t="n">
        <v>7.1</v>
      </c>
      <c r="H762" t="n">
        <v>0</v>
      </c>
      <c r="I762" t="n">
        <v>0</v>
      </c>
      <c r="J762" t="n">
        <v>0</v>
      </c>
      <c r="K762" t="n">
        <v>0</v>
      </c>
      <c r="L762" t="n">
        <v>0</v>
      </c>
      <c r="M762" t="n">
        <v>0</v>
      </c>
      <c r="N762" t="n">
        <v>0</v>
      </c>
      <c r="O762" t="n">
        <v>0</v>
      </c>
      <c r="P762" t="n">
        <v>0</v>
      </c>
      <c r="Q762" t="n">
        <v>0</v>
      </c>
      <c r="R762" s="2" t="inlineStr"/>
    </row>
    <row r="763" ht="15" customHeight="1">
      <c r="A763" t="inlineStr">
        <is>
          <t>A 796-2024</t>
        </is>
      </c>
      <c r="B763" s="1" t="n">
        <v>45300</v>
      </c>
      <c r="C763" s="1" t="n">
        <v>45749</v>
      </c>
      <c r="D763" t="inlineStr">
        <is>
          <t>GOTLANDS LÄN</t>
        </is>
      </c>
      <c r="E763" t="inlineStr">
        <is>
          <t>GOTLAND</t>
        </is>
      </c>
      <c r="G763" t="n">
        <v>0.8</v>
      </c>
      <c r="H763" t="n">
        <v>0</v>
      </c>
      <c r="I763" t="n">
        <v>0</v>
      </c>
      <c r="J763" t="n">
        <v>0</v>
      </c>
      <c r="K763" t="n">
        <v>0</v>
      </c>
      <c r="L763" t="n">
        <v>0</v>
      </c>
      <c r="M763" t="n">
        <v>0</v>
      </c>
      <c r="N763" t="n">
        <v>0</v>
      </c>
      <c r="O763" t="n">
        <v>0</v>
      </c>
      <c r="P763" t="n">
        <v>0</v>
      </c>
      <c r="Q763" t="n">
        <v>0</v>
      </c>
      <c r="R763" s="2" t="inlineStr"/>
    </row>
    <row r="764" ht="15" customHeight="1">
      <c r="A764" t="inlineStr">
        <is>
          <t>A 873-2024</t>
        </is>
      </c>
      <c r="B764" s="1" t="n">
        <v>45301</v>
      </c>
      <c r="C764" s="1" t="n">
        <v>45749</v>
      </c>
      <c r="D764" t="inlineStr">
        <is>
          <t>GOTLANDS LÄN</t>
        </is>
      </c>
      <c r="E764" t="inlineStr">
        <is>
          <t>GOTLAND</t>
        </is>
      </c>
      <c r="G764" t="n">
        <v>2.7</v>
      </c>
      <c r="H764" t="n">
        <v>0</v>
      </c>
      <c r="I764" t="n">
        <v>0</v>
      </c>
      <c r="J764" t="n">
        <v>0</v>
      </c>
      <c r="K764" t="n">
        <v>0</v>
      </c>
      <c r="L764" t="n">
        <v>0</v>
      </c>
      <c r="M764" t="n">
        <v>0</v>
      </c>
      <c r="N764" t="n">
        <v>0</v>
      </c>
      <c r="O764" t="n">
        <v>0</v>
      </c>
      <c r="P764" t="n">
        <v>0</v>
      </c>
      <c r="Q764" t="n">
        <v>0</v>
      </c>
      <c r="R764" s="2" t="inlineStr"/>
    </row>
    <row r="765" ht="15" customHeight="1">
      <c r="A765" t="inlineStr">
        <is>
          <t>A 876-2024</t>
        </is>
      </c>
      <c r="B765" s="1" t="n">
        <v>45301</v>
      </c>
      <c r="C765" s="1" t="n">
        <v>45749</v>
      </c>
      <c r="D765" t="inlineStr">
        <is>
          <t>GOTLANDS LÄN</t>
        </is>
      </c>
      <c r="E765" t="inlineStr">
        <is>
          <t>GOTLAND</t>
        </is>
      </c>
      <c r="G765" t="n">
        <v>5.3</v>
      </c>
      <c r="H765" t="n">
        <v>0</v>
      </c>
      <c r="I765" t="n">
        <v>0</v>
      </c>
      <c r="J765" t="n">
        <v>0</v>
      </c>
      <c r="K765" t="n">
        <v>0</v>
      </c>
      <c r="L765" t="n">
        <v>0</v>
      </c>
      <c r="M765" t="n">
        <v>0</v>
      </c>
      <c r="N765" t="n">
        <v>0</v>
      </c>
      <c r="O765" t="n">
        <v>0</v>
      </c>
      <c r="P765" t="n">
        <v>0</v>
      </c>
      <c r="Q765" t="n">
        <v>0</v>
      </c>
      <c r="R765" s="2" t="inlineStr"/>
    </row>
    <row r="766" ht="15" customHeight="1">
      <c r="A766" t="inlineStr">
        <is>
          <t>A 999-2024</t>
        </is>
      </c>
      <c r="B766" s="1" t="n">
        <v>45301</v>
      </c>
      <c r="C766" s="1" t="n">
        <v>45749</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1010-2024</t>
        </is>
      </c>
      <c r="B767" s="1" t="n">
        <v>45301</v>
      </c>
      <c r="C767" s="1" t="n">
        <v>45749</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1000-2024</t>
        </is>
      </c>
      <c r="B768" s="1" t="n">
        <v>45301</v>
      </c>
      <c r="C768" s="1" t="n">
        <v>45749</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1008-2024</t>
        </is>
      </c>
      <c r="B769" s="1" t="n">
        <v>45301</v>
      </c>
      <c r="C769" s="1" t="n">
        <v>45749</v>
      </c>
      <c r="D769" t="inlineStr">
        <is>
          <t>GOTLANDS LÄN</t>
        </is>
      </c>
      <c r="E769" t="inlineStr">
        <is>
          <t>GOTLAND</t>
        </is>
      </c>
      <c r="G769" t="n">
        <v>2.3</v>
      </c>
      <c r="H769" t="n">
        <v>0</v>
      </c>
      <c r="I769" t="n">
        <v>0</v>
      </c>
      <c r="J769" t="n">
        <v>0</v>
      </c>
      <c r="K769" t="n">
        <v>0</v>
      </c>
      <c r="L769" t="n">
        <v>0</v>
      </c>
      <c r="M769" t="n">
        <v>0</v>
      </c>
      <c r="N769" t="n">
        <v>0</v>
      </c>
      <c r="O769" t="n">
        <v>0</v>
      </c>
      <c r="P769" t="n">
        <v>0</v>
      </c>
      <c r="Q769" t="n">
        <v>0</v>
      </c>
      <c r="R769" s="2" t="inlineStr"/>
    </row>
    <row r="770" ht="15" customHeight="1">
      <c r="A770" t="inlineStr">
        <is>
          <t>A 1066-2024</t>
        </is>
      </c>
      <c r="B770" s="1" t="n">
        <v>45302</v>
      </c>
      <c r="C770" s="1" t="n">
        <v>45749</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1321-2024</t>
        </is>
      </c>
      <c r="B771" s="1" t="n">
        <v>45303</v>
      </c>
      <c r="C771" s="1" t="n">
        <v>45749</v>
      </c>
      <c r="D771" t="inlineStr">
        <is>
          <t>GOTLANDS LÄN</t>
        </is>
      </c>
      <c r="E771" t="inlineStr">
        <is>
          <t>GOTLAND</t>
        </is>
      </c>
      <c r="G771" t="n">
        <v>5.5</v>
      </c>
      <c r="H771" t="n">
        <v>0</v>
      </c>
      <c r="I771" t="n">
        <v>0</v>
      </c>
      <c r="J771" t="n">
        <v>0</v>
      </c>
      <c r="K771" t="n">
        <v>0</v>
      </c>
      <c r="L771" t="n">
        <v>0</v>
      </c>
      <c r="M771" t="n">
        <v>0</v>
      </c>
      <c r="N771" t="n">
        <v>0</v>
      </c>
      <c r="O771" t="n">
        <v>0</v>
      </c>
      <c r="P771" t="n">
        <v>0</v>
      </c>
      <c r="Q771" t="n">
        <v>0</v>
      </c>
      <c r="R771" s="2" t="inlineStr"/>
    </row>
    <row r="772" ht="15" customHeight="1">
      <c r="A772" t="inlineStr">
        <is>
          <t>A 1477-2024</t>
        </is>
      </c>
      <c r="B772" s="1" t="n">
        <v>45305</v>
      </c>
      <c r="C772" s="1" t="n">
        <v>45749</v>
      </c>
      <c r="D772" t="inlineStr">
        <is>
          <t>GOTLANDS LÄN</t>
        </is>
      </c>
      <c r="E772" t="inlineStr">
        <is>
          <t>GOTLAND</t>
        </is>
      </c>
      <c r="G772" t="n">
        <v>6.9</v>
      </c>
      <c r="H772" t="n">
        <v>0</v>
      </c>
      <c r="I772" t="n">
        <v>0</v>
      </c>
      <c r="J772" t="n">
        <v>0</v>
      </c>
      <c r="K772" t="n">
        <v>0</v>
      </c>
      <c r="L772" t="n">
        <v>0</v>
      </c>
      <c r="M772" t="n">
        <v>0</v>
      </c>
      <c r="N772" t="n">
        <v>0</v>
      </c>
      <c r="O772" t="n">
        <v>0</v>
      </c>
      <c r="P772" t="n">
        <v>0</v>
      </c>
      <c r="Q772" t="n">
        <v>0</v>
      </c>
      <c r="R772" s="2" t="inlineStr"/>
    </row>
    <row r="773" ht="15" customHeight="1">
      <c r="A773" t="inlineStr">
        <is>
          <t>A 2010-2024</t>
        </is>
      </c>
      <c r="B773" s="1" t="n">
        <v>45308</v>
      </c>
      <c r="C773" s="1" t="n">
        <v>45749</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2774-2024</t>
        </is>
      </c>
      <c r="B774" s="1" t="n">
        <v>45314</v>
      </c>
      <c r="C774" s="1" t="n">
        <v>45749</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2821-2024</t>
        </is>
      </c>
      <c r="B775" s="1" t="n">
        <v>45314</v>
      </c>
      <c r="C775" s="1" t="n">
        <v>45749</v>
      </c>
      <c r="D775" t="inlineStr">
        <is>
          <t>GOTLANDS LÄN</t>
        </is>
      </c>
      <c r="E775" t="inlineStr">
        <is>
          <t>GOTLAND</t>
        </is>
      </c>
      <c r="G775" t="n">
        <v>1.9</v>
      </c>
      <c r="H775" t="n">
        <v>0</v>
      </c>
      <c r="I775" t="n">
        <v>0</v>
      </c>
      <c r="J775" t="n">
        <v>0</v>
      </c>
      <c r="K775" t="n">
        <v>0</v>
      </c>
      <c r="L775" t="n">
        <v>0</v>
      </c>
      <c r="M775" t="n">
        <v>0</v>
      </c>
      <c r="N775" t="n">
        <v>0</v>
      </c>
      <c r="O775" t="n">
        <v>0</v>
      </c>
      <c r="P775" t="n">
        <v>0</v>
      </c>
      <c r="Q775" t="n">
        <v>0</v>
      </c>
      <c r="R775" s="2" t="inlineStr"/>
    </row>
    <row r="776" ht="15" customHeight="1">
      <c r="A776" t="inlineStr">
        <is>
          <t>A 2825-2024</t>
        </is>
      </c>
      <c r="B776" s="1" t="n">
        <v>45314</v>
      </c>
      <c r="C776" s="1" t="n">
        <v>45749</v>
      </c>
      <c r="D776" t="inlineStr">
        <is>
          <t>GOTLANDS LÄN</t>
        </is>
      </c>
      <c r="E776" t="inlineStr">
        <is>
          <t>GOTLAND</t>
        </is>
      </c>
      <c r="G776" t="n">
        <v>4.8</v>
      </c>
      <c r="H776" t="n">
        <v>0</v>
      </c>
      <c r="I776" t="n">
        <v>0</v>
      </c>
      <c r="J776" t="n">
        <v>0</v>
      </c>
      <c r="K776" t="n">
        <v>0</v>
      </c>
      <c r="L776" t="n">
        <v>0</v>
      </c>
      <c r="M776" t="n">
        <v>0</v>
      </c>
      <c r="N776" t="n">
        <v>0</v>
      </c>
      <c r="O776" t="n">
        <v>0</v>
      </c>
      <c r="P776" t="n">
        <v>0</v>
      </c>
      <c r="Q776" t="n">
        <v>0</v>
      </c>
      <c r="R776" s="2" t="inlineStr"/>
    </row>
    <row r="777" ht="15" customHeight="1">
      <c r="A777" t="inlineStr">
        <is>
          <t>A 2819-2024</t>
        </is>
      </c>
      <c r="B777" s="1" t="n">
        <v>45314</v>
      </c>
      <c r="C777" s="1" t="n">
        <v>45749</v>
      </c>
      <c r="D777" t="inlineStr">
        <is>
          <t>GOTLANDS LÄN</t>
        </is>
      </c>
      <c r="E777" t="inlineStr">
        <is>
          <t>GOTLAND</t>
        </is>
      </c>
      <c r="G777" t="n">
        <v>6.3</v>
      </c>
      <c r="H777" t="n">
        <v>0</v>
      </c>
      <c r="I777" t="n">
        <v>0</v>
      </c>
      <c r="J777" t="n">
        <v>0</v>
      </c>
      <c r="K777" t="n">
        <v>0</v>
      </c>
      <c r="L777" t="n">
        <v>0</v>
      </c>
      <c r="M777" t="n">
        <v>0</v>
      </c>
      <c r="N777" t="n">
        <v>0</v>
      </c>
      <c r="O777" t="n">
        <v>0</v>
      </c>
      <c r="P777" t="n">
        <v>0</v>
      </c>
      <c r="Q777" t="n">
        <v>0</v>
      </c>
      <c r="R777" s="2" t="inlineStr"/>
    </row>
    <row r="778" ht="15" customHeight="1">
      <c r="A778" t="inlineStr">
        <is>
          <t>A 3004-2024</t>
        </is>
      </c>
      <c r="B778" s="1" t="n">
        <v>45315</v>
      </c>
      <c r="C778" s="1" t="n">
        <v>45749</v>
      </c>
      <c r="D778" t="inlineStr">
        <is>
          <t>GOTLANDS LÄN</t>
        </is>
      </c>
      <c r="E778" t="inlineStr">
        <is>
          <t>GOTLAND</t>
        </is>
      </c>
      <c r="G778" t="n">
        <v>0.7</v>
      </c>
      <c r="H778" t="n">
        <v>0</v>
      </c>
      <c r="I778" t="n">
        <v>0</v>
      </c>
      <c r="J778" t="n">
        <v>0</v>
      </c>
      <c r="K778" t="n">
        <v>0</v>
      </c>
      <c r="L778" t="n">
        <v>0</v>
      </c>
      <c r="M778" t="n">
        <v>0</v>
      </c>
      <c r="N778" t="n">
        <v>0</v>
      </c>
      <c r="O778" t="n">
        <v>0</v>
      </c>
      <c r="P778" t="n">
        <v>0</v>
      </c>
      <c r="Q778" t="n">
        <v>0</v>
      </c>
      <c r="R778" s="2" t="inlineStr"/>
    </row>
    <row r="779" ht="15" customHeight="1">
      <c r="A779" t="inlineStr">
        <is>
          <t>A 3689-2024</t>
        </is>
      </c>
      <c r="B779" s="1" t="n">
        <v>45321</v>
      </c>
      <c r="C779" s="1" t="n">
        <v>45749</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3707-2024</t>
        </is>
      </c>
      <c r="B780" s="1" t="n">
        <v>45321</v>
      </c>
      <c r="C780" s="1" t="n">
        <v>45749</v>
      </c>
      <c r="D780" t="inlineStr">
        <is>
          <t>GOTLANDS LÄN</t>
        </is>
      </c>
      <c r="E780" t="inlineStr">
        <is>
          <t>GOTLAND</t>
        </is>
      </c>
      <c r="G780" t="n">
        <v>12.2</v>
      </c>
      <c r="H780" t="n">
        <v>0</v>
      </c>
      <c r="I780" t="n">
        <v>0</v>
      </c>
      <c r="J780" t="n">
        <v>0</v>
      </c>
      <c r="K780" t="n">
        <v>0</v>
      </c>
      <c r="L780" t="n">
        <v>0</v>
      </c>
      <c r="M780" t="n">
        <v>0</v>
      </c>
      <c r="N780" t="n">
        <v>0</v>
      </c>
      <c r="O780" t="n">
        <v>0</v>
      </c>
      <c r="P780" t="n">
        <v>0</v>
      </c>
      <c r="Q780" t="n">
        <v>0</v>
      </c>
      <c r="R780" s="2" t="inlineStr"/>
    </row>
    <row r="781" ht="15" customHeight="1">
      <c r="A781" t="inlineStr">
        <is>
          <t>A 3964-2024</t>
        </is>
      </c>
      <c r="B781" s="1" t="n">
        <v>45322</v>
      </c>
      <c r="C781" s="1" t="n">
        <v>45749</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4259-2024</t>
        </is>
      </c>
      <c r="B782" s="1" t="n">
        <v>45324</v>
      </c>
      <c r="C782" s="1" t="n">
        <v>45749</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4421-2024</t>
        </is>
      </c>
      <c r="B783" s="1" t="n">
        <v>45327</v>
      </c>
      <c r="C783" s="1" t="n">
        <v>45749</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4483-2024</t>
        </is>
      </c>
      <c r="B784" s="1" t="n">
        <v>45327</v>
      </c>
      <c r="C784" s="1" t="n">
        <v>45749</v>
      </c>
      <c r="D784" t="inlineStr">
        <is>
          <t>GOTLANDS LÄN</t>
        </is>
      </c>
      <c r="E784" t="inlineStr">
        <is>
          <t>GOTLAND</t>
        </is>
      </c>
      <c r="G784" t="n">
        <v>4.6</v>
      </c>
      <c r="H784" t="n">
        <v>0</v>
      </c>
      <c r="I784" t="n">
        <v>0</v>
      </c>
      <c r="J784" t="n">
        <v>0</v>
      </c>
      <c r="K784" t="n">
        <v>0</v>
      </c>
      <c r="L784" t="n">
        <v>0</v>
      </c>
      <c r="M784" t="n">
        <v>0</v>
      </c>
      <c r="N784" t="n">
        <v>0</v>
      </c>
      <c r="O784" t="n">
        <v>0</v>
      </c>
      <c r="P784" t="n">
        <v>0</v>
      </c>
      <c r="Q784" t="n">
        <v>0</v>
      </c>
      <c r="R784" s="2" t="inlineStr"/>
    </row>
    <row r="785" ht="15" customHeight="1">
      <c r="A785" t="inlineStr">
        <is>
          <t>A 4689-2024</t>
        </is>
      </c>
      <c r="B785" s="1" t="n">
        <v>45328</v>
      </c>
      <c r="C785" s="1" t="n">
        <v>45749</v>
      </c>
      <c r="D785" t="inlineStr">
        <is>
          <t>GOTLANDS LÄN</t>
        </is>
      </c>
      <c r="E785" t="inlineStr">
        <is>
          <t>GOTLAND</t>
        </is>
      </c>
      <c r="G785" t="n">
        <v>1.3</v>
      </c>
      <c r="H785" t="n">
        <v>0</v>
      </c>
      <c r="I785" t="n">
        <v>0</v>
      </c>
      <c r="J785" t="n">
        <v>0</v>
      </c>
      <c r="K785" t="n">
        <v>0</v>
      </c>
      <c r="L785" t="n">
        <v>0</v>
      </c>
      <c r="M785" t="n">
        <v>0</v>
      </c>
      <c r="N785" t="n">
        <v>0</v>
      </c>
      <c r="O785" t="n">
        <v>0</v>
      </c>
      <c r="P785" t="n">
        <v>0</v>
      </c>
      <c r="Q785" t="n">
        <v>0</v>
      </c>
      <c r="R785" s="2" t="inlineStr"/>
    </row>
    <row r="786" ht="15" customHeight="1">
      <c r="A786" t="inlineStr">
        <is>
          <t>A 4868-2024</t>
        </is>
      </c>
      <c r="B786" s="1" t="n">
        <v>45329</v>
      </c>
      <c r="C786" s="1" t="n">
        <v>45749</v>
      </c>
      <c r="D786" t="inlineStr">
        <is>
          <t>GOTLANDS LÄN</t>
        </is>
      </c>
      <c r="E786" t="inlineStr">
        <is>
          <t>GOTLAND</t>
        </is>
      </c>
      <c r="G786" t="n">
        <v>7.1</v>
      </c>
      <c r="H786" t="n">
        <v>0</v>
      </c>
      <c r="I786" t="n">
        <v>0</v>
      </c>
      <c r="J786" t="n">
        <v>0</v>
      </c>
      <c r="K786" t="n">
        <v>0</v>
      </c>
      <c r="L786" t="n">
        <v>0</v>
      </c>
      <c r="M786" t="n">
        <v>0</v>
      </c>
      <c r="N786" t="n">
        <v>0</v>
      </c>
      <c r="O786" t="n">
        <v>0</v>
      </c>
      <c r="P786" t="n">
        <v>0</v>
      </c>
      <c r="Q786" t="n">
        <v>0</v>
      </c>
      <c r="R786" s="2" t="inlineStr"/>
    </row>
    <row r="787" ht="15" customHeight="1">
      <c r="A787" t="inlineStr">
        <is>
          <t>A 5413-2024</t>
        </is>
      </c>
      <c r="B787" s="1" t="n">
        <v>45331</v>
      </c>
      <c r="C787" s="1" t="n">
        <v>45749</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5751-2024</t>
        </is>
      </c>
      <c r="B788" s="1" t="n">
        <v>45335</v>
      </c>
      <c r="C788" s="1" t="n">
        <v>45749</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5905-2024</t>
        </is>
      </c>
      <c r="B789" s="1" t="n">
        <v>45335</v>
      </c>
      <c r="C789" s="1" t="n">
        <v>45749</v>
      </c>
      <c r="D789" t="inlineStr">
        <is>
          <t>GOTLANDS LÄN</t>
        </is>
      </c>
      <c r="E789" t="inlineStr">
        <is>
          <t>GOTLAND</t>
        </is>
      </c>
      <c r="G789" t="n">
        <v>3</v>
      </c>
      <c r="H789" t="n">
        <v>0</v>
      </c>
      <c r="I789" t="n">
        <v>0</v>
      </c>
      <c r="J789" t="n">
        <v>0</v>
      </c>
      <c r="K789" t="n">
        <v>0</v>
      </c>
      <c r="L789" t="n">
        <v>0</v>
      </c>
      <c r="M789" t="n">
        <v>0</v>
      </c>
      <c r="N789" t="n">
        <v>0</v>
      </c>
      <c r="O789" t="n">
        <v>0</v>
      </c>
      <c r="P789" t="n">
        <v>0</v>
      </c>
      <c r="Q789" t="n">
        <v>0</v>
      </c>
      <c r="R789" s="2" t="inlineStr"/>
    </row>
    <row r="790" ht="15" customHeight="1">
      <c r="A790" t="inlineStr">
        <is>
          <t>A 5943-2024</t>
        </is>
      </c>
      <c r="B790" s="1" t="n">
        <v>45336</v>
      </c>
      <c r="C790" s="1" t="n">
        <v>45749</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6099-2024</t>
        </is>
      </c>
      <c r="B791" s="1" t="n">
        <v>45337</v>
      </c>
      <c r="C791" s="1" t="n">
        <v>45749</v>
      </c>
      <c r="D791" t="inlineStr">
        <is>
          <t>GOTLANDS LÄN</t>
        </is>
      </c>
      <c r="E791" t="inlineStr">
        <is>
          <t>GOTLAND</t>
        </is>
      </c>
      <c r="G791" t="n">
        <v>12.6</v>
      </c>
      <c r="H791" t="n">
        <v>0</v>
      </c>
      <c r="I791" t="n">
        <v>0</v>
      </c>
      <c r="J791" t="n">
        <v>0</v>
      </c>
      <c r="K791" t="n">
        <v>0</v>
      </c>
      <c r="L791" t="n">
        <v>0</v>
      </c>
      <c r="M791" t="n">
        <v>0</v>
      </c>
      <c r="N791" t="n">
        <v>0</v>
      </c>
      <c r="O791" t="n">
        <v>0</v>
      </c>
      <c r="P791" t="n">
        <v>0</v>
      </c>
      <c r="Q791" t="n">
        <v>0</v>
      </c>
      <c r="R791" s="2" t="inlineStr"/>
    </row>
    <row r="792" ht="15" customHeight="1">
      <c r="A792" t="inlineStr">
        <is>
          <t>A 6141-2024</t>
        </is>
      </c>
      <c r="B792" s="1" t="n">
        <v>45337</v>
      </c>
      <c r="C792" s="1" t="n">
        <v>45749</v>
      </c>
      <c r="D792" t="inlineStr">
        <is>
          <t>GOTLANDS LÄN</t>
        </is>
      </c>
      <c r="E792" t="inlineStr">
        <is>
          <t>GOTLAND</t>
        </is>
      </c>
      <c r="G792" t="n">
        <v>6.1</v>
      </c>
      <c r="H792" t="n">
        <v>0</v>
      </c>
      <c r="I792" t="n">
        <v>0</v>
      </c>
      <c r="J792" t="n">
        <v>0</v>
      </c>
      <c r="K792" t="n">
        <v>0</v>
      </c>
      <c r="L792" t="n">
        <v>0</v>
      </c>
      <c r="M792" t="n">
        <v>0</v>
      </c>
      <c r="N792" t="n">
        <v>0</v>
      </c>
      <c r="O792" t="n">
        <v>0</v>
      </c>
      <c r="P792" t="n">
        <v>0</v>
      </c>
      <c r="Q792" t="n">
        <v>0</v>
      </c>
      <c r="R792" s="2" t="inlineStr"/>
    </row>
    <row r="793" ht="15" customHeight="1">
      <c r="A793" t="inlineStr">
        <is>
          <t>A 6153-2024</t>
        </is>
      </c>
      <c r="B793" s="1" t="n">
        <v>45337</v>
      </c>
      <c r="C793" s="1" t="n">
        <v>45749</v>
      </c>
      <c r="D793" t="inlineStr">
        <is>
          <t>GOTLANDS LÄN</t>
        </is>
      </c>
      <c r="E793" t="inlineStr">
        <is>
          <t>GOTLAND</t>
        </is>
      </c>
      <c r="G793" t="n">
        <v>14.2</v>
      </c>
      <c r="H793" t="n">
        <v>0</v>
      </c>
      <c r="I793" t="n">
        <v>0</v>
      </c>
      <c r="J793" t="n">
        <v>0</v>
      </c>
      <c r="K793" t="n">
        <v>0</v>
      </c>
      <c r="L793" t="n">
        <v>0</v>
      </c>
      <c r="M793" t="n">
        <v>0</v>
      </c>
      <c r="N793" t="n">
        <v>0</v>
      </c>
      <c r="O793" t="n">
        <v>0</v>
      </c>
      <c r="P793" t="n">
        <v>0</v>
      </c>
      <c r="Q793" t="n">
        <v>0</v>
      </c>
      <c r="R793" s="2" t="inlineStr"/>
    </row>
    <row r="794" ht="15" customHeight="1">
      <c r="A794" t="inlineStr">
        <is>
          <t>A 6138-2024</t>
        </is>
      </c>
      <c r="B794" s="1" t="n">
        <v>45337</v>
      </c>
      <c r="C794" s="1" t="n">
        <v>45749</v>
      </c>
      <c r="D794" t="inlineStr">
        <is>
          <t>GOTLANDS LÄN</t>
        </is>
      </c>
      <c r="E794" t="inlineStr">
        <is>
          <t>GOTLAND</t>
        </is>
      </c>
      <c r="G794" t="n">
        <v>24.8</v>
      </c>
      <c r="H794" t="n">
        <v>0</v>
      </c>
      <c r="I794" t="n">
        <v>0</v>
      </c>
      <c r="J794" t="n">
        <v>0</v>
      </c>
      <c r="K794" t="n">
        <v>0</v>
      </c>
      <c r="L794" t="n">
        <v>0</v>
      </c>
      <c r="M794" t="n">
        <v>0</v>
      </c>
      <c r="N794" t="n">
        <v>0</v>
      </c>
      <c r="O794" t="n">
        <v>0</v>
      </c>
      <c r="P794" t="n">
        <v>0</v>
      </c>
      <c r="Q794" t="n">
        <v>0</v>
      </c>
      <c r="R794" s="2" t="inlineStr"/>
    </row>
    <row r="795" ht="15" customHeight="1">
      <c r="A795" t="inlineStr">
        <is>
          <t>A 7497-2024</t>
        </is>
      </c>
      <c r="B795" s="1" t="n">
        <v>45347</v>
      </c>
      <c r="C795" s="1" t="n">
        <v>45749</v>
      </c>
      <c r="D795" t="inlineStr">
        <is>
          <t>GOTLANDS LÄN</t>
        </is>
      </c>
      <c r="E795" t="inlineStr">
        <is>
          <t>GOTLAND</t>
        </is>
      </c>
      <c r="G795" t="n">
        <v>18.5</v>
      </c>
      <c r="H795" t="n">
        <v>0</v>
      </c>
      <c r="I795" t="n">
        <v>0</v>
      </c>
      <c r="J795" t="n">
        <v>0</v>
      </c>
      <c r="K795" t="n">
        <v>0</v>
      </c>
      <c r="L795" t="n">
        <v>0</v>
      </c>
      <c r="M795" t="n">
        <v>0</v>
      </c>
      <c r="N795" t="n">
        <v>0</v>
      </c>
      <c r="O795" t="n">
        <v>0</v>
      </c>
      <c r="P795" t="n">
        <v>0</v>
      </c>
      <c r="Q795" t="n">
        <v>0</v>
      </c>
      <c r="R795" s="2" t="inlineStr"/>
    </row>
    <row r="796" ht="15" customHeight="1">
      <c r="A796" t="inlineStr">
        <is>
          <t>A 7837-2024</t>
        </is>
      </c>
      <c r="B796" s="1" t="n">
        <v>45349</v>
      </c>
      <c r="C796" s="1" t="n">
        <v>45749</v>
      </c>
      <c r="D796" t="inlineStr">
        <is>
          <t>GOTLANDS LÄN</t>
        </is>
      </c>
      <c r="E796" t="inlineStr">
        <is>
          <t>GOTLAND</t>
        </is>
      </c>
      <c r="G796" t="n">
        <v>5</v>
      </c>
      <c r="H796" t="n">
        <v>0</v>
      </c>
      <c r="I796" t="n">
        <v>0</v>
      </c>
      <c r="J796" t="n">
        <v>0</v>
      </c>
      <c r="K796" t="n">
        <v>0</v>
      </c>
      <c r="L796" t="n">
        <v>0</v>
      </c>
      <c r="M796" t="n">
        <v>0</v>
      </c>
      <c r="N796" t="n">
        <v>0</v>
      </c>
      <c r="O796" t="n">
        <v>0</v>
      </c>
      <c r="P796" t="n">
        <v>0</v>
      </c>
      <c r="Q796" t="n">
        <v>0</v>
      </c>
      <c r="R796" s="2" t="inlineStr"/>
    </row>
    <row r="797" ht="15" customHeight="1">
      <c r="A797" t="inlineStr">
        <is>
          <t>A 7835-2024</t>
        </is>
      </c>
      <c r="B797" s="1" t="n">
        <v>45349</v>
      </c>
      <c r="C797" s="1" t="n">
        <v>45749</v>
      </c>
      <c r="D797" t="inlineStr">
        <is>
          <t>GOTLANDS LÄN</t>
        </is>
      </c>
      <c r="E797" t="inlineStr">
        <is>
          <t>GOTLAND</t>
        </is>
      </c>
      <c r="G797" t="n">
        <v>3.8</v>
      </c>
      <c r="H797" t="n">
        <v>0</v>
      </c>
      <c r="I797" t="n">
        <v>0</v>
      </c>
      <c r="J797" t="n">
        <v>0</v>
      </c>
      <c r="K797" t="n">
        <v>0</v>
      </c>
      <c r="L797" t="n">
        <v>0</v>
      </c>
      <c r="M797" t="n">
        <v>0</v>
      </c>
      <c r="N797" t="n">
        <v>0</v>
      </c>
      <c r="O797" t="n">
        <v>0</v>
      </c>
      <c r="P797" t="n">
        <v>0</v>
      </c>
      <c r="Q797" t="n">
        <v>0</v>
      </c>
      <c r="R797" s="2" t="inlineStr"/>
    </row>
    <row r="798" ht="15" customHeight="1">
      <c r="A798" t="inlineStr">
        <is>
          <t>A 8460-2024</t>
        </is>
      </c>
      <c r="B798" s="1" t="n">
        <v>45355</v>
      </c>
      <c r="C798" s="1" t="n">
        <v>45749</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9947-2024</t>
        </is>
      </c>
      <c r="B799" s="1" t="n">
        <v>45363</v>
      </c>
      <c r="C799" s="1" t="n">
        <v>45749</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10051-2024</t>
        </is>
      </c>
      <c r="B800" s="1" t="n">
        <v>45364</v>
      </c>
      <c r="C800" s="1" t="n">
        <v>45749</v>
      </c>
      <c r="D800" t="inlineStr">
        <is>
          <t>GOTLANDS LÄN</t>
        </is>
      </c>
      <c r="E800" t="inlineStr">
        <is>
          <t>GOTLAND</t>
        </is>
      </c>
      <c r="G800" t="n">
        <v>4.2</v>
      </c>
      <c r="H800" t="n">
        <v>0</v>
      </c>
      <c r="I800" t="n">
        <v>0</v>
      </c>
      <c r="J800" t="n">
        <v>0</v>
      </c>
      <c r="K800" t="n">
        <v>0</v>
      </c>
      <c r="L800" t="n">
        <v>0</v>
      </c>
      <c r="M800" t="n">
        <v>0</v>
      </c>
      <c r="N800" t="n">
        <v>0</v>
      </c>
      <c r="O800" t="n">
        <v>0</v>
      </c>
      <c r="P800" t="n">
        <v>0</v>
      </c>
      <c r="Q800" t="n">
        <v>0</v>
      </c>
      <c r="R800" s="2" t="inlineStr"/>
    </row>
    <row r="801" ht="15" customHeight="1">
      <c r="A801" t="inlineStr">
        <is>
          <t>A 10503-2024</t>
        </is>
      </c>
      <c r="B801" s="1" t="n">
        <v>45366</v>
      </c>
      <c r="C801" s="1" t="n">
        <v>45749</v>
      </c>
      <c r="D801" t="inlineStr">
        <is>
          <t>GOTLANDS LÄN</t>
        </is>
      </c>
      <c r="E801" t="inlineStr">
        <is>
          <t>GOTLAND</t>
        </is>
      </c>
      <c r="G801" t="n">
        <v>2.5</v>
      </c>
      <c r="H801" t="n">
        <v>0</v>
      </c>
      <c r="I801" t="n">
        <v>0</v>
      </c>
      <c r="J801" t="n">
        <v>0</v>
      </c>
      <c r="K801" t="n">
        <v>0</v>
      </c>
      <c r="L801" t="n">
        <v>0</v>
      </c>
      <c r="M801" t="n">
        <v>0</v>
      </c>
      <c r="N801" t="n">
        <v>0</v>
      </c>
      <c r="O801" t="n">
        <v>0</v>
      </c>
      <c r="P801" t="n">
        <v>0</v>
      </c>
      <c r="Q801" t="n">
        <v>0</v>
      </c>
      <c r="R801" s="2" t="inlineStr"/>
    </row>
    <row r="802" ht="15" customHeight="1">
      <c r="A802" t="inlineStr">
        <is>
          <t>A 10656-2024</t>
        </is>
      </c>
      <c r="B802" s="1" t="n">
        <v>45368</v>
      </c>
      <c r="C802" s="1" t="n">
        <v>45749</v>
      </c>
      <c r="D802" t="inlineStr">
        <is>
          <t>GOTLANDS LÄN</t>
        </is>
      </c>
      <c r="E802" t="inlineStr">
        <is>
          <t>GOTLAND</t>
        </is>
      </c>
      <c r="G802" t="n">
        <v>1.5</v>
      </c>
      <c r="H802" t="n">
        <v>0</v>
      </c>
      <c r="I802" t="n">
        <v>0</v>
      </c>
      <c r="J802" t="n">
        <v>0</v>
      </c>
      <c r="K802" t="n">
        <v>0</v>
      </c>
      <c r="L802" t="n">
        <v>0</v>
      </c>
      <c r="M802" t="n">
        <v>0</v>
      </c>
      <c r="N802" t="n">
        <v>0</v>
      </c>
      <c r="O802" t="n">
        <v>0</v>
      </c>
      <c r="P802" t="n">
        <v>0</v>
      </c>
      <c r="Q802" t="n">
        <v>0</v>
      </c>
      <c r="R802" s="2" t="inlineStr"/>
    </row>
    <row r="803" ht="15" customHeight="1">
      <c r="A803" t="inlineStr">
        <is>
          <t>A 11013-2024</t>
        </is>
      </c>
      <c r="B803" s="1" t="n">
        <v>45370</v>
      </c>
      <c r="C803" s="1" t="n">
        <v>45749</v>
      </c>
      <c r="D803" t="inlineStr">
        <is>
          <t>GOTLANDS LÄN</t>
        </is>
      </c>
      <c r="E803" t="inlineStr">
        <is>
          <t>GOTLAND</t>
        </is>
      </c>
      <c r="G803" t="n">
        <v>0.7</v>
      </c>
      <c r="H803" t="n">
        <v>0</v>
      </c>
      <c r="I803" t="n">
        <v>0</v>
      </c>
      <c r="J803" t="n">
        <v>0</v>
      </c>
      <c r="K803" t="n">
        <v>0</v>
      </c>
      <c r="L803" t="n">
        <v>0</v>
      </c>
      <c r="M803" t="n">
        <v>0</v>
      </c>
      <c r="N803" t="n">
        <v>0</v>
      </c>
      <c r="O803" t="n">
        <v>0</v>
      </c>
      <c r="P803" t="n">
        <v>0</v>
      </c>
      <c r="Q803" t="n">
        <v>0</v>
      </c>
      <c r="R803" s="2" t="inlineStr"/>
    </row>
    <row r="804" ht="15" customHeight="1">
      <c r="A804" t="inlineStr">
        <is>
          <t>A 11254-2024</t>
        </is>
      </c>
      <c r="B804" s="1" t="n">
        <v>45371</v>
      </c>
      <c r="C804" s="1" t="n">
        <v>45749</v>
      </c>
      <c r="D804" t="inlineStr">
        <is>
          <t>GOTLANDS LÄN</t>
        </is>
      </c>
      <c r="E804" t="inlineStr">
        <is>
          <t>GOTLAND</t>
        </is>
      </c>
      <c r="G804" t="n">
        <v>5.6</v>
      </c>
      <c r="H804" t="n">
        <v>0</v>
      </c>
      <c r="I804" t="n">
        <v>0</v>
      </c>
      <c r="J804" t="n">
        <v>0</v>
      </c>
      <c r="K804" t="n">
        <v>0</v>
      </c>
      <c r="L804" t="n">
        <v>0</v>
      </c>
      <c r="M804" t="n">
        <v>0</v>
      </c>
      <c r="N804" t="n">
        <v>0</v>
      </c>
      <c r="O804" t="n">
        <v>0</v>
      </c>
      <c r="P804" t="n">
        <v>0</v>
      </c>
      <c r="Q804" t="n">
        <v>0</v>
      </c>
      <c r="R804" s="2" t="inlineStr"/>
    </row>
    <row r="805" ht="15" customHeight="1">
      <c r="A805" t="inlineStr">
        <is>
          <t>A 11634-2024</t>
        </is>
      </c>
      <c r="B805" s="1" t="n">
        <v>45373</v>
      </c>
      <c r="C805" s="1" t="n">
        <v>45749</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11722-2024</t>
        </is>
      </c>
      <c r="B806" s="1" t="n">
        <v>45373</v>
      </c>
      <c r="C806" s="1" t="n">
        <v>45749</v>
      </c>
      <c r="D806" t="inlineStr">
        <is>
          <t>GOTLANDS LÄN</t>
        </is>
      </c>
      <c r="E806" t="inlineStr">
        <is>
          <t>GOTLAND</t>
        </is>
      </c>
      <c r="G806" t="n">
        <v>0.9</v>
      </c>
      <c r="H806" t="n">
        <v>0</v>
      </c>
      <c r="I806" t="n">
        <v>0</v>
      </c>
      <c r="J806" t="n">
        <v>0</v>
      </c>
      <c r="K806" t="n">
        <v>0</v>
      </c>
      <c r="L806" t="n">
        <v>0</v>
      </c>
      <c r="M806" t="n">
        <v>0</v>
      </c>
      <c r="N806" t="n">
        <v>0</v>
      </c>
      <c r="O806" t="n">
        <v>0</v>
      </c>
      <c r="P806" t="n">
        <v>0</v>
      </c>
      <c r="Q806" t="n">
        <v>0</v>
      </c>
      <c r="R806" s="2" t="inlineStr"/>
    </row>
    <row r="807" ht="15" customHeight="1">
      <c r="A807" t="inlineStr">
        <is>
          <t>A 11590-2024</t>
        </is>
      </c>
      <c r="B807" s="1" t="n">
        <v>45373</v>
      </c>
      <c r="C807" s="1" t="n">
        <v>45749</v>
      </c>
      <c r="D807" t="inlineStr">
        <is>
          <t>GOTLANDS LÄN</t>
        </is>
      </c>
      <c r="E807" t="inlineStr">
        <is>
          <t>GOTLAND</t>
        </is>
      </c>
      <c r="G807" t="n">
        <v>2.9</v>
      </c>
      <c r="H807" t="n">
        <v>0</v>
      </c>
      <c r="I807" t="n">
        <v>0</v>
      </c>
      <c r="J807" t="n">
        <v>0</v>
      </c>
      <c r="K807" t="n">
        <v>0</v>
      </c>
      <c r="L807" t="n">
        <v>0</v>
      </c>
      <c r="M807" t="n">
        <v>0</v>
      </c>
      <c r="N807" t="n">
        <v>0</v>
      </c>
      <c r="O807" t="n">
        <v>0</v>
      </c>
      <c r="P807" t="n">
        <v>0</v>
      </c>
      <c r="Q807" t="n">
        <v>0</v>
      </c>
      <c r="R807" s="2" t="inlineStr"/>
    </row>
    <row r="808" ht="15" customHeight="1">
      <c r="A808" t="inlineStr">
        <is>
          <t>A 11598-2024</t>
        </is>
      </c>
      <c r="B808" s="1" t="n">
        <v>45373</v>
      </c>
      <c r="C808" s="1" t="n">
        <v>45749</v>
      </c>
      <c r="D808" t="inlineStr">
        <is>
          <t>GOTLANDS LÄN</t>
        </is>
      </c>
      <c r="E808" t="inlineStr">
        <is>
          <t>GOTLAND</t>
        </is>
      </c>
      <c r="G808" t="n">
        <v>0.3</v>
      </c>
      <c r="H808" t="n">
        <v>0</v>
      </c>
      <c r="I808" t="n">
        <v>0</v>
      </c>
      <c r="J808" t="n">
        <v>0</v>
      </c>
      <c r="K808" t="n">
        <v>0</v>
      </c>
      <c r="L808" t="n">
        <v>0</v>
      </c>
      <c r="M808" t="n">
        <v>0</v>
      </c>
      <c r="N808" t="n">
        <v>0</v>
      </c>
      <c r="O808" t="n">
        <v>0</v>
      </c>
      <c r="P808" t="n">
        <v>0</v>
      </c>
      <c r="Q808" t="n">
        <v>0</v>
      </c>
      <c r="R808" s="2" t="inlineStr"/>
    </row>
    <row r="809" ht="15" customHeight="1">
      <c r="A809" t="inlineStr">
        <is>
          <t>A 11863-2024</t>
        </is>
      </c>
      <c r="B809" s="1" t="n">
        <v>45376</v>
      </c>
      <c r="C809" s="1" t="n">
        <v>45749</v>
      </c>
      <c r="D809" t="inlineStr">
        <is>
          <t>GOTLANDS LÄN</t>
        </is>
      </c>
      <c r="E809" t="inlineStr">
        <is>
          <t>GOTLAND</t>
        </is>
      </c>
      <c r="G809" t="n">
        <v>3.2</v>
      </c>
      <c r="H809" t="n">
        <v>0</v>
      </c>
      <c r="I809" t="n">
        <v>0</v>
      </c>
      <c r="J809" t="n">
        <v>0</v>
      </c>
      <c r="K809" t="n">
        <v>0</v>
      </c>
      <c r="L809" t="n">
        <v>0</v>
      </c>
      <c r="M809" t="n">
        <v>0</v>
      </c>
      <c r="N809" t="n">
        <v>0</v>
      </c>
      <c r="O809" t="n">
        <v>0</v>
      </c>
      <c r="P809" t="n">
        <v>0</v>
      </c>
      <c r="Q809" t="n">
        <v>0</v>
      </c>
      <c r="R809" s="2" t="inlineStr"/>
    </row>
    <row r="810" ht="15" customHeight="1">
      <c r="A810" t="inlineStr">
        <is>
          <t>A 11868-2024</t>
        </is>
      </c>
      <c r="B810" s="1" t="n">
        <v>45376</v>
      </c>
      <c r="C810" s="1" t="n">
        <v>45749</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11874-2024</t>
        </is>
      </c>
      <c r="B811" s="1" t="n">
        <v>45376</v>
      </c>
      <c r="C811" s="1" t="n">
        <v>45749</v>
      </c>
      <c r="D811" t="inlineStr">
        <is>
          <t>GOTLANDS LÄN</t>
        </is>
      </c>
      <c r="E811" t="inlineStr">
        <is>
          <t>GOTLAND</t>
        </is>
      </c>
      <c r="G811" t="n">
        <v>0.8</v>
      </c>
      <c r="H811" t="n">
        <v>0</v>
      </c>
      <c r="I811" t="n">
        <v>0</v>
      </c>
      <c r="J811" t="n">
        <v>0</v>
      </c>
      <c r="K811" t="n">
        <v>0</v>
      </c>
      <c r="L811" t="n">
        <v>0</v>
      </c>
      <c r="M811" t="n">
        <v>0</v>
      </c>
      <c r="N811" t="n">
        <v>0</v>
      </c>
      <c r="O811" t="n">
        <v>0</v>
      </c>
      <c r="P811" t="n">
        <v>0</v>
      </c>
      <c r="Q811" t="n">
        <v>0</v>
      </c>
      <c r="R811" s="2" t="inlineStr"/>
    </row>
    <row r="812" ht="15" customHeight="1">
      <c r="A812" t="inlineStr">
        <is>
          <t>A 12208-2024</t>
        </is>
      </c>
      <c r="B812" s="1" t="n">
        <v>45378</v>
      </c>
      <c r="C812" s="1" t="n">
        <v>45749</v>
      </c>
      <c r="D812" t="inlineStr">
        <is>
          <t>GOTLANDS LÄN</t>
        </is>
      </c>
      <c r="E812" t="inlineStr">
        <is>
          <t>GOTLAND</t>
        </is>
      </c>
      <c r="G812" t="n">
        <v>4.5</v>
      </c>
      <c r="H812" t="n">
        <v>0</v>
      </c>
      <c r="I812" t="n">
        <v>0</v>
      </c>
      <c r="J812" t="n">
        <v>0</v>
      </c>
      <c r="K812" t="n">
        <v>0</v>
      </c>
      <c r="L812" t="n">
        <v>0</v>
      </c>
      <c r="M812" t="n">
        <v>0</v>
      </c>
      <c r="N812" t="n">
        <v>0</v>
      </c>
      <c r="O812" t="n">
        <v>0</v>
      </c>
      <c r="P812" t="n">
        <v>0</v>
      </c>
      <c r="Q812" t="n">
        <v>0</v>
      </c>
      <c r="R812" s="2" t="inlineStr"/>
    </row>
    <row r="813" ht="15" customHeight="1">
      <c r="A813" t="inlineStr">
        <is>
          <t>A 12210-2024</t>
        </is>
      </c>
      <c r="B813" s="1" t="n">
        <v>45378</v>
      </c>
      <c r="C813" s="1" t="n">
        <v>45749</v>
      </c>
      <c r="D813" t="inlineStr">
        <is>
          <t>GOTLANDS LÄN</t>
        </is>
      </c>
      <c r="E813" t="inlineStr">
        <is>
          <t>GOTLAND</t>
        </is>
      </c>
      <c r="G813" t="n">
        <v>4.1</v>
      </c>
      <c r="H813" t="n">
        <v>0</v>
      </c>
      <c r="I813" t="n">
        <v>0</v>
      </c>
      <c r="J813" t="n">
        <v>0</v>
      </c>
      <c r="K813" t="n">
        <v>0</v>
      </c>
      <c r="L813" t="n">
        <v>0</v>
      </c>
      <c r="M813" t="n">
        <v>0</v>
      </c>
      <c r="N813" t="n">
        <v>0</v>
      </c>
      <c r="O813" t="n">
        <v>0</v>
      </c>
      <c r="P813" t="n">
        <v>0</v>
      </c>
      <c r="Q813" t="n">
        <v>0</v>
      </c>
      <c r="R813" s="2" t="inlineStr"/>
    </row>
    <row r="814" ht="15" customHeight="1">
      <c r="A814" t="inlineStr">
        <is>
          <t>A 12207-2024</t>
        </is>
      </c>
      <c r="B814" s="1" t="n">
        <v>45378</v>
      </c>
      <c r="C814" s="1" t="n">
        <v>45749</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12209-2024</t>
        </is>
      </c>
      <c r="B815" s="1" t="n">
        <v>45378</v>
      </c>
      <c r="C815" s="1" t="n">
        <v>45749</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12312-2024</t>
        </is>
      </c>
      <c r="B816" s="1" t="n">
        <v>45378</v>
      </c>
      <c r="C816" s="1" t="n">
        <v>45749</v>
      </c>
      <c r="D816" t="inlineStr">
        <is>
          <t>GOTLANDS LÄN</t>
        </is>
      </c>
      <c r="E816" t="inlineStr">
        <is>
          <t>GOTLAND</t>
        </is>
      </c>
      <c r="G816" t="n">
        <v>1.8</v>
      </c>
      <c r="H816" t="n">
        <v>0</v>
      </c>
      <c r="I816" t="n">
        <v>0</v>
      </c>
      <c r="J816" t="n">
        <v>0</v>
      </c>
      <c r="K816" t="n">
        <v>0</v>
      </c>
      <c r="L816" t="n">
        <v>0</v>
      </c>
      <c r="M816" t="n">
        <v>0</v>
      </c>
      <c r="N816" t="n">
        <v>0</v>
      </c>
      <c r="O816" t="n">
        <v>0</v>
      </c>
      <c r="P816" t="n">
        <v>0</v>
      </c>
      <c r="Q816" t="n">
        <v>0</v>
      </c>
      <c r="R816" s="2" t="inlineStr"/>
    </row>
    <row r="817" ht="15" customHeight="1">
      <c r="A817" t="inlineStr">
        <is>
          <t>A 12389-2024</t>
        </is>
      </c>
      <c r="B817" s="1" t="n">
        <v>45379</v>
      </c>
      <c r="C817" s="1" t="n">
        <v>45749</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12390-2024</t>
        </is>
      </c>
      <c r="B818" s="1" t="n">
        <v>45379</v>
      </c>
      <c r="C818" s="1" t="n">
        <v>45749</v>
      </c>
      <c r="D818" t="inlineStr">
        <is>
          <t>GOTLANDS LÄN</t>
        </is>
      </c>
      <c r="E818" t="inlineStr">
        <is>
          <t>GOTLAND</t>
        </is>
      </c>
      <c r="G818" t="n">
        <v>5.5</v>
      </c>
      <c r="H818" t="n">
        <v>0</v>
      </c>
      <c r="I818" t="n">
        <v>0</v>
      </c>
      <c r="J818" t="n">
        <v>0</v>
      </c>
      <c r="K818" t="n">
        <v>0</v>
      </c>
      <c r="L818" t="n">
        <v>0</v>
      </c>
      <c r="M818" t="n">
        <v>0</v>
      </c>
      <c r="N818" t="n">
        <v>0</v>
      </c>
      <c r="O818" t="n">
        <v>0</v>
      </c>
      <c r="P818" t="n">
        <v>0</v>
      </c>
      <c r="Q818" t="n">
        <v>0</v>
      </c>
      <c r="R818" s="2" t="inlineStr"/>
    </row>
    <row r="819" ht="15" customHeight="1">
      <c r="A819" t="inlineStr">
        <is>
          <t>A 13531-2024</t>
        </is>
      </c>
      <c r="B819" s="1" t="n">
        <v>45387</v>
      </c>
      <c r="C819" s="1" t="n">
        <v>45749</v>
      </c>
      <c r="D819" t="inlineStr">
        <is>
          <t>GOTLANDS LÄN</t>
        </is>
      </c>
      <c r="E819" t="inlineStr">
        <is>
          <t>GOTLAND</t>
        </is>
      </c>
      <c r="G819" t="n">
        <v>17.7</v>
      </c>
      <c r="H819" t="n">
        <v>0</v>
      </c>
      <c r="I819" t="n">
        <v>0</v>
      </c>
      <c r="J819" t="n">
        <v>0</v>
      </c>
      <c r="K819" t="n">
        <v>0</v>
      </c>
      <c r="L819" t="n">
        <v>0</v>
      </c>
      <c r="M819" t="n">
        <v>0</v>
      </c>
      <c r="N819" t="n">
        <v>0</v>
      </c>
      <c r="O819" t="n">
        <v>0</v>
      </c>
      <c r="P819" t="n">
        <v>0</v>
      </c>
      <c r="Q819" t="n">
        <v>0</v>
      </c>
      <c r="R819" s="2" t="inlineStr"/>
    </row>
    <row r="820" ht="15" customHeight="1">
      <c r="A820" t="inlineStr">
        <is>
          <t>A 13655-2024</t>
        </is>
      </c>
      <c r="B820" s="1" t="n">
        <v>45390</v>
      </c>
      <c r="C820" s="1" t="n">
        <v>45749</v>
      </c>
      <c r="D820" t="inlineStr">
        <is>
          <t>GOTLANDS LÄN</t>
        </is>
      </c>
      <c r="E820" t="inlineStr">
        <is>
          <t>GOTLAND</t>
        </is>
      </c>
      <c r="G820" t="n">
        <v>1.4</v>
      </c>
      <c r="H820" t="n">
        <v>0</v>
      </c>
      <c r="I820" t="n">
        <v>0</v>
      </c>
      <c r="J820" t="n">
        <v>0</v>
      </c>
      <c r="K820" t="n">
        <v>0</v>
      </c>
      <c r="L820" t="n">
        <v>0</v>
      </c>
      <c r="M820" t="n">
        <v>0</v>
      </c>
      <c r="N820" t="n">
        <v>0</v>
      </c>
      <c r="O820" t="n">
        <v>0</v>
      </c>
      <c r="P820" t="n">
        <v>0</v>
      </c>
      <c r="Q820" t="n">
        <v>0</v>
      </c>
      <c r="R820" s="2" t="inlineStr"/>
    </row>
    <row r="821" ht="15" customHeight="1">
      <c r="A821" t="inlineStr">
        <is>
          <t>A 14139-2024</t>
        </is>
      </c>
      <c r="B821" s="1" t="n">
        <v>45392</v>
      </c>
      <c r="C821" s="1" t="n">
        <v>45749</v>
      </c>
      <c r="D821" t="inlineStr">
        <is>
          <t>GOTLANDS LÄN</t>
        </is>
      </c>
      <c r="E821" t="inlineStr">
        <is>
          <t>GOTLAND</t>
        </is>
      </c>
      <c r="G821" t="n">
        <v>3.1</v>
      </c>
      <c r="H821" t="n">
        <v>0</v>
      </c>
      <c r="I821" t="n">
        <v>0</v>
      </c>
      <c r="J821" t="n">
        <v>0</v>
      </c>
      <c r="K821" t="n">
        <v>0</v>
      </c>
      <c r="L821" t="n">
        <v>0</v>
      </c>
      <c r="M821" t="n">
        <v>0</v>
      </c>
      <c r="N821" t="n">
        <v>0</v>
      </c>
      <c r="O821" t="n">
        <v>0</v>
      </c>
      <c r="P821" t="n">
        <v>0</v>
      </c>
      <c r="Q821" t="n">
        <v>0</v>
      </c>
      <c r="R821" s="2" t="inlineStr"/>
    </row>
    <row r="822" ht="15" customHeight="1">
      <c r="A822" t="inlineStr">
        <is>
          <t>A 14141-2024</t>
        </is>
      </c>
      <c r="B822" s="1" t="n">
        <v>45392</v>
      </c>
      <c r="C822" s="1" t="n">
        <v>45749</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14427-2024</t>
        </is>
      </c>
      <c r="B823" s="1" t="n">
        <v>45394</v>
      </c>
      <c r="C823" s="1" t="n">
        <v>45749</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14593-2024</t>
        </is>
      </c>
      <c r="B824" s="1" t="n">
        <v>45395</v>
      </c>
      <c r="C824" s="1" t="n">
        <v>45749</v>
      </c>
      <c r="D824" t="inlineStr">
        <is>
          <t>GOTLANDS LÄN</t>
        </is>
      </c>
      <c r="E824" t="inlineStr">
        <is>
          <t>GOTLAND</t>
        </is>
      </c>
      <c r="G824" t="n">
        <v>5.4</v>
      </c>
      <c r="H824" t="n">
        <v>0</v>
      </c>
      <c r="I824" t="n">
        <v>0</v>
      </c>
      <c r="J824" t="n">
        <v>0</v>
      </c>
      <c r="K824" t="n">
        <v>0</v>
      </c>
      <c r="L824" t="n">
        <v>0</v>
      </c>
      <c r="M824" t="n">
        <v>0</v>
      </c>
      <c r="N824" t="n">
        <v>0</v>
      </c>
      <c r="O824" t="n">
        <v>0</v>
      </c>
      <c r="P824" t="n">
        <v>0</v>
      </c>
      <c r="Q824" t="n">
        <v>0</v>
      </c>
      <c r="R824" s="2" t="inlineStr"/>
    </row>
    <row r="825" ht="15" customHeight="1">
      <c r="A825" t="inlineStr">
        <is>
          <t>A 14797-2024</t>
        </is>
      </c>
      <c r="B825" s="1" t="n">
        <v>45397</v>
      </c>
      <c r="C825" s="1" t="n">
        <v>45749</v>
      </c>
      <c r="D825" t="inlineStr">
        <is>
          <t>GOTLANDS LÄN</t>
        </is>
      </c>
      <c r="E825" t="inlineStr">
        <is>
          <t>GOTLAND</t>
        </is>
      </c>
      <c r="G825" t="n">
        <v>8.1</v>
      </c>
      <c r="H825" t="n">
        <v>0</v>
      </c>
      <c r="I825" t="n">
        <v>0</v>
      </c>
      <c r="J825" t="n">
        <v>0</v>
      </c>
      <c r="K825" t="n">
        <v>0</v>
      </c>
      <c r="L825" t="n">
        <v>0</v>
      </c>
      <c r="M825" t="n">
        <v>0</v>
      </c>
      <c r="N825" t="n">
        <v>0</v>
      </c>
      <c r="O825" t="n">
        <v>0</v>
      </c>
      <c r="P825" t="n">
        <v>0</v>
      </c>
      <c r="Q825" t="n">
        <v>0</v>
      </c>
      <c r="R825" s="2" t="inlineStr"/>
    </row>
    <row r="826" ht="15" customHeight="1">
      <c r="A826" t="inlineStr">
        <is>
          <t>A 15595-2024</t>
        </is>
      </c>
      <c r="B826" s="1" t="n">
        <v>45401</v>
      </c>
      <c r="C826" s="1" t="n">
        <v>45749</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15434-2024</t>
        </is>
      </c>
      <c r="B827" s="1" t="n">
        <v>45401</v>
      </c>
      <c r="C827" s="1" t="n">
        <v>45749</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15885-2024</t>
        </is>
      </c>
      <c r="B828" s="1" t="n">
        <v>45405</v>
      </c>
      <c r="C828" s="1" t="n">
        <v>45749</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16322-2024</t>
        </is>
      </c>
      <c r="B829" s="1" t="n">
        <v>45407</v>
      </c>
      <c r="C829" s="1" t="n">
        <v>45749</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16361-2024</t>
        </is>
      </c>
      <c r="B830" s="1" t="n">
        <v>45407</v>
      </c>
      <c r="C830" s="1" t="n">
        <v>45749</v>
      </c>
      <c r="D830" t="inlineStr">
        <is>
          <t>GOTLANDS LÄN</t>
        </is>
      </c>
      <c r="E830" t="inlineStr">
        <is>
          <t>GOTLAND</t>
        </is>
      </c>
      <c r="G830" t="n">
        <v>6</v>
      </c>
      <c r="H830" t="n">
        <v>0</v>
      </c>
      <c r="I830" t="n">
        <v>0</v>
      </c>
      <c r="J830" t="n">
        <v>0</v>
      </c>
      <c r="K830" t="n">
        <v>0</v>
      </c>
      <c r="L830" t="n">
        <v>0</v>
      </c>
      <c r="M830" t="n">
        <v>0</v>
      </c>
      <c r="N830" t="n">
        <v>0</v>
      </c>
      <c r="O830" t="n">
        <v>0</v>
      </c>
      <c r="P830" t="n">
        <v>0</v>
      </c>
      <c r="Q830" t="n">
        <v>0</v>
      </c>
      <c r="R830" s="2" t="inlineStr"/>
    </row>
    <row r="831" ht="15" customHeight="1">
      <c r="A831" t="inlineStr">
        <is>
          <t>A 16328-2024</t>
        </is>
      </c>
      <c r="B831" s="1" t="n">
        <v>45407</v>
      </c>
      <c r="C831" s="1" t="n">
        <v>45749</v>
      </c>
      <c r="D831" t="inlineStr">
        <is>
          <t>GOTLANDS LÄN</t>
        </is>
      </c>
      <c r="E831" t="inlineStr">
        <is>
          <t>GOTLAND</t>
        </is>
      </c>
      <c r="G831" t="n">
        <v>1.7</v>
      </c>
      <c r="H831" t="n">
        <v>0</v>
      </c>
      <c r="I831" t="n">
        <v>0</v>
      </c>
      <c r="J831" t="n">
        <v>0</v>
      </c>
      <c r="K831" t="n">
        <v>0</v>
      </c>
      <c r="L831" t="n">
        <v>0</v>
      </c>
      <c r="M831" t="n">
        <v>0</v>
      </c>
      <c r="N831" t="n">
        <v>0</v>
      </c>
      <c r="O831" t="n">
        <v>0</v>
      </c>
      <c r="P831" t="n">
        <v>0</v>
      </c>
      <c r="Q831" t="n">
        <v>0</v>
      </c>
      <c r="R831" s="2" t="inlineStr"/>
    </row>
    <row r="832" ht="15" customHeight="1">
      <c r="A832" t="inlineStr">
        <is>
          <t>A 17087-2024</t>
        </is>
      </c>
      <c r="B832" s="1" t="n">
        <v>45412</v>
      </c>
      <c r="C832" s="1" t="n">
        <v>45749</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17089-2024</t>
        </is>
      </c>
      <c r="B833" s="1" t="n">
        <v>45412</v>
      </c>
      <c r="C833" s="1" t="n">
        <v>45749</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17085-2024</t>
        </is>
      </c>
      <c r="B834" s="1" t="n">
        <v>45412</v>
      </c>
      <c r="C834" s="1" t="n">
        <v>45749</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17532-2024</t>
        </is>
      </c>
      <c r="B835" s="1" t="n">
        <v>45415</v>
      </c>
      <c r="C835" s="1" t="n">
        <v>45749</v>
      </c>
      <c r="D835" t="inlineStr">
        <is>
          <t>GOTLANDS LÄN</t>
        </is>
      </c>
      <c r="E835" t="inlineStr">
        <is>
          <t>GOTLAND</t>
        </is>
      </c>
      <c r="G835" t="n">
        <v>4.3</v>
      </c>
      <c r="H835" t="n">
        <v>0</v>
      </c>
      <c r="I835" t="n">
        <v>0</v>
      </c>
      <c r="J835" t="n">
        <v>0</v>
      </c>
      <c r="K835" t="n">
        <v>0</v>
      </c>
      <c r="L835" t="n">
        <v>0</v>
      </c>
      <c r="M835" t="n">
        <v>0</v>
      </c>
      <c r="N835" t="n">
        <v>0</v>
      </c>
      <c r="O835" t="n">
        <v>0</v>
      </c>
      <c r="P835" t="n">
        <v>0</v>
      </c>
      <c r="Q835" t="n">
        <v>0</v>
      </c>
      <c r="R835" s="2" t="inlineStr"/>
    </row>
    <row r="836" ht="15" customHeight="1">
      <c r="A836" t="inlineStr">
        <is>
          <t>A 17541-2024</t>
        </is>
      </c>
      <c r="B836" s="1" t="n">
        <v>45415</v>
      </c>
      <c r="C836" s="1" t="n">
        <v>45749</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17616-2024</t>
        </is>
      </c>
      <c r="B837" s="1" t="n">
        <v>45416</v>
      </c>
      <c r="C837" s="1" t="n">
        <v>45749</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17617-2024</t>
        </is>
      </c>
      <c r="B838" s="1" t="n">
        <v>45416</v>
      </c>
      <c r="C838" s="1" t="n">
        <v>45749</v>
      </c>
      <c r="D838" t="inlineStr">
        <is>
          <t>GOTLANDS LÄN</t>
        </is>
      </c>
      <c r="E838" t="inlineStr">
        <is>
          <t>GOTLAND</t>
        </is>
      </c>
      <c r="G838" t="n">
        <v>1.6</v>
      </c>
      <c r="H838" t="n">
        <v>0</v>
      </c>
      <c r="I838" t="n">
        <v>0</v>
      </c>
      <c r="J838" t="n">
        <v>0</v>
      </c>
      <c r="K838" t="n">
        <v>0</v>
      </c>
      <c r="L838" t="n">
        <v>0</v>
      </c>
      <c r="M838" t="n">
        <v>0</v>
      </c>
      <c r="N838" t="n">
        <v>0</v>
      </c>
      <c r="O838" t="n">
        <v>0</v>
      </c>
      <c r="P838" t="n">
        <v>0</v>
      </c>
      <c r="Q838" t="n">
        <v>0</v>
      </c>
      <c r="R838" s="2" t="inlineStr"/>
    </row>
    <row r="839" ht="15" customHeight="1">
      <c r="A839" t="inlineStr">
        <is>
          <t>A 17688-2024</t>
        </is>
      </c>
      <c r="B839" s="1" t="n">
        <v>45418</v>
      </c>
      <c r="C839" s="1" t="n">
        <v>45749</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17691-2024</t>
        </is>
      </c>
      <c r="B840" s="1" t="n">
        <v>45418</v>
      </c>
      <c r="C840" s="1" t="n">
        <v>45749</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17743-2024</t>
        </is>
      </c>
      <c r="B841" s="1" t="n">
        <v>45418</v>
      </c>
      <c r="C841" s="1" t="n">
        <v>45749</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17786-2024</t>
        </is>
      </c>
      <c r="B842" s="1" t="n">
        <v>45418</v>
      </c>
      <c r="C842" s="1" t="n">
        <v>45749</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17682-2024</t>
        </is>
      </c>
      <c r="B843" s="1" t="n">
        <v>45418</v>
      </c>
      <c r="C843" s="1" t="n">
        <v>45749</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17686-2024</t>
        </is>
      </c>
      <c r="B844" s="1" t="n">
        <v>45418</v>
      </c>
      <c r="C844" s="1" t="n">
        <v>45749</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17724-2024</t>
        </is>
      </c>
      <c r="B845" s="1" t="n">
        <v>45418</v>
      </c>
      <c r="C845" s="1" t="n">
        <v>45749</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17742-2024</t>
        </is>
      </c>
      <c r="B846" s="1" t="n">
        <v>45418</v>
      </c>
      <c r="C846" s="1" t="n">
        <v>45749</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18056-2024</t>
        </is>
      </c>
      <c r="B847" s="1" t="n">
        <v>45420</v>
      </c>
      <c r="C847" s="1" t="n">
        <v>45749</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18380-2024</t>
        </is>
      </c>
      <c r="B848" s="1" t="n">
        <v>45424</v>
      </c>
      <c r="C848" s="1" t="n">
        <v>45749</v>
      </c>
      <c r="D848" t="inlineStr">
        <is>
          <t>GOTLANDS LÄN</t>
        </is>
      </c>
      <c r="E848" t="inlineStr">
        <is>
          <t>GOTLAND</t>
        </is>
      </c>
      <c r="G848" t="n">
        <v>2.5</v>
      </c>
      <c r="H848" t="n">
        <v>0</v>
      </c>
      <c r="I848" t="n">
        <v>0</v>
      </c>
      <c r="J848" t="n">
        <v>0</v>
      </c>
      <c r="K848" t="n">
        <v>0</v>
      </c>
      <c r="L848" t="n">
        <v>0</v>
      </c>
      <c r="M848" t="n">
        <v>0</v>
      </c>
      <c r="N848" t="n">
        <v>0</v>
      </c>
      <c r="O848" t="n">
        <v>0</v>
      </c>
      <c r="P848" t="n">
        <v>0</v>
      </c>
      <c r="Q848" t="n">
        <v>0</v>
      </c>
      <c r="R848" s="2" t="inlineStr"/>
    </row>
    <row r="849" ht="15" customHeight="1">
      <c r="A849" t="inlineStr">
        <is>
          <t>A 18896-2024</t>
        </is>
      </c>
      <c r="B849" s="1" t="n">
        <v>45427</v>
      </c>
      <c r="C849" s="1" t="n">
        <v>45749</v>
      </c>
      <c r="D849" t="inlineStr">
        <is>
          <t>GOTLANDS LÄN</t>
        </is>
      </c>
      <c r="E849" t="inlineStr">
        <is>
          <t>GOTLAND</t>
        </is>
      </c>
      <c r="G849" t="n">
        <v>5.1</v>
      </c>
      <c r="H849" t="n">
        <v>0</v>
      </c>
      <c r="I849" t="n">
        <v>0</v>
      </c>
      <c r="J849" t="n">
        <v>0</v>
      </c>
      <c r="K849" t="n">
        <v>0</v>
      </c>
      <c r="L849" t="n">
        <v>0</v>
      </c>
      <c r="M849" t="n">
        <v>0</v>
      </c>
      <c r="N849" t="n">
        <v>0</v>
      </c>
      <c r="O849" t="n">
        <v>0</v>
      </c>
      <c r="P849" t="n">
        <v>0</v>
      </c>
      <c r="Q849" t="n">
        <v>0</v>
      </c>
      <c r="R849" s="2" t="inlineStr"/>
    </row>
    <row r="850" ht="15" customHeight="1">
      <c r="A850" t="inlineStr">
        <is>
          <t>A 20290-2024</t>
        </is>
      </c>
      <c r="B850" s="1" t="n">
        <v>45435</v>
      </c>
      <c r="C850" s="1" t="n">
        <v>45749</v>
      </c>
      <c r="D850" t="inlineStr">
        <is>
          <t>GOTLANDS LÄN</t>
        </is>
      </c>
      <c r="E850" t="inlineStr">
        <is>
          <t>GOTLAND</t>
        </is>
      </c>
      <c r="G850" t="n">
        <v>10.9</v>
      </c>
      <c r="H850" t="n">
        <v>0</v>
      </c>
      <c r="I850" t="n">
        <v>0</v>
      </c>
      <c r="J850" t="n">
        <v>0</v>
      </c>
      <c r="K850" t="n">
        <v>0</v>
      </c>
      <c r="L850" t="n">
        <v>0</v>
      </c>
      <c r="M850" t="n">
        <v>0</v>
      </c>
      <c r="N850" t="n">
        <v>0</v>
      </c>
      <c r="O850" t="n">
        <v>0</v>
      </c>
      <c r="P850" t="n">
        <v>0</v>
      </c>
      <c r="Q850" t="n">
        <v>0</v>
      </c>
      <c r="R850" s="2" t="inlineStr"/>
    </row>
    <row r="851" ht="15" customHeight="1">
      <c r="A851" t="inlineStr">
        <is>
          <t>A 20292-2024</t>
        </is>
      </c>
      <c r="B851" s="1" t="n">
        <v>45435</v>
      </c>
      <c r="C851" s="1" t="n">
        <v>45749</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21164-2024</t>
        </is>
      </c>
      <c r="B852" s="1" t="n">
        <v>45440</v>
      </c>
      <c r="C852" s="1" t="n">
        <v>45749</v>
      </c>
      <c r="D852" t="inlineStr">
        <is>
          <t>GOTLANDS LÄN</t>
        </is>
      </c>
      <c r="E852" t="inlineStr">
        <is>
          <t>GOTLAND</t>
        </is>
      </c>
      <c r="G852" t="n">
        <v>6.3</v>
      </c>
      <c r="H852" t="n">
        <v>0</v>
      </c>
      <c r="I852" t="n">
        <v>0</v>
      </c>
      <c r="J852" t="n">
        <v>0</v>
      </c>
      <c r="K852" t="n">
        <v>0</v>
      </c>
      <c r="L852" t="n">
        <v>0</v>
      </c>
      <c r="M852" t="n">
        <v>0</v>
      </c>
      <c r="N852" t="n">
        <v>0</v>
      </c>
      <c r="O852" t="n">
        <v>0</v>
      </c>
      <c r="P852" t="n">
        <v>0</v>
      </c>
      <c r="Q852" t="n">
        <v>0</v>
      </c>
      <c r="R852" s="2" t="inlineStr"/>
    </row>
    <row r="853" ht="15" customHeight="1">
      <c r="A853" t="inlineStr">
        <is>
          <t>A 21154-2024</t>
        </is>
      </c>
      <c r="B853" s="1" t="n">
        <v>45440</v>
      </c>
      <c r="C853" s="1" t="n">
        <v>45749</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21420-2024</t>
        </is>
      </c>
      <c r="B854" s="1" t="n">
        <v>45441</v>
      </c>
      <c r="C854" s="1" t="n">
        <v>45749</v>
      </c>
      <c r="D854" t="inlineStr">
        <is>
          <t>GOTLANDS LÄN</t>
        </is>
      </c>
      <c r="E854" t="inlineStr">
        <is>
          <t>GOTLAND</t>
        </is>
      </c>
      <c r="G854" t="n">
        <v>4.1</v>
      </c>
      <c r="H854" t="n">
        <v>0</v>
      </c>
      <c r="I854" t="n">
        <v>0</v>
      </c>
      <c r="J854" t="n">
        <v>0</v>
      </c>
      <c r="K854" t="n">
        <v>0</v>
      </c>
      <c r="L854" t="n">
        <v>0</v>
      </c>
      <c r="M854" t="n">
        <v>0</v>
      </c>
      <c r="N854" t="n">
        <v>0</v>
      </c>
      <c r="O854" t="n">
        <v>0</v>
      </c>
      <c r="P854" t="n">
        <v>0</v>
      </c>
      <c r="Q854" t="n">
        <v>0</v>
      </c>
      <c r="R854" s="2" t="inlineStr"/>
    </row>
    <row r="855" ht="15" customHeight="1">
      <c r="A855" t="inlineStr">
        <is>
          <t>A 21493-2024</t>
        </is>
      </c>
      <c r="B855" s="1" t="n">
        <v>45441</v>
      </c>
      <c r="C855" s="1" t="n">
        <v>45749</v>
      </c>
      <c r="D855" t="inlineStr">
        <is>
          <t>GOTLANDS LÄN</t>
        </is>
      </c>
      <c r="E855" t="inlineStr">
        <is>
          <t>GOTLAND</t>
        </is>
      </c>
      <c r="G855" t="n">
        <v>6.4</v>
      </c>
      <c r="H855" t="n">
        <v>0</v>
      </c>
      <c r="I855" t="n">
        <v>0</v>
      </c>
      <c r="J855" t="n">
        <v>0</v>
      </c>
      <c r="K855" t="n">
        <v>0</v>
      </c>
      <c r="L855" t="n">
        <v>0</v>
      </c>
      <c r="M855" t="n">
        <v>0</v>
      </c>
      <c r="N855" t="n">
        <v>0</v>
      </c>
      <c r="O855" t="n">
        <v>0</v>
      </c>
      <c r="P855" t="n">
        <v>0</v>
      </c>
      <c r="Q855" t="n">
        <v>0</v>
      </c>
      <c r="R855" s="2" t="inlineStr"/>
    </row>
    <row r="856" ht="15" customHeight="1">
      <c r="A856" t="inlineStr">
        <is>
          <t>A 21500-2024</t>
        </is>
      </c>
      <c r="B856" s="1" t="n">
        <v>45441</v>
      </c>
      <c r="C856" s="1" t="n">
        <v>45749</v>
      </c>
      <c r="D856" t="inlineStr">
        <is>
          <t>GOTLANDS LÄN</t>
        </is>
      </c>
      <c r="E856" t="inlineStr">
        <is>
          <t>GOTLAND</t>
        </is>
      </c>
      <c r="G856" t="n">
        <v>0.9</v>
      </c>
      <c r="H856" t="n">
        <v>0</v>
      </c>
      <c r="I856" t="n">
        <v>0</v>
      </c>
      <c r="J856" t="n">
        <v>0</v>
      </c>
      <c r="K856" t="n">
        <v>0</v>
      </c>
      <c r="L856" t="n">
        <v>0</v>
      </c>
      <c r="M856" t="n">
        <v>0</v>
      </c>
      <c r="N856" t="n">
        <v>0</v>
      </c>
      <c r="O856" t="n">
        <v>0</v>
      </c>
      <c r="P856" t="n">
        <v>0</v>
      </c>
      <c r="Q856" t="n">
        <v>0</v>
      </c>
      <c r="R856" s="2" t="inlineStr"/>
    </row>
    <row r="857" ht="15" customHeight="1">
      <c r="A857" t="inlineStr">
        <is>
          <t>A 21817-2024</t>
        </is>
      </c>
      <c r="B857" s="1" t="n">
        <v>45442</v>
      </c>
      <c r="C857" s="1" t="n">
        <v>45749</v>
      </c>
      <c r="D857" t="inlineStr">
        <is>
          <t>GOTLANDS LÄN</t>
        </is>
      </c>
      <c r="E857" t="inlineStr">
        <is>
          <t>GOTLAND</t>
        </is>
      </c>
      <c r="G857" t="n">
        <v>3.7</v>
      </c>
      <c r="H857" t="n">
        <v>0</v>
      </c>
      <c r="I857" t="n">
        <v>0</v>
      </c>
      <c r="J857" t="n">
        <v>0</v>
      </c>
      <c r="K857" t="n">
        <v>0</v>
      </c>
      <c r="L857" t="n">
        <v>0</v>
      </c>
      <c r="M857" t="n">
        <v>0</v>
      </c>
      <c r="N857" t="n">
        <v>0</v>
      </c>
      <c r="O857" t="n">
        <v>0</v>
      </c>
      <c r="P857" t="n">
        <v>0</v>
      </c>
      <c r="Q857" t="n">
        <v>0</v>
      </c>
      <c r="R857" s="2" t="inlineStr"/>
    </row>
    <row r="858" ht="15" customHeight="1">
      <c r="A858" t="inlineStr">
        <is>
          <t>A 21792-2024</t>
        </is>
      </c>
      <c r="B858" s="1" t="n">
        <v>45442</v>
      </c>
      <c r="C858" s="1" t="n">
        <v>45749</v>
      </c>
      <c r="D858" t="inlineStr">
        <is>
          <t>GOTLANDS LÄN</t>
        </is>
      </c>
      <c r="E858" t="inlineStr">
        <is>
          <t>GOTLAND</t>
        </is>
      </c>
      <c r="G858" t="n">
        <v>1</v>
      </c>
      <c r="H858" t="n">
        <v>0</v>
      </c>
      <c r="I858" t="n">
        <v>0</v>
      </c>
      <c r="J858" t="n">
        <v>0</v>
      </c>
      <c r="K858" t="n">
        <v>0</v>
      </c>
      <c r="L858" t="n">
        <v>0</v>
      </c>
      <c r="M858" t="n">
        <v>0</v>
      </c>
      <c r="N858" t="n">
        <v>0</v>
      </c>
      <c r="O858" t="n">
        <v>0</v>
      </c>
      <c r="P858" t="n">
        <v>0</v>
      </c>
      <c r="Q858" t="n">
        <v>0</v>
      </c>
      <c r="R858" s="2" t="inlineStr"/>
    </row>
    <row r="859" ht="15" customHeight="1">
      <c r="A859" t="inlineStr">
        <is>
          <t>A 22031-2024</t>
        </is>
      </c>
      <c r="B859" s="1" t="n">
        <v>45443</v>
      </c>
      <c r="C859" s="1" t="n">
        <v>45749</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22860-2024</t>
        </is>
      </c>
      <c r="B860" s="1" t="n">
        <v>45448</v>
      </c>
      <c r="C860" s="1" t="n">
        <v>45749</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22851-2024</t>
        </is>
      </c>
      <c r="B861" s="1" t="n">
        <v>45448</v>
      </c>
      <c r="C861" s="1" t="n">
        <v>45749</v>
      </c>
      <c r="D861" t="inlineStr">
        <is>
          <t>GOTLANDS LÄN</t>
        </is>
      </c>
      <c r="E861" t="inlineStr">
        <is>
          <t>GOTLAND</t>
        </is>
      </c>
      <c r="G861" t="n">
        <v>5.2</v>
      </c>
      <c r="H861" t="n">
        <v>0</v>
      </c>
      <c r="I861" t="n">
        <v>0</v>
      </c>
      <c r="J861" t="n">
        <v>0</v>
      </c>
      <c r="K861" t="n">
        <v>0</v>
      </c>
      <c r="L861" t="n">
        <v>0</v>
      </c>
      <c r="M861" t="n">
        <v>0</v>
      </c>
      <c r="N861" t="n">
        <v>0</v>
      </c>
      <c r="O861" t="n">
        <v>0</v>
      </c>
      <c r="P861" t="n">
        <v>0</v>
      </c>
      <c r="Q861" t="n">
        <v>0</v>
      </c>
      <c r="R861" s="2" t="inlineStr"/>
    </row>
    <row r="862" ht="15" customHeight="1">
      <c r="A862" t="inlineStr">
        <is>
          <t>A 22883-2024</t>
        </is>
      </c>
      <c r="B862" s="1" t="n">
        <v>45448</v>
      </c>
      <c r="C862" s="1" t="n">
        <v>45749</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23518-2024</t>
        </is>
      </c>
      <c r="B863" s="1" t="n">
        <v>45453</v>
      </c>
      <c r="C863" s="1" t="n">
        <v>45749</v>
      </c>
      <c r="D863" t="inlineStr">
        <is>
          <t>GOTLANDS LÄN</t>
        </is>
      </c>
      <c r="E863" t="inlineStr">
        <is>
          <t>GOTLAND</t>
        </is>
      </c>
      <c r="G863" t="n">
        <v>1.9</v>
      </c>
      <c r="H863" t="n">
        <v>0</v>
      </c>
      <c r="I863" t="n">
        <v>0</v>
      </c>
      <c r="J863" t="n">
        <v>0</v>
      </c>
      <c r="K863" t="n">
        <v>0</v>
      </c>
      <c r="L863" t="n">
        <v>0</v>
      </c>
      <c r="M863" t="n">
        <v>0</v>
      </c>
      <c r="N863" t="n">
        <v>0</v>
      </c>
      <c r="O863" t="n">
        <v>0</v>
      </c>
      <c r="P863" t="n">
        <v>0</v>
      </c>
      <c r="Q863" t="n">
        <v>0</v>
      </c>
      <c r="R863" s="2" t="inlineStr"/>
    </row>
    <row r="864" ht="15" customHeight="1">
      <c r="A864" t="inlineStr">
        <is>
          <t>A 23658-2024</t>
        </is>
      </c>
      <c r="B864" s="1" t="n">
        <v>45454</v>
      </c>
      <c r="C864" s="1" t="n">
        <v>45749</v>
      </c>
      <c r="D864" t="inlineStr">
        <is>
          <t>GOTLANDS LÄN</t>
        </is>
      </c>
      <c r="E864" t="inlineStr">
        <is>
          <t>GOTLAND</t>
        </is>
      </c>
      <c r="G864" t="n">
        <v>4.8</v>
      </c>
      <c r="H864" t="n">
        <v>0</v>
      </c>
      <c r="I864" t="n">
        <v>0</v>
      </c>
      <c r="J864" t="n">
        <v>0</v>
      </c>
      <c r="K864" t="n">
        <v>0</v>
      </c>
      <c r="L864" t="n">
        <v>0</v>
      </c>
      <c r="M864" t="n">
        <v>0</v>
      </c>
      <c r="N864" t="n">
        <v>0</v>
      </c>
      <c r="O864" t="n">
        <v>0</v>
      </c>
      <c r="P864" t="n">
        <v>0</v>
      </c>
      <c r="Q864" t="n">
        <v>0</v>
      </c>
      <c r="R864" s="2" t="inlineStr"/>
    </row>
    <row r="865" ht="15" customHeight="1">
      <c r="A865" t="inlineStr">
        <is>
          <t>A 23617-2024</t>
        </is>
      </c>
      <c r="B865" s="1" t="n">
        <v>45454</v>
      </c>
      <c r="C865" s="1" t="n">
        <v>45749</v>
      </c>
      <c r="D865" t="inlineStr">
        <is>
          <t>GOTLANDS LÄN</t>
        </is>
      </c>
      <c r="E865" t="inlineStr">
        <is>
          <t>GOTLAND</t>
        </is>
      </c>
      <c r="G865" t="n">
        <v>2</v>
      </c>
      <c r="H865" t="n">
        <v>0</v>
      </c>
      <c r="I865" t="n">
        <v>0</v>
      </c>
      <c r="J865" t="n">
        <v>0</v>
      </c>
      <c r="K865" t="n">
        <v>0</v>
      </c>
      <c r="L865" t="n">
        <v>0</v>
      </c>
      <c r="M865" t="n">
        <v>0</v>
      </c>
      <c r="N865" t="n">
        <v>0</v>
      </c>
      <c r="O865" t="n">
        <v>0</v>
      </c>
      <c r="P865" t="n">
        <v>0</v>
      </c>
      <c r="Q865" t="n">
        <v>0</v>
      </c>
      <c r="R865" s="2" t="inlineStr"/>
    </row>
    <row r="866" ht="15" customHeight="1">
      <c r="A866" t="inlineStr">
        <is>
          <t>A 24358-2024</t>
        </is>
      </c>
      <c r="B866" s="1" t="n">
        <v>45457</v>
      </c>
      <c r="C866" s="1" t="n">
        <v>45749</v>
      </c>
      <c r="D866" t="inlineStr">
        <is>
          <t>GOTLANDS LÄN</t>
        </is>
      </c>
      <c r="E866" t="inlineStr">
        <is>
          <t>GOTLAND</t>
        </is>
      </c>
      <c r="G866" t="n">
        <v>1.1</v>
      </c>
      <c r="H866" t="n">
        <v>0</v>
      </c>
      <c r="I866" t="n">
        <v>0</v>
      </c>
      <c r="J866" t="n">
        <v>0</v>
      </c>
      <c r="K866" t="n">
        <v>0</v>
      </c>
      <c r="L866" t="n">
        <v>0</v>
      </c>
      <c r="M866" t="n">
        <v>0</v>
      </c>
      <c r="N866" t="n">
        <v>0</v>
      </c>
      <c r="O866" t="n">
        <v>0</v>
      </c>
      <c r="P866" t="n">
        <v>0</v>
      </c>
      <c r="Q866" t="n">
        <v>0</v>
      </c>
      <c r="R866" s="2" t="inlineStr"/>
    </row>
    <row r="867" ht="15" customHeight="1">
      <c r="A867" t="inlineStr">
        <is>
          <t>A 24746-2024</t>
        </is>
      </c>
      <c r="B867" s="1" t="n">
        <v>45460</v>
      </c>
      <c r="C867" s="1" t="n">
        <v>45749</v>
      </c>
      <c r="D867" t="inlineStr">
        <is>
          <t>GOTLANDS LÄN</t>
        </is>
      </c>
      <c r="E867" t="inlineStr">
        <is>
          <t>GOTLAND</t>
        </is>
      </c>
      <c r="G867" t="n">
        <v>1.4</v>
      </c>
      <c r="H867" t="n">
        <v>0</v>
      </c>
      <c r="I867" t="n">
        <v>0</v>
      </c>
      <c r="J867" t="n">
        <v>0</v>
      </c>
      <c r="K867" t="n">
        <v>0</v>
      </c>
      <c r="L867" t="n">
        <v>0</v>
      </c>
      <c r="M867" t="n">
        <v>0</v>
      </c>
      <c r="N867" t="n">
        <v>0</v>
      </c>
      <c r="O867" t="n">
        <v>0</v>
      </c>
      <c r="P867" t="n">
        <v>0</v>
      </c>
      <c r="Q867" t="n">
        <v>0</v>
      </c>
      <c r="R867" s="2" t="inlineStr"/>
    </row>
    <row r="868" ht="15" customHeight="1">
      <c r="A868" t="inlineStr">
        <is>
          <t>A 24825-2024</t>
        </is>
      </c>
      <c r="B868" s="1" t="n">
        <v>45461</v>
      </c>
      <c r="C868" s="1" t="n">
        <v>45749</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25463-2024</t>
        </is>
      </c>
      <c r="B869" s="1" t="n">
        <v>45463</v>
      </c>
      <c r="C869" s="1" t="n">
        <v>45749</v>
      </c>
      <c r="D869" t="inlineStr">
        <is>
          <t>GOTLANDS LÄN</t>
        </is>
      </c>
      <c r="E869" t="inlineStr">
        <is>
          <t>GOTLAND</t>
        </is>
      </c>
      <c r="G869" t="n">
        <v>17.3</v>
      </c>
      <c r="H869" t="n">
        <v>0</v>
      </c>
      <c r="I869" t="n">
        <v>0</v>
      </c>
      <c r="J869" t="n">
        <v>0</v>
      </c>
      <c r="K869" t="n">
        <v>0</v>
      </c>
      <c r="L869" t="n">
        <v>0</v>
      </c>
      <c r="M869" t="n">
        <v>0</v>
      </c>
      <c r="N869" t="n">
        <v>0</v>
      </c>
      <c r="O869" t="n">
        <v>0</v>
      </c>
      <c r="P869" t="n">
        <v>0</v>
      </c>
      <c r="Q869" t="n">
        <v>0</v>
      </c>
      <c r="R869" s="2" t="inlineStr"/>
    </row>
    <row r="870" ht="15" customHeight="1">
      <c r="A870" t="inlineStr">
        <is>
          <t>A 25739-2024</t>
        </is>
      </c>
      <c r="B870" s="1" t="n">
        <v>45465</v>
      </c>
      <c r="C870" s="1" t="n">
        <v>45749</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25740-2024</t>
        </is>
      </c>
      <c r="B871" s="1" t="n">
        <v>45465</v>
      </c>
      <c r="C871" s="1" t="n">
        <v>45749</v>
      </c>
      <c r="D871" t="inlineStr">
        <is>
          <t>GOTLANDS LÄN</t>
        </is>
      </c>
      <c r="E871" t="inlineStr">
        <is>
          <t>GOTLAND</t>
        </is>
      </c>
      <c r="G871" t="n">
        <v>2.7</v>
      </c>
      <c r="H871" t="n">
        <v>0</v>
      </c>
      <c r="I871" t="n">
        <v>0</v>
      </c>
      <c r="J871" t="n">
        <v>0</v>
      </c>
      <c r="K871" t="n">
        <v>0</v>
      </c>
      <c r="L871" t="n">
        <v>0</v>
      </c>
      <c r="M871" t="n">
        <v>0</v>
      </c>
      <c r="N871" t="n">
        <v>0</v>
      </c>
      <c r="O871" t="n">
        <v>0</v>
      </c>
      <c r="P871" t="n">
        <v>0</v>
      </c>
      <c r="Q871" t="n">
        <v>0</v>
      </c>
      <c r="R871" s="2" t="inlineStr"/>
    </row>
    <row r="872" ht="15" customHeight="1">
      <c r="A872" t="inlineStr">
        <is>
          <t>A 26221-2024</t>
        </is>
      </c>
      <c r="B872" s="1" t="n">
        <v>45468</v>
      </c>
      <c r="C872" s="1" t="n">
        <v>45749</v>
      </c>
      <c r="D872" t="inlineStr">
        <is>
          <t>GOTLANDS LÄN</t>
        </is>
      </c>
      <c r="E872" t="inlineStr">
        <is>
          <t>GOTLAND</t>
        </is>
      </c>
      <c r="G872" t="n">
        <v>2.9</v>
      </c>
      <c r="H872" t="n">
        <v>0</v>
      </c>
      <c r="I872" t="n">
        <v>0</v>
      </c>
      <c r="J872" t="n">
        <v>0</v>
      </c>
      <c r="K872" t="n">
        <v>0</v>
      </c>
      <c r="L872" t="n">
        <v>0</v>
      </c>
      <c r="M872" t="n">
        <v>0</v>
      </c>
      <c r="N872" t="n">
        <v>0</v>
      </c>
      <c r="O872" t="n">
        <v>0</v>
      </c>
      <c r="P872" t="n">
        <v>0</v>
      </c>
      <c r="Q872" t="n">
        <v>0</v>
      </c>
      <c r="R872" s="2" t="inlineStr"/>
    </row>
    <row r="873" ht="15" customHeight="1">
      <c r="A873" t="inlineStr">
        <is>
          <t>A 26194-2024</t>
        </is>
      </c>
      <c r="B873" s="1" t="n">
        <v>45468</v>
      </c>
      <c r="C873" s="1" t="n">
        <v>45749</v>
      </c>
      <c r="D873" t="inlineStr">
        <is>
          <t>GOTLANDS LÄN</t>
        </is>
      </c>
      <c r="E873" t="inlineStr">
        <is>
          <t>GOTLAND</t>
        </is>
      </c>
      <c r="G873" t="n">
        <v>3.6</v>
      </c>
      <c r="H873" t="n">
        <v>0</v>
      </c>
      <c r="I873" t="n">
        <v>0</v>
      </c>
      <c r="J873" t="n">
        <v>0</v>
      </c>
      <c r="K873" t="n">
        <v>0</v>
      </c>
      <c r="L873" t="n">
        <v>0</v>
      </c>
      <c r="M873" t="n">
        <v>0</v>
      </c>
      <c r="N873" t="n">
        <v>0</v>
      </c>
      <c r="O873" t="n">
        <v>0</v>
      </c>
      <c r="P873" t="n">
        <v>0</v>
      </c>
      <c r="Q873" t="n">
        <v>0</v>
      </c>
      <c r="R873" s="2" t="inlineStr"/>
    </row>
    <row r="874" ht="15" customHeight="1">
      <c r="A874" t="inlineStr">
        <is>
          <t>A 26206-2024</t>
        </is>
      </c>
      <c r="B874" s="1" t="n">
        <v>45468</v>
      </c>
      <c r="C874" s="1" t="n">
        <v>45749</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26110-2024</t>
        </is>
      </c>
      <c r="B875" s="1" t="n">
        <v>45468</v>
      </c>
      <c r="C875" s="1" t="n">
        <v>45749</v>
      </c>
      <c r="D875" t="inlineStr">
        <is>
          <t>GOTLANDS LÄN</t>
        </is>
      </c>
      <c r="E875" t="inlineStr">
        <is>
          <t>GOTLAND</t>
        </is>
      </c>
      <c r="G875" t="n">
        <v>6.6</v>
      </c>
      <c r="H875" t="n">
        <v>0</v>
      </c>
      <c r="I875" t="n">
        <v>0</v>
      </c>
      <c r="J875" t="n">
        <v>0</v>
      </c>
      <c r="K875" t="n">
        <v>0</v>
      </c>
      <c r="L875" t="n">
        <v>0</v>
      </c>
      <c r="M875" t="n">
        <v>0</v>
      </c>
      <c r="N875" t="n">
        <v>0</v>
      </c>
      <c r="O875" t="n">
        <v>0</v>
      </c>
      <c r="P875" t="n">
        <v>0</v>
      </c>
      <c r="Q875" t="n">
        <v>0</v>
      </c>
      <c r="R875" s="2" t="inlineStr"/>
    </row>
    <row r="876" ht="15" customHeight="1">
      <c r="A876" t="inlineStr">
        <is>
          <t>A 26891-2024</t>
        </is>
      </c>
      <c r="B876" s="1" t="n">
        <v>45470</v>
      </c>
      <c r="C876" s="1" t="n">
        <v>45749</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27850-2024</t>
        </is>
      </c>
      <c r="B877" s="1" t="n">
        <v>45475</v>
      </c>
      <c r="C877" s="1" t="n">
        <v>45749</v>
      </c>
      <c r="D877" t="inlineStr">
        <is>
          <t>GOTLANDS LÄN</t>
        </is>
      </c>
      <c r="E877" t="inlineStr">
        <is>
          <t>GOTLAND</t>
        </is>
      </c>
      <c r="G877" t="n">
        <v>4.1</v>
      </c>
      <c r="H877" t="n">
        <v>0</v>
      </c>
      <c r="I877" t="n">
        <v>0</v>
      </c>
      <c r="J877" t="n">
        <v>0</v>
      </c>
      <c r="K877" t="n">
        <v>0</v>
      </c>
      <c r="L877" t="n">
        <v>0</v>
      </c>
      <c r="M877" t="n">
        <v>0</v>
      </c>
      <c r="N877" t="n">
        <v>0</v>
      </c>
      <c r="O877" t="n">
        <v>0</v>
      </c>
      <c r="P877" t="n">
        <v>0</v>
      </c>
      <c r="Q877" t="n">
        <v>0</v>
      </c>
      <c r="R877" s="2" t="inlineStr"/>
    </row>
    <row r="878" ht="15" customHeight="1">
      <c r="A878" t="inlineStr">
        <is>
          <t>A 27694-2024</t>
        </is>
      </c>
      <c r="B878" s="1" t="n">
        <v>45475</v>
      </c>
      <c r="C878" s="1" t="n">
        <v>45749</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27696-2024</t>
        </is>
      </c>
      <c r="B879" s="1" t="n">
        <v>45475</v>
      </c>
      <c r="C879" s="1" t="n">
        <v>45749</v>
      </c>
      <c r="D879" t="inlineStr">
        <is>
          <t>GOTLANDS LÄN</t>
        </is>
      </c>
      <c r="E879" t="inlineStr">
        <is>
          <t>GOTLAND</t>
        </is>
      </c>
      <c r="G879" t="n">
        <v>2.1</v>
      </c>
      <c r="H879" t="n">
        <v>0</v>
      </c>
      <c r="I879" t="n">
        <v>0</v>
      </c>
      <c r="J879" t="n">
        <v>0</v>
      </c>
      <c r="K879" t="n">
        <v>0</v>
      </c>
      <c r="L879" t="n">
        <v>0</v>
      </c>
      <c r="M879" t="n">
        <v>0</v>
      </c>
      <c r="N879" t="n">
        <v>0</v>
      </c>
      <c r="O879" t="n">
        <v>0</v>
      </c>
      <c r="P879" t="n">
        <v>0</v>
      </c>
      <c r="Q879" t="n">
        <v>0</v>
      </c>
      <c r="R879" s="2" t="inlineStr"/>
    </row>
    <row r="880" ht="15" customHeight="1">
      <c r="A880" t="inlineStr">
        <is>
          <t>A 28285-2024</t>
        </is>
      </c>
      <c r="B880" s="1" t="n">
        <v>45477</v>
      </c>
      <c r="C880" s="1" t="n">
        <v>45749</v>
      </c>
      <c r="D880" t="inlineStr">
        <is>
          <t>GOTLANDS LÄN</t>
        </is>
      </c>
      <c r="E880" t="inlineStr">
        <is>
          <t>GOTLAND</t>
        </is>
      </c>
      <c r="G880" t="n">
        <v>1.6</v>
      </c>
      <c r="H880" t="n">
        <v>0</v>
      </c>
      <c r="I880" t="n">
        <v>0</v>
      </c>
      <c r="J880" t="n">
        <v>0</v>
      </c>
      <c r="K880" t="n">
        <v>0</v>
      </c>
      <c r="L880" t="n">
        <v>0</v>
      </c>
      <c r="M880" t="n">
        <v>0</v>
      </c>
      <c r="N880" t="n">
        <v>0</v>
      </c>
      <c r="O880" t="n">
        <v>0</v>
      </c>
      <c r="P880" t="n">
        <v>0</v>
      </c>
      <c r="Q880" t="n">
        <v>0</v>
      </c>
      <c r="R880" s="2" t="inlineStr"/>
    </row>
    <row r="881" ht="15" customHeight="1">
      <c r="A881" t="inlineStr">
        <is>
          <t>A 28309-2024</t>
        </is>
      </c>
      <c r="B881" s="1" t="n">
        <v>45477</v>
      </c>
      <c r="C881" s="1" t="n">
        <v>45749</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28328-2024</t>
        </is>
      </c>
      <c r="B882" s="1" t="n">
        <v>45477</v>
      </c>
      <c r="C882" s="1" t="n">
        <v>45749</v>
      </c>
      <c r="D882" t="inlineStr">
        <is>
          <t>GOTLANDS LÄN</t>
        </is>
      </c>
      <c r="E882" t="inlineStr">
        <is>
          <t>GOTLAND</t>
        </is>
      </c>
      <c r="G882" t="n">
        <v>1.7</v>
      </c>
      <c r="H882" t="n">
        <v>0</v>
      </c>
      <c r="I882" t="n">
        <v>0</v>
      </c>
      <c r="J882" t="n">
        <v>0</v>
      </c>
      <c r="K882" t="n">
        <v>0</v>
      </c>
      <c r="L882" t="n">
        <v>0</v>
      </c>
      <c r="M882" t="n">
        <v>0</v>
      </c>
      <c r="N882" t="n">
        <v>0</v>
      </c>
      <c r="O882" t="n">
        <v>0</v>
      </c>
      <c r="P882" t="n">
        <v>0</v>
      </c>
      <c r="Q882" t="n">
        <v>0</v>
      </c>
      <c r="R882" s="2" t="inlineStr"/>
    </row>
    <row r="883" ht="15" customHeight="1">
      <c r="A883" t="inlineStr">
        <is>
          <t>A 30365-2024</t>
        </is>
      </c>
      <c r="B883" s="1" t="n">
        <v>45491</v>
      </c>
      <c r="C883" s="1" t="n">
        <v>45749</v>
      </c>
      <c r="D883" t="inlineStr">
        <is>
          <t>GOTLANDS LÄN</t>
        </is>
      </c>
      <c r="E883" t="inlineStr">
        <is>
          <t>GOTLAND</t>
        </is>
      </c>
      <c r="G883" t="n">
        <v>0.5</v>
      </c>
      <c r="H883" t="n">
        <v>0</v>
      </c>
      <c r="I883" t="n">
        <v>0</v>
      </c>
      <c r="J883" t="n">
        <v>0</v>
      </c>
      <c r="K883" t="n">
        <v>0</v>
      </c>
      <c r="L883" t="n">
        <v>0</v>
      </c>
      <c r="M883" t="n">
        <v>0</v>
      </c>
      <c r="N883" t="n">
        <v>0</v>
      </c>
      <c r="O883" t="n">
        <v>0</v>
      </c>
      <c r="P883" t="n">
        <v>0</v>
      </c>
      <c r="Q883" t="n">
        <v>0</v>
      </c>
      <c r="R883" s="2" t="inlineStr"/>
    </row>
    <row r="884" ht="15" customHeight="1">
      <c r="A884" t="inlineStr">
        <is>
          <t>A 30595-2024</t>
        </is>
      </c>
      <c r="B884" s="1" t="n">
        <v>45493</v>
      </c>
      <c r="C884" s="1" t="n">
        <v>45749</v>
      </c>
      <c r="D884" t="inlineStr">
        <is>
          <t>GOTLANDS LÄN</t>
        </is>
      </c>
      <c r="E884" t="inlineStr">
        <is>
          <t>GOTLAND</t>
        </is>
      </c>
      <c r="G884" t="n">
        <v>2.5</v>
      </c>
      <c r="H884" t="n">
        <v>0</v>
      </c>
      <c r="I884" t="n">
        <v>0</v>
      </c>
      <c r="J884" t="n">
        <v>0</v>
      </c>
      <c r="K884" t="n">
        <v>0</v>
      </c>
      <c r="L884" t="n">
        <v>0</v>
      </c>
      <c r="M884" t="n">
        <v>0</v>
      </c>
      <c r="N884" t="n">
        <v>0</v>
      </c>
      <c r="O884" t="n">
        <v>0</v>
      </c>
      <c r="P884" t="n">
        <v>0</v>
      </c>
      <c r="Q884" t="n">
        <v>0</v>
      </c>
      <c r="R884" s="2" t="inlineStr"/>
    </row>
    <row r="885" ht="15" customHeight="1">
      <c r="A885" t="inlineStr">
        <is>
          <t>A 30596-2024</t>
        </is>
      </c>
      <c r="B885" s="1" t="n">
        <v>45493</v>
      </c>
      <c r="C885" s="1" t="n">
        <v>45749</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30597-2024</t>
        </is>
      </c>
      <c r="B886" s="1" t="n">
        <v>45493</v>
      </c>
      <c r="C886" s="1" t="n">
        <v>45749</v>
      </c>
      <c r="D886" t="inlineStr">
        <is>
          <t>GOTLANDS LÄN</t>
        </is>
      </c>
      <c r="E886" t="inlineStr">
        <is>
          <t>GOTLAND</t>
        </is>
      </c>
      <c r="G886" t="n">
        <v>1.9</v>
      </c>
      <c r="H886" t="n">
        <v>0</v>
      </c>
      <c r="I886" t="n">
        <v>0</v>
      </c>
      <c r="J886" t="n">
        <v>0</v>
      </c>
      <c r="K886" t="n">
        <v>0</v>
      </c>
      <c r="L886" t="n">
        <v>0</v>
      </c>
      <c r="M886" t="n">
        <v>0</v>
      </c>
      <c r="N886" t="n">
        <v>0</v>
      </c>
      <c r="O886" t="n">
        <v>0</v>
      </c>
      <c r="P886" t="n">
        <v>0</v>
      </c>
      <c r="Q886" t="n">
        <v>0</v>
      </c>
      <c r="R886" s="2" t="inlineStr"/>
    </row>
    <row r="887" ht="15" customHeight="1">
      <c r="A887" t="inlineStr">
        <is>
          <t>A 30956-2024</t>
        </is>
      </c>
      <c r="B887" s="1" t="n">
        <v>45499</v>
      </c>
      <c r="C887" s="1" t="n">
        <v>45749</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30954-2024</t>
        </is>
      </c>
      <c r="B888" s="1" t="n">
        <v>45499</v>
      </c>
      <c r="C888" s="1" t="n">
        <v>45749</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31352-2024</t>
        </is>
      </c>
      <c r="B889" s="1" t="n">
        <v>45505</v>
      </c>
      <c r="C889" s="1" t="n">
        <v>45749</v>
      </c>
      <c r="D889" t="inlineStr">
        <is>
          <t>GOTLANDS LÄN</t>
        </is>
      </c>
      <c r="E889" t="inlineStr">
        <is>
          <t>GOTLAND</t>
        </is>
      </c>
      <c r="G889" t="n">
        <v>5.4</v>
      </c>
      <c r="H889" t="n">
        <v>0</v>
      </c>
      <c r="I889" t="n">
        <v>0</v>
      </c>
      <c r="J889" t="n">
        <v>0</v>
      </c>
      <c r="K889" t="n">
        <v>0</v>
      </c>
      <c r="L889" t="n">
        <v>0</v>
      </c>
      <c r="M889" t="n">
        <v>0</v>
      </c>
      <c r="N889" t="n">
        <v>0</v>
      </c>
      <c r="O889" t="n">
        <v>0</v>
      </c>
      <c r="P889" t="n">
        <v>0</v>
      </c>
      <c r="Q889" t="n">
        <v>0</v>
      </c>
      <c r="R889" s="2" t="inlineStr"/>
    </row>
    <row r="890" ht="15" customHeight="1">
      <c r="A890" t="inlineStr">
        <is>
          <t>A 31401-2024</t>
        </is>
      </c>
      <c r="B890" s="1" t="n">
        <v>45505</v>
      </c>
      <c r="C890" s="1" t="n">
        <v>45749</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31802-2024</t>
        </is>
      </c>
      <c r="B891" s="1" t="n">
        <v>45509</v>
      </c>
      <c r="C891" s="1" t="n">
        <v>45749</v>
      </c>
      <c r="D891" t="inlineStr">
        <is>
          <t>GOTLANDS LÄN</t>
        </is>
      </c>
      <c r="E891" t="inlineStr">
        <is>
          <t>GOTLAND</t>
        </is>
      </c>
      <c r="G891" t="n">
        <v>2.8</v>
      </c>
      <c r="H891" t="n">
        <v>0</v>
      </c>
      <c r="I891" t="n">
        <v>0</v>
      </c>
      <c r="J891" t="n">
        <v>0</v>
      </c>
      <c r="K891" t="n">
        <v>0</v>
      </c>
      <c r="L891" t="n">
        <v>0</v>
      </c>
      <c r="M891" t="n">
        <v>0</v>
      </c>
      <c r="N891" t="n">
        <v>0</v>
      </c>
      <c r="O891" t="n">
        <v>0</v>
      </c>
      <c r="P891" t="n">
        <v>0</v>
      </c>
      <c r="Q891" t="n">
        <v>0</v>
      </c>
      <c r="R891" s="2" t="inlineStr"/>
    </row>
    <row r="892" ht="15" customHeight="1">
      <c r="A892" t="inlineStr">
        <is>
          <t>A 32322-2024</t>
        </is>
      </c>
      <c r="B892" s="1" t="n">
        <v>45512</v>
      </c>
      <c r="C892" s="1" t="n">
        <v>45749</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32330-2024</t>
        </is>
      </c>
      <c r="B893" s="1" t="n">
        <v>45512</v>
      </c>
      <c r="C893" s="1" t="n">
        <v>45749</v>
      </c>
      <c r="D893" t="inlineStr">
        <is>
          <t>GOTLANDS LÄN</t>
        </is>
      </c>
      <c r="E893" t="inlineStr">
        <is>
          <t>GOTLAND</t>
        </is>
      </c>
      <c r="G893" t="n">
        <v>2.6</v>
      </c>
      <c r="H893" t="n">
        <v>0</v>
      </c>
      <c r="I893" t="n">
        <v>0</v>
      </c>
      <c r="J893" t="n">
        <v>0</v>
      </c>
      <c r="K893" t="n">
        <v>0</v>
      </c>
      <c r="L893" t="n">
        <v>0</v>
      </c>
      <c r="M893" t="n">
        <v>0</v>
      </c>
      <c r="N893" t="n">
        <v>0</v>
      </c>
      <c r="O893" t="n">
        <v>0</v>
      </c>
      <c r="P893" t="n">
        <v>0</v>
      </c>
      <c r="Q893" t="n">
        <v>0</v>
      </c>
      <c r="R893" s="2" t="inlineStr"/>
    </row>
    <row r="894" ht="15" customHeight="1">
      <c r="A894" t="inlineStr">
        <is>
          <t>A 32669-2024</t>
        </is>
      </c>
      <c r="B894" s="1" t="n">
        <v>45514</v>
      </c>
      <c r="C894" s="1" t="n">
        <v>45749</v>
      </c>
      <c r="D894" t="inlineStr">
        <is>
          <t>GOTLANDS LÄN</t>
        </is>
      </c>
      <c r="E894" t="inlineStr">
        <is>
          <t>GOTLAND</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33518-2024</t>
        </is>
      </c>
      <c r="B895" s="1" t="n">
        <v>45519</v>
      </c>
      <c r="C895" s="1" t="n">
        <v>45749</v>
      </c>
      <c r="D895" t="inlineStr">
        <is>
          <t>GOTLANDS LÄN</t>
        </is>
      </c>
      <c r="E895" t="inlineStr">
        <is>
          <t>GOTLAND</t>
        </is>
      </c>
      <c r="G895" t="n">
        <v>7.2</v>
      </c>
      <c r="H895" t="n">
        <v>0</v>
      </c>
      <c r="I895" t="n">
        <v>0</v>
      </c>
      <c r="J895" t="n">
        <v>0</v>
      </c>
      <c r="K895" t="n">
        <v>0</v>
      </c>
      <c r="L895" t="n">
        <v>0</v>
      </c>
      <c r="M895" t="n">
        <v>0</v>
      </c>
      <c r="N895" t="n">
        <v>0</v>
      </c>
      <c r="O895" t="n">
        <v>0</v>
      </c>
      <c r="P895" t="n">
        <v>0</v>
      </c>
      <c r="Q895" t="n">
        <v>0</v>
      </c>
      <c r="R895" s="2" t="inlineStr"/>
    </row>
    <row r="896" ht="15" customHeight="1">
      <c r="A896" t="inlineStr">
        <is>
          <t>A 33853-2024</t>
        </is>
      </c>
      <c r="B896" s="1" t="n">
        <v>45520</v>
      </c>
      <c r="C896" s="1" t="n">
        <v>45749</v>
      </c>
      <c r="D896" t="inlineStr">
        <is>
          <t>GOTLANDS LÄN</t>
        </is>
      </c>
      <c r="E896" t="inlineStr">
        <is>
          <t>GOTLAND</t>
        </is>
      </c>
      <c r="G896" t="n">
        <v>3.9</v>
      </c>
      <c r="H896" t="n">
        <v>0</v>
      </c>
      <c r="I896" t="n">
        <v>0</v>
      </c>
      <c r="J896" t="n">
        <v>0</v>
      </c>
      <c r="K896" t="n">
        <v>0</v>
      </c>
      <c r="L896" t="n">
        <v>0</v>
      </c>
      <c r="M896" t="n">
        <v>0</v>
      </c>
      <c r="N896" t="n">
        <v>0</v>
      </c>
      <c r="O896" t="n">
        <v>0</v>
      </c>
      <c r="P896" t="n">
        <v>0</v>
      </c>
      <c r="Q896" t="n">
        <v>0</v>
      </c>
      <c r="R896" s="2" t="inlineStr"/>
    </row>
    <row r="897" ht="15" customHeight="1">
      <c r="A897" t="inlineStr">
        <is>
          <t>A 33876-2024</t>
        </is>
      </c>
      <c r="B897" s="1" t="n">
        <v>45521</v>
      </c>
      <c r="C897" s="1" t="n">
        <v>45749</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33928-2024</t>
        </is>
      </c>
      <c r="B898" s="1" t="n">
        <v>45523</v>
      </c>
      <c r="C898" s="1" t="n">
        <v>45749</v>
      </c>
      <c r="D898" t="inlineStr">
        <is>
          <t>GOTLANDS LÄN</t>
        </is>
      </c>
      <c r="E898" t="inlineStr">
        <is>
          <t>GOTLAND</t>
        </is>
      </c>
      <c r="G898" t="n">
        <v>0.7</v>
      </c>
      <c r="H898" t="n">
        <v>0</v>
      </c>
      <c r="I898" t="n">
        <v>0</v>
      </c>
      <c r="J898" t="n">
        <v>0</v>
      </c>
      <c r="K898" t="n">
        <v>0</v>
      </c>
      <c r="L898" t="n">
        <v>0</v>
      </c>
      <c r="M898" t="n">
        <v>0</v>
      </c>
      <c r="N898" t="n">
        <v>0</v>
      </c>
      <c r="O898" t="n">
        <v>0</v>
      </c>
      <c r="P898" t="n">
        <v>0</v>
      </c>
      <c r="Q898" t="n">
        <v>0</v>
      </c>
      <c r="R898" s="2" t="inlineStr"/>
    </row>
    <row r="899" ht="15" customHeight="1">
      <c r="A899" t="inlineStr">
        <is>
          <t>A 34167-2024</t>
        </is>
      </c>
      <c r="B899" s="1" t="n">
        <v>45524</v>
      </c>
      <c r="C899" s="1" t="n">
        <v>45749</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34157-2024</t>
        </is>
      </c>
      <c r="B900" s="1" t="n">
        <v>45524</v>
      </c>
      <c r="C900" s="1" t="n">
        <v>45749</v>
      </c>
      <c r="D900" t="inlineStr">
        <is>
          <t>GOTLANDS LÄN</t>
        </is>
      </c>
      <c r="E900" t="inlineStr">
        <is>
          <t>GOTLAND</t>
        </is>
      </c>
      <c r="G900" t="n">
        <v>3.3</v>
      </c>
      <c r="H900" t="n">
        <v>0</v>
      </c>
      <c r="I900" t="n">
        <v>0</v>
      </c>
      <c r="J900" t="n">
        <v>0</v>
      </c>
      <c r="K900" t="n">
        <v>0</v>
      </c>
      <c r="L900" t="n">
        <v>0</v>
      </c>
      <c r="M900" t="n">
        <v>0</v>
      </c>
      <c r="N900" t="n">
        <v>0</v>
      </c>
      <c r="O900" t="n">
        <v>0</v>
      </c>
      <c r="P900" t="n">
        <v>0</v>
      </c>
      <c r="Q900" t="n">
        <v>0</v>
      </c>
      <c r="R900" s="2" t="inlineStr"/>
    </row>
    <row r="901" ht="15" customHeight="1">
      <c r="A901" t="inlineStr">
        <is>
          <t>A 34142-2024</t>
        </is>
      </c>
      <c r="B901" s="1" t="n">
        <v>45524</v>
      </c>
      <c r="C901" s="1" t="n">
        <v>45749</v>
      </c>
      <c r="D901" t="inlineStr">
        <is>
          <t>GOTLANDS LÄN</t>
        </is>
      </c>
      <c r="E901" t="inlineStr">
        <is>
          <t>GOTLAND</t>
        </is>
      </c>
      <c r="G901" t="n">
        <v>6</v>
      </c>
      <c r="H901" t="n">
        <v>0</v>
      </c>
      <c r="I901" t="n">
        <v>0</v>
      </c>
      <c r="J901" t="n">
        <v>0</v>
      </c>
      <c r="K901" t="n">
        <v>0</v>
      </c>
      <c r="L901" t="n">
        <v>0</v>
      </c>
      <c r="M901" t="n">
        <v>0</v>
      </c>
      <c r="N901" t="n">
        <v>0</v>
      </c>
      <c r="O901" t="n">
        <v>0</v>
      </c>
      <c r="P901" t="n">
        <v>0</v>
      </c>
      <c r="Q901" t="n">
        <v>0</v>
      </c>
      <c r="R901" s="2" t="inlineStr"/>
    </row>
    <row r="902" ht="15" customHeight="1">
      <c r="A902" t="inlineStr">
        <is>
          <t>A 34154-2024</t>
        </is>
      </c>
      <c r="B902" s="1" t="n">
        <v>45524</v>
      </c>
      <c r="C902" s="1" t="n">
        <v>45749</v>
      </c>
      <c r="D902" t="inlineStr">
        <is>
          <t>GOTLANDS LÄN</t>
        </is>
      </c>
      <c r="E902" t="inlineStr">
        <is>
          <t>GOTLAND</t>
        </is>
      </c>
      <c r="G902" t="n">
        <v>9.9</v>
      </c>
      <c r="H902" t="n">
        <v>0</v>
      </c>
      <c r="I902" t="n">
        <v>0</v>
      </c>
      <c r="J902" t="n">
        <v>0</v>
      </c>
      <c r="K902" t="n">
        <v>0</v>
      </c>
      <c r="L902" t="n">
        <v>0</v>
      </c>
      <c r="M902" t="n">
        <v>0</v>
      </c>
      <c r="N902" t="n">
        <v>0</v>
      </c>
      <c r="O902" t="n">
        <v>0</v>
      </c>
      <c r="P902" t="n">
        <v>0</v>
      </c>
      <c r="Q902" t="n">
        <v>0</v>
      </c>
      <c r="R902" s="2" t="inlineStr"/>
    </row>
    <row r="903" ht="15" customHeight="1">
      <c r="A903" t="inlineStr">
        <is>
          <t>A 34170-2024</t>
        </is>
      </c>
      <c r="B903" s="1" t="n">
        <v>45524</v>
      </c>
      <c r="C903" s="1" t="n">
        <v>45749</v>
      </c>
      <c r="D903" t="inlineStr">
        <is>
          <t>GOTLANDS LÄN</t>
        </is>
      </c>
      <c r="E903" t="inlineStr">
        <is>
          <t>GOTLAND</t>
        </is>
      </c>
      <c r="G903" t="n">
        <v>3.2</v>
      </c>
      <c r="H903" t="n">
        <v>0</v>
      </c>
      <c r="I903" t="n">
        <v>0</v>
      </c>
      <c r="J903" t="n">
        <v>0</v>
      </c>
      <c r="K903" t="n">
        <v>0</v>
      </c>
      <c r="L903" t="n">
        <v>0</v>
      </c>
      <c r="M903" t="n">
        <v>0</v>
      </c>
      <c r="N903" t="n">
        <v>0</v>
      </c>
      <c r="O903" t="n">
        <v>0</v>
      </c>
      <c r="P903" t="n">
        <v>0</v>
      </c>
      <c r="Q903" t="n">
        <v>0</v>
      </c>
      <c r="R903" s="2" t="inlineStr"/>
    </row>
    <row r="904" ht="15" customHeight="1">
      <c r="A904" t="inlineStr">
        <is>
          <t>A 34312-2024</t>
        </is>
      </c>
      <c r="B904" s="1" t="n">
        <v>45524</v>
      </c>
      <c r="C904" s="1" t="n">
        <v>45749</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35093-2024</t>
        </is>
      </c>
      <c r="B905" s="1" t="n">
        <v>45527</v>
      </c>
      <c r="C905" s="1" t="n">
        <v>45749</v>
      </c>
      <c r="D905" t="inlineStr">
        <is>
          <t>GOTLANDS LÄN</t>
        </is>
      </c>
      <c r="E905" t="inlineStr">
        <is>
          <t>GOTLAND</t>
        </is>
      </c>
      <c r="G905" t="n">
        <v>2.4</v>
      </c>
      <c r="H905" t="n">
        <v>0</v>
      </c>
      <c r="I905" t="n">
        <v>0</v>
      </c>
      <c r="J905" t="n">
        <v>0</v>
      </c>
      <c r="K905" t="n">
        <v>0</v>
      </c>
      <c r="L905" t="n">
        <v>0</v>
      </c>
      <c r="M905" t="n">
        <v>0</v>
      </c>
      <c r="N905" t="n">
        <v>0</v>
      </c>
      <c r="O905" t="n">
        <v>0</v>
      </c>
      <c r="P905" t="n">
        <v>0</v>
      </c>
      <c r="Q905" t="n">
        <v>0</v>
      </c>
      <c r="R905" s="2" t="inlineStr"/>
    </row>
    <row r="906" ht="15" customHeight="1">
      <c r="A906" t="inlineStr">
        <is>
          <t>A 36539-2024</t>
        </is>
      </c>
      <c r="B906" s="1" t="n">
        <v>45537</v>
      </c>
      <c r="C906" s="1" t="n">
        <v>45749</v>
      </c>
      <c r="D906" t="inlineStr">
        <is>
          <t>GOTLANDS LÄN</t>
        </is>
      </c>
      <c r="E906" t="inlineStr">
        <is>
          <t>GOTLAND</t>
        </is>
      </c>
      <c r="G906" t="n">
        <v>5.9</v>
      </c>
      <c r="H906" t="n">
        <v>0</v>
      </c>
      <c r="I906" t="n">
        <v>0</v>
      </c>
      <c r="J906" t="n">
        <v>0</v>
      </c>
      <c r="K906" t="n">
        <v>0</v>
      </c>
      <c r="L906" t="n">
        <v>0</v>
      </c>
      <c r="M906" t="n">
        <v>0</v>
      </c>
      <c r="N906" t="n">
        <v>0</v>
      </c>
      <c r="O906" t="n">
        <v>0</v>
      </c>
      <c r="P906" t="n">
        <v>0</v>
      </c>
      <c r="Q906" t="n">
        <v>0</v>
      </c>
      <c r="R906" s="2" t="inlineStr"/>
    </row>
    <row r="907" ht="15" customHeight="1">
      <c r="A907" t="inlineStr">
        <is>
          <t>A 37225-2024</t>
        </is>
      </c>
      <c r="B907" s="1" t="n">
        <v>45539</v>
      </c>
      <c r="C907" s="1" t="n">
        <v>45749</v>
      </c>
      <c r="D907" t="inlineStr">
        <is>
          <t>GOTLANDS LÄN</t>
        </is>
      </c>
      <c r="E907" t="inlineStr">
        <is>
          <t>GOTLAND</t>
        </is>
      </c>
      <c r="G907" t="n">
        <v>2.9</v>
      </c>
      <c r="H907" t="n">
        <v>0</v>
      </c>
      <c r="I907" t="n">
        <v>0</v>
      </c>
      <c r="J907" t="n">
        <v>0</v>
      </c>
      <c r="K907" t="n">
        <v>0</v>
      </c>
      <c r="L907" t="n">
        <v>0</v>
      </c>
      <c r="M907" t="n">
        <v>0</v>
      </c>
      <c r="N907" t="n">
        <v>0</v>
      </c>
      <c r="O907" t="n">
        <v>0</v>
      </c>
      <c r="P907" t="n">
        <v>0</v>
      </c>
      <c r="Q907" t="n">
        <v>0</v>
      </c>
      <c r="R907" s="2" t="inlineStr"/>
    </row>
    <row r="908" ht="15" customHeight="1">
      <c r="A908" t="inlineStr">
        <is>
          <t>A 37202-2024</t>
        </is>
      </c>
      <c r="B908" s="1" t="n">
        <v>45539</v>
      </c>
      <c r="C908" s="1" t="n">
        <v>45749</v>
      </c>
      <c r="D908" t="inlineStr">
        <is>
          <t>GOTLANDS LÄN</t>
        </is>
      </c>
      <c r="E908" t="inlineStr">
        <is>
          <t>GOTLAND</t>
        </is>
      </c>
      <c r="G908" t="n">
        <v>0.3</v>
      </c>
      <c r="H908" t="n">
        <v>0</v>
      </c>
      <c r="I908" t="n">
        <v>0</v>
      </c>
      <c r="J908" t="n">
        <v>0</v>
      </c>
      <c r="K908" t="n">
        <v>0</v>
      </c>
      <c r="L908" t="n">
        <v>0</v>
      </c>
      <c r="M908" t="n">
        <v>0</v>
      </c>
      <c r="N908" t="n">
        <v>0</v>
      </c>
      <c r="O908" t="n">
        <v>0</v>
      </c>
      <c r="P908" t="n">
        <v>0</v>
      </c>
      <c r="Q908" t="n">
        <v>0</v>
      </c>
      <c r="R908" s="2" t="inlineStr"/>
    </row>
    <row r="909" ht="15" customHeight="1">
      <c r="A909" t="inlineStr">
        <is>
          <t>A 37376-2024</t>
        </is>
      </c>
      <c r="B909" s="1" t="n">
        <v>45540</v>
      </c>
      <c r="C909" s="1" t="n">
        <v>45749</v>
      </c>
      <c r="D909" t="inlineStr">
        <is>
          <t>GOTLANDS LÄN</t>
        </is>
      </c>
      <c r="E909" t="inlineStr">
        <is>
          <t>GOTLAND</t>
        </is>
      </c>
      <c r="G909" t="n">
        <v>4.9</v>
      </c>
      <c r="H909" t="n">
        <v>0</v>
      </c>
      <c r="I909" t="n">
        <v>0</v>
      </c>
      <c r="J909" t="n">
        <v>0</v>
      </c>
      <c r="K909" t="n">
        <v>0</v>
      </c>
      <c r="L909" t="n">
        <v>0</v>
      </c>
      <c r="M909" t="n">
        <v>0</v>
      </c>
      <c r="N909" t="n">
        <v>0</v>
      </c>
      <c r="O909" t="n">
        <v>0</v>
      </c>
      <c r="P909" t="n">
        <v>0</v>
      </c>
      <c r="Q909" t="n">
        <v>0</v>
      </c>
      <c r="R909" s="2" t="inlineStr"/>
    </row>
    <row r="910" ht="15" customHeight="1">
      <c r="A910" t="inlineStr">
        <is>
          <t>A 37442-2024</t>
        </is>
      </c>
      <c r="B910" s="1" t="n">
        <v>45540</v>
      </c>
      <c r="C910" s="1" t="n">
        <v>45749</v>
      </c>
      <c r="D910" t="inlineStr">
        <is>
          <t>GOTLANDS LÄN</t>
        </is>
      </c>
      <c r="E910" t="inlineStr">
        <is>
          <t>GOTLAND</t>
        </is>
      </c>
      <c r="G910" t="n">
        <v>4.3</v>
      </c>
      <c r="H910" t="n">
        <v>0</v>
      </c>
      <c r="I910" t="n">
        <v>0</v>
      </c>
      <c r="J910" t="n">
        <v>0</v>
      </c>
      <c r="K910" t="n">
        <v>0</v>
      </c>
      <c r="L910" t="n">
        <v>0</v>
      </c>
      <c r="M910" t="n">
        <v>0</v>
      </c>
      <c r="N910" t="n">
        <v>0</v>
      </c>
      <c r="O910" t="n">
        <v>0</v>
      </c>
      <c r="P910" t="n">
        <v>0</v>
      </c>
      <c r="Q910" t="n">
        <v>0</v>
      </c>
      <c r="R910" s="2" t="inlineStr"/>
    </row>
    <row r="911" ht="15" customHeight="1">
      <c r="A911" t="inlineStr">
        <is>
          <t>A 37440-2024</t>
        </is>
      </c>
      <c r="B911" s="1" t="n">
        <v>45540</v>
      </c>
      <c r="C911" s="1" t="n">
        <v>45749</v>
      </c>
      <c r="D911" t="inlineStr">
        <is>
          <t>GOTLANDS LÄN</t>
        </is>
      </c>
      <c r="E911" t="inlineStr">
        <is>
          <t>GOTLAND</t>
        </is>
      </c>
      <c r="G911" t="n">
        <v>1</v>
      </c>
      <c r="H911" t="n">
        <v>0</v>
      </c>
      <c r="I911" t="n">
        <v>0</v>
      </c>
      <c r="J911" t="n">
        <v>0</v>
      </c>
      <c r="K911" t="n">
        <v>0</v>
      </c>
      <c r="L911" t="n">
        <v>0</v>
      </c>
      <c r="M911" t="n">
        <v>0</v>
      </c>
      <c r="N911" t="n">
        <v>0</v>
      </c>
      <c r="O911" t="n">
        <v>0</v>
      </c>
      <c r="P911" t="n">
        <v>0</v>
      </c>
      <c r="Q911" t="n">
        <v>0</v>
      </c>
      <c r="R911" s="2" t="inlineStr"/>
    </row>
    <row r="912" ht="15" customHeight="1">
      <c r="A912" t="inlineStr">
        <is>
          <t>A 37728-2024</t>
        </is>
      </c>
      <c r="B912" s="1" t="n">
        <v>45541</v>
      </c>
      <c r="C912" s="1" t="n">
        <v>45749</v>
      </c>
      <c r="D912" t="inlineStr">
        <is>
          <t>GOTLANDS LÄN</t>
        </is>
      </c>
      <c r="E912" t="inlineStr">
        <is>
          <t>GOTLAND</t>
        </is>
      </c>
      <c r="G912" t="n">
        <v>0.4</v>
      </c>
      <c r="H912" t="n">
        <v>0</v>
      </c>
      <c r="I912" t="n">
        <v>0</v>
      </c>
      <c r="J912" t="n">
        <v>0</v>
      </c>
      <c r="K912" t="n">
        <v>0</v>
      </c>
      <c r="L912" t="n">
        <v>0</v>
      </c>
      <c r="M912" t="n">
        <v>0</v>
      </c>
      <c r="N912" t="n">
        <v>0</v>
      </c>
      <c r="O912" t="n">
        <v>0</v>
      </c>
      <c r="P912" t="n">
        <v>0</v>
      </c>
      <c r="Q912" t="n">
        <v>0</v>
      </c>
      <c r="R912" s="2" t="inlineStr"/>
    </row>
    <row r="913" ht="15" customHeight="1">
      <c r="A913" t="inlineStr">
        <is>
          <t>A 37808-2024</t>
        </is>
      </c>
      <c r="B913" s="1" t="n">
        <v>45543</v>
      </c>
      <c r="C913" s="1" t="n">
        <v>45749</v>
      </c>
      <c r="D913" t="inlineStr">
        <is>
          <t>GOTLANDS LÄN</t>
        </is>
      </c>
      <c r="E913" t="inlineStr">
        <is>
          <t>GOTLAND</t>
        </is>
      </c>
      <c r="G913" t="n">
        <v>2.3</v>
      </c>
      <c r="H913" t="n">
        <v>0</v>
      </c>
      <c r="I913" t="n">
        <v>0</v>
      </c>
      <c r="J913" t="n">
        <v>0</v>
      </c>
      <c r="K913" t="n">
        <v>0</v>
      </c>
      <c r="L913" t="n">
        <v>0</v>
      </c>
      <c r="M913" t="n">
        <v>0</v>
      </c>
      <c r="N913" t="n">
        <v>0</v>
      </c>
      <c r="O913" t="n">
        <v>0</v>
      </c>
      <c r="P913" t="n">
        <v>0</v>
      </c>
      <c r="Q913" t="n">
        <v>0</v>
      </c>
      <c r="R913" s="2" t="inlineStr"/>
    </row>
    <row r="914" ht="15" customHeight="1">
      <c r="A914" t="inlineStr">
        <is>
          <t>A 39311-2024</t>
        </is>
      </c>
      <c r="B914" s="1" t="n">
        <v>45551</v>
      </c>
      <c r="C914" s="1" t="n">
        <v>45749</v>
      </c>
      <c r="D914" t="inlineStr">
        <is>
          <t>GOTLANDS LÄN</t>
        </is>
      </c>
      <c r="E914" t="inlineStr">
        <is>
          <t>GOTLAND</t>
        </is>
      </c>
      <c r="G914" t="n">
        <v>2.8</v>
      </c>
      <c r="H914" t="n">
        <v>0</v>
      </c>
      <c r="I914" t="n">
        <v>0</v>
      </c>
      <c r="J914" t="n">
        <v>0</v>
      </c>
      <c r="K914" t="n">
        <v>0</v>
      </c>
      <c r="L914" t="n">
        <v>0</v>
      </c>
      <c r="M914" t="n">
        <v>0</v>
      </c>
      <c r="N914" t="n">
        <v>0</v>
      </c>
      <c r="O914" t="n">
        <v>0</v>
      </c>
      <c r="P914" t="n">
        <v>0</v>
      </c>
      <c r="Q914" t="n">
        <v>0</v>
      </c>
      <c r="R914" s="2" t="inlineStr"/>
    </row>
    <row r="915" ht="15" customHeight="1">
      <c r="A915" t="inlineStr">
        <is>
          <t>A 41373-2024</t>
        </is>
      </c>
      <c r="B915" s="1" t="n">
        <v>45559</v>
      </c>
      <c r="C915" s="1" t="n">
        <v>45749</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41372-2024</t>
        </is>
      </c>
      <c r="B916" s="1" t="n">
        <v>45559</v>
      </c>
      <c r="C916" s="1" t="n">
        <v>45749</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41467-2024</t>
        </is>
      </c>
      <c r="B917" s="1" t="n">
        <v>45560</v>
      </c>
      <c r="C917" s="1" t="n">
        <v>45749</v>
      </c>
      <c r="D917" t="inlineStr">
        <is>
          <t>GOTLANDS LÄN</t>
        </is>
      </c>
      <c r="E917" t="inlineStr">
        <is>
          <t>GOTLAND</t>
        </is>
      </c>
      <c r="G917" t="n">
        <v>9</v>
      </c>
      <c r="H917" t="n">
        <v>0</v>
      </c>
      <c r="I917" t="n">
        <v>0</v>
      </c>
      <c r="J917" t="n">
        <v>0</v>
      </c>
      <c r="K917" t="n">
        <v>0</v>
      </c>
      <c r="L917" t="n">
        <v>0</v>
      </c>
      <c r="M917" t="n">
        <v>0</v>
      </c>
      <c r="N917" t="n">
        <v>0</v>
      </c>
      <c r="O917" t="n">
        <v>0</v>
      </c>
      <c r="P917" t="n">
        <v>0</v>
      </c>
      <c r="Q917" t="n">
        <v>0</v>
      </c>
      <c r="R917" s="2" t="inlineStr"/>
    </row>
    <row r="918" ht="15" customHeight="1">
      <c r="A918" t="inlineStr">
        <is>
          <t>A 42041-2024</t>
        </is>
      </c>
      <c r="B918" s="1" t="n">
        <v>45561</v>
      </c>
      <c r="C918" s="1" t="n">
        <v>45749</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42340-2024</t>
        </is>
      </c>
      <c r="B919" s="1" t="n">
        <v>45562</v>
      </c>
      <c r="C919" s="1" t="n">
        <v>45749</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42348-2024</t>
        </is>
      </c>
      <c r="B920" s="1" t="n">
        <v>45562</v>
      </c>
      <c r="C920" s="1" t="n">
        <v>45749</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42346-2024</t>
        </is>
      </c>
      <c r="B921" s="1" t="n">
        <v>45562</v>
      </c>
      <c r="C921" s="1" t="n">
        <v>45749</v>
      </c>
      <c r="D921" t="inlineStr">
        <is>
          <t>GOTLANDS LÄN</t>
        </is>
      </c>
      <c r="E921" t="inlineStr">
        <is>
          <t>GOTLAND</t>
        </is>
      </c>
      <c r="G921" t="n">
        <v>1.3</v>
      </c>
      <c r="H921" t="n">
        <v>0</v>
      </c>
      <c r="I921" t="n">
        <v>0</v>
      </c>
      <c r="J921" t="n">
        <v>0</v>
      </c>
      <c r="K921" t="n">
        <v>0</v>
      </c>
      <c r="L921" t="n">
        <v>0</v>
      </c>
      <c r="M921" t="n">
        <v>0</v>
      </c>
      <c r="N921" t="n">
        <v>0</v>
      </c>
      <c r="O921" t="n">
        <v>0</v>
      </c>
      <c r="P921" t="n">
        <v>0</v>
      </c>
      <c r="Q921" t="n">
        <v>0</v>
      </c>
      <c r="R921" s="2" t="inlineStr"/>
    </row>
    <row r="922" ht="15" customHeight="1">
      <c r="A922" t="inlineStr">
        <is>
          <t>A 43785-2024</t>
        </is>
      </c>
      <c r="B922" s="1" t="n">
        <v>45570</v>
      </c>
      <c r="C922" s="1" t="n">
        <v>45749</v>
      </c>
      <c r="D922" t="inlineStr">
        <is>
          <t>GOTLANDS LÄN</t>
        </is>
      </c>
      <c r="E922" t="inlineStr">
        <is>
          <t>GOTLAND</t>
        </is>
      </c>
      <c r="G922" t="n">
        <v>12.6</v>
      </c>
      <c r="H922" t="n">
        <v>0</v>
      </c>
      <c r="I922" t="n">
        <v>0</v>
      </c>
      <c r="J922" t="n">
        <v>0</v>
      </c>
      <c r="K922" t="n">
        <v>0</v>
      </c>
      <c r="L922" t="n">
        <v>0</v>
      </c>
      <c r="M922" t="n">
        <v>0</v>
      </c>
      <c r="N922" t="n">
        <v>0</v>
      </c>
      <c r="O922" t="n">
        <v>0</v>
      </c>
      <c r="P922" t="n">
        <v>0</v>
      </c>
      <c r="Q922" t="n">
        <v>0</v>
      </c>
      <c r="R922" s="2" t="inlineStr"/>
    </row>
    <row r="923" ht="15" customHeight="1">
      <c r="A923" t="inlineStr">
        <is>
          <t>A 43784-2024</t>
        </is>
      </c>
      <c r="B923" s="1" t="n">
        <v>45570</v>
      </c>
      <c r="C923" s="1" t="n">
        <v>45749</v>
      </c>
      <c r="D923" t="inlineStr">
        <is>
          <t>GOTLANDS LÄN</t>
        </is>
      </c>
      <c r="E923" t="inlineStr">
        <is>
          <t>GOTLAND</t>
        </is>
      </c>
      <c r="G923" t="n">
        <v>9.1</v>
      </c>
      <c r="H923" t="n">
        <v>0</v>
      </c>
      <c r="I923" t="n">
        <v>0</v>
      </c>
      <c r="J923" t="n">
        <v>0</v>
      </c>
      <c r="K923" t="n">
        <v>0</v>
      </c>
      <c r="L923" t="n">
        <v>0</v>
      </c>
      <c r="M923" t="n">
        <v>0</v>
      </c>
      <c r="N923" t="n">
        <v>0</v>
      </c>
      <c r="O923" t="n">
        <v>0</v>
      </c>
      <c r="P923" t="n">
        <v>0</v>
      </c>
      <c r="Q923" t="n">
        <v>0</v>
      </c>
      <c r="R923" s="2" t="inlineStr"/>
    </row>
    <row r="924" ht="15" customHeight="1">
      <c r="A924" t="inlineStr">
        <is>
          <t>A 43787-2024</t>
        </is>
      </c>
      <c r="B924" s="1" t="n">
        <v>45571</v>
      </c>
      <c r="C924" s="1" t="n">
        <v>45749</v>
      </c>
      <c r="D924" t="inlineStr">
        <is>
          <t>GOTLANDS LÄN</t>
        </is>
      </c>
      <c r="E924" t="inlineStr">
        <is>
          <t>GOTLAND</t>
        </is>
      </c>
      <c r="G924" t="n">
        <v>1.9</v>
      </c>
      <c r="H924" t="n">
        <v>0</v>
      </c>
      <c r="I924" t="n">
        <v>0</v>
      </c>
      <c r="J924" t="n">
        <v>0</v>
      </c>
      <c r="K924" t="n">
        <v>0</v>
      </c>
      <c r="L924" t="n">
        <v>0</v>
      </c>
      <c r="M924" t="n">
        <v>0</v>
      </c>
      <c r="N924" t="n">
        <v>0</v>
      </c>
      <c r="O924" t="n">
        <v>0</v>
      </c>
      <c r="P924" t="n">
        <v>0</v>
      </c>
      <c r="Q924" t="n">
        <v>0</v>
      </c>
      <c r="R924" s="2" t="inlineStr"/>
    </row>
    <row r="925" ht="15" customHeight="1">
      <c r="A925" t="inlineStr">
        <is>
          <t>A 43790-2024</t>
        </is>
      </c>
      <c r="B925" s="1" t="n">
        <v>45571</v>
      </c>
      <c r="C925" s="1" t="n">
        <v>45749</v>
      </c>
      <c r="D925" t="inlineStr">
        <is>
          <t>GOTLANDS LÄN</t>
        </is>
      </c>
      <c r="E925" t="inlineStr">
        <is>
          <t>GOTLAND</t>
        </is>
      </c>
      <c r="G925" t="n">
        <v>3.5</v>
      </c>
      <c r="H925" t="n">
        <v>0</v>
      </c>
      <c r="I925" t="n">
        <v>0</v>
      </c>
      <c r="J925" t="n">
        <v>0</v>
      </c>
      <c r="K925" t="n">
        <v>0</v>
      </c>
      <c r="L925" t="n">
        <v>0</v>
      </c>
      <c r="M925" t="n">
        <v>0</v>
      </c>
      <c r="N925" t="n">
        <v>0</v>
      </c>
      <c r="O925" t="n">
        <v>0</v>
      </c>
      <c r="P925" t="n">
        <v>0</v>
      </c>
      <c r="Q925" t="n">
        <v>0</v>
      </c>
      <c r="R925" s="2" t="inlineStr"/>
    </row>
    <row r="926" ht="15" customHeight="1">
      <c r="A926" t="inlineStr">
        <is>
          <t>A 43788-2024</t>
        </is>
      </c>
      <c r="B926" s="1" t="n">
        <v>45571</v>
      </c>
      <c r="C926" s="1" t="n">
        <v>45749</v>
      </c>
      <c r="D926" t="inlineStr">
        <is>
          <t>GOTLANDS LÄN</t>
        </is>
      </c>
      <c r="E926" t="inlineStr">
        <is>
          <t>GOTLAND</t>
        </is>
      </c>
      <c r="G926" t="n">
        <v>4.1</v>
      </c>
      <c r="H926" t="n">
        <v>0</v>
      </c>
      <c r="I926" t="n">
        <v>0</v>
      </c>
      <c r="J926" t="n">
        <v>0</v>
      </c>
      <c r="K926" t="n">
        <v>0</v>
      </c>
      <c r="L926" t="n">
        <v>0</v>
      </c>
      <c r="M926" t="n">
        <v>0</v>
      </c>
      <c r="N926" t="n">
        <v>0</v>
      </c>
      <c r="O926" t="n">
        <v>0</v>
      </c>
      <c r="P926" t="n">
        <v>0</v>
      </c>
      <c r="Q926" t="n">
        <v>0</v>
      </c>
      <c r="R926" s="2" t="inlineStr"/>
    </row>
    <row r="927" ht="15" customHeight="1">
      <c r="A927" t="inlineStr">
        <is>
          <t>A 44416-2024</t>
        </is>
      </c>
      <c r="B927" s="1" t="n">
        <v>45573</v>
      </c>
      <c r="C927" s="1" t="n">
        <v>45749</v>
      </c>
      <c r="D927" t="inlineStr">
        <is>
          <t>GOTLANDS LÄN</t>
        </is>
      </c>
      <c r="E927" t="inlineStr">
        <is>
          <t>GOTLAND</t>
        </is>
      </c>
      <c r="G927" t="n">
        <v>0.8</v>
      </c>
      <c r="H927" t="n">
        <v>0</v>
      </c>
      <c r="I927" t="n">
        <v>0</v>
      </c>
      <c r="J927" t="n">
        <v>0</v>
      </c>
      <c r="K927" t="n">
        <v>0</v>
      </c>
      <c r="L927" t="n">
        <v>0</v>
      </c>
      <c r="M927" t="n">
        <v>0</v>
      </c>
      <c r="N927" t="n">
        <v>0</v>
      </c>
      <c r="O927" t="n">
        <v>0</v>
      </c>
      <c r="P927" t="n">
        <v>0</v>
      </c>
      <c r="Q927" t="n">
        <v>0</v>
      </c>
      <c r="R927" s="2" t="inlineStr"/>
    </row>
    <row r="928" ht="15" customHeight="1">
      <c r="A928" t="inlineStr">
        <is>
          <t>A 44513-2024</t>
        </is>
      </c>
      <c r="B928" s="1" t="n">
        <v>45574</v>
      </c>
      <c r="C928" s="1" t="n">
        <v>45749</v>
      </c>
      <c r="D928" t="inlineStr">
        <is>
          <t>GOTLANDS LÄN</t>
        </is>
      </c>
      <c r="E928" t="inlineStr">
        <is>
          <t>GOTLAND</t>
        </is>
      </c>
      <c r="G928" t="n">
        <v>6.1</v>
      </c>
      <c r="H928" t="n">
        <v>0</v>
      </c>
      <c r="I928" t="n">
        <v>0</v>
      </c>
      <c r="J928" t="n">
        <v>0</v>
      </c>
      <c r="K928" t="n">
        <v>0</v>
      </c>
      <c r="L928" t="n">
        <v>0</v>
      </c>
      <c r="M928" t="n">
        <v>0</v>
      </c>
      <c r="N928" t="n">
        <v>0</v>
      </c>
      <c r="O928" t="n">
        <v>0</v>
      </c>
      <c r="P928" t="n">
        <v>0</v>
      </c>
      <c r="Q928" t="n">
        <v>0</v>
      </c>
      <c r="R928" s="2" t="inlineStr"/>
    </row>
    <row r="929" ht="15" customHeight="1">
      <c r="A929" t="inlineStr">
        <is>
          <t>A 45112-2024</t>
        </is>
      </c>
      <c r="B929" s="1" t="n">
        <v>45575</v>
      </c>
      <c r="C929" s="1" t="n">
        <v>45749</v>
      </c>
      <c r="D929" t="inlineStr">
        <is>
          <t>GOTLANDS LÄN</t>
        </is>
      </c>
      <c r="E929" t="inlineStr">
        <is>
          <t>GOTLAND</t>
        </is>
      </c>
      <c r="G929" t="n">
        <v>5.1</v>
      </c>
      <c r="H929" t="n">
        <v>0</v>
      </c>
      <c r="I929" t="n">
        <v>0</v>
      </c>
      <c r="J929" t="n">
        <v>0</v>
      </c>
      <c r="K929" t="n">
        <v>0</v>
      </c>
      <c r="L929" t="n">
        <v>0</v>
      </c>
      <c r="M929" t="n">
        <v>0</v>
      </c>
      <c r="N929" t="n">
        <v>0</v>
      </c>
      <c r="O929" t="n">
        <v>0</v>
      </c>
      <c r="P929" t="n">
        <v>0</v>
      </c>
      <c r="Q929" t="n">
        <v>0</v>
      </c>
      <c r="R929" s="2" t="inlineStr"/>
    </row>
    <row r="930" ht="15" customHeight="1">
      <c r="A930" t="inlineStr">
        <is>
          <t>A 45101-2024</t>
        </is>
      </c>
      <c r="B930" s="1" t="n">
        <v>45575</v>
      </c>
      <c r="C930" s="1" t="n">
        <v>45749</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45106-2024</t>
        </is>
      </c>
      <c r="B931" s="1" t="n">
        <v>45575</v>
      </c>
      <c r="C931" s="1" t="n">
        <v>45749</v>
      </c>
      <c r="D931" t="inlineStr">
        <is>
          <t>GOTLANDS LÄN</t>
        </is>
      </c>
      <c r="E931" t="inlineStr">
        <is>
          <t>GOTLAND</t>
        </is>
      </c>
      <c r="G931" t="n">
        <v>10</v>
      </c>
      <c r="H931" t="n">
        <v>0</v>
      </c>
      <c r="I931" t="n">
        <v>0</v>
      </c>
      <c r="J931" t="n">
        <v>0</v>
      </c>
      <c r="K931" t="n">
        <v>0</v>
      </c>
      <c r="L931" t="n">
        <v>0</v>
      </c>
      <c r="M931" t="n">
        <v>0</v>
      </c>
      <c r="N931" t="n">
        <v>0</v>
      </c>
      <c r="O931" t="n">
        <v>0</v>
      </c>
      <c r="P931" t="n">
        <v>0</v>
      </c>
      <c r="Q931" t="n">
        <v>0</v>
      </c>
      <c r="R931" s="2" t="inlineStr"/>
    </row>
    <row r="932" ht="15" customHeight="1">
      <c r="A932" t="inlineStr">
        <is>
          <t>A 44892-2024</t>
        </is>
      </c>
      <c r="B932" s="1" t="n">
        <v>45575</v>
      </c>
      <c r="C932" s="1" t="n">
        <v>45749</v>
      </c>
      <c r="D932" t="inlineStr">
        <is>
          <t>GOTLANDS LÄN</t>
        </is>
      </c>
      <c r="E932" t="inlineStr">
        <is>
          <t>GOTLAND</t>
        </is>
      </c>
      <c r="G932" t="n">
        <v>2.9</v>
      </c>
      <c r="H932" t="n">
        <v>0</v>
      </c>
      <c r="I932" t="n">
        <v>0</v>
      </c>
      <c r="J932" t="n">
        <v>0</v>
      </c>
      <c r="K932" t="n">
        <v>0</v>
      </c>
      <c r="L932" t="n">
        <v>0</v>
      </c>
      <c r="M932" t="n">
        <v>0</v>
      </c>
      <c r="N932" t="n">
        <v>0</v>
      </c>
      <c r="O932" t="n">
        <v>0</v>
      </c>
      <c r="P932" t="n">
        <v>0</v>
      </c>
      <c r="Q932" t="n">
        <v>0</v>
      </c>
      <c r="R932" s="2" t="inlineStr"/>
    </row>
    <row r="933" ht="15" customHeight="1">
      <c r="A933" t="inlineStr">
        <is>
          <t>A 45079-2024</t>
        </is>
      </c>
      <c r="B933" s="1" t="n">
        <v>45575</v>
      </c>
      <c r="C933" s="1" t="n">
        <v>45749</v>
      </c>
      <c r="D933" t="inlineStr">
        <is>
          <t>GOTLANDS LÄN</t>
        </is>
      </c>
      <c r="E933" t="inlineStr">
        <is>
          <t>GOTLAND</t>
        </is>
      </c>
      <c r="G933" t="n">
        <v>3.9</v>
      </c>
      <c r="H933" t="n">
        <v>0</v>
      </c>
      <c r="I933" t="n">
        <v>0</v>
      </c>
      <c r="J933" t="n">
        <v>0</v>
      </c>
      <c r="K933" t="n">
        <v>0</v>
      </c>
      <c r="L933" t="n">
        <v>0</v>
      </c>
      <c r="M933" t="n">
        <v>0</v>
      </c>
      <c r="N933" t="n">
        <v>0</v>
      </c>
      <c r="O933" t="n">
        <v>0</v>
      </c>
      <c r="P933" t="n">
        <v>0</v>
      </c>
      <c r="Q933" t="n">
        <v>0</v>
      </c>
      <c r="R933" s="2" t="inlineStr"/>
    </row>
    <row r="934" ht="15" customHeight="1">
      <c r="A934" t="inlineStr">
        <is>
          <t>A 45084-2024</t>
        </is>
      </c>
      <c r="B934" s="1" t="n">
        <v>45575</v>
      </c>
      <c r="C934" s="1" t="n">
        <v>45749</v>
      </c>
      <c r="D934" t="inlineStr">
        <is>
          <t>GOTLANDS LÄN</t>
        </is>
      </c>
      <c r="E934" t="inlineStr">
        <is>
          <t>GOTLAND</t>
        </is>
      </c>
      <c r="G934" t="n">
        <v>6.8</v>
      </c>
      <c r="H934" t="n">
        <v>0</v>
      </c>
      <c r="I934" t="n">
        <v>0</v>
      </c>
      <c r="J934" t="n">
        <v>0</v>
      </c>
      <c r="K934" t="n">
        <v>0</v>
      </c>
      <c r="L934" t="n">
        <v>0</v>
      </c>
      <c r="M934" t="n">
        <v>0</v>
      </c>
      <c r="N934" t="n">
        <v>0</v>
      </c>
      <c r="O934" t="n">
        <v>0</v>
      </c>
      <c r="P934" t="n">
        <v>0</v>
      </c>
      <c r="Q934" t="n">
        <v>0</v>
      </c>
      <c r="R934" s="2" t="inlineStr"/>
    </row>
    <row r="935" ht="15" customHeight="1">
      <c r="A935" t="inlineStr">
        <is>
          <t>A 44879-2024</t>
        </is>
      </c>
      <c r="B935" s="1" t="n">
        <v>45575</v>
      </c>
      <c r="C935" s="1" t="n">
        <v>45749</v>
      </c>
      <c r="D935" t="inlineStr">
        <is>
          <t>GOTLANDS LÄN</t>
        </is>
      </c>
      <c r="E935" t="inlineStr">
        <is>
          <t>GOTLAND</t>
        </is>
      </c>
      <c r="G935" t="n">
        <v>18.9</v>
      </c>
      <c r="H935" t="n">
        <v>0</v>
      </c>
      <c r="I935" t="n">
        <v>0</v>
      </c>
      <c r="J935" t="n">
        <v>0</v>
      </c>
      <c r="K935" t="n">
        <v>0</v>
      </c>
      <c r="L935" t="n">
        <v>0</v>
      </c>
      <c r="M935" t="n">
        <v>0</v>
      </c>
      <c r="N935" t="n">
        <v>0</v>
      </c>
      <c r="O935" t="n">
        <v>0</v>
      </c>
      <c r="P935" t="n">
        <v>0</v>
      </c>
      <c r="Q935" t="n">
        <v>0</v>
      </c>
      <c r="R935" s="2" t="inlineStr"/>
    </row>
    <row r="936" ht="15" customHeight="1">
      <c r="A936" t="inlineStr">
        <is>
          <t>A 45244-2024</t>
        </is>
      </c>
      <c r="B936" s="1" t="n">
        <v>45576</v>
      </c>
      <c r="C936" s="1" t="n">
        <v>45749</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46540-2024</t>
        </is>
      </c>
      <c r="B937" s="1" t="n">
        <v>45582</v>
      </c>
      <c r="C937" s="1" t="n">
        <v>45749</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46548-2024</t>
        </is>
      </c>
      <c r="B938" s="1" t="n">
        <v>45582</v>
      </c>
      <c r="C938" s="1" t="n">
        <v>45749</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46560-2024</t>
        </is>
      </c>
      <c r="B939" s="1" t="n">
        <v>45582</v>
      </c>
      <c r="C939" s="1" t="n">
        <v>45749</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46555-2024</t>
        </is>
      </c>
      <c r="B940" s="1" t="n">
        <v>45582</v>
      </c>
      <c r="C940" s="1" t="n">
        <v>45749</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46375-2024</t>
        </is>
      </c>
      <c r="B941" s="1" t="n">
        <v>45582</v>
      </c>
      <c r="C941" s="1" t="n">
        <v>45749</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46545-2024</t>
        </is>
      </c>
      <c r="B942" s="1" t="n">
        <v>45582</v>
      </c>
      <c r="C942" s="1" t="n">
        <v>45749</v>
      </c>
      <c r="D942" t="inlineStr">
        <is>
          <t>GOTLANDS LÄN</t>
        </is>
      </c>
      <c r="E942" t="inlineStr">
        <is>
          <t>GOTLAND</t>
        </is>
      </c>
      <c r="G942" t="n">
        <v>1.2</v>
      </c>
      <c r="H942" t="n">
        <v>0</v>
      </c>
      <c r="I942" t="n">
        <v>0</v>
      </c>
      <c r="J942" t="n">
        <v>0</v>
      </c>
      <c r="K942" t="n">
        <v>0</v>
      </c>
      <c r="L942" t="n">
        <v>0</v>
      </c>
      <c r="M942" t="n">
        <v>0</v>
      </c>
      <c r="N942" t="n">
        <v>0</v>
      </c>
      <c r="O942" t="n">
        <v>0</v>
      </c>
      <c r="P942" t="n">
        <v>0</v>
      </c>
      <c r="Q942" t="n">
        <v>0</v>
      </c>
      <c r="R942" s="2" t="inlineStr"/>
    </row>
    <row r="943" ht="15" customHeight="1">
      <c r="A943" t="inlineStr">
        <is>
          <t>A 46929-2024</t>
        </is>
      </c>
      <c r="B943" s="1" t="n">
        <v>45584</v>
      </c>
      <c r="C943" s="1" t="n">
        <v>45749</v>
      </c>
      <c r="D943" t="inlineStr">
        <is>
          <t>GOTLANDS LÄN</t>
        </is>
      </c>
      <c r="E943" t="inlineStr">
        <is>
          <t>GOTLAND</t>
        </is>
      </c>
      <c r="G943" t="n">
        <v>2.5</v>
      </c>
      <c r="H943" t="n">
        <v>0</v>
      </c>
      <c r="I943" t="n">
        <v>0</v>
      </c>
      <c r="J943" t="n">
        <v>0</v>
      </c>
      <c r="K943" t="n">
        <v>0</v>
      </c>
      <c r="L943" t="n">
        <v>0</v>
      </c>
      <c r="M943" t="n">
        <v>0</v>
      </c>
      <c r="N943" t="n">
        <v>0</v>
      </c>
      <c r="O943" t="n">
        <v>0</v>
      </c>
      <c r="P943" t="n">
        <v>0</v>
      </c>
      <c r="Q943" t="n">
        <v>0</v>
      </c>
      <c r="R943" s="2" t="inlineStr"/>
    </row>
    <row r="944" ht="15" customHeight="1">
      <c r="A944" t="inlineStr">
        <is>
          <t>A 46928-2024</t>
        </is>
      </c>
      <c r="B944" s="1" t="n">
        <v>45584</v>
      </c>
      <c r="C944" s="1" t="n">
        <v>45749</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46930-2024</t>
        </is>
      </c>
      <c r="B945" s="1" t="n">
        <v>45584</v>
      </c>
      <c r="C945" s="1" t="n">
        <v>45749</v>
      </c>
      <c r="D945" t="inlineStr">
        <is>
          <t>GOTLANDS LÄN</t>
        </is>
      </c>
      <c r="E945" t="inlineStr">
        <is>
          <t>GOTLAND</t>
        </is>
      </c>
      <c r="G945" t="n">
        <v>1.8</v>
      </c>
      <c r="H945" t="n">
        <v>0</v>
      </c>
      <c r="I945" t="n">
        <v>0</v>
      </c>
      <c r="J945" t="n">
        <v>0</v>
      </c>
      <c r="K945" t="n">
        <v>0</v>
      </c>
      <c r="L945" t="n">
        <v>0</v>
      </c>
      <c r="M945" t="n">
        <v>0</v>
      </c>
      <c r="N945" t="n">
        <v>0</v>
      </c>
      <c r="O945" t="n">
        <v>0</v>
      </c>
      <c r="P945" t="n">
        <v>0</v>
      </c>
      <c r="Q945" t="n">
        <v>0</v>
      </c>
      <c r="R945" s="2" t="inlineStr"/>
    </row>
    <row r="946" ht="15" customHeight="1">
      <c r="A946" t="inlineStr">
        <is>
          <t>A 46949-2024</t>
        </is>
      </c>
      <c r="B946" s="1" t="n">
        <v>45585</v>
      </c>
      <c r="C946" s="1" t="n">
        <v>45749</v>
      </c>
      <c r="D946" t="inlineStr">
        <is>
          <t>GOTLANDS LÄN</t>
        </is>
      </c>
      <c r="E946" t="inlineStr">
        <is>
          <t>GOTLAND</t>
        </is>
      </c>
      <c r="G946" t="n">
        <v>0.6</v>
      </c>
      <c r="H946" t="n">
        <v>0</v>
      </c>
      <c r="I946" t="n">
        <v>0</v>
      </c>
      <c r="J946" t="n">
        <v>0</v>
      </c>
      <c r="K946" t="n">
        <v>0</v>
      </c>
      <c r="L946" t="n">
        <v>0</v>
      </c>
      <c r="M946" t="n">
        <v>0</v>
      </c>
      <c r="N946" t="n">
        <v>0</v>
      </c>
      <c r="O946" t="n">
        <v>0</v>
      </c>
      <c r="P946" t="n">
        <v>0</v>
      </c>
      <c r="Q946" t="n">
        <v>0</v>
      </c>
      <c r="R946" s="2" t="inlineStr"/>
    </row>
    <row r="947" ht="15" customHeight="1">
      <c r="A947" t="inlineStr">
        <is>
          <t>A 47292-2024</t>
        </is>
      </c>
      <c r="B947" s="1" t="n">
        <v>45586</v>
      </c>
      <c r="C947" s="1" t="n">
        <v>45749</v>
      </c>
      <c r="D947" t="inlineStr">
        <is>
          <t>GOTLANDS LÄN</t>
        </is>
      </c>
      <c r="E947" t="inlineStr">
        <is>
          <t>GOTLAND</t>
        </is>
      </c>
      <c r="G947" t="n">
        <v>5.9</v>
      </c>
      <c r="H947" t="n">
        <v>0</v>
      </c>
      <c r="I947" t="n">
        <v>0</v>
      </c>
      <c r="J947" t="n">
        <v>0</v>
      </c>
      <c r="K947" t="n">
        <v>0</v>
      </c>
      <c r="L947" t="n">
        <v>0</v>
      </c>
      <c r="M947" t="n">
        <v>0</v>
      </c>
      <c r="N947" t="n">
        <v>0</v>
      </c>
      <c r="O947" t="n">
        <v>0</v>
      </c>
      <c r="P947" t="n">
        <v>0</v>
      </c>
      <c r="Q947" t="n">
        <v>0</v>
      </c>
      <c r="R947" s="2" t="inlineStr"/>
    </row>
    <row r="948" ht="15" customHeight="1">
      <c r="A948" t="inlineStr">
        <is>
          <t>A 48155-2024</t>
        </is>
      </c>
      <c r="B948" s="1" t="n">
        <v>45589</v>
      </c>
      <c r="C948" s="1" t="n">
        <v>45749</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48032-2024</t>
        </is>
      </c>
      <c r="B949" s="1" t="n">
        <v>45589</v>
      </c>
      <c r="C949" s="1" t="n">
        <v>45749</v>
      </c>
      <c r="D949" t="inlineStr">
        <is>
          <t>GOTLANDS LÄN</t>
        </is>
      </c>
      <c r="E949" t="inlineStr">
        <is>
          <t>GOTLAND</t>
        </is>
      </c>
      <c r="G949" t="n">
        <v>11.5</v>
      </c>
      <c r="H949" t="n">
        <v>0</v>
      </c>
      <c r="I949" t="n">
        <v>0</v>
      </c>
      <c r="J949" t="n">
        <v>0</v>
      </c>
      <c r="K949" t="n">
        <v>0</v>
      </c>
      <c r="L949" t="n">
        <v>0</v>
      </c>
      <c r="M949" t="n">
        <v>0</v>
      </c>
      <c r="N949" t="n">
        <v>0</v>
      </c>
      <c r="O949" t="n">
        <v>0</v>
      </c>
      <c r="P949" t="n">
        <v>0</v>
      </c>
      <c r="Q949" t="n">
        <v>0</v>
      </c>
      <c r="R949" s="2" t="inlineStr"/>
    </row>
    <row r="950" ht="15" customHeight="1">
      <c r="A950" t="inlineStr">
        <is>
          <t>A 48843-2024</t>
        </is>
      </c>
      <c r="B950" s="1" t="n">
        <v>45593</v>
      </c>
      <c r="C950" s="1" t="n">
        <v>45749</v>
      </c>
      <c r="D950" t="inlineStr">
        <is>
          <t>GOTLANDS LÄN</t>
        </is>
      </c>
      <c r="E950" t="inlineStr">
        <is>
          <t>GOTLAND</t>
        </is>
      </c>
      <c r="G950" t="n">
        <v>0.5</v>
      </c>
      <c r="H950" t="n">
        <v>0</v>
      </c>
      <c r="I950" t="n">
        <v>0</v>
      </c>
      <c r="J950" t="n">
        <v>0</v>
      </c>
      <c r="K950" t="n">
        <v>0</v>
      </c>
      <c r="L950" t="n">
        <v>0</v>
      </c>
      <c r="M950" t="n">
        <v>0</v>
      </c>
      <c r="N950" t="n">
        <v>0</v>
      </c>
      <c r="O950" t="n">
        <v>0</v>
      </c>
      <c r="P950" t="n">
        <v>0</v>
      </c>
      <c r="Q950" t="n">
        <v>0</v>
      </c>
      <c r="R950" s="2" t="inlineStr"/>
    </row>
    <row r="951" ht="15" customHeight="1">
      <c r="A951" t="inlineStr">
        <is>
          <t>A 49201-2024</t>
        </is>
      </c>
      <c r="B951" s="1" t="n">
        <v>45595</v>
      </c>
      <c r="C951" s="1" t="n">
        <v>45749</v>
      </c>
      <c r="D951" t="inlineStr">
        <is>
          <t>GOTLANDS LÄN</t>
        </is>
      </c>
      <c r="E951" t="inlineStr">
        <is>
          <t>GOTLAND</t>
        </is>
      </c>
      <c r="G951" t="n">
        <v>5.8</v>
      </c>
      <c r="H951" t="n">
        <v>0</v>
      </c>
      <c r="I951" t="n">
        <v>0</v>
      </c>
      <c r="J951" t="n">
        <v>0</v>
      </c>
      <c r="K951" t="n">
        <v>0</v>
      </c>
      <c r="L951" t="n">
        <v>0</v>
      </c>
      <c r="M951" t="n">
        <v>0</v>
      </c>
      <c r="N951" t="n">
        <v>0</v>
      </c>
      <c r="O951" t="n">
        <v>0</v>
      </c>
      <c r="P951" t="n">
        <v>0</v>
      </c>
      <c r="Q951" t="n">
        <v>0</v>
      </c>
      <c r="R951" s="2" t="inlineStr"/>
    </row>
    <row r="952" ht="15" customHeight="1">
      <c r="A952" t="inlineStr">
        <is>
          <t>A 49314-2024</t>
        </is>
      </c>
      <c r="B952" s="1" t="n">
        <v>45595</v>
      </c>
      <c r="C952" s="1" t="n">
        <v>45749</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49167-2024</t>
        </is>
      </c>
      <c r="B953" s="1" t="n">
        <v>45595</v>
      </c>
      <c r="C953" s="1" t="n">
        <v>45749</v>
      </c>
      <c r="D953" t="inlineStr">
        <is>
          <t>GOTLANDS LÄN</t>
        </is>
      </c>
      <c r="E953" t="inlineStr">
        <is>
          <t>GOTLAND</t>
        </is>
      </c>
      <c r="G953" t="n">
        <v>3</v>
      </c>
      <c r="H953" t="n">
        <v>0</v>
      </c>
      <c r="I953" t="n">
        <v>0</v>
      </c>
      <c r="J953" t="n">
        <v>0</v>
      </c>
      <c r="K953" t="n">
        <v>0</v>
      </c>
      <c r="L953" t="n">
        <v>0</v>
      </c>
      <c r="M953" t="n">
        <v>0</v>
      </c>
      <c r="N953" t="n">
        <v>0</v>
      </c>
      <c r="O953" t="n">
        <v>0</v>
      </c>
      <c r="P953" t="n">
        <v>0</v>
      </c>
      <c r="Q953" t="n">
        <v>0</v>
      </c>
      <c r="R953" s="2" t="inlineStr"/>
    </row>
    <row r="954" ht="15" customHeight="1">
      <c r="A954" t="inlineStr">
        <is>
          <t>A 49315-2024</t>
        </is>
      </c>
      <c r="B954" s="1" t="n">
        <v>45595</v>
      </c>
      <c r="C954" s="1" t="n">
        <v>45749</v>
      </c>
      <c r="D954" t="inlineStr">
        <is>
          <t>GOTLANDS LÄN</t>
        </is>
      </c>
      <c r="E954" t="inlineStr">
        <is>
          <t>GOTLAND</t>
        </is>
      </c>
      <c r="G954" t="n">
        <v>1.5</v>
      </c>
      <c r="H954" t="n">
        <v>0</v>
      </c>
      <c r="I954" t="n">
        <v>0</v>
      </c>
      <c r="J954" t="n">
        <v>0</v>
      </c>
      <c r="K954" t="n">
        <v>0</v>
      </c>
      <c r="L954" t="n">
        <v>0</v>
      </c>
      <c r="M954" t="n">
        <v>0</v>
      </c>
      <c r="N954" t="n">
        <v>0</v>
      </c>
      <c r="O954" t="n">
        <v>0</v>
      </c>
      <c r="P954" t="n">
        <v>0</v>
      </c>
      <c r="Q954" t="n">
        <v>0</v>
      </c>
      <c r="R954" s="2" t="inlineStr"/>
    </row>
    <row r="955" ht="15" customHeight="1">
      <c r="A955" t="inlineStr">
        <is>
          <t>A 49257-2024</t>
        </is>
      </c>
      <c r="B955" s="1" t="n">
        <v>45595</v>
      </c>
      <c r="C955" s="1" t="n">
        <v>45749</v>
      </c>
      <c r="D955" t="inlineStr">
        <is>
          <t>GOTLANDS LÄN</t>
        </is>
      </c>
      <c r="E955" t="inlineStr">
        <is>
          <t>GOTLAND</t>
        </is>
      </c>
      <c r="G955" t="n">
        <v>6.3</v>
      </c>
      <c r="H955" t="n">
        <v>0</v>
      </c>
      <c r="I955" t="n">
        <v>0</v>
      </c>
      <c r="J955" t="n">
        <v>0</v>
      </c>
      <c r="K955" t="n">
        <v>0</v>
      </c>
      <c r="L955" t="n">
        <v>0</v>
      </c>
      <c r="M955" t="n">
        <v>0</v>
      </c>
      <c r="N955" t="n">
        <v>0</v>
      </c>
      <c r="O955" t="n">
        <v>0</v>
      </c>
      <c r="P955" t="n">
        <v>0</v>
      </c>
      <c r="Q955" t="n">
        <v>0</v>
      </c>
      <c r="R955" s="2" t="inlineStr"/>
    </row>
    <row r="956" ht="15" customHeight="1">
      <c r="A956" t="inlineStr">
        <is>
          <t>A 49874-2024</t>
        </is>
      </c>
      <c r="B956" s="1" t="n">
        <v>45597</v>
      </c>
      <c r="C956" s="1" t="n">
        <v>45749</v>
      </c>
      <c r="D956" t="inlineStr">
        <is>
          <t>GOTLANDS LÄN</t>
        </is>
      </c>
      <c r="E956" t="inlineStr">
        <is>
          <t>GOTLAND</t>
        </is>
      </c>
      <c r="G956" t="n">
        <v>1.1</v>
      </c>
      <c r="H956" t="n">
        <v>0</v>
      </c>
      <c r="I956" t="n">
        <v>0</v>
      </c>
      <c r="J956" t="n">
        <v>0</v>
      </c>
      <c r="K956" t="n">
        <v>0</v>
      </c>
      <c r="L956" t="n">
        <v>0</v>
      </c>
      <c r="M956" t="n">
        <v>0</v>
      </c>
      <c r="N956" t="n">
        <v>0</v>
      </c>
      <c r="O956" t="n">
        <v>0</v>
      </c>
      <c r="P956" t="n">
        <v>0</v>
      </c>
      <c r="Q956" t="n">
        <v>0</v>
      </c>
      <c r="R956" s="2" t="inlineStr"/>
    </row>
    <row r="957" ht="15" customHeight="1">
      <c r="A957" t="inlineStr">
        <is>
          <t>A 50021-2024</t>
        </is>
      </c>
      <c r="B957" s="1" t="n">
        <v>45599</v>
      </c>
      <c r="C957" s="1" t="n">
        <v>45749</v>
      </c>
      <c r="D957" t="inlineStr">
        <is>
          <t>GOTLANDS LÄN</t>
        </is>
      </c>
      <c r="E957" t="inlineStr">
        <is>
          <t>GOTLAND</t>
        </is>
      </c>
      <c r="G957" t="n">
        <v>2.1</v>
      </c>
      <c r="H957" t="n">
        <v>0</v>
      </c>
      <c r="I957" t="n">
        <v>0</v>
      </c>
      <c r="J957" t="n">
        <v>0</v>
      </c>
      <c r="K957" t="n">
        <v>0</v>
      </c>
      <c r="L957" t="n">
        <v>0</v>
      </c>
      <c r="M957" t="n">
        <v>0</v>
      </c>
      <c r="N957" t="n">
        <v>0</v>
      </c>
      <c r="O957" t="n">
        <v>0</v>
      </c>
      <c r="P957" t="n">
        <v>0</v>
      </c>
      <c r="Q957" t="n">
        <v>0</v>
      </c>
      <c r="R957" s="2" t="inlineStr"/>
    </row>
    <row r="958" ht="15" customHeight="1">
      <c r="A958" t="inlineStr">
        <is>
          <t>A 50023-2024</t>
        </is>
      </c>
      <c r="B958" s="1" t="n">
        <v>45599</v>
      </c>
      <c r="C958" s="1" t="n">
        <v>45749</v>
      </c>
      <c r="D958" t="inlineStr">
        <is>
          <t>GOTLANDS LÄN</t>
        </is>
      </c>
      <c r="E958" t="inlineStr">
        <is>
          <t>GOTLAND</t>
        </is>
      </c>
      <c r="G958" t="n">
        <v>2</v>
      </c>
      <c r="H958" t="n">
        <v>0</v>
      </c>
      <c r="I958" t="n">
        <v>0</v>
      </c>
      <c r="J958" t="n">
        <v>0</v>
      </c>
      <c r="K958" t="n">
        <v>0</v>
      </c>
      <c r="L958" t="n">
        <v>0</v>
      </c>
      <c r="M958" t="n">
        <v>0</v>
      </c>
      <c r="N958" t="n">
        <v>0</v>
      </c>
      <c r="O958" t="n">
        <v>0</v>
      </c>
      <c r="P958" t="n">
        <v>0</v>
      </c>
      <c r="Q958" t="n">
        <v>0</v>
      </c>
      <c r="R958" s="2" t="inlineStr"/>
    </row>
    <row r="959" ht="15" customHeight="1">
      <c r="A959" t="inlineStr">
        <is>
          <t>A 50022-2024</t>
        </is>
      </c>
      <c r="B959" s="1" t="n">
        <v>45599</v>
      </c>
      <c r="C959" s="1" t="n">
        <v>45749</v>
      </c>
      <c r="D959" t="inlineStr">
        <is>
          <t>GOTLANDS LÄN</t>
        </is>
      </c>
      <c r="E959" t="inlineStr">
        <is>
          <t>GOTLAND</t>
        </is>
      </c>
      <c r="G959" t="n">
        <v>4</v>
      </c>
      <c r="H959" t="n">
        <v>0</v>
      </c>
      <c r="I959" t="n">
        <v>0</v>
      </c>
      <c r="J959" t="n">
        <v>0</v>
      </c>
      <c r="K959" t="n">
        <v>0</v>
      </c>
      <c r="L959" t="n">
        <v>0</v>
      </c>
      <c r="M959" t="n">
        <v>0</v>
      </c>
      <c r="N959" t="n">
        <v>0</v>
      </c>
      <c r="O959" t="n">
        <v>0</v>
      </c>
      <c r="P959" t="n">
        <v>0</v>
      </c>
      <c r="Q959" t="n">
        <v>0</v>
      </c>
      <c r="R959" s="2" t="inlineStr"/>
    </row>
    <row r="960" ht="15" customHeight="1">
      <c r="A960" t="inlineStr">
        <is>
          <t>A 50482-2024</t>
        </is>
      </c>
      <c r="B960" s="1" t="n">
        <v>45601</v>
      </c>
      <c r="C960" s="1" t="n">
        <v>45749</v>
      </c>
      <c r="D960" t="inlineStr">
        <is>
          <t>GOTLANDS LÄN</t>
        </is>
      </c>
      <c r="E960" t="inlineStr">
        <is>
          <t>GOTLAND</t>
        </is>
      </c>
      <c r="G960" t="n">
        <v>2.3</v>
      </c>
      <c r="H960" t="n">
        <v>0</v>
      </c>
      <c r="I960" t="n">
        <v>0</v>
      </c>
      <c r="J960" t="n">
        <v>0</v>
      </c>
      <c r="K960" t="n">
        <v>0</v>
      </c>
      <c r="L960" t="n">
        <v>0</v>
      </c>
      <c r="M960" t="n">
        <v>0</v>
      </c>
      <c r="N960" t="n">
        <v>0</v>
      </c>
      <c r="O960" t="n">
        <v>0</v>
      </c>
      <c r="P960" t="n">
        <v>0</v>
      </c>
      <c r="Q960" t="n">
        <v>0</v>
      </c>
      <c r="R960" s="2" t="inlineStr"/>
    </row>
    <row r="961" ht="15" customHeight="1">
      <c r="A961" t="inlineStr">
        <is>
          <t>A 50470-2024</t>
        </is>
      </c>
      <c r="B961" s="1" t="n">
        <v>45601</v>
      </c>
      <c r="C961" s="1" t="n">
        <v>45749</v>
      </c>
      <c r="D961" t="inlineStr">
        <is>
          <t>GOTLANDS LÄN</t>
        </is>
      </c>
      <c r="E961" t="inlineStr">
        <is>
          <t>GOTLAND</t>
        </is>
      </c>
      <c r="G961" t="n">
        <v>3.4</v>
      </c>
      <c r="H961" t="n">
        <v>0</v>
      </c>
      <c r="I961" t="n">
        <v>0</v>
      </c>
      <c r="J961" t="n">
        <v>0</v>
      </c>
      <c r="K961" t="n">
        <v>0</v>
      </c>
      <c r="L961" t="n">
        <v>0</v>
      </c>
      <c r="M961" t="n">
        <v>0</v>
      </c>
      <c r="N961" t="n">
        <v>0</v>
      </c>
      <c r="O961" t="n">
        <v>0</v>
      </c>
      <c r="P961" t="n">
        <v>0</v>
      </c>
      <c r="Q961" t="n">
        <v>0</v>
      </c>
      <c r="R961" s="2" t="inlineStr"/>
    </row>
    <row r="962" ht="15" customHeight="1">
      <c r="A962" t="inlineStr">
        <is>
          <t>A 50744-2024</t>
        </is>
      </c>
      <c r="B962" s="1" t="n">
        <v>45602</v>
      </c>
      <c r="C962" s="1" t="n">
        <v>45749</v>
      </c>
      <c r="D962" t="inlineStr">
        <is>
          <t>GOTLANDS LÄN</t>
        </is>
      </c>
      <c r="E962" t="inlineStr">
        <is>
          <t>GOTLAND</t>
        </is>
      </c>
      <c r="G962" t="n">
        <v>3.2</v>
      </c>
      <c r="H962" t="n">
        <v>0</v>
      </c>
      <c r="I962" t="n">
        <v>0</v>
      </c>
      <c r="J962" t="n">
        <v>0</v>
      </c>
      <c r="K962" t="n">
        <v>0</v>
      </c>
      <c r="L962" t="n">
        <v>0</v>
      </c>
      <c r="M962" t="n">
        <v>0</v>
      </c>
      <c r="N962" t="n">
        <v>0</v>
      </c>
      <c r="O962" t="n">
        <v>0</v>
      </c>
      <c r="P962" t="n">
        <v>0</v>
      </c>
      <c r="Q962" t="n">
        <v>0</v>
      </c>
      <c r="R962" s="2" t="inlineStr"/>
    </row>
    <row r="963" ht="15" customHeight="1">
      <c r="A963" t="inlineStr">
        <is>
          <t>A 50958-2024</t>
        </is>
      </c>
      <c r="B963" s="1" t="n">
        <v>45603</v>
      </c>
      <c r="C963" s="1" t="n">
        <v>45749</v>
      </c>
      <c r="D963" t="inlineStr">
        <is>
          <t>GOTLANDS LÄN</t>
        </is>
      </c>
      <c r="E963" t="inlineStr">
        <is>
          <t>GOTLAND</t>
        </is>
      </c>
      <c r="G963" t="n">
        <v>1.7</v>
      </c>
      <c r="H963" t="n">
        <v>0</v>
      </c>
      <c r="I963" t="n">
        <v>0</v>
      </c>
      <c r="J963" t="n">
        <v>0</v>
      </c>
      <c r="K963" t="n">
        <v>0</v>
      </c>
      <c r="L963" t="n">
        <v>0</v>
      </c>
      <c r="M963" t="n">
        <v>0</v>
      </c>
      <c r="N963" t="n">
        <v>0</v>
      </c>
      <c r="O963" t="n">
        <v>0</v>
      </c>
      <c r="P963" t="n">
        <v>0</v>
      </c>
      <c r="Q963" t="n">
        <v>0</v>
      </c>
      <c r="R963" s="2" t="inlineStr"/>
    </row>
    <row r="964" ht="15" customHeight="1">
      <c r="A964" t="inlineStr">
        <is>
          <t>A 50962-2024</t>
        </is>
      </c>
      <c r="B964" s="1" t="n">
        <v>45603</v>
      </c>
      <c r="C964" s="1" t="n">
        <v>45749</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51321-2024</t>
        </is>
      </c>
      <c r="B965" s="1" t="n">
        <v>45604</v>
      </c>
      <c r="C965" s="1" t="n">
        <v>45749</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51963-2024</t>
        </is>
      </c>
      <c r="B966" s="1" t="n">
        <v>45607</v>
      </c>
      <c r="C966" s="1" t="n">
        <v>45749</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52831-2024</t>
        </is>
      </c>
      <c r="B967" s="1" t="n">
        <v>45610</v>
      </c>
      <c r="C967" s="1" t="n">
        <v>45749</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53129-2024</t>
        </is>
      </c>
      <c r="B968" s="1" t="n">
        <v>45611</v>
      </c>
      <c r="C968" s="1" t="n">
        <v>45749</v>
      </c>
      <c r="D968" t="inlineStr">
        <is>
          <t>GOTLANDS LÄN</t>
        </is>
      </c>
      <c r="E968" t="inlineStr">
        <is>
          <t>GOTLAND</t>
        </is>
      </c>
      <c r="G968" t="n">
        <v>4.2</v>
      </c>
      <c r="H968" t="n">
        <v>0</v>
      </c>
      <c r="I968" t="n">
        <v>0</v>
      </c>
      <c r="J968" t="n">
        <v>0</v>
      </c>
      <c r="K968" t="n">
        <v>0</v>
      </c>
      <c r="L968" t="n">
        <v>0</v>
      </c>
      <c r="M968" t="n">
        <v>0</v>
      </c>
      <c r="N968" t="n">
        <v>0</v>
      </c>
      <c r="O968" t="n">
        <v>0</v>
      </c>
      <c r="P968" t="n">
        <v>0</v>
      </c>
      <c r="Q968" t="n">
        <v>0</v>
      </c>
      <c r="R968" s="2" t="inlineStr"/>
    </row>
    <row r="969" ht="15" customHeight="1">
      <c r="A969" t="inlineStr">
        <is>
          <t>A 53935-2024</t>
        </is>
      </c>
      <c r="B969" s="1" t="n">
        <v>45615</v>
      </c>
      <c r="C969" s="1" t="n">
        <v>45749</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53934-2024</t>
        </is>
      </c>
      <c r="B970" s="1" t="n">
        <v>45615</v>
      </c>
      <c r="C970" s="1" t="n">
        <v>45749</v>
      </c>
      <c r="D970" t="inlineStr">
        <is>
          <t>GOTLANDS LÄN</t>
        </is>
      </c>
      <c r="E970" t="inlineStr">
        <is>
          <t>GOTLAND</t>
        </is>
      </c>
      <c r="G970" t="n">
        <v>5</v>
      </c>
      <c r="H970" t="n">
        <v>0</v>
      </c>
      <c r="I970" t="n">
        <v>0</v>
      </c>
      <c r="J970" t="n">
        <v>0</v>
      </c>
      <c r="K970" t="n">
        <v>0</v>
      </c>
      <c r="L970" t="n">
        <v>0</v>
      </c>
      <c r="M970" t="n">
        <v>0</v>
      </c>
      <c r="N970" t="n">
        <v>0</v>
      </c>
      <c r="O970" t="n">
        <v>0</v>
      </c>
      <c r="P970" t="n">
        <v>0</v>
      </c>
      <c r="Q970" t="n">
        <v>0</v>
      </c>
      <c r="R970" s="2" t="inlineStr"/>
    </row>
    <row r="971" ht="15" customHeight="1">
      <c r="A971" t="inlineStr">
        <is>
          <t>A 54081-2024</t>
        </is>
      </c>
      <c r="B971" s="1" t="n">
        <v>45616</v>
      </c>
      <c r="C971" s="1" t="n">
        <v>45749</v>
      </c>
      <c r="D971" t="inlineStr">
        <is>
          <t>GOTLANDS LÄN</t>
        </is>
      </c>
      <c r="E971" t="inlineStr">
        <is>
          <t>GOTLAND</t>
        </is>
      </c>
      <c r="G971" t="n">
        <v>3.5</v>
      </c>
      <c r="H971" t="n">
        <v>0</v>
      </c>
      <c r="I971" t="n">
        <v>0</v>
      </c>
      <c r="J971" t="n">
        <v>0</v>
      </c>
      <c r="K971" t="n">
        <v>0</v>
      </c>
      <c r="L971" t="n">
        <v>0</v>
      </c>
      <c r="M971" t="n">
        <v>0</v>
      </c>
      <c r="N971" t="n">
        <v>0</v>
      </c>
      <c r="O971" t="n">
        <v>0</v>
      </c>
      <c r="P971" t="n">
        <v>0</v>
      </c>
      <c r="Q971" t="n">
        <v>0</v>
      </c>
      <c r="R971" s="2" t="inlineStr"/>
    </row>
    <row r="972" ht="15" customHeight="1">
      <c r="A972" t="inlineStr">
        <is>
          <t>A 54438-2024</t>
        </is>
      </c>
      <c r="B972" s="1" t="n">
        <v>45617</v>
      </c>
      <c r="C972" s="1" t="n">
        <v>45749</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54355-2024</t>
        </is>
      </c>
      <c r="B973" s="1" t="n">
        <v>45617</v>
      </c>
      <c r="C973" s="1" t="n">
        <v>45749</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54645-2024</t>
        </is>
      </c>
      <c r="B974" s="1" t="n">
        <v>45617</v>
      </c>
      <c r="C974" s="1" t="n">
        <v>45749</v>
      </c>
      <c r="D974" t="inlineStr">
        <is>
          <t>GOTLANDS LÄN</t>
        </is>
      </c>
      <c r="E974" t="inlineStr">
        <is>
          <t>GOTLAND</t>
        </is>
      </c>
      <c r="G974" t="n">
        <v>1.9</v>
      </c>
      <c r="H974" t="n">
        <v>0</v>
      </c>
      <c r="I974" t="n">
        <v>0</v>
      </c>
      <c r="J974" t="n">
        <v>0</v>
      </c>
      <c r="K974" t="n">
        <v>0</v>
      </c>
      <c r="L974" t="n">
        <v>0</v>
      </c>
      <c r="M974" t="n">
        <v>0</v>
      </c>
      <c r="N974" t="n">
        <v>0</v>
      </c>
      <c r="O974" t="n">
        <v>0</v>
      </c>
      <c r="P974" t="n">
        <v>0</v>
      </c>
      <c r="Q974" t="n">
        <v>0</v>
      </c>
      <c r="R974" s="2" t="inlineStr"/>
    </row>
    <row r="975" ht="15" customHeight="1">
      <c r="A975" t="inlineStr">
        <is>
          <t>A 55102-2024</t>
        </is>
      </c>
      <c r="B975" s="1" t="n">
        <v>45621</v>
      </c>
      <c r="C975" s="1" t="n">
        <v>45749</v>
      </c>
      <c r="D975" t="inlineStr">
        <is>
          <t>GOTLANDS LÄN</t>
        </is>
      </c>
      <c r="E975" t="inlineStr">
        <is>
          <t>GOTLAND</t>
        </is>
      </c>
      <c r="G975" t="n">
        <v>0.8</v>
      </c>
      <c r="H975" t="n">
        <v>0</v>
      </c>
      <c r="I975" t="n">
        <v>0</v>
      </c>
      <c r="J975" t="n">
        <v>0</v>
      </c>
      <c r="K975" t="n">
        <v>0</v>
      </c>
      <c r="L975" t="n">
        <v>0</v>
      </c>
      <c r="M975" t="n">
        <v>0</v>
      </c>
      <c r="N975" t="n">
        <v>0</v>
      </c>
      <c r="O975" t="n">
        <v>0</v>
      </c>
      <c r="P975" t="n">
        <v>0</v>
      </c>
      <c r="Q975" t="n">
        <v>0</v>
      </c>
      <c r="R975" s="2" t="inlineStr"/>
    </row>
    <row r="976" ht="15" customHeight="1">
      <c r="A976" t="inlineStr">
        <is>
          <t>A 55334-2024</t>
        </is>
      </c>
      <c r="B976" s="1" t="n">
        <v>45621</v>
      </c>
      <c r="C976" s="1" t="n">
        <v>45749</v>
      </c>
      <c r="D976" t="inlineStr">
        <is>
          <t>GOTLANDS LÄN</t>
        </is>
      </c>
      <c r="E976" t="inlineStr">
        <is>
          <t>GOTLAND</t>
        </is>
      </c>
      <c r="G976" t="n">
        <v>21.7</v>
      </c>
      <c r="H976" t="n">
        <v>0</v>
      </c>
      <c r="I976" t="n">
        <v>0</v>
      </c>
      <c r="J976" t="n">
        <v>0</v>
      </c>
      <c r="K976" t="n">
        <v>0</v>
      </c>
      <c r="L976" t="n">
        <v>0</v>
      </c>
      <c r="M976" t="n">
        <v>0</v>
      </c>
      <c r="N976" t="n">
        <v>0</v>
      </c>
      <c r="O976" t="n">
        <v>0</v>
      </c>
      <c r="P976" t="n">
        <v>0</v>
      </c>
      <c r="Q976" t="n">
        <v>0</v>
      </c>
      <c r="R976" s="2" t="inlineStr"/>
    </row>
    <row r="977" ht="15" customHeight="1">
      <c r="A977" t="inlineStr">
        <is>
          <t>A 55438-2024</t>
        </is>
      </c>
      <c r="B977" s="1" t="n">
        <v>45621</v>
      </c>
      <c r="C977" s="1" t="n">
        <v>45749</v>
      </c>
      <c r="D977" t="inlineStr">
        <is>
          <t>GOTLANDS LÄN</t>
        </is>
      </c>
      <c r="E977" t="inlineStr">
        <is>
          <t>GOTLAND</t>
        </is>
      </c>
      <c r="G977" t="n">
        <v>1.1</v>
      </c>
      <c r="H977" t="n">
        <v>0</v>
      </c>
      <c r="I977" t="n">
        <v>0</v>
      </c>
      <c r="J977" t="n">
        <v>0</v>
      </c>
      <c r="K977" t="n">
        <v>0</v>
      </c>
      <c r="L977" t="n">
        <v>0</v>
      </c>
      <c r="M977" t="n">
        <v>0</v>
      </c>
      <c r="N977" t="n">
        <v>0</v>
      </c>
      <c r="O977" t="n">
        <v>0</v>
      </c>
      <c r="P977" t="n">
        <v>0</v>
      </c>
      <c r="Q977" t="n">
        <v>0</v>
      </c>
      <c r="R977" s="2" t="inlineStr"/>
    </row>
    <row r="978" ht="15" customHeight="1">
      <c r="A978" t="inlineStr">
        <is>
          <t>A 55435-2024</t>
        </is>
      </c>
      <c r="B978" s="1" t="n">
        <v>45621</v>
      </c>
      <c r="C978" s="1" t="n">
        <v>45749</v>
      </c>
      <c r="D978" t="inlineStr">
        <is>
          <t>GOTLANDS LÄN</t>
        </is>
      </c>
      <c r="E978" t="inlineStr">
        <is>
          <t>GOTLAND</t>
        </is>
      </c>
      <c r="G978" t="n">
        <v>3.1</v>
      </c>
      <c r="H978" t="n">
        <v>0</v>
      </c>
      <c r="I978" t="n">
        <v>0</v>
      </c>
      <c r="J978" t="n">
        <v>0</v>
      </c>
      <c r="K978" t="n">
        <v>0</v>
      </c>
      <c r="L978" t="n">
        <v>0</v>
      </c>
      <c r="M978" t="n">
        <v>0</v>
      </c>
      <c r="N978" t="n">
        <v>0</v>
      </c>
      <c r="O978" t="n">
        <v>0</v>
      </c>
      <c r="P978" t="n">
        <v>0</v>
      </c>
      <c r="Q978" t="n">
        <v>0</v>
      </c>
      <c r="R978" s="2" t="inlineStr"/>
    </row>
    <row r="979" ht="15" customHeight="1">
      <c r="A979" t="inlineStr">
        <is>
          <t>A 55653-2024</t>
        </is>
      </c>
      <c r="B979" s="1" t="n">
        <v>45622</v>
      </c>
      <c r="C979" s="1" t="n">
        <v>45749</v>
      </c>
      <c r="D979" t="inlineStr">
        <is>
          <t>GOTLANDS LÄN</t>
        </is>
      </c>
      <c r="E979" t="inlineStr">
        <is>
          <t>GOTLAND</t>
        </is>
      </c>
      <c r="G979" t="n">
        <v>2</v>
      </c>
      <c r="H979" t="n">
        <v>0</v>
      </c>
      <c r="I979" t="n">
        <v>0</v>
      </c>
      <c r="J979" t="n">
        <v>0</v>
      </c>
      <c r="K979" t="n">
        <v>0</v>
      </c>
      <c r="L979" t="n">
        <v>0</v>
      </c>
      <c r="M979" t="n">
        <v>0</v>
      </c>
      <c r="N979" t="n">
        <v>0</v>
      </c>
      <c r="O979" t="n">
        <v>0</v>
      </c>
      <c r="P979" t="n">
        <v>0</v>
      </c>
      <c r="Q979" t="n">
        <v>0</v>
      </c>
      <c r="R979" s="2" t="inlineStr"/>
    </row>
    <row r="980" ht="15" customHeight="1">
      <c r="A980" t="inlineStr">
        <is>
          <t>A 56009-2024</t>
        </is>
      </c>
      <c r="B980" s="1" t="n">
        <v>45623</v>
      </c>
      <c r="C980" s="1" t="n">
        <v>45749</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57374-2024</t>
        </is>
      </c>
      <c r="B981" s="1" t="n">
        <v>45629</v>
      </c>
      <c r="C981" s="1" t="n">
        <v>45749</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58230-2024</t>
        </is>
      </c>
      <c r="B982" s="1" t="n">
        <v>45632</v>
      </c>
      <c r="C982" s="1" t="n">
        <v>45749</v>
      </c>
      <c r="D982" t="inlineStr">
        <is>
          <t>GOTLANDS LÄN</t>
        </is>
      </c>
      <c r="E982" t="inlineStr">
        <is>
          <t>GOTLAND</t>
        </is>
      </c>
      <c r="G982" t="n">
        <v>7.3</v>
      </c>
      <c r="H982" t="n">
        <v>0</v>
      </c>
      <c r="I982" t="n">
        <v>0</v>
      </c>
      <c r="J982" t="n">
        <v>0</v>
      </c>
      <c r="K982" t="n">
        <v>0</v>
      </c>
      <c r="L982" t="n">
        <v>0</v>
      </c>
      <c r="M982" t="n">
        <v>0</v>
      </c>
      <c r="N982" t="n">
        <v>0</v>
      </c>
      <c r="O982" t="n">
        <v>0</v>
      </c>
      <c r="P982" t="n">
        <v>0</v>
      </c>
      <c r="Q982" t="n">
        <v>0</v>
      </c>
      <c r="R982" s="2" t="inlineStr"/>
    </row>
    <row r="983" ht="15" customHeight="1">
      <c r="A983" t="inlineStr">
        <is>
          <t>A 58211-2024</t>
        </is>
      </c>
      <c r="B983" s="1" t="n">
        <v>45632</v>
      </c>
      <c r="C983" s="1" t="n">
        <v>45749</v>
      </c>
      <c r="D983" t="inlineStr">
        <is>
          <t>GOTLANDS LÄN</t>
        </is>
      </c>
      <c r="E983" t="inlineStr">
        <is>
          <t>GOTLAND</t>
        </is>
      </c>
      <c r="G983" t="n">
        <v>5.4</v>
      </c>
      <c r="H983" t="n">
        <v>0</v>
      </c>
      <c r="I983" t="n">
        <v>0</v>
      </c>
      <c r="J983" t="n">
        <v>0</v>
      </c>
      <c r="K983" t="n">
        <v>0</v>
      </c>
      <c r="L983" t="n">
        <v>0</v>
      </c>
      <c r="M983" t="n">
        <v>0</v>
      </c>
      <c r="N983" t="n">
        <v>0</v>
      </c>
      <c r="O983" t="n">
        <v>0</v>
      </c>
      <c r="P983" t="n">
        <v>0</v>
      </c>
      <c r="Q983" t="n">
        <v>0</v>
      </c>
      <c r="R983" s="2" t="inlineStr"/>
    </row>
    <row r="984" ht="15" customHeight="1">
      <c r="A984" t="inlineStr">
        <is>
          <t>A 58160-2024</t>
        </is>
      </c>
      <c r="B984" s="1" t="n">
        <v>45632</v>
      </c>
      <c r="C984" s="1" t="n">
        <v>45749</v>
      </c>
      <c r="D984" t="inlineStr">
        <is>
          <t>GOTLANDS LÄN</t>
        </is>
      </c>
      <c r="E984" t="inlineStr">
        <is>
          <t>GOTLAND</t>
        </is>
      </c>
      <c r="G984" t="n">
        <v>5.6</v>
      </c>
      <c r="H984" t="n">
        <v>0</v>
      </c>
      <c r="I984" t="n">
        <v>0</v>
      </c>
      <c r="J984" t="n">
        <v>0</v>
      </c>
      <c r="K984" t="n">
        <v>0</v>
      </c>
      <c r="L984" t="n">
        <v>0</v>
      </c>
      <c r="M984" t="n">
        <v>0</v>
      </c>
      <c r="N984" t="n">
        <v>0</v>
      </c>
      <c r="O984" t="n">
        <v>0</v>
      </c>
      <c r="P984" t="n">
        <v>0</v>
      </c>
      <c r="Q984" t="n">
        <v>0</v>
      </c>
      <c r="R984" s="2" t="inlineStr"/>
    </row>
    <row r="985" ht="15" customHeight="1">
      <c r="A985" t="inlineStr">
        <is>
          <t>A 58780-2024</t>
        </is>
      </c>
      <c r="B985" s="1" t="n">
        <v>45635</v>
      </c>
      <c r="C985" s="1" t="n">
        <v>45749</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59469-2024</t>
        </is>
      </c>
      <c r="B986" s="1" t="n">
        <v>45638</v>
      </c>
      <c r="C986" s="1" t="n">
        <v>45749</v>
      </c>
      <c r="D986" t="inlineStr">
        <is>
          <t>GOTLANDS LÄN</t>
        </is>
      </c>
      <c r="E986" t="inlineStr">
        <is>
          <t>GOTLAND</t>
        </is>
      </c>
      <c r="G986" t="n">
        <v>0.4</v>
      </c>
      <c r="H986" t="n">
        <v>0</v>
      </c>
      <c r="I986" t="n">
        <v>0</v>
      </c>
      <c r="J986" t="n">
        <v>0</v>
      </c>
      <c r="K986" t="n">
        <v>0</v>
      </c>
      <c r="L986" t="n">
        <v>0</v>
      </c>
      <c r="M986" t="n">
        <v>0</v>
      </c>
      <c r="N986" t="n">
        <v>0</v>
      </c>
      <c r="O986" t="n">
        <v>0</v>
      </c>
      <c r="P986" t="n">
        <v>0</v>
      </c>
      <c r="Q986" t="n">
        <v>0</v>
      </c>
      <c r="R986" s="2" t="inlineStr"/>
    </row>
    <row r="987" ht="15" customHeight="1">
      <c r="A987" t="inlineStr">
        <is>
          <t>A 60910-2024</t>
        </is>
      </c>
      <c r="B987" s="1" t="n">
        <v>45645</v>
      </c>
      <c r="C987" s="1" t="n">
        <v>45749</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60903-2024</t>
        </is>
      </c>
      <c r="B988" s="1" t="n">
        <v>45645</v>
      </c>
      <c r="C988" s="1" t="n">
        <v>45749</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60908-2024</t>
        </is>
      </c>
      <c r="B989" s="1" t="n">
        <v>45645</v>
      </c>
      <c r="C989" s="1" t="n">
        <v>45749</v>
      </c>
      <c r="D989" t="inlineStr">
        <is>
          <t>GOTLANDS LÄN</t>
        </is>
      </c>
      <c r="E989" t="inlineStr">
        <is>
          <t>GOTLAND</t>
        </is>
      </c>
      <c r="G989" t="n">
        <v>7.1</v>
      </c>
      <c r="H989" t="n">
        <v>0</v>
      </c>
      <c r="I989" t="n">
        <v>0</v>
      </c>
      <c r="J989" t="n">
        <v>0</v>
      </c>
      <c r="K989" t="n">
        <v>0</v>
      </c>
      <c r="L989" t="n">
        <v>0</v>
      </c>
      <c r="M989" t="n">
        <v>0</v>
      </c>
      <c r="N989" t="n">
        <v>0</v>
      </c>
      <c r="O989" t="n">
        <v>0</v>
      </c>
      <c r="P989" t="n">
        <v>0</v>
      </c>
      <c r="Q989" t="n">
        <v>0</v>
      </c>
      <c r="R989" s="2" t="inlineStr"/>
    </row>
    <row r="990" ht="15" customHeight="1">
      <c r="A990" t="inlineStr">
        <is>
          <t>A 61664-2024</t>
        </is>
      </c>
      <c r="B990" s="1" t="n">
        <v>45646</v>
      </c>
      <c r="C990" s="1" t="n">
        <v>45749</v>
      </c>
      <c r="D990" t="inlineStr">
        <is>
          <t>GOTLANDS LÄN</t>
        </is>
      </c>
      <c r="E990" t="inlineStr">
        <is>
          <t>GOTLAND</t>
        </is>
      </c>
      <c r="G990" t="n">
        <v>3.8</v>
      </c>
      <c r="H990" t="n">
        <v>0</v>
      </c>
      <c r="I990" t="n">
        <v>0</v>
      </c>
      <c r="J990" t="n">
        <v>0</v>
      </c>
      <c r="K990" t="n">
        <v>0</v>
      </c>
      <c r="L990" t="n">
        <v>0</v>
      </c>
      <c r="M990" t="n">
        <v>0</v>
      </c>
      <c r="N990" t="n">
        <v>0</v>
      </c>
      <c r="O990" t="n">
        <v>0</v>
      </c>
      <c r="P990" t="n">
        <v>0</v>
      </c>
      <c r="Q990" t="n">
        <v>0</v>
      </c>
      <c r="R990" s="2" t="inlineStr"/>
    </row>
    <row r="991" ht="15" customHeight="1">
      <c r="A991" t="inlineStr">
        <is>
          <t>A 61682-2024</t>
        </is>
      </c>
      <c r="B991" s="1" t="n">
        <v>45647</v>
      </c>
      <c r="C991" s="1" t="n">
        <v>45749</v>
      </c>
      <c r="D991" t="inlineStr">
        <is>
          <t>GOTLANDS LÄN</t>
        </is>
      </c>
      <c r="E991" t="inlineStr">
        <is>
          <t>GOTLAND</t>
        </is>
      </c>
      <c r="G991" t="n">
        <v>1.9</v>
      </c>
      <c r="H991" t="n">
        <v>0</v>
      </c>
      <c r="I991" t="n">
        <v>0</v>
      </c>
      <c r="J991" t="n">
        <v>0</v>
      </c>
      <c r="K991" t="n">
        <v>0</v>
      </c>
      <c r="L991" t="n">
        <v>0</v>
      </c>
      <c r="M991" t="n">
        <v>0</v>
      </c>
      <c r="N991" t="n">
        <v>0</v>
      </c>
      <c r="O991" t="n">
        <v>0</v>
      </c>
      <c r="P991" t="n">
        <v>0</v>
      </c>
      <c r="Q991" t="n">
        <v>0</v>
      </c>
      <c r="R991" s="2" t="inlineStr"/>
    </row>
    <row r="992" ht="15" customHeight="1">
      <c r="A992" t="inlineStr">
        <is>
          <t>A 61897-2024</t>
        </is>
      </c>
      <c r="B992" s="1" t="n">
        <v>45652</v>
      </c>
      <c r="C992" s="1" t="n">
        <v>45749</v>
      </c>
      <c r="D992" t="inlineStr">
        <is>
          <t>GOTLANDS LÄN</t>
        </is>
      </c>
      <c r="E992" t="inlineStr">
        <is>
          <t>GOTLAND</t>
        </is>
      </c>
      <c r="G992" t="n">
        <v>6.4</v>
      </c>
      <c r="H992" t="n">
        <v>0</v>
      </c>
      <c r="I992" t="n">
        <v>0</v>
      </c>
      <c r="J992" t="n">
        <v>0</v>
      </c>
      <c r="K992" t="n">
        <v>0</v>
      </c>
      <c r="L992" t="n">
        <v>0</v>
      </c>
      <c r="M992" t="n">
        <v>0</v>
      </c>
      <c r="N992" t="n">
        <v>0</v>
      </c>
      <c r="O992" t="n">
        <v>0</v>
      </c>
      <c r="P992" t="n">
        <v>0</v>
      </c>
      <c r="Q992" t="n">
        <v>0</v>
      </c>
      <c r="R992" s="2" t="inlineStr"/>
    </row>
    <row r="993" ht="15" customHeight="1">
      <c r="A993" t="inlineStr">
        <is>
          <t>A 251-2025</t>
        </is>
      </c>
      <c r="B993" s="1" t="n">
        <v>45653</v>
      </c>
      <c r="C993" s="1" t="n">
        <v>45749</v>
      </c>
      <c r="D993" t="inlineStr">
        <is>
          <t>GOTLANDS LÄN</t>
        </is>
      </c>
      <c r="E993" t="inlineStr">
        <is>
          <t>GOTLAND</t>
        </is>
      </c>
      <c r="G993" t="n">
        <v>5</v>
      </c>
      <c r="H993" t="n">
        <v>0</v>
      </c>
      <c r="I993" t="n">
        <v>0</v>
      </c>
      <c r="J993" t="n">
        <v>0</v>
      </c>
      <c r="K993" t="n">
        <v>0</v>
      </c>
      <c r="L993" t="n">
        <v>0</v>
      </c>
      <c r="M993" t="n">
        <v>0</v>
      </c>
      <c r="N993" t="n">
        <v>0</v>
      </c>
      <c r="O993" t="n">
        <v>0</v>
      </c>
      <c r="P993" t="n">
        <v>0</v>
      </c>
      <c r="Q993" t="n">
        <v>0</v>
      </c>
      <c r="R993" s="2" t="inlineStr"/>
    </row>
    <row r="994" ht="15" customHeight="1">
      <c r="A994" t="inlineStr">
        <is>
          <t>A 61964-2024</t>
        </is>
      </c>
      <c r="B994" s="1" t="n">
        <v>45653</v>
      </c>
      <c r="C994" s="1" t="n">
        <v>45749</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61962-2024</t>
        </is>
      </c>
      <c r="B995" s="1" t="n">
        <v>45653</v>
      </c>
      <c r="C995" s="1" t="n">
        <v>45749</v>
      </c>
      <c r="D995" t="inlineStr">
        <is>
          <t>GOTLANDS LÄN</t>
        </is>
      </c>
      <c r="E995" t="inlineStr">
        <is>
          <t>GOTLAND</t>
        </is>
      </c>
      <c r="G995" t="n">
        <v>0.7</v>
      </c>
      <c r="H995" t="n">
        <v>0</v>
      </c>
      <c r="I995" t="n">
        <v>0</v>
      </c>
      <c r="J995" t="n">
        <v>0</v>
      </c>
      <c r="K995" t="n">
        <v>0</v>
      </c>
      <c r="L995" t="n">
        <v>0</v>
      </c>
      <c r="M995" t="n">
        <v>0</v>
      </c>
      <c r="N995" t="n">
        <v>0</v>
      </c>
      <c r="O995" t="n">
        <v>0</v>
      </c>
      <c r="P995" t="n">
        <v>0</v>
      </c>
      <c r="Q995" t="n">
        <v>0</v>
      </c>
      <c r="R995" s="2" t="inlineStr"/>
    </row>
    <row r="996" ht="15" customHeight="1">
      <c r="A996" t="inlineStr">
        <is>
          <t>A 62127-2024</t>
        </is>
      </c>
      <c r="B996" s="1" t="n">
        <v>45656</v>
      </c>
      <c r="C996" s="1" t="n">
        <v>45749</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883-2025</t>
        </is>
      </c>
      <c r="B997" s="1" t="n">
        <v>45665</v>
      </c>
      <c r="C997" s="1" t="n">
        <v>45749</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717-2025</t>
        </is>
      </c>
      <c r="B998" s="1" t="n">
        <v>45665</v>
      </c>
      <c r="C998" s="1" t="n">
        <v>45749</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1175-2025</t>
        </is>
      </c>
      <c r="B999" s="1" t="n">
        <v>45667</v>
      </c>
      <c r="C999" s="1" t="n">
        <v>45749</v>
      </c>
      <c r="D999" t="inlineStr">
        <is>
          <t>GOTLANDS LÄN</t>
        </is>
      </c>
      <c r="E999" t="inlineStr">
        <is>
          <t>GOTLAND</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1364-2025</t>
        </is>
      </c>
      <c r="B1000" s="1" t="n">
        <v>45667</v>
      </c>
      <c r="C1000" s="1" t="n">
        <v>45749</v>
      </c>
      <c r="D1000" t="inlineStr">
        <is>
          <t>GOTLANDS LÄN</t>
        </is>
      </c>
      <c r="E1000" t="inlineStr">
        <is>
          <t>GOTLAND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1351-2025</t>
        </is>
      </c>
      <c r="B1001" s="1" t="n">
        <v>45667</v>
      </c>
      <c r="C1001" s="1" t="n">
        <v>45749</v>
      </c>
      <c r="D1001" t="inlineStr">
        <is>
          <t>GOTLANDS LÄN</t>
        </is>
      </c>
      <c r="E1001" t="inlineStr">
        <is>
          <t>GOTLAND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1345-2025</t>
        </is>
      </c>
      <c r="B1002" s="1" t="n">
        <v>45667</v>
      </c>
      <c r="C1002" s="1" t="n">
        <v>45749</v>
      </c>
      <c r="D1002" t="inlineStr">
        <is>
          <t>GOTLANDS LÄN</t>
        </is>
      </c>
      <c r="E1002" t="inlineStr">
        <is>
          <t>GOTLAND</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1446-2025</t>
        </is>
      </c>
      <c r="B1003" s="1" t="n">
        <v>45669</v>
      </c>
      <c r="C1003" s="1" t="n">
        <v>45749</v>
      </c>
      <c r="D1003" t="inlineStr">
        <is>
          <t>GOTLANDS LÄN</t>
        </is>
      </c>
      <c r="E1003" t="inlineStr">
        <is>
          <t>GOTLAND</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1803-2025</t>
        </is>
      </c>
      <c r="B1004" s="1" t="n">
        <v>45670</v>
      </c>
      <c r="C1004" s="1" t="n">
        <v>45749</v>
      </c>
      <c r="D1004" t="inlineStr">
        <is>
          <t>GOTLANDS LÄN</t>
        </is>
      </c>
      <c r="E1004" t="inlineStr">
        <is>
          <t>GOTLAND</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1462-2025</t>
        </is>
      </c>
      <c r="B1005" s="1" t="n">
        <v>45670</v>
      </c>
      <c r="C1005" s="1" t="n">
        <v>45749</v>
      </c>
      <c r="D1005" t="inlineStr">
        <is>
          <t>GOTLANDS LÄN</t>
        </is>
      </c>
      <c r="E1005" t="inlineStr">
        <is>
          <t>GOTLAND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1731-2025</t>
        </is>
      </c>
      <c r="B1006" s="1" t="n">
        <v>45671</v>
      </c>
      <c r="C1006" s="1" t="n">
        <v>45749</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1734-2025</t>
        </is>
      </c>
      <c r="B1007" s="1" t="n">
        <v>45671</v>
      </c>
      <c r="C1007" s="1" t="n">
        <v>45749</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1729-2025</t>
        </is>
      </c>
      <c r="B1008" s="1" t="n">
        <v>45671</v>
      </c>
      <c r="C1008" s="1" t="n">
        <v>45749</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1713-2025</t>
        </is>
      </c>
      <c r="B1009" s="1" t="n">
        <v>45671</v>
      </c>
      <c r="C1009" s="1" t="n">
        <v>45749</v>
      </c>
      <c r="D1009" t="inlineStr">
        <is>
          <t>GOTLANDS LÄN</t>
        </is>
      </c>
      <c r="E1009" t="inlineStr">
        <is>
          <t>GOTLAND</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1728-2025</t>
        </is>
      </c>
      <c r="B1010" s="1" t="n">
        <v>45671</v>
      </c>
      <c r="C1010" s="1" t="n">
        <v>45749</v>
      </c>
      <c r="D1010" t="inlineStr">
        <is>
          <t>GOTLANDS LÄN</t>
        </is>
      </c>
      <c r="E1010" t="inlineStr">
        <is>
          <t>GOTLAND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2125-2025</t>
        </is>
      </c>
      <c r="B1011" s="1" t="n">
        <v>45672</v>
      </c>
      <c r="C1011" s="1" t="n">
        <v>45749</v>
      </c>
      <c r="D1011" t="inlineStr">
        <is>
          <t>GOTLANDS LÄN</t>
        </is>
      </c>
      <c r="E1011" t="inlineStr">
        <is>
          <t>GOTLAND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2161-2025</t>
        </is>
      </c>
      <c r="B1012" s="1" t="n">
        <v>45672</v>
      </c>
      <c r="C1012" s="1" t="n">
        <v>45749</v>
      </c>
      <c r="D1012" t="inlineStr">
        <is>
          <t>GOTLANDS LÄN</t>
        </is>
      </c>
      <c r="E1012" t="inlineStr">
        <is>
          <t>GOTLAND</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2050-2025</t>
        </is>
      </c>
      <c r="B1013" s="1" t="n">
        <v>45672</v>
      </c>
      <c r="C1013" s="1" t="n">
        <v>45749</v>
      </c>
      <c r="D1013" t="inlineStr">
        <is>
          <t>GOTLANDS LÄN</t>
        </is>
      </c>
      <c r="E1013" t="inlineStr">
        <is>
          <t>GOTLAND</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2052-2025</t>
        </is>
      </c>
      <c r="B1014" s="1" t="n">
        <v>45672</v>
      </c>
      <c r="C1014" s="1" t="n">
        <v>45749</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2054-2025</t>
        </is>
      </c>
      <c r="B1015" s="1" t="n">
        <v>45672</v>
      </c>
      <c r="C1015" s="1" t="n">
        <v>45749</v>
      </c>
      <c r="D1015" t="inlineStr">
        <is>
          <t>GOTLANDS LÄN</t>
        </is>
      </c>
      <c r="E1015" t="inlineStr">
        <is>
          <t>GOTLAND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2035-2025</t>
        </is>
      </c>
      <c r="B1016" s="1" t="n">
        <v>45672</v>
      </c>
      <c r="C1016" s="1" t="n">
        <v>45749</v>
      </c>
      <c r="D1016" t="inlineStr">
        <is>
          <t>GOTLANDS LÄN</t>
        </is>
      </c>
      <c r="E1016" t="inlineStr">
        <is>
          <t>GOTLAND</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2120-2025</t>
        </is>
      </c>
      <c r="B1017" s="1" t="n">
        <v>45672</v>
      </c>
      <c r="C1017" s="1" t="n">
        <v>45749</v>
      </c>
      <c r="D1017" t="inlineStr">
        <is>
          <t>GOTLANDS LÄN</t>
        </is>
      </c>
      <c r="E1017" t="inlineStr">
        <is>
          <t>GOTLAND</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2033-2025</t>
        </is>
      </c>
      <c r="B1018" s="1" t="n">
        <v>45672</v>
      </c>
      <c r="C1018" s="1" t="n">
        <v>45749</v>
      </c>
      <c r="D1018" t="inlineStr">
        <is>
          <t>GOTLANDS LÄN</t>
        </is>
      </c>
      <c r="E1018" t="inlineStr">
        <is>
          <t>GOTLAND</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2180-2025</t>
        </is>
      </c>
      <c r="B1019" s="1" t="n">
        <v>45673</v>
      </c>
      <c r="C1019" s="1" t="n">
        <v>45749</v>
      </c>
      <c r="D1019" t="inlineStr">
        <is>
          <t>GOTLANDS LÄN</t>
        </is>
      </c>
      <c r="E1019" t="inlineStr">
        <is>
          <t>GOTLAND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2241-2025</t>
        </is>
      </c>
      <c r="B1020" s="1" t="n">
        <v>45673</v>
      </c>
      <c r="C1020" s="1" t="n">
        <v>45749</v>
      </c>
      <c r="D1020" t="inlineStr">
        <is>
          <t>GOTLANDS LÄN</t>
        </is>
      </c>
      <c r="E1020" t="inlineStr">
        <is>
          <t>GOTLAND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2772-2025</t>
        </is>
      </c>
      <c r="B1021" s="1" t="n">
        <v>45677</v>
      </c>
      <c r="C1021" s="1" t="n">
        <v>45749</v>
      </c>
      <c r="D1021" t="inlineStr">
        <is>
          <t>GOTLANDS LÄN</t>
        </is>
      </c>
      <c r="E1021" t="inlineStr">
        <is>
          <t>GOTLAND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2721-2025</t>
        </is>
      </c>
      <c r="B1022" s="1" t="n">
        <v>45677</v>
      </c>
      <c r="C1022" s="1" t="n">
        <v>45749</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3061-2025</t>
        </is>
      </c>
      <c r="B1023" s="1" t="n">
        <v>45678</v>
      </c>
      <c r="C1023" s="1" t="n">
        <v>45749</v>
      </c>
      <c r="D1023" t="inlineStr">
        <is>
          <t>GOTLANDS LÄN</t>
        </is>
      </c>
      <c r="E1023" t="inlineStr">
        <is>
          <t>GOTLAND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3274-2025</t>
        </is>
      </c>
      <c r="B1024" s="1" t="n">
        <v>45679</v>
      </c>
      <c r="C1024" s="1" t="n">
        <v>45749</v>
      </c>
      <c r="D1024" t="inlineStr">
        <is>
          <t>GOTLANDS LÄN</t>
        </is>
      </c>
      <c r="E1024" t="inlineStr">
        <is>
          <t>GOTLAND</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3150-2025</t>
        </is>
      </c>
      <c r="B1025" s="1" t="n">
        <v>45679</v>
      </c>
      <c r="C1025" s="1" t="n">
        <v>45749</v>
      </c>
      <c r="D1025" t="inlineStr">
        <is>
          <t>GOTLANDS LÄN</t>
        </is>
      </c>
      <c r="E1025" t="inlineStr">
        <is>
          <t>GOTLAND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3431-2025</t>
        </is>
      </c>
      <c r="B1026" s="1" t="n">
        <v>45680</v>
      </c>
      <c r="C1026" s="1" t="n">
        <v>45749</v>
      </c>
      <c r="D1026" t="inlineStr">
        <is>
          <t>GOTLANDS LÄN</t>
        </is>
      </c>
      <c r="E1026" t="inlineStr">
        <is>
          <t>GOTLAND</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3416-2025</t>
        </is>
      </c>
      <c r="B1027" s="1" t="n">
        <v>45680</v>
      </c>
      <c r="C1027" s="1" t="n">
        <v>45749</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3935-2025</t>
        </is>
      </c>
      <c r="B1028" s="1" t="n">
        <v>45684</v>
      </c>
      <c r="C1028" s="1" t="n">
        <v>45749</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3930-2025</t>
        </is>
      </c>
      <c r="B1029" s="1" t="n">
        <v>45684</v>
      </c>
      <c r="C1029" s="1" t="n">
        <v>45749</v>
      </c>
      <c r="D1029" t="inlineStr">
        <is>
          <t>GOTLANDS LÄN</t>
        </is>
      </c>
      <c r="E1029" t="inlineStr">
        <is>
          <t>GOTLAND</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4191-2025</t>
        </is>
      </c>
      <c r="B1030" s="1" t="n">
        <v>45685</v>
      </c>
      <c r="C1030" s="1" t="n">
        <v>45749</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4420-2025</t>
        </is>
      </c>
      <c r="B1031" s="1" t="n">
        <v>45686</v>
      </c>
      <c r="C1031" s="1" t="n">
        <v>45749</v>
      </c>
      <c r="D1031" t="inlineStr">
        <is>
          <t>GOTLANDS LÄN</t>
        </is>
      </c>
      <c r="E1031" t="inlineStr">
        <is>
          <t>GOTLAND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4568-2025</t>
        </is>
      </c>
      <c r="B1032" s="1" t="n">
        <v>45687</v>
      </c>
      <c r="C1032" s="1" t="n">
        <v>45749</v>
      </c>
      <c r="D1032" t="inlineStr">
        <is>
          <t>GOTLANDS LÄN</t>
        </is>
      </c>
      <c r="E1032" t="inlineStr">
        <is>
          <t>GOTLAND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4677-2025</t>
        </is>
      </c>
      <c r="B1033" s="1" t="n">
        <v>45687</v>
      </c>
      <c r="C1033" s="1" t="n">
        <v>45749</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4990-2025</t>
        </is>
      </c>
      <c r="B1034" s="1" t="n">
        <v>45691</v>
      </c>
      <c r="C1034" s="1" t="n">
        <v>45749</v>
      </c>
      <c r="D1034" t="inlineStr">
        <is>
          <t>GOTLANDS LÄN</t>
        </is>
      </c>
      <c r="E1034" t="inlineStr">
        <is>
          <t>GOTLAND</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5270-2025</t>
        </is>
      </c>
      <c r="B1035" s="1" t="n">
        <v>45692</v>
      </c>
      <c r="C1035" s="1" t="n">
        <v>45749</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5235-2025</t>
        </is>
      </c>
      <c r="B1036" s="1" t="n">
        <v>45692</v>
      </c>
      <c r="C1036" s="1" t="n">
        <v>45749</v>
      </c>
      <c r="D1036" t="inlineStr">
        <is>
          <t>GOTLANDS LÄN</t>
        </is>
      </c>
      <c r="E1036" t="inlineStr">
        <is>
          <t>GOTLAND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5462-2025</t>
        </is>
      </c>
      <c r="B1037" s="1" t="n">
        <v>45693</v>
      </c>
      <c r="C1037" s="1" t="n">
        <v>45749</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5676-2025</t>
        </is>
      </c>
      <c r="B1038" s="1" t="n">
        <v>45694</v>
      </c>
      <c r="C1038" s="1" t="n">
        <v>45749</v>
      </c>
      <c r="D1038" t="inlineStr">
        <is>
          <t>GOTLANDS LÄN</t>
        </is>
      </c>
      <c r="E1038" t="inlineStr">
        <is>
          <t>GOTLAND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5757-2025</t>
        </is>
      </c>
      <c r="B1039" s="1" t="n">
        <v>45694</v>
      </c>
      <c r="C1039" s="1" t="n">
        <v>45749</v>
      </c>
      <c r="D1039" t="inlineStr">
        <is>
          <t>GOTLANDS LÄN</t>
        </is>
      </c>
      <c r="E1039" t="inlineStr">
        <is>
          <t>GOTLAND</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5674-2025</t>
        </is>
      </c>
      <c r="B1040" s="1" t="n">
        <v>45694</v>
      </c>
      <c r="C1040" s="1" t="n">
        <v>45749</v>
      </c>
      <c r="D1040" t="inlineStr">
        <is>
          <t>GOTLANDS LÄN</t>
        </is>
      </c>
      <c r="E1040" t="inlineStr">
        <is>
          <t>GOTLAND</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5897-2025</t>
        </is>
      </c>
      <c r="B1041" s="1" t="n">
        <v>45695</v>
      </c>
      <c r="C1041" s="1" t="n">
        <v>45749</v>
      </c>
      <c r="D1041" t="inlineStr">
        <is>
          <t>GOTLANDS LÄN</t>
        </is>
      </c>
      <c r="E1041" t="inlineStr">
        <is>
          <t>GOTLAND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5909-2025</t>
        </is>
      </c>
      <c r="B1042" s="1" t="n">
        <v>45695</v>
      </c>
      <c r="C1042" s="1" t="n">
        <v>45749</v>
      </c>
      <c r="D1042" t="inlineStr">
        <is>
          <t>GOTLANDS LÄN</t>
        </is>
      </c>
      <c r="E1042" t="inlineStr">
        <is>
          <t>GOTLAND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5891-2025</t>
        </is>
      </c>
      <c r="B1043" s="1" t="n">
        <v>45695</v>
      </c>
      <c r="C1043" s="1" t="n">
        <v>45749</v>
      </c>
      <c r="D1043" t="inlineStr">
        <is>
          <t>GOTLANDS LÄN</t>
        </is>
      </c>
      <c r="E1043" t="inlineStr">
        <is>
          <t>GOTLAND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5884-2025</t>
        </is>
      </c>
      <c r="B1044" s="1" t="n">
        <v>45695</v>
      </c>
      <c r="C1044" s="1" t="n">
        <v>45749</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6108-2025</t>
        </is>
      </c>
      <c r="B1045" s="1" t="n">
        <v>45698</v>
      </c>
      <c r="C1045" s="1" t="n">
        <v>45749</v>
      </c>
      <c r="D1045" t="inlineStr">
        <is>
          <t>GOTLANDS LÄN</t>
        </is>
      </c>
      <c r="E1045" t="inlineStr">
        <is>
          <t>GOTLAND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6792-2025</t>
        </is>
      </c>
      <c r="B1046" s="1" t="n">
        <v>45700</v>
      </c>
      <c r="C1046" s="1" t="n">
        <v>45749</v>
      </c>
      <c r="D1046" t="inlineStr">
        <is>
          <t>GOTLANDS LÄN</t>
        </is>
      </c>
      <c r="E1046" t="inlineStr">
        <is>
          <t>GOTLAND</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6749-2025</t>
        </is>
      </c>
      <c r="B1047" s="1" t="n">
        <v>45700</v>
      </c>
      <c r="C1047" s="1" t="n">
        <v>45749</v>
      </c>
      <c r="D1047" t="inlineStr">
        <is>
          <t>GOTLANDS LÄN</t>
        </is>
      </c>
      <c r="E1047" t="inlineStr">
        <is>
          <t>GOTLAND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6688-2025</t>
        </is>
      </c>
      <c r="B1048" s="1" t="n">
        <v>45700</v>
      </c>
      <c r="C1048" s="1" t="n">
        <v>45749</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6796-2025</t>
        </is>
      </c>
      <c r="B1049" s="1" t="n">
        <v>45700</v>
      </c>
      <c r="C1049" s="1" t="n">
        <v>45749</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6739-2025</t>
        </is>
      </c>
      <c r="B1050" s="1" t="n">
        <v>45700</v>
      </c>
      <c r="C1050" s="1" t="n">
        <v>45749</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6960-2025</t>
        </is>
      </c>
      <c r="B1051" s="1" t="n">
        <v>45701</v>
      </c>
      <c r="C1051" s="1" t="n">
        <v>45749</v>
      </c>
      <c r="D1051" t="inlineStr">
        <is>
          <t>GOTLANDS LÄN</t>
        </is>
      </c>
      <c r="E1051" t="inlineStr">
        <is>
          <t>GOTLAND</t>
        </is>
      </c>
      <c r="G1051" t="n">
        <v>4</v>
      </c>
      <c r="H1051" t="n">
        <v>0</v>
      </c>
      <c r="I1051" t="n">
        <v>0</v>
      </c>
      <c r="J1051" t="n">
        <v>0</v>
      </c>
      <c r="K1051" t="n">
        <v>0</v>
      </c>
      <c r="L1051" t="n">
        <v>0</v>
      </c>
      <c r="M1051" t="n">
        <v>0</v>
      </c>
      <c r="N1051" t="n">
        <v>0</v>
      </c>
      <c r="O1051" t="n">
        <v>0</v>
      </c>
      <c r="P1051" t="n">
        <v>0</v>
      </c>
      <c r="Q1051" t="n">
        <v>0</v>
      </c>
      <c r="R1051" s="2" t="inlineStr"/>
      <c r="U1051">
        <f>HYPERLINK("https://klasma.github.io/Logging_0980/knärot/A 6960-2025 karta knärot.png", "A 6960-2025")</f>
        <v/>
      </c>
      <c r="V1051">
        <f>HYPERLINK("https://klasma.github.io/Logging_0980/klagomål/A 6960-2025 FSC-klagomål.docx", "A 6960-2025")</f>
        <v/>
      </c>
      <c r="W1051">
        <f>HYPERLINK("https://klasma.github.io/Logging_0980/klagomålsmail/A 6960-2025 FSC-klagomål mail.docx", "A 6960-2025")</f>
        <v/>
      </c>
      <c r="X1051">
        <f>HYPERLINK("https://klasma.github.io/Logging_0980/tillsyn/A 6960-2025 tillsynsbegäran.docx", "A 6960-2025")</f>
        <v/>
      </c>
      <c r="Y1051">
        <f>HYPERLINK("https://klasma.github.io/Logging_0980/tillsynsmail/A 6960-2025 tillsynsbegäran mail.docx", "A 6960-2025")</f>
        <v/>
      </c>
    </row>
    <row r="1052" ht="15" customHeight="1">
      <c r="A1052" t="inlineStr">
        <is>
          <t>A 6913-2025</t>
        </is>
      </c>
      <c r="B1052" s="1" t="n">
        <v>45701</v>
      </c>
      <c r="C1052" s="1" t="n">
        <v>45749</v>
      </c>
      <c r="D1052" t="inlineStr">
        <is>
          <t>GOTLANDS LÄN</t>
        </is>
      </c>
      <c r="E1052" t="inlineStr">
        <is>
          <t>GOTLAND</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7636-2025</t>
        </is>
      </c>
      <c r="B1053" s="1" t="n">
        <v>45705</v>
      </c>
      <c r="C1053" s="1" t="n">
        <v>45749</v>
      </c>
      <c r="D1053" t="inlineStr">
        <is>
          <t>GOTLANDS LÄN</t>
        </is>
      </c>
      <c r="E1053" t="inlineStr">
        <is>
          <t>GOTLAND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45749</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7635-2025</t>
        </is>
      </c>
      <c r="B1055" s="1" t="n">
        <v>45705</v>
      </c>
      <c r="C1055" s="1" t="n">
        <v>45749</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7638-2025</t>
        </is>
      </c>
      <c r="B1056" s="1" t="n">
        <v>45705</v>
      </c>
      <c r="C1056" s="1" t="n">
        <v>45749</v>
      </c>
      <c r="D1056" t="inlineStr">
        <is>
          <t>GOTLANDS LÄN</t>
        </is>
      </c>
      <c r="E1056" t="inlineStr">
        <is>
          <t>GOTLAND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7455-2025</t>
        </is>
      </c>
      <c r="B1057" s="1" t="n">
        <v>45705</v>
      </c>
      <c r="C1057" s="1" t="n">
        <v>45749</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7426-2025</t>
        </is>
      </c>
      <c r="B1058" s="1" t="n">
        <v>45705</v>
      </c>
      <c r="C1058" s="1" t="n">
        <v>45749</v>
      </c>
      <c r="D1058" t="inlineStr">
        <is>
          <t>GOTLANDS LÄN</t>
        </is>
      </c>
      <c r="E1058" t="inlineStr">
        <is>
          <t>GOTLAND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7850-2025</t>
        </is>
      </c>
      <c r="B1059" s="1" t="n">
        <v>45706</v>
      </c>
      <c r="C1059" s="1" t="n">
        <v>45749</v>
      </c>
      <c r="D1059" t="inlineStr">
        <is>
          <t>GOTLANDS LÄN</t>
        </is>
      </c>
      <c r="E1059" t="inlineStr">
        <is>
          <t>GOTLAND</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7858-2025</t>
        </is>
      </c>
      <c r="B1060" s="1" t="n">
        <v>45706</v>
      </c>
      <c r="C1060" s="1" t="n">
        <v>45749</v>
      </c>
      <c r="D1060" t="inlineStr">
        <is>
          <t>GOTLANDS LÄN</t>
        </is>
      </c>
      <c r="E1060" t="inlineStr">
        <is>
          <t>GOTLAND</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7910-2025</t>
        </is>
      </c>
      <c r="B1061" s="1" t="n">
        <v>45707</v>
      </c>
      <c r="C1061" s="1" t="n">
        <v>45749</v>
      </c>
      <c r="D1061" t="inlineStr">
        <is>
          <t>GOTLANDS LÄN</t>
        </is>
      </c>
      <c r="E1061" t="inlineStr">
        <is>
          <t>GOTLAND</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8444-2025</t>
        </is>
      </c>
      <c r="B1062" s="1" t="n">
        <v>45709</v>
      </c>
      <c r="C1062" s="1" t="n">
        <v>45749</v>
      </c>
      <c r="D1062" t="inlineStr">
        <is>
          <t>GOTLANDS LÄN</t>
        </is>
      </c>
      <c r="E1062" t="inlineStr">
        <is>
          <t>GOTLAND</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8484-2025</t>
        </is>
      </c>
      <c r="B1063" s="1" t="n">
        <v>45709</v>
      </c>
      <c r="C1063" s="1" t="n">
        <v>45749</v>
      </c>
      <c r="D1063" t="inlineStr">
        <is>
          <t>GOTLANDS LÄN</t>
        </is>
      </c>
      <c r="E1063" t="inlineStr">
        <is>
          <t>GOTLAND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45749</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8701-2025</t>
        </is>
      </c>
      <c r="B1065" s="1" t="n">
        <v>45712</v>
      </c>
      <c r="C1065" s="1" t="n">
        <v>45749</v>
      </c>
      <c r="D1065" t="inlineStr">
        <is>
          <t>GOTLANDS LÄN</t>
        </is>
      </c>
      <c r="E1065" t="inlineStr">
        <is>
          <t>GOTLAND</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8684-2025</t>
        </is>
      </c>
      <c r="B1066" s="1" t="n">
        <v>45712</v>
      </c>
      <c r="C1066" s="1" t="n">
        <v>45749</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8645-2025</t>
        </is>
      </c>
      <c r="B1067" s="1" t="n">
        <v>45712</v>
      </c>
      <c r="C1067" s="1" t="n">
        <v>45749</v>
      </c>
      <c r="D1067" t="inlineStr">
        <is>
          <t>GOTLANDS LÄN</t>
        </is>
      </c>
      <c r="E1067" t="inlineStr">
        <is>
          <t>GOTLAND</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8683-2025</t>
        </is>
      </c>
      <c r="B1068" s="1" t="n">
        <v>45712</v>
      </c>
      <c r="C1068" s="1" t="n">
        <v>45749</v>
      </c>
      <c r="D1068" t="inlineStr">
        <is>
          <t>GOTLANDS LÄN</t>
        </is>
      </c>
      <c r="E1068" t="inlineStr">
        <is>
          <t>GOTLAND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9236-2025</t>
        </is>
      </c>
      <c r="B1069" s="1" t="n">
        <v>45714</v>
      </c>
      <c r="C1069" s="1" t="n">
        <v>45749</v>
      </c>
      <c r="D1069" t="inlineStr">
        <is>
          <t>GOTLANDS LÄN</t>
        </is>
      </c>
      <c r="E1069" t="inlineStr">
        <is>
          <t>GOTLAND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9503-2025</t>
        </is>
      </c>
      <c r="B1070" s="1" t="n">
        <v>45715</v>
      </c>
      <c r="C1070" s="1" t="n">
        <v>45749</v>
      </c>
      <c r="D1070" t="inlineStr">
        <is>
          <t>GOTLANDS LÄN</t>
        </is>
      </c>
      <c r="E1070" t="inlineStr">
        <is>
          <t>GOTLAND</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9481-2025</t>
        </is>
      </c>
      <c r="B1071" s="1" t="n">
        <v>45715</v>
      </c>
      <c r="C1071" s="1" t="n">
        <v>45749</v>
      </c>
      <c r="D1071" t="inlineStr">
        <is>
          <t>GOTLANDS LÄN</t>
        </is>
      </c>
      <c r="E1071" t="inlineStr">
        <is>
          <t>GOTLAND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9613-2025</t>
        </is>
      </c>
      <c r="B1072" s="1" t="n">
        <v>45715</v>
      </c>
      <c r="C1072" s="1" t="n">
        <v>45749</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9887-2025</t>
        </is>
      </c>
      <c r="B1073" s="1" t="n">
        <v>45716</v>
      </c>
      <c r="C1073" s="1" t="n">
        <v>45749</v>
      </c>
      <c r="D1073" t="inlineStr">
        <is>
          <t>GOTLANDS LÄN</t>
        </is>
      </c>
      <c r="E1073" t="inlineStr">
        <is>
          <t>GOTLAND</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9875-2025</t>
        </is>
      </c>
      <c r="B1074" s="1" t="n">
        <v>45716</v>
      </c>
      <c r="C1074" s="1" t="n">
        <v>45749</v>
      </c>
      <c r="D1074" t="inlineStr">
        <is>
          <t>GOTLANDS LÄN</t>
        </is>
      </c>
      <c r="E1074" t="inlineStr">
        <is>
          <t>GOTLAND</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10158-2025</t>
        </is>
      </c>
      <c r="B1075" s="1" t="n">
        <v>45719</v>
      </c>
      <c r="C1075" s="1" t="n">
        <v>45749</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10218-2025</t>
        </is>
      </c>
      <c r="B1076" s="1" t="n">
        <v>45720</v>
      </c>
      <c r="C1076" s="1" t="n">
        <v>45749</v>
      </c>
      <c r="D1076" t="inlineStr">
        <is>
          <t>GOTLANDS LÄN</t>
        </is>
      </c>
      <c r="E1076" t="inlineStr">
        <is>
          <t>GOTLAND</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10497-2025</t>
        </is>
      </c>
      <c r="B1077" s="1" t="n">
        <v>45721</v>
      </c>
      <c r="C1077" s="1" t="n">
        <v>45749</v>
      </c>
      <c r="D1077" t="inlineStr">
        <is>
          <t>GOTLANDS LÄN</t>
        </is>
      </c>
      <c r="E1077" t="inlineStr">
        <is>
          <t>GOTLAND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10652-2025</t>
        </is>
      </c>
      <c r="B1078" s="1" t="n">
        <v>45721</v>
      </c>
      <c r="C1078" s="1" t="n">
        <v>45749</v>
      </c>
      <c r="D1078" t="inlineStr">
        <is>
          <t>GOTLANDS LÄN</t>
        </is>
      </c>
      <c r="E1078" t="inlineStr">
        <is>
          <t>GOTLAND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10813-2025</t>
        </is>
      </c>
      <c r="B1079" s="1" t="n">
        <v>45722</v>
      </c>
      <c r="C1079" s="1" t="n">
        <v>45749</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10746-2025</t>
        </is>
      </c>
      <c r="B1080" s="1" t="n">
        <v>45722</v>
      </c>
      <c r="C1080" s="1" t="n">
        <v>45749</v>
      </c>
      <c r="D1080" t="inlineStr">
        <is>
          <t>GOTLANDS LÄN</t>
        </is>
      </c>
      <c r="E1080" t="inlineStr">
        <is>
          <t>GOTLAND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12032-2025</t>
        </is>
      </c>
      <c r="B1081" s="1" t="n">
        <v>45728</v>
      </c>
      <c r="C1081" s="1" t="n">
        <v>45749</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12123-2025</t>
        </is>
      </c>
      <c r="B1082" s="1" t="n">
        <v>45729</v>
      </c>
      <c r="C1082" s="1" t="n">
        <v>45749</v>
      </c>
      <c r="D1082" t="inlineStr">
        <is>
          <t>GOTLANDS LÄN</t>
        </is>
      </c>
      <c r="E1082" t="inlineStr">
        <is>
          <t>GOTLAND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12322-2025</t>
        </is>
      </c>
      <c r="B1083" s="1" t="n">
        <v>45730</v>
      </c>
      <c r="C1083" s="1" t="n">
        <v>45749</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12327-2025</t>
        </is>
      </c>
      <c r="B1084" s="1" t="n">
        <v>45730</v>
      </c>
      <c r="C1084" s="1" t="n">
        <v>45749</v>
      </c>
      <c r="D1084" t="inlineStr">
        <is>
          <t>GOTLANDS LÄN</t>
        </is>
      </c>
      <c r="E1084" t="inlineStr">
        <is>
          <t>GOTLAND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12330-2025</t>
        </is>
      </c>
      <c r="B1085" s="1" t="n">
        <v>45730</v>
      </c>
      <c r="C1085" s="1" t="n">
        <v>45749</v>
      </c>
      <c r="D1085" t="inlineStr">
        <is>
          <t>GOTLANDS LÄN</t>
        </is>
      </c>
      <c r="E1085" t="inlineStr">
        <is>
          <t>GOTLAND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12846-2025</t>
        </is>
      </c>
      <c r="B1086" s="1" t="n">
        <v>45733</v>
      </c>
      <c r="C1086" s="1" t="n">
        <v>45749</v>
      </c>
      <c r="D1086" t="inlineStr">
        <is>
          <t>GOTLANDS LÄN</t>
        </is>
      </c>
      <c r="E1086" t="inlineStr">
        <is>
          <t>GOTLAND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12599-2025</t>
        </is>
      </c>
      <c r="B1087" s="1" t="n">
        <v>45733</v>
      </c>
      <c r="C1087" s="1" t="n">
        <v>45749</v>
      </c>
      <c r="D1087" t="inlineStr">
        <is>
          <t>GOTLANDS LÄN</t>
        </is>
      </c>
      <c r="E1087" t="inlineStr">
        <is>
          <t>GOTLAND</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13037-2025</t>
        </is>
      </c>
      <c r="B1088" s="1" t="n">
        <v>45734</v>
      </c>
      <c r="C1088" s="1" t="n">
        <v>45749</v>
      </c>
      <c r="D1088" t="inlineStr">
        <is>
          <t>GOTLANDS LÄN</t>
        </is>
      </c>
      <c r="E1088" t="inlineStr">
        <is>
          <t>GOTLAND</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13910-2025</t>
        </is>
      </c>
      <c r="B1089" s="1" t="n">
        <v>45737</v>
      </c>
      <c r="C1089" s="1" t="n">
        <v>45749</v>
      </c>
      <c r="D1089" t="inlineStr">
        <is>
          <t>GOTLANDS LÄN</t>
        </is>
      </c>
      <c r="E1089" t="inlineStr">
        <is>
          <t>GOTLAND</t>
        </is>
      </c>
      <c r="F1089" t="inlineStr">
        <is>
          <t>Kommuner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14570-2025</t>
        </is>
      </c>
      <c r="B1090" s="1" t="n">
        <v>45741</v>
      </c>
      <c r="C1090" s="1" t="n">
        <v>45749</v>
      </c>
      <c r="D1090" t="inlineStr">
        <is>
          <t>GOTLANDS LÄN</t>
        </is>
      </c>
      <c r="E1090" t="inlineStr">
        <is>
          <t>GOTLAND</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45749</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14638-2025</t>
        </is>
      </c>
      <c r="B1092" s="1" t="n">
        <v>45742</v>
      </c>
      <c r="C1092" s="1" t="n">
        <v>45749</v>
      </c>
      <c r="D1092" t="inlineStr">
        <is>
          <t>GOTLANDS LÄN</t>
        </is>
      </c>
      <c r="E1092" t="inlineStr">
        <is>
          <t>GOTLAND</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15001-2025</t>
        </is>
      </c>
      <c r="B1093" s="1" t="n">
        <v>45743</v>
      </c>
      <c r="C1093" s="1" t="n">
        <v>45749</v>
      </c>
      <c r="D1093" t="inlineStr">
        <is>
          <t>GOTLANDS LÄN</t>
        </is>
      </c>
      <c r="E1093" t="inlineStr">
        <is>
          <t>GOTLAND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15075-2025</t>
        </is>
      </c>
      <c r="B1094" s="1" t="n">
        <v>45743</v>
      </c>
      <c r="C1094" s="1" t="n">
        <v>45749</v>
      </c>
      <c r="D1094" t="inlineStr">
        <is>
          <t>GOTLANDS LÄN</t>
        </is>
      </c>
      <c r="E1094" t="inlineStr">
        <is>
          <t>GOTLAND</t>
        </is>
      </c>
      <c r="G1094" t="n">
        <v>20.9</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45749</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14915-2025</t>
        </is>
      </c>
      <c r="B1096" s="1" t="n">
        <v>45743</v>
      </c>
      <c r="C1096" s="1" t="n">
        <v>45749</v>
      </c>
      <c r="D1096" t="inlineStr">
        <is>
          <t>GOTLANDS LÄN</t>
        </is>
      </c>
      <c r="E1096" t="inlineStr">
        <is>
          <t>GOTLAND</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45749</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15216-2025</t>
        </is>
      </c>
      <c r="B1098" s="1" t="n">
        <v>45744</v>
      </c>
      <c r="C1098" s="1" t="n">
        <v>45749</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15413-2025</t>
        </is>
      </c>
      <c r="B1099" s="1" t="n">
        <v>45747</v>
      </c>
      <c r="C1099" s="1" t="n">
        <v>45749</v>
      </c>
      <c r="D1099" t="inlineStr">
        <is>
          <t>GOTLANDS LÄN</t>
        </is>
      </c>
      <c r="E1099" t="inlineStr">
        <is>
          <t>GOTLAND</t>
        </is>
      </c>
      <c r="G1099" t="n">
        <v>0.6</v>
      </c>
      <c r="H1099" t="n">
        <v>0</v>
      </c>
      <c r="I1099" t="n">
        <v>0</v>
      </c>
      <c r="J1099" t="n">
        <v>0</v>
      </c>
      <c r="K1099" t="n">
        <v>0</v>
      </c>
      <c r="L1099" t="n">
        <v>0</v>
      </c>
      <c r="M1099" t="n">
        <v>0</v>
      </c>
      <c r="N1099" t="n">
        <v>0</v>
      </c>
      <c r="O1099" t="n">
        <v>0</v>
      </c>
      <c r="P1099" t="n">
        <v>0</v>
      </c>
      <c r="Q1099" t="n">
        <v>0</v>
      </c>
      <c r="R1099" s="2" t="inlineStr"/>
    </row>
    <row r="1100">
      <c r="A1100" t="inlineStr">
        <is>
          <t>A 15436-2025</t>
        </is>
      </c>
      <c r="B1100" s="1" t="n">
        <v>45747</v>
      </c>
      <c r="C1100" s="1" t="n">
        <v>45749</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2025-04-02T17:08:38Z</dcterms:created>
  <dcterms:modified xmlns:dcterms="http://purl.org/dc/terms/" xmlns:xsi="http://www.w3.org/2001/XMLSchema-instance" xsi:type="dcterms:W3CDTF">2025-04-02T17:08:39Z</dcterms:modified>
</cp:coreProperties>
</file>