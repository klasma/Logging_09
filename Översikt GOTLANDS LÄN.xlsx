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46110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46110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46110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46110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46110</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46110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46110</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46110</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46110</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46110</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46110</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42607-2025</t>
        </is>
      </c>
      <c r="B13" s="1" t="n">
        <v>45905</v>
      </c>
      <c r="C13" s="1" t="n">
        <v>46110</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46110</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46110</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46110</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46110</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46110</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15068-2025</t>
        </is>
      </c>
      <c r="B19" s="1" t="n">
        <v>45743</v>
      </c>
      <c r="C19" s="1" t="n">
        <v>46110</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530-2024</t>
        </is>
      </c>
      <c r="B20" s="1" t="n">
        <v>45299</v>
      </c>
      <c r="C20" s="1" t="n">
        <v>46110</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8645-2025</t>
        </is>
      </c>
      <c r="B21" s="1" t="n">
        <v>45712</v>
      </c>
      <c r="C21" s="1" t="n">
        <v>46110</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46110</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24575-2025</t>
        </is>
      </c>
      <c r="B23" s="1" t="n">
        <v>45798</v>
      </c>
      <c r="C23" s="1" t="n">
        <v>46110</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46110</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34100-2024</t>
        </is>
      </c>
      <c r="B25" s="1" t="n">
        <v>45523</v>
      </c>
      <c r="C25" s="1" t="n">
        <v>46110</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Vanliga ängsnycklar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46110</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Fläcknycklar
Vanliga ängsnycklar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15629-2024</t>
        </is>
      </c>
      <c r="B27" s="1" t="n">
        <v>45402.78372685185</v>
      </c>
      <c r="C27" s="1" t="n">
        <v>46110</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17762-2024</t>
        </is>
      </c>
      <c r="B28" s="1" t="n">
        <v>45418</v>
      </c>
      <c r="C28" s="1" t="n">
        <v>46110</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46110</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46110</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2222-2024</t>
        </is>
      </c>
      <c r="B31" s="1" t="n">
        <v>45309</v>
      </c>
      <c r="C31" s="1" t="n">
        <v>46110</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25779-2022</t>
        </is>
      </c>
      <c r="B32" s="1" t="n">
        <v>44733</v>
      </c>
      <c r="C32" s="1" t="n">
        <v>46110</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44928-2022</t>
        </is>
      </c>
      <c r="B33" s="1" t="n">
        <v>44841</v>
      </c>
      <c r="C33" s="1" t="n">
        <v>46110</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44204-2022</t>
        </is>
      </c>
      <c r="B34" s="1" t="n">
        <v>44839</v>
      </c>
      <c r="C34" s="1" t="n">
        <v>46110</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2804-2023</t>
        </is>
      </c>
      <c r="B35" s="1" t="n">
        <v>44944</v>
      </c>
      <c r="C35" s="1" t="n">
        <v>46110</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35141-2022</t>
        </is>
      </c>
      <c r="B36" s="1" t="n">
        <v>44797.53318287037</v>
      </c>
      <c r="C36" s="1" t="n">
        <v>46110</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3324-2023</t>
        </is>
      </c>
      <c r="B37" s="1" t="n">
        <v>44949</v>
      </c>
      <c r="C37" s="1" t="n">
        <v>46110</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61664-2023</t>
        </is>
      </c>
      <c r="B38" s="1" t="n">
        <v>45265</v>
      </c>
      <c r="C38" s="1" t="n">
        <v>46110</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46110</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63872-2021</t>
        </is>
      </c>
      <c r="B40" s="1" t="n">
        <v>44509</v>
      </c>
      <c r="C40" s="1" t="n">
        <v>46110</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46110</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37037-2021</t>
        </is>
      </c>
      <c r="B42" s="1" t="n">
        <v>44393.84688657407</v>
      </c>
      <c r="C42" s="1" t="n">
        <v>46110</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6052-2024</t>
        </is>
      </c>
      <c r="B43" s="1" t="n">
        <v>45336</v>
      </c>
      <c r="C43" s="1" t="n">
        <v>46110</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46110</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46110</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43201-2023</t>
        </is>
      </c>
      <c r="B46" s="1" t="n">
        <v>45183</v>
      </c>
      <c r="C46" s="1" t="n">
        <v>46110</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22404-2024</t>
        </is>
      </c>
      <c r="B47" s="1" t="n">
        <v>45446</v>
      </c>
      <c r="C47" s="1" t="n">
        <v>46110</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14354-2024</t>
        </is>
      </c>
      <c r="B48" s="1" t="n">
        <v>45393</v>
      </c>
      <c r="C48" s="1" t="n">
        <v>46110</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46110</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46110</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46110</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46110</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46110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59132-2024</t>
        </is>
      </c>
      <c r="B54" s="1" t="n">
        <v>45637</v>
      </c>
      <c r="C54" s="1" t="n">
        <v>46110</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46110</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46110</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46110</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46110</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46110</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46110</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46110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46110</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4984-2025</t>
        </is>
      </c>
      <c r="B63" s="1" t="n">
        <v>45691.29891203704</v>
      </c>
      <c r="C63" s="1" t="n">
        <v>46110</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46110</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44944-2022</t>
        </is>
      </c>
      <c r="B65" s="1" t="n">
        <v>44841</v>
      </c>
      <c r="C65" s="1" t="n">
        <v>46110</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46110</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46110</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10419-2025</t>
        </is>
      </c>
      <c r="B68" s="1" t="n">
        <v>45720</v>
      </c>
      <c r="C68" s="1" t="n">
        <v>46110</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46110</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46110</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446-2023</t>
        </is>
      </c>
      <c r="B71" s="1" t="n">
        <v>44929</v>
      </c>
      <c r="C71" s="1" t="n">
        <v>46110</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46110</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16823-2024</t>
        </is>
      </c>
      <c r="B73" s="1" t="n">
        <v>45411</v>
      </c>
      <c r="C73" s="1" t="n">
        <v>46110</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57773-2025</t>
        </is>
      </c>
      <c r="B74" s="1" t="n">
        <v>45981.56349537037</v>
      </c>
      <c r="C74" s="1" t="n">
        <v>46110</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54527-2023</t>
        </is>
      </c>
      <c r="B75" s="1" t="n">
        <v>45233</v>
      </c>
      <c r="C75" s="1" t="n">
        <v>46110</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54527-2023</t>
        </is>
      </c>
      <c r="B76" s="1" t="n">
        <v>45233</v>
      </c>
      <c r="C76" s="1" t="n">
        <v>46110</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7038-2023</t>
        </is>
      </c>
      <c r="B77" s="1" t="n">
        <v>44968</v>
      </c>
      <c r="C77" s="1" t="n">
        <v>46110</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66091-2021</t>
        </is>
      </c>
      <c r="B78" s="1" t="n">
        <v>44517</v>
      </c>
      <c r="C78" s="1" t="n">
        <v>46110</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54055-2022</t>
        </is>
      </c>
      <c r="B79" s="1" t="n">
        <v>44881</v>
      </c>
      <c r="C79" s="1" t="n">
        <v>46110</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16375-2025</t>
        </is>
      </c>
      <c r="B80" s="1" t="n">
        <v>45751.41064814815</v>
      </c>
      <c r="C80" s="1" t="n">
        <v>46110</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42936-2024</t>
        </is>
      </c>
      <c r="B81" s="1" t="n">
        <v>45567</v>
      </c>
      <c r="C81" s="1" t="n">
        <v>46110</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10274-2026</t>
        </is>
      </c>
      <c r="B82" s="1" t="n">
        <v>46076.58261574074</v>
      </c>
      <c r="C82" s="1" t="n">
        <v>46110</v>
      </c>
      <c r="D82" t="inlineStr">
        <is>
          <t>GOTLANDS LÄN</t>
        </is>
      </c>
      <c r="E82" t="inlineStr">
        <is>
          <t>GOTLAND</t>
        </is>
      </c>
      <c r="G82" t="n">
        <v>9.800000000000001</v>
      </c>
      <c r="H82" t="n">
        <v>2</v>
      </c>
      <c r="I82" t="n">
        <v>2</v>
      </c>
      <c r="J82" t="n">
        <v>1</v>
      </c>
      <c r="K82" t="n">
        <v>1</v>
      </c>
      <c r="L82" t="n">
        <v>0</v>
      </c>
      <c r="M82" t="n">
        <v>0</v>
      </c>
      <c r="N82" t="n">
        <v>0</v>
      </c>
      <c r="O82" t="n">
        <v>2</v>
      </c>
      <c r="P82" t="n">
        <v>1</v>
      </c>
      <c r="Q82" t="n">
        <v>5</v>
      </c>
      <c r="R82" s="2" t="inlineStr">
        <is>
          <t>Gråfingerört
Spillkråka
Axag
Grönpyrola
Alvarstånds</t>
        </is>
      </c>
      <c r="S82">
        <f>HYPERLINK("https://klasma.github.io/Logging_0980/artfynd/A 10274-2026 artfynd.xlsx", "A 10274-2026")</f>
        <v/>
      </c>
      <c r="T82">
        <f>HYPERLINK("https://klasma.github.io/Logging_0980/kartor/A 10274-2026 karta.png", "A 10274-2026")</f>
        <v/>
      </c>
      <c r="V82">
        <f>HYPERLINK("https://klasma.github.io/Logging_0980/klagomål/A 10274-2026 FSC-klagomål.docx", "A 10274-2026")</f>
        <v/>
      </c>
      <c r="W82">
        <f>HYPERLINK("https://klasma.github.io/Logging_0980/klagomålsmail/A 10274-2026 FSC-klagomål mail.docx", "A 10274-2026")</f>
        <v/>
      </c>
      <c r="X82">
        <f>HYPERLINK("https://klasma.github.io/Logging_0980/tillsyn/A 10274-2026 tillsynsbegäran.docx", "A 10274-2026")</f>
        <v/>
      </c>
      <c r="Y82">
        <f>HYPERLINK("https://klasma.github.io/Logging_0980/tillsynsmail/A 10274-2026 tillsynsbegäran mail.docx", "A 10274-2026")</f>
        <v/>
      </c>
      <c r="Z82">
        <f>HYPERLINK("https://klasma.github.io/Logging_0980/fåglar/A 10274-2026 prioriterade fågelarter.docx", "A 10274-2026")</f>
        <v/>
      </c>
    </row>
    <row r="83" ht="15" customHeight="1">
      <c r="A83" t="inlineStr">
        <is>
          <t>A 52245-2025</t>
        </is>
      </c>
      <c r="B83" s="1" t="n">
        <v>45953.47115740741</v>
      </c>
      <c r="C83" s="1" t="n">
        <v>46110</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6839-2026</t>
        </is>
      </c>
      <c r="B84" s="1" t="n">
        <v>46057.41193287037</v>
      </c>
      <c r="C84" s="1" t="n">
        <v>46110</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35293-2025</t>
        </is>
      </c>
      <c r="B85" s="1" t="n">
        <v>45854.39438657407</v>
      </c>
      <c r="C85" s="1" t="n">
        <v>46110</v>
      </c>
      <c r="D85" t="inlineStr">
        <is>
          <t>GOTLANDS LÄN</t>
        </is>
      </c>
      <c r="E85" t="inlineStr">
        <is>
          <t>GOTLAND</t>
        </is>
      </c>
      <c r="G85" t="n">
        <v>9.199999999999999</v>
      </c>
      <c r="H85" t="n">
        <v>1</v>
      </c>
      <c r="I85" t="n">
        <v>1</v>
      </c>
      <c r="J85" t="n">
        <v>4</v>
      </c>
      <c r="K85" t="n">
        <v>0</v>
      </c>
      <c r="L85" t="n">
        <v>0</v>
      </c>
      <c r="M85" t="n">
        <v>0</v>
      </c>
      <c r="N85" t="n">
        <v>0</v>
      </c>
      <c r="O85" t="n">
        <v>4</v>
      </c>
      <c r="P85" t="n">
        <v>0</v>
      </c>
      <c r="Q85" t="n">
        <v>5</v>
      </c>
      <c r="R85" s="2" t="inlineStr">
        <is>
          <t>Krusfrö
Loppstarr
Svinrot
Ängsstarr
Skogsknipprot</t>
        </is>
      </c>
      <c r="S85">
        <f>HYPERLINK("https://klasma.github.io/Logging_0980/artfynd/A 35293-2025 artfynd.xlsx", "A 35293-2025")</f>
        <v/>
      </c>
      <c r="T85">
        <f>HYPERLINK("https://klasma.github.io/Logging_0980/kartor/A 35293-2025 karta.png", "A 35293-2025")</f>
        <v/>
      </c>
      <c r="V85">
        <f>HYPERLINK("https://klasma.github.io/Logging_0980/klagomål/A 35293-2025 FSC-klagomål.docx", "A 35293-2025")</f>
        <v/>
      </c>
      <c r="W85">
        <f>HYPERLINK("https://klasma.github.io/Logging_0980/klagomålsmail/A 35293-2025 FSC-klagomål mail.docx", "A 35293-2025")</f>
        <v/>
      </c>
      <c r="X85">
        <f>HYPERLINK("https://klasma.github.io/Logging_0980/tillsyn/A 35293-2025 tillsynsbegäran.docx", "A 35293-2025")</f>
        <v/>
      </c>
      <c r="Y85">
        <f>HYPERLINK("https://klasma.github.io/Logging_0980/tillsynsmail/A 35293-2025 tillsynsbegäran mail.docx", "A 35293-2025")</f>
        <v/>
      </c>
    </row>
    <row r="86" ht="15" customHeight="1">
      <c r="A86" t="inlineStr">
        <is>
          <t>A 39425-2023</t>
        </is>
      </c>
      <c r="B86" s="1" t="n">
        <v>45166</v>
      </c>
      <c r="C86" s="1" t="n">
        <v>46110</v>
      </c>
      <c r="D86" t="inlineStr">
        <is>
          <t>GOTLANDS LÄN</t>
        </is>
      </c>
      <c r="E86" t="inlineStr">
        <is>
          <t>GOTLAND</t>
        </is>
      </c>
      <c r="G86" t="n">
        <v>3.9</v>
      </c>
      <c r="H86" t="n">
        <v>1</v>
      </c>
      <c r="I86" t="n">
        <v>3</v>
      </c>
      <c r="J86" t="n">
        <v>0</v>
      </c>
      <c r="K86" t="n">
        <v>2</v>
      </c>
      <c r="L86" t="n">
        <v>0</v>
      </c>
      <c r="M86" t="n">
        <v>0</v>
      </c>
      <c r="N86" t="n">
        <v>0</v>
      </c>
      <c r="O86" t="n">
        <v>2</v>
      </c>
      <c r="P86" t="n">
        <v>2</v>
      </c>
      <c r="Q86" t="n">
        <v>5</v>
      </c>
      <c r="R86" s="2" t="inlineStr">
        <is>
          <t>Knärot
Violgubbe
Anisspindling
Rödgul trumpetsvamp
Svavelriska</t>
        </is>
      </c>
      <c r="S86">
        <f>HYPERLINK("https://klasma.github.io/Logging_0980/artfynd/A 39425-2023 artfynd.xlsx", "A 39425-2023")</f>
        <v/>
      </c>
      <c r="T86">
        <f>HYPERLINK("https://klasma.github.io/Logging_0980/kartor/A 39425-2023 karta.png", "A 39425-2023")</f>
        <v/>
      </c>
      <c r="U86">
        <f>HYPERLINK("https://klasma.github.io/Logging_0980/knärot/A 39425-2023 karta knärot.png", "A 39425-2023")</f>
        <v/>
      </c>
      <c r="V86">
        <f>HYPERLINK("https://klasma.github.io/Logging_0980/klagomål/A 39425-2023 FSC-klagomål.docx", "A 39425-2023")</f>
        <v/>
      </c>
      <c r="W86">
        <f>HYPERLINK("https://klasma.github.io/Logging_0980/klagomålsmail/A 39425-2023 FSC-klagomål mail.docx", "A 39425-2023")</f>
        <v/>
      </c>
      <c r="X86">
        <f>HYPERLINK("https://klasma.github.io/Logging_0980/tillsyn/A 39425-2023 tillsynsbegäran.docx", "A 39425-2023")</f>
        <v/>
      </c>
      <c r="Y86">
        <f>HYPERLINK("https://klasma.github.io/Logging_0980/tillsynsmail/A 39425-2023 tillsynsbegäran mail.docx", "A 39425-2023")</f>
        <v/>
      </c>
    </row>
    <row r="87" ht="15" customHeight="1">
      <c r="A87" t="inlineStr">
        <is>
          <t>A 2213-2023</t>
        </is>
      </c>
      <c r="B87" s="1" t="n">
        <v>44942</v>
      </c>
      <c r="C87" s="1" t="n">
        <v>46110</v>
      </c>
      <c r="D87" t="inlineStr">
        <is>
          <t>GOTLANDS LÄN</t>
        </is>
      </c>
      <c r="E87" t="inlineStr">
        <is>
          <t>GOTLAND</t>
        </is>
      </c>
      <c r="G87" t="n">
        <v>2.7</v>
      </c>
      <c r="H87" t="n">
        <v>1</v>
      </c>
      <c r="I87" t="n">
        <v>0</v>
      </c>
      <c r="J87" t="n">
        <v>4</v>
      </c>
      <c r="K87" t="n">
        <v>1</v>
      </c>
      <c r="L87" t="n">
        <v>0</v>
      </c>
      <c r="M87" t="n">
        <v>0</v>
      </c>
      <c r="N87" t="n">
        <v>0</v>
      </c>
      <c r="O87" t="n">
        <v>5</v>
      </c>
      <c r="P87" t="n">
        <v>1</v>
      </c>
      <c r="Q87" t="n">
        <v>5</v>
      </c>
      <c r="R87" s="2" t="inlineStr">
        <is>
          <t>Garderönn
Backtimjan
Odörspindling
Smedbock
Svinrot</t>
        </is>
      </c>
      <c r="S87">
        <f>HYPERLINK("https://klasma.github.io/Logging_0980/artfynd/A 2213-2023 artfynd.xlsx", "A 2213-2023")</f>
        <v/>
      </c>
      <c r="T87">
        <f>HYPERLINK("https://klasma.github.io/Logging_0980/kartor/A 2213-2023 karta.png", "A 2213-2023")</f>
        <v/>
      </c>
      <c r="V87">
        <f>HYPERLINK("https://klasma.github.io/Logging_0980/klagomål/A 2213-2023 FSC-klagomål.docx", "A 2213-2023")</f>
        <v/>
      </c>
      <c r="W87">
        <f>HYPERLINK("https://klasma.github.io/Logging_0980/klagomålsmail/A 2213-2023 FSC-klagomål mail.docx", "A 2213-2023")</f>
        <v/>
      </c>
      <c r="X87">
        <f>HYPERLINK("https://klasma.github.io/Logging_0980/tillsyn/A 2213-2023 tillsynsbegäran.docx", "A 2213-2023")</f>
        <v/>
      </c>
      <c r="Y87">
        <f>HYPERLINK("https://klasma.github.io/Logging_0980/tillsynsmail/A 2213-2023 tillsynsbegäran mail.docx", "A 2213-2023")</f>
        <v/>
      </c>
    </row>
    <row r="88" ht="15" customHeight="1">
      <c r="A88" t="inlineStr">
        <is>
          <t>A 32326-2024</t>
        </is>
      </c>
      <c r="B88" s="1" t="n">
        <v>45512</v>
      </c>
      <c r="C88" s="1" t="n">
        <v>46110</v>
      </c>
      <c r="D88" t="inlineStr">
        <is>
          <t>GOTLANDS LÄN</t>
        </is>
      </c>
      <c r="E88" t="inlineStr">
        <is>
          <t>GOTLAND</t>
        </is>
      </c>
      <c r="G88" t="n">
        <v>9.199999999999999</v>
      </c>
      <c r="H88" t="n">
        <v>3</v>
      </c>
      <c r="I88" t="n">
        <v>2</v>
      </c>
      <c r="J88" t="n">
        <v>2</v>
      </c>
      <c r="K88" t="n">
        <v>0</v>
      </c>
      <c r="L88" t="n">
        <v>0</v>
      </c>
      <c r="M88" t="n">
        <v>0</v>
      </c>
      <c r="N88" t="n">
        <v>0</v>
      </c>
      <c r="O88" t="n">
        <v>2</v>
      </c>
      <c r="P88" t="n">
        <v>0</v>
      </c>
      <c r="Q88" t="n">
        <v>5</v>
      </c>
      <c r="R88" s="2" t="inlineStr">
        <is>
          <t>Jordtistel
Svinrot
Purpurknipprot
Skogsknipprot
Brudsporre</t>
        </is>
      </c>
      <c r="S88">
        <f>HYPERLINK("https://klasma.github.io/Logging_0980/artfynd/A 32326-2024 artfynd.xlsx", "A 32326-2024")</f>
        <v/>
      </c>
      <c r="T88">
        <f>HYPERLINK("https://klasma.github.io/Logging_0980/kartor/A 32326-2024 karta.png", "A 32326-2024")</f>
        <v/>
      </c>
      <c r="V88">
        <f>HYPERLINK("https://klasma.github.io/Logging_0980/klagomål/A 32326-2024 FSC-klagomål.docx", "A 32326-2024")</f>
        <v/>
      </c>
      <c r="W88">
        <f>HYPERLINK("https://klasma.github.io/Logging_0980/klagomålsmail/A 32326-2024 FSC-klagomål mail.docx", "A 32326-2024")</f>
        <v/>
      </c>
      <c r="X88">
        <f>HYPERLINK("https://klasma.github.io/Logging_0980/tillsyn/A 32326-2024 tillsynsbegäran.docx", "A 32326-2024")</f>
        <v/>
      </c>
      <c r="Y88">
        <f>HYPERLINK("https://klasma.github.io/Logging_0980/tillsynsmail/A 32326-2024 tillsynsbegäran mail.docx", "A 32326-2024")</f>
        <v/>
      </c>
    </row>
    <row r="89" ht="15" customHeight="1">
      <c r="A89" t="inlineStr">
        <is>
          <t>A 29331-2021</t>
        </is>
      </c>
      <c r="B89" s="1" t="n">
        <v>44361</v>
      </c>
      <c r="C89" s="1" t="n">
        <v>46110</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46110</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6159-2023</t>
        </is>
      </c>
      <c r="B91" s="1" t="n">
        <v>44964</v>
      </c>
      <c r="C91" s="1" t="n">
        <v>46110</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40099-2025</t>
        </is>
      </c>
      <c r="B92" s="1" t="n">
        <v>45894.48462962963</v>
      </c>
      <c r="C92" s="1" t="n">
        <v>46110</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54523-2023</t>
        </is>
      </c>
      <c r="B93" s="1" t="n">
        <v>45233</v>
      </c>
      <c r="C93" s="1" t="n">
        <v>46110</v>
      </c>
      <c r="D93" t="inlineStr">
        <is>
          <t>GOTLANDS LÄN</t>
        </is>
      </c>
      <c r="E93" t="inlineStr">
        <is>
          <t>GOTLAND</t>
        </is>
      </c>
      <c r="G93" t="n">
        <v>3.7</v>
      </c>
      <c r="H93" t="n">
        <v>2</v>
      </c>
      <c r="I93" t="n">
        <v>0</v>
      </c>
      <c r="J93" t="n">
        <v>1</v>
      </c>
      <c r="K93" t="n">
        <v>1</v>
      </c>
      <c r="L93" t="n">
        <v>0</v>
      </c>
      <c r="M93" t="n">
        <v>0</v>
      </c>
      <c r="N93" t="n">
        <v>0</v>
      </c>
      <c r="O93" t="n">
        <v>2</v>
      </c>
      <c r="P93" t="n">
        <v>1</v>
      </c>
      <c r="Q93" t="n">
        <v>4</v>
      </c>
      <c r="R93" s="2" t="inlineStr">
        <is>
          <t>Sommarklynne
Åkerkulla
Brudsporre
Kärrknipprot</t>
        </is>
      </c>
      <c r="S93">
        <f>HYPERLINK("https://klasma.github.io/Logging_0980/artfynd/A 54523-2023 artfynd.xlsx", "A 54523-2023")</f>
        <v/>
      </c>
      <c r="T93">
        <f>HYPERLINK("https://klasma.github.io/Logging_0980/kartor/A 54523-2023 karta.png", "A 54523-2023")</f>
        <v/>
      </c>
      <c r="V93">
        <f>HYPERLINK("https://klasma.github.io/Logging_0980/klagomål/A 54523-2023 FSC-klagomål.docx", "A 54523-2023")</f>
        <v/>
      </c>
      <c r="W93">
        <f>HYPERLINK("https://klasma.github.io/Logging_0980/klagomålsmail/A 54523-2023 FSC-klagomål mail.docx", "A 54523-2023")</f>
        <v/>
      </c>
      <c r="X93">
        <f>HYPERLINK("https://klasma.github.io/Logging_0980/tillsyn/A 54523-2023 tillsynsbegäran.docx", "A 54523-2023")</f>
        <v/>
      </c>
      <c r="Y93">
        <f>HYPERLINK("https://klasma.github.io/Logging_0980/tillsynsmail/A 54523-2023 tillsynsbegäran mail.docx", "A 54523-2023")</f>
        <v/>
      </c>
    </row>
    <row r="94" ht="15" customHeight="1">
      <c r="A94" t="inlineStr">
        <is>
          <t>A 43197-2023</t>
        </is>
      </c>
      <c r="B94" s="1" t="n">
        <v>45183</v>
      </c>
      <c r="C94" s="1" t="n">
        <v>46110</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1971-2023</t>
        </is>
      </c>
      <c r="B95" s="1" t="n">
        <v>44939</v>
      </c>
      <c r="C95" s="1" t="n">
        <v>46110</v>
      </c>
      <c r="D95" t="inlineStr">
        <is>
          <t>GOTLANDS LÄN</t>
        </is>
      </c>
      <c r="E95" t="inlineStr">
        <is>
          <t>GOTLAND</t>
        </is>
      </c>
      <c r="G95" t="n">
        <v>5.5</v>
      </c>
      <c r="H95" t="n">
        <v>0</v>
      </c>
      <c r="I95" t="n">
        <v>2</v>
      </c>
      <c r="J95" t="n">
        <v>1</v>
      </c>
      <c r="K95" t="n">
        <v>1</v>
      </c>
      <c r="L95" t="n">
        <v>0</v>
      </c>
      <c r="M95" t="n">
        <v>0</v>
      </c>
      <c r="N95" t="n">
        <v>0</v>
      </c>
      <c r="O95" t="n">
        <v>2</v>
      </c>
      <c r="P95" t="n">
        <v>1</v>
      </c>
      <c r="Q95" t="n">
        <v>4</v>
      </c>
      <c r="R95" s="2" t="inlineStr">
        <is>
          <t>Gulsträngad fagerspindling
Svinrot
Fjällig taggsvamp s.str.
Olivspindling</t>
        </is>
      </c>
      <c r="S95">
        <f>HYPERLINK("https://klasma.github.io/Logging_0980/artfynd/A 1971-2023 artfynd.xlsx", "A 1971-2023")</f>
        <v/>
      </c>
      <c r="T95">
        <f>HYPERLINK("https://klasma.github.io/Logging_0980/kartor/A 1971-2023 karta.png", "A 1971-2023")</f>
        <v/>
      </c>
      <c r="V95">
        <f>HYPERLINK("https://klasma.github.io/Logging_0980/klagomål/A 1971-2023 FSC-klagomål.docx", "A 1971-2023")</f>
        <v/>
      </c>
      <c r="W95">
        <f>HYPERLINK("https://klasma.github.io/Logging_0980/klagomålsmail/A 1971-2023 FSC-klagomål mail.docx", "A 1971-2023")</f>
        <v/>
      </c>
      <c r="X95">
        <f>HYPERLINK("https://klasma.github.io/Logging_0980/tillsyn/A 1971-2023 tillsynsbegäran.docx", "A 1971-2023")</f>
        <v/>
      </c>
      <c r="Y95">
        <f>HYPERLINK("https://klasma.github.io/Logging_0980/tillsynsmail/A 1971-2023 tillsynsbegäran mail.docx", "A 1971-2023")</f>
        <v/>
      </c>
    </row>
    <row r="96" ht="15" customHeight="1">
      <c r="A96" t="inlineStr">
        <is>
          <t>A 57463-2025</t>
        </is>
      </c>
      <c r="B96" s="1" t="n">
        <v>45980.54174768519</v>
      </c>
      <c r="C96" s="1" t="n">
        <v>46110</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52250-2025</t>
        </is>
      </c>
      <c r="B97" s="1" t="n">
        <v>45953.48998842593</v>
      </c>
      <c r="C97" s="1" t="n">
        <v>46110</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13203-2026</t>
        </is>
      </c>
      <c r="B98" s="1" t="n">
        <v>46093</v>
      </c>
      <c r="C98" s="1" t="n">
        <v>46110</v>
      </c>
      <c r="D98" t="inlineStr">
        <is>
          <t>GOTLANDS LÄN</t>
        </is>
      </c>
      <c r="E98" t="inlineStr">
        <is>
          <t>GOTLAND</t>
        </is>
      </c>
      <c r="G98" t="n">
        <v>4.5</v>
      </c>
      <c r="H98" t="n">
        <v>2</v>
      </c>
      <c r="I98" t="n">
        <v>1</v>
      </c>
      <c r="J98" t="n">
        <v>1</v>
      </c>
      <c r="K98" t="n">
        <v>1</v>
      </c>
      <c r="L98" t="n">
        <v>0</v>
      </c>
      <c r="M98" t="n">
        <v>0</v>
      </c>
      <c r="N98" t="n">
        <v>0</v>
      </c>
      <c r="O98" t="n">
        <v>2</v>
      </c>
      <c r="P98" t="n">
        <v>1</v>
      </c>
      <c r="Q98" t="n">
        <v>4</v>
      </c>
      <c r="R98" s="2" t="inlineStr">
        <is>
          <t>Gotlandsmåra
Svinrot
Nästrot
Grönvit nattviol</t>
        </is>
      </c>
      <c r="S98">
        <f>HYPERLINK("https://klasma.github.io/Logging_0980/artfynd/A 13203-2026 artfynd.xlsx", "A 13203-2026")</f>
        <v/>
      </c>
      <c r="T98">
        <f>HYPERLINK("https://klasma.github.io/Logging_0980/kartor/A 13203-2026 karta.png", "A 13203-2026")</f>
        <v/>
      </c>
      <c r="V98">
        <f>HYPERLINK("https://klasma.github.io/Logging_0980/klagomål/A 13203-2026 FSC-klagomål.docx", "A 13203-2026")</f>
        <v/>
      </c>
      <c r="W98">
        <f>HYPERLINK("https://klasma.github.io/Logging_0980/klagomålsmail/A 13203-2026 FSC-klagomål mail.docx", "A 13203-2026")</f>
        <v/>
      </c>
      <c r="X98">
        <f>HYPERLINK("https://klasma.github.io/Logging_0980/tillsyn/A 13203-2026 tillsynsbegäran.docx", "A 13203-2026")</f>
        <v/>
      </c>
      <c r="Y98">
        <f>HYPERLINK("https://klasma.github.io/Logging_0980/tillsynsmail/A 13203-2026 tillsynsbegäran mail.docx", "A 13203-2026")</f>
        <v/>
      </c>
    </row>
    <row r="99" ht="15" customHeight="1">
      <c r="A99" t="inlineStr">
        <is>
          <t>A 6836-2026</t>
        </is>
      </c>
      <c r="B99" s="1" t="n">
        <v>46057.40902777778</v>
      </c>
      <c r="C99" s="1" t="n">
        <v>46110</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20833-2024</t>
        </is>
      </c>
      <c r="B100" s="1" t="n">
        <v>45439</v>
      </c>
      <c r="C100" s="1" t="n">
        <v>46110</v>
      </c>
      <c r="D100" t="inlineStr">
        <is>
          <t>GOTLANDS LÄN</t>
        </is>
      </c>
      <c r="E100" t="inlineStr">
        <is>
          <t>GOTLAND</t>
        </is>
      </c>
      <c r="G100" t="n">
        <v>0.9</v>
      </c>
      <c r="H100" t="n">
        <v>3</v>
      </c>
      <c r="I100" t="n">
        <v>1</v>
      </c>
      <c r="J100" t="n">
        <v>3</v>
      </c>
      <c r="K100" t="n">
        <v>0</v>
      </c>
      <c r="L100" t="n">
        <v>0</v>
      </c>
      <c r="M100" t="n">
        <v>0</v>
      </c>
      <c r="N100" t="n">
        <v>0</v>
      </c>
      <c r="O100" t="n">
        <v>3</v>
      </c>
      <c r="P100" t="n">
        <v>0</v>
      </c>
      <c r="Q100" t="n">
        <v>4</v>
      </c>
      <c r="R100" s="2" t="inlineStr">
        <is>
          <t>Dårgräsfjäril
Spillkråka
Svinrot
Skogsknipprot</t>
        </is>
      </c>
      <c r="S100">
        <f>HYPERLINK("https://klasma.github.io/Logging_0980/artfynd/A 20833-2024 artfynd.xlsx", "A 20833-2024")</f>
        <v/>
      </c>
      <c r="T100">
        <f>HYPERLINK("https://klasma.github.io/Logging_0980/kartor/A 20833-2024 karta.png", "A 20833-2024")</f>
        <v/>
      </c>
      <c r="V100">
        <f>HYPERLINK("https://klasma.github.io/Logging_0980/klagomål/A 20833-2024 FSC-klagomål.docx", "A 20833-2024")</f>
        <v/>
      </c>
      <c r="W100">
        <f>HYPERLINK("https://klasma.github.io/Logging_0980/klagomålsmail/A 20833-2024 FSC-klagomål mail.docx", "A 20833-2024")</f>
        <v/>
      </c>
      <c r="X100">
        <f>HYPERLINK("https://klasma.github.io/Logging_0980/tillsyn/A 20833-2024 tillsynsbegäran.docx", "A 20833-2024")</f>
        <v/>
      </c>
      <c r="Y100">
        <f>HYPERLINK("https://klasma.github.io/Logging_0980/tillsynsmail/A 20833-2024 tillsynsbegäran mail.docx", "A 20833-2024")</f>
        <v/>
      </c>
      <c r="Z100">
        <f>HYPERLINK("https://klasma.github.io/Logging_0980/fåglar/A 20833-2024 prioriterade fågelarter.docx", "A 20833-2024")</f>
        <v/>
      </c>
    </row>
    <row r="101" ht="15" customHeight="1">
      <c r="A101" t="inlineStr">
        <is>
          <t>A 44933-2022</t>
        </is>
      </c>
      <c r="B101" s="1" t="n">
        <v>44841</v>
      </c>
      <c r="C101" s="1" t="n">
        <v>46110</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2485-2025</t>
        </is>
      </c>
      <c r="B102" s="1" t="n">
        <v>45673</v>
      </c>
      <c r="C102" s="1" t="n">
        <v>46110</v>
      </c>
      <c r="D102" t="inlineStr">
        <is>
          <t>GOTLANDS LÄN</t>
        </is>
      </c>
      <c r="E102" t="inlineStr">
        <is>
          <t>GOTLAND</t>
        </is>
      </c>
      <c r="G102" t="n">
        <v>5</v>
      </c>
      <c r="H102" t="n">
        <v>2</v>
      </c>
      <c r="I102" t="n">
        <v>2</v>
      </c>
      <c r="J102" t="n">
        <v>0</v>
      </c>
      <c r="K102" t="n">
        <v>2</v>
      </c>
      <c r="L102" t="n">
        <v>0</v>
      </c>
      <c r="M102" t="n">
        <v>0</v>
      </c>
      <c r="N102" t="n">
        <v>0</v>
      </c>
      <c r="O102" t="n">
        <v>2</v>
      </c>
      <c r="P102" t="n">
        <v>2</v>
      </c>
      <c r="Q102" t="n">
        <v>4</v>
      </c>
      <c r="R102" s="2" t="inlineStr">
        <is>
          <t>Gotlandsmåra
Skogskorn
Nästrot
Skogsknipprot</t>
        </is>
      </c>
      <c r="S102">
        <f>HYPERLINK("https://klasma.github.io/Logging_0980/artfynd/A 2485-2025 artfynd.xlsx", "A 2485-2025")</f>
        <v/>
      </c>
      <c r="T102">
        <f>HYPERLINK("https://klasma.github.io/Logging_0980/kartor/A 2485-2025 karta.png", "A 2485-2025")</f>
        <v/>
      </c>
      <c r="V102">
        <f>HYPERLINK("https://klasma.github.io/Logging_0980/klagomål/A 2485-2025 FSC-klagomål.docx", "A 2485-2025")</f>
        <v/>
      </c>
      <c r="W102">
        <f>HYPERLINK("https://klasma.github.io/Logging_0980/klagomålsmail/A 2485-2025 FSC-klagomål mail.docx", "A 2485-2025")</f>
        <v/>
      </c>
      <c r="X102">
        <f>HYPERLINK("https://klasma.github.io/Logging_0980/tillsyn/A 2485-2025 tillsynsbegäran.docx", "A 2485-2025")</f>
        <v/>
      </c>
      <c r="Y102">
        <f>HYPERLINK("https://klasma.github.io/Logging_0980/tillsynsmail/A 2485-2025 tillsynsbegäran mail.docx", "A 2485-2025")</f>
        <v/>
      </c>
    </row>
    <row r="103" ht="15" customHeight="1">
      <c r="A103" t="inlineStr">
        <is>
          <t>A 8265-2023</t>
        </is>
      </c>
      <c r="B103" s="1" t="n">
        <v>44974</v>
      </c>
      <c r="C103" s="1" t="n">
        <v>46110</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186-2023</t>
        </is>
      </c>
      <c r="B104" s="1" t="n">
        <v>44928</v>
      </c>
      <c r="C104" s="1" t="n">
        <v>46110</v>
      </c>
      <c r="D104" t="inlineStr">
        <is>
          <t>GOTLANDS LÄN</t>
        </is>
      </c>
      <c r="E104" t="inlineStr">
        <is>
          <t>GOTLAND</t>
        </is>
      </c>
      <c r="G104" t="n">
        <v>2.2</v>
      </c>
      <c r="H104" t="n">
        <v>2</v>
      </c>
      <c r="I104" t="n">
        <v>2</v>
      </c>
      <c r="J104" t="n">
        <v>0</v>
      </c>
      <c r="K104" t="n">
        <v>2</v>
      </c>
      <c r="L104" t="n">
        <v>0</v>
      </c>
      <c r="M104" t="n">
        <v>0</v>
      </c>
      <c r="N104" t="n">
        <v>0</v>
      </c>
      <c r="O104" t="n">
        <v>2</v>
      </c>
      <c r="P104" t="n">
        <v>2</v>
      </c>
      <c r="Q104" t="n">
        <v>4</v>
      </c>
      <c r="R104" s="2" t="inlineStr">
        <is>
          <t>Svartgrön spindling
Vit taggsvamp
Nästrot
Skogsknipprot</t>
        </is>
      </c>
      <c r="S104">
        <f>HYPERLINK("https://klasma.github.io/Logging_0980/artfynd/A 186-2023 artfynd.xlsx", "A 186-2023")</f>
        <v/>
      </c>
      <c r="T104">
        <f>HYPERLINK("https://klasma.github.io/Logging_0980/kartor/A 186-2023 karta.png", "A 186-2023")</f>
        <v/>
      </c>
      <c r="V104">
        <f>HYPERLINK("https://klasma.github.io/Logging_0980/klagomål/A 186-2023 FSC-klagomål.docx", "A 186-2023")</f>
        <v/>
      </c>
      <c r="W104">
        <f>HYPERLINK("https://klasma.github.io/Logging_0980/klagomålsmail/A 186-2023 FSC-klagomål mail.docx", "A 186-2023")</f>
        <v/>
      </c>
      <c r="X104">
        <f>HYPERLINK("https://klasma.github.io/Logging_0980/tillsyn/A 186-2023 tillsynsbegäran.docx", "A 186-2023")</f>
        <v/>
      </c>
      <c r="Y104">
        <f>HYPERLINK("https://klasma.github.io/Logging_0980/tillsynsmail/A 186-2023 tillsynsbegäran mail.docx", "A 186-2023")</f>
        <v/>
      </c>
    </row>
    <row r="105" ht="15" customHeight="1">
      <c r="A105" t="inlineStr">
        <is>
          <t>A 56717-2024</t>
        </is>
      </c>
      <c r="B105" s="1" t="n">
        <v>45628.3166550926</v>
      </c>
      <c r="C105" s="1" t="n">
        <v>46110</v>
      </c>
      <c r="D105" t="inlineStr">
        <is>
          <t>GOTLANDS LÄN</t>
        </is>
      </c>
      <c r="E105" t="inlineStr">
        <is>
          <t>GOTLAND</t>
        </is>
      </c>
      <c r="G105" t="n">
        <v>9.699999999999999</v>
      </c>
      <c r="H105" t="n">
        <v>0</v>
      </c>
      <c r="I105" t="n">
        <v>2</v>
      </c>
      <c r="J105" t="n">
        <v>2</v>
      </c>
      <c r="K105" t="n">
        <v>0</v>
      </c>
      <c r="L105" t="n">
        <v>0</v>
      </c>
      <c r="M105" t="n">
        <v>0</v>
      </c>
      <c r="N105" t="n">
        <v>0</v>
      </c>
      <c r="O105" t="n">
        <v>2</v>
      </c>
      <c r="P105" t="n">
        <v>0</v>
      </c>
      <c r="Q105" t="n">
        <v>4</v>
      </c>
      <c r="R105" s="2" t="inlineStr">
        <is>
          <t>Ekvaxskivling
Odörspindling
Fjällig taggsvamp s.str.
Kattfotslav</t>
        </is>
      </c>
      <c r="S105">
        <f>HYPERLINK("https://klasma.github.io/Logging_0980/artfynd/A 56717-2024 artfynd.xlsx", "A 56717-2024")</f>
        <v/>
      </c>
      <c r="T105">
        <f>HYPERLINK("https://klasma.github.io/Logging_0980/kartor/A 56717-2024 karta.png", "A 56717-2024")</f>
        <v/>
      </c>
      <c r="V105">
        <f>HYPERLINK("https://klasma.github.io/Logging_0980/klagomål/A 56717-2024 FSC-klagomål.docx", "A 56717-2024")</f>
        <v/>
      </c>
      <c r="W105">
        <f>HYPERLINK("https://klasma.github.io/Logging_0980/klagomålsmail/A 56717-2024 FSC-klagomål mail.docx", "A 56717-2024")</f>
        <v/>
      </c>
      <c r="X105">
        <f>HYPERLINK("https://klasma.github.io/Logging_0980/tillsyn/A 56717-2024 tillsynsbegäran.docx", "A 56717-2024")</f>
        <v/>
      </c>
      <c r="Y105">
        <f>HYPERLINK("https://klasma.github.io/Logging_0980/tillsynsmail/A 56717-2024 tillsynsbegäran mail.docx", "A 56717-2024")</f>
        <v/>
      </c>
    </row>
    <row r="106" ht="15" customHeight="1">
      <c r="A106" t="inlineStr">
        <is>
          <t>A 44323-2021</t>
        </is>
      </c>
      <c r="B106" s="1" t="n">
        <v>44434</v>
      </c>
      <c r="C106" s="1" t="n">
        <v>46110</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46110</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32718-2021</t>
        </is>
      </c>
      <c r="B108" s="1" t="n">
        <v>44375</v>
      </c>
      <c r="C108" s="1" t="n">
        <v>46110</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46110</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55334-2024</t>
        </is>
      </c>
      <c r="B110" s="1" t="n">
        <v>45621</v>
      </c>
      <c r="C110" s="1" t="n">
        <v>46110</v>
      </c>
      <c r="D110" t="inlineStr">
        <is>
          <t>GOTLANDS LÄN</t>
        </is>
      </c>
      <c r="E110" t="inlineStr">
        <is>
          <t>GOTLAND</t>
        </is>
      </c>
      <c r="G110" t="n">
        <v>21.7</v>
      </c>
      <c r="H110" t="n">
        <v>0</v>
      </c>
      <c r="I110" t="n">
        <v>3</v>
      </c>
      <c r="J110" t="n">
        <v>0</v>
      </c>
      <c r="K110" t="n">
        <v>0</v>
      </c>
      <c r="L110" t="n">
        <v>0</v>
      </c>
      <c r="M110" t="n">
        <v>0</v>
      </c>
      <c r="N110" t="n">
        <v>0</v>
      </c>
      <c r="O110" t="n">
        <v>0</v>
      </c>
      <c r="P110" t="n">
        <v>0</v>
      </c>
      <c r="Q110" t="n">
        <v>3</v>
      </c>
      <c r="R110" s="2" t="inlineStr">
        <is>
          <t>Anisspindling
Besk kastanjemusseron
Svavelriska</t>
        </is>
      </c>
      <c r="S110">
        <f>HYPERLINK("https://klasma.github.io/Logging_0980/artfynd/A 55334-2024 artfynd.xlsx", "A 55334-2024")</f>
        <v/>
      </c>
      <c r="T110">
        <f>HYPERLINK("https://klasma.github.io/Logging_0980/kartor/A 55334-2024 karta.png", "A 55334-2024")</f>
        <v/>
      </c>
      <c r="V110">
        <f>HYPERLINK("https://klasma.github.io/Logging_0980/klagomål/A 55334-2024 FSC-klagomål.docx", "A 55334-2024")</f>
        <v/>
      </c>
      <c r="W110">
        <f>HYPERLINK("https://klasma.github.io/Logging_0980/klagomålsmail/A 55334-2024 FSC-klagomål mail.docx", "A 55334-2024")</f>
        <v/>
      </c>
      <c r="X110">
        <f>HYPERLINK("https://klasma.github.io/Logging_0980/tillsyn/A 55334-2024 tillsynsbegäran.docx", "A 55334-2024")</f>
        <v/>
      </c>
      <c r="Y110">
        <f>HYPERLINK("https://klasma.github.io/Logging_0980/tillsynsmail/A 55334-2024 tillsynsbegäran mail.docx", "A 55334-2024")</f>
        <v/>
      </c>
    </row>
    <row r="111" ht="15" customHeight="1">
      <c r="A111" t="inlineStr">
        <is>
          <t>A 1520-2026</t>
        </is>
      </c>
      <c r="B111" s="1" t="n">
        <v>46034.35891203704</v>
      </c>
      <c r="C111" s="1" t="n">
        <v>46110</v>
      </c>
      <c r="D111" t="inlineStr">
        <is>
          <t>GOTLANDS LÄN</t>
        </is>
      </c>
      <c r="E111" t="inlineStr">
        <is>
          <t>GOTLAND</t>
        </is>
      </c>
      <c r="G111" t="n">
        <v>7.4</v>
      </c>
      <c r="H111" t="n">
        <v>0</v>
      </c>
      <c r="I111" t="n">
        <v>1</v>
      </c>
      <c r="J111" t="n">
        <v>0</v>
      </c>
      <c r="K111" t="n">
        <v>2</v>
      </c>
      <c r="L111" t="n">
        <v>0</v>
      </c>
      <c r="M111" t="n">
        <v>0</v>
      </c>
      <c r="N111" t="n">
        <v>0</v>
      </c>
      <c r="O111" t="n">
        <v>2</v>
      </c>
      <c r="P111" t="n">
        <v>2</v>
      </c>
      <c r="Q111" t="n">
        <v>3</v>
      </c>
      <c r="R111" s="2" t="inlineStr">
        <is>
          <t>Granrotspindling
Gulsträngad fagerspindling
Brandmusseron</t>
        </is>
      </c>
      <c r="S111">
        <f>HYPERLINK("https://klasma.github.io/Logging_0980/artfynd/A 1520-2026 artfynd.xlsx", "A 1520-2026")</f>
        <v/>
      </c>
      <c r="T111">
        <f>HYPERLINK("https://klasma.github.io/Logging_0980/kartor/A 1520-2026 karta.png", "A 1520-2026")</f>
        <v/>
      </c>
      <c r="V111">
        <f>HYPERLINK("https://klasma.github.io/Logging_0980/klagomål/A 1520-2026 FSC-klagomål.docx", "A 1520-2026")</f>
        <v/>
      </c>
      <c r="W111">
        <f>HYPERLINK("https://klasma.github.io/Logging_0980/klagomålsmail/A 1520-2026 FSC-klagomål mail.docx", "A 1520-2026")</f>
        <v/>
      </c>
      <c r="X111">
        <f>HYPERLINK("https://klasma.github.io/Logging_0980/tillsyn/A 1520-2026 tillsynsbegäran.docx", "A 1520-2026")</f>
        <v/>
      </c>
      <c r="Y111">
        <f>HYPERLINK("https://klasma.github.io/Logging_0980/tillsynsmail/A 1520-2026 tillsynsbegäran mail.docx", "A 1520-2026")</f>
        <v/>
      </c>
    </row>
    <row r="112" ht="15" customHeight="1">
      <c r="A112" t="inlineStr">
        <is>
          <t>A 49709-2025</t>
        </is>
      </c>
      <c r="B112" s="1" t="n">
        <v>45939.68228009259</v>
      </c>
      <c r="C112" s="1" t="n">
        <v>46110</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30490-2025</t>
        </is>
      </c>
      <c r="B113" s="1" t="n">
        <v>45830</v>
      </c>
      <c r="C113" s="1" t="n">
        <v>46110</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43013-2022</t>
        </is>
      </c>
      <c r="B114" s="1" t="n">
        <v>44833</v>
      </c>
      <c r="C114" s="1" t="n">
        <v>46110</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45692.26797453704</v>
      </c>
      <c r="C115" s="1" t="n">
        <v>46110</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46110</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20831-2024</t>
        </is>
      </c>
      <c r="B117" s="1" t="n">
        <v>45439</v>
      </c>
      <c r="C117" s="1" t="n">
        <v>46110</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17982-2023</t>
        </is>
      </c>
      <c r="B118" s="1" t="n">
        <v>45040</v>
      </c>
      <c r="C118" s="1" t="n">
        <v>46110</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17975-2024</t>
        </is>
      </c>
      <c r="B119" s="1" t="n">
        <v>45419.85546296297</v>
      </c>
      <c r="C119" s="1" t="n">
        <v>46110</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13499-2022</t>
        </is>
      </c>
      <c r="B120" s="1" t="n">
        <v>44647.79203703703</v>
      </c>
      <c r="C120" s="1" t="n">
        <v>46110</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12315-2024</t>
        </is>
      </c>
      <c r="B121" s="1" t="n">
        <v>45378.6434837963</v>
      </c>
      <c r="C121" s="1" t="n">
        <v>46110</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73144-2021</t>
        </is>
      </c>
      <c r="B122" s="1" t="n">
        <v>44550</v>
      </c>
      <c r="C122" s="1" t="n">
        <v>46110</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46110</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46110</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46110</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46110</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46110</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46110</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63162-2025</t>
        </is>
      </c>
      <c r="B129" s="1" t="n">
        <v>46010.37629629629</v>
      </c>
      <c r="C129" s="1" t="n">
        <v>46110</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20429-2025</t>
        </is>
      </c>
      <c r="B130" s="1" t="n">
        <v>45775.47728009259</v>
      </c>
      <c r="C130" s="1" t="n">
        <v>46110</v>
      </c>
      <c r="D130" t="inlineStr">
        <is>
          <t>GOTLANDS LÄN</t>
        </is>
      </c>
      <c r="E130" t="inlineStr">
        <is>
          <t>GOTLAND</t>
        </is>
      </c>
      <c r="G130" t="n">
        <v>1.4</v>
      </c>
      <c r="H130" t="n">
        <v>2</v>
      </c>
      <c r="I130" t="n">
        <v>0</v>
      </c>
      <c r="J130" t="n">
        <v>0</v>
      </c>
      <c r="K130" t="n">
        <v>0</v>
      </c>
      <c r="L130" t="n">
        <v>0</v>
      </c>
      <c r="M130" t="n">
        <v>0</v>
      </c>
      <c r="N130" t="n">
        <v>0</v>
      </c>
      <c r="O130" t="n">
        <v>0</v>
      </c>
      <c r="P130" t="n">
        <v>0</v>
      </c>
      <c r="Q130" t="n">
        <v>2</v>
      </c>
      <c r="R130" s="2" t="inlineStr">
        <is>
          <t>Lopplummer (aggregat)
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20838-2024</t>
        </is>
      </c>
      <c r="B131" s="1" t="n">
        <v>45439</v>
      </c>
      <c r="C131" s="1" t="n">
        <v>46110</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62760-2025</t>
        </is>
      </c>
      <c r="B132" s="1" t="n">
        <v>46008</v>
      </c>
      <c r="C132" s="1" t="n">
        <v>46110</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54357-2024</t>
        </is>
      </c>
      <c r="B133" s="1" t="n">
        <v>45617.40662037037</v>
      </c>
      <c r="C133" s="1" t="n">
        <v>46110</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7070-2022</t>
        </is>
      </c>
      <c r="B134" s="1" t="n">
        <v>44603</v>
      </c>
      <c r="C134" s="1" t="n">
        <v>46110</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43219-2023</t>
        </is>
      </c>
      <c r="B135" s="1" t="n">
        <v>45183</v>
      </c>
      <c r="C135" s="1" t="n">
        <v>46110</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46110</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46110</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46110</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46110</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46110</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46110</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10218-2025</t>
        </is>
      </c>
      <c r="B142" s="1" t="n">
        <v>45720</v>
      </c>
      <c r="C142" s="1" t="n">
        <v>46110</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12379-2024</t>
        </is>
      </c>
      <c r="B143" s="1" t="n">
        <v>45379.28155092592</v>
      </c>
      <c r="C143" s="1" t="n">
        <v>46110</v>
      </c>
      <c r="D143" t="inlineStr">
        <is>
          <t>GOTLANDS LÄN</t>
        </is>
      </c>
      <c r="E143" t="inlineStr">
        <is>
          <t>GOTLAND</t>
        </is>
      </c>
      <c r="G143" t="n">
        <v>4.4</v>
      </c>
      <c r="H143" t="n">
        <v>0</v>
      </c>
      <c r="I143" t="n">
        <v>0</v>
      </c>
      <c r="J143" t="n">
        <v>1</v>
      </c>
      <c r="K143" t="n">
        <v>0</v>
      </c>
      <c r="L143" t="n">
        <v>0</v>
      </c>
      <c r="M143" t="n">
        <v>0</v>
      </c>
      <c r="N143" t="n">
        <v>0</v>
      </c>
      <c r="O143" t="n">
        <v>1</v>
      </c>
      <c r="P143" t="n">
        <v>0</v>
      </c>
      <c r="Q143" t="n">
        <v>1</v>
      </c>
      <c r="R143" s="2" t="inlineStr">
        <is>
          <t>Svinrot</t>
        </is>
      </c>
      <c r="S143">
        <f>HYPERLINK("https://klasma.github.io/Logging_0980/artfynd/A 12379-2024 artfynd.xlsx", "A 12379-2024")</f>
        <v/>
      </c>
      <c r="T143">
        <f>HYPERLINK("https://klasma.github.io/Logging_0980/kartor/A 12379-2024 karta.png", "A 12379-2024")</f>
        <v/>
      </c>
      <c r="V143">
        <f>HYPERLINK("https://klasma.github.io/Logging_0980/klagomål/A 12379-2024 FSC-klagomål.docx", "A 12379-2024")</f>
        <v/>
      </c>
      <c r="W143">
        <f>HYPERLINK("https://klasma.github.io/Logging_0980/klagomålsmail/A 12379-2024 FSC-klagomål mail.docx", "A 12379-2024")</f>
        <v/>
      </c>
      <c r="X143">
        <f>HYPERLINK("https://klasma.github.io/Logging_0980/tillsyn/A 12379-2024 tillsynsbegäran.docx", "A 12379-2024")</f>
        <v/>
      </c>
      <c r="Y143">
        <f>HYPERLINK("https://klasma.github.io/Logging_0980/tillsynsmail/A 12379-2024 tillsynsbegäran mail.docx", "A 12379-2024")</f>
        <v/>
      </c>
    </row>
    <row r="144" ht="15" customHeight="1">
      <c r="A144" t="inlineStr">
        <is>
          <t>A 17723-2021</t>
        </is>
      </c>
      <c r="B144" s="1" t="n">
        <v>44300</v>
      </c>
      <c r="C144" s="1" t="n">
        <v>46110</v>
      </c>
      <c r="D144" t="inlineStr">
        <is>
          <t>GOTLANDS LÄN</t>
        </is>
      </c>
      <c r="E144" t="inlineStr">
        <is>
          <t>GOTLAND</t>
        </is>
      </c>
      <c r="G144" t="n">
        <v>1.5</v>
      </c>
      <c r="H144" t="n">
        <v>1</v>
      </c>
      <c r="I144" t="n">
        <v>1</v>
      </c>
      <c r="J144" t="n">
        <v>0</v>
      </c>
      <c r="K144" t="n">
        <v>0</v>
      </c>
      <c r="L144" t="n">
        <v>0</v>
      </c>
      <c r="M144" t="n">
        <v>0</v>
      </c>
      <c r="N144" t="n">
        <v>0</v>
      </c>
      <c r="O144" t="n">
        <v>0</v>
      </c>
      <c r="P144" t="n">
        <v>0</v>
      </c>
      <c r="Q144" t="n">
        <v>1</v>
      </c>
      <c r="R144" s="2" t="inlineStr">
        <is>
          <t>Vit skogslilja</t>
        </is>
      </c>
      <c r="S144">
        <f>HYPERLINK("https://klasma.github.io/Logging_0980/artfynd/A 17723-2021 artfynd.xlsx", "A 17723-2021")</f>
        <v/>
      </c>
      <c r="T144">
        <f>HYPERLINK("https://klasma.github.io/Logging_0980/kartor/A 17723-2021 karta.png", "A 17723-2021")</f>
        <v/>
      </c>
      <c r="V144">
        <f>HYPERLINK("https://klasma.github.io/Logging_0980/klagomål/A 17723-2021 FSC-klagomål.docx", "A 17723-2021")</f>
        <v/>
      </c>
      <c r="W144">
        <f>HYPERLINK("https://klasma.github.io/Logging_0980/klagomålsmail/A 17723-2021 FSC-klagomål mail.docx", "A 17723-2021")</f>
        <v/>
      </c>
      <c r="X144">
        <f>HYPERLINK("https://klasma.github.io/Logging_0980/tillsyn/A 17723-2021 tillsynsbegäran.docx", "A 17723-2021")</f>
        <v/>
      </c>
      <c r="Y144">
        <f>HYPERLINK("https://klasma.github.io/Logging_0980/tillsynsmail/A 17723-2021 tillsynsbegäran mail.docx", "A 17723-2021")</f>
        <v/>
      </c>
    </row>
    <row r="145" ht="15" customHeight="1">
      <c r="A145" t="inlineStr">
        <is>
          <t>A 10440-2024</t>
        </is>
      </c>
      <c r="B145" s="1" t="n">
        <v>45366.32818287037</v>
      </c>
      <c r="C145" s="1" t="n">
        <v>46110</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44304-2021</t>
        </is>
      </c>
      <c r="B146" s="1" t="n">
        <v>44434</v>
      </c>
      <c r="C146" s="1" t="n">
        <v>46110</v>
      </c>
      <c r="D146" t="inlineStr">
        <is>
          <t>GOTLANDS LÄN</t>
        </is>
      </c>
      <c r="E146" t="inlineStr">
        <is>
          <t>GOTLAND</t>
        </is>
      </c>
      <c r="G146" t="n">
        <v>5.8</v>
      </c>
      <c r="H146" t="n">
        <v>0</v>
      </c>
      <c r="I146" t="n">
        <v>0</v>
      </c>
      <c r="J146" t="n">
        <v>1</v>
      </c>
      <c r="K146" t="n">
        <v>0</v>
      </c>
      <c r="L146" t="n">
        <v>0</v>
      </c>
      <c r="M146" t="n">
        <v>0</v>
      </c>
      <c r="N146" t="n">
        <v>0</v>
      </c>
      <c r="O146" t="n">
        <v>1</v>
      </c>
      <c r="P146" t="n">
        <v>0</v>
      </c>
      <c r="Q146" t="n">
        <v>1</v>
      </c>
      <c r="R146" s="2" t="inlineStr">
        <is>
          <t>Svinrot</t>
        </is>
      </c>
      <c r="S146">
        <f>HYPERLINK("https://klasma.github.io/Logging_0980/artfynd/A 44304-2021 artfynd.xlsx", "A 44304-2021")</f>
        <v/>
      </c>
      <c r="T146">
        <f>HYPERLINK("https://klasma.github.io/Logging_0980/kartor/A 44304-2021 karta.png", "A 44304-2021")</f>
        <v/>
      </c>
      <c r="V146">
        <f>HYPERLINK("https://klasma.github.io/Logging_0980/klagomål/A 44304-2021 FSC-klagomål.docx", "A 44304-2021")</f>
        <v/>
      </c>
      <c r="W146">
        <f>HYPERLINK("https://klasma.github.io/Logging_0980/klagomålsmail/A 44304-2021 FSC-klagomål mail.docx", "A 44304-2021")</f>
        <v/>
      </c>
      <c r="X146">
        <f>HYPERLINK("https://klasma.github.io/Logging_0980/tillsyn/A 44304-2021 tillsynsbegäran.docx", "A 44304-2021")</f>
        <v/>
      </c>
      <c r="Y146">
        <f>HYPERLINK("https://klasma.github.io/Logging_0980/tillsynsmail/A 44304-2021 tillsynsbegäran mail.docx", "A 44304-2021")</f>
        <v/>
      </c>
    </row>
    <row r="147" ht="15" customHeight="1">
      <c r="A147" t="inlineStr">
        <is>
          <t>A 39812-2025</t>
        </is>
      </c>
      <c r="B147" s="1" t="n">
        <v>45891</v>
      </c>
      <c r="C147" s="1" t="n">
        <v>46110</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25977-2024</t>
        </is>
      </c>
      <c r="B148" s="1" t="n">
        <v>45467.69356481481</v>
      </c>
      <c r="C148" s="1" t="n">
        <v>46110</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65927-2021</t>
        </is>
      </c>
      <c r="B149" s="1" t="n">
        <v>44516</v>
      </c>
      <c r="C149" s="1" t="n">
        <v>46110</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35467-2021</t>
        </is>
      </c>
      <c r="B150" s="1" t="n">
        <v>44385</v>
      </c>
      <c r="C150" s="1" t="n">
        <v>46110</v>
      </c>
      <c r="D150" t="inlineStr">
        <is>
          <t>GOTLANDS LÄN</t>
        </is>
      </c>
      <c r="E150" t="inlineStr">
        <is>
          <t>GOTLAND</t>
        </is>
      </c>
      <c r="G150" t="n">
        <v>12.7</v>
      </c>
      <c r="H150" t="n">
        <v>0</v>
      </c>
      <c r="I150" t="n">
        <v>0</v>
      </c>
      <c r="J150" t="n">
        <v>1</v>
      </c>
      <c r="K150" t="n">
        <v>0</v>
      </c>
      <c r="L150" t="n">
        <v>0</v>
      </c>
      <c r="M150" t="n">
        <v>0</v>
      </c>
      <c r="N150" t="n">
        <v>0</v>
      </c>
      <c r="O150" t="n">
        <v>1</v>
      </c>
      <c r="P150" t="n">
        <v>0</v>
      </c>
      <c r="Q150" t="n">
        <v>1</v>
      </c>
      <c r="R150" s="2" t="inlineStr">
        <is>
          <t>Loppstarr</t>
        </is>
      </c>
      <c r="S150">
        <f>HYPERLINK("https://klasma.github.io/Logging_0980/artfynd/A 35467-2021 artfynd.xlsx", "A 35467-2021")</f>
        <v/>
      </c>
      <c r="T150">
        <f>HYPERLINK("https://klasma.github.io/Logging_0980/kartor/A 35467-2021 karta.png", "A 35467-2021")</f>
        <v/>
      </c>
      <c r="V150">
        <f>HYPERLINK("https://klasma.github.io/Logging_0980/klagomål/A 35467-2021 FSC-klagomål.docx", "A 35467-2021")</f>
        <v/>
      </c>
      <c r="W150">
        <f>HYPERLINK("https://klasma.github.io/Logging_0980/klagomålsmail/A 35467-2021 FSC-klagomål mail.docx", "A 35467-2021")</f>
        <v/>
      </c>
      <c r="X150">
        <f>HYPERLINK("https://klasma.github.io/Logging_0980/tillsyn/A 35467-2021 tillsynsbegäran.docx", "A 35467-2021")</f>
        <v/>
      </c>
      <c r="Y150">
        <f>HYPERLINK("https://klasma.github.io/Logging_0980/tillsynsmail/A 35467-2021 tillsynsbegäran mail.docx", "A 35467-2021")</f>
        <v/>
      </c>
    </row>
    <row r="151" ht="15" customHeight="1">
      <c r="A151" t="inlineStr">
        <is>
          <t>A 61796-2022</t>
        </is>
      </c>
      <c r="B151" s="1" t="n">
        <v>44917</v>
      </c>
      <c r="C151" s="1" t="n">
        <v>46110</v>
      </c>
      <c r="D151" t="inlineStr">
        <is>
          <t>GOTLANDS LÄN</t>
        </is>
      </c>
      <c r="E151" t="inlineStr">
        <is>
          <t>GOTLAND</t>
        </is>
      </c>
      <c r="G151" t="n">
        <v>1.5</v>
      </c>
      <c r="H151" t="n">
        <v>1</v>
      </c>
      <c r="I151" t="n">
        <v>0</v>
      </c>
      <c r="J151" t="n">
        <v>0</v>
      </c>
      <c r="K151" t="n">
        <v>0</v>
      </c>
      <c r="L151" t="n">
        <v>0</v>
      </c>
      <c r="M151" t="n">
        <v>0</v>
      </c>
      <c r="N151" t="n">
        <v>0</v>
      </c>
      <c r="O151" t="n">
        <v>0</v>
      </c>
      <c r="P151" t="n">
        <v>0</v>
      </c>
      <c r="Q151" t="n">
        <v>1</v>
      </c>
      <c r="R151" s="2" t="inlineStr">
        <is>
          <t>Skogsduva</t>
        </is>
      </c>
      <c r="S151">
        <f>HYPERLINK("https://klasma.github.io/Logging_0980/artfynd/A 61796-2022 artfynd.xlsx", "A 61796-2022")</f>
        <v/>
      </c>
      <c r="T151">
        <f>HYPERLINK("https://klasma.github.io/Logging_0980/kartor/A 61796-2022 karta.png", "A 61796-2022")</f>
        <v/>
      </c>
      <c r="V151">
        <f>HYPERLINK("https://klasma.github.io/Logging_0980/klagomål/A 61796-2022 FSC-klagomål.docx", "A 61796-2022")</f>
        <v/>
      </c>
      <c r="W151">
        <f>HYPERLINK("https://klasma.github.io/Logging_0980/klagomålsmail/A 61796-2022 FSC-klagomål mail.docx", "A 61796-2022")</f>
        <v/>
      </c>
      <c r="X151">
        <f>HYPERLINK("https://klasma.github.io/Logging_0980/tillsyn/A 61796-2022 tillsynsbegäran.docx", "A 61796-2022")</f>
        <v/>
      </c>
      <c r="Y151">
        <f>HYPERLINK("https://klasma.github.io/Logging_0980/tillsynsmail/A 61796-2022 tillsynsbegäran mail.docx", "A 61796-2022")</f>
        <v/>
      </c>
      <c r="Z151">
        <f>HYPERLINK("https://klasma.github.io/Logging_0980/fåglar/A 61796-2022 prioriterade fågelarter.docx", "A 61796-2022")</f>
        <v/>
      </c>
    </row>
    <row r="152" ht="15" customHeight="1">
      <c r="A152" t="inlineStr">
        <is>
          <t>A 44619-2025</t>
        </is>
      </c>
      <c r="B152" s="1" t="n">
        <v>45917</v>
      </c>
      <c r="C152" s="1" t="n">
        <v>46110</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Ögonpyrola</t>
        </is>
      </c>
      <c r="S152">
        <f>HYPERLINK("https://klasma.github.io/Logging_0980/artfynd/A 44619-2025 artfynd.xlsx", "A 44619-2025")</f>
        <v/>
      </c>
      <c r="T152">
        <f>HYPERLINK("https://klasma.github.io/Logging_0980/kartor/A 44619-2025 karta.png", "A 44619-2025")</f>
        <v/>
      </c>
      <c r="V152">
        <f>HYPERLINK("https://klasma.github.io/Logging_0980/klagomål/A 44619-2025 FSC-klagomål.docx", "A 44619-2025")</f>
        <v/>
      </c>
      <c r="W152">
        <f>HYPERLINK("https://klasma.github.io/Logging_0980/klagomålsmail/A 44619-2025 FSC-klagomål mail.docx", "A 44619-2025")</f>
        <v/>
      </c>
      <c r="X152">
        <f>HYPERLINK("https://klasma.github.io/Logging_0980/tillsyn/A 44619-2025 tillsynsbegäran.docx", "A 44619-2025")</f>
        <v/>
      </c>
      <c r="Y152">
        <f>HYPERLINK("https://klasma.github.io/Logging_0980/tillsynsmail/A 44619-2025 tillsynsbegäran mail.docx", "A 44619-2025")</f>
        <v/>
      </c>
    </row>
    <row r="153" ht="15" customHeight="1">
      <c r="A153" t="inlineStr">
        <is>
          <t>A 63149-2025</t>
        </is>
      </c>
      <c r="B153" s="1" t="n">
        <v>46010</v>
      </c>
      <c r="C153" s="1" t="n">
        <v>46110</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Anisspindling</t>
        </is>
      </c>
      <c r="S153">
        <f>HYPERLINK("https://klasma.github.io/Logging_0980/artfynd/A 63149-2025 artfynd.xlsx", "A 63149-2025")</f>
        <v/>
      </c>
      <c r="T153">
        <f>HYPERLINK("https://klasma.github.io/Logging_0980/kartor/A 63149-2025 karta.png", "A 63149-2025")</f>
        <v/>
      </c>
      <c r="V153">
        <f>HYPERLINK("https://klasma.github.io/Logging_0980/klagomål/A 63149-2025 FSC-klagomål.docx", "A 63149-2025")</f>
        <v/>
      </c>
      <c r="W153">
        <f>HYPERLINK("https://klasma.github.io/Logging_0980/klagomålsmail/A 63149-2025 FSC-klagomål mail.docx", "A 63149-2025")</f>
        <v/>
      </c>
      <c r="X153">
        <f>HYPERLINK("https://klasma.github.io/Logging_0980/tillsyn/A 63149-2025 tillsynsbegäran.docx", "A 63149-2025")</f>
        <v/>
      </c>
      <c r="Y153">
        <f>HYPERLINK("https://klasma.github.io/Logging_0980/tillsynsmail/A 63149-2025 tillsynsbegäran mail.docx", "A 63149-2025")</f>
        <v/>
      </c>
    </row>
    <row r="154" ht="15" customHeight="1">
      <c r="A154" t="inlineStr">
        <is>
          <t>A 26461-2025</t>
        </is>
      </c>
      <c r="B154" s="1" t="n">
        <v>45807.43337962963</v>
      </c>
      <c r="C154" s="1" t="n">
        <v>46110</v>
      </c>
      <c r="D154" t="inlineStr">
        <is>
          <t>GOTLANDS LÄN</t>
        </is>
      </c>
      <c r="E154" t="inlineStr">
        <is>
          <t>GOTLAND</t>
        </is>
      </c>
      <c r="G154" t="n">
        <v>4.1</v>
      </c>
      <c r="H154" t="n">
        <v>0</v>
      </c>
      <c r="I154" t="n">
        <v>0</v>
      </c>
      <c r="J154" t="n">
        <v>0</v>
      </c>
      <c r="K154" t="n">
        <v>1</v>
      </c>
      <c r="L154" t="n">
        <v>0</v>
      </c>
      <c r="M154" t="n">
        <v>0</v>
      </c>
      <c r="N154" t="n">
        <v>0</v>
      </c>
      <c r="O154" t="n">
        <v>1</v>
      </c>
      <c r="P154" t="n">
        <v>1</v>
      </c>
      <c r="Q154" t="n">
        <v>1</v>
      </c>
      <c r="R154" s="2" t="inlineStr">
        <is>
          <t>Gotlandsmåra</t>
        </is>
      </c>
      <c r="S154">
        <f>HYPERLINK("https://klasma.github.io/Logging_0980/artfynd/A 26461-2025 artfynd.xlsx", "A 26461-2025")</f>
        <v/>
      </c>
      <c r="T154">
        <f>HYPERLINK("https://klasma.github.io/Logging_0980/kartor/A 26461-2025 karta.png", "A 26461-2025")</f>
        <v/>
      </c>
      <c r="V154">
        <f>HYPERLINK("https://klasma.github.io/Logging_0980/klagomål/A 26461-2025 FSC-klagomål.docx", "A 26461-2025")</f>
        <v/>
      </c>
      <c r="W154">
        <f>HYPERLINK("https://klasma.github.io/Logging_0980/klagomålsmail/A 26461-2025 FSC-klagomål mail.docx", "A 26461-2025")</f>
        <v/>
      </c>
      <c r="X154">
        <f>HYPERLINK("https://klasma.github.io/Logging_0980/tillsyn/A 26461-2025 tillsynsbegäran.docx", "A 26461-2025")</f>
        <v/>
      </c>
      <c r="Y154">
        <f>HYPERLINK("https://klasma.github.io/Logging_0980/tillsynsmail/A 26461-2025 tillsynsbegäran mail.docx", "A 26461-2025")</f>
        <v/>
      </c>
    </row>
    <row r="155" ht="15" customHeight="1">
      <c r="A155" t="inlineStr">
        <is>
          <t>A 15637-2024</t>
        </is>
      </c>
      <c r="B155" s="1" t="n">
        <v>45403.6684837963</v>
      </c>
      <c r="C155" s="1" t="n">
        <v>46110</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49726-2025</t>
        </is>
      </c>
      <c r="B156" s="1" t="n">
        <v>45939.84466435185</v>
      </c>
      <c r="C156" s="1" t="n">
        <v>46110</v>
      </c>
      <c r="D156" t="inlineStr">
        <is>
          <t>GOTLANDS LÄN</t>
        </is>
      </c>
      <c r="E156" t="inlineStr">
        <is>
          <t>GOTLAND</t>
        </is>
      </c>
      <c r="F156" t="inlineStr">
        <is>
          <t>Kyrkan</t>
        </is>
      </c>
      <c r="G156" t="n">
        <v>5.4</v>
      </c>
      <c r="H156" t="n">
        <v>0</v>
      </c>
      <c r="I156" t="n">
        <v>0</v>
      </c>
      <c r="J156" t="n">
        <v>1</v>
      </c>
      <c r="K156" t="n">
        <v>0</v>
      </c>
      <c r="L156" t="n">
        <v>0</v>
      </c>
      <c r="M156" t="n">
        <v>0</v>
      </c>
      <c r="N156" t="n">
        <v>0</v>
      </c>
      <c r="O156" t="n">
        <v>1</v>
      </c>
      <c r="P156" t="n">
        <v>0</v>
      </c>
      <c r="Q156" t="n">
        <v>1</v>
      </c>
      <c r="R156" s="2" t="inlineStr">
        <is>
          <t>Odörspindling</t>
        </is>
      </c>
      <c r="S156">
        <f>HYPERLINK("https://klasma.github.io/Logging_0980/artfynd/A 49726-2025 artfynd.xlsx", "A 49726-2025")</f>
        <v/>
      </c>
      <c r="T156">
        <f>HYPERLINK("https://klasma.github.io/Logging_0980/kartor/A 49726-2025 karta.png", "A 49726-2025")</f>
        <v/>
      </c>
      <c r="V156">
        <f>HYPERLINK("https://klasma.github.io/Logging_0980/klagomål/A 49726-2025 FSC-klagomål.docx", "A 49726-2025")</f>
        <v/>
      </c>
      <c r="W156">
        <f>HYPERLINK("https://klasma.github.io/Logging_0980/klagomålsmail/A 49726-2025 FSC-klagomål mail.docx", "A 49726-2025")</f>
        <v/>
      </c>
      <c r="X156">
        <f>HYPERLINK("https://klasma.github.io/Logging_0980/tillsyn/A 49726-2025 tillsynsbegäran.docx", "A 49726-2025")</f>
        <v/>
      </c>
      <c r="Y156">
        <f>HYPERLINK("https://klasma.github.io/Logging_0980/tillsynsmail/A 49726-2025 tillsynsbegäran mail.docx", "A 49726-2025")</f>
        <v/>
      </c>
    </row>
    <row r="157" ht="15" customHeight="1">
      <c r="A157" t="inlineStr">
        <is>
          <t>A 2476-2025</t>
        </is>
      </c>
      <c r="B157" s="1" t="n">
        <v>45673</v>
      </c>
      <c r="C157" s="1" t="n">
        <v>46110</v>
      </c>
      <c r="D157" t="inlineStr">
        <is>
          <t>GOTLANDS LÄN</t>
        </is>
      </c>
      <c r="E157" t="inlineStr">
        <is>
          <t>GOTLAND</t>
        </is>
      </c>
      <c r="G157" t="n">
        <v>3.1</v>
      </c>
      <c r="H157" t="n">
        <v>0</v>
      </c>
      <c r="I157" t="n">
        <v>1</v>
      </c>
      <c r="J157" t="n">
        <v>0</v>
      </c>
      <c r="K157" t="n">
        <v>0</v>
      </c>
      <c r="L157" t="n">
        <v>0</v>
      </c>
      <c r="M157" t="n">
        <v>0</v>
      </c>
      <c r="N157" t="n">
        <v>0</v>
      </c>
      <c r="O157" t="n">
        <v>0</v>
      </c>
      <c r="P157" t="n">
        <v>0</v>
      </c>
      <c r="Q157" t="n">
        <v>1</v>
      </c>
      <c r="R157" s="2" t="inlineStr">
        <is>
          <t>Kryddspindling</t>
        </is>
      </c>
      <c r="S157">
        <f>HYPERLINK("https://klasma.github.io/Logging_0980/artfynd/A 2476-2025 artfynd.xlsx", "A 2476-2025")</f>
        <v/>
      </c>
      <c r="T157">
        <f>HYPERLINK("https://klasma.github.io/Logging_0980/kartor/A 2476-2025 karta.png", "A 2476-2025")</f>
        <v/>
      </c>
      <c r="V157">
        <f>HYPERLINK("https://klasma.github.io/Logging_0980/klagomål/A 2476-2025 FSC-klagomål.docx", "A 2476-2025")</f>
        <v/>
      </c>
      <c r="W157">
        <f>HYPERLINK("https://klasma.github.io/Logging_0980/klagomålsmail/A 2476-2025 FSC-klagomål mail.docx", "A 2476-2025")</f>
        <v/>
      </c>
      <c r="X157">
        <f>HYPERLINK("https://klasma.github.io/Logging_0980/tillsyn/A 2476-2025 tillsynsbegäran.docx", "A 2476-2025")</f>
        <v/>
      </c>
      <c r="Y157">
        <f>HYPERLINK("https://klasma.github.io/Logging_0980/tillsynsmail/A 2476-2025 tillsynsbegäran mail.docx", "A 2476-2025")</f>
        <v/>
      </c>
    </row>
    <row r="158" ht="15" customHeight="1">
      <c r="A158" t="inlineStr">
        <is>
          <t>A 11708-2026</t>
        </is>
      </c>
      <c r="B158" s="1" t="n">
        <v>46084</v>
      </c>
      <c r="C158" s="1" t="n">
        <v>46110</v>
      </c>
      <c r="D158" t="inlineStr">
        <is>
          <t>GOTLANDS LÄN</t>
        </is>
      </c>
      <c r="E158" t="inlineStr">
        <is>
          <t>GOTLAND</t>
        </is>
      </c>
      <c r="G158" t="n">
        <v>8.4</v>
      </c>
      <c r="H158" t="n">
        <v>1</v>
      </c>
      <c r="I158" t="n">
        <v>0</v>
      </c>
      <c r="J158" t="n">
        <v>1</v>
      </c>
      <c r="K158" t="n">
        <v>0</v>
      </c>
      <c r="L158" t="n">
        <v>0</v>
      </c>
      <c r="M158" t="n">
        <v>0</v>
      </c>
      <c r="N158" t="n">
        <v>0</v>
      </c>
      <c r="O158" t="n">
        <v>1</v>
      </c>
      <c r="P158" t="n">
        <v>0</v>
      </c>
      <c r="Q158" t="n">
        <v>1</v>
      </c>
      <c r="R158" s="2" t="inlineStr">
        <is>
          <t>Bredarun</t>
        </is>
      </c>
      <c r="S158">
        <f>HYPERLINK("https://klasma.github.io/Logging_0980/artfynd/A 11708-2026 artfynd.xlsx", "A 11708-2026")</f>
        <v/>
      </c>
      <c r="T158">
        <f>HYPERLINK("https://klasma.github.io/Logging_0980/kartor/A 11708-2026 karta.png", "A 11708-2026")</f>
        <v/>
      </c>
      <c r="V158">
        <f>HYPERLINK("https://klasma.github.io/Logging_0980/klagomål/A 11708-2026 FSC-klagomål.docx", "A 11708-2026")</f>
        <v/>
      </c>
      <c r="W158">
        <f>HYPERLINK("https://klasma.github.io/Logging_0980/klagomålsmail/A 11708-2026 FSC-klagomål mail.docx", "A 11708-2026")</f>
        <v/>
      </c>
      <c r="X158">
        <f>HYPERLINK("https://klasma.github.io/Logging_0980/tillsyn/A 11708-2026 tillsynsbegäran.docx", "A 11708-2026")</f>
        <v/>
      </c>
      <c r="Y158">
        <f>HYPERLINK("https://klasma.github.io/Logging_0980/tillsynsmail/A 11708-2026 tillsynsbegäran mail.docx", "A 11708-2026")</f>
        <v/>
      </c>
    </row>
    <row r="159" ht="15" customHeight="1">
      <c r="A159" t="inlineStr">
        <is>
          <t>A 10995-2023</t>
        </is>
      </c>
      <c r="B159" s="1" t="n">
        <v>44986</v>
      </c>
      <c r="C159" s="1" t="n">
        <v>46110</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10013-2026</t>
        </is>
      </c>
      <c r="B160" s="1" t="n">
        <v>46073</v>
      </c>
      <c r="C160" s="1" t="n">
        <v>46110</v>
      </c>
      <c r="D160" t="inlineStr">
        <is>
          <t>GOTLANDS LÄN</t>
        </is>
      </c>
      <c r="E160" t="inlineStr">
        <is>
          <t>GOTLAND</t>
        </is>
      </c>
      <c r="G160" t="n">
        <v>10.5</v>
      </c>
      <c r="H160" t="n">
        <v>0</v>
      </c>
      <c r="I160" t="n">
        <v>0</v>
      </c>
      <c r="J160" t="n">
        <v>0</v>
      </c>
      <c r="K160" t="n">
        <v>1</v>
      </c>
      <c r="L160" t="n">
        <v>0</v>
      </c>
      <c r="M160" t="n">
        <v>0</v>
      </c>
      <c r="N160" t="n">
        <v>0</v>
      </c>
      <c r="O160" t="n">
        <v>1</v>
      </c>
      <c r="P160" t="n">
        <v>1</v>
      </c>
      <c r="Q160" t="n">
        <v>1</v>
      </c>
      <c r="R160" s="2" t="inlineStr">
        <is>
          <t>Skogskorn</t>
        </is>
      </c>
      <c r="S160">
        <f>HYPERLINK("https://klasma.github.io/Logging_0980/artfynd/A 10013-2026 artfynd.xlsx", "A 10013-2026")</f>
        <v/>
      </c>
      <c r="T160">
        <f>HYPERLINK("https://klasma.github.io/Logging_0980/kartor/A 10013-2026 karta.png", "A 10013-2026")</f>
        <v/>
      </c>
      <c r="V160">
        <f>HYPERLINK("https://klasma.github.io/Logging_0980/klagomål/A 10013-2026 FSC-klagomål.docx", "A 10013-2026")</f>
        <v/>
      </c>
      <c r="W160">
        <f>HYPERLINK("https://klasma.github.io/Logging_0980/klagomålsmail/A 10013-2026 FSC-klagomål mail.docx", "A 10013-2026")</f>
        <v/>
      </c>
      <c r="X160">
        <f>HYPERLINK("https://klasma.github.io/Logging_0980/tillsyn/A 10013-2026 tillsynsbegäran.docx", "A 10013-2026")</f>
        <v/>
      </c>
      <c r="Y160">
        <f>HYPERLINK("https://klasma.github.io/Logging_0980/tillsynsmail/A 10013-2026 tillsynsbegäran mail.docx", "A 10013-2026")</f>
        <v/>
      </c>
    </row>
    <row r="161" ht="15" customHeight="1">
      <c r="A161" t="inlineStr">
        <is>
          <t>A 62552-2022</t>
        </is>
      </c>
      <c r="B161" s="1" t="n">
        <v>44924</v>
      </c>
      <c r="C161" s="1" t="n">
        <v>46110</v>
      </c>
      <c r="D161" t="inlineStr">
        <is>
          <t>GOTLANDS LÄN</t>
        </is>
      </c>
      <c r="E161" t="inlineStr">
        <is>
          <t>GOTLAND</t>
        </is>
      </c>
      <c r="G161" t="n">
        <v>1.6</v>
      </c>
      <c r="H161" t="n">
        <v>0</v>
      </c>
      <c r="I161" t="n">
        <v>0</v>
      </c>
      <c r="J161" t="n">
        <v>1</v>
      </c>
      <c r="K161" t="n">
        <v>0</v>
      </c>
      <c r="L161" t="n">
        <v>0</v>
      </c>
      <c r="M161" t="n">
        <v>0</v>
      </c>
      <c r="N161" t="n">
        <v>0</v>
      </c>
      <c r="O161" t="n">
        <v>1</v>
      </c>
      <c r="P161" t="n">
        <v>0</v>
      </c>
      <c r="Q161" t="n">
        <v>1</v>
      </c>
      <c r="R161" s="2" t="inlineStr">
        <is>
          <t>Äggspindling</t>
        </is>
      </c>
      <c r="S161">
        <f>HYPERLINK("https://klasma.github.io/Logging_0980/artfynd/A 62552-2022 artfynd.xlsx", "A 62552-2022")</f>
        <v/>
      </c>
      <c r="T161">
        <f>HYPERLINK("https://klasma.github.io/Logging_0980/kartor/A 62552-2022 karta.png", "A 62552-2022")</f>
        <v/>
      </c>
      <c r="V161">
        <f>HYPERLINK("https://klasma.github.io/Logging_0980/klagomål/A 62552-2022 FSC-klagomål.docx", "A 62552-2022")</f>
        <v/>
      </c>
      <c r="W161">
        <f>HYPERLINK("https://klasma.github.io/Logging_0980/klagomålsmail/A 62552-2022 FSC-klagomål mail.docx", "A 62552-2022")</f>
        <v/>
      </c>
      <c r="X161">
        <f>HYPERLINK("https://klasma.github.io/Logging_0980/tillsyn/A 62552-2022 tillsynsbegäran.docx", "A 62552-2022")</f>
        <v/>
      </c>
      <c r="Y161">
        <f>HYPERLINK("https://klasma.github.io/Logging_0980/tillsynsmail/A 62552-2022 tillsynsbegäran mail.docx", "A 62552-2022")</f>
        <v/>
      </c>
    </row>
    <row r="162" ht="15" customHeight="1">
      <c r="A162" t="inlineStr">
        <is>
          <t>A 34141-2024</t>
        </is>
      </c>
      <c r="B162" s="1" t="n">
        <v>45524.36229166666</v>
      </c>
      <c r="C162" s="1" t="n">
        <v>46110</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9862-2024</t>
        </is>
      </c>
      <c r="B163" s="1" t="n">
        <v>45363</v>
      </c>
      <c r="C163" s="1" t="n">
        <v>46110</v>
      </c>
      <c r="D163" t="inlineStr">
        <is>
          <t>GOTLANDS LÄN</t>
        </is>
      </c>
      <c r="E163" t="inlineStr">
        <is>
          <t>GOTLAND</t>
        </is>
      </c>
      <c r="G163" t="n">
        <v>3.5</v>
      </c>
      <c r="H163" t="n">
        <v>1</v>
      </c>
      <c r="I163" t="n">
        <v>0</v>
      </c>
      <c r="J163" t="n">
        <v>0</v>
      </c>
      <c r="K163" t="n">
        <v>0</v>
      </c>
      <c r="L163" t="n">
        <v>0</v>
      </c>
      <c r="M163" t="n">
        <v>0</v>
      </c>
      <c r="N163" t="n">
        <v>0</v>
      </c>
      <c r="O163" t="n">
        <v>0</v>
      </c>
      <c r="P163" t="n">
        <v>0</v>
      </c>
      <c r="Q163" t="n">
        <v>1</v>
      </c>
      <c r="R163" s="2" t="inlineStr">
        <is>
          <t>Nattviol</t>
        </is>
      </c>
      <c r="S163">
        <f>HYPERLINK("https://klasma.github.io/Logging_0980/artfynd/A 9862-2024 artfynd.xlsx", "A 9862-2024")</f>
        <v/>
      </c>
      <c r="T163">
        <f>HYPERLINK("https://klasma.github.io/Logging_0980/kartor/A 9862-2024 karta.png", "A 9862-2024")</f>
        <v/>
      </c>
      <c r="V163">
        <f>HYPERLINK("https://klasma.github.io/Logging_0980/klagomål/A 9862-2024 FSC-klagomål.docx", "A 9862-2024")</f>
        <v/>
      </c>
      <c r="W163">
        <f>HYPERLINK("https://klasma.github.io/Logging_0980/klagomålsmail/A 9862-2024 FSC-klagomål mail.docx", "A 9862-2024")</f>
        <v/>
      </c>
      <c r="X163">
        <f>HYPERLINK("https://klasma.github.io/Logging_0980/tillsyn/A 9862-2024 tillsynsbegäran.docx", "A 9862-2024")</f>
        <v/>
      </c>
      <c r="Y163">
        <f>HYPERLINK("https://klasma.github.io/Logging_0980/tillsynsmail/A 9862-2024 tillsynsbegäran mail.docx", "A 9862-2024")</f>
        <v/>
      </c>
    </row>
    <row r="164" ht="15" customHeight="1">
      <c r="A164" t="inlineStr">
        <is>
          <t>A 44088-2022</t>
        </is>
      </c>
      <c r="B164" s="1" t="n">
        <v>44839</v>
      </c>
      <c r="C164" s="1" t="n">
        <v>46110</v>
      </c>
      <c r="D164" t="inlineStr">
        <is>
          <t>GOTLANDS LÄN</t>
        </is>
      </c>
      <c r="E164" t="inlineStr">
        <is>
          <t>GOTLAND</t>
        </is>
      </c>
      <c r="G164" t="n">
        <v>1.5</v>
      </c>
      <c r="H164" t="n">
        <v>0</v>
      </c>
      <c r="I164" t="n">
        <v>1</v>
      </c>
      <c r="J164" t="n">
        <v>0</v>
      </c>
      <c r="K164" t="n">
        <v>0</v>
      </c>
      <c r="L164" t="n">
        <v>0</v>
      </c>
      <c r="M164" t="n">
        <v>0</v>
      </c>
      <c r="N164" t="n">
        <v>0</v>
      </c>
      <c r="O164" t="n">
        <v>0</v>
      </c>
      <c r="P164" t="n">
        <v>0</v>
      </c>
      <c r="Q164" t="n">
        <v>1</v>
      </c>
      <c r="R164" s="2" t="inlineStr">
        <is>
          <t>Strävlosta</t>
        </is>
      </c>
      <c r="S164">
        <f>HYPERLINK("https://klasma.github.io/Logging_0980/artfynd/A 44088-2022 artfynd.xlsx", "A 44088-2022")</f>
        <v/>
      </c>
      <c r="T164">
        <f>HYPERLINK("https://klasma.github.io/Logging_0980/kartor/A 44088-2022 karta.png", "A 44088-2022")</f>
        <v/>
      </c>
      <c r="V164">
        <f>HYPERLINK("https://klasma.github.io/Logging_0980/klagomål/A 44088-2022 FSC-klagomål.docx", "A 44088-2022")</f>
        <v/>
      </c>
      <c r="W164">
        <f>HYPERLINK("https://klasma.github.io/Logging_0980/klagomålsmail/A 44088-2022 FSC-klagomål mail.docx", "A 44088-2022")</f>
        <v/>
      </c>
      <c r="X164">
        <f>HYPERLINK("https://klasma.github.io/Logging_0980/tillsyn/A 44088-2022 tillsynsbegäran.docx", "A 44088-2022")</f>
        <v/>
      </c>
      <c r="Y164">
        <f>HYPERLINK("https://klasma.github.io/Logging_0980/tillsynsmail/A 44088-2022 tillsynsbegäran mail.docx", "A 44088-2022")</f>
        <v/>
      </c>
    </row>
    <row r="165" ht="15" customHeight="1">
      <c r="A165" t="inlineStr">
        <is>
          <t>A 44308-2021</t>
        </is>
      </c>
      <c r="B165" s="1" t="n">
        <v>44434</v>
      </c>
      <c r="C165" s="1" t="n">
        <v>46110</v>
      </c>
      <c r="D165" t="inlineStr">
        <is>
          <t>GOTLANDS LÄN</t>
        </is>
      </c>
      <c r="E165" t="inlineStr">
        <is>
          <t>GOTLAND</t>
        </is>
      </c>
      <c r="G165" t="n">
        <v>5.9</v>
      </c>
      <c r="H165" t="n">
        <v>0</v>
      </c>
      <c r="I165" t="n">
        <v>1</v>
      </c>
      <c r="J165" t="n">
        <v>0</v>
      </c>
      <c r="K165" t="n">
        <v>0</v>
      </c>
      <c r="L165" t="n">
        <v>0</v>
      </c>
      <c r="M165" t="n">
        <v>0</v>
      </c>
      <c r="N165" t="n">
        <v>0</v>
      </c>
      <c r="O165" t="n">
        <v>0</v>
      </c>
      <c r="P165" t="n">
        <v>0</v>
      </c>
      <c r="Q165" t="n">
        <v>1</v>
      </c>
      <c r="R165" s="2" t="inlineStr">
        <is>
          <t>Svavelriska</t>
        </is>
      </c>
      <c r="S165">
        <f>HYPERLINK("https://klasma.github.io/Logging_0980/artfynd/A 44308-2021 artfynd.xlsx", "A 44308-2021")</f>
        <v/>
      </c>
      <c r="T165">
        <f>HYPERLINK("https://klasma.github.io/Logging_0980/kartor/A 44308-2021 karta.png", "A 44308-2021")</f>
        <v/>
      </c>
      <c r="V165">
        <f>HYPERLINK("https://klasma.github.io/Logging_0980/klagomål/A 44308-2021 FSC-klagomål.docx", "A 44308-2021")</f>
        <v/>
      </c>
      <c r="W165">
        <f>HYPERLINK("https://klasma.github.io/Logging_0980/klagomålsmail/A 44308-2021 FSC-klagomål mail.docx", "A 44308-2021")</f>
        <v/>
      </c>
      <c r="X165">
        <f>HYPERLINK("https://klasma.github.io/Logging_0980/tillsyn/A 44308-2021 tillsynsbegäran.docx", "A 44308-2021")</f>
        <v/>
      </c>
      <c r="Y165">
        <f>HYPERLINK("https://klasma.github.io/Logging_0980/tillsynsmail/A 44308-2021 tillsynsbegäran mail.docx", "A 44308-2021")</f>
        <v/>
      </c>
    </row>
    <row r="166" ht="15" customHeight="1">
      <c r="A166" t="inlineStr">
        <is>
          <t>A 447-2023</t>
        </is>
      </c>
      <c r="B166" s="1" t="n">
        <v>44929</v>
      </c>
      <c r="C166" s="1" t="n">
        <v>46110</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947-2023</t>
        </is>
      </c>
      <c r="B167" s="1" t="n">
        <v>44934</v>
      </c>
      <c r="C167" s="1" t="n">
        <v>46110</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12924-2025</t>
        </is>
      </c>
      <c r="B168" s="1" t="n">
        <v>45734</v>
      </c>
      <c r="C168" s="1" t="n">
        <v>46110</v>
      </c>
      <c r="D168" t="inlineStr">
        <is>
          <t>GOTLANDS LÄN</t>
        </is>
      </c>
      <c r="E168" t="inlineStr">
        <is>
          <t>GOTLAND</t>
        </is>
      </c>
      <c r="G168" t="n">
        <v>11.7</v>
      </c>
      <c r="H168" t="n">
        <v>0</v>
      </c>
      <c r="I168" t="n">
        <v>0</v>
      </c>
      <c r="J168" t="n">
        <v>0</v>
      </c>
      <c r="K168" t="n">
        <v>1</v>
      </c>
      <c r="L168" t="n">
        <v>0</v>
      </c>
      <c r="M168" t="n">
        <v>0</v>
      </c>
      <c r="N168" t="n">
        <v>0</v>
      </c>
      <c r="O168" t="n">
        <v>1</v>
      </c>
      <c r="P168" t="n">
        <v>1</v>
      </c>
      <c r="Q168" t="n">
        <v>1</v>
      </c>
      <c r="R168" s="2" t="inlineStr">
        <is>
          <t>Gotlandsmåra</t>
        </is>
      </c>
      <c r="S168">
        <f>HYPERLINK("https://klasma.github.io/Logging_0980/artfynd/A 12924-2025 artfynd.xlsx", "A 12924-2025")</f>
        <v/>
      </c>
      <c r="T168">
        <f>HYPERLINK("https://klasma.github.io/Logging_0980/kartor/A 12924-2025 karta.png", "A 12924-2025")</f>
        <v/>
      </c>
      <c r="V168">
        <f>HYPERLINK("https://klasma.github.io/Logging_0980/klagomål/A 12924-2025 FSC-klagomål.docx", "A 12924-2025")</f>
        <v/>
      </c>
      <c r="W168">
        <f>HYPERLINK("https://klasma.github.io/Logging_0980/klagomålsmail/A 12924-2025 FSC-klagomål mail.docx", "A 12924-2025")</f>
        <v/>
      </c>
      <c r="X168">
        <f>HYPERLINK("https://klasma.github.io/Logging_0980/tillsyn/A 12924-2025 tillsynsbegäran.docx", "A 12924-2025")</f>
        <v/>
      </c>
      <c r="Y168">
        <f>HYPERLINK("https://klasma.github.io/Logging_0980/tillsynsmail/A 12924-2025 tillsynsbegäran mail.docx", "A 12924-2025")</f>
        <v/>
      </c>
    </row>
    <row r="169" ht="15" customHeight="1">
      <c r="A169" t="inlineStr">
        <is>
          <t>A 49304-2024</t>
        </is>
      </c>
      <c r="B169" s="1" t="n">
        <v>45595.54996527778</v>
      </c>
      <c r="C169" s="1" t="n">
        <v>46110</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46110</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64700-2021</t>
        </is>
      </c>
      <c r="B171" s="1" t="n">
        <v>44511</v>
      </c>
      <c r="C171" s="1" t="n">
        <v>46110</v>
      </c>
      <c r="D171" t="inlineStr">
        <is>
          <t>GOTLANDS LÄN</t>
        </is>
      </c>
      <c r="E171" t="inlineStr">
        <is>
          <t>GOTLAND</t>
        </is>
      </c>
      <c r="F171" t="inlineStr">
        <is>
          <t>Naturvårdsverket</t>
        </is>
      </c>
      <c r="G171" t="n">
        <v>2.4</v>
      </c>
      <c r="H171" t="n">
        <v>1</v>
      </c>
      <c r="I171" t="n">
        <v>0</v>
      </c>
      <c r="J171" t="n">
        <v>0</v>
      </c>
      <c r="K171" t="n">
        <v>1</v>
      </c>
      <c r="L171" t="n">
        <v>0</v>
      </c>
      <c r="M171" t="n">
        <v>0</v>
      </c>
      <c r="N171" t="n">
        <v>0</v>
      </c>
      <c r="O171" t="n">
        <v>1</v>
      </c>
      <c r="P171" t="n">
        <v>1</v>
      </c>
      <c r="Q171" t="n">
        <v>1</v>
      </c>
      <c r="R171" s="2" t="inlineStr">
        <is>
          <t>Kalkdån</t>
        </is>
      </c>
      <c r="S171">
        <f>HYPERLINK("https://klasma.github.io/Logging_0980/artfynd/A 64700-2021 artfynd.xlsx", "A 64700-2021")</f>
        <v/>
      </c>
      <c r="T171">
        <f>HYPERLINK("https://klasma.github.io/Logging_0980/kartor/A 64700-2021 karta.png", "A 64700-2021")</f>
        <v/>
      </c>
      <c r="V171">
        <f>HYPERLINK("https://klasma.github.io/Logging_0980/klagomål/A 64700-2021 FSC-klagomål.docx", "A 64700-2021")</f>
        <v/>
      </c>
      <c r="W171">
        <f>HYPERLINK("https://klasma.github.io/Logging_0980/klagomålsmail/A 64700-2021 FSC-klagomål mail.docx", "A 64700-2021")</f>
        <v/>
      </c>
      <c r="X171">
        <f>HYPERLINK("https://klasma.github.io/Logging_0980/tillsyn/A 64700-2021 tillsynsbegäran.docx", "A 64700-2021")</f>
        <v/>
      </c>
      <c r="Y171">
        <f>HYPERLINK("https://klasma.github.io/Logging_0980/tillsynsmail/A 64700-2021 tillsynsbegäran mail.docx", "A 64700-2021")</f>
        <v/>
      </c>
    </row>
    <row r="172" ht="15" customHeight="1">
      <c r="A172" t="inlineStr">
        <is>
          <t>A 27589-2023</t>
        </is>
      </c>
      <c r="B172" s="1" t="n">
        <v>45097</v>
      </c>
      <c r="C172" s="1" t="n">
        <v>46110</v>
      </c>
      <c r="D172" t="inlineStr">
        <is>
          <t>GOTLANDS LÄN</t>
        </is>
      </c>
      <c r="E172" t="inlineStr">
        <is>
          <t>GOTLAND</t>
        </is>
      </c>
      <c r="G172" t="n">
        <v>5.4</v>
      </c>
      <c r="H172" t="n">
        <v>0</v>
      </c>
      <c r="I172" t="n">
        <v>0</v>
      </c>
      <c r="J172" t="n">
        <v>0</v>
      </c>
      <c r="K172" t="n">
        <v>0</v>
      </c>
      <c r="L172" t="n">
        <v>0</v>
      </c>
      <c r="M172" t="n">
        <v>1</v>
      </c>
      <c r="N172" t="n">
        <v>0</v>
      </c>
      <c r="O172" t="n">
        <v>1</v>
      </c>
      <c r="P172" t="n">
        <v>1</v>
      </c>
      <c r="Q172" t="n">
        <v>1</v>
      </c>
      <c r="R172" s="2" t="inlineStr">
        <is>
          <t>Skogsalm</t>
        </is>
      </c>
      <c r="S172">
        <f>HYPERLINK("https://klasma.github.io/Logging_0980/artfynd/A 27589-2023 artfynd.xlsx", "A 27589-2023")</f>
        <v/>
      </c>
      <c r="T172">
        <f>HYPERLINK("https://klasma.github.io/Logging_0980/kartor/A 27589-2023 karta.png", "A 27589-2023")</f>
        <v/>
      </c>
      <c r="V172">
        <f>HYPERLINK("https://klasma.github.io/Logging_0980/klagomål/A 27589-2023 FSC-klagomål.docx", "A 27589-2023")</f>
        <v/>
      </c>
      <c r="W172">
        <f>HYPERLINK("https://klasma.github.io/Logging_0980/klagomålsmail/A 27589-2023 FSC-klagomål mail.docx", "A 27589-2023")</f>
        <v/>
      </c>
      <c r="X172">
        <f>HYPERLINK("https://klasma.github.io/Logging_0980/tillsyn/A 27589-2023 tillsynsbegäran.docx", "A 27589-2023")</f>
        <v/>
      </c>
      <c r="Y172">
        <f>HYPERLINK("https://klasma.github.io/Logging_0980/tillsynsmail/A 27589-2023 tillsynsbegäran mail.docx", "A 27589-2023")</f>
        <v/>
      </c>
    </row>
    <row r="173" ht="15" customHeight="1">
      <c r="A173" t="inlineStr">
        <is>
          <t>A 1477-2024</t>
        </is>
      </c>
      <c r="B173" s="1" t="n">
        <v>45305.37987268518</v>
      </c>
      <c r="C173" s="1" t="n">
        <v>46110</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35574-2024</t>
        </is>
      </c>
      <c r="B174" s="1" t="n">
        <v>45531</v>
      </c>
      <c r="C174" s="1" t="n">
        <v>46110</v>
      </c>
      <c r="D174" t="inlineStr">
        <is>
          <t>GOTLANDS LÄN</t>
        </is>
      </c>
      <c r="E174" t="inlineStr">
        <is>
          <t>GOTLAND</t>
        </is>
      </c>
      <c r="G174" t="n">
        <v>5.7</v>
      </c>
      <c r="H174" t="n">
        <v>0</v>
      </c>
      <c r="I174" t="n">
        <v>1</v>
      </c>
      <c r="J174" t="n">
        <v>0</v>
      </c>
      <c r="K174" t="n">
        <v>0</v>
      </c>
      <c r="L174" t="n">
        <v>0</v>
      </c>
      <c r="M174" t="n">
        <v>0</v>
      </c>
      <c r="N174" t="n">
        <v>0</v>
      </c>
      <c r="O174" t="n">
        <v>0</v>
      </c>
      <c r="P174" t="n">
        <v>0</v>
      </c>
      <c r="Q174" t="n">
        <v>1</v>
      </c>
      <c r="R174" s="2" t="inlineStr">
        <is>
          <t>Murgröna</t>
        </is>
      </c>
      <c r="S174">
        <f>HYPERLINK("https://klasma.github.io/Logging_0980/artfynd/A 35574-2024 artfynd.xlsx", "A 35574-2024")</f>
        <v/>
      </c>
      <c r="T174">
        <f>HYPERLINK("https://klasma.github.io/Logging_0980/kartor/A 35574-2024 karta.png", "A 35574-2024")</f>
        <v/>
      </c>
      <c r="V174">
        <f>HYPERLINK("https://klasma.github.io/Logging_0980/klagomål/A 35574-2024 FSC-klagomål.docx", "A 35574-2024")</f>
        <v/>
      </c>
      <c r="W174">
        <f>HYPERLINK("https://klasma.github.io/Logging_0980/klagomålsmail/A 35574-2024 FSC-klagomål mail.docx", "A 35574-2024")</f>
        <v/>
      </c>
      <c r="X174">
        <f>HYPERLINK("https://klasma.github.io/Logging_0980/tillsyn/A 35574-2024 tillsynsbegäran.docx", "A 35574-2024")</f>
        <v/>
      </c>
      <c r="Y174">
        <f>HYPERLINK("https://klasma.github.io/Logging_0980/tillsynsmail/A 35574-2024 tillsynsbegäran mail.docx", "A 35574-2024")</f>
        <v/>
      </c>
    </row>
    <row r="175" ht="15" customHeight="1">
      <c r="A175" t="inlineStr">
        <is>
          <t>A 7637-2025</t>
        </is>
      </c>
      <c r="B175" s="1" t="n">
        <v>45705.77181712963</v>
      </c>
      <c r="C175" s="1" t="n">
        <v>46110</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6303-2024</t>
        </is>
      </c>
      <c r="B176" s="1" t="n">
        <v>45338.35376157407</v>
      </c>
      <c r="C176" s="1" t="n">
        <v>46110</v>
      </c>
      <c r="D176" t="inlineStr">
        <is>
          <t>GOTLANDS LÄN</t>
        </is>
      </c>
      <c r="E176" t="inlineStr">
        <is>
          <t>GOTLAND</t>
        </is>
      </c>
      <c r="G176" t="n">
        <v>0.6</v>
      </c>
      <c r="H176" t="n">
        <v>0</v>
      </c>
      <c r="I176" t="n">
        <v>1</v>
      </c>
      <c r="J176" t="n">
        <v>0</v>
      </c>
      <c r="K176" t="n">
        <v>0</v>
      </c>
      <c r="L176" t="n">
        <v>0</v>
      </c>
      <c r="M176" t="n">
        <v>0</v>
      </c>
      <c r="N176" t="n">
        <v>0</v>
      </c>
      <c r="O176" t="n">
        <v>0</v>
      </c>
      <c r="P176" t="n">
        <v>0</v>
      </c>
      <c r="Q176" t="n">
        <v>1</v>
      </c>
      <c r="R176" s="2" t="inlineStr">
        <is>
          <t>Strävlosta</t>
        </is>
      </c>
      <c r="S176">
        <f>HYPERLINK("https://klasma.github.io/Logging_0980/artfynd/A 6303-2024 artfynd.xlsx", "A 6303-2024")</f>
        <v/>
      </c>
      <c r="T176">
        <f>HYPERLINK("https://klasma.github.io/Logging_0980/kartor/A 6303-2024 karta.png", "A 6303-2024")</f>
        <v/>
      </c>
      <c r="V176">
        <f>HYPERLINK("https://klasma.github.io/Logging_0980/klagomål/A 6303-2024 FSC-klagomål.docx", "A 6303-2024")</f>
        <v/>
      </c>
      <c r="W176">
        <f>HYPERLINK("https://klasma.github.io/Logging_0980/klagomålsmail/A 6303-2024 FSC-klagomål mail.docx", "A 6303-2024")</f>
        <v/>
      </c>
      <c r="X176">
        <f>HYPERLINK("https://klasma.github.io/Logging_0980/tillsyn/A 6303-2024 tillsynsbegäran.docx", "A 6303-2024")</f>
        <v/>
      </c>
      <c r="Y176">
        <f>HYPERLINK("https://klasma.github.io/Logging_0980/tillsynsmail/A 6303-2024 tillsynsbegäran mail.docx", "A 6303-2024")</f>
        <v/>
      </c>
    </row>
    <row r="177" ht="15" customHeight="1">
      <c r="A177" t="inlineStr">
        <is>
          <t>A 34809-2024</t>
        </is>
      </c>
      <c r="B177" s="1" t="n">
        <v>45526</v>
      </c>
      <c r="C177" s="1" t="n">
        <v>46110</v>
      </c>
      <c r="D177" t="inlineStr">
        <is>
          <t>GOTLANDS LÄN</t>
        </is>
      </c>
      <c r="E177" t="inlineStr">
        <is>
          <t>GOTLAND</t>
        </is>
      </c>
      <c r="G177" t="n">
        <v>9.9</v>
      </c>
      <c r="H177" t="n">
        <v>1</v>
      </c>
      <c r="I177" t="n">
        <v>0</v>
      </c>
      <c r="J177" t="n">
        <v>1</v>
      </c>
      <c r="K177" t="n">
        <v>0</v>
      </c>
      <c r="L177" t="n">
        <v>0</v>
      </c>
      <c r="M177" t="n">
        <v>0</v>
      </c>
      <c r="N177" t="n">
        <v>0</v>
      </c>
      <c r="O177" t="n">
        <v>1</v>
      </c>
      <c r="P177" t="n">
        <v>0</v>
      </c>
      <c r="Q177" t="n">
        <v>1</v>
      </c>
      <c r="R177" s="2" t="inlineStr">
        <is>
          <t>Brun ögontröst</t>
        </is>
      </c>
      <c r="S177">
        <f>HYPERLINK("https://klasma.github.io/Logging_0980/artfynd/A 34809-2024 artfynd.xlsx", "A 34809-2024")</f>
        <v/>
      </c>
      <c r="T177">
        <f>HYPERLINK("https://klasma.github.io/Logging_0980/kartor/A 34809-2024 karta.png", "A 34809-2024")</f>
        <v/>
      </c>
      <c r="V177">
        <f>HYPERLINK("https://klasma.github.io/Logging_0980/klagomål/A 34809-2024 FSC-klagomål.docx", "A 34809-2024")</f>
        <v/>
      </c>
      <c r="W177">
        <f>HYPERLINK("https://klasma.github.io/Logging_0980/klagomålsmail/A 34809-2024 FSC-klagomål mail.docx", "A 34809-2024")</f>
        <v/>
      </c>
      <c r="X177">
        <f>HYPERLINK("https://klasma.github.io/Logging_0980/tillsyn/A 34809-2024 tillsynsbegäran.docx", "A 34809-2024")</f>
        <v/>
      </c>
      <c r="Y177">
        <f>HYPERLINK("https://klasma.github.io/Logging_0980/tillsynsmail/A 34809-2024 tillsynsbegäran mail.docx", "A 34809-2024")</f>
        <v/>
      </c>
    </row>
    <row r="178" ht="15" customHeight="1">
      <c r="A178" t="inlineStr">
        <is>
          <t>A 61561-2023</t>
        </is>
      </c>
      <c r="B178" s="1" t="n">
        <v>45265</v>
      </c>
      <c r="C178" s="1" t="n">
        <v>46110</v>
      </c>
      <c r="D178" t="inlineStr">
        <is>
          <t>GOTLANDS LÄN</t>
        </is>
      </c>
      <c r="E178" t="inlineStr">
        <is>
          <t>GOTLAND</t>
        </is>
      </c>
      <c r="G178" t="n">
        <v>7.4</v>
      </c>
      <c r="H178" t="n">
        <v>0</v>
      </c>
      <c r="I178" t="n">
        <v>0</v>
      </c>
      <c r="J178" t="n">
        <v>1</v>
      </c>
      <c r="K178" t="n">
        <v>0</v>
      </c>
      <c r="L178" t="n">
        <v>0</v>
      </c>
      <c r="M178" t="n">
        <v>0</v>
      </c>
      <c r="N178" t="n">
        <v>0</v>
      </c>
      <c r="O178" t="n">
        <v>1</v>
      </c>
      <c r="P178" t="n">
        <v>0</v>
      </c>
      <c r="Q178" t="n">
        <v>1</v>
      </c>
      <c r="R178" s="2" t="inlineStr">
        <is>
          <t>Loppstarr</t>
        </is>
      </c>
      <c r="S178">
        <f>HYPERLINK("https://klasma.github.io/Logging_0980/artfynd/A 61561-2023 artfynd.xlsx", "A 61561-2023")</f>
        <v/>
      </c>
      <c r="T178">
        <f>HYPERLINK("https://klasma.github.io/Logging_0980/kartor/A 61561-2023 karta.png", "A 61561-2023")</f>
        <v/>
      </c>
      <c r="V178">
        <f>HYPERLINK("https://klasma.github.io/Logging_0980/klagomål/A 61561-2023 FSC-klagomål.docx", "A 61561-2023")</f>
        <v/>
      </c>
      <c r="W178">
        <f>HYPERLINK("https://klasma.github.io/Logging_0980/klagomålsmail/A 61561-2023 FSC-klagomål mail.docx", "A 61561-2023")</f>
        <v/>
      </c>
      <c r="X178">
        <f>HYPERLINK("https://klasma.github.io/Logging_0980/tillsyn/A 61561-2023 tillsynsbegäran.docx", "A 61561-2023")</f>
        <v/>
      </c>
      <c r="Y178">
        <f>HYPERLINK("https://klasma.github.io/Logging_0980/tillsynsmail/A 61561-2023 tillsynsbegäran mail.docx", "A 61561-2023")</f>
        <v/>
      </c>
    </row>
    <row r="179" ht="15" customHeight="1">
      <c r="A179" t="inlineStr">
        <is>
          <t>A 22782-2023</t>
        </is>
      </c>
      <c r="B179" s="1" t="n">
        <v>45072</v>
      </c>
      <c r="C179" s="1" t="n">
        <v>46110</v>
      </c>
      <c r="D179" t="inlineStr">
        <is>
          <t>GOTLANDS LÄN</t>
        </is>
      </c>
      <c r="E179" t="inlineStr">
        <is>
          <t>GOTLAND</t>
        </is>
      </c>
      <c r="F179" t="inlineStr">
        <is>
          <t>Kyrkan</t>
        </is>
      </c>
      <c r="G179" t="n">
        <v>3.1</v>
      </c>
      <c r="H179" t="n">
        <v>1</v>
      </c>
      <c r="I179" t="n">
        <v>0</v>
      </c>
      <c r="J179" t="n">
        <v>0</v>
      </c>
      <c r="K179" t="n">
        <v>0</v>
      </c>
      <c r="L179" t="n">
        <v>0</v>
      </c>
      <c r="M179" t="n">
        <v>0</v>
      </c>
      <c r="N179" t="n">
        <v>0</v>
      </c>
      <c r="O179" t="n">
        <v>0</v>
      </c>
      <c r="P179" t="n">
        <v>0</v>
      </c>
      <c r="Q179" t="n">
        <v>1</v>
      </c>
      <c r="R179" s="2" t="inlineStr">
        <is>
          <t>Ängsnycklar × skogsnycklar</t>
        </is>
      </c>
      <c r="S179">
        <f>HYPERLINK("https://klasma.github.io/Logging_0980/artfynd/A 22782-2023 artfynd.xlsx", "A 22782-2023")</f>
        <v/>
      </c>
      <c r="T179">
        <f>HYPERLINK("https://klasma.github.io/Logging_0980/kartor/A 22782-2023 karta.png", "A 22782-2023")</f>
        <v/>
      </c>
      <c r="V179">
        <f>HYPERLINK("https://klasma.github.io/Logging_0980/klagomål/A 22782-2023 FSC-klagomål.docx", "A 22782-2023")</f>
        <v/>
      </c>
      <c r="W179">
        <f>HYPERLINK("https://klasma.github.io/Logging_0980/klagomålsmail/A 22782-2023 FSC-klagomål mail.docx", "A 22782-2023")</f>
        <v/>
      </c>
      <c r="X179">
        <f>HYPERLINK("https://klasma.github.io/Logging_0980/tillsyn/A 22782-2023 tillsynsbegäran.docx", "A 22782-2023")</f>
        <v/>
      </c>
      <c r="Y179">
        <f>HYPERLINK("https://klasma.github.io/Logging_0980/tillsynsmail/A 22782-2023 tillsynsbegäran mail.docx", "A 22782-2023")</f>
        <v/>
      </c>
    </row>
    <row r="180" ht="15" customHeight="1">
      <c r="A180" t="inlineStr">
        <is>
          <t>A 22883-2024</t>
        </is>
      </c>
      <c r="B180" s="1" t="n">
        <v>45448.66368055555</v>
      </c>
      <c r="C180" s="1" t="n">
        <v>46110</v>
      </c>
      <c r="D180" t="inlineStr">
        <is>
          <t>GOTLANDS LÄN</t>
        </is>
      </c>
      <c r="E180" t="inlineStr">
        <is>
          <t>GOTLAND</t>
        </is>
      </c>
      <c r="G180" t="n">
        <v>0.5</v>
      </c>
      <c r="H180" t="n">
        <v>0</v>
      </c>
      <c r="I180" t="n">
        <v>0</v>
      </c>
      <c r="J180" t="n">
        <v>0</v>
      </c>
      <c r="K180" t="n">
        <v>1</v>
      </c>
      <c r="L180" t="n">
        <v>0</v>
      </c>
      <c r="M180" t="n">
        <v>0</v>
      </c>
      <c r="N180" t="n">
        <v>0</v>
      </c>
      <c r="O180" t="n">
        <v>1</v>
      </c>
      <c r="P180" t="n">
        <v>1</v>
      </c>
      <c r="Q180" t="n">
        <v>1</v>
      </c>
      <c r="R180" s="2" t="inlineStr">
        <is>
          <t>Gotlandsmåra</t>
        </is>
      </c>
      <c r="S180">
        <f>HYPERLINK("https://klasma.github.io/Logging_0980/artfynd/A 22883-2024 artfynd.xlsx", "A 22883-2024")</f>
        <v/>
      </c>
      <c r="T180">
        <f>HYPERLINK("https://klasma.github.io/Logging_0980/kartor/A 22883-2024 karta.png", "A 22883-2024")</f>
        <v/>
      </c>
      <c r="V180">
        <f>HYPERLINK("https://klasma.github.io/Logging_0980/klagomål/A 22883-2024 FSC-klagomål.docx", "A 22883-2024")</f>
        <v/>
      </c>
      <c r="W180">
        <f>HYPERLINK("https://klasma.github.io/Logging_0980/klagomålsmail/A 22883-2024 FSC-klagomål mail.docx", "A 22883-2024")</f>
        <v/>
      </c>
      <c r="X180">
        <f>HYPERLINK("https://klasma.github.io/Logging_0980/tillsyn/A 22883-2024 tillsynsbegäran.docx", "A 22883-2024")</f>
        <v/>
      </c>
      <c r="Y180">
        <f>HYPERLINK("https://klasma.github.io/Logging_0980/tillsynsmail/A 22883-2024 tillsynsbegäran mail.docx", "A 22883-2024")</f>
        <v/>
      </c>
    </row>
    <row r="181" ht="15" customHeight="1">
      <c r="A181" t="inlineStr">
        <is>
          <t>A 24245-2022</t>
        </is>
      </c>
      <c r="B181" s="1" t="n">
        <v>44725</v>
      </c>
      <c r="C181" s="1" t="n">
        <v>46110</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46110</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46110</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46110</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37591-2023</t>
        </is>
      </c>
      <c r="B185" s="1" t="n">
        <v>45159</v>
      </c>
      <c r="C185" s="1" t="n">
        <v>46110</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21466-2025</t>
        </is>
      </c>
      <c r="B186" s="1" t="n">
        <v>45782</v>
      </c>
      <c r="C186" s="1" t="n">
        <v>46110</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19901-2021</t>
        </is>
      </c>
      <c r="B187" s="1" t="n">
        <v>44312</v>
      </c>
      <c r="C187" s="1" t="n">
        <v>46110</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46110</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46110</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46110</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46110</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46110</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46110</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46110</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16858-2022</t>
        </is>
      </c>
      <c r="B195" s="1" t="n">
        <v>44674.62</v>
      </c>
      <c r="C195" s="1" t="n">
        <v>46110</v>
      </c>
      <c r="D195" t="inlineStr">
        <is>
          <t>GOTLANDS LÄN</t>
        </is>
      </c>
      <c r="E195" t="inlineStr">
        <is>
          <t>GOTLAND</t>
        </is>
      </c>
      <c r="G195" t="n">
        <v>1.4</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46110</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46110</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46110</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46110</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46110</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46110</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46110</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46110</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46110</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46110</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46110</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46110</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46110</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46110</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46110</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46110</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46110</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46110</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46110</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46110</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46110</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22495-2022</t>
        </is>
      </c>
      <c r="B217" s="1" t="n">
        <v>44713.6452199074</v>
      </c>
      <c r="C217" s="1" t="n">
        <v>46110</v>
      </c>
      <c r="D217" t="inlineStr">
        <is>
          <t>GOTLANDS LÄN</t>
        </is>
      </c>
      <c r="E217" t="inlineStr">
        <is>
          <t>GOTLAND</t>
        </is>
      </c>
      <c r="G217" t="n">
        <v>0.5</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46110</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53225-2022</t>
        </is>
      </c>
      <c r="B219" s="1" t="n">
        <v>44876</v>
      </c>
      <c r="C219" s="1" t="n">
        <v>46110</v>
      </c>
      <c r="D219" t="inlineStr">
        <is>
          <t>GOTLANDS LÄN</t>
        </is>
      </c>
      <c r="E219" t="inlineStr">
        <is>
          <t>GOTLAND</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30055-2021</t>
        </is>
      </c>
      <c r="B220" s="1" t="n">
        <v>44363</v>
      </c>
      <c r="C220" s="1" t="n">
        <v>46110</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65393-2021</t>
        </is>
      </c>
      <c r="B221" s="1" t="n">
        <v>44515</v>
      </c>
      <c r="C221" s="1" t="n">
        <v>46110</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46110</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46110</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46110</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46110</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46110</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46110</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46110</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46110</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30282-2022</t>
        </is>
      </c>
      <c r="B230" s="1" t="n">
        <v>44760</v>
      </c>
      <c r="C230" s="1" t="n">
        <v>46110</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4868-2024</t>
        </is>
      </c>
      <c r="B231" s="1" t="n">
        <v>45329</v>
      </c>
      <c r="C231" s="1" t="n">
        <v>46110</v>
      </c>
      <c r="D231" t="inlineStr">
        <is>
          <t>GOTLANDS LÄN</t>
        </is>
      </c>
      <c r="E231" t="inlineStr">
        <is>
          <t>GOTLAND</t>
        </is>
      </c>
      <c r="G231" t="n">
        <v>7.1</v>
      </c>
      <c r="H231" t="n">
        <v>0</v>
      </c>
      <c r="I231" t="n">
        <v>0</v>
      </c>
      <c r="J231" t="n">
        <v>0</v>
      </c>
      <c r="K231" t="n">
        <v>0</v>
      </c>
      <c r="L231" t="n">
        <v>0</v>
      </c>
      <c r="M231" t="n">
        <v>0</v>
      </c>
      <c r="N231" t="n">
        <v>0</v>
      </c>
      <c r="O231" t="n">
        <v>0</v>
      </c>
      <c r="P231" t="n">
        <v>0</v>
      </c>
      <c r="Q231" t="n">
        <v>0</v>
      </c>
      <c r="R231" s="2" t="inlineStr"/>
    </row>
    <row r="232" ht="15" customHeight="1">
      <c r="A232" t="inlineStr">
        <is>
          <t>A 9613-2025</t>
        </is>
      </c>
      <c r="B232" s="1" t="n">
        <v>45715</v>
      </c>
      <c r="C232" s="1" t="n">
        <v>46110</v>
      </c>
      <c r="D232" t="inlineStr">
        <is>
          <t>GOTLANDS LÄN</t>
        </is>
      </c>
      <c r="E232" t="inlineStr">
        <is>
          <t>GOTLAND</t>
        </is>
      </c>
      <c r="G232" t="n">
        <v>3.5</v>
      </c>
      <c r="H232" t="n">
        <v>0</v>
      </c>
      <c r="I232" t="n">
        <v>0</v>
      </c>
      <c r="J232" t="n">
        <v>0</v>
      </c>
      <c r="K232" t="n">
        <v>0</v>
      </c>
      <c r="L232" t="n">
        <v>0</v>
      </c>
      <c r="M232" t="n">
        <v>0</v>
      </c>
      <c r="N232" t="n">
        <v>0</v>
      </c>
      <c r="O232" t="n">
        <v>0</v>
      </c>
      <c r="P232" t="n">
        <v>0</v>
      </c>
      <c r="Q232" t="n">
        <v>0</v>
      </c>
      <c r="R232" s="2" t="inlineStr"/>
    </row>
    <row r="233" ht="15" customHeight="1">
      <c r="A233" t="inlineStr">
        <is>
          <t>A 5751-2024</t>
        </is>
      </c>
      <c r="B233" s="1" t="n">
        <v>45335.32702546296</v>
      </c>
      <c r="C233" s="1" t="n">
        <v>46110</v>
      </c>
      <c r="D233" t="inlineStr">
        <is>
          <t>GOTLANDS LÄN</t>
        </is>
      </c>
      <c r="E233" t="inlineStr">
        <is>
          <t>GOTLAND</t>
        </is>
      </c>
      <c r="G233" t="n">
        <v>4.2</v>
      </c>
      <c r="H233" t="n">
        <v>0</v>
      </c>
      <c r="I233" t="n">
        <v>0</v>
      </c>
      <c r="J233" t="n">
        <v>0</v>
      </c>
      <c r="K233" t="n">
        <v>0</v>
      </c>
      <c r="L233" t="n">
        <v>0</v>
      </c>
      <c r="M233" t="n">
        <v>0</v>
      </c>
      <c r="N233" t="n">
        <v>0</v>
      </c>
      <c r="O233" t="n">
        <v>0</v>
      </c>
      <c r="P233" t="n">
        <v>0</v>
      </c>
      <c r="Q233" t="n">
        <v>0</v>
      </c>
      <c r="R233" s="2" t="inlineStr"/>
    </row>
    <row r="234" ht="15" customHeight="1">
      <c r="A234" t="inlineStr">
        <is>
          <t>A 32330-2024</t>
        </is>
      </c>
      <c r="B234" s="1" t="n">
        <v>45512</v>
      </c>
      <c r="C234" s="1" t="n">
        <v>46110</v>
      </c>
      <c r="D234" t="inlineStr">
        <is>
          <t>GOTLANDS LÄN</t>
        </is>
      </c>
      <c r="E234" t="inlineStr">
        <is>
          <t>GOTLAND</t>
        </is>
      </c>
      <c r="G234" t="n">
        <v>2.6</v>
      </c>
      <c r="H234" t="n">
        <v>0</v>
      </c>
      <c r="I234" t="n">
        <v>0</v>
      </c>
      <c r="J234" t="n">
        <v>0</v>
      </c>
      <c r="K234" t="n">
        <v>0</v>
      </c>
      <c r="L234" t="n">
        <v>0</v>
      </c>
      <c r="M234" t="n">
        <v>0</v>
      </c>
      <c r="N234" t="n">
        <v>0</v>
      </c>
      <c r="O234" t="n">
        <v>0</v>
      </c>
      <c r="P234" t="n">
        <v>0</v>
      </c>
      <c r="Q234" t="n">
        <v>0</v>
      </c>
      <c r="R234" s="2" t="inlineStr"/>
    </row>
    <row r="235" ht="15" customHeight="1">
      <c r="A235" t="inlineStr">
        <is>
          <t>A 15595-2024</t>
        </is>
      </c>
      <c r="B235" s="1" t="n">
        <v>45401.81480324074</v>
      </c>
      <c r="C235" s="1" t="n">
        <v>46110</v>
      </c>
      <c r="D235" t="inlineStr">
        <is>
          <t>GOTLANDS LÄN</t>
        </is>
      </c>
      <c r="E235" t="inlineStr">
        <is>
          <t>GOTLAND</t>
        </is>
      </c>
      <c r="G235" t="n">
        <v>6.4</v>
      </c>
      <c r="H235" t="n">
        <v>0</v>
      </c>
      <c r="I235" t="n">
        <v>0</v>
      </c>
      <c r="J235" t="n">
        <v>0</v>
      </c>
      <c r="K235" t="n">
        <v>0</v>
      </c>
      <c r="L235" t="n">
        <v>0</v>
      </c>
      <c r="M235" t="n">
        <v>0</v>
      </c>
      <c r="N235" t="n">
        <v>0</v>
      </c>
      <c r="O235" t="n">
        <v>0</v>
      </c>
      <c r="P235" t="n">
        <v>0</v>
      </c>
      <c r="Q235" t="n">
        <v>0</v>
      </c>
      <c r="R235" s="2" t="inlineStr"/>
    </row>
    <row r="236" ht="15" customHeight="1">
      <c r="A236" t="inlineStr">
        <is>
          <t>A 24966-2023</t>
        </is>
      </c>
      <c r="B236" s="1" t="n">
        <v>45085</v>
      </c>
      <c r="C236" s="1" t="n">
        <v>46110</v>
      </c>
      <c r="D236" t="inlineStr">
        <is>
          <t>GOTLANDS LÄN</t>
        </is>
      </c>
      <c r="E236" t="inlineStr">
        <is>
          <t>GOTLAND</t>
        </is>
      </c>
      <c r="G236" t="n">
        <v>7</v>
      </c>
      <c r="H236" t="n">
        <v>0</v>
      </c>
      <c r="I236" t="n">
        <v>0</v>
      </c>
      <c r="J236" t="n">
        <v>0</v>
      </c>
      <c r="K236" t="n">
        <v>0</v>
      </c>
      <c r="L236" t="n">
        <v>0</v>
      </c>
      <c r="M236" t="n">
        <v>0</v>
      </c>
      <c r="N236" t="n">
        <v>0</v>
      </c>
      <c r="O236" t="n">
        <v>0</v>
      </c>
      <c r="P236" t="n">
        <v>0</v>
      </c>
      <c r="Q236" t="n">
        <v>0</v>
      </c>
      <c r="R236" s="2" t="inlineStr"/>
    </row>
    <row r="237" ht="15" customHeight="1">
      <c r="A237" t="inlineStr">
        <is>
          <t>A 46189-2022</t>
        </is>
      </c>
      <c r="B237" s="1" t="n">
        <v>44847</v>
      </c>
      <c r="C237" s="1" t="n">
        <v>46110</v>
      </c>
      <c r="D237" t="inlineStr">
        <is>
          <t>GOTLANDS LÄN</t>
        </is>
      </c>
      <c r="E237" t="inlineStr">
        <is>
          <t>GOTLAND</t>
        </is>
      </c>
      <c r="G237" t="n">
        <v>0.4</v>
      </c>
      <c r="H237" t="n">
        <v>0</v>
      </c>
      <c r="I237" t="n">
        <v>0</v>
      </c>
      <c r="J237" t="n">
        <v>0</v>
      </c>
      <c r="K237" t="n">
        <v>0</v>
      </c>
      <c r="L237" t="n">
        <v>0</v>
      </c>
      <c r="M237" t="n">
        <v>0</v>
      </c>
      <c r="N237" t="n">
        <v>0</v>
      </c>
      <c r="O237" t="n">
        <v>0</v>
      </c>
      <c r="P237" t="n">
        <v>0</v>
      </c>
      <c r="Q237" t="n">
        <v>0</v>
      </c>
      <c r="R237" s="2" t="inlineStr"/>
    </row>
    <row r="238" ht="15" customHeight="1">
      <c r="A238" t="inlineStr">
        <is>
          <t>A 22031-2024</t>
        </is>
      </c>
      <c r="B238" s="1" t="n">
        <v>45443.60075231481</v>
      </c>
      <c r="C238" s="1" t="n">
        <v>46110</v>
      </c>
      <c r="D238" t="inlineStr">
        <is>
          <t>GOTLANDS LÄN</t>
        </is>
      </c>
      <c r="E238" t="inlineStr">
        <is>
          <t>GOTLAND</t>
        </is>
      </c>
      <c r="G238" t="n">
        <v>2.3</v>
      </c>
      <c r="H238" t="n">
        <v>0</v>
      </c>
      <c r="I238" t="n">
        <v>0</v>
      </c>
      <c r="J238" t="n">
        <v>0</v>
      </c>
      <c r="K238" t="n">
        <v>0</v>
      </c>
      <c r="L238" t="n">
        <v>0</v>
      </c>
      <c r="M238" t="n">
        <v>0</v>
      </c>
      <c r="N238" t="n">
        <v>0</v>
      </c>
      <c r="O238" t="n">
        <v>0</v>
      </c>
      <c r="P238" t="n">
        <v>0</v>
      </c>
      <c r="Q238" t="n">
        <v>0</v>
      </c>
      <c r="R238" s="2" t="inlineStr"/>
    </row>
    <row r="239" ht="15" customHeight="1">
      <c r="A239" t="inlineStr">
        <is>
          <t>A 49314-2024</t>
        </is>
      </c>
      <c r="B239" s="1" t="n">
        <v>45595.55893518519</v>
      </c>
      <c r="C239" s="1" t="n">
        <v>46110</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44919-2022</t>
        </is>
      </c>
      <c r="B240" s="1" t="n">
        <v>44841</v>
      </c>
      <c r="C240" s="1" t="n">
        <v>46110</v>
      </c>
      <c r="D240" t="inlineStr">
        <is>
          <t>GOTLANDS LÄN</t>
        </is>
      </c>
      <c r="E240" t="inlineStr">
        <is>
          <t>GOTLAND</t>
        </is>
      </c>
      <c r="G240" t="n">
        <v>2.2</v>
      </c>
      <c r="H240" t="n">
        <v>0</v>
      </c>
      <c r="I240" t="n">
        <v>0</v>
      </c>
      <c r="J240" t="n">
        <v>0</v>
      </c>
      <c r="K240" t="n">
        <v>0</v>
      </c>
      <c r="L240" t="n">
        <v>0</v>
      </c>
      <c r="M240" t="n">
        <v>0</v>
      </c>
      <c r="N240" t="n">
        <v>0</v>
      </c>
      <c r="O240" t="n">
        <v>0</v>
      </c>
      <c r="P240" t="n">
        <v>0</v>
      </c>
      <c r="Q240" t="n">
        <v>0</v>
      </c>
      <c r="R240" s="2" t="inlineStr"/>
    </row>
    <row r="241" ht="15" customHeight="1">
      <c r="A241" t="inlineStr">
        <is>
          <t>A 20356-2022</t>
        </is>
      </c>
      <c r="B241" s="1" t="n">
        <v>44699</v>
      </c>
      <c r="C241" s="1" t="n">
        <v>46110</v>
      </c>
      <c r="D241" t="inlineStr">
        <is>
          <t>GOTLANDS LÄN</t>
        </is>
      </c>
      <c r="E241" t="inlineStr">
        <is>
          <t>GOTLAND</t>
        </is>
      </c>
      <c r="F241" t="inlineStr">
        <is>
          <t>Övriga Aktiebolag</t>
        </is>
      </c>
      <c r="G241" t="n">
        <v>4.4</v>
      </c>
      <c r="H241" t="n">
        <v>0</v>
      </c>
      <c r="I241" t="n">
        <v>0</v>
      </c>
      <c r="J241" t="n">
        <v>0</v>
      </c>
      <c r="K241" t="n">
        <v>0</v>
      </c>
      <c r="L241" t="n">
        <v>0</v>
      </c>
      <c r="M241" t="n">
        <v>0</v>
      </c>
      <c r="N241" t="n">
        <v>0</v>
      </c>
      <c r="O241" t="n">
        <v>0</v>
      </c>
      <c r="P241" t="n">
        <v>0</v>
      </c>
      <c r="Q241" t="n">
        <v>0</v>
      </c>
      <c r="R241" s="2" t="inlineStr"/>
    </row>
    <row r="242" ht="15" customHeight="1">
      <c r="A242" t="inlineStr">
        <is>
          <t>A 56688-2025</t>
        </is>
      </c>
      <c r="B242" s="1" t="n">
        <v>45975.84331018518</v>
      </c>
      <c r="C242" s="1" t="n">
        <v>46110</v>
      </c>
      <c r="D242" t="inlineStr">
        <is>
          <t>GOTLANDS LÄN</t>
        </is>
      </c>
      <c r="E242" t="inlineStr">
        <is>
          <t>GOTLAND</t>
        </is>
      </c>
      <c r="G242" t="n">
        <v>1.3</v>
      </c>
      <c r="H242" t="n">
        <v>0</v>
      </c>
      <c r="I242" t="n">
        <v>0</v>
      </c>
      <c r="J242" t="n">
        <v>0</v>
      </c>
      <c r="K242" t="n">
        <v>0</v>
      </c>
      <c r="L242" t="n">
        <v>0</v>
      </c>
      <c r="M242" t="n">
        <v>0</v>
      </c>
      <c r="N242" t="n">
        <v>0</v>
      </c>
      <c r="O242" t="n">
        <v>0</v>
      </c>
      <c r="P242" t="n">
        <v>0</v>
      </c>
      <c r="Q242" t="n">
        <v>0</v>
      </c>
      <c r="R242" s="2" t="inlineStr"/>
    </row>
    <row r="243" ht="15" customHeight="1">
      <c r="A243" t="inlineStr">
        <is>
          <t>A 48503-2023</t>
        </is>
      </c>
      <c r="B243" s="1" t="n">
        <v>45207</v>
      </c>
      <c r="C243" s="1" t="n">
        <v>46110</v>
      </c>
      <c r="D243" t="inlineStr">
        <is>
          <t>GOTLANDS LÄN</t>
        </is>
      </c>
      <c r="E243" t="inlineStr">
        <is>
          <t>GOTLAND</t>
        </is>
      </c>
      <c r="G243" t="n">
        <v>1.6</v>
      </c>
      <c r="H243" t="n">
        <v>0</v>
      </c>
      <c r="I243" t="n">
        <v>0</v>
      </c>
      <c r="J243" t="n">
        <v>0</v>
      </c>
      <c r="K243" t="n">
        <v>0</v>
      </c>
      <c r="L243" t="n">
        <v>0</v>
      </c>
      <c r="M243" t="n">
        <v>0</v>
      </c>
      <c r="N243" t="n">
        <v>0</v>
      </c>
      <c r="O243" t="n">
        <v>0</v>
      </c>
      <c r="P243" t="n">
        <v>0</v>
      </c>
      <c r="Q243" t="n">
        <v>0</v>
      </c>
      <c r="R243" s="2" t="inlineStr"/>
    </row>
    <row r="244" ht="15" customHeight="1">
      <c r="A244" t="inlineStr">
        <is>
          <t>A 65901-2021</t>
        </is>
      </c>
      <c r="B244" s="1" t="n">
        <v>44516</v>
      </c>
      <c r="C244" s="1" t="n">
        <v>46110</v>
      </c>
      <c r="D244" t="inlineStr">
        <is>
          <t>GOTLANDS LÄN</t>
        </is>
      </c>
      <c r="E244" t="inlineStr">
        <is>
          <t>GOTLAND</t>
        </is>
      </c>
      <c r="G244" t="n">
        <v>4.9</v>
      </c>
      <c r="H244" t="n">
        <v>0</v>
      </c>
      <c r="I244" t="n">
        <v>0</v>
      </c>
      <c r="J244" t="n">
        <v>0</v>
      </c>
      <c r="K244" t="n">
        <v>0</v>
      </c>
      <c r="L244" t="n">
        <v>0</v>
      </c>
      <c r="M244" t="n">
        <v>0</v>
      </c>
      <c r="N244" t="n">
        <v>0</v>
      </c>
      <c r="O244" t="n">
        <v>0</v>
      </c>
      <c r="P244" t="n">
        <v>0</v>
      </c>
      <c r="Q244" t="n">
        <v>0</v>
      </c>
      <c r="R244" s="2" t="inlineStr"/>
    </row>
    <row r="245" ht="15" customHeight="1">
      <c r="A245" t="inlineStr">
        <is>
          <t>A 57356-2023</t>
        </is>
      </c>
      <c r="B245" s="1" t="n">
        <v>45240</v>
      </c>
      <c r="C245" s="1" t="n">
        <v>46110</v>
      </c>
      <c r="D245" t="inlineStr">
        <is>
          <t>GOTLANDS LÄN</t>
        </is>
      </c>
      <c r="E245" t="inlineStr">
        <is>
          <t>GOTLAND</t>
        </is>
      </c>
      <c r="G245" t="n">
        <v>6.4</v>
      </c>
      <c r="H245" t="n">
        <v>0</v>
      </c>
      <c r="I245" t="n">
        <v>0</v>
      </c>
      <c r="J245" t="n">
        <v>0</v>
      </c>
      <c r="K245" t="n">
        <v>0</v>
      </c>
      <c r="L245" t="n">
        <v>0</v>
      </c>
      <c r="M245" t="n">
        <v>0</v>
      </c>
      <c r="N245" t="n">
        <v>0</v>
      </c>
      <c r="O245" t="n">
        <v>0</v>
      </c>
      <c r="P245" t="n">
        <v>0</v>
      </c>
      <c r="Q245" t="n">
        <v>0</v>
      </c>
      <c r="R245" s="2" t="inlineStr"/>
    </row>
    <row r="246" ht="15" customHeight="1">
      <c r="A246" t="inlineStr">
        <is>
          <t>A 44649-2021</t>
        </is>
      </c>
      <c r="B246" s="1" t="n">
        <v>44437</v>
      </c>
      <c r="C246" s="1" t="n">
        <v>46110</v>
      </c>
      <c r="D246" t="inlineStr">
        <is>
          <t>GOTLANDS LÄN</t>
        </is>
      </c>
      <c r="E246" t="inlineStr">
        <is>
          <t>GOTLAND</t>
        </is>
      </c>
      <c r="G246" t="n">
        <v>8.1</v>
      </c>
      <c r="H246" t="n">
        <v>0</v>
      </c>
      <c r="I246" t="n">
        <v>0</v>
      </c>
      <c r="J246" t="n">
        <v>0</v>
      </c>
      <c r="K246" t="n">
        <v>0</v>
      </c>
      <c r="L246" t="n">
        <v>0</v>
      </c>
      <c r="M246" t="n">
        <v>0</v>
      </c>
      <c r="N246" t="n">
        <v>0</v>
      </c>
      <c r="O246" t="n">
        <v>0</v>
      </c>
      <c r="P246" t="n">
        <v>0</v>
      </c>
      <c r="Q246" t="n">
        <v>0</v>
      </c>
      <c r="R246" s="2" t="inlineStr"/>
    </row>
    <row r="247" ht="15" customHeight="1">
      <c r="A247" t="inlineStr">
        <is>
          <t>A 10656-2024</t>
        </is>
      </c>
      <c r="B247" s="1" t="n">
        <v>45368</v>
      </c>
      <c r="C247" s="1" t="n">
        <v>46110</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9947-2024</t>
        </is>
      </c>
      <c r="B248" s="1" t="n">
        <v>45363</v>
      </c>
      <c r="C248" s="1" t="n">
        <v>46110</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17682-2024</t>
        </is>
      </c>
      <c r="B249" s="1" t="n">
        <v>45418.42966435185</v>
      </c>
      <c r="C249" s="1" t="n">
        <v>46110</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57522-2022</t>
        </is>
      </c>
      <c r="B250" s="1" t="n">
        <v>44896</v>
      </c>
      <c r="C250" s="1" t="n">
        <v>46110</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28506-2023</t>
        </is>
      </c>
      <c r="B251" s="1" t="n">
        <v>45103</v>
      </c>
      <c r="C251" s="1" t="n">
        <v>46110</v>
      </c>
      <c r="D251" t="inlineStr">
        <is>
          <t>GOTLANDS LÄN</t>
        </is>
      </c>
      <c r="E251" t="inlineStr">
        <is>
          <t>GOTLAND</t>
        </is>
      </c>
      <c r="G251" t="n">
        <v>3.2</v>
      </c>
      <c r="H251" t="n">
        <v>0</v>
      </c>
      <c r="I251" t="n">
        <v>0</v>
      </c>
      <c r="J251" t="n">
        <v>0</v>
      </c>
      <c r="K251" t="n">
        <v>0</v>
      </c>
      <c r="L251" t="n">
        <v>0</v>
      </c>
      <c r="M251" t="n">
        <v>0</v>
      </c>
      <c r="N251" t="n">
        <v>0</v>
      </c>
      <c r="O251" t="n">
        <v>0</v>
      </c>
      <c r="P251" t="n">
        <v>0</v>
      </c>
      <c r="Q251" t="n">
        <v>0</v>
      </c>
      <c r="R251" s="2" t="inlineStr"/>
    </row>
    <row r="252" ht="15" customHeight="1">
      <c r="A252" t="inlineStr">
        <is>
          <t>A 18993-2025</t>
        </is>
      </c>
      <c r="B252" s="1" t="n">
        <v>45764</v>
      </c>
      <c r="C252" s="1" t="n">
        <v>46110</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21420-2024</t>
        </is>
      </c>
      <c r="B253" s="1" t="n">
        <v>45441.38293981482</v>
      </c>
      <c r="C253" s="1" t="n">
        <v>46110</v>
      </c>
      <c r="D253" t="inlineStr">
        <is>
          <t>GOTLANDS LÄN</t>
        </is>
      </c>
      <c r="E253" t="inlineStr">
        <is>
          <t>GOTLAND</t>
        </is>
      </c>
      <c r="G253" t="n">
        <v>4.1</v>
      </c>
      <c r="H253" t="n">
        <v>0</v>
      </c>
      <c r="I253" t="n">
        <v>0</v>
      </c>
      <c r="J253" t="n">
        <v>0</v>
      </c>
      <c r="K253" t="n">
        <v>0</v>
      </c>
      <c r="L253" t="n">
        <v>0</v>
      </c>
      <c r="M253" t="n">
        <v>0</v>
      </c>
      <c r="N253" t="n">
        <v>0</v>
      </c>
      <c r="O253" t="n">
        <v>0</v>
      </c>
      <c r="P253" t="n">
        <v>0</v>
      </c>
      <c r="Q253" t="n">
        <v>0</v>
      </c>
      <c r="R253" s="2" t="inlineStr"/>
    </row>
    <row r="254" ht="15" customHeight="1">
      <c r="A254" t="inlineStr">
        <is>
          <t>A 27593-2023</t>
        </is>
      </c>
      <c r="B254" s="1" t="n">
        <v>45097</v>
      </c>
      <c r="C254" s="1" t="n">
        <v>46110</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30135-2025</t>
        </is>
      </c>
      <c r="B255" s="1" t="n">
        <v>45826</v>
      </c>
      <c r="C255" s="1" t="n">
        <v>46110</v>
      </c>
      <c r="D255" t="inlineStr">
        <is>
          <t>GOTLANDS LÄN</t>
        </is>
      </c>
      <c r="E255" t="inlineStr">
        <is>
          <t>GOTLAND</t>
        </is>
      </c>
      <c r="G255" t="n">
        <v>2.7</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46110</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35141-2025</t>
        </is>
      </c>
      <c r="B257" s="1" t="n">
        <v>45852.65206018519</v>
      </c>
      <c r="C257" s="1" t="n">
        <v>46110</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35142-2025</t>
        </is>
      </c>
      <c r="B258" s="1" t="n">
        <v>45852.65532407408</v>
      </c>
      <c r="C258" s="1" t="n">
        <v>46110</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63516-2023</t>
        </is>
      </c>
      <c r="B259" s="1" t="n">
        <v>45274</v>
      </c>
      <c r="C259" s="1" t="n">
        <v>46110</v>
      </c>
      <c r="D259" t="inlineStr">
        <is>
          <t>GOTLANDS LÄN</t>
        </is>
      </c>
      <c r="E259" t="inlineStr">
        <is>
          <t>GOTLAND</t>
        </is>
      </c>
      <c r="G259" t="n">
        <v>1.2</v>
      </c>
      <c r="H259" t="n">
        <v>0</v>
      </c>
      <c r="I259" t="n">
        <v>0</v>
      </c>
      <c r="J259" t="n">
        <v>0</v>
      </c>
      <c r="K259" t="n">
        <v>0</v>
      </c>
      <c r="L259" t="n">
        <v>0</v>
      </c>
      <c r="M259" t="n">
        <v>0</v>
      </c>
      <c r="N259" t="n">
        <v>0</v>
      </c>
      <c r="O259" t="n">
        <v>0</v>
      </c>
      <c r="P259" t="n">
        <v>0</v>
      </c>
      <c r="Q259" t="n">
        <v>0</v>
      </c>
      <c r="R259" s="2" t="inlineStr"/>
    </row>
    <row r="260" ht="15" customHeight="1">
      <c r="A260" t="inlineStr">
        <is>
          <t>A 59197-2025</t>
        </is>
      </c>
      <c r="B260" s="1" t="n">
        <v>45988.59846064815</v>
      </c>
      <c r="C260" s="1" t="n">
        <v>46110</v>
      </c>
      <c r="D260" t="inlineStr">
        <is>
          <t>GOTLANDS LÄN</t>
        </is>
      </c>
      <c r="E260" t="inlineStr">
        <is>
          <t>GOTLAND</t>
        </is>
      </c>
      <c r="G260" t="n">
        <v>2.3</v>
      </c>
      <c r="H260" t="n">
        <v>0</v>
      </c>
      <c r="I260" t="n">
        <v>0</v>
      </c>
      <c r="J260" t="n">
        <v>0</v>
      </c>
      <c r="K260" t="n">
        <v>0</v>
      </c>
      <c r="L260" t="n">
        <v>0</v>
      </c>
      <c r="M260" t="n">
        <v>0</v>
      </c>
      <c r="N260" t="n">
        <v>0</v>
      </c>
      <c r="O260" t="n">
        <v>0</v>
      </c>
      <c r="P260" t="n">
        <v>0</v>
      </c>
      <c r="Q260" t="n">
        <v>0</v>
      </c>
      <c r="R260" s="2" t="inlineStr"/>
    </row>
    <row r="261" ht="15" customHeight="1">
      <c r="A261" t="inlineStr">
        <is>
          <t>A 23188-2025</t>
        </is>
      </c>
      <c r="B261" s="1" t="n">
        <v>45791</v>
      </c>
      <c r="C261" s="1" t="n">
        <v>46110</v>
      </c>
      <c r="D261" t="inlineStr">
        <is>
          <t>GOTLANDS LÄN</t>
        </is>
      </c>
      <c r="E261" t="inlineStr">
        <is>
          <t>GOTLAND</t>
        </is>
      </c>
      <c r="G261" t="n">
        <v>6.2</v>
      </c>
      <c r="H261" t="n">
        <v>0</v>
      </c>
      <c r="I261" t="n">
        <v>0</v>
      </c>
      <c r="J261" t="n">
        <v>0</v>
      </c>
      <c r="K261" t="n">
        <v>0</v>
      </c>
      <c r="L261" t="n">
        <v>0</v>
      </c>
      <c r="M261" t="n">
        <v>0</v>
      </c>
      <c r="N261" t="n">
        <v>0</v>
      </c>
      <c r="O261" t="n">
        <v>0</v>
      </c>
      <c r="P261" t="n">
        <v>0</v>
      </c>
      <c r="Q261" t="n">
        <v>0</v>
      </c>
      <c r="R261" s="2" t="inlineStr"/>
    </row>
    <row r="262" ht="15" customHeight="1">
      <c r="A262" t="inlineStr">
        <is>
          <t>A 24001-2021</t>
        </is>
      </c>
      <c r="B262" s="1" t="n">
        <v>44335</v>
      </c>
      <c r="C262" s="1" t="n">
        <v>46110</v>
      </c>
      <c r="D262" t="inlineStr">
        <is>
          <t>GOTLANDS LÄN</t>
        </is>
      </c>
      <c r="E262" t="inlineStr">
        <is>
          <t>GOTLAND</t>
        </is>
      </c>
      <c r="G262" t="n">
        <v>3.4</v>
      </c>
      <c r="H262" t="n">
        <v>0</v>
      </c>
      <c r="I262" t="n">
        <v>0</v>
      </c>
      <c r="J262" t="n">
        <v>0</v>
      </c>
      <c r="K262" t="n">
        <v>0</v>
      </c>
      <c r="L262" t="n">
        <v>0</v>
      </c>
      <c r="M262" t="n">
        <v>0</v>
      </c>
      <c r="N262" t="n">
        <v>0</v>
      </c>
      <c r="O262" t="n">
        <v>0</v>
      </c>
      <c r="P262" t="n">
        <v>0</v>
      </c>
      <c r="Q262" t="n">
        <v>0</v>
      </c>
      <c r="R262" s="2" t="inlineStr"/>
    </row>
    <row r="263" ht="15" customHeight="1">
      <c r="A263" t="inlineStr">
        <is>
          <t>A 39819-2025</t>
        </is>
      </c>
      <c r="B263" s="1" t="n">
        <v>45891.53418981482</v>
      </c>
      <c r="C263" s="1" t="n">
        <v>46110</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39814-2025</t>
        </is>
      </c>
      <c r="B264" s="1" t="n">
        <v>45891.52694444444</v>
      </c>
      <c r="C264" s="1" t="n">
        <v>46110</v>
      </c>
      <c r="D264" t="inlineStr">
        <is>
          <t>GOTLANDS LÄN</t>
        </is>
      </c>
      <c r="E264" t="inlineStr">
        <is>
          <t>GOTLAND</t>
        </is>
      </c>
      <c r="G264" t="n">
        <v>4.5</v>
      </c>
      <c r="H264" t="n">
        <v>0</v>
      </c>
      <c r="I264" t="n">
        <v>0</v>
      </c>
      <c r="J264" t="n">
        <v>0</v>
      </c>
      <c r="K264" t="n">
        <v>0</v>
      </c>
      <c r="L264" t="n">
        <v>0</v>
      </c>
      <c r="M264" t="n">
        <v>0</v>
      </c>
      <c r="N264" t="n">
        <v>0</v>
      </c>
      <c r="O264" t="n">
        <v>0</v>
      </c>
      <c r="P264" t="n">
        <v>0</v>
      </c>
      <c r="Q264" t="n">
        <v>0</v>
      </c>
      <c r="R264" s="2" t="inlineStr"/>
    </row>
    <row r="265" ht="15" customHeight="1">
      <c r="A265" t="inlineStr">
        <is>
          <t>A 39849-2025</t>
        </is>
      </c>
      <c r="B265" s="1" t="n">
        <v>45891.58502314815</v>
      </c>
      <c r="C265" s="1" t="n">
        <v>46110</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30365-2024</t>
        </is>
      </c>
      <c r="B266" s="1" t="n">
        <v>45491.3716087963</v>
      </c>
      <c r="C266" s="1" t="n">
        <v>46110</v>
      </c>
      <c r="D266" t="inlineStr">
        <is>
          <t>GOTLANDS LÄN</t>
        </is>
      </c>
      <c r="E266" t="inlineStr">
        <is>
          <t>GOTLAND</t>
        </is>
      </c>
      <c r="G266" t="n">
        <v>0.5</v>
      </c>
      <c r="H266" t="n">
        <v>0</v>
      </c>
      <c r="I266" t="n">
        <v>0</v>
      </c>
      <c r="J266" t="n">
        <v>0</v>
      </c>
      <c r="K266" t="n">
        <v>0</v>
      </c>
      <c r="L266" t="n">
        <v>0</v>
      </c>
      <c r="M266" t="n">
        <v>0</v>
      </c>
      <c r="N266" t="n">
        <v>0</v>
      </c>
      <c r="O266" t="n">
        <v>0</v>
      </c>
      <c r="P266" t="n">
        <v>0</v>
      </c>
      <c r="Q266" t="n">
        <v>0</v>
      </c>
      <c r="R266" s="2" t="inlineStr"/>
    </row>
    <row r="267" ht="15" customHeight="1">
      <c r="A267" t="inlineStr">
        <is>
          <t>A 39752-2025</t>
        </is>
      </c>
      <c r="B267" s="1" t="n">
        <v>45891</v>
      </c>
      <c r="C267" s="1" t="n">
        <v>46110</v>
      </c>
      <c r="D267" t="inlineStr">
        <is>
          <t>GOTLANDS LÄN</t>
        </is>
      </c>
      <c r="E267" t="inlineStr">
        <is>
          <t>GOTLAND</t>
        </is>
      </c>
      <c r="G267" t="n">
        <v>5.3</v>
      </c>
      <c r="H267" t="n">
        <v>0</v>
      </c>
      <c r="I267" t="n">
        <v>0</v>
      </c>
      <c r="J267" t="n">
        <v>0</v>
      </c>
      <c r="K267" t="n">
        <v>0</v>
      </c>
      <c r="L267" t="n">
        <v>0</v>
      </c>
      <c r="M267" t="n">
        <v>0</v>
      </c>
      <c r="N267" t="n">
        <v>0</v>
      </c>
      <c r="O267" t="n">
        <v>0</v>
      </c>
      <c r="P267" t="n">
        <v>0</v>
      </c>
      <c r="Q267" t="n">
        <v>0</v>
      </c>
      <c r="R267" s="2" t="inlineStr"/>
    </row>
    <row r="268" ht="15" customHeight="1">
      <c r="A268" t="inlineStr">
        <is>
          <t>A 1681-2023</t>
        </is>
      </c>
      <c r="B268" s="1" t="n">
        <v>44938.39715277778</v>
      </c>
      <c r="C268" s="1" t="n">
        <v>46110</v>
      </c>
      <c r="D268" t="inlineStr">
        <is>
          <t>GOTLANDS LÄN</t>
        </is>
      </c>
      <c r="E268" t="inlineStr">
        <is>
          <t>GOTLAND</t>
        </is>
      </c>
      <c r="G268" t="n">
        <v>2.4</v>
      </c>
      <c r="H268" t="n">
        <v>0</v>
      </c>
      <c r="I268" t="n">
        <v>0</v>
      </c>
      <c r="J268" t="n">
        <v>0</v>
      </c>
      <c r="K268" t="n">
        <v>0</v>
      </c>
      <c r="L268" t="n">
        <v>0</v>
      </c>
      <c r="M268" t="n">
        <v>0</v>
      </c>
      <c r="N268" t="n">
        <v>0</v>
      </c>
      <c r="O268" t="n">
        <v>0</v>
      </c>
      <c r="P268" t="n">
        <v>0</v>
      </c>
      <c r="Q268" t="n">
        <v>0</v>
      </c>
      <c r="R268" s="2" t="inlineStr"/>
    </row>
    <row r="269" ht="15" customHeight="1">
      <c r="A269" t="inlineStr">
        <is>
          <t>A 36319-2025</t>
        </is>
      </c>
      <c r="B269" s="1" t="n">
        <v>45868</v>
      </c>
      <c r="C269" s="1" t="n">
        <v>46110</v>
      </c>
      <c r="D269" t="inlineStr">
        <is>
          <t>GOTLANDS LÄN</t>
        </is>
      </c>
      <c r="E269" t="inlineStr">
        <is>
          <t>GOTLAND</t>
        </is>
      </c>
      <c r="G269" t="n">
        <v>2.9</v>
      </c>
      <c r="H269" t="n">
        <v>0</v>
      </c>
      <c r="I269" t="n">
        <v>0</v>
      </c>
      <c r="J269" t="n">
        <v>0</v>
      </c>
      <c r="K269" t="n">
        <v>0</v>
      </c>
      <c r="L269" t="n">
        <v>0</v>
      </c>
      <c r="M269" t="n">
        <v>0</v>
      </c>
      <c r="N269" t="n">
        <v>0</v>
      </c>
      <c r="O269" t="n">
        <v>0</v>
      </c>
      <c r="P269" t="n">
        <v>0</v>
      </c>
      <c r="Q269" t="n">
        <v>0</v>
      </c>
      <c r="R269" s="2" t="inlineStr"/>
    </row>
    <row r="270" ht="15" customHeight="1">
      <c r="A270" t="inlineStr">
        <is>
          <t>A 39816-2025</t>
        </is>
      </c>
      <c r="B270" s="1" t="n">
        <v>45891</v>
      </c>
      <c r="C270" s="1" t="n">
        <v>46110</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40103-2025</t>
        </is>
      </c>
      <c r="B271" s="1" t="n">
        <v>45894.4880324074</v>
      </c>
      <c r="C271" s="1" t="n">
        <v>46110</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40373-2025</t>
        </is>
      </c>
      <c r="B272" s="1" t="n">
        <v>45895.51821759259</v>
      </c>
      <c r="C272" s="1" t="n">
        <v>46110</v>
      </c>
      <c r="D272" t="inlineStr">
        <is>
          <t>GOTLANDS LÄN</t>
        </is>
      </c>
      <c r="E272" t="inlineStr">
        <is>
          <t>GOTLAND</t>
        </is>
      </c>
      <c r="G272" t="n">
        <v>0.6</v>
      </c>
      <c r="H272" t="n">
        <v>0</v>
      </c>
      <c r="I272" t="n">
        <v>0</v>
      </c>
      <c r="J272" t="n">
        <v>0</v>
      </c>
      <c r="K272" t="n">
        <v>0</v>
      </c>
      <c r="L272" t="n">
        <v>0</v>
      </c>
      <c r="M272" t="n">
        <v>0</v>
      </c>
      <c r="N272" t="n">
        <v>0</v>
      </c>
      <c r="O272" t="n">
        <v>0</v>
      </c>
      <c r="P272" t="n">
        <v>0</v>
      </c>
      <c r="Q272" t="n">
        <v>0</v>
      </c>
      <c r="R272" s="2" t="inlineStr"/>
    </row>
    <row r="273" ht="15" customHeight="1">
      <c r="A273" t="inlineStr">
        <is>
          <t>A 40499-2025</t>
        </is>
      </c>
      <c r="B273" s="1" t="n">
        <v>45896.32517361111</v>
      </c>
      <c r="C273" s="1" t="n">
        <v>46110</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23473-2025</t>
        </is>
      </c>
      <c r="B274" s="1" t="n">
        <v>45792</v>
      </c>
      <c r="C274" s="1" t="n">
        <v>46110</v>
      </c>
      <c r="D274" t="inlineStr">
        <is>
          <t>GOTLANDS LÄN</t>
        </is>
      </c>
      <c r="E274" t="inlineStr">
        <is>
          <t>GOTLAND</t>
        </is>
      </c>
      <c r="G274" t="n">
        <v>3.6</v>
      </c>
      <c r="H274" t="n">
        <v>0</v>
      </c>
      <c r="I274" t="n">
        <v>0</v>
      </c>
      <c r="J274" t="n">
        <v>0</v>
      </c>
      <c r="K274" t="n">
        <v>0</v>
      </c>
      <c r="L274" t="n">
        <v>0</v>
      </c>
      <c r="M274" t="n">
        <v>0</v>
      </c>
      <c r="N274" t="n">
        <v>0</v>
      </c>
      <c r="O274" t="n">
        <v>0</v>
      </c>
      <c r="P274" t="n">
        <v>0</v>
      </c>
      <c r="Q274" t="n">
        <v>0</v>
      </c>
      <c r="R274" s="2" t="inlineStr"/>
    </row>
    <row r="275" ht="15" customHeight="1">
      <c r="A275" t="inlineStr">
        <is>
          <t>A 23856-2025</t>
        </is>
      </c>
      <c r="B275" s="1" t="n">
        <v>45793</v>
      </c>
      <c r="C275" s="1" t="n">
        <v>46110</v>
      </c>
      <c r="D275" t="inlineStr">
        <is>
          <t>GOTLANDS LÄN</t>
        </is>
      </c>
      <c r="E275" t="inlineStr">
        <is>
          <t>GOTLAND</t>
        </is>
      </c>
      <c r="G275" t="n">
        <v>4.4</v>
      </c>
      <c r="H275" t="n">
        <v>0</v>
      </c>
      <c r="I275" t="n">
        <v>0</v>
      </c>
      <c r="J275" t="n">
        <v>0</v>
      </c>
      <c r="K275" t="n">
        <v>0</v>
      </c>
      <c r="L275" t="n">
        <v>0</v>
      </c>
      <c r="M275" t="n">
        <v>0</v>
      </c>
      <c r="N275" t="n">
        <v>0</v>
      </c>
      <c r="O275" t="n">
        <v>0</v>
      </c>
      <c r="P275" t="n">
        <v>0</v>
      </c>
      <c r="Q275" t="n">
        <v>0</v>
      </c>
      <c r="R275" s="2" t="inlineStr"/>
    </row>
    <row r="276" ht="15" customHeight="1">
      <c r="A276" t="inlineStr">
        <is>
          <t>A 40372-2025</t>
        </is>
      </c>
      <c r="B276" s="1" t="n">
        <v>45895.5162037037</v>
      </c>
      <c r="C276" s="1" t="n">
        <v>46110</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15073-2025</t>
        </is>
      </c>
      <c r="B277" s="1" t="n">
        <v>45743</v>
      </c>
      <c r="C277" s="1" t="n">
        <v>46110</v>
      </c>
      <c r="D277" t="inlineStr">
        <is>
          <t>GOTLANDS LÄN</t>
        </is>
      </c>
      <c r="E277" t="inlineStr">
        <is>
          <t>GOTLAND</t>
        </is>
      </c>
      <c r="G277" t="n">
        <v>12.1</v>
      </c>
      <c r="H277" t="n">
        <v>0</v>
      </c>
      <c r="I277" t="n">
        <v>0</v>
      </c>
      <c r="J277" t="n">
        <v>0</v>
      </c>
      <c r="K277" t="n">
        <v>0</v>
      </c>
      <c r="L277" t="n">
        <v>0</v>
      </c>
      <c r="M277" t="n">
        <v>0</v>
      </c>
      <c r="N277" t="n">
        <v>0</v>
      </c>
      <c r="O277" t="n">
        <v>0</v>
      </c>
      <c r="P277" t="n">
        <v>0</v>
      </c>
      <c r="Q277" t="n">
        <v>0</v>
      </c>
      <c r="R277" s="2" t="inlineStr"/>
    </row>
    <row r="278" ht="15" customHeight="1">
      <c r="A278" t="inlineStr">
        <is>
          <t>A 6749-2025</t>
        </is>
      </c>
      <c r="B278" s="1" t="n">
        <v>45700</v>
      </c>
      <c r="C278" s="1" t="n">
        <v>46110</v>
      </c>
      <c r="D278" t="inlineStr">
        <is>
          <t>GOTLANDS LÄN</t>
        </is>
      </c>
      <c r="E278" t="inlineStr">
        <is>
          <t>GOTLAND</t>
        </is>
      </c>
      <c r="G278" t="n">
        <v>4.5</v>
      </c>
      <c r="H278" t="n">
        <v>0</v>
      </c>
      <c r="I278" t="n">
        <v>0</v>
      </c>
      <c r="J278" t="n">
        <v>0</v>
      </c>
      <c r="K278" t="n">
        <v>0</v>
      </c>
      <c r="L278" t="n">
        <v>0</v>
      </c>
      <c r="M278" t="n">
        <v>0</v>
      </c>
      <c r="N278" t="n">
        <v>0</v>
      </c>
      <c r="O278" t="n">
        <v>0</v>
      </c>
      <c r="P278" t="n">
        <v>0</v>
      </c>
      <c r="Q278" t="n">
        <v>0</v>
      </c>
      <c r="R278" s="2" t="inlineStr"/>
    </row>
    <row r="279" ht="15" customHeight="1">
      <c r="A279" t="inlineStr">
        <is>
          <t>A 6099-2024</t>
        </is>
      </c>
      <c r="B279" s="1" t="n">
        <v>45337</v>
      </c>
      <c r="C279" s="1" t="n">
        <v>46110</v>
      </c>
      <c r="D279" t="inlineStr">
        <is>
          <t>GOTLANDS LÄN</t>
        </is>
      </c>
      <c r="E279" t="inlineStr">
        <is>
          <t>GOTLAND</t>
        </is>
      </c>
      <c r="G279" t="n">
        <v>12.6</v>
      </c>
      <c r="H279" t="n">
        <v>0</v>
      </c>
      <c r="I279" t="n">
        <v>0</v>
      </c>
      <c r="J279" t="n">
        <v>0</v>
      </c>
      <c r="K279" t="n">
        <v>0</v>
      </c>
      <c r="L279" t="n">
        <v>0</v>
      </c>
      <c r="M279" t="n">
        <v>0</v>
      </c>
      <c r="N279" t="n">
        <v>0</v>
      </c>
      <c r="O279" t="n">
        <v>0</v>
      </c>
      <c r="P279" t="n">
        <v>0</v>
      </c>
      <c r="Q279" t="n">
        <v>0</v>
      </c>
      <c r="R279" s="2" t="inlineStr"/>
    </row>
    <row r="280" ht="15" customHeight="1">
      <c r="A280" t="inlineStr">
        <is>
          <t>A 23698-2025</t>
        </is>
      </c>
      <c r="B280" s="1" t="n">
        <v>45793</v>
      </c>
      <c r="C280" s="1" t="n">
        <v>46110</v>
      </c>
      <c r="D280" t="inlineStr">
        <is>
          <t>GOTLANDS LÄN</t>
        </is>
      </c>
      <c r="E280" t="inlineStr">
        <is>
          <t>GOTLAND</t>
        </is>
      </c>
      <c r="G280" t="n">
        <v>0.8</v>
      </c>
      <c r="H280" t="n">
        <v>0</v>
      </c>
      <c r="I280" t="n">
        <v>0</v>
      </c>
      <c r="J280" t="n">
        <v>0</v>
      </c>
      <c r="K280" t="n">
        <v>0</v>
      </c>
      <c r="L280" t="n">
        <v>0</v>
      </c>
      <c r="M280" t="n">
        <v>0</v>
      </c>
      <c r="N280" t="n">
        <v>0</v>
      </c>
      <c r="O280" t="n">
        <v>0</v>
      </c>
      <c r="P280" t="n">
        <v>0</v>
      </c>
      <c r="Q280" t="n">
        <v>0</v>
      </c>
      <c r="R280" s="2" t="inlineStr"/>
    </row>
    <row r="281" ht="15" customHeight="1">
      <c r="A281" t="inlineStr">
        <is>
          <t>A 1273-2023</t>
        </is>
      </c>
      <c r="B281" s="1" t="n">
        <v>44936</v>
      </c>
      <c r="C281" s="1" t="n">
        <v>46110</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5462-2025</t>
        </is>
      </c>
      <c r="B282" s="1" t="n">
        <v>45693.29331018519</v>
      </c>
      <c r="C282" s="1" t="n">
        <v>46110</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39278-2025</t>
        </is>
      </c>
      <c r="B283" s="1" t="n">
        <v>45889</v>
      </c>
      <c r="C283" s="1" t="n">
        <v>46110</v>
      </c>
      <c r="D283" t="inlineStr">
        <is>
          <t>GOTLANDS LÄN</t>
        </is>
      </c>
      <c r="E283" t="inlineStr">
        <is>
          <t>GOTLAND</t>
        </is>
      </c>
      <c r="G283" t="n">
        <v>3.7</v>
      </c>
      <c r="H283" t="n">
        <v>0</v>
      </c>
      <c r="I283" t="n">
        <v>0</v>
      </c>
      <c r="J283" t="n">
        <v>0</v>
      </c>
      <c r="K283" t="n">
        <v>0</v>
      </c>
      <c r="L283" t="n">
        <v>0</v>
      </c>
      <c r="M283" t="n">
        <v>0</v>
      </c>
      <c r="N283" t="n">
        <v>0</v>
      </c>
      <c r="O283" t="n">
        <v>0</v>
      </c>
      <c r="P283" t="n">
        <v>0</v>
      </c>
      <c r="Q283" t="n">
        <v>0</v>
      </c>
      <c r="R283" s="2" t="inlineStr"/>
    </row>
    <row r="284" ht="15" customHeight="1">
      <c r="A284" t="inlineStr">
        <is>
          <t>A 58780-2024</t>
        </is>
      </c>
      <c r="B284" s="1" t="n">
        <v>45635.84113425926</v>
      </c>
      <c r="C284" s="1" t="n">
        <v>46110</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25796-2025</t>
        </is>
      </c>
      <c r="B285" s="1" t="n">
        <v>45804.39543981481</v>
      </c>
      <c r="C285" s="1" t="n">
        <v>46110</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45692-2023</t>
        </is>
      </c>
      <c r="B286" s="1" t="n">
        <v>45195</v>
      </c>
      <c r="C286" s="1" t="n">
        <v>46110</v>
      </c>
      <c r="D286" t="inlineStr">
        <is>
          <t>GOTLANDS LÄN</t>
        </is>
      </c>
      <c r="E286" t="inlineStr">
        <is>
          <t>GOTLAND</t>
        </is>
      </c>
      <c r="G286" t="n">
        <v>5.3</v>
      </c>
      <c r="H286" t="n">
        <v>0</v>
      </c>
      <c r="I286" t="n">
        <v>0</v>
      </c>
      <c r="J286" t="n">
        <v>0</v>
      </c>
      <c r="K286" t="n">
        <v>0</v>
      </c>
      <c r="L286" t="n">
        <v>0</v>
      </c>
      <c r="M286" t="n">
        <v>0</v>
      </c>
      <c r="N286" t="n">
        <v>0</v>
      </c>
      <c r="O286" t="n">
        <v>0</v>
      </c>
      <c r="P286" t="n">
        <v>0</v>
      </c>
      <c r="Q286" t="n">
        <v>0</v>
      </c>
      <c r="R286" s="2" t="inlineStr"/>
    </row>
    <row r="287" ht="15" customHeight="1">
      <c r="A287" t="inlineStr">
        <is>
          <t>A 33876-2024</t>
        </is>
      </c>
      <c r="B287" s="1" t="n">
        <v>45521.87988425926</v>
      </c>
      <c r="C287" s="1" t="n">
        <v>46110</v>
      </c>
      <c r="D287" t="inlineStr">
        <is>
          <t>GOTLANDS LÄN</t>
        </is>
      </c>
      <c r="E287" t="inlineStr">
        <is>
          <t>GOTLAND</t>
        </is>
      </c>
      <c r="G287" t="n">
        <v>1.3</v>
      </c>
      <c r="H287" t="n">
        <v>0</v>
      </c>
      <c r="I287" t="n">
        <v>0</v>
      </c>
      <c r="J287" t="n">
        <v>0</v>
      </c>
      <c r="K287" t="n">
        <v>0</v>
      </c>
      <c r="L287" t="n">
        <v>0</v>
      </c>
      <c r="M287" t="n">
        <v>0</v>
      </c>
      <c r="N287" t="n">
        <v>0</v>
      </c>
      <c r="O287" t="n">
        <v>0</v>
      </c>
      <c r="P287" t="n">
        <v>0</v>
      </c>
      <c r="Q287" t="n">
        <v>0</v>
      </c>
      <c r="R287" s="2" t="inlineStr"/>
    </row>
    <row r="288" ht="15" customHeight="1">
      <c r="A288" t="inlineStr">
        <is>
          <t>A 41435-2025</t>
        </is>
      </c>
      <c r="B288" s="1" t="n">
        <v>45901.39974537037</v>
      </c>
      <c r="C288" s="1" t="n">
        <v>46110</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28285-2024</t>
        </is>
      </c>
      <c r="B289" s="1" t="n">
        <v>45477</v>
      </c>
      <c r="C289" s="1" t="n">
        <v>46110</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61100-2022</t>
        </is>
      </c>
      <c r="B290" s="1" t="n">
        <v>44915</v>
      </c>
      <c r="C290" s="1" t="n">
        <v>46110</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61682-2024</t>
        </is>
      </c>
      <c r="B291" s="1" t="n">
        <v>45647.48824074074</v>
      </c>
      <c r="C291" s="1" t="n">
        <v>46110</v>
      </c>
      <c r="D291" t="inlineStr">
        <is>
          <t>GOTLANDS LÄN</t>
        </is>
      </c>
      <c r="E291" t="inlineStr">
        <is>
          <t>GOTLAND</t>
        </is>
      </c>
      <c r="G291" t="n">
        <v>1.9</v>
      </c>
      <c r="H291" t="n">
        <v>0</v>
      </c>
      <c r="I291" t="n">
        <v>0</v>
      </c>
      <c r="J291" t="n">
        <v>0</v>
      </c>
      <c r="K291" t="n">
        <v>0</v>
      </c>
      <c r="L291" t="n">
        <v>0</v>
      </c>
      <c r="M291" t="n">
        <v>0</v>
      </c>
      <c r="N291" t="n">
        <v>0</v>
      </c>
      <c r="O291" t="n">
        <v>0</v>
      </c>
      <c r="P291" t="n">
        <v>0</v>
      </c>
      <c r="Q291" t="n">
        <v>0</v>
      </c>
      <c r="R291" s="2" t="inlineStr"/>
    </row>
    <row r="292" ht="15" customHeight="1">
      <c r="A292" t="inlineStr">
        <is>
          <t>A 41551-2025</t>
        </is>
      </c>
      <c r="B292" s="1" t="n">
        <v>45901.58854166666</v>
      </c>
      <c r="C292" s="1" t="n">
        <v>46110</v>
      </c>
      <c r="D292" t="inlineStr">
        <is>
          <t>GOTLANDS LÄN</t>
        </is>
      </c>
      <c r="E292" t="inlineStr">
        <is>
          <t>GOTLAND</t>
        </is>
      </c>
      <c r="G292" t="n">
        <v>5.6</v>
      </c>
      <c r="H292" t="n">
        <v>0</v>
      </c>
      <c r="I292" t="n">
        <v>0</v>
      </c>
      <c r="J292" t="n">
        <v>0</v>
      </c>
      <c r="K292" t="n">
        <v>0</v>
      </c>
      <c r="L292" t="n">
        <v>0</v>
      </c>
      <c r="M292" t="n">
        <v>0</v>
      </c>
      <c r="N292" t="n">
        <v>0</v>
      </c>
      <c r="O292" t="n">
        <v>0</v>
      </c>
      <c r="P292" t="n">
        <v>0</v>
      </c>
      <c r="Q292" t="n">
        <v>0</v>
      </c>
      <c r="R292" s="2" t="inlineStr"/>
    </row>
    <row r="293" ht="15" customHeight="1">
      <c r="A293" t="inlineStr">
        <is>
          <t>A 62066-2025</t>
        </is>
      </c>
      <c r="B293" s="1" t="n">
        <v>46006.34738425926</v>
      </c>
      <c r="C293" s="1" t="n">
        <v>46110</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62103-2025</t>
        </is>
      </c>
      <c r="B294" s="1" t="n">
        <v>46006</v>
      </c>
      <c r="C294" s="1" t="n">
        <v>46110</v>
      </c>
      <c r="D294" t="inlineStr">
        <is>
          <t>GOTLANDS LÄN</t>
        </is>
      </c>
      <c r="E294" t="inlineStr">
        <is>
          <t>GOTLAND</t>
        </is>
      </c>
      <c r="F294" t="inlineStr">
        <is>
          <t>Övriga Aktiebolag</t>
        </is>
      </c>
      <c r="G294" t="n">
        <v>1.7</v>
      </c>
      <c r="H294" t="n">
        <v>0</v>
      </c>
      <c r="I294" t="n">
        <v>0</v>
      </c>
      <c r="J294" t="n">
        <v>0</v>
      </c>
      <c r="K294" t="n">
        <v>0</v>
      </c>
      <c r="L294" t="n">
        <v>0</v>
      </c>
      <c r="M294" t="n">
        <v>0</v>
      </c>
      <c r="N294" t="n">
        <v>0</v>
      </c>
      <c r="O294" t="n">
        <v>0</v>
      </c>
      <c r="P294" t="n">
        <v>0</v>
      </c>
      <c r="Q294" t="n">
        <v>0</v>
      </c>
      <c r="R294" s="2" t="inlineStr"/>
    </row>
    <row r="295" ht="15" customHeight="1">
      <c r="A295" t="inlineStr">
        <is>
          <t>A 58388-2022</t>
        </is>
      </c>
      <c r="B295" s="1" t="n">
        <v>44894</v>
      </c>
      <c r="C295" s="1" t="n">
        <v>46110</v>
      </c>
      <c r="D295" t="inlineStr">
        <is>
          <t>GOTLANDS LÄN</t>
        </is>
      </c>
      <c r="E295" t="inlineStr">
        <is>
          <t>GOTLAND</t>
        </is>
      </c>
      <c r="F295" t="inlineStr">
        <is>
          <t>Övriga statliga verk och myndigheter</t>
        </is>
      </c>
      <c r="G295" t="n">
        <v>3.1</v>
      </c>
      <c r="H295" t="n">
        <v>0</v>
      </c>
      <c r="I295" t="n">
        <v>0</v>
      </c>
      <c r="J295" t="n">
        <v>0</v>
      </c>
      <c r="K295" t="n">
        <v>0</v>
      </c>
      <c r="L295" t="n">
        <v>0</v>
      </c>
      <c r="M295" t="n">
        <v>0</v>
      </c>
      <c r="N295" t="n">
        <v>0</v>
      </c>
      <c r="O295" t="n">
        <v>0</v>
      </c>
      <c r="P295" t="n">
        <v>0</v>
      </c>
      <c r="Q295" t="n">
        <v>0</v>
      </c>
      <c r="R295" s="2" t="inlineStr"/>
    </row>
    <row r="296" ht="15" customHeight="1">
      <c r="A296" t="inlineStr">
        <is>
          <t>A 42608-2025</t>
        </is>
      </c>
      <c r="B296" s="1" t="n">
        <v>45905</v>
      </c>
      <c r="C296" s="1" t="n">
        <v>46110</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21792-2024</t>
        </is>
      </c>
      <c r="B297" s="1" t="n">
        <v>45442.64326388889</v>
      </c>
      <c r="C297" s="1" t="n">
        <v>46110</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16373-2025</t>
        </is>
      </c>
      <c r="B298" s="1" t="n">
        <v>45751</v>
      </c>
      <c r="C298" s="1" t="n">
        <v>46110</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17688-2024</t>
        </is>
      </c>
      <c r="B299" s="1" t="n">
        <v>45418.43575231481</v>
      </c>
      <c r="C299" s="1" t="n">
        <v>46110</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7837-2024</t>
        </is>
      </c>
      <c r="B300" s="1" t="n">
        <v>45349.83787037037</v>
      </c>
      <c r="C300" s="1" t="n">
        <v>46110</v>
      </c>
      <c r="D300" t="inlineStr">
        <is>
          <t>GOTLANDS LÄN</t>
        </is>
      </c>
      <c r="E300" t="inlineStr">
        <is>
          <t>GOTLAND</t>
        </is>
      </c>
      <c r="G300" t="n">
        <v>5</v>
      </c>
      <c r="H300" t="n">
        <v>0</v>
      </c>
      <c r="I300" t="n">
        <v>0</v>
      </c>
      <c r="J300" t="n">
        <v>0</v>
      </c>
      <c r="K300" t="n">
        <v>0</v>
      </c>
      <c r="L300" t="n">
        <v>0</v>
      </c>
      <c r="M300" t="n">
        <v>0</v>
      </c>
      <c r="N300" t="n">
        <v>0</v>
      </c>
      <c r="O300" t="n">
        <v>0</v>
      </c>
      <c r="P300" t="n">
        <v>0</v>
      </c>
      <c r="Q300" t="n">
        <v>0</v>
      </c>
      <c r="R300" s="2" t="inlineStr"/>
    </row>
    <row r="301" ht="15" customHeight="1">
      <c r="A301" t="inlineStr">
        <is>
          <t>A 63002-2025</t>
        </is>
      </c>
      <c r="B301" s="1" t="n">
        <v>46009.56564814815</v>
      </c>
      <c r="C301" s="1" t="n">
        <v>46110</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10158-2025</t>
        </is>
      </c>
      <c r="B302" s="1" t="n">
        <v>45719</v>
      </c>
      <c r="C302" s="1" t="n">
        <v>46110</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4568-2025</t>
        </is>
      </c>
      <c r="B303" s="1" t="n">
        <v>45687</v>
      </c>
      <c r="C303" s="1" t="n">
        <v>46110</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43911-2025</t>
        </is>
      </c>
      <c r="B304" s="1" t="n">
        <v>45914.3881712963</v>
      </c>
      <c r="C304" s="1" t="n">
        <v>46110</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44410-2025</t>
        </is>
      </c>
      <c r="B305" s="1" t="n">
        <v>45916.53699074074</v>
      </c>
      <c r="C305" s="1" t="n">
        <v>46110</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54584-2025</t>
        </is>
      </c>
      <c r="B306" s="1" t="n">
        <v>45965.71788194445</v>
      </c>
      <c r="C306" s="1" t="n">
        <v>46110</v>
      </c>
      <c r="D306" t="inlineStr">
        <is>
          <t>GOTLANDS LÄN</t>
        </is>
      </c>
      <c r="E306" t="inlineStr">
        <is>
          <t>GOTLAND</t>
        </is>
      </c>
      <c r="G306" t="n">
        <v>3.5</v>
      </c>
      <c r="H306" t="n">
        <v>0</v>
      </c>
      <c r="I306" t="n">
        <v>0</v>
      </c>
      <c r="J306" t="n">
        <v>0</v>
      </c>
      <c r="K306" t="n">
        <v>0</v>
      </c>
      <c r="L306" t="n">
        <v>0</v>
      </c>
      <c r="M306" t="n">
        <v>0</v>
      </c>
      <c r="N306" t="n">
        <v>0</v>
      </c>
      <c r="O306" t="n">
        <v>0</v>
      </c>
      <c r="P306" t="n">
        <v>0</v>
      </c>
      <c r="Q306" t="n">
        <v>0</v>
      </c>
      <c r="R306" s="2" t="inlineStr"/>
    </row>
    <row r="307" ht="15" customHeight="1">
      <c r="A307" t="inlineStr">
        <is>
          <t>A 43951-2025</t>
        </is>
      </c>
      <c r="B307" s="1" t="n">
        <v>45915.38119212963</v>
      </c>
      <c r="C307" s="1" t="n">
        <v>46110</v>
      </c>
      <c r="D307" t="inlineStr">
        <is>
          <t>GOTLANDS LÄN</t>
        </is>
      </c>
      <c r="E307" t="inlineStr">
        <is>
          <t>GOTLAND</t>
        </is>
      </c>
      <c r="G307" t="n">
        <v>4.4</v>
      </c>
      <c r="H307" t="n">
        <v>0</v>
      </c>
      <c r="I307" t="n">
        <v>0</v>
      </c>
      <c r="J307" t="n">
        <v>0</v>
      </c>
      <c r="K307" t="n">
        <v>0</v>
      </c>
      <c r="L307" t="n">
        <v>0</v>
      </c>
      <c r="M307" t="n">
        <v>0</v>
      </c>
      <c r="N307" t="n">
        <v>0</v>
      </c>
      <c r="O307" t="n">
        <v>0</v>
      </c>
      <c r="P307" t="n">
        <v>0</v>
      </c>
      <c r="Q307" t="n">
        <v>0</v>
      </c>
      <c r="R307" s="2" t="inlineStr"/>
    </row>
    <row r="308" ht="15" customHeight="1">
      <c r="A308" t="inlineStr">
        <is>
          <t>A 44405-2025</t>
        </is>
      </c>
      <c r="B308" s="1" t="n">
        <v>45916.52405092592</v>
      </c>
      <c r="C308" s="1" t="n">
        <v>46110</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35512-2023</t>
        </is>
      </c>
      <c r="B309" s="1" t="n">
        <v>45147.25623842593</v>
      </c>
      <c r="C309" s="1" t="n">
        <v>46110</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5905-2024</t>
        </is>
      </c>
      <c r="B310" s="1" t="n">
        <v>45335.88993055555</v>
      </c>
      <c r="C310" s="1" t="n">
        <v>46110</v>
      </c>
      <c r="D310" t="inlineStr">
        <is>
          <t>GOTLANDS LÄN</t>
        </is>
      </c>
      <c r="E310" t="inlineStr">
        <is>
          <t>GOTLAND</t>
        </is>
      </c>
      <c r="G310" t="n">
        <v>3</v>
      </c>
      <c r="H310" t="n">
        <v>0</v>
      </c>
      <c r="I310" t="n">
        <v>0</v>
      </c>
      <c r="J310" t="n">
        <v>0</v>
      </c>
      <c r="K310" t="n">
        <v>0</v>
      </c>
      <c r="L310" t="n">
        <v>0</v>
      </c>
      <c r="M310" t="n">
        <v>0</v>
      </c>
      <c r="N310" t="n">
        <v>0</v>
      </c>
      <c r="O310" t="n">
        <v>0</v>
      </c>
      <c r="P310" t="n">
        <v>0</v>
      </c>
      <c r="Q310" t="n">
        <v>0</v>
      </c>
      <c r="R310" s="2" t="inlineStr"/>
    </row>
    <row r="311" ht="15" customHeight="1">
      <c r="A311" t="inlineStr">
        <is>
          <t>A 38649-2025</t>
        </is>
      </c>
      <c r="B311" s="1" t="n">
        <v>45884</v>
      </c>
      <c r="C311" s="1" t="n">
        <v>46110</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61078-2025</t>
        </is>
      </c>
      <c r="B312" s="1" t="n">
        <v>46000</v>
      </c>
      <c r="C312" s="1" t="n">
        <v>46110</v>
      </c>
      <c r="D312" t="inlineStr">
        <is>
          <t>GOTLANDS LÄN</t>
        </is>
      </c>
      <c r="E312" t="inlineStr">
        <is>
          <t>GOTLAND</t>
        </is>
      </c>
      <c r="G312" t="n">
        <v>0.7</v>
      </c>
      <c r="H312" t="n">
        <v>0</v>
      </c>
      <c r="I312" t="n">
        <v>0</v>
      </c>
      <c r="J312" t="n">
        <v>0</v>
      </c>
      <c r="K312" t="n">
        <v>0</v>
      </c>
      <c r="L312" t="n">
        <v>0</v>
      </c>
      <c r="M312" t="n">
        <v>0</v>
      </c>
      <c r="N312" t="n">
        <v>0</v>
      </c>
      <c r="O312" t="n">
        <v>0</v>
      </c>
      <c r="P312" t="n">
        <v>0</v>
      </c>
      <c r="Q312" t="n">
        <v>0</v>
      </c>
      <c r="R312" s="2" t="inlineStr"/>
    </row>
    <row r="313" ht="15" customHeight="1">
      <c r="A313" t="inlineStr">
        <is>
          <t>A 1291-2023</t>
        </is>
      </c>
      <c r="B313" s="1" t="n">
        <v>44936.47561342592</v>
      </c>
      <c r="C313" s="1" t="n">
        <v>46110</v>
      </c>
      <c r="D313" t="inlineStr">
        <is>
          <t>GOTLANDS LÄN</t>
        </is>
      </c>
      <c r="E313" t="inlineStr">
        <is>
          <t>GOTLAND</t>
        </is>
      </c>
      <c r="G313" t="n">
        <v>7.4</v>
      </c>
      <c r="H313" t="n">
        <v>0</v>
      </c>
      <c r="I313" t="n">
        <v>0</v>
      </c>
      <c r="J313" t="n">
        <v>0</v>
      </c>
      <c r="K313" t="n">
        <v>0</v>
      </c>
      <c r="L313" t="n">
        <v>0</v>
      </c>
      <c r="M313" t="n">
        <v>0</v>
      </c>
      <c r="N313" t="n">
        <v>0</v>
      </c>
      <c r="O313" t="n">
        <v>0</v>
      </c>
      <c r="P313" t="n">
        <v>0</v>
      </c>
      <c r="Q313" t="n">
        <v>0</v>
      </c>
      <c r="R313" s="2" t="inlineStr"/>
    </row>
    <row r="314" ht="15" customHeight="1">
      <c r="A314" t="inlineStr">
        <is>
          <t>A 57652-2023</t>
        </is>
      </c>
      <c r="B314" s="1" t="n">
        <v>45246</v>
      </c>
      <c r="C314" s="1" t="n">
        <v>46110</v>
      </c>
      <c r="D314" t="inlineStr">
        <is>
          <t>GOTLANDS LÄN</t>
        </is>
      </c>
      <c r="E314" t="inlineStr">
        <is>
          <t>GOTLAND</t>
        </is>
      </c>
      <c r="G314" t="n">
        <v>7.2</v>
      </c>
      <c r="H314" t="n">
        <v>0</v>
      </c>
      <c r="I314" t="n">
        <v>0</v>
      </c>
      <c r="J314" t="n">
        <v>0</v>
      </c>
      <c r="K314" t="n">
        <v>0</v>
      </c>
      <c r="L314" t="n">
        <v>0</v>
      </c>
      <c r="M314" t="n">
        <v>0</v>
      </c>
      <c r="N314" t="n">
        <v>0</v>
      </c>
      <c r="O314" t="n">
        <v>0</v>
      </c>
      <c r="P314" t="n">
        <v>0</v>
      </c>
      <c r="Q314" t="n">
        <v>0</v>
      </c>
      <c r="R314" s="2" t="inlineStr"/>
    </row>
    <row r="315" ht="15" customHeight="1">
      <c r="A315" t="inlineStr">
        <is>
          <t>A 36-2026</t>
        </is>
      </c>
      <c r="B315" s="1" t="n">
        <v>46024.38886574074</v>
      </c>
      <c r="C315" s="1" t="n">
        <v>46110</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62674-2025</t>
        </is>
      </c>
      <c r="B316" s="1" t="n">
        <v>46008</v>
      </c>
      <c r="C316" s="1" t="n">
        <v>46110</v>
      </c>
      <c r="D316" t="inlineStr">
        <is>
          <t>GOTLANDS LÄN</t>
        </is>
      </c>
      <c r="E316" t="inlineStr">
        <is>
          <t>GOTLAND</t>
        </is>
      </c>
      <c r="G316" t="n">
        <v>5</v>
      </c>
      <c r="H316" t="n">
        <v>0</v>
      </c>
      <c r="I316" t="n">
        <v>0</v>
      </c>
      <c r="J316" t="n">
        <v>0</v>
      </c>
      <c r="K316" t="n">
        <v>0</v>
      </c>
      <c r="L316" t="n">
        <v>0</v>
      </c>
      <c r="M316" t="n">
        <v>0</v>
      </c>
      <c r="N316" t="n">
        <v>0</v>
      </c>
      <c r="O316" t="n">
        <v>0</v>
      </c>
      <c r="P316" t="n">
        <v>0</v>
      </c>
      <c r="Q316" t="n">
        <v>0</v>
      </c>
      <c r="R316" s="2" t="inlineStr"/>
    </row>
    <row r="317" ht="15" customHeight="1">
      <c r="A317" t="inlineStr">
        <is>
          <t>A 49315-2024</t>
        </is>
      </c>
      <c r="B317" s="1" t="n">
        <v>45595</v>
      </c>
      <c r="C317" s="1" t="n">
        <v>46110</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45106-2024</t>
        </is>
      </c>
      <c r="B318" s="1" t="n">
        <v>45575</v>
      </c>
      <c r="C318" s="1" t="n">
        <v>46110</v>
      </c>
      <c r="D318" t="inlineStr">
        <is>
          <t>GOTLANDS LÄN</t>
        </is>
      </c>
      <c r="E318" t="inlineStr">
        <is>
          <t>GOTLAND</t>
        </is>
      </c>
      <c r="G318" t="n">
        <v>10</v>
      </c>
      <c r="H318" t="n">
        <v>0</v>
      </c>
      <c r="I318" t="n">
        <v>0</v>
      </c>
      <c r="J318" t="n">
        <v>0</v>
      </c>
      <c r="K318" t="n">
        <v>0</v>
      </c>
      <c r="L318" t="n">
        <v>0</v>
      </c>
      <c r="M318" t="n">
        <v>0</v>
      </c>
      <c r="N318" t="n">
        <v>0</v>
      </c>
      <c r="O318" t="n">
        <v>0</v>
      </c>
      <c r="P318" t="n">
        <v>0</v>
      </c>
      <c r="Q318" t="n">
        <v>0</v>
      </c>
      <c r="R318" s="2" t="inlineStr"/>
    </row>
    <row r="319" ht="15" customHeight="1">
      <c r="A319" t="inlineStr">
        <is>
          <t>A 45112-2024</t>
        </is>
      </c>
      <c r="B319" s="1" t="n">
        <v>45575</v>
      </c>
      <c r="C319" s="1" t="n">
        <v>46110</v>
      </c>
      <c r="D319" t="inlineStr">
        <is>
          <t>GOTLANDS LÄN</t>
        </is>
      </c>
      <c r="E319" t="inlineStr">
        <is>
          <t>GOTLAND</t>
        </is>
      </c>
      <c r="G319" t="n">
        <v>5.1</v>
      </c>
      <c r="H319" t="n">
        <v>0</v>
      </c>
      <c r="I319" t="n">
        <v>0</v>
      </c>
      <c r="J319" t="n">
        <v>0</v>
      </c>
      <c r="K319" t="n">
        <v>0</v>
      </c>
      <c r="L319" t="n">
        <v>0</v>
      </c>
      <c r="M319" t="n">
        <v>0</v>
      </c>
      <c r="N319" t="n">
        <v>0</v>
      </c>
      <c r="O319" t="n">
        <v>0</v>
      </c>
      <c r="P319" t="n">
        <v>0</v>
      </c>
      <c r="Q319" t="n">
        <v>0</v>
      </c>
      <c r="R319" s="2" t="inlineStr"/>
    </row>
    <row r="320" ht="15" customHeight="1">
      <c r="A320" t="inlineStr">
        <is>
          <t>A 26457-2025</t>
        </is>
      </c>
      <c r="B320" s="1" t="n">
        <v>45807.42773148148</v>
      </c>
      <c r="C320" s="1" t="n">
        <v>46110</v>
      </c>
      <c r="D320" t="inlineStr">
        <is>
          <t>GOTLANDS LÄN</t>
        </is>
      </c>
      <c r="E320" t="inlineStr">
        <is>
          <t>GOTLAND</t>
        </is>
      </c>
      <c r="G320" t="n">
        <v>5.7</v>
      </c>
      <c r="H320" t="n">
        <v>0</v>
      </c>
      <c r="I320" t="n">
        <v>0</v>
      </c>
      <c r="J320" t="n">
        <v>0</v>
      </c>
      <c r="K320" t="n">
        <v>0</v>
      </c>
      <c r="L320" t="n">
        <v>0</v>
      </c>
      <c r="M320" t="n">
        <v>0</v>
      </c>
      <c r="N320" t="n">
        <v>0</v>
      </c>
      <c r="O320" t="n">
        <v>0</v>
      </c>
      <c r="P320" t="n">
        <v>0</v>
      </c>
      <c r="Q320" t="n">
        <v>0</v>
      </c>
      <c r="R320" s="2" t="inlineStr"/>
    </row>
    <row r="321" ht="15" customHeight="1">
      <c r="A321" t="inlineStr">
        <is>
          <t>A 2676-2023</t>
        </is>
      </c>
      <c r="B321" s="1" t="n">
        <v>44944</v>
      </c>
      <c r="C321" s="1" t="n">
        <v>46110</v>
      </c>
      <c r="D321" t="inlineStr">
        <is>
          <t>GOTLANDS LÄN</t>
        </is>
      </c>
      <c r="E321" t="inlineStr">
        <is>
          <t>GOTLAND</t>
        </is>
      </c>
      <c r="G321" t="n">
        <v>0.7</v>
      </c>
      <c r="H321" t="n">
        <v>0</v>
      </c>
      <c r="I321" t="n">
        <v>0</v>
      </c>
      <c r="J321" t="n">
        <v>0</v>
      </c>
      <c r="K321" t="n">
        <v>0</v>
      </c>
      <c r="L321" t="n">
        <v>0</v>
      </c>
      <c r="M321" t="n">
        <v>0</v>
      </c>
      <c r="N321" t="n">
        <v>0</v>
      </c>
      <c r="O321" t="n">
        <v>0</v>
      </c>
      <c r="P321" t="n">
        <v>0</v>
      </c>
      <c r="Q321" t="n">
        <v>0</v>
      </c>
      <c r="R321" s="2" t="inlineStr"/>
    </row>
    <row r="322" ht="15" customHeight="1">
      <c r="A322" t="inlineStr">
        <is>
          <t>A 26467-2025</t>
        </is>
      </c>
      <c r="B322" s="1" t="n">
        <v>45807.44640046296</v>
      </c>
      <c r="C322" s="1" t="n">
        <v>46110</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3150-2025</t>
        </is>
      </c>
      <c r="B323" s="1" t="n">
        <v>45679.28974537037</v>
      </c>
      <c r="C323" s="1" t="n">
        <v>46110</v>
      </c>
      <c r="D323" t="inlineStr">
        <is>
          <t>GOTLANDS LÄN</t>
        </is>
      </c>
      <c r="E323" t="inlineStr">
        <is>
          <t>GOTLAND</t>
        </is>
      </c>
      <c r="G323" t="n">
        <v>2.5</v>
      </c>
      <c r="H323" t="n">
        <v>0</v>
      </c>
      <c r="I323" t="n">
        <v>0</v>
      </c>
      <c r="J323" t="n">
        <v>0</v>
      </c>
      <c r="K323" t="n">
        <v>0</v>
      </c>
      <c r="L323" t="n">
        <v>0</v>
      </c>
      <c r="M323" t="n">
        <v>0</v>
      </c>
      <c r="N323" t="n">
        <v>0</v>
      </c>
      <c r="O323" t="n">
        <v>0</v>
      </c>
      <c r="P323" t="n">
        <v>0</v>
      </c>
      <c r="Q323" t="n">
        <v>0</v>
      </c>
      <c r="R323" s="2" t="inlineStr"/>
    </row>
    <row r="324" ht="15" customHeight="1">
      <c r="A324" t="inlineStr">
        <is>
          <t>A 8484-2025</t>
        </is>
      </c>
      <c r="B324" s="1" t="n">
        <v>45709</v>
      </c>
      <c r="C324" s="1" t="n">
        <v>46110</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26391-2025</t>
        </is>
      </c>
      <c r="B325" s="1" t="n">
        <v>45806</v>
      </c>
      <c r="C325" s="1" t="n">
        <v>46110</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9543-2026</t>
        </is>
      </c>
      <c r="B326" s="1" t="n">
        <v>46071.62486111111</v>
      </c>
      <c r="C326" s="1" t="n">
        <v>46110</v>
      </c>
      <c r="D326" t="inlineStr">
        <is>
          <t>GOTLANDS LÄN</t>
        </is>
      </c>
      <c r="E326" t="inlineStr">
        <is>
          <t>GOTLAND</t>
        </is>
      </c>
      <c r="G326" t="n">
        <v>2.6</v>
      </c>
      <c r="H326" t="n">
        <v>0</v>
      </c>
      <c r="I326" t="n">
        <v>0</v>
      </c>
      <c r="J326" t="n">
        <v>0</v>
      </c>
      <c r="K326" t="n">
        <v>0</v>
      </c>
      <c r="L326" t="n">
        <v>0</v>
      </c>
      <c r="M326" t="n">
        <v>0</v>
      </c>
      <c r="N326" t="n">
        <v>0</v>
      </c>
      <c r="O326" t="n">
        <v>0</v>
      </c>
      <c r="P326" t="n">
        <v>0</v>
      </c>
      <c r="Q326" t="n">
        <v>0</v>
      </c>
      <c r="R326" s="2" t="inlineStr"/>
    </row>
    <row r="327" ht="15" customHeight="1">
      <c r="A327" t="inlineStr">
        <is>
          <t>A 7635-2025</t>
        </is>
      </c>
      <c r="B327" s="1" t="n">
        <v>45705</v>
      </c>
      <c r="C327" s="1" t="n">
        <v>46110</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7636-2025</t>
        </is>
      </c>
      <c r="B328" s="1" t="n">
        <v>45705.7687962963</v>
      </c>
      <c r="C328" s="1" t="n">
        <v>46110</v>
      </c>
      <c r="D328" t="inlineStr">
        <is>
          <t>GOTLANDS LÄN</t>
        </is>
      </c>
      <c r="E328" t="inlineStr">
        <is>
          <t>GOTLAND</t>
        </is>
      </c>
      <c r="G328" t="n">
        <v>0.6</v>
      </c>
      <c r="H328" t="n">
        <v>0</v>
      </c>
      <c r="I328" t="n">
        <v>0</v>
      </c>
      <c r="J328" t="n">
        <v>0</v>
      </c>
      <c r="K328" t="n">
        <v>0</v>
      </c>
      <c r="L328" t="n">
        <v>0</v>
      </c>
      <c r="M328" t="n">
        <v>0</v>
      </c>
      <c r="N328" t="n">
        <v>0</v>
      </c>
      <c r="O328" t="n">
        <v>0</v>
      </c>
      <c r="P328" t="n">
        <v>0</v>
      </c>
      <c r="Q328" t="n">
        <v>0</v>
      </c>
      <c r="R328" s="2" t="inlineStr"/>
    </row>
    <row r="329" ht="15" customHeight="1">
      <c r="A329" t="inlineStr">
        <is>
          <t>A 7639-2025</t>
        </is>
      </c>
      <c r="B329" s="1" t="n">
        <v>45705.77465277778</v>
      </c>
      <c r="C329" s="1" t="n">
        <v>46110</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26465-2025</t>
        </is>
      </c>
      <c r="B330" s="1" t="n">
        <v>45807.44377314814</v>
      </c>
      <c r="C330" s="1" t="n">
        <v>46110</v>
      </c>
      <c r="D330" t="inlineStr">
        <is>
          <t>GOTLANDS LÄN</t>
        </is>
      </c>
      <c r="E330" t="inlineStr">
        <is>
          <t>GOTLAND</t>
        </is>
      </c>
      <c r="G330" t="n">
        <v>4.5</v>
      </c>
      <c r="H330" t="n">
        <v>0</v>
      </c>
      <c r="I330" t="n">
        <v>0</v>
      </c>
      <c r="J330" t="n">
        <v>0</v>
      </c>
      <c r="K330" t="n">
        <v>0</v>
      </c>
      <c r="L330" t="n">
        <v>0</v>
      </c>
      <c r="M330" t="n">
        <v>0</v>
      </c>
      <c r="N330" t="n">
        <v>0</v>
      </c>
      <c r="O330" t="n">
        <v>0</v>
      </c>
      <c r="P330" t="n">
        <v>0</v>
      </c>
      <c r="Q330" t="n">
        <v>0</v>
      </c>
      <c r="R330" s="2" t="inlineStr"/>
    </row>
    <row r="331" ht="15" customHeight="1">
      <c r="A331" t="inlineStr">
        <is>
          <t>A 9521-2026</t>
        </is>
      </c>
      <c r="B331" s="1" t="n">
        <v>46071.59969907408</v>
      </c>
      <c r="C331" s="1" t="n">
        <v>46110</v>
      </c>
      <c r="D331" t="inlineStr">
        <is>
          <t>GOTLANDS LÄN</t>
        </is>
      </c>
      <c r="E331" t="inlineStr">
        <is>
          <t>GOTLAND</t>
        </is>
      </c>
      <c r="G331" t="n">
        <v>3.9</v>
      </c>
      <c r="H331" t="n">
        <v>0</v>
      </c>
      <c r="I331" t="n">
        <v>0</v>
      </c>
      <c r="J331" t="n">
        <v>0</v>
      </c>
      <c r="K331" t="n">
        <v>0</v>
      </c>
      <c r="L331" t="n">
        <v>0</v>
      </c>
      <c r="M331" t="n">
        <v>0</v>
      </c>
      <c r="N331" t="n">
        <v>0</v>
      </c>
      <c r="O331" t="n">
        <v>0</v>
      </c>
      <c r="P331" t="n">
        <v>0</v>
      </c>
      <c r="Q331" t="n">
        <v>0</v>
      </c>
      <c r="R331" s="2" t="inlineStr"/>
    </row>
    <row r="332" ht="15" customHeight="1">
      <c r="A332" t="inlineStr">
        <is>
          <t>A 9524-2026</t>
        </is>
      </c>
      <c r="B332" s="1" t="n">
        <v>46071.60108796296</v>
      </c>
      <c r="C332" s="1" t="n">
        <v>46110</v>
      </c>
      <c r="D332" t="inlineStr">
        <is>
          <t>GOTLANDS LÄN</t>
        </is>
      </c>
      <c r="E332" t="inlineStr">
        <is>
          <t>GOTLAND</t>
        </is>
      </c>
      <c r="G332" t="n">
        <v>2.5</v>
      </c>
      <c r="H332" t="n">
        <v>0</v>
      </c>
      <c r="I332" t="n">
        <v>0</v>
      </c>
      <c r="J332" t="n">
        <v>0</v>
      </c>
      <c r="K332" t="n">
        <v>0</v>
      </c>
      <c r="L332" t="n">
        <v>0</v>
      </c>
      <c r="M332" t="n">
        <v>0</v>
      </c>
      <c r="N332" t="n">
        <v>0</v>
      </c>
      <c r="O332" t="n">
        <v>0</v>
      </c>
      <c r="P332" t="n">
        <v>0</v>
      </c>
      <c r="Q332" t="n">
        <v>0</v>
      </c>
      <c r="R332" s="2" t="inlineStr"/>
    </row>
    <row r="333" ht="15" customHeight="1">
      <c r="A333" t="inlineStr">
        <is>
          <t>A 9518-2026</t>
        </is>
      </c>
      <c r="B333" s="1" t="n">
        <v>46071.59653935185</v>
      </c>
      <c r="C333" s="1" t="n">
        <v>46110</v>
      </c>
      <c r="D333" t="inlineStr">
        <is>
          <t>GOTLANDS LÄN</t>
        </is>
      </c>
      <c r="E333" t="inlineStr">
        <is>
          <t>GOTLAND</t>
        </is>
      </c>
      <c r="G333" t="n">
        <v>6.2</v>
      </c>
      <c r="H333" t="n">
        <v>0</v>
      </c>
      <c r="I333" t="n">
        <v>0</v>
      </c>
      <c r="J333" t="n">
        <v>0</v>
      </c>
      <c r="K333" t="n">
        <v>0</v>
      </c>
      <c r="L333" t="n">
        <v>0</v>
      </c>
      <c r="M333" t="n">
        <v>0</v>
      </c>
      <c r="N333" t="n">
        <v>0</v>
      </c>
      <c r="O333" t="n">
        <v>0</v>
      </c>
      <c r="P333" t="n">
        <v>0</v>
      </c>
      <c r="Q333" t="n">
        <v>0</v>
      </c>
      <c r="R333" s="2" t="inlineStr"/>
    </row>
    <row r="334" ht="15" customHeight="1">
      <c r="A334" t="inlineStr">
        <is>
          <t>A 20356-2022</t>
        </is>
      </c>
      <c r="B334" s="1" t="n">
        <v>44699</v>
      </c>
      <c r="C334" s="1" t="n">
        <v>46110</v>
      </c>
      <c r="D334" t="inlineStr">
        <is>
          <t>GOTLANDS LÄN</t>
        </is>
      </c>
      <c r="E334" t="inlineStr">
        <is>
          <t>GOTLAND</t>
        </is>
      </c>
      <c r="F334" t="inlineStr">
        <is>
          <t>Övriga Aktiebolag</t>
        </is>
      </c>
      <c r="G334" t="n">
        <v>4.4</v>
      </c>
      <c r="H334" t="n">
        <v>0</v>
      </c>
      <c r="I334" t="n">
        <v>0</v>
      </c>
      <c r="J334" t="n">
        <v>0</v>
      </c>
      <c r="K334" t="n">
        <v>0</v>
      </c>
      <c r="L334" t="n">
        <v>0</v>
      </c>
      <c r="M334" t="n">
        <v>0</v>
      </c>
      <c r="N334" t="n">
        <v>0</v>
      </c>
      <c r="O334" t="n">
        <v>0</v>
      </c>
      <c r="P334" t="n">
        <v>0</v>
      </c>
      <c r="Q334" t="n">
        <v>0</v>
      </c>
      <c r="R334" s="2" t="inlineStr"/>
    </row>
    <row r="335" ht="15" customHeight="1">
      <c r="A335" t="inlineStr">
        <is>
          <t>A 48734-2022</t>
        </is>
      </c>
      <c r="B335" s="1" t="n">
        <v>44855</v>
      </c>
      <c r="C335" s="1" t="n">
        <v>46110</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14141-2024</t>
        </is>
      </c>
      <c r="B336" s="1" t="n">
        <v>45392.85193287037</v>
      </c>
      <c r="C336" s="1" t="n">
        <v>46110</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29809-2022</t>
        </is>
      </c>
      <c r="B337" s="1" t="n">
        <v>44755.8713425926</v>
      </c>
      <c r="C337" s="1" t="n">
        <v>46110</v>
      </c>
      <c r="D337" t="inlineStr">
        <is>
          <t>GOTLANDS LÄN</t>
        </is>
      </c>
      <c r="E337" t="inlineStr">
        <is>
          <t>GOTLAND</t>
        </is>
      </c>
      <c r="G337" t="n">
        <v>11.5</v>
      </c>
      <c r="H337" t="n">
        <v>0</v>
      </c>
      <c r="I337" t="n">
        <v>0</v>
      </c>
      <c r="J337" t="n">
        <v>0</v>
      </c>
      <c r="K337" t="n">
        <v>0</v>
      </c>
      <c r="L337" t="n">
        <v>0</v>
      </c>
      <c r="M337" t="n">
        <v>0</v>
      </c>
      <c r="N337" t="n">
        <v>0</v>
      </c>
      <c r="O337" t="n">
        <v>0</v>
      </c>
      <c r="P337" t="n">
        <v>0</v>
      </c>
      <c r="Q337" t="n">
        <v>0</v>
      </c>
      <c r="R337" s="2" t="inlineStr"/>
    </row>
    <row r="338" ht="15" customHeight="1">
      <c r="A338" t="inlineStr">
        <is>
          <t>A 9519-2026</t>
        </is>
      </c>
      <c r="B338" s="1" t="n">
        <v>46071.59820601852</v>
      </c>
      <c r="C338" s="1" t="n">
        <v>46110</v>
      </c>
      <c r="D338" t="inlineStr">
        <is>
          <t>GOTLANDS LÄN</t>
        </is>
      </c>
      <c r="E338" t="inlineStr">
        <is>
          <t>GOTLAND</t>
        </is>
      </c>
      <c r="G338" t="n">
        <v>4</v>
      </c>
      <c r="H338" t="n">
        <v>0</v>
      </c>
      <c r="I338" t="n">
        <v>0</v>
      </c>
      <c r="J338" t="n">
        <v>0</v>
      </c>
      <c r="K338" t="n">
        <v>0</v>
      </c>
      <c r="L338" t="n">
        <v>0</v>
      </c>
      <c r="M338" t="n">
        <v>0</v>
      </c>
      <c r="N338" t="n">
        <v>0</v>
      </c>
      <c r="O338" t="n">
        <v>0</v>
      </c>
      <c r="P338" t="n">
        <v>0</v>
      </c>
      <c r="Q338" t="n">
        <v>0</v>
      </c>
      <c r="R338" s="2" t="inlineStr"/>
    </row>
    <row r="339" ht="15" customHeight="1">
      <c r="A339" t="inlineStr">
        <is>
          <t>A 46836-2025</t>
        </is>
      </c>
      <c r="B339" s="1" t="n">
        <v>45928.31511574074</v>
      </c>
      <c r="C339" s="1" t="n">
        <v>46110</v>
      </c>
      <c r="D339" t="inlineStr">
        <is>
          <t>GOTLANDS LÄN</t>
        </is>
      </c>
      <c r="E339" t="inlineStr">
        <is>
          <t>GOTLAND</t>
        </is>
      </c>
      <c r="G339" t="n">
        <v>2.8</v>
      </c>
      <c r="H339" t="n">
        <v>0</v>
      </c>
      <c r="I339" t="n">
        <v>0</v>
      </c>
      <c r="J339" t="n">
        <v>0</v>
      </c>
      <c r="K339" t="n">
        <v>0</v>
      </c>
      <c r="L339" t="n">
        <v>0</v>
      </c>
      <c r="M339" t="n">
        <v>0</v>
      </c>
      <c r="N339" t="n">
        <v>0</v>
      </c>
      <c r="O339" t="n">
        <v>0</v>
      </c>
      <c r="P339" t="n">
        <v>0</v>
      </c>
      <c r="Q339" t="n">
        <v>0</v>
      </c>
      <c r="R339" s="2" t="inlineStr"/>
    </row>
    <row r="340" ht="15" customHeight="1">
      <c r="A340" t="inlineStr">
        <is>
          <t>A 9540-2026</t>
        </is>
      </c>
      <c r="B340" s="1" t="n">
        <v>46071.61961805556</v>
      </c>
      <c r="C340" s="1" t="n">
        <v>46110</v>
      </c>
      <c r="D340" t="inlineStr">
        <is>
          <t>GOTLANDS LÄN</t>
        </is>
      </c>
      <c r="E340" t="inlineStr">
        <is>
          <t>GOTLAND</t>
        </is>
      </c>
      <c r="G340" t="n">
        <v>2.8</v>
      </c>
      <c r="H340" t="n">
        <v>0</v>
      </c>
      <c r="I340" t="n">
        <v>0</v>
      </c>
      <c r="J340" t="n">
        <v>0</v>
      </c>
      <c r="K340" t="n">
        <v>0</v>
      </c>
      <c r="L340" t="n">
        <v>0</v>
      </c>
      <c r="M340" t="n">
        <v>0</v>
      </c>
      <c r="N340" t="n">
        <v>0</v>
      </c>
      <c r="O340" t="n">
        <v>0</v>
      </c>
      <c r="P340" t="n">
        <v>0</v>
      </c>
      <c r="Q340" t="n">
        <v>0</v>
      </c>
      <c r="R340" s="2" t="inlineStr"/>
    </row>
    <row r="341" ht="15" customHeight="1">
      <c r="A341" t="inlineStr">
        <is>
          <t>A 9504-2026</t>
        </is>
      </c>
      <c r="B341" s="1" t="n">
        <v>46071.57730324074</v>
      </c>
      <c r="C341" s="1" t="n">
        <v>46110</v>
      </c>
      <c r="D341" t="inlineStr">
        <is>
          <t>GOTLANDS LÄN</t>
        </is>
      </c>
      <c r="E341" t="inlineStr">
        <is>
          <t>GOTLAND</t>
        </is>
      </c>
      <c r="G341" t="n">
        <v>0.6</v>
      </c>
      <c r="H341" t="n">
        <v>0</v>
      </c>
      <c r="I341" t="n">
        <v>0</v>
      </c>
      <c r="J341" t="n">
        <v>0</v>
      </c>
      <c r="K341" t="n">
        <v>0</v>
      </c>
      <c r="L341" t="n">
        <v>0</v>
      </c>
      <c r="M341" t="n">
        <v>0</v>
      </c>
      <c r="N341" t="n">
        <v>0</v>
      </c>
      <c r="O341" t="n">
        <v>0</v>
      </c>
      <c r="P341" t="n">
        <v>0</v>
      </c>
      <c r="Q341" t="n">
        <v>0</v>
      </c>
      <c r="R341" s="2" t="inlineStr"/>
    </row>
    <row r="342" ht="15" customHeight="1">
      <c r="A342" t="inlineStr">
        <is>
          <t>A 63152-2025</t>
        </is>
      </c>
      <c r="B342" s="1" t="n">
        <v>46010</v>
      </c>
      <c r="C342" s="1" t="n">
        <v>46110</v>
      </c>
      <c r="D342" t="inlineStr">
        <is>
          <t>GOTLANDS LÄN</t>
        </is>
      </c>
      <c r="E342" t="inlineStr">
        <is>
          <t>GOTLAND</t>
        </is>
      </c>
      <c r="G342" t="n">
        <v>1.5</v>
      </c>
      <c r="H342" t="n">
        <v>0</v>
      </c>
      <c r="I342" t="n">
        <v>0</v>
      </c>
      <c r="J342" t="n">
        <v>0</v>
      </c>
      <c r="K342" t="n">
        <v>0</v>
      </c>
      <c r="L342" t="n">
        <v>0</v>
      </c>
      <c r="M342" t="n">
        <v>0</v>
      </c>
      <c r="N342" t="n">
        <v>0</v>
      </c>
      <c r="O342" t="n">
        <v>0</v>
      </c>
      <c r="P342" t="n">
        <v>0</v>
      </c>
      <c r="Q342" t="n">
        <v>0</v>
      </c>
      <c r="R342" s="2" t="inlineStr"/>
    </row>
    <row r="343" ht="15" customHeight="1">
      <c r="A343" t="inlineStr">
        <is>
          <t>A 26660-2025</t>
        </is>
      </c>
      <c r="B343" s="1" t="n">
        <v>45810.39737268518</v>
      </c>
      <c r="C343" s="1" t="n">
        <v>46110</v>
      </c>
      <c r="D343" t="inlineStr">
        <is>
          <t>GOTLANDS LÄN</t>
        </is>
      </c>
      <c r="E343" t="inlineStr">
        <is>
          <t>GOTLAND</t>
        </is>
      </c>
      <c r="G343" t="n">
        <v>1.8</v>
      </c>
      <c r="H343" t="n">
        <v>0</v>
      </c>
      <c r="I343" t="n">
        <v>0</v>
      </c>
      <c r="J343" t="n">
        <v>0</v>
      </c>
      <c r="K343" t="n">
        <v>0</v>
      </c>
      <c r="L343" t="n">
        <v>0</v>
      </c>
      <c r="M343" t="n">
        <v>0</v>
      </c>
      <c r="N343" t="n">
        <v>0</v>
      </c>
      <c r="O343" t="n">
        <v>0</v>
      </c>
      <c r="P343" t="n">
        <v>0</v>
      </c>
      <c r="Q343" t="n">
        <v>0</v>
      </c>
      <c r="R343" s="2" t="inlineStr"/>
    </row>
    <row r="344" ht="15" customHeight="1">
      <c r="A344" t="inlineStr">
        <is>
          <t>A 9901-2026</t>
        </is>
      </c>
      <c r="B344" s="1" t="n">
        <v>46073.40391203704</v>
      </c>
      <c r="C344" s="1" t="n">
        <v>46110</v>
      </c>
      <c r="D344" t="inlineStr">
        <is>
          <t>GOTLANDS LÄN</t>
        </is>
      </c>
      <c r="E344" t="inlineStr">
        <is>
          <t>GOTLAND</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57685-2022</t>
        </is>
      </c>
      <c r="B345" s="1" t="n">
        <v>44897.4777662037</v>
      </c>
      <c r="C345" s="1" t="n">
        <v>46110</v>
      </c>
      <c r="D345" t="inlineStr">
        <is>
          <t>GOTLANDS LÄN</t>
        </is>
      </c>
      <c r="E345" t="inlineStr">
        <is>
          <t>GOTLAND</t>
        </is>
      </c>
      <c r="G345" t="n">
        <v>3.7</v>
      </c>
      <c r="H345" t="n">
        <v>0</v>
      </c>
      <c r="I345" t="n">
        <v>0</v>
      </c>
      <c r="J345" t="n">
        <v>0</v>
      </c>
      <c r="K345" t="n">
        <v>0</v>
      </c>
      <c r="L345" t="n">
        <v>0</v>
      </c>
      <c r="M345" t="n">
        <v>0</v>
      </c>
      <c r="N345" t="n">
        <v>0</v>
      </c>
      <c r="O345" t="n">
        <v>0</v>
      </c>
      <c r="P345" t="n">
        <v>0</v>
      </c>
      <c r="Q345" t="n">
        <v>0</v>
      </c>
      <c r="R345" s="2" t="inlineStr"/>
    </row>
    <row r="346" ht="15" customHeight="1">
      <c r="A346" t="inlineStr">
        <is>
          <t>A 47637-2025</t>
        </is>
      </c>
      <c r="B346" s="1" t="n">
        <v>45931.49753472222</v>
      </c>
      <c r="C346" s="1" t="n">
        <v>46110</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30815-2023</t>
        </is>
      </c>
      <c r="B347" s="1" t="n">
        <v>45112</v>
      </c>
      <c r="C347" s="1" t="n">
        <v>46110</v>
      </c>
      <c r="D347" t="inlineStr">
        <is>
          <t>GOTLANDS LÄN</t>
        </is>
      </c>
      <c r="E347" t="inlineStr">
        <is>
          <t>GOTLAND</t>
        </is>
      </c>
      <c r="G347" t="n">
        <v>6</v>
      </c>
      <c r="H347" t="n">
        <v>0</v>
      </c>
      <c r="I347" t="n">
        <v>0</v>
      </c>
      <c r="J347" t="n">
        <v>0</v>
      </c>
      <c r="K347" t="n">
        <v>0</v>
      </c>
      <c r="L347" t="n">
        <v>0</v>
      </c>
      <c r="M347" t="n">
        <v>0</v>
      </c>
      <c r="N347" t="n">
        <v>0</v>
      </c>
      <c r="O347" t="n">
        <v>0</v>
      </c>
      <c r="P347" t="n">
        <v>0</v>
      </c>
      <c r="Q347" t="n">
        <v>0</v>
      </c>
      <c r="R347" s="2" t="inlineStr"/>
    </row>
    <row r="348" ht="15" customHeight="1">
      <c r="A348" t="inlineStr">
        <is>
          <t>A 32378-2025</t>
        </is>
      </c>
      <c r="B348" s="1" t="n">
        <v>45837</v>
      </c>
      <c r="C348" s="1" t="n">
        <v>46110</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1355-2026</t>
        </is>
      </c>
      <c r="B349" s="1" t="n">
        <v>46031.59909722222</v>
      </c>
      <c r="C349" s="1" t="n">
        <v>46110</v>
      </c>
      <c r="D349" t="inlineStr">
        <is>
          <t>GOTLANDS LÄN</t>
        </is>
      </c>
      <c r="E349" t="inlineStr">
        <is>
          <t>GOTLAND</t>
        </is>
      </c>
      <c r="G349" t="n">
        <v>3.1</v>
      </c>
      <c r="H349" t="n">
        <v>0</v>
      </c>
      <c r="I349" t="n">
        <v>0</v>
      </c>
      <c r="J349" t="n">
        <v>0</v>
      </c>
      <c r="K349" t="n">
        <v>0</v>
      </c>
      <c r="L349" t="n">
        <v>0</v>
      </c>
      <c r="M349" t="n">
        <v>0</v>
      </c>
      <c r="N349" t="n">
        <v>0</v>
      </c>
      <c r="O349" t="n">
        <v>0</v>
      </c>
      <c r="P349" t="n">
        <v>0</v>
      </c>
      <c r="Q349" t="n">
        <v>0</v>
      </c>
      <c r="R349" s="2" t="inlineStr"/>
    </row>
    <row r="350" ht="15" customHeight="1">
      <c r="A350" t="inlineStr">
        <is>
          <t>A 7034-2023</t>
        </is>
      </c>
      <c r="B350" s="1" t="n">
        <v>44968.32108796296</v>
      </c>
      <c r="C350" s="1" t="n">
        <v>46110</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7042-2023</t>
        </is>
      </c>
      <c r="B351" s="1" t="n">
        <v>44968</v>
      </c>
      <c r="C351" s="1" t="n">
        <v>46110</v>
      </c>
      <c r="D351" t="inlineStr">
        <is>
          <t>GOTLANDS LÄN</t>
        </is>
      </c>
      <c r="E351" t="inlineStr">
        <is>
          <t>GOTLAND</t>
        </is>
      </c>
      <c r="G351" t="n">
        <v>0.7</v>
      </c>
      <c r="H351" t="n">
        <v>0</v>
      </c>
      <c r="I351" t="n">
        <v>0</v>
      </c>
      <c r="J351" t="n">
        <v>0</v>
      </c>
      <c r="K351" t="n">
        <v>0</v>
      </c>
      <c r="L351" t="n">
        <v>0</v>
      </c>
      <c r="M351" t="n">
        <v>0</v>
      </c>
      <c r="N351" t="n">
        <v>0</v>
      </c>
      <c r="O351" t="n">
        <v>0</v>
      </c>
      <c r="P351" t="n">
        <v>0</v>
      </c>
      <c r="Q351" t="n">
        <v>0</v>
      </c>
      <c r="R351" s="2" t="inlineStr"/>
    </row>
    <row r="352" ht="15" customHeight="1">
      <c r="A352" t="inlineStr">
        <is>
          <t>A 10486-2026</t>
        </is>
      </c>
      <c r="B352" s="1" t="n">
        <v>46077.51425925926</v>
      </c>
      <c r="C352" s="1" t="n">
        <v>46110</v>
      </c>
      <c r="D352" t="inlineStr">
        <is>
          <t>GOTLANDS LÄN</t>
        </is>
      </c>
      <c r="E352" t="inlineStr">
        <is>
          <t>GOTLAND</t>
        </is>
      </c>
      <c r="G352" t="n">
        <v>3.5</v>
      </c>
      <c r="H352" t="n">
        <v>0</v>
      </c>
      <c r="I352" t="n">
        <v>0</v>
      </c>
      <c r="J352" t="n">
        <v>0</v>
      </c>
      <c r="K352" t="n">
        <v>0</v>
      </c>
      <c r="L352" t="n">
        <v>0</v>
      </c>
      <c r="M352" t="n">
        <v>0</v>
      </c>
      <c r="N352" t="n">
        <v>0</v>
      </c>
      <c r="O352" t="n">
        <v>0</v>
      </c>
      <c r="P352" t="n">
        <v>0</v>
      </c>
      <c r="Q352" t="n">
        <v>0</v>
      </c>
      <c r="R352" s="2" t="inlineStr"/>
    </row>
    <row r="353" ht="15" customHeight="1">
      <c r="A353" t="inlineStr">
        <is>
          <t>A 35550-2025</t>
        </is>
      </c>
      <c r="B353" s="1" t="n">
        <v>45856.49324074074</v>
      </c>
      <c r="C353" s="1" t="n">
        <v>46110</v>
      </c>
      <c r="D353" t="inlineStr">
        <is>
          <t>GOTLANDS LÄN</t>
        </is>
      </c>
      <c r="E353" t="inlineStr">
        <is>
          <t>GOTLAND</t>
        </is>
      </c>
      <c r="G353" t="n">
        <v>3.2</v>
      </c>
      <c r="H353" t="n">
        <v>0</v>
      </c>
      <c r="I353" t="n">
        <v>0</v>
      </c>
      <c r="J353" t="n">
        <v>0</v>
      </c>
      <c r="K353" t="n">
        <v>0</v>
      </c>
      <c r="L353" t="n">
        <v>0</v>
      </c>
      <c r="M353" t="n">
        <v>0</v>
      </c>
      <c r="N353" t="n">
        <v>0</v>
      </c>
      <c r="O353" t="n">
        <v>0</v>
      </c>
      <c r="P353" t="n">
        <v>0</v>
      </c>
      <c r="Q353" t="n">
        <v>0</v>
      </c>
      <c r="R353" s="2" t="inlineStr"/>
    </row>
    <row r="354" ht="15" customHeight="1">
      <c r="A354" t="inlineStr">
        <is>
          <t>A 23516-2023</t>
        </is>
      </c>
      <c r="B354" s="1" t="n">
        <v>45076.93391203704</v>
      </c>
      <c r="C354" s="1" t="n">
        <v>46110</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27371-2025</t>
        </is>
      </c>
      <c r="B355" s="1" t="n">
        <v>45812</v>
      </c>
      <c r="C355" s="1" t="n">
        <v>46110</v>
      </c>
      <c r="D355" t="inlineStr">
        <is>
          <t>GOTLANDS LÄN</t>
        </is>
      </c>
      <c r="E355" t="inlineStr">
        <is>
          <t>GOTLAND</t>
        </is>
      </c>
      <c r="G355" t="n">
        <v>8</v>
      </c>
      <c r="H355" t="n">
        <v>0</v>
      </c>
      <c r="I355" t="n">
        <v>0</v>
      </c>
      <c r="J355" t="n">
        <v>0</v>
      </c>
      <c r="K355" t="n">
        <v>0</v>
      </c>
      <c r="L355" t="n">
        <v>0</v>
      </c>
      <c r="M355" t="n">
        <v>0</v>
      </c>
      <c r="N355" t="n">
        <v>0</v>
      </c>
      <c r="O355" t="n">
        <v>0</v>
      </c>
      <c r="P355" t="n">
        <v>0</v>
      </c>
      <c r="Q355" t="n">
        <v>0</v>
      </c>
      <c r="R355" s="2" t="inlineStr"/>
    </row>
    <row r="356" ht="15" customHeight="1">
      <c r="A356" t="inlineStr">
        <is>
          <t>A 27355-2025</t>
        </is>
      </c>
      <c r="B356" s="1" t="n">
        <v>45812</v>
      </c>
      <c r="C356" s="1" t="n">
        <v>46110</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64660-2023</t>
        </is>
      </c>
      <c r="B357" s="1" t="n">
        <v>45281.60122685185</v>
      </c>
      <c r="C357" s="1" t="n">
        <v>46110</v>
      </c>
      <c r="D357" t="inlineStr">
        <is>
          <t>GOTLANDS LÄN</t>
        </is>
      </c>
      <c r="E357" t="inlineStr">
        <is>
          <t>GOTLAND</t>
        </is>
      </c>
      <c r="G357" t="n">
        <v>6.3</v>
      </c>
      <c r="H357" t="n">
        <v>0</v>
      </c>
      <c r="I357" t="n">
        <v>0</v>
      </c>
      <c r="J357" t="n">
        <v>0</v>
      </c>
      <c r="K357" t="n">
        <v>0</v>
      </c>
      <c r="L357" t="n">
        <v>0</v>
      </c>
      <c r="M357" t="n">
        <v>0</v>
      </c>
      <c r="N357" t="n">
        <v>0</v>
      </c>
      <c r="O357" t="n">
        <v>0</v>
      </c>
      <c r="P357" t="n">
        <v>0</v>
      </c>
      <c r="Q357" t="n">
        <v>0</v>
      </c>
      <c r="R357" s="2" t="inlineStr"/>
    </row>
    <row r="358" ht="15" customHeight="1">
      <c r="A358" t="inlineStr">
        <is>
          <t>A 6739-2025</t>
        </is>
      </c>
      <c r="B358" s="1" t="n">
        <v>45700</v>
      </c>
      <c r="C358" s="1" t="n">
        <v>46110</v>
      </c>
      <c r="D358" t="inlineStr">
        <is>
          <t>GOTLANDS LÄN</t>
        </is>
      </c>
      <c r="E358" t="inlineStr">
        <is>
          <t>GOTLAND</t>
        </is>
      </c>
      <c r="G358" t="n">
        <v>4.5</v>
      </c>
      <c r="H358" t="n">
        <v>0</v>
      </c>
      <c r="I358" t="n">
        <v>0</v>
      </c>
      <c r="J358" t="n">
        <v>0</v>
      </c>
      <c r="K358" t="n">
        <v>0</v>
      </c>
      <c r="L358" t="n">
        <v>0</v>
      </c>
      <c r="M358" t="n">
        <v>0</v>
      </c>
      <c r="N358" t="n">
        <v>0</v>
      </c>
      <c r="O358" t="n">
        <v>0</v>
      </c>
      <c r="P358" t="n">
        <v>0</v>
      </c>
      <c r="Q358" t="n">
        <v>0</v>
      </c>
      <c r="R358" s="2" t="inlineStr"/>
    </row>
    <row r="359" ht="15" customHeight="1">
      <c r="A359" t="inlineStr">
        <is>
          <t>A 7850-2025</t>
        </is>
      </c>
      <c r="B359" s="1" t="n">
        <v>45706</v>
      </c>
      <c r="C359" s="1" t="n">
        <v>46110</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63763-2023</t>
        </is>
      </c>
      <c r="B360" s="1" t="n">
        <v>45278.33944444444</v>
      </c>
      <c r="C360" s="1" t="n">
        <v>46110</v>
      </c>
      <c r="D360" t="inlineStr">
        <is>
          <t>GOTLANDS LÄN</t>
        </is>
      </c>
      <c r="E360" t="inlineStr">
        <is>
          <t>GOTLAND</t>
        </is>
      </c>
      <c r="G360" t="n">
        <v>0.5</v>
      </c>
      <c r="H360" t="n">
        <v>0</v>
      </c>
      <c r="I360" t="n">
        <v>0</v>
      </c>
      <c r="J360" t="n">
        <v>0</v>
      </c>
      <c r="K360" t="n">
        <v>0</v>
      </c>
      <c r="L360" t="n">
        <v>0</v>
      </c>
      <c r="M360" t="n">
        <v>0</v>
      </c>
      <c r="N360" t="n">
        <v>0</v>
      </c>
      <c r="O360" t="n">
        <v>0</v>
      </c>
      <c r="P360" t="n">
        <v>0</v>
      </c>
      <c r="Q360" t="n">
        <v>0</v>
      </c>
      <c r="R360" s="2" t="inlineStr"/>
    </row>
    <row r="361" ht="15" customHeight="1">
      <c r="A361" t="inlineStr">
        <is>
          <t>A 47578-2025</t>
        </is>
      </c>
      <c r="B361" s="1" t="n">
        <v>45931</v>
      </c>
      <c r="C361" s="1" t="n">
        <v>46110</v>
      </c>
      <c r="D361" t="inlineStr">
        <is>
          <t>GOTLANDS LÄN</t>
        </is>
      </c>
      <c r="E361" t="inlineStr">
        <is>
          <t>GOTLAND</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8444-2025</t>
        </is>
      </c>
      <c r="B362" s="1" t="n">
        <v>45709</v>
      </c>
      <c r="C362" s="1" t="n">
        <v>46110</v>
      </c>
      <c r="D362" t="inlineStr">
        <is>
          <t>GOTLANDS LÄN</t>
        </is>
      </c>
      <c r="E362" t="inlineStr">
        <is>
          <t>GOTLAND</t>
        </is>
      </c>
      <c r="G362" t="n">
        <v>5.2</v>
      </c>
      <c r="H362" t="n">
        <v>0</v>
      </c>
      <c r="I362" t="n">
        <v>0</v>
      </c>
      <c r="J362" t="n">
        <v>0</v>
      </c>
      <c r="K362" t="n">
        <v>0</v>
      </c>
      <c r="L362" t="n">
        <v>0</v>
      </c>
      <c r="M362" t="n">
        <v>0</v>
      </c>
      <c r="N362" t="n">
        <v>0</v>
      </c>
      <c r="O362" t="n">
        <v>0</v>
      </c>
      <c r="P362" t="n">
        <v>0</v>
      </c>
      <c r="Q362" t="n">
        <v>0</v>
      </c>
      <c r="R362" s="2" t="inlineStr"/>
    </row>
    <row r="363" ht="15" customHeight="1">
      <c r="A363" t="inlineStr">
        <is>
          <t>A 49724-2025</t>
        </is>
      </c>
      <c r="B363" s="1" t="n">
        <v>45939.83730324074</v>
      </c>
      <c r="C363" s="1" t="n">
        <v>46110</v>
      </c>
      <c r="D363" t="inlineStr">
        <is>
          <t>GOTLANDS LÄN</t>
        </is>
      </c>
      <c r="E363" t="inlineStr">
        <is>
          <t>GOTLAND</t>
        </is>
      </c>
      <c r="F363" t="inlineStr">
        <is>
          <t>Kyrkan</t>
        </is>
      </c>
      <c r="G363" t="n">
        <v>3.1</v>
      </c>
      <c r="H363" t="n">
        <v>0</v>
      </c>
      <c r="I363" t="n">
        <v>0</v>
      </c>
      <c r="J363" t="n">
        <v>0</v>
      </c>
      <c r="K363" t="n">
        <v>0</v>
      </c>
      <c r="L363" t="n">
        <v>0</v>
      </c>
      <c r="M363" t="n">
        <v>0</v>
      </c>
      <c r="N363" t="n">
        <v>0</v>
      </c>
      <c r="O363" t="n">
        <v>0</v>
      </c>
      <c r="P363" t="n">
        <v>0</v>
      </c>
      <c r="Q363" t="n">
        <v>0</v>
      </c>
      <c r="R363" s="2" t="inlineStr"/>
    </row>
    <row r="364" ht="15" customHeight="1">
      <c r="A364" t="inlineStr">
        <is>
          <t>A 49730-2025</t>
        </is>
      </c>
      <c r="B364" s="1" t="n">
        <v>45939.87613425926</v>
      </c>
      <c r="C364" s="1" t="n">
        <v>46110</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10284-2026</t>
        </is>
      </c>
      <c r="B365" s="1" t="n">
        <v>46076</v>
      </c>
      <c r="C365" s="1" t="n">
        <v>46110</v>
      </c>
      <c r="D365" t="inlineStr">
        <is>
          <t>GOTLANDS LÄN</t>
        </is>
      </c>
      <c r="E365" t="inlineStr">
        <is>
          <t>GOTLAND</t>
        </is>
      </c>
      <c r="G365" t="n">
        <v>5.2</v>
      </c>
      <c r="H365" t="n">
        <v>0</v>
      </c>
      <c r="I365" t="n">
        <v>0</v>
      </c>
      <c r="J365" t="n">
        <v>0</v>
      </c>
      <c r="K365" t="n">
        <v>0</v>
      </c>
      <c r="L365" t="n">
        <v>0</v>
      </c>
      <c r="M365" t="n">
        <v>0</v>
      </c>
      <c r="N365" t="n">
        <v>0</v>
      </c>
      <c r="O365" t="n">
        <v>0</v>
      </c>
      <c r="P365" t="n">
        <v>0</v>
      </c>
      <c r="Q365" t="n">
        <v>0</v>
      </c>
      <c r="R365" s="2" t="inlineStr"/>
    </row>
    <row r="366" ht="15" customHeight="1">
      <c r="A366" t="inlineStr">
        <is>
          <t>A 19905-2025</t>
        </is>
      </c>
      <c r="B366" s="1" t="n">
        <v>45771</v>
      </c>
      <c r="C366" s="1" t="n">
        <v>46110</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1898-2026</t>
        </is>
      </c>
      <c r="B367" s="1" t="n">
        <v>46035.52024305556</v>
      </c>
      <c r="C367" s="1" t="n">
        <v>46110</v>
      </c>
      <c r="D367" t="inlineStr">
        <is>
          <t>GOTLANDS LÄN</t>
        </is>
      </c>
      <c r="E367" t="inlineStr">
        <is>
          <t>GOTLAND</t>
        </is>
      </c>
      <c r="G367" t="n">
        <v>3.7</v>
      </c>
      <c r="H367" t="n">
        <v>0</v>
      </c>
      <c r="I367" t="n">
        <v>0</v>
      </c>
      <c r="J367" t="n">
        <v>0</v>
      </c>
      <c r="K367" t="n">
        <v>0</v>
      </c>
      <c r="L367" t="n">
        <v>0</v>
      </c>
      <c r="M367" t="n">
        <v>0</v>
      </c>
      <c r="N367" t="n">
        <v>0</v>
      </c>
      <c r="O367" t="n">
        <v>0</v>
      </c>
      <c r="P367" t="n">
        <v>0</v>
      </c>
      <c r="Q367" t="n">
        <v>0</v>
      </c>
      <c r="R367" s="2" t="inlineStr"/>
    </row>
    <row r="368" ht="15" customHeight="1">
      <c r="A368" t="inlineStr">
        <is>
          <t>A 29196-2025</t>
        </is>
      </c>
      <c r="B368" s="1" t="n">
        <v>45822</v>
      </c>
      <c r="C368" s="1" t="n">
        <v>46110</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63229-2021</t>
        </is>
      </c>
      <c r="B369" s="1" t="n">
        <v>44508.34518518519</v>
      </c>
      <c r="C369" s="1" t="n">
        <v>46110</v>
      </c>
      <c r="D369" t="inlineStr">
        <is>
          <t>GOTLANDS LÄN</t>
        </is>
      </c>
      <c r="E369" t="inlineStr">
        <is>
          <t>GOTLAND</t>
        </is>
      </c>
      <c r="F369" t="inlineStr">
        <is>
          <t>Kyrkan</t>
        </is>
      </c>
      <c r="G369" t="n">
        <v>3.8</v>
      </c>
      <c r="H369" t="n">
        <v>0</v>
      </c>
      <c r="I369" t="n">
        <v>0</v>
      </c>
      <c r="J369" t="n">
        <v>0</v>
      </c>
      <c r="K369" t="n">
        <v>0</v>
      </c>
      <c r="L369" t="n">
        <v>0</v>
      </c>
      <c r="M369" t="n">
        <v>0</v>
      </c>
      <c r="N369" t="n">
        <v>0</v>
      </c>
      <c r="O369" t="n">
        <v>0</v>
      </c>
      <c r="P369" t="n">
        <v>0</v>
      </c>
      <c r="Q369" t="n">
        <v>0</v>
      </c>
      <c r="R369" s="2" t="inlineStr"/>
    </row>
    <row r="370" ht="15" customHeight="1">
      <c r="A370" t="inlineStr">
        <is>
          <t>A 46375-2024</t>
        </is>
      </c>
      <c r="B370" s="1" t="n">
        <v>45582</v>
      </c>
      <c r="C370" s="1" t="n">
        <v>46110</v>
      </c>
      <c r="D370" t="inlineStr">
        <is>
          <t>GOTLANDS LÄN</t>
        </is>
      </c>
      <c r="E370" t="inlineStr">
        <is>
          <t>GOTLAND</t>
        </is>
      </c>
      <c r="G370" t="n">
        <v>3</v>
      </c>
      <c r="H370" t="n">
        <v>0</v>
      </c>
      <c r="I370" t="n">
        <v>0</v>
      </c>
      <c r="J370" t="n">
        <v>0</v>
      </c>
      <c r="K370" t="n">
        <v>0</v>
      </c>
      <c r="L370" t="n">
        <v>0</v>
      </c>
      <c r="M370" t="n">
        <v>0</v>
      </c>
      <c r="N370" t="n">
        <v>0</v>
      </c>
      <c r="O370" t="n">
        <v>0</v>
      </c>
      <c r="P370" t="n">
        <v>0</v>
      </c>
      <c r="Q370" t="n">
        <v>0</v>
      </c>
      <c r="R370" s="2" t="inlineStr"/>
    </row>
    <row r="371" ht="15" customHeight="1">
      <c r="A371" t="inlineStr">
        <is>
          <t>A 29207-2025</t>
        </is>
      </c>
      <c r="B371" s="1" t="n">
        <v>45823</v>
      </c>
      <c r="C371" s="1" t="n">
        <v>46110</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49690-2025</t>
        </is>
      </c>
      <c r="B372" s="1" t="n">
        <v>45939.66730324074</v>
      </c>
      <c r="C372" s="1" t="n">
        <v>46110</v>
      </c>
      <c r="D372" t="inlineStr">
        <is>
          <t>GOTLANDS LÄN</t>
        </is>
      </c>
      <c r="E372" t="inlineStr">
        <is>
          <t>GOTLAND</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33011-2025</t>
        </is>
      </c>
      <c r="B373" s="1" t="n">
        <v>45840</v>
      </c>
      <c r="C373" s="1" t="n">
        <v>46110</v>
      </c>
      <c r="D373" t="inlineStr">
        <is>
          <t>GOTLANDS LÄN</t>
        </is>
      </c>
      <c r="E373" t="inlineStr">
        <is>
          <t>GOTLAND</t>
        </is>
      </c>
      <c r="G373" t="n">
        <v>1.7</v>
      </c>
      <c r="H373" t="n">
        <v>0</v>
      </c>
      <c r="I373" t="n">
        <v>0</v>
      </c>
      <c r="J373" t="n">
        <v>0</v>
      </c>
      <c r="K373" t="n">
        <v>0</v>
      </c>
      <c r="L373" t="n">
        <v>0</v>
      </c>
      <c r="M373" t="n">
        <v>0</v>
      </c>
      <c r="N373" t="n">
        <v>0</v>
      </c>
      <c r="O373" t="n">
        <v>0</v>
      </c>
      <c r="P373" t="n">
        <v>0</v>
      </c>
      <c r="Q373" t="n">
        <v>0</v>
      </c>
      <c r="R373" s="2" t="inlineStr"/>
    </row>
    <row r="374" ht="15" customHeight="1">
      <c r="A374" t="inlineStr">
        <is>
          <t>A 50421-2025</t>
        </is>
      </c>
      <c r="B374" s="1" t="n">
        <v>45944.66049768519</v>
      </c>
      <c r="C374" s="1" t="n">
        <v>46110</v>
      </c>
      <c r="D374" t="inlineStr">
        <is>
          <t>GOTLANDS LÄN</t>
        </is>
      </c>
      <c r="E374" t="inlineStr">
        <is>
          <t>GOTLAND</t>
        </is>
      </c>
      <c r="G374" t="n">
        <v>3.9</v>
      </c>
      <c r="H374" t="n">
        <v>0</v>
      </c>
      <c r="I374" t="n">
        <v>0</v>
      </c>
      <c r="J374" t="n">
        <v>0</v>
      </c>
      <c r="K374" t="n">
        <v>0</v>
      </c>
      <c r="L374" t="n">
        <v>0</v>
      </c>
      <c r="M374" t="n">
        <v>0</v>
      </c>
      <c r="N374" t="n">
        <v>0</v>
      </c>
      <c r="O374" t="n">
        <v>0</v>
      </c>
      <c r="P374" t="n">
        <v>0</v>
      </c>
      <c r="Q374" t="n">
        <v>0</v>
      </c>
      <c r="R374" s="2" t="inlineStr"/>
    </row>
    <row r="375" ht="15" customHeight="1">
      <c r="A375" t="inlineStr">
        <is>
          <t>A 30061-2025</t>
        </is>
      </c>
      <c r="B375" s="1" t="n">
        <v>45826.61488425926</v>
      </c>
      <c r="C375" s="1" t="n">
        <v>46110</v>
      </c>
      <c r="D375" t="inlineStr">
        <is>
          <t>GOTLANDS LÄN</t>
        </is>
      </c>
      <c r="E375" t="inlineStr">
        <is>
          <t>GOTLAND</t>
        </is>
      </c>
      <c r="G375" t="n">
        <v>4.1</v>
      </c>
      <c r="H375" t="n">
        <v>0</v>
      </c>
      <c r="I375" t="n">
        <v>0</v>
      </c>
      <c r="J375" t="n">
        <v>0</v>
      </c>
      <c r="K375" t="n">
        <v>0</v>
      </c>
      <c r="L375" t="n">
        <v>0</v>
      </c>
      <c r="M375" t="n">
        <v>0</v>
      </c>
      <c r="N375" t="n">
        <v>0</v>
      </c>
      <c r="O375" t="n">
        <v>0</v>
      </c>
      <c r="P375" t="n">
        <v>0</v>
      </c>
      <c r="Q375" t="n">
        <v>0</v>
      </c>
      <c r="R375" s="2" t="inlineStr"/>
    </row>
    <row r="376" ht="15" customHeight="1">
      <c r="A376" t="inlineStr">
        <is>
          <t>A 50431-2025</t>
        </is>
      </c>
      <c r="B376" s="1" t="n">
        <v>45944.68453703704</v>
      </c>
      <c r="C376" s="1" t="n">
        <v>46110</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50928-2025</t>
        </is>
      </c>
      <c r="B377" s="1" t="n">
        <v>45946.67896990741</v>
      </c>
      <c r="C377" s="1" t="n">
        <v>46110</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2415-2026</t>
        </is>
      </c>
      <c r="B378" s="1" t="n">
        <v>46036.76203703704</v>
      </c>
      <c r="C378" s="1" t="n">
        <v>46110</v>
      </c>
      <c r="D378" t="inlineStr">
        <is>
          <t>GOTLANDS LÄN</t>
        </is>
      </c>
      <c r="E378" t="inlineStr">
        <is>
          <t>GOTLAND</t>
        </is>
      </c>
      <c r="G378" t="n">
        <v>6.9</v>
      </c>
      <c r="H378" t="n">
        <v>0</v>
      </c>
      <c r="I378" t="n">
        <v>0</v>
      </c>
      <c r="J378" t="n">
        <v>0</v>
      </c>
      <c r="K378" t="n">
        <v>0</v>
      </c>
      <c r="L378" t="n">
        <v>0</v>
      </c>
      <c r="M378" t="n">
        <v>0</v>
      </c>
      <c r="N378" t="n">
        <v>0</v>
      </c>
      <c r="O378" t="n">
        <v>0</v>
      </c>
      <c r="P378" t="n">
        <v>0</v>
      </c>
      <c r="Q378" t="n">
        <v>0</v>
      </c>
      <c r="R378" s="2" t="inlineStr"/>
    </row>
    <row r="379" ht="15" customHeight="1">
      <c r="A379" t="inlineStr">
        <is>
          <t>A 11414-2026</t>
        </is>
      </c>
      <c r="B379" s="1" t="n">
        <v>46083.46336805556</v>
      </c>
      <c r="C379" s="1" t="n">
        <v>46110</v>
      </c>
      <c r="D379" t="inlineStr">
        <is>
          <t>GOTLANDS LÄN</t>
        </is>
      </c>
      <c r="E379" t="inlineStr">
        <is>
          <t>GOTLAND</t>
        </is>
      </c>
      <c r="G379" t="n">
        <v>4.9</v>
      </c>
      <c r="H379" t="n">
        <v>0</v>
      </c>
      <c r="I379" t="n">
        <v>0</v>
      </c>
      <c r="J379" t="n">
        <v>0</v>
      </c>
      <c r="K379" t="n">
        <v>0</v>
      </c>
      <c r="L379" t="n">
        <v>0</v>
      </c>
      <c r="M379" t="n">
        <v>0</v>
      </c>
      <c r="N379" t="n">
        <v>0</v>
      </c>
      <c r="O379" t="n">
        <v>0</v>
      </c>
      <c r="P379" t="n">
        <v>0</v>
      </c>
      <c r="Q379" t="n">
        <v>0</v>
      </c>
      <c r="R379" s="2" t="inlineStr"/>
    </row>
    <row r="380" ht="15" customHeight="1">
      <c r="A380" t="inlineStr">
        <is>
          <t>A 58160-2024</t>
        </is>
      </c>
      <c r="B380" s="1" t="n">
        <v>45632.44927083333</v>
      </c>
      <c r="C380" s="1" t="n">
        <v>46110</v>
      </c>
      <c r="D380" t="inlineStr">
        <is>
          <t>GOTLANDS LÄN</t>
        </is>
      </c>
      <c r="E380" t="inlineStr">
        <is>
          <t>GOTLAND</t>
        </is>
      </c>
      <c r="G380" t="n">
        <v>5.6</v>
      </c>
      <c r="H380" t="n">
        <v>0</v>
      </c>
      <c r="I380" t="n">
        <v>0</v>
      </c>
      <c r="J380" t="n">
        <v>0</v>
      </c>
      <c r="K380" t="n">
        <v>0</v>
      </c>
      <c r="L380" t="n">
        <v>0</v>
      </c>
      <c r="M380" t="n">
        <v>0</v>
      </c>
      <c r="N380" t="n">
        <v>0</v>
      </c>
      <c r="O380" t="n">
        <v>0</v>
      </c>
      <c r="P380" t="n">
        <v>0</v>
      </c>
      <c r="Q380" t="n">
        <v>0</v>
      </c>
      <c r="R380" s="2" t="inlineStr"/>
    </row>
    <row r="381" ht="15" customHeight="1">
      <c r="A381" t="inlineStr">
        <is>
          <t>A 1734-2025</t>
        </is>
      </c>
      <c r="B381" s="1" t="n">
        <v>45671.3840625</v>
      </c>
      <c r="C381" s="1" t="n">
        <v>46110</v>
      </c>
      <c r="D381" t="inlineStr">
        <is>
          <t>GOTLANDS LÄN</t>
        </is>
      </c>
      <c r="E381" t="inlineStr">
        <is>
          <t>GOTLAND</t>
        </is>
      </c>
      <c r="G381" t="n">
        <v>1.9</v>
      </c>
      <c r="H381" t="n">
        <v>0</v>
      </c>
      <c r="I381" t="n">
        <v>0</v>
      </c>
      <c r="J381" t="n">
        <v>0</v>
      </c>
      <c r="K381" t="n">
        <v>0</v>
      </c>
      <c r="L381" t="n">
        <v>0</v>
      </c>
      <c r="M381" t="n">
        <v>0</v>
      </c>
      <c r="N381" t="n">
        <v>0</v>
      </c>
      <c r="O381" t="n">
        <v>0</v>
      </c>
      <c r="P381" t="n">
        <v>0</v>
      </c>
      <c r="Q381" t="n">
        <v>0</v>
      </c>
      <c r="R381" s="2" t="inlineStr"/>
    </row>
    <row r="382" ht="15" customHeight="1">
      <c r="A382" t="inlineStr">
        <is>
          <t>A 11424-2026</t>
        </is>
      </c>
      <c r="B382" s="1" t="n">
        <v>46083.48068287037</v>
      </c>
      <c r="C382" s="1" t="n">
        <v>46110</v>
      </c>
      <c r="D382" t="inlineStr">
        <is>
          <t>GOTLANDS LÄN</t>
        </is>
      </c>
      <c r="E382" t="inlineStr">
        <is>
          <t>GOTLAND</t>
        </is>
      </c>
      <c r="G382" t="n">
        <v>1.3</v>
      </c>
      <c r="H382" t="n">
        <v>0</v>
      </c>
      <c r="I382" t="n">
        <v>0</v>
      </c>
      <c r="J382" t="n">
        <v>0</v>
      </c>
      <c r="K382" t="n">
        <v>0</v>
      </c>
      <c r="L382" t="n">
        <v>0</v>
      </c>
      <c r="M382" t="n">
        <v>0</v>
      </c>
      <c r="N382" t="n">
        <v>0</v>
      </c>
      <c r="O382" t="n">
        <v>0</v>
      </c>
      <c r="P382" t="n">
        <v>0</v>
      </c>
      <c r="Q382" t="n">
        <v>0</v>
      </c>
      <c r="R382" s="2" t="inlineStr"/>
    </row>
    <row r="383" ht="15" customHeight="1">
      <c r="A383" t="inlineStr">
        <is>
          <t>A 20993-2023</t>
        </is>
      </c>
      <c r="B383" s="1" t="n">
        <v>45056</v>
      </c>
      <c r="C383" s="1" t="n">
        <v>46110</v>
      </c>
      <c r="D383" t="inlineStr">
        <is>
          <t>GOTLANDS LÄN</t>
        </is>
      </c>
      <c r="E383" t="inlineStr">
        <is>
          <t>GOTLAND</t>
        </is>
      </c>
      <c r="G383" t="n">
        <v>7.1</v>
      </c>
      <c r="H383" t="n">
        <v>0</v>
      </c>
      <c r="I383" t="n">
        <v>0</v>
      </c>
      <c r="J383" t="n">
        <v>0</v>
      </c>
      <c r="K383" t="n">
        <v>0</v>
      </c>
      <c r="L383" t="n">
        <v>0</v>
      </c>
      <c r="M383" t="n">
        <v>0</v>
      </c>
      <c r="N383" t="n">
        <v>0</v>
      </c>
      <c r="O383" t="n">
        <v>0</v>
      </c>
      <c r="P383" t="n">
        <v>0</v>
      </c>
      <c r="Q383" t="n">
        <v>0</v>
      </c>
      <c r="R383" s="2" t="inlineStr"/>
    </row>
    <row r="384" ht="15" customHeight="1">
      <c r="A384" t="inlineStr">
        <is>
          <t>A 51262-2025</t>
        </is>
      </c>
      <c r="B384" s="1" t="n">
        <v>45949.49872685185</v>
      </c>
      <c r="C384" s="1" t="n">
        <v>46110</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53587-2025</t>
        </is>
      </c>
      <c r="B385" s="1" t="n">
        <v>45960.43681712963</v>
      </c>
      <c r="C385" s="1" t="n">
        <v>46110</v>
      </c>
      <c r="D385" t="inlineStr">
        <is>
          <t>GOTLANDS LÄN</t>
        </is>
      </c>
      <c r="E385" t="inlineStr">
        <is>
          <t>GOTLAND</t>
        </is>
      </c>
      <c r="F385" t="inlineStr">
        <is>
          <t>Övriga Aktiebolag</t>
        </is>
      </c>
      <c r="G385" t="n">
        <v>1.7</v>
      </c>
      <c r="H385" t="n">
        <v>0</v>
      </c>
      <c r="I385" t="n">
        <v>0</v>
      </c>
      <c r="J385" t="n">
        <v>0</v>
      </c>
      <c r="K385" t="n">
        <v>0</v>
      </c>
      <c r="L385" t="n">
        <v>0</v>
      </c>
      <c r="M385" t="n">
        <v>0</v>
      </c>
      <c r="N385" t="n">
        <v>0</v>
      </c>
      <c r="O385" t="n">
        <v>0</v>
      </c>
      <c r="P385" t="n">
        <v>0</v>
      </c>
      <c r="Q385" t="n">
        <v>0</v>
      </c>
      <c r="R385" s="2" t="inlineStr"/>
    </row>
    <row r="386" ht="15" customHeight="1">
      <c r="A386" t="inlineStr">
        <is>
          <t>A 12596-2023</t>
        </is>
      </c>
      <c r="B386" s="1" t="n">
        <v>45000.43310185185</v>
      </c>
      <c r="C386" s="1" t="n">
        <v>46110</v>
      </c>
      <c r="D386" t="inlineStr">
        <is>
          <t>GOTLANDS LÄN</t>
        </is>
      </c>
      <c r="E386" t="inlineStr">
        <is>
          <t>GOTLAND</t>
        </is>
      </c>
      <c r="G386" t="n">
        <v>4.1</v>
      </c>
      <c r="H386" t="n">
        <v>0</v>
      </c>
      <c r="I386" t="n">
        <v>0</v>
      </c>
      <c r="J386" t="n">
        <v>0</v>
      </c>
      <c r="K386" t="n">
        <v>0</v>
      </c>
      <c r="L386" t="n">
        <v>0</v>
      </c>
      <c r="M386" t="n">
        <v>0</v>
      </c>
      <c r="N386" t="n">
        <v>0</v>
      </c>
      <c r="O386" t="n">
        <v>0</v>
      </c>
      <c r="P386" t="n">
        <v>0</v>
      </c>
      <c r="Q386" t="n">
        <v>0</v>
      </c>
      <c r="R386" s="2" t="inlineStr"/>
    </row>
    <row r="387" ht="15" customHeight="1">
      <c r="A387" t="inlineStr">
        <is>
          <t>A 2125-2025</t>
        </is>
      </c>
      <c r="B387" s="1" t="n">
        <v>45672.64940972222</v>
      </c>
      <c r="C387" s="1" t="n">
        <v>46110</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53561-2025</t>
        </is>
      </c>
      <c r="B388" s="1" t="n">
        <v>45960.4059375</v>
      </c>
      <c r="C388" s="1" t="n">
        <v>46110</v>
      </c>
      <c r="D388" t="inlineStr">
        <is>
          <t>GOTLANDS LÄN</t>
        </is>
      </c>
      <c r="E388" t="inlineStr">
        <is>
          <t>GOTLAND</t>
        </is>
      </c>
      <c r="F388" t="inlineStr">
        <is>
          <t>Övriga Aktiebolag</t>
        </is>
      </c>
      <c r="G388" t="n">
        <v>2.4</v>
      </c>
      <c r="H388" t="n">
        <v>0</v>
      </c>
      <c r="I388" t="n">
        <v>0</v>
      </c>
      <c r="J388" t="n">
        <v>0</v>
      </c>
      <c r="K388" t="n">
        <v>0</v>
      </c>
      <c r="L388" t="n">
        <v>0</v>
      </c>
      <c r="M388" t="n">
        <v>0</v>
      </c>
      <c r="N388" t="n">
        <v>0</v>
      </c>
      <c r="O388" t="n">
        <v>0</v>
      </c>
      <c r="P388" t="n">
        <v>0</v>
      </c>
      <c r="Q388" t="n">
        <v>0</v>
      </c>
      <c r="R388" s="2" t="inlineStr"/>
    </row>
    <row r="389" ht="15" customHeight="1">
      <c r="A389" t="inlineStr">
        <is>
          <t>A 3253-2026</t>
        </is>
      </c>
      <c r="B389" s="1" t="n">
        <v>46041.58902777778</v>
      </c>
      <c r="C389" s="1" t="n">
        <v>46110</v>
      </c>
      <c r="D389" t="inlineStr">
        <is>
          <t>GOTLANDS LÄN</t>
        </is>
      </c>
      <c r="E389" t="inlineStr">
        <is>
          <t>GOTLAND</t>
        </is>
      </c>
      <c r="G389" t="n">
        <v>0.7</v>
      </c>
      <c r="H389" t="n">
        <v>0</v>
      </c>
      <c r="I389" t="n">
        <v>0</v>
      </c>
      <c r="J389" t="n">
        <v>0</v>
      </c>
      <c r="K389" t="n">
        <v>0</v>
      </c>
      <c r="L389" t="n">
        <v>0</v>
      </c>
      <c r="M389" t="n">
        <v>0</v>
      </c>
      <c r="N389" t="n">
        <v>0</v>
      </c>
      <c r="O389" t="n">
        <v>0</v>
      </c>
      <c r="P389" t="n">
        <v>0</v>
      </c>
      <c r="Q389" t="n">
        <v>0</v>
      </c>
      <c r="R389" s="2" t="inlineStr"/>
    </row>
    <row r="390" ht="15" customHeight="1">
      <c r="A390" t="inlineStr">
        <is>
          <t>A 52249-2025</t>
        </is>
      </c>
      <c r="B390" s="1" t="n">
        <v>45953.48637731482</v>
      </c>
      <c r="C390" s="1" t="n">
        <v>46110</v>
      </c>
      <c r="D390" t="inlineStr">
        <is>
          <t>GOTLANDS LÄN</t>
        </is>
      </c>
      <c r="E390" t="inlineStr">
        <is>
          <t>GOTLAND</t>
        </is>
      </c>
      <c r="F390" t="inlineStr">
        <is>
          <t>Övriga Aktiebolag</t>
        </is>
      </c>
      <c r="G390" t="n">
        <v>1</v>
      </c>
      <c r="H390" t="n">
        <v>0</v>
      </c>
      <c r="I390" t="n">
        <v>0</v>
      </c>
      <c r="J390" t="n">
        <v>0</v>
      </c>
      <c r="K390" t="n">
        <v>0</v>
      </c>
      <c r="L390" t="n">
        <v>0</v>
      </c>
      <c r="M390" t="n">
        <v>0</v>
      </c>
      <c r="N390" t="n">
        <v>0</v>
      </c>
      <c r="O390" t="n">
        <v>0</v>
      </c>
      <c r="P390" t="n">
        <v>0</v>
      </c>
      <c r="Q390" t="n">
        <v>0</v>
      </c>
      <c r="R390" s="2" t="inlineStr"/>
    </row>
    <row r="391" ht="15" customHeight="1">
      <c r="A391" t="inlineStr">
        <is>
          <t>A 12155-2023</t>
        </is>
      </c>
      <c r="B391" s="1" t="n">
        <v>44998.49106481481</v>
      </c>
      <c r="C391" s="1" t="n">
        <v>46110</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457-2023</t>
        </is>
      </c>
      <c r="B392" s="1" t="n">
        <v>44929.87238425926</v>
      </c>
      <c r="C392" s="1" t="n">
        <v>46110</v>
      </c>
      <c r="D392" t="inlineStr">
        <is>
          <t>GOTLANDS LÄN</t>
        </is>
      </c>
      <c r="E392" t="inlineStr">
        <is>
          <t>GOTLAND</t>
        </is>
      </c>
      <c r="G392" t="n">
        <v>2.4</v>
      </c>
      <c r="H392" t="n">
        <v>0</v>
      </c>
      <c r="I392" t="n">
        <v>0</v>
      </c>
      <c r="J392" t="n">
        <v>0</v>
      </c>
      <c r="K392" t="n">
        <v>0</v>
      </c>
      <c r="L392" t="n">
        <v>0</v>
      </c>
      <c r="M392" t="n">
        <v>0</v>
      </c>
      <c r="N392" t="n">
        <v>0</v>
      </c>
      <c r="O392" t="n">
        <v>0</v>
      </c>
      <c r="P392" t="n">
        <v>0</v>
      </c>
      <c r="Q392" t="n">
        <v>0</v>
      </c>
      <c r="R392" s="2" t="inlineStr"/>
    </row>
    <row r="393" ht="15" customHeight="1">
      <c r="A393" t="inlineStr">
        <is>
          <t>A 459-2023</t>
        </is>
      </c>
      <c r="B393" s="1" t="n">
        <v>44929.87423611111</v>
      </c>
      <c r="C393" s="1" t="n">
        <v>46110</v>
      </c>
      <c r="D393" t="inlineStr">
        <is>
          <t>GOTLANDS LÄN</t>
        </is>
      </c>
      <c r="E393" t="inlineStr">
        <is>
          <t>GOTLAND</t>
        </is>
      </c>
      <c r="G393" t="n">
        <v>4.2</v>
      </c>
      <c r="H393" t="n">
        <v>0</v>
      </c>
      <c r="I393" t="n">
        <v>0</v>
      </c>
      <c r="J393" t="n">
        <v>0</v>
      </c>
      <c r="K393" t="n">
        <v>0</v>
      </c>
      <c r="L393" t="n">
        <v>0</v>
      </c>
      <c r="M393" t="n">
        <v>0</v>
      </c>
      <c r="N393" t="n">
        <v>0</v>
      </c>
      <c r="O393" t="n">
        <v>0</v>
      </c>
      <c r="P393" t="n">
        <v>0</v>
      </c>
      <c r="Q393" t="n">
        <v>0</v>
      </c>
      <c r="R393" s="2" t="inlineStr"/>
    </row>
    <row r="394" ht="15" customHeight="1">
      <c r="A394" t="inlineStr">
        <is>
          <t>A 38234-2023</t>
        </is>
      </c>
      <c r="B394" s="1" t="n">
        <v>45161.56663194444</v>
      </c>
      <c r="C394" s="1" t="n">
        <v>46110</v>
      </c>
      <c r="D394" t="inlineStr">
        <is>
          <t>GOTLANDS LÄN</t>
        </is>
      </c>
      <c r="E394" t="inlineStr">
        <is>
          <t>GOTLAND</t>
        </is>
      </c>
      <c r="G394" t="n">
        <v>1.3</v>
      </c>
      <c r="H394" t="n">
        <v>0</v>
      </c>
      <c r="I394" t="n">
        <v>0</v>
      </c>
      <c r="J394" t="n">
        <v>0</v>
      </c>
      <c r="K394" t="n">
        <v>0</v>
      </c>
      <c r="L394" t="n">
        <v>0</v>
      </c>
      <c r="M394" t="n">
        <v>0</v>
      </c>
      <c r="N394" t="n">
        <v>0</v>
      </c>
      <c r="O394" t="n">
        <v>0</v>
      </c>
      <c r="P394" t="n">
        <v>0</v>
      </c>
      <c r="Q394" t="n">
        <v>0</v>
      </c>
      <c r="R394" s="2" t="inlineStr"/>
    </row>
    <row r="395" ht="15" customHeight="1">
      <c r="A395" t="inlineStr">
        <is>
          <t>A 11982-2026</t>
        </is>
      </c>
      <c r="B395" s="1" t="n">
        <v>46085.6434375</v>
      </c>
      <c r="C395" s="1" t="n">
        <v>46110</v>
      </c>
      <c r="D395" t="inlineStr">
        <is>
          <t>GOTLANDS LÄN</t>
        </is>
      </c>
      <c r="E395" t="inlineStr">
        <is>
          <t>GOTLAND</t>
        </is>
      </c>
      <c r="G395" t="n">
        <v>2.2</v>
      </c>
      <c r="H395" t="n">
        <v>0</v>
      </c>
      <c r="I395" t="n">
        <v>0</v>
      </c>
      <c r="J395" t="n">
        <v>0</v>
      </c>
      <c r="K395" t="n">
        <v>0</v>
      </c>
      <c r="L395" t="n">
        <v>0</v>
      </c>
      <c r="M395" t="n">
        <v>0</v>
      </c>
      <c r="N395" t="n">
        <v>0</v>
      </c>
      <c r="O395" t="n">
        <v>0</v>
      </c>
      <c r="P395" t="n">
        <v>0</v>
      </c>
      <c r="Q395" t="n">
        <v>0</v>
      </c>
      <c r="R395" s="2" t="inlineStr"/>
    </row>
    <row r="396" ht="15" customHeight="1">
      <c r="A396" t="inlineStr">
        <is>
          <t>A 50744-2024</t>
        </is>
      </c>
      <c r="B396" s="1" t="n">
        <v>45602.4187037037</v>
      </c>
      <c r="C396" s="1" t="n">
        <v>46110</v>
      </c>
      <c r="D396" t="inlineStr">
        <is>
          <t>GOTLANDS LÄN</t>
        </is>
      </c>
      <c r="E396" t="inlineStr">
        <is>
          <t>GOTLAND</t>
        </is>
      </c>
      <c r="G396" t="n">
        <v>3.2</v>
      </c>
      <c r="H396" t="n">
        <v>0</v>
      </c>
      <c r="I396" t="n">
        <v>0</v>
      </c>
      <c r="J396" t="n">
        <v>0</v>
      </c>
      <c r="K396" t="n">
        <v>0</v>
      </c>
      <c r="L396" t="n">
        <v>0</v>
      </c>
      <c r="M396" t="n">
        <v>0</v>
      </c>
      <c r="N396" t="n">
        <v>0</v>
      </c>
      <c r="O396" t="n">
        <v>0</v>
      </c>
      <c r="P396" t="n">
        <v>0</v>
      </c>
      <c r="Q396" t="n">
        <v>0</v>
      </c>
      <c r="R396" s="2" t="inlineStr"/>
    </row>
    <row r="397" ht="15" customHeight="1">
      <c r="A397" t="inlineStr">
        <is>
          <t>A 32379-2025</t>
        </is>
      </c>
      <c r="B397" s="1" t="n">
        <v>45837</v>
      </c>
      <c r="C397" s="1" t="n">
        <v>46110</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52637-2025</t>
        </is>
      </c>
      <c r="B398" s="1" t="n">
        <v>45954.75099537037</v>
      </c>
      <c r="C398" s="1" t="n">
        <v>46110</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12135-2026</t>
        </is>
      </c>
      <c r="B399" s="1" t="n">
        <v>46086</v>
      </c>
      <c r="C399" s="1" t="n">
        <v>46110</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53934-2024</t>
        </is>
      </c>
      <c r="B400" s="1" t="n">
        <v>45615</v>
      </c>
      <c r="C400" s="1" t="n">
        <v>46110</v>
      </c>
      <c r="D400" t="inlineStr">
        <is>
          <t>GOTLANDS LÄN</t>
        </is>
      </c>
      <c r="E400" t="inlineStr">
        <is>
          <t>GOTLAND</t>
        </is>
      </c>
      <c r="G400" t="n">
        <v>5</v>
      </c>
      <c r="H400" t="n">
        <v>0</v>
      </c>
      <c r="I400" t="n">
        <v>0</v>
      </c>
      <c r="J400" t="n">
        <v>0</v>
      </c>
      <c r="K400" t="n">
        <v>0</v>
      </c>
      <c r="L400" t="n">
        <v>0</v>
      </c>
      <c r="M400" t="n">
        <v>0</v>
      </c>
      <c r="N400" t="n">
        <v>0</v>
      </c>
      <c r="O400" t="n">
        <v>0</v>
      </c>
      <c r="P400" t="n">
        <v>0</v>
      </c>
      <c r="Q400" t="n">
        <v>0</v>
      </c>
      <c r="R400" s="2" t="inlineStr"/>
    </row>
    <row r="401" ht="15" customHeight="1">
      <c r="A401" t="inlineStr">
        <is>
          <t>A 32467-2025</t>
        </is>
      </c>
      <c r="B401" s="1" t="n">
        <v>45838.42111111111</v>
      </c>
      <c r="C401" s="1" t="n">
        <v>46110</v>
      </c>
      <c r="D401" t="inlineStr">
        <is>
          <t>GOTLANDS LÄN</t>
        </is>
      </c>
      <c r="E401" t="inlineStr">
        <is>
          <t>GOTLAND</t>
        </is>
      </c>
      <c r="G401" t="n">
        <v>4.3</v>
      </c>
      <c r="H401" t="n">
        <v>0</v>
      </c>
      <c r="I401" t="n">
        <v>0</v>
      </c>
      <c r="J401" t="n">
        <v>0</v>
      </c>
      <c r="K401" t="n">
        <v>0</v>
      </c>
      <c r="L401" t="n">
        <v>0</v>
      </c>
      <c r="M401" t="n">
        <v>0</v>
      </c>
      <c r="N401" t="n">
        <v>0</v>
      </c>
      <c r="O401" t="n">
        <v>0</v>
      </c>
      <c r="P401" t="n">
        <v>0</v>
      </c>
      <c r="Q401" t="n">
        <v>0</v>
      </c>
      <c r="R401" s="2" t="inlineStr"/>
    </row>
    <row r="402" ht="15" customHeight="1">
      <c r="A402" t="inlineStr">
        <is>
          <t>A 4646-2026</t>
        </is>
      </c>
      <c r="B402" s="1" t="n">
        <v>46048.40357638889</v>
      </c>
      <c r="C402" s="1" t="n">
        <v>46110</v>
      </c>
      <c r="D402" t="inlineStr">
        <is>
          <t>GOTLANDS LÄN</t>
        </is>
      </c>
      <c r="E402" t="inlineStr">
        <is>
          <t>GOTLAND</t>
        </is>
      </c>
      <c r="G402" t="n">
        <v>2.7</v>
      </c>
      <c r="H402" t="n">
        <v>0</v>
      </c>
      <c r="I402" t="n">
        <v>0</v>
      </c>
      <c r="J402" t="n">
        <v>0</v>
      </c>
      <c r="K402" t="n">
        <v>0</v>
      </c>
      <c r="L402" t="n">
        <v>0</v>
      </c>
      <c r="M402" t="n">
        <v>0</v>
      </c>
      <c r="N402" t="n">
        <v>0</v>
      </c>
      <c r="O402" t="n">
        <v>0</v>
      </c>
      <c r="P402" t="n">
        <v>0</v>
      </c>
      <c r="Q402" t="n">
        <v>0</v>
      </c>
      <c r="R402" s="2" t="inlineStr"/>
    </row>
    <row r="403" ht="15" customHeight="1">
      <c r="A403" t="inlineStr">
        <is>
          <t>A 63000-2025</t>
        </is>
      </c>
      <c r="B403" s="1" t="n">
        <v>46009</v>
      </c>
      <c r="C403" s="1" t="n">
        <v>46110</v>
      </c>
      <c r="D403" t="inlineStr">
        <is>
          <t>GOTLANDS LÄN</t>
        </is>
      </c>
      <c r="E403" t="inlineStr">
        <is>
          <t>GOTLAND</t>
        </is>
      </c>
      <c r="F403" t="inlineStr">
        <is>
          <t>Övriga Aktiebolag</t>
        </is>
      </c>
      <c r="G403" t="n">
        <v>1.7</v>
      </c>
      <c r="H403" t="n">
        <v>0</v>
      </c>
      <c r="I403" t="n">
        <v>0</v>
      </c>
      <c r="J403" t="n">
        <v>0</v>
      </c>
      <c r="K403" t="n">
        <v>0</v>
      </c>
      <c r="L403" t="n">
        <v>0</v>
      </c>
      <c r="M403" t="n">
        <v>0</v>
      </c>
      <c r="N403" t="n">
        <v>0</v>
      </c>
      <c r="O403" t="n">
        <v>0</v>
      </c>
      <c r="P403" t="n">
        <v>0</v>
      </c>
      <c r="Q403" t="n">
        <v>0</v>
      </c>
      <c r="R403" s="2" t="inlineStr"/>
    </row>
    <row r="404" ht="15" customHeight="1">
      <c r="A404" t="inlineStr">
        <is>
          <t>A 16109-2025</t>
        </is>
      </c>
      <c r="B404" s="1" t="n">
        <v>45750</v>
      </c>
      <c r="C404" s="1" t="n">
        <v>46110</v>
      </c>
      <c r="D404" t="inlineStr">
        <is>
          <t>GOTLANDS LÄN</t>
        </is>
      </c>
      <c r="E404" t="inlineStr">
        <is>
          <t>GOTLAND</t>
        </is>
      </c>
      <c r="G404" t="n">
        <v>4.9</v>
      </c>
      <c r="H404" t="n">
        <v>0</v>
      </c>
      <c r="I404" t="n">
        <v>0</v>
      </c>
      <c r="J404" t="n">
        <v>0</v>
      </c>
      <c r="K404" t="n">
        <v>0</v>
      </c>
      <c r="L404" t="n">
        <v>0</v>
      </c>
      <c r="M404" t="n">
        <v>0</v>
      </c>
      <c r="N404" t="n">
        <v>0</v>
      </c>
      <c r="O404" t="n">
        <v>0</v>
      </c>
      <c r="P404" t="n">
        <v>0</v>
      </c>
      <c r="Q404" t="n">
        <v>0</v>
      </c>
      <c r="R404" s="2" t="inlineStr"/>
    </row>
    <row r="405" ht="15" customHeight="1">
      <c r="A405" t="inlineStr">
        <is>
          <t>A 4662-2026</t>
        </is>
      </c>
      <c r="B405" s="1" t="n">
        <v>46048.40949074074</v>
      </c>
      <c r="C405" s="1" t="n">
        <v>46110</v>
      </c>
      <c r="D405" t="inlineStr">
        <is>
          <t>GOTLANDS LÄN</t>
        </is>
      </c>
      <c r="E405" t="inlineStr">
        <is>
          <t>GOTLAND</t>
        </is>
      </c>
      <c r="G405" t="n">
        <v>7.6</v>
      </c>
      <c r="H405" t="n">
        <v>0</v>
      </c>
      <c r="I405" t="n">
        <v>0</v>
      </c>
      <c r="J405" t="n">
        <v>0</v>
      </c>
      <c r="K405" t="n">
        <v>0</v>
      </c>
      <c r="L405" t="n">
        <v>0</v>
      </c>
      <c r="M405" t="n">
        <v>0</v>
      </c>
      <c r="N405" t="n">
        <v>0</v>
      </c>
      <c r="O405" t="n">
        <v>0</v>
      </c>
      <c r="P405" t="n">
        <v>0</v>
      </c>
      <c r="Q405" t="n">
        <v>0</v>
      </c>
      <c r="R405" s="2" t="inlineStr"/>
    </row>
    <row r="406" ht="15" customHeight="1">
      <c r="A406" t="inlineStr">
        <is>
          <t>A 62751-2025</t>
        </is>
      </c>
      <c r="B406" s="1" t="n">
        <v>46008</v>
      </c>
      <c r="C406" s="1" t="n">
        <v>46110</v>
      </c>
      <c r="D406" t="inlineStr">
        <is>
          <t>GOTLANDS LÄN</t>
        </is>
      </c>
      <c r="E406" t="inlineStr">
        <is>
          <t>GOTLAND</t>
        </is>
      </c>
      <c r="F406" t="inlineStr">
        <is>
          <t>Övriga Aktiebolag</t>
        </is>
      </c>
      <c r="G406" t="n">
        <v>7.8</v>
      </c>
      <c r="H406" t="n">
        <v>0</v>
      </c>
      <c r="I406" t="n">
        <v>0</v>
      </c>
      <c r="J406" t="n">
        <v>0</v>
      </c>
      <c r="K406" t="n">
        <v>0</v>
      </c>
      <c r="L406" t="n">
        <v>0</v>
      </c>
      <c r="M406" t="n">
        <v>0</v>
      </c>
      <c r="N406" t="n">
        <v>0</v>
      </c>
      <c r="O406" t="n">
        <v>0</v>
      </c>
      <c r="P406" t="n">
        <v>0</v>
      </c>
      <c r="Q406" t="n">
        <v>0</v>
      </c>
      <c r="R406" s="2" t="inlineStr"/>
    </row>
    <row r="407" ht="15" customHeight="1">
      <c r="A407" t="inlineStr">
        <is>
          <t>A 4639-2026</t>
        </is>
      </c>
      <c r="B407" s="1" t="n">
        <v>46048.39880787037</v>
      </c>
      <c r="C407" s="1" t="n">
        <v>46110</v>
      </c>
      <c r="D407" t="inlineStr">
        <is>
          <t>GOTLANDS LÄN</t>
        </is>
      </c>
      <c r="E407" t="inlineStr">
        <is>
          <t>GOTLAND</t>
        </is>
      </c>
      <c r="G407" t="n">
        <v>0.8</v>
      </c>
      <c r="H407" t="n">
        <v>0</v>
      </c>
      <c r="I407" t="n">
        <v>0</v>
      </c>
      <c r="J407" t="n">
        <v>0</v>
      </c>
      <c r="K407" t="n">
        <v>0</v>
      </c>
      <c r="L407" t="n">
        <v>0</v>
      </c>
      <c r="M407" t="n">
        <v>0</v>
      </c>
      <c r="N407" t="n">
        <v>0</v>
      </c>
      <c r="O407" t="n">
        <v>0</v>
      </c>
      <c r="P407" t="n">
        <v>0</v>
      </c>
      <c r="Q407" t="n">
        <v>0</v>
      </c>
      <c r="R407" s="2" t="inlineStr"/>
    </row>
    <row r="408" ht="15" customHeight="1">
      <c r="A408" t="inlineStr">
        <is>
          <t>A 53569-2025</t>
        </is>
      </c>
      <c r="B408" s="1" t="n">
        <v>45960.41155092593</v>
      </c>
      <c r="C408" s="1" t="n">
        <v>46110</v>
      </c>
      <c r="D408" t="inlineStr">
        <is>
          <t>GOTLANDS LÄN</t>
        </is>
      </c>
      <c r="E408" t="inlineStr">
        <is>
          <t>GOTLAND</t>
        </is>
      </c>
      <c r="F408" t="inlineStr">
        <is>
          <t>Övriga Aktiebolag</t>
        </is>
      </c>
      <c r="G408" t="n">
        <v>11.3</v>
      </c>
      <c r="H408" t="n">
        <v>0</v>
      </c>
      <c r="I408" t="n">
        <v>0</v>
      </c>
      <c r="J408" t="n">
        <v>0</v>
      </c>
      <c r="K408" t="n">
        <v>0</v>
      </c>
      <c r="L408" t="n">
        <v>0</v>
      </c>
      <c r="M408" t="n">
        <v>0</v>
      </c>
      <c r="N408" t="n">
        <v>0</v>
      </c>
      <c r="O408" t="n">
        <v>0</v>
      </c>
      <c r="P408" t="n">
        <v>0</v>
      </c>
      <c r="Q408" t="n">
        <v>0</v>
      </c>
      <c r="R408" s="2" t="inlineStr"/>
    </row>
    <row r="409" ht="15" customHeight="1">
      <c r="A409" t="inlineStr">
        <is>
          <t>A 1839-2026</t>
        </is>
      </c>
      <c r="B409" s="1" t="n">
        <v>46035.3942824074</v>
      </c>
      <c r="C409" s="1" t="n">
        <v>46110</v>
      </c>
      <c r="D409" t="inlineStr">
        <is>
          <t>GOTLANDS LÄN</t>
        </is>
      </c>
      <c r="E409" t="inlineStr">
        <is>
          <t>GOTLAND</t>
        </is>
      </c>
      <c r="G409" t="n">
        <v>3.5</v>
      </c>
      <c r="H409" t="n">
        <v>0</v>
      </c>
      <c r="I409" t="n">
        <v>0</v>
      </c>
      <c r="J409" t="n">
        <v>0</v>
      </c>
      <c r="K409" t="n">
        <v>0</v>
      </c>
      <c r="L409" t="n">
        <v>0</v>
      </c>
      <c r="M409" t="n">
        <v>0</v>
      </c>
      <c r="N409" t="n">
        <v>0</v>
      </c>
      <c r="O409" t="n">
        <v>0</v>
      </c>
      <c r="P409" t="n">
        <v>0</v>
      </c>
      <c r="Q409" t="n">
        <v>0</v>
      </c>
      <c r="R409" s="2" t="inlineStr"/>
    </row>
    <row r="410" ht="15" customHeight="1">
      <c r="A410" t="inlineStr">
        <is>
          <t>A 53577-2025</t>
        </is>
      </c>
      <c r="B410" s="1" t="n">
        <v>45960.42224537037</v>
      </c>
      <c r="C410" s="1" t="n">
        <v>46110</v>
      </c>
      <c r="D410" t="inlineStr">
        <is>
          <t>GOTLANDS LÄN</t>
        </is>
      </c>
      <c r="E410" t="inlineStr">
        <is>
          <t>GOTLAND</t>
        </is>
      </c>
      <c r="F410" t="inlineStr">
        <is>
          <t>Övriga Aktiebolag</t>
        </is>
      </c>
      <c r="G410" t="n">
        <v>3.3</v>
      </c>
      <c r="H410" t="n">
        <v>0</v>
      </c>
      <c r="I410" t="n">
        <v>0</v>
      </c>
      <c r="J410" t="n">
        <v>0</v>
      </c>
      <c r="K410" t="n">
        <v>0</v>
      </c>
      <c r="L410" t="n">
        <v>0</v>
      </c>
      <c r="M410" t="n">
        <v>0</v>
      </c>
      <c r="N410" t="n">
        <v>0</v>
      </c>
      <c r="O410" t="n">
        <v>0</v>
      </c>
      <c r="P410" t="n">
        <v>0</v>
      </c>
      <c r="Q410" t="n">
        <v>0</v>
      </c>
      <c r="R410" s="2" t="inlineStr"/>
    </row>
    <row r="411" ht="15" customHeight="1">
      <c r="A411" t="inlineStr">
        <is>
          <t>A 60384-2025</t>
        </is>
      </c>
      <c r="B411" s="1" t="n">
        <v>45995</v>
      </c>
      <c r="C411" s="1" t="n">
        <v>46110</v>
      </c>
      <c r="D411" t="inlineStr">
        <is>
          <t>GOTLANDS LÄN</t>
        </is>
      </c>
      <c r="E411" t="inlineStr">
        <is>
          <t>GOTLAND</t>
        </is>
      </c>
      <c r="G411" t="n">
        <v>2.5</v>
      </c>
      <c r="H411" t="n">
        <v>0</v>
      </c>
      <c r="I411" t="n">
        <v>0</v>
      </c>
      <c r="J411" t="n">
        <v>0</v>
      </c>
      <c r="K411" t="n">
        <v>0</v>
      </c>
      <c r="L411" t="n">
        <v>0</v>
      </c>
      <c r="M411" t="n">
        <v>0</v>
      </c>
      <c r="N411" t="n">
        <v>0</v>
      </c>
      <c r="O411" t="n">
        <v>0</v>
      </c>
      <c r="P411" t="n">
        <v>0</v>
      </c>
      <c r="Q411" t="n">
        <v>0</v>
      </c>
      <c r="R411" s="2" t="inlineStr"/>
    </row>
    <row r="412" ht="15" customHeight="1">
      <c r="A412" t="inlineStr">
        <is>
          <t>A 4634-2026</t>
        </is>
      </c>
      <c r="B412" s="1" t="n">
        <v>46048.39304398148</v>
      </c>
      <c r="C412" s="1" t="n">
        <v>46110</v>
      </c>
      <c r="D412" t="inlineStr">
        <is>
          <t>GOTLANDS LÄN</t>
        </is>
      </c>
      <c r="E412" t="inlineStr">
        <is>
          <t>GOTLAND</t>
        </is>
      </c>
      <c r="G412" t="n">
        <v>7.8</v>
      </c>
      <c r="H412" t="n">
        <v>0</v>
      </c>
      <c r="I412" t="n">
        <v>0</v>
      </c>
      <c r="J412" t="n">
        <v>0</v>
      </c>
      <c r="K412" t="n">
        <v>0</v>
      </c>
      <c r="L412" t="n">
        <v>0</v>
      </c>
      <c r="M412" t="n">
        <v>0</v>
      </c>
      <c r="N412" t="n">
        <v>0</v>
      </c>
      <c r="O412" t="n">
        <v>0</v>
      </c>
      <c r="P412" t="n">
        <v>0</v>
      </c>
      <c r="Q412" t="n">
        <v>0</v>
      </c>
      <c r="R412" s="2" t="inlineStr"/>
    </row>
    <row r="413" ht="15" customHeight="1">
      <c r="A413" t="inlineStr">
        <is>
          <t>A 4670-2026</t>
        </is>
      </c>
      <c r="B413" s="1" t="n">
        <v>46048.41733796296</v>
      </c>
      <c r="C413" s="1" t="n">
        <v>46110</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1446-2025</t>
        </is>
      </c>
      <c r="B414" s="1" t="n">
        <v>45669.86035879629</v>
      </c>
      <c r="C414" s="1" t="n">
        <v>46110</v>
      </c>
      <c r="D414" t="inlineStr">
        <is>
          <t>GOTLANDS LÄN</t>
        </is>
      </c>
      <c r="E414" t="inlineStr">
        <is>
          <t>GOTLAND</t>
        </is>
      </c>
      <c r="G414" t="n">
        <v>3.1</v>
      </c>
      <c r="H414" t="n">
        <v>0</v>
      </c>
      <c r="I414" t="n">
        <v>0</v>
      </c>
      <c r="J414" t="n">
        <v>0</v>
      </c>
      <c r="K414" t="n">
        <v>0</v>
      </c>
      <c r="L414" t="n">
        <v>0</v>
      </c>
      <c r="M414" t="n">
        <v>0</v>
      </c>
      <c r="N414" t="n">
        <v>0</v>
      </c>
      <c r="O414" t="n">
        <v>0</v>
      </c>
      <c r="P414" t="n">
        <v>0</v>
      </c>
      <c r="Q414" t="n">
        <v>0</v>
      </c>
      <c r="R414" s="2" t="inlineStr"/>
    </row>
    <row r="415" ht="15" customHeight="1">
      <c r="A415" t="inlineStr">
        <is>
          <t>A 62754-2025</t>
        </is>
      </c>
      <c r="B415" s="1" t="n">
        <v>46008</v>
      </c>
      <c r="C415" s="1" t="n">
        <v>46110</v>
      </c>
      <c r="D415" t="inlineStr">
        <is>
          <t>GOTLANDS LÄN</t>
        </is>
      </c>
      <c r="E415" t="inlineStr">
        <is>
          <t>GOTLAND</t>
        </is>
      </c>
      <c r="F415" t="inlineStr">
        <is>
          <t>Övriga Aktiebolag</t>
        </is>
      </c>
      <c r="G415" t="n">
        <v>2.9</v>
      </c>
      <c r="H415" t="n">
        <v>0</v>
      </c>
      <c r="I415" t="n">
        <v>0</v>
      </c>
      <c r="J415" t="n">
        <v>0</v>
      </c>
      <c r="K415" t="n">
        <v>0</v>
      </c>
      <c r="L415" t="n">
        <v>0</v>
      </c>
      <c r="M415" t="n">
        <v>0</v>
      </c>
      <c r="N415" t="n">
        <v>0</v>
      </c>
      <c r="O415" t="n">
        <v>0</v>
      </c>
      <c r="P415" t="n">
        <v>0</v>
      </c>
      <c r="Q415" t="n">
        <v>0</v>
      </c>
      <c r="R415" s="2" t="inlineStr"/>
    </row>
    <row r="416" ht="15" customHeight="1">
      <c r="A416" t="inlineStr">
        <is>
          <t>A 31264-2021</t>
        </is>
      </c>
      <c r="B416" s="1" t="n">
        <v>44368</v>
      </c>
      <c r="C416" s="1" t="n">
        <v>46110</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43901-2023</t>
        </is>
      </c>
      <c r="B417" s="1" t="n">
        <v>45187</v>
      </c>
      <c r="C417" s="1" t="n">
        <v>46110</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10746-2025</t>
        </is>
      </c>
      <c r="B418" s="1" t="n">
        <v>45722.42766203704</v>
      </c>
      <c r="C418" s="1" t="n">
        <v>46110</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16501-2023</t>
        </is>
      </c>
      <c r="B419" s="1" t="n">
        <v>45029</v>
      </c>
      <c r="C419" s="1" t="n">
        <v>46110</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33007-2025</t>
        </is>
      </c>
      <c r="B420" s="1" t="n">
        <v>45840</v>
      </c>
      <c r="C420" s="1" t="n">
        <v>46110</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27930-2021</t>
        </is>
      </c>
      <c r="B421" s="1" t="n">
        <v>44354</v>
      </c>
      <c r="C421" s="1" t="n">
        <v>46110</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61962-2024</t>
        </is>
      </c>
      <c r="B422" s="1" t="n">
        <v>45653.54340277778</v>
      </c>
      <c r="C422" s="1" t="n">
        <v>46110</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1854-2026</t>
        </is>
      </c>
      <c r="B423" s="1" t="n">
        <v>46035.4171875</v>
      </c>
      <c r="C423" s="1" t="n">
        <v>46110</v>
      </c>
      <c r="D423" t="inlineStr">
        <is>
          <t>GOTLANDS LÄN</t>
        </is>
      </c>
      <c r="E423" t="inlineStr">
        <is>
          <t>GOTLAND</t>
        </is>
      </c>
      <c r="G423" t="n">
        <v>3</v>
      </c>
      <c r="H423" t="n">
        <v>0</v>
      </c>
      <c r="I423" t="n">
        <v>0</v>
      </c>
      <c r="J423" t="n">
        <v>0</v>
      </c>
      <c r="K423" t="n">
        <v>0</v>
      </c>
      <c r="L423" t="n">
        <v>0</v>
      </c>
      <c r="M423" t="n">
        <v>0</v>
      </c>
      <c r="N423" t="n">
        <v>0</v>
      </c>
      <c r="O423" t="n">
        <v>0</v>
      </c>
      <c r="P423" t="n">
        <v>0</v>
      </c>
      <c r="Q423" t="n">
        <v>0</v>
      </c>
      <c r="R423" s="2" t="inlineStr"/>
    </row>
    <row r="424" ht="15" customHeight="1">
      <c r="A424" t="inlineStr">
        <is>
          <t>A 10492-2023</t>
        </is>
      </c>
      <c r="B424" s="1" t="n">
        <v>44987</v>
      </c>
      <c r="C424" s="1" t="n">
        <v>46110</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13482-2026</t>
        </is>
      </c>
      <c r="B425" s="1" t="n">
        <v>46094</v>
      </c>
      <c r="C425" s="1" t="n">
        <v>46110</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5909-2025</t>
        </is>
      </c>
      <c r="B426" s="1" t="n">
        <v>45695.40634259259</v>
      </c>
      <c r="C426" s="1" t="n">
        <v>46110</v>
      </c>
      <c r="D426" t="inlineStr">
        <is>
          <t>GOTLANDS LÄN</t>
        </is>
      </c>
      <c r="E426" t="inlineStr">
        <is>
          <t>GOTLAND</t>
        </is>
      </c>
      <c r="G426" t="n">
        <v>2.9</v>
      </c>
      <c r="H426" t="n">
        <v>0</v>
      </c>
      <c r="I426" t="n">
        <v>0</v>
      </c>
      <c r="J426" t="n">
        <v>0</v>
      </c>
      <c r="K426" t="n">
        <v>0</v>
      </c>
      <c r="L426" t="n">
        <v>0</v>
      </c>
      <c r="M426" t="n">
        <v>0</v>
      </c>
      <c r="N426" t="n">
        <v>0</v>
      </c>
      <c r="O426" t="n">
        <v>0</v>
      </c>
      <c r="P426" t="n">
        <v>0</v>
      </c>
      <c r="Q426" t="n">
        <v>0</v>
      </c>
      <c r="R426" s="2" t="inlineStr"/>
    </row>
    <row r="427" ht="15" customHeight="1">
      <c r="A427" t="inlineStr">
        <is>
          <t>A 10653-2023</t>
        </is>
      </c>
      <c r="B427" s="1" t="n">
        <v>44988.48859953704</v>
      </c>
      <c r="C427" s="1" t="n">
        <v>46110</v>
      </c>
      <c r="D427" t="inlineStr">
        <is>
          <t>GOTLANDS LÄN</t>
        </is>
      </c>
      <c r="E427" t="inlineStr">
        <is>
          <t>GOTLAND</t>
        </is>
      </c>
      <c r="F427" t="inlineStr">
        <is>
          <t>Kyrkan</t>
        </is>
      </c>
      <c r="G427" t="n">
        <v>3</v>
      </c>
      <c r="H427" t="n">
        <v>0</v>
      </c>
      <c r="I427" t="n">
        <v>0</v>
      </c>
      <c r="J427" t="n">
        <v>0</v>
      </c>
      <c r="K427" t="n">
        <v>0</v>
      </c>
      <c r="L427" t="n">
        <v>0</v>
      </c>
      <c r="M427" t="n">
        <v>0</v>
      </c>
      <c r="N427" t="n">
        <v>0</v>
      </c>
      <c r="O427" t="n">
        <v>0</v>
      </c>
      <c r="P427" t="n">
        <v>0</v>
      </c>
      <c r="Q427" t="n">
        <v>0</v>
      </c>
      <c r="R427" s="2" t="inlineStr"/>
    </row>
    <row r="428" ht="15" customHeight="1">
      <c r="A428" t="inlineStr">
        <is>
          <t>A 4990-2025</t>
        </is>
      </c>
      <c r="B428" s="1" t="n">
        <v>45691</v>
      </c>
      <c r="C428" s="1" t="n">
        <v>46110</v>
      </c>
      <c r="D428" t="inlineStr">
        <is>
          <t>GOTLANDS LÄN</t>
        </is>
      </c>
      <c r="E428" t="inlineStr">
        <is>
          <t>GOTLAND</t>
        </is>
      </c>
      <c r="G428" t="n">
        <v>7.7</v>
      </c>
      <c r="H428" t="n">
        <v>0</v>
      </c>
      <c r="I428" t="n">
        <v>0</v>
      </c>
      <c r="J428" t="n">
        <v>0</v>
      </c>
      <c r="K428" t="n">
        <v>0</v>
      </c>
      <c r="L428" t="n">
        <v>0</v>
      </c>
      <c r="M428" t="n">
        <v>0</v>
      </c>
      <c r="N428" t="n">
        <v>0</v>
      </c>
      <c r="O428" t="n">
        <v>0</v>
      </c>
      <c r="P428" t="n">
        <v>0</v>
      </c>
      <c r="Q428" t="n">
        <v>0</v>
      </c>
      <c r="R428" s="2" t="inlineStr"/>
    </row>
    <row r="429" ht="15" customHeight="1">
      <c r="A429" t="inlineStr">
        <is>
          <t>A 56799-2025</t>
        </is>
      </c>
      <c r="B429" s="1" t="n">
        <v>45978.43392361111</v>
      </c>
      <c r="C429" s="1" t="n">
        <v>46110</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13486-2026</t>
        </is>
      </c>
      <c r="B430" s="1" t="n">
        <v>46094</v>
      </c>
      <c r="C430" s="1" t="n">
        <v>46110</v>
      </c>
      <c r="D430" t="inlineStr">
        <is>
          <t>GOTLANDS LÄN</t>
        </is>
      </c>
      <c r="E430" t="inlineStr">
        <is>
          <t>GOTLAND</t>
        </is>
      </c>
      <c r="G430" t="n">
        <v>1.6</v>
      </c>
      <c r="H430" t="n">
        <v>0</v>
      </c>
      <c r="I430" t="n">
        <v>0</v>
      </c>
      <c r="J430" t="n">
        <v>0</v>
      </c>
      <c r="K430" t="n">
        <v>0</v>
      </c>
      <c r="L430" t="n">
        <v>0</v>
      </c>
      <c r="M430" t="n">
        <v>0</v>
      </c>
      <c r="N430" t="n">
        <v>0</v>
      </c>
      <c r="O430" t="n">
        <v>0</v>
      </c>
      <c r="P430" t="n">
        <v>0</v>
      </c>
      <c r="Q430" t="n">
        <v>0</v>
      </c>
      <c r="R430" s="2" t="inlineStr"/>
    </row>
    <row r="431" ht="15" customHeight="1">
      <c r="A431" t="inlineStr">
        <is>
          <t>A 3067-2026</t>
        </is>
      </c>
      <c r="B431" s="1" t="n">
        <v>46040.59025462963</v>
      </c>
      <c r="C431" s="1" t="n">
        <v>46110</v>
      </c>
      <c r="D431" t="inlineStr">
        <is>
          <t>GOTLANDS LÄN</t>
        </is>
      </c>
      <c r="E431" t="inlineStr">
        <is>
          <t>GOTLAND</t>
        </is>
      </c>
      <c r="G431" t="n">
        <v>7.8</v>
      </c>
      <c r="H431" t="n">
        <v>0</v>
      </c>
      <c r="I431" t="n">
        <v>0</v>
      </c>
      <c r="J431" t="n">
        <v>0</v>
      </c>
      <c r="K431" t="n">
        <v>0</v>
      </c>
      <c r="L431" t="n">
        <v>0</v>
      </c>
      <c r="M431" t="n">
        <v>0</v>
      </c>
      <c r="N431" t="n">
        <v>0</v>
      </c>
      <c r="O431" t="n">
        <v>0</v>
      </c>
      <c r="P431" t="n">
        <v>0</v>
      </c>
      <c r="Q431" t="n">
        <v>0</v>
      </c>
      <c r="R431" s="2" t="inlineStr"/>
    </row>
    <row r="432" ht="15" customHeight="1">
      <c r="A432" t="inlineStr">
        <is>
          <t>A 43081-2022</t>
        </is>
      </c>
      <c r="B432" s="1" t="n">
        <v>44833</v>
      </c>
      <c r="C432" s="1" t="n">
        <v>46110</v>
      </c>
      <c r="D432" t="inlineStr">
        <is>
          <t>GOTLANDS LÄN</t>
        </is>
      </c>
      <c r="E432" t="inlineStr">
        <is>
          <t>GOTLAND</t>
        </is>
      </c>
      <c r="G432" t="n">
        <v>6.8</v>
      </c>
      <c r="H432" t="n">
        <v>0</v>
      </c>
      <c r="I432" t="n">
        <v>0</v>
      </c>
      <c r="J432" t="n">
        <v>0</v>
      </c>
      <c r="K432" t="n">
        <v>0</v>
      </c>
      <c r="L432" t="n">
        <v>0</v>
      </c>
      <c r="M432" t="n">
        <v>0</v>
      </c>
      <c r="N432" t="n">
        <v>0</v>
      </c>
      <c r="O432" t="n">
        <v>0</v>
      </c>
      <c r="P432" t="n">
        <v>0</v>
      </c>
      <c r="Q432" t="n">
        <v>0</v>
      </c>
      <c r="R432" s="2" t="inlineStr"/>
    </row>
    <row r="433" ht="15" customHeight="1">
      <c r="A433" t="inlineStr">
        <is>
          <t>A 32958-2021</t>
        </is>
      </c>
      <c r="B433" s="1" t="n">
        <v>44376</v>
      </c>
      <c r="C433" s="1" t="n">
        <v>46110</v>
      </c>
      <c r="D433" t="inlineStr">
        <is>
          <t>GOTLANDS LÄN</t>
        </is>
      </c>
      <c r="E433" t="inlineStr">
        <is>
          <t>GOTLAND</t>
        </is>
      </c>
      <c r="G433" t="n">
        <v>2.2</v>
      </c>
      <c r="H433" t="n">
        <v>0</v>
      </c>
      <c r="I433" t="n">
        <v>0</v>
      </c>
      <c r="J433" t="n">
        <v>0</v>
      </c>
      <c r="K433" t="n">
        <v>0</v>
      </c>
      <c r="L433" t="n">
        <v>0</v>
      </c>
      <c r="M433" t="n">
        <v>0</v>
      </c>
      <c r="N433" t="n">
        <v>0</v>
      </c>
      <c r="O433" t="n">
        <v>0</v>
      </c>
      <c r="P433" t="n">
        <v>0</v>
      </c>
      <c r="Q433" t="n">
        <v>0</v>
      </c>
      <c r="R433" s="2" t="inlineStr"/>
    </row>
    <row r="434" ht="15" customHeight="1">
      <c r="A434" t="inlineStr">
        <is>
          <t>A 5884-2025</t>
        </is>
      </c>
      <c r="B434" s="1" t="n">
        <v>45695.37482638889</v>
      </c>
      <c r="C434" s="1" t="n">
        <v>46110</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5897-2025</t>
        </is>
      </c>
      <c r="B435" s="1" t="n">
        <v>45695.39273148148</v>
      </c>
      <c r="C435" s="1" t="n">
        <v>46110</v>
      </c>
      <c r="D435" t="inlineStr">
        <is>
          <t>GOTLANDS LÄN</t>
        </is>
      </c>
      <c r="E435" t="inlineStr">
        <is>
          <t>GOTLAND</t>
        </is>
      </c>
      <c r="G435" t="n">
        <v>3.7</v>
      </c>
      <c r="H435" t="n">
        <v>0</v>
      </c>
      <c r="I435" t="n">
        <v>0</v>
      </c>
      <c r="J435" t="n">
        <v>0</v>
      </c>
      <c r="K435" t="n">
        <v>0</v>
      </c>
      <c r="L435" t="n">
        <v>0</v>
      </c>
      <c r="M435" t="n">
        <v>0</v>
      </c>
      <c r="N435" t="n">
        <v>0</v>
      </c>
      <c r="O435" t="n">
        <v>0</v>
      </c>
      <c r="P435" t="n">
        <v>0</v>
      </c>
      <c r="Q435" t="n">
        <v>0</v>
      </c>
      <c r="R435" s="2" t="inlineStr"/>
    </row>
    <row r="436" ht="15" customHeight="1">
      <c r="A436" t="inlineStr">
        <is>
          <t>A 6218-2026</t>
        </is>
      </c>
      <c r="B436" s="1" t="n">
        <v>46055.42859953704</v>
      </c>
      <c r="C436" s="1" t="n">
        <v>46110</v>
      </c>
      <c r="D436" t="inlineStr">
        <is>
          <t>GOTLANDS LÄN</t>
        </is>
      </c>
      <c r="E436" t="inlineStr">
        <is>
          <t>GOTLAND</t>
        </is>
      </c>
      <c r="G436" t="n">
        <v>4.3</v>
      </c>
      <c r="H436" t="n">
        <v>0</v>
      </c>
      <c r="I436" t="n">
        <v>0</v>
      </c>
      <c r="J436" t="n">
        <v>0</v>
      </c>
      <c r="K436" t="n">
        <v>0</v>
      </c>
      <c r="L436" t="n">
        <v>0</v>
      </c>
      <c r="M436" t="n">
        <v>0</v>
      </c>
      <c r="N436" t="n">
        <v>0</v>
      </c>
      <c r="O436" t="n">
        <v>0</v>
      </c>
      <c r="P436" t="n">
        <v>0</v>
      </c>
      <c r="Q436" t="n">
        <v>0</v>
      </c>
      <c r="R436" s="2" t="inlineStr"/>
    </row>
    <row r="437" ht="15" customHeight="1">
      <c r="A437" t="inlineStr">
        <is>
          <t>A 15413-2025</t>
        </is>
      </c>
      <c r="B437" s="1" t="n">
        <v>45747.451875</v>
      </c>
      <c r="C437" s="1" t="n">
        <v>46110</v>
      </c>
      <c r="D437" t="inlineStr">
        <is>
          <t>GOTLANDS LÄN</t>
        </is>
      </c>
      <c r="E437" t="inlineStr">
        <is>
          <t>GOTLAND</t>
        </is>
      </c>
      <c r="G437" t="n">
        <v>0.6</v>
      </c>
      <c r="H437" t="n">
        <v>0</v>
      </c>
      <c r="I437" t="n">
        <v>0</v>
      </c>
      <c r="J437" t="n">
        <v>0</v>
      </c>
      <c r="K437" t="n">
        <v>0</v>
      </c>
      <c r="L437" t="n">
        <v>0</v>
      </c>
      <c r="M437" t="n">
        <v>0</v>
      </c>
      <c r="N437" t="n">
        <v>0</v>
      </c>
      <c r="O437" t="n">
        <v>0</v>
      </c>
      <c r="P437" t="n">
        <v>0</v>
      </c>
      <c r="Q437" t="n">
        <v>0</v>
      </c>
      <c r="R437" s="2" t="inlineStr"/>
    </row>
    <row r="438" ht="15" customHeight="1">
      <c r="A438" t="inlineStr">
        <is>
          <t>A 6207-2026</t>
        </is>
      </c>
      <c r="B438" s="1" t="n">
        <v>46055.42083333333</v>
      </c>
      <c r="C438" s="1" t="n">
        <v>46110</v>
      </c>
      <c r="D438" t="inlineStr">
        <is>
          <t>GOTLANDS LÄN</t>
        </is>
      </c>
      <c r="E438" t="inlineStr">
        <is>
          <t>GOTLAND</t>
        </is>
      </c>
      <c r="G438" t="n">
        <v>7.6</v>
      </c>
      <c r="H438" t="n">
        <v>0</v>
      </c>
      <c r="I438" t="n">
        <v>0</v>
      </c>
      <c r="J438" t="n">
        <v>0</v>
      </c>
      <c r="K438" t="n">
        <v>0</v>
      </c>
      <c r="L438" t="n">
        <v>0</v>
      </c>
      <c r="M438" t="n">
        <v>0</v>
      </c>
      <c r="N438" t="n">
        <v>0</v>
      </c>
      <c r="O438" t="n">
        <v>0</v>
      </c>
      <c r="P438" t="n">
        <v>0</v>
      </c>
      <c r="Q438" t="n">
        <v>0</v>
      </c>
      <c r="R438" s="2" t="inlineStr"/>
    </row>
    <row r="439" ht="15" customHeight="1">
      <c r="A439" t="inlineStr">
        <is>
          <t>A 35123-2025</t>
        </is>
      </c>
      <c r="B439" s="1" t="n">
        <v>45852.614375</v>
      </c>
      <c r="C439" s="1" t="n">
        <v>46110</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49693-2023</t>
        </is>
      </c>
      <c r="B440" s="1" t="n">
        <v>45212.38138888889</v>
      </c>
      <c r="C440" s="1" t="n">
        <v>46110</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49697-2023</t>
        </is>
      </c>
      <c r="B441" s="1" t="n">
        <v>45212.38909722222</v>
      </c>
      <c r="C441" s="1" t="n">
        <v>46110</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6959-2026</t>
        </is>
      </c>
      <c r="B442" s="1" t="n">
        <v>46057.580625</v>
      </c>
      <c r="C442" s="1" t="n">
        <v>46110</v>
      </c>
      <c r="D442" t="inlineStr">
        <is>
          <t>GOTLANDS LÄN</t>
        </is>
      </c>
      <c r="E442" t="inlineStr">
        <is>
          <t>GOTLAND</t>
        </is>
      </c>
      <c r="F442" t="inlineStr">
        <is>
          <t>Kyrkan</t>
        </is>
      </c>
      <c r="G442" t="n">
        <v>1.2</v>
      </c>
      <c r="H442" t="n">
        <v>0</v>
      </c>
      <c r="I442" t="n">
        <v>0</v>
      </c>
      <c r="J442" t="n">
        <v>0</v>
      </c>
      <c r="K442" t="n">
        <v>0</v>
      </c>
      <c r="L442" t="n">
        <v>0</v>
      </c>
      <c r="M442" t="n">
        <v>0</v>
      </c>
      <c r="N442" t="n">
        <v>0</v>
      </c>
      <c r="O442" t="n">
        <v>0</v>
      </c>
      <c r="P442" t="n">
        <v>0</v>
      </c>
      <c r="Q442" t="n">
        <v>0</v>
      </c>
      <c r="R442" s="2" t="inlineStr"/>
    </row>
    <row r="443" ht="15" customHeight="1">
      <c r="A443" t="inlineStr">
        <is>
          <t>A 35096-2025</t>
        </is>
      </c>
      <c r="B443" s="1" t="n">
        <v>45852.54356481481</v>
      </c>
      <c r="C443" s="1" t="n">
        <v>46110</v>
      </c>
      <c r="D443" t="inlineStr">
        <is>
          <t>GOTLANDS LÄN</t>
        </is>
      </c>
      <c r="E443" t="inlineStr">
        <is>
          <t>GOTLAND</t>
        </is>
      </c>
      <c r="F443" t="inlineStr">
        <is>
          <t>Kyrkan</t>
        </is>
      </c>
      <c r="G443" t="n">
        <v>1</v>
      </c>
      <c r="H443" t="n">
        <v>0</v>
      </c>
      <c r="I443" t="n">
        <v>0</v>
      </c>
      <c r="J443" t="n">
        <v>0</v>
      </c>
      <c r="K443" t="n">
        <v>0</v>
      </c>
      <c r="L443" t="n">
        <v>0</v>
      </c>
      <c r="M443" t="n">
        <v>0</v>
      </c>
      <c r="N443" t="n">
        <v>0</v>
      </c>
      <c r="O443" t="n">
        <v>0</v>
      </c>
      <c r="P443" t="n">
        <v>0</v>
      </c>
      <c r="Q443" t="n">
        <v>0</v>
      </c>
      <c r="R443" s="2" t="inlineStr"/>
    </row>
    <row r="444" ht="15" customHeight="1">
      <c r="A444" t="inlineStr">
        <is>
          <t>A 17901-2023</t>
        </is>
      </c>
      <c r="B444" s="1" t="n">
        <v>45039</v>
      </c>
      <c r="C444" s="1" t="n">
        <v>46110</v>
      </c>
      <c r="D444" t="inlineStr">
        <is>
          <t>GOTLANDS LÄN</t>
        </is>
      </c>
      <c r="E444" t="inlineStr">
        <is>
          <t>GOTLAND</t>
        </is>
      </c>
      <c r="F444" t="inlineStr">
        <is>
          <t>Kyrkan</t>
        </is>
      </c>
      <c r="G444" t="n">
        <v>0.6</v>
      </c>
      <c r="H444" t="n">
        <v>0</v>
      </c>
      <c r="I444" t="n">
        <v>0</v>
      </c>
      <c r="J444" t="n">
        <v>0</v>
      </c>
      <c r="K444" t="n">
        <v>0</v>
      </c>
      <c r="L444" t="n">
        <v>0</v>
      </c>
      <c r="M444" t="n">
        <v>0</v>
      </c>
      <c r="N444" t="n">
        <v>0</v>
      </c>
      <c r="O444" t="n">
        <v>0</v>
      </c>
      <c r="P444" t="n">
        <v>0</v>
      </c>
      <c r="Q444" t="n">
        <v>0</v>
      </c>
      <c r="R444" s="2" t="inlineStr"/>
    </row>
    <row r="445" ht="15" customHeight="1">
      <c r="A445" t="inlineStr">
        <is>
          <t>A 30104-2025</t>
        </is>
      </c>
      <c r="B445" s="1" t="n">
        <v>45826.68806712963</v>
      </c>
      <c r="C445" s="1" t="n">
        <v>46110</v>
      </c>
      <c r="D445" t="inlineStr">
        <is>
          <t>GOTLANDS LÄN</t>
        </is>
      </c>
      <c r="E445" t="inlineStr">
        <is>
          <t>GOTLAND</t>
        </is>
      </c>
      <c r="G445" t="n">
        <v>15.4</v>
      </c>
      <c r="H445" t="n">
        <v>0</v>
      </c>
      <c r="I445" t="n">
        <v>0</v>
      </c>
      <c r="J445" t="n">
        <v>0</v>
      </c>
      <c r="K445" t="n">
        <v>0</v>
      </c>
      <c r="L445" t="n">
        <v>0</v>
      </c>
      <c r="M445" t="n">
        <v>0</v>
      </c>
      <c r="N445" t="n">
        <v>0</v>
      </c>
      <c r="O445" t="n">
        <v>0</v>
      </c>
      <c r="P445" t="n">
        <v>0</v>
      </c>
      <c r="Q445" t="n">
        <v>0</v>
      </c>
      <c r="R445" s="2" t="inlineStr"/>
    </row>
    <row r="446" ht="15" customHeight="1">
      <c r="A446" t="inlineStr">
        <is>
          <t>A 35290-2025</t>
        </is>
      </c>
      <c r="B446" s="1" t="n">
        <v>45854.38502314815</v>
      </c>
      <c r="C446" s="1" t="n">
        <v>46110</v>
      </c>
      <c r="D446" t="inlineStr">
        <is>
          <t>GOTLANDS LÄN</t>
        </is>
      </c>
      <c r="E446" t="inlineStr">
        <is>
          <t>GOTLAND</t>
        </is>
      </c>
      <c r="G446" t="n">
        <v>5.4</v>
      </c>
      <c r="H446" t="n">
        <v>0</v>
      </c>
      <c r="I446" t="n">
        <v>0</v>
      </c>
      <c r="J446" t="n">
        <v>0</v>
      </c>
      <c r="K446" t="n">
        <v>0</v>
      </c>
      <c r="L446" t="n">
        <v>0</v>
      </c>
      <c r="M446" t="n">
        <v>0</v>
      </c>
      <c r="N446" t="n">
        <v>0</v>
      </c>
      <c r="O446" t="n">
        <v>0</v>
      </c>
      <c r="P446" t="n">
        <v>0</v>
      </c>
      <c r="Q446" t="n">
        <v>0</v>
      </c>
      <c r="R446" s="2" t="inlineStr"/>
    </row>
    <row r="447" ht="15" customHeight="1">
      <c r="A447" t="inlineStr">
        <is>
          <t>A 32669-2024</t>
        </is>
      </c>
      <c r="B447" s="1" t="n">
        <v>45514</v>
      </c>
      <c r="C447" s="1" t="n">
        <v>46110</v>
      </c>
      <c r="D447" t="inlineStr">
        <is>
          <t>GOTLANDS LÄN</t>
        </is>
      </c>
      <c r="E447" t="inlineStr">
        <is>
          <t>GOTLAND</t>
        </is>
      </c>
      <c r="G447" t="n">
        <v>9.699999999999999</v>
      </c>
      <c r="H447" t="n">
        <v>0</v>
      </c>
      <c r="I447" t="n">
        <v>0</v>
      </c>
      <c r="J447" t="n">
        <v>0</v>
      </c>
      <c r="K447" t="n">
        <v>0</v>
      </c>
      <c r="L447" t="n">
        <v>0</v>
      </c>
      <c r="M447" t="n">
        <v>0</v>
      </c>
      <c r="N447" t="n">
        <v>0</v>
      </c>
      <c r="O447" t="n">
        <v>0</v>
      </c>
      <c r="P447" t="n">
        <v>0</v>
      </c>
      <c r="Q447" t="n">
        <v>0</v>
      </c>
      <c r="R447" s="2" t="inlineStr"/>
    </row>
    <row r="448" ht="15" customHeight="1">
      <c r="A448" t="inlineStr">
        <is>
          <t>A 35537-2025</t>
        </is>
      </c>
      <c r="B448" s="1" t="n">
        <v>45856</v>
      </c>
      <c r="C448" s="1" t="n">
        <v>46110</v>
      </c>
      <c r="D448" t="inlineStr">
        <is>
          <t>GOTLANDS LÄN</t>
        </is>
      </c>
      <c r="E448" t="inlineStr">
        <is>
          <t>GOTLAND</t>
        </is>
      </c>
      <c r="G448" t="n">
        <v>16.8</v>
      </c>
      <c r="H448" t="n">
        <v>0</v>
      </c>
      <c r="I448" t="n">
        <v>0</v>
      </c>
      <c r="J448" t="n">
        <v>0</v>
      </c>
      <c r="K448" t="n">
        <v>0</v>
      </c>
      <c r="L448" t="n">
        <v>0</v>
      </c>
      <c r="M448" t="n">
        <v>0</v>
      </c>
      <c r="N448" t="n">
        <v>0</v>
      </c>
      <c r="O448" t="n">
        <v>0</v>
      </c>
      <c r="P448" t="n">
        <v>0</v>
      </c>
      <c r="Q448" t="n">
        <v>0</v>
      </c>
      <c r="R448" s="2" t="inlineStr"/>
    </row>
    <row r="449" ht="15" customHeight="1">
      <c r="A449" t="inlineStr">
        <is>
          <t>A 6960-2026</t>
        </is>
      </c>
      <c r="B449" s="1" t="n">
        <v>46057.58105324074</v>
      </c>
      <c r="C449" s="1" t="n">
        <v>46110</v>
      </c>
      <c r="D449" t="inlineStr">
        <is>
          <t>GOTLANDS LÄN</t>
        </is>
      </c>
      <c r="E449" t="inlineStr">
        <is>
          <t>GOTLAND</t>
        </is>
      </c>
      <c r="F449" t="inlineStr">
        <is>
          <t>Kyrkan</t>
        </is>
      </c>
      <c r="G449" t="n">
        <v>2.4</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44467.49048611111</v>
      </c>
      <c r="C450" s="1" t="n">
        <v>46110</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15216-2025</t>
        </is>
      </c>
      <c r="B451" s="1" t="n">
        <v>45744</v>
      </c>
      <c r="C451" s="1" t="n">
        <v>46110</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43790-2024</t>
        </is>
      </c>
      <c r="B452" s="1" t="n">
        <v>45571</v>
      </c>
      <c r="C452" s="1" t="n">
        <v>46110</v>
      </c>
      <c r="D452" t="inlineStr">
        <is>
          <t>GOTLANDS LÄN</t>
        </is>
      </c>
      <c r="E452" t="inlineStr">
        <is>
          <t>GOTLAND</t>
        </is>
      </c>
      <c r="G452" t="n">
        <v>3.5</v>
      </c>
      <c r="H452" t="n">
        <v>0</v>
      </c>
      <c r="I452" t="n">
        <v>0</v>
      </c>
      <c r="J452" t="n">
        <v>0</v>
      </c>
      <c r="K452" t="n">
        <v>0</v>
      </c>
      <c r="L452" t="n">
        <v>0</v>
      </c>
      <c r="M452" t="n">
        <v>0</v>
      </c>
      <c r="N452" t="n">
        <v>0</v>
      </c>
      <c r="O452" t="n">
        <v>0</v>
      </c>
      <c r="P452" t="n">
        <v>0</v>
      </c>
      <c r="Q452" t="n">
        <v>0</v>
      </c>
      <c r="R452" s="2" t="inlineStr"/>
    </row>
    <row r="453" ht="15" customHeight="1">
      <c r="A453" t="inlineStr">
        <is>
          <t>A 15001-2025</t>
        </is>
      </c>
      <c r="B453" s="1" t="n">
        <v>45743</v>
      </c>
      <c r="C453" s="1" t="n">
        <v>46110</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46396-2023</t>
        </is>
      </c>
      <c r="B454" s="1" t="n">
        <v>45197</v>
      </c>
      <c r="C454" s="1" t="n">
        <v>46110</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30488-2025</t>
        </is>
      </c>
      <c r="B455" s="1" t="n">
        <v>45830</v>
      </c>
      <c r="C455" s="1" t="n">
        <v>46110</v>
      </c>
      <c r="D455" t="inlineStr">
        <is>
          <t>GOTLANDS LÄN</t>
        </is>
      </c>
      <c r="E455" t="inlineStr">
        <is>
          <t>GOTLAND</t>
        </is>
      </c>
      <c r="F455" t="inlineStr">
        <is>
          <t>Kyrkan</t>
        </is>
      </c>
      <c r="G455" t="n">
        <v>3.9</v>
      </c>
      <c r="H455" t="n">
        <v>0</v>
      </c>
      <c r="I455" t="n">
        <v>0</v>
      </c>
      <c r="J455" t="n">
        <v>0</v>
      </c>
      <c r="K455" t="n">
        <v>0</v>
      </c>
      <c r="L455" t="n">
        <v>0</v>
      </c>
      <c r="M455" t="n">
        <v>0</v>
      </c>
      <c r="N455" t="n">
        <v>0</v>
      </c>
      <c r="O455" t="n">
        <v>0</v>
      </c>
      <c r="P455" t="n">
        <v>0</v>
      </c>
      <c r="Q455" t="n">
        <v>0</v>
      </c>
      <c r="R455" s="2" t="inlineStr"/>
    </row>
    <row r="456" ht="15" customHeight="1">
      <c r="A456" t="inlineStr">
        <is>
          <t>A 17847-2025</t>
        </is>
      </c>
      <c r="B456" s="1" t="n">
        <v>45758</v>
      </c>
      <c r="C456" s="1" t="n">
        <v>46110</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18742-2025</t>
        </is>
      </c>
      <c r="B457" s="1" t="n">
        <v>45763</v>
      </c>
      <c r="C457" s="1" t="n">
        <v>46110</v>
      </c>
      <c r="D457" t="inlineStr">
        <is>
          <t>GOTLANDS LÄN</t>
        </is>
      </c>
      <c r="E457" t="inlineStr">
        <is>
          <t>GOTLAND</t>
        </is>
      </c>
      <c r="G457" t="n">
        <v>3.4</v>
      </c>
      <c r="H457" t="n">
        <v>0</v>
      </c>
      <c r="I457" t="n">
        <v>0</v>
      </c>
      <c r="J457" t="n">
        <v>0</v>
      </c>
      <c r="K457" t="n">
        <v>0</v>
      </c>
      <c r="L457" t="n">
        <v>0</v>
      </c>
      <c r="M457" t="n">
        <v>0</v>
      </c>
      <c r="N457" t="n">
        <v>0</v>
      </c>
      <c r="O457" t="n">
        <v>0</v>
      </c>
      <c r="P457" t="n">
        <v>0</v>
      </c>
      <c r="Q457" t="n">
        <v>0</v>
      </c>
      <c r="R457" s="2" t="inlineStr"/>
    </row>
    <row r="458" ht="15" customHeight="1">
      <c r="A458" t="inlineStr">
        <is>
          <t>A 14840-2026</t>
        </is>
      </c>
      <c r="B458" s="1" t="n">
        <v>46104.39498842593</v>
      </c>
      <c r="C458" s="1" t="n">
        <v>46110</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17724-2024</t>
        </is>
      </c>
      <c r="B459" s="1" t="n">
        <v>45418.55096064815</v>
      </c>
      <c r="C459" s="1" t="n">
        <v>46110</v>
      </c>
      <c r="D459" t="inlineStr">
        <is>
          <t>GOTLANDS LÄN</t>
        </is>
      </c>
      <c r="E459" t="inlineStr">
        <is>
          <t>GOTLAND</t>
        </is>
      </c>
      <c r="G459" t="n">
        <v>2</v>
      </c>
      <c r="H459" t="n">
        <v>0</v>
      </c>
      <c r="I459" t="n">
        <v>0</v>
      </c>
      <c r="J459" t="n">
        <v>0</v>
      </c>
      <c r="K459" t="n">
        <v>0</v>
      </c>
      <c r="L459" t="n">
        <v>0</v>
      </c>
      <c r="M459" t="n">
        <v>0</v>
      </c>
      <c r="N459" t="n">
        <v>0</v>
      </c>
      <c r="O459" t="n">
        <v>0</v>
      </c>
      <c r="P459" t="n">
        <v>0</v>
      </c>
      <c r="Q459" t="n">
        <v>0</v>
      </c>
      <c r="R459" s="2" t="inlineStr"/>
    </row>
    <row r="460" ht="15" customHeight="1">
      <c r="A460" t="inlineStr">
        <is>
          <t>A 35129-2025</t>
        </is>
      </c>
      <c r="B460" s="1" t="n">
        <v>45852.63224537037</v>
      </c>
      <c r="C460" s="1" t="n">
        <v>46110</v>
      </c>
      <c r="D460" t="inlineStr">
        <is>
          <t>GOTLANDS LÄN</t>
        </is>
      </c>
      <c r="E460" t="inlineStr">
        <is>
          <t>GOTLAND</t>
        </is>
      </c>
      <c r="G460" t="n">
        <v>3.2</v>
      </c>
      <c r="H460" t="n">
        <v>0</v>
      </c>
      <c r="I460" t="n">
        <v>0</v>
      </c>
      <c r="J460" t="n">
        <v>0</v>
      </c>
      <c r="K460" t="n">
        <v>0</v>
      </c>
      <c r="L460" t="n">
        <v>0</v>
      </c>
      <c r="M460" t="n">
        <v>0</v>
      </c>
      <c r="N460" t="n">
        <v>0</v>
      </c>
      <c r="O460" t="n">
        <v>0</v>
      </c>
      <c r="P460" t="n">
        <v>0</v>
      </c>
      <c r="Q460" t="n">
        <v>0</v>
      </c>
      <c r="R460" s="2" t="inlineStr"/>
    </row>
    <row r="461" ht="15" customHeight="1">
      <c r="A461" t="inlineStr">
        <is>
          <t>A 7625-2026</t>
        </is>
      </c>
      <c r="B461" s="1" t="n">
        <v>46062.35135416667</v>
      </c>
      <c r="C461" s="1" t="n">
        <v>46110</v>
      </c>
      <c r="D461" t="inlineStr">
        <is>
          <t>GOTLANDS LÄN</t>
        </is>
      </c>
      <c r="E461" t="inlineStr">
        <is>
          <t>GOTLAND</t>
        </is>
      </c>
      <c r="G461" t="n">
        <v>2.1</v>
      </c>
      <c r="H461" t="n">
        <v>0</v>
      </c>
      <c r="I461" t="n">
        <v>0</v>
      </c>
      <c r="J461" t="n">
        <v>0</v>
      </c>
      <c r="K461" t="n">
        <v>0</v>
      </c>
      <c r="L461" t="n">
        <v>0</v>
      </c>
      <c r="M461" t="n">
        <v>0</v>
      </c>
      <c r="N461" t="n">
        <v>0</v>
      </c>
      <c r="O461" t="n">
        <v>0</v>
      </c>
      <c r="P461" t="n">
        <v>0</v>
      </c>
      <c r="Q461" t="n">
        <v>0</v>
      </c>
      <c r="R461" s="2" t="inlineStr"/>
    </row>
    <row r="462" ht="15" customHeight="1">
      <c r="A462" t="inlineStr">
        <is>
          <t>A 34312-2024</t>
        </is>
      </c>
      <c r="B462" s="1" t="n">
        <v>45524.69703703704</v>
      </c>
      <c r="C462" s="1" t="n">
        <v>46110</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7627-2026</t>
        </is>
      </c>
      <c r="B463" s="1" t="n">
        <v>46062.35465277778</v>
      </c>
      <c r="C463" s="1" t="n">
        <v>46110</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62836-2025</t>
        </is>
      </c>
      <c r="B464" s="1" t="n">
        <v>46008</v>
      </c>
      <c r="C464" s="1" t="n">
        <v>46110</v>
      </c>
      <c r="D464" t="inlineStr">
        <is>
          <t>GOTLANDS LÄN</t>
        </is>
      </c>
      <c r="E464" t="inlineStr">
        <is>
          <t>GOTLAND</t>
        </is>
      </c>
      <c r="G464" t="n">
        <v>6.5</v>
      </c>
      <c r="H464" t="n">
        <v>0</v>
      </c>
      <c r="I464" t="n">
        <v>0</v>
      </c>
      <c r="J464" t="n">
        <v>0</v>
      </c>
      <c r="K464" t="n">
        <v>0</v>
      </c>
      <c r="L464" t="n">
        <v>0</v>
      </c>
      <c r="M464" t="n">
        <v>0</v>
      </c>
      <c r="N464" t="n">
        <v>0</v>
      </c>
      <c r="O464" t="n">
        <v>0</v>
      </c>
      <c r="P464" t="n">
        <v>0</v>
      </c>
      <c r="Q464" t="n">
        <v>0</v>
      </c>
      <c r="R464" s="2" t="inlineStr"/>
    </row>
    <row r="465" ht="15" customHeight="1">
      <c r="A465" t="inlineStr">
        <is>
          <t>A 63105-2025</t>
        </is>
      </c>
      <c r="B465" s="1" t="n">
        <v>46009</v>
      </c>
      <c r="C465" s="1" t="n">
        <v>46110</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5863-2026</t>
        </is>
      </c>
      <c r="B466" s="1" t="n">
        <v>46052.36697916667</v>
      </c>
      <c r="C466" s="1" t="n">
        <v>46110</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69112-2021</t>
        </is>
      </c>
      <c r="B467" s="1" t="n">
        <v>44530</v>
      </c>
      <c r="C467" s="1" t="n">
        <v>46110</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2135-2026</t>
        </is>
      </c>
      <c r="B468" s="1" t="n">
        <v>46036</v>
      </c>
      <c r="C468" s="1" t="n">
        <v>46110</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7638-2025</t>
        </is>
      </c>
      <c r="B469" s="1" t="n">
        <v>45705.77306712963</v>
      </c>
      <c r="C469" s="1" t="n">
        <v>46110</v>
      </c>
      <c r="D469" t="inlineStr">
        <is>
          <t>GOTLANDS LÄN</t>
        </is>
      </c>
      <c r="E469" t="inlineStr">
        <is>
          <t>GOTLAND</t>
        </is>
      </c>
      <c r="G469" t="n">
        <v>2.2</v>
      </c>
      <c r="H469" t="n">
        <v>0</v>
      </c>
      <c r="I469" t="n">
        <v>0</v>
      </c>
      <c r="J469" t="n">
        <v>0</v>
      </c>
      <c r="K469" t="n">
        <v>0</v>
      </c>
      <c r="L469" t="n">
        <v>0</v>
      </c>
      <c r="M469" t="n">
        <v>0</v>
      </c>
      <c r="N469" t="n">
        <v>0</v>
      </c>
      <c r="O469" t="n">
        <v>0</v>
      </c>
      <c r="P469" t="n">
        <v>0</v>
      </c>
      <c r="Q469" t="n">
        <v>0</v>
      </c>
      <c r="R469" s="2" t="inlineStr"/>
    </row>
    <row r="470" ht="15" customHeight="1">
      <c r="A470" t="inlineStr">
        <is>
          <t>A 50482-2024</t>
        </is>
      </c>
      <c r="B470" s="1" t="n">
        <v>45601.48114583334</v>
      </c>
      <c r="C470" s="1" t="n">
        <v>46110</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2134-2026</t>
        </is>
      </c>
      <c r="B471" s="1" t="n">
        <v>46036</v>
      </c>
      <c r="C471" s="1" t="n">
        <v>46110</v>
      </c>
      <c r="D471" t="inlineStr">
        <is>
          <t>GOTLANDS LÄN</t>
        </is>
      </c>
      <c r="E471" t="inlineStr">
        <is>
          <t>GOTLAND</t>
        </is>
      </c>
      <c r="G471" t="n">
        <v>1.7</v>
      </c>
      <c r="H471" t="n">
        <v>0</v>
      </c>
      <c r="I471" t="n">
        <v>0</v>
      </c>
      <c r="J471" t="n">
        <v>0</v>
      </c>
      <c r="K471" t="n">
        <v>0</v>
      </c>
      <c r="L471" t="n">
        <v>0</v>
      </c>
      <c r="M471" t="n">
        <v>0</v>
      </c>
      <c r="N471" t="n">
        <v>0</v>
      </c>
      <c r="O471" t="n">
        <v>0</v>
      </c>
      <c r="P471" t="n">
        <v>0</v>
      </c>
      <c r="Q471" t="n">
        <v>0</v>
      </c>
      <c r="R471" s="2" t="inlineStr"/>
    </row>
    <row r="472" ht="15" customHeight="1">
      <c r="A472" t="inlineStr">
        <is>
          <t>A 1394-2023</t>
        </is>
      </c>
      <c r="B472" s="1" t="n">
        <v>44936.72997685185</v>
      </c>
      <c r="C472" s="1" t="n">
        <v>46110</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58230-2024</t>
        </is>
      </c>
      <c r="B473" s="1" t="n">
        <v>45632.51625</v>
      </c>
      <c r="C473" s="1" t="n">
        <v>46110</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1462-2025</t>
        </is>
      </c>
      <c r="B474" s="1" t="n">
        <v>45670.36319444444</v>
      </c>
      <c r="C474" s="1" t="n">
        <v>46110</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25129-2023</t>
        </is>
      </c>
      <c r="B475" s="1" t="n">
        <v>45086.44261574074</v>
      </c>
      <c r="C475" s="1" t="n">
        <v>46110</v>
      </c>
      <c r="D475" t="inlineStr">
        <is>
          <t>GOTLANDS LÄN</t>
        </is>
      </c>
      <c r="E475" t="inlineStr">
        <is>
          <t>GOTLAND</t>
        </is>
      </c>
      <c r="G475" t="n">
        <v>1.5</v>
      </c>
      <c r="H475" t="n">
        <v>0</v>
      </c>
      <c r="I475" t="n">
        <v>0</v>
      </c>
      <c r="J475" t="n">
        <v>0</v>
      </c>
      <c r="K475" t="n">
        <v>0</v>
      </c>
      <c r="L475" t="n">
        <v>0</v>
      </c>
      <c r="M475" t="n">
        <v>0</v>
      </c>
      <c r="N475" t="n">
        <v>0</v>
      </c>
      <c r="O475" t="n">
        <v>0</v>
      </c>
      <c r="P475" t="n">
        <v>0</v>
      </c>
      <c r="Q475" t="n">
        <v>0</v>
      </c>
      <c r="R475" s="2" t="inlineStr"/>
    </row>
    <row r="476" ht="15" customHeight="1">
      <c r="A476" t="inlineStr">
        <is>
          <t>A 24192-2023</t>
        </is>
      </c>
      <c r="B476" s="1" t="n">
        <v>45079</v>
      </c>
      <c r="C476" s="1" t="n">
        <v>46110</v>
      </c>
      <c r="D476" t="inlineStr">
        <is>
          <t>GOTLANDS LÄN</t>
        </is>
      </c>
      <c r="E476" t="inlineStr">
        <is>
          <t>GOTLAND</t>
        </is>
      </c>
      <c r="G476" t="n">
        <v>2.1</v>
      </c>
      <c r="H476" t="n">
        <v>0</v>
      </c>
      <c r="I476" t="n">
        <v>0</v>
      </c>
      <c r="J476" t="n">
        <v>0</v>
      </c>
      <c r="K476" t="n">
        <v>0</v>
      </c>
      <c r="L476" t="n">
        <v>0</v>
      </c>
      <c r="M476" t="n">
        <v>0</v>
      </c>
      <c r="N476" t="n">
        <v>0</v>
      </c>
      <c r="O476" t="n">
        <v>0</v>
      </c>
      <c r="P476" t="n">
        <v>0</v>
      </c>
      <c r="Q476" t="n">
        <v>0</v>
      </c>
      <c r="R476" s="2" t="inlineStr"/>
    </row>
    <row r="477" ht="15" customHeight="1">
      <c r="A477" t="inlineStr">
        <is>
          <t>A 5386-2023</t>
        </is>
      </c>
      <c r="B477" s="1" t="n">
        <v>44959</v>
      </c>
      <c r="C477" s="1" t="n">
        <v>46110</v>
      </c>
      <c r="D477" t="inlineStr">
        <is>
          <t>GOTLANDS LÄN</t>
        </is>
      </c>
      <c r="E477" t="inlineStr">
        <is>
          <t>GOTLAND</t>
        </is>
      </c>
      <c r="G477" t="n">
        <v>5.4</v>
      </c>
      <c r="H477" t="n">
        <v>0</v>
      </c>
      <c r="I477" t="n">
        <v>0</v>
      </c>
      <c r="J477" t="n">
        <v>0</v>
      </c>
      <c r="K477" t="n">
        <v>0</v>
      </c>
      <c r="L477" t="n">
        <v>0</v>
      </c>
      <c r="M477" t="n">
        <v>0</v>
      </c>
      <c r="N477" t="n">
        <v>0</v>
      </c>
      <c r="O477" t="n">
        <v>0</v>
      </c>
      <c r="P477" t="n">
        <v>0</v>
      </c>
      <c r="Q477" t="n">
        <v>0</v>
      </c>
      <c r="R477" s="2" t="inlineStr"/>
    </row>
    <row r="478" ht="15" customHeight="1">
      <c r="A478" t="inlineStr">
        <is>
          <t>A 7026-2023</t>
        </is>
      </c>
      <c r="B478" s="1" t="n">
        <v>44968.30340277778</v>
      </c>
      <c r="C478" s="1" t="n">
        <v>46110</v>
      </c>
      <c r="D478" t="inlineStr">
        <is>
          <t>GOTLANDS LÄN</t>
        </is>
      </c>
      <c r="E478" t="inlineStr">
        <is>
          <t>GOTLAND</t>
        </is>
      </c>
      <c r="G478" t="n">
        <v>2.9</v>
      </c>
      <c r="H478" t="n">
        <v>0</v>
      </c>
      <c r="I478" t="n">
        <v>0</v>
      </c>
      <c r="J478" t="n">
        <v>0</v>
      </c>
      <c r="K478" t="n">
        <v>0</v>
      </c>
      <c r="L478" t="n">
        <v>0</v>
      </c>
      <c r="M478" t="n">
        <v>0</v>
      </c>
      <c r="N478" t="n">
        <v>0</v>
      </c>
      <c r="O478" t="n">
        <v>0</v>
      </c>
      <c r="P478" t="n">
        <v>0</v>
      </c>
      <c r="Q478" t="n">
        <v>0</v>
      </c>
      <c r="R478" s="2" t="inlineStr"/>
    </row>
    <row r="479" ht="15" customHeight="1">
      <c r="A479" t="inlineStr">
        <is>
          <t>A 20855-2023</t>
        </is>
      </c>
      <c r="B479" s="1" t="n">
        <v>45058.82172453704</v>
      </c>
      <c r="C479" s="1" t="n">
        <v>46110</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1000-2024</t>
        </is>
      </c>
      <c r="B480" s="1" t="n">
        <v>45301.63371527778</v>
      </c>
      <c r="C480" s="1" t="n">
        <v>46110</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1010-2024</t>
        </is>
      </c>
      <c r="B481" s="1" t="n">
        <v>45301</v>
      </c>
      <c r="C481" s="1" t="n">
        <v>46110</v>
      </c>
      <c r="D481" t="inlineStr">
        <is>
          <t>GOTLANDS LÄN</t>
        </is>
      </c>
      <c r="E481" t="inlineStr">
        <is>
          <t>GOTLAND</t>
        </is>
      </c>
      <c r="G481" t="n">
        <v>2.4</v>
      </c>
      <c r="H481" t="n">
        <v>0</v>
      </c>
      <c r="I481" t="n">
        <v>0</v>
      </c>
      <c r="J481" t="n">
        <v>0</v>
      </c>
      <c r="K481" t="n">
        <v>0</v>
      </c>
      <c r="L481" t="n">
        <v>0</v>
      </c>
      <c r="M481" t="n">
        <v>0</v>
      </c>
      <c r="N481" t="n">
        <v>0</v>
      </c>
      <c r="O481" t="n">
        <v>0</v>
      </c>
      <c r="P481" t="n">
        <v>0</v>
      </c>
      <c r="Q481" t="n">
        <v>0</v>
      </c>
      <c r="R481" s="2" t="inlineStr"/>
    </row>
    <row r="482" ht="15" customHeight="1">
      <c r="A482" t="inlineStr">
        <is>
          <t>A 6108-2025</t>
        </is>
      </c>
      <c r="B482" s="1" t="n">
        <v>45698.29880787037</v>
      </c>
      <c r="C482" s="1" t="n">
        <v>46110</v>
      </c>
      <c r="D482" t="inlineStr">
        <is>
          <t>GOTLANDS LÄN</t>
        </is>
      </c>
      <c r="E482" t="inlineStr">
        <is>
          <t>GOTLAND</t>
        </is>
      </c>
      <c r="G482" t="n">
        <v>2.8</v>
      </c>
      <c r="H482" t="n">
        <v>0</v>
      </c>
      <c r="I482" t="n">
        <v>0</v>
      </c>
      <c r="J482" t="n">
        <v>0</v>
      </c>
      <c r="K482" t="n">
        <v>0</v>
      </c>
      <c r="L482" t="n">
        <v>0</v>
      </c>
      <c r="M482" t="n">
        <v>0</v>
      </c>
      <c r="N482" t="n">
        <v>0</v>
      </c>
      <c r="O482" t="n">
        <v>0</v>
      </c>
      <c r="P482" t="n">
        <v>0</v>
      </c>
      <c r="Q482" t="n">
        <v>0</v>
      </c>
      <c r="R482" s="2" t="inlineStr"/>
    </row>
    <row r="483" ht="15" customHeight="1">
      <c r="A483" t="inlineStr">
        <is>
          <t>A 21142-2025</t>
        </is>
      </c>
      <c r="B483" s="1" t="n">
        <v>45779</v>
      </c>
      <c r="C483" s="1" t="n">
        <v>46110</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17343-2025</t>
        </is>
      </c>
      <c r="B484" s="1" t="n">
        <v>45756.6687037037</v>
      </c>
      <c r="C484" s="1" t="n">
        <v>46110</v>
      </c>
      <c r="D484" t="inlineStr">
        <is>
          <t>GOTLANDS LÄN</t>
        </is>
      </c>
      <c r="E484" t="inlineStr">
        <is>
          <t>GOTLAND</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18938-2025</t>
        </is>
      </c>
      <c r="B485" s="1" t="n">
        <v>45764.49172453704</v>
      </c>
      <c r="C485" s="1" t="n">
        <v>46110</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47762-2023</t>
        </is>
      </c>
      <c r="B486" s="1" t="n">
        <v>45203.86256944444</v>
      </c>
      <c r="C486" s="1" t="n">
        <v>46110</v>
      </c>
      <c r="D486" t="inlineStr">
        <is>
          <t>GOTLANDS LÄN</t>
        </is>
      </c>
      <c r="E486" t="inlineStr">
        <is>
          <t>GOTLAND</t>
        </is>
      </c>
      <c r="G486" t="n">
        <v>1.3</v>
      </c>
      <c r="H486" t="n">
        <v>0</v>
      </c>
      <c r="I486" t="n">
        <v>0</v>
      </c>
      <c r="J486" t="n">
        <v>0</v>
      </c>
      <c r="K486" t="n">
        <v>0</v>
      </c>
      <c r="L486" t="n">
        <v>0</v>
      </c>
      <c r="M486" t="n">
        <v>0</v>
      </c>
      <c r="N486" t="n">
        <v>0</v>
      </c>
      <c r="O486" t="n">
        <v>0</v>
      </c>
      <c r="P486" t="n">
        <v>0</v>
      </c>
      <c r="Q486" t="n">
        <v>0</v>
      </c>
      <c r="R486" s="2" t="inlineStr"/>
    </row>
    <row r="487" ht="15" customHeight="1">
      <c r="A487" t="inlineStr">
        <is>
          <t>A 30489-2025</t>
        </is>
      </c>
      <c r="B487" s="1" t="n">
        <v>45830</v>
      </c>
      <c r="C487" s="1" t="n">
        <v>46110</v>
      </c>
      <c r="D487" t="inlineStr">
        <is>
          <t>GOTLANDS LÄN</t>
        </is>
      </c>
      <c r="E487" t="inlineStr">
        <is>
          <t>GOTLAND</t>
        </is>
      </c>
      <c r="G487" t="n">
        <v>4.6</v>
      </c>
      <c r="H487" t="n">
        <v>0</v>
      </c>
      <c r="I487" t="n">
        <v>0</v>
      </c>
      <c r="J487" t="n">
        <v>0</v>
      </c>
      <c r="K487" t="n">
        <v>0</v>
      </c>
      <c r="L487" t="n">
        <v>0</v>
      </c>
      <c r="M487" t="n">
        <v>0</v>
      </c>
      <c r="N487" t="n">
        <v>0</v>
      </c>
      <c r="O487" t="n">
        <v>0</v>
      </c>
      <c r="P487" t="n">
        <v>0</v>
      </c>
      <c r="Q487" t="n">
        <v>0</v>
      </c>
      <c r="R487" s="2" t="inlineStr"/>
    </row>
    <row r="488" ht="15" customHeight="1">
      <c r="A488" t="inlineStr">
        <is>
          <t>A 20307-2025</t>
        </is>
      </c>
      <c r="B488" s="1" t="n">
        <v>45774.95546296296</v>
      </c>
      <c r="C488" s="1" t="n">
        <v>46110</v>
      </c>
      <c r="D488" t="inlineStr">
        <is>
          <t>GOTLANDS LÄN</t>
        </is>
      </c>
      <c r="E488" t="inlineStr">
        <is>
          <t>GOTLAND</t>
        </is>
      </c>
      <c r="G488" t="n">
        <v>6.8</v>
      </c>
      <c r="H488" t="n">
        <v>0</v>
      </c>
      <c r="I488" t="n">
        <v>0</v>
      </c>
      <c r="J488" t="n">
        <v>0</v>
      </c>
      <c r="K488" t="n">
        <v>0</v>
      </c>
      <c r="L488" t="n">
        <v>0</v>
      </c>
      <c r="M488" t="n">
        <v>0</v>
      </c>
      <c r="N488" t="n">
        <v>0</v>
      </c>
      <c r="O488" t="n">
        <v>0</v>
      </c>
      <c r="P488" t="n">
        <v>0</v>
      </c>
      <c r="Q488" t="n">
        <v>0</v>
      </c>
      <c r="R488" s="2" t="inlineStr"/>
    </row>
    <row r="489" ht="15" customHeight="1">
      <c r="A489" t="inlineStr">
        <is>
          <t>A 46545-2024</t>
        </is>
      </c>
      <c r="B489" s="1" t="n">
        <v>45582.65831018519</v>
      </c>
      <c r="C489" s="1" t="n">
        <v>46110</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60086-2022</t>
        </is>
      </c>
      <c r="B490" s="1" t="n">
        <v>44909</v>
      </c>
      <c r="C490" s="1" t="n">
        <v>46110</v>
      </c>
      <c r="D490" t="inlineStr">
        <is>
          <t>GOTLANDS LÄN</t>
        </is>
      </c>
      <c r="E490" t="inlineStr">
        <is>
          <t>GOTLAND</t>
        </is>
      </c>
      <c r="G490" t="n">
        <v>2.1</v>
      </c>
      <c r="H490" t="n">
        <v>0</v>
      </c>
      <c r="I490" t="n">
        <v>0</v>
      </c>
      <c r="J490" t="n">
        <v>0</v>
      </c>
      <c r="K490" t="n">
        <v>0</v>
      </c>
      <c r="L490" t="n">
        <v>0</v>
      </c>
      <c r="M490" t="n">
        <v>0</v>
      </c>
      <c r="N490" t="n">
        <v>0</v>
      </c>
      <c r="O490" t="n">
        <v>0</v>
      </c>
      <c r="P490" t="n">
        <v>0</v>
      </c>
      <c r="Q490" t="n">
        <v>0</v>
      </c>
      <c r="R490" s="2" t="inlineStr"/>
    </row>
    <row r="491" ht="15" customHeight="1">
      <c r="A491" t="inlineStr">
        <is>
          <t>A 28480-2023</t>
        </is>
      </c>
      <c r="B491" s="1" t="n">
        <v>45103</v>
      </c>
      <c r="C491" s="1" t="n">
        <v>46110</v>
      </c>
      <c r="D491" t="inlineStr">
        <is>
          <t>GOTLANDS LÄN</t>
        </is>
      </c>
      <c r="E491" t="inlineStr">
        <is>
          <t>GOTLAND</t>
        </is>
      </c>
      <c r="G491" t="n">
        <v>5.7</v>
      </c>
      <c r="H491" t="n">
        <v>0</v>
      </c>
      <c r="I491" t="n">
        <v>0</v>
      </c>
      <c r="J491" t="n">
        <v>0</v>
      </c>
      <c r="K491" t="n">
        <v>0</v>
      </c>
      <c r="L491" t="n">
        <v>0</v>
      </c>
      <c r="M491" t="n">
        <v>0</v>
      </c>
      <c r="N491" t="n">
        <v>0</v>
      </c>
      <c r="O491" t="n">
        <v>0</v>
      </c>
      <c r="P491" t="n">
        <v>0</v>
      </c>
      <c r="Q491" t="n">
        <v>0</v>
      </c>
      <c r="R491" s="2" t="inlineStr"/>
    </row>
    <row r="492" ht="15" customHeight="1">
      <c r="A492" t="inlineStr">
        <is>
          <t>A 28485-2023</t>
        </is>
      </c>
      <c r="B492" s="1" t="n">
        <v>45103.43731481482</v>
      </c>
      <c r="C492" s="1" t="n">
        <v>46110</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62915-2021</t>
        </is>
      </c>
      <c r="B493" s="1" t="n">
        <v>44504</v>
      </c>
      <c r="C493" s="1" t="n">
        <v>46110</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44949-2023</t>
        </is>
      </c>
      <c r="B494" s="1" t="n">
        <v>45190.69520833333</v>
      </c>
      <c r="C494" s="1" t="n">
        <v>46110</v>
      </c>
      <c r="D494" t="inlineStr">
        <is>
          <t>GOTLANDS LÄN</t>
        </is>
      </c>
      <c r="E494" t="inlineStr">
        <is>
          <t>GOTLAND</t>
        </is>
      </c>
      <c r="G494" t="n">
        <v>1.4</v>
      </c>
      <c r="H494" t="n">
        <v>0</v>
      </c>
      <c r="I494" t="n">
        <v>0</v>
      </c>
      <c r="J494" t="n">
        <v>0</v>
      </c>
      <c r="K494" t="n">
        <v>0</v>
      </c>
      <c r="L494" t="n">
        <v>0</v>
      </c>
      <c r="M494" t="n">
        <v>0</v>
      </c>
      <c r="N494" t="n">
        <v>0</v>
      </c>
      <c r="O494" t="n">
        <v>0</v>
      </c>
      <c r="P494" t="n">
        <v>0</v>
      </c>
      <c r="Q494" t="n">
        <v>0</v>
      </c>
      <c r="R494" s="2" t="inlineStr"/>
    </row>
    <row r="495" ht="15" customHeight="1">
      <c r="A495" t="inlineStr">
        <is>
          <t>A 37222-2021</t>
        </is>
      </c>
      <c r="B495" s="1" t="n">
        <v>44396</v>
      </c>
      <c r="C495" s="1" t="n">
        <v>46110</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3964-2024</t>
        </is>
      </c>
      <c r="B496" s="1" t="n">
        <v>45322</v>
      </c>
      <c r="C496" s="1" t="n">
        <v>46110</v>
      </c>
      <c r="D496" t="inlineStr">
        <is>
          <t>GOTLANDS LÄN</t>
        </is>
      </c>
      <c r="E496" t="inlineStr">
        <is>
          <t>GOTLAND</t>
        </is>
      </c>
      <c r="G496" t="n">
        <v>1.4</v>
      </c>
      <c r="H496" t="n">
        <v>0</v>
      </c>
      <c r="I496" t="n">
        <v>0</v>
      </c>
      <c r="J496" t="n">
        <v>0</v>
      </c>
      <c r="K496" t="n">
        <v>0</v>
      </c>
      <c r="L496" t="n">
        <v>0</v>
      </c>
      <c r="M496" t="n">
        <v>0</v>
      </c>
      <c r="N496" t="n">
        <v>0</v>
      </c>
      <c r="O496" t="n">
        <v>0</v>
      </c>
      <c r="P496" t="n">
        <v>0</v>
      </c>
      <c r="Q496" t="n">
        <v>0</v>
      </c>
      <c r="R496" s="2" t="inlineStr"/>
    </row>
    <row r="497" ht="15" customHeight="1">
      <c r="A497" t="inlineStr">
        <is>
          <t>A 45084-2024</t>
        </is>
      </c>
      <c r="B497" s="1" t="n">
        <v>45575</v>
      </c>
      <c r="C497" s="1" t="n">
        <v>46110</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5217-2023</t>
        </is>
      </c>
      <c r="B498" s="1" t="n">
        <v>44959.39582175926</v>
      </c>
      <c r="C498" s="1" t="n">
        <v>46110</v>
      </c>
      <c r="D498" t="inlineStr">
        <is>
          <t>GOTLANDS LÄN</t>
        </is>
      </c>
      <c r="E498" t="inlineStr">
        <is>
          <t>GOTLAND</t>
        </is>
      </c>
      <c r="G498" t="n">
        <v>1.9</v>
      </c>
      <c r="H498" t="n">
        <v>0</v>
      </c>
      <c r="I498" t="n">
        <v>0</v>
      </c>
      <c r="J498" t="n">
        <v>0</v>
      </c>
      <c r="K498" t="n">
        <v>0</v>
      </c>
      <c r="L498" t="n">
        <v>0</v>
      </c>
      <c r="M498" t="n">
        <v>0</v>
      </c>
      <c r="N498" t="n">
        <v>0</v>
      </c>
      <c r="O498" t="n">
        <v>0</v>
      </c>
      <c r="P498" t="n">
        <v>0</v>
      </c>
      <c r="Q498" t="n">
        <v>0</v>
      </c>
      <c r="R498" s="2" t="inlineStr"/>
    </row>
    <row r="499" ht="15" customHeight="1">
      <c r="A499" t="inlineStr">
        <is>
          <t>A 1677-2023</t>
        </is>
      </c>
      <c r="B499" s="1" t="n">
        <v>44938</v>
      </c>
      <c r="C499" s="1" t="n">
        <v>46110</v>
      </c>
      <c r="D499" t="inlineStr">
        <is>
          <t>GOTLANDS LÄN</t>
        </is>
      </c>
      <c r="E499" t="inlineStr">
        <is>
          <t>GOTLAND</t>
        </is>
      </c>
      <c r="G499" t="n">
        <v>1.6</v>
      </c>
      <c r="H499" t="n">
        <v>0</v>
      </c>
      <c r="I499" t="n">
        <v>0</v>
      </c>
      <c r="J499" t="n">
        <v>0</v>
      </c>
      <c r="K499" t="n">
        <v>0</v>
      </c>
      <c r="L499" t="n">
        <v>0</v>
      </c>
      <c r="M499" t="n">
        <v>0</v>
      </c>
      <c r="N499" t="n">
        <v>0</v>
      </c>
      <c r="O499" t="n">
        <v>0</v>
      </c>
      <c r="P499" t="n">
        <v>0</v>
      </c>
      <c r="Q499" t="n">
        <v>0</v>
      </c>
      <c r="R499" s="2" t="inlineStr"/>
    </row>
    <row r="500" ht="15" customHeight="1">
      <c r="A500" t="inlineStr">
        <is>
          <t>A 45244-2024</t>
        </is>
      </c>
      <c r="B500" s="1" t="n">
        <v>45576</v>
      </c>
      <c r="C500" s="1" t="n">
        <v>46110</v>
      </c>
      <c r="D500" t="inlineStr">
        <is>
          <t>GOTLANDS LÄN</t>
        </is>
      </c>
      <c r="E500" t="inlineStr">
        <is>
          <t>GOTLAND</t>
        </is>
      </c>
      <c r="G500" t="n">
        <v>2.4</v>
      </c>
      <c r="H500" t="n">
        <v>0</v>
      </c>
      <c r="I500" t="n">
        <v>0</v>
      </c>
      <c r="J500" t="n">
        <v>0</v>
      </c>
      <c r="K500" t="n">
        <v>0</v>
      </c>
      <c r="L500" t="n">
        <v>0</v>
      </c>
      <c r="M500" t="n">
        <v>0</v>
      </c>
      <c r="N500" t="n">
        <v>0</v>
      </c>
      <c r="O500" t="n">
        <v>0</v>
      </c>
      <c r="P500" t="n">
        <v>0</v>
      </c>
      <c r="Q500" t="n">
        <v>0</v>
      </c>
      <c r="R500" s="2" t="inlineStr"/>
    </row>
    <row r="501" ht="15" customHeight="1">
      <c r="A501" t="inlineStr">
        <is>
          <t>A 8260-2023</t>
        </is>
      </c>
      <c r="B501" s="1" t="n">
        <v>44974.61608796296</v>
      </c>
      <c r="C501" s="1" t="n">
        <v>46110</v>
      </c>
      <c r="D501" t="inlineStr">
        <is>
          <t>GOTLANDS LÄN</t>
        </is>
      </c>
      <c r="E501" t="inlineStr">
        <is>
          <t>GOTLAND</t>
        </is>
      </c>
      <c r="G501" t="n">
        <v>2.9</v>
      </c>
      <c r="H501" t="n">
        <v>0</v>
      </c>
      <c r="I501" t="n">
        <v>0</v>
      </c>
      <c r="J501" t="n">
        <v>0</v>
      </c>
      <c r="K501" t="n">
        <v>0</v>
      </c>
      <c r="L501" t="n">
        <v>0</v>
      </c>
      <c r="M501" t="n">
        <v>0</v>
      </c>
      <c r="N501" t="n">
        <v>0</v>
      </c>
      <c r="O501" t="n">
        <v>0</v>
      </c>
      <c r="P501" t="n">
        <v>0</v>
      </c>
      <c r="Q501" t="n">
        <v>0</v>
      </c>
      <c r="R501" s="2" t="inlineStr"/>
    </row>
    <row r="502" ht="15" customHeight="1">
      <c r="A502" t="inlineStr">
        <is>
          <t>A 64969-2023</t>
        </is>
      </c>
      <c r="B502" s="1" t="n">
        <v>45284.54009259259</v>
      </c>
      <c r="C502" s="1" t="n">
        <v>46110</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48843-2024</t>
        </is>
      </c>
      <c r="B503" s="1" t="n">
        <v>45593</v>
      </c>
      <c r="C503" s="1" t="n">
        <v>46110</v>
      </c>
      <c r="D503" t="inlineStr">
        <is>
          <t>GOTLANDS LÄN</t>
        </is>
      </c>
      <c r="E503" t="inlineStr">
        <is>
          <t>GOTLAND</t>
        </is>
      </c>
      <c r="G503" t="n">
        <v>0.5</v>
      </c>
      <c r="H503" t="n">
        <v>0</v>
      </c>
      <c r="I503" t="n">
        <v>0</v>
      </c>
      <c r="J503" t="n">
        <v>0</v>
      </c>
      <c r="K503" t="n">
        <v>0</v>
      </c>
      <c r="L503" t="n">
        <v>0</v>
      </c>
      <c r="M503" t="n">
        <v>0</v>
      </c>
      <c r="N503" t="n">
        <v>0</v>
      </c>
      <c r="O503" t="n">
        <v>0</v>
      </c>
      <c r="P503" t="n">
        <v>0</v>
      </c>
      <c r="Q503" t="n">
        <v>0</v>
      </c>
      <c r="R503" s="2" t="inlineStr"/>
    </row>
    <row r="504" ht="15" customHeight="1">
      <c r="A504" t="inlineStr">
        <is>
          <t>A 17541-2024</t>
        </is>
      </c>
      <c r="B504" s="1" t="n">
        <v>45415</v>
      </c>
      <c r="C504" s="1" t="n">
        <v>46110</v>
      </c>
      <c r="D504" t="inlineStr">
        <is>
          <t>GOTLANDS LÄN</t>
        </is>
      </c>
      <c r="E504" t="inlineStr">
        <is>
          <t>GOTLAND</t>
        </is>
      </c>
      <c r="G504" t="n">
        <v>2.6</v>
      </c>
      <c r="H504" t="n">
        <v>0</v>
      </c>
      <c r="I504" t="n">
        <v>0</v>
      </c>
      <c r="J504" t="n">
        <v>0</v>
      </c>
      <c r="K504" t="n">
        <v>0</v>
      </c>
      <c r="L504" t="n">
        <v>0</v>
      </c>
      <c r="M504" t="n">
        <v>0</v>
      </c>
      <c r="N504" t="n">
        <v>0</v>
      </c>
      <c r="O504" t="n">
        <v>0</v>
      </c>
      <c r="P504" t="n">
        <v>0</v>
      </c>
      <c r="Q504" t="n">
        <v>0</v>
      </c>
      <c r="R504" s="2" t="inlineStr"/>
    </row>
    <row r="505" ht="15" customHeight="1">
      <c r="A505" t="inlineStr">
        <is>
          <t>A 2241-2025</t>
        </is>
      </c>
      <c r="B505" s="1" t="n">
        <v>45673.48710648148</v>
      </c>
      <c r="C505" s="1" t="n">
        <v>46110</v>
      </c>
      <c r="D505" t="inlineStr">
        <is>
          <t>GOTLANDS LÄN</t>
        </is>
      </c>
      <c r="E505" t="inlineStr">
        <is>
          <t>GOTLAND</t>
        </is>
      </c>
      <c r="G505" t="n">
        <v>1</v>
      </c>
      <c r="H505" t="n">
        <v>0</v>
      </c>
      <c r="I505" t="n">
        <v>0</v>
      </c>
      <c r="J505" t="n">
        <v>0</v>
      </c>
      <c r="K505" t="n">
        <v>0</v>
      </c>
      <c r="L505" t="n">
        <v>0</v>
      </c>
      <c r="M505" t="n">
        <v>0</v>
      </c>
      <c r="N505" t="n">
        <v>0</v>
      </c>
      <c r="O505" t="n">
        <v>0</v>
      </c>
      <c r="P505" t="n">
        <v>0</v>
      </c>
      <c r="Q505" t="n">
        <v>0</v>
      </c>
      <c r="R505" s="2" t="inlineStr"/>
    </row>
    <row r="506" ht="15" customHeight="1">
      <c r="A506" t="inlineStr">
        <is>
          <t>A 15434-2024</t>
        </is>
      </c>
      <c r="B506" s="1" t="n">
        <v>45401.38836805556</v>
      </c>
      <c r="C506" s="1" t="n">
        <v>46110</v>
      </c>
      <c r="D506" t="inlineStr">
        <is>
          <t>GOTLANDS LÄN</t>
        </is>
      </c>
      <c r="E506" t="inlineStr">
        <is>
          <t>GOTLAND</t>
        </is>
      </c>
      <c r="G506" t="n">
        <v>2.5</v>
      </c>
      <c r="H506" t="n">
        <v>0</v>
      </c>
      <c r="I506" t="n">
        <v>0</v>
      </c>
      <c r="J506" t="n">
        <v>0</v>
      </c>
      <c r="K506" t="n">
        <v>0</v>
      </c>
      <c r="L506" t="n">
        <v>0</v>
      </c>
      <c r="M506" t="n">
        <v>0</v>
      </c>
      <c r="N506" t="n">
        <v>0</v>
      </c>
      <c r="O506" t="n">
        <v>0</v>
      </c>
      <c r="P506" t="n">
        <v>0</v>
      </c>
      <c r="Q506" t="n">
        <v>0</v>
      </c>
      <c r="R506" s="2" t="inlineStr"/>
    </row>
    <row r="507" ht="15" customHeight="1">
      <c r="A507" t="inlineStr">
        <is>
          <t>A 5943-2024</t>
        </is>
      </c>
      <c r="B507" s="1" t="n">
        <v>45336</v>
      </c>
      <c r="C507" s="1" t="n">
        <v>46110</v>
      </c>
      <c r="D507" t="inlineStr">
        <is>
          <t>GOTLANDS LÄN</t>
        </is>
      </c>
      <c r="E507" t="inlineStr">
        <is>
          <t>GOTLAND</t>
        </is>
      </c>
      <c r="G507" t="n">
        <v>4.3</v>
      </c>
      <c r="H507" t="n">
        <v>0</v>
      </c>
      <c r="I507" t="n">
        <v>0</v>
      </c>
      <c r="J507" t="n">
        <v>0</v>
      </c>
      <c r="K507" t="n">
        <v>0</v>
      </c>
      <c r="L507" t="n">
        <v>0</v>
      </c>
      <c r="M507" t="n">
        <v>0</v>
      </c>
      <c r="N507" t="n">
        <v>0</v>
      </c>
      <c r="O507" t="n">
        <v>0</v>
      </c>
      <c r="P507" t="n">
        <v>0</v>
      </c>
      <c r="Q507" t="n">
        <v>0</v>
      </c>
      <c r="R507" s="2" t="inlineStr"/>
    </row>
    <row r="508" ht="15" customHeight="1">
      <c r="A508" t="inlineStr">
        <is>
          <t>A 54073-2022</t>
        </is>
      </c>
      <c r="B508" s="1" t="n">
        <v>44881.50380787037</v>
      </c>
      <c r="C508" s="1" t="n">
        <v>46110</v>
      </c>
      <c r="D508" t="inlineStr">
        <is>
          <t>GOTLANDS LÄN</t>
        </is>
      </c>
      <c r="E508" t="inlineStr">
        <is>
          <t>GOTLAND</t>
        </is>
      </c>
      <c r="G508" t="n">
        <v>3.8</v>
      </c>
      <c r="H508" t="n">
        <v>0</v>
      </c>
      <c r="I508" t="n">
        <v>0</v>
      </c>
      <c r="J508" t="n">
        <v>0</v>
      </c>
      <c r="K508" t="n">
        <v>0</v>
      </c>
      <c r="L508" t="n">
        <v>0</v>
      </c>
      <c r="M508" t="n">
        <v>0</v>
      </c>
      <c r="N508" t="n">
        <v>0</v>
      </c>
      <c r="O508" t="n">
        <v>0</v>
      </c>
      <c r="P508" t="n">
        <v>0</v>
      </c>
      <c r="Q508" t="n">
        <v>0</v>
      </c>
      <c r="R508" s="2" t="inlineStr"/>
    </row>
    <row r="509" ht="15" customHeight="1">
      <c r="A509" t="inlineStr">
        <is>
          <t>A 16361-2024</t>
        </is>
      </c>
      <c r="B509" s="1" t="n">
        <v>45407</v>
      </c>
      <c r="C509" s="1" t="n">
        <v>46110</v>
      </c>
      <c r="D509" t="inlineStr">
        <is>
          <t>GOTLANDS LÄN</t>
        </is>
      </c>
      <c r="E509" t="inlineStr">
        <is>
          <t>GOTLAND</t>
        </is>
      </c>
      <c r="G509" t="n">
        <v>6</v>
      </c>
      <c r="H509" t="n">
        <v>0</v>
      </c>
      <c r="I509" t="n">
        <v>0</v>
      </c>
      <c r="J509" t="n">
        <v>0</v>
      </c>
      <c r="K509" t="n">
        <v>0</v>
      </c>
      <c r="L509" t="n">
        <v>0</v>
      </c>
      <c r="M509" t="n">
        <v>0</v>
      </c>
      <c r="N509" t="n">
        <v>0</v>
      </c>
      <c r="O509" t="n">
        <v>0</v>
      </c>
      <c r="P509" t="n">
        <v>0</v>
      </c>
      <c r="Q509" t="n">
        <v>0</v>
      </c>
      <c r="R509" s="2" t="inlineStr"/>
    </row>
    <row r="510" ht="15" customHeight="1">
      <c r="A510" t="inlineStr">
        <is>
          <t>A 41038-2023</t>
        </is>
      </c>
      <c r="B510" s="1" t="n">
        <v>45173.60959490741</v>
      </c>
      <c r="C510" s="1" t="n">
        <v>46110</v>
      </c>
      <c r="D510" t="inlineStr">
        <is>
          <t>GOTLANDS LÄN</t>
        </is>
      </c>
      <c r="E510" t="inlineStr">
        <is>
          <t>GOTLAND</t>
        </is>
      </c>
      <c r="G510" t="n">
        <v>2.7</v>
      </c>
      <c r="H510" t="n">
        <v>0</v>
      </c>
      <c r="I510" t="n">
        <v>0</v>
      </c>
      <c r="J510" t="n">
        <v>0</v>
      </c>
      <c r="K510" t="n">
        <v>0</v>
      </c>
      <c r="L510" t="n">
        <v>0</v>
      </c>
      <c r="M510" t="n">
        <v>0</v>
      </c>
      <c r="N510" t="n">
        <v>0</v>
      </c>
      <c r="O510" t="n">
        <v>0</v>
      </c>
      <c r="P510" t="n">
        <v>0</v>
      </c>
      <c r="Q510" t="n">
        <v>0</v>
      </c>
      <c r="R510" s="2" t="inlineStr"/>
    </row>
    <row r="511" ht="15" customHeight="1">
      <c r="A511" t="inlineStr">
        <is>
          <t>A 14427-2024</t>
        </is>
      </c>
      <c r="B511" s="1" t="n">
        <v>45394</v>
      </c>
      <c r="C511" s="1" t="n">
        <v>46110</v>
      </c>
      <c r="D511" t="inlineStr">
        <is>
          <t>GOTLANDS LÄN</t>
        </is>
      </c>
      <c r="E511" t="inlineStr">
        <is>
          <t>GOTLAND</t>
        </is>
      </c>
      <c r="G511" t="n">
        <v>1.3</v>
      </c>
      <c r="H511" t="n">
        <v>0</v>
      </c>
      <c r="I511" t="n">
        <v>0</v>
      </c>
      <c r="J511" t="n">
        <v>0</v>
      </c>
      <c r="K511" t="n">
        <v>0</v>
      </c>
      <c r="L511" t="n">
        <v>0</v>
      </c>
      <c r="M511" t="n">
        <v>0</v>
      </c>
      <c r="N511" t="n">
        <v>0</v>
      </c>
      <c r="O511" t="n">
        <v>0</v>
      </c>
      <c r="P511" t="n">
        <v>0</v>
      </c>
      <c r="Q511" t="n">
        <v>0</v>
      </c>
      <c r="R511" s="2" t="inlineStr"/>
    </row>
    <row r="512" ht="15" customHeight="1">
      <c r="A512" t="inlineStr">
        <is>
          <t>A 31802-2024</t>
        </is>
      </c>
      <c r="B512" s="1" t="n">
        <v>45509</v>
      </c>
      <c r="C512" s="1" t="n">
        <v>46110</v>
      </c>
      <c r="D512" t="inlineStr">
        <is>
          <t>GOTLANDS LÄN</t>
        </is>
      </c>
      <c r="E512" t="inlineStr">
        <is>
          <t>GOTLAND</t>
        </is>
      </c>
      <c r="G512" t="n">
        <v>2.8</v>
      </c>
      <c r="H512" t="n">
        <v>0</v>
      </c>
      <c r="I512" t="n">
        <v>0</v>
      </c>
      <c r="J512" t="n">
        <v>0</v>
      </c>
      <c r="K512" t="n">
        <v>0</v>
      </c>
      <c r="L512" t="n">
        <v>0</v>
      </c>
      <c r="M512" t="n">
        <v>0</v>
      </c>
      <c r="N512" t="n">
        <v>0</v>
      </c>
      <c r="O512" t="n">
        <v>0</v>
      </c>
      <c r="P512" t="n">
        <v>0</v>
      </c>
      <c r="Q512" t="n">
        <v>0</v>
      </c>
      <c r="R512" s="2" t="inlineStr"/>
    </row>
    <row r="513" ht="15" customHeight="1">
      <c r="A513" t="inlineStr">
        <is>
          <t>A 8036-2022</t>
        </is>
      </c>
      <c r="B513" s="1" t="n">
        <v>44609.44362268518</v>
      </c>
      <c r="C513" s="1" t="n">
        <v>46110</v>
      </c>
      <c r="D513" t="inlineStr">
        <is>
          <t>GOTLANDS LÄN</t>
        </is>
      </c>
      <c r="E513" t="inlineStr">
        <is>
          <t>GOTLAND</t>
        </is>
      </c>
      <c r="G513" t="n">
        <v>6.1</v>
      </c>
      <c r="H513" t="n">
        <v>0</v>
      </c>
      <c r="I513" t="n">
        <v>0</v>
      </c>
      <c r="J513" t="n">
        <v>0</v>
      </c>
      <c r="K513" t="n">
        <v>0</v>
      </c>
      <c r="L513" t="n">
        <v>0</v>
      </c>
      <c r="M513" t="n">
        <v>0</v>
      </c>
      <c r="N513" t="n">
        <v>0</v>
      </c>
      <c r="O513" t="n">
        <v>0</v>
      </c>
      <c r="P513" t="n">
        <v>0</v>
      </c>
      <c r="Q513" t="n">
        <v>0</v>
      </c>
      <c r="R513" s="2" t="inlineStr"/>
    </row>
    <row r="514" ht="15" customHeight="1">
      <c r="A514" t="inlineStr">
        <is>
          <t>A 12846-2025</t>
        </is>
      </c>
      <c r="B514" s="1" t="n">
        <v>45733.65049768519</v>
      </c>
      <c r="C514" s="1" t="n">
        <v>46110</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46949-2024</t>
        </is>
      </c>
      <c r="B515" s="1" t="n">
        <v>45585</v>
      </c>
      <c r="C515" s="1" t="n">
        <v>46110</v>
      </c>
      <c r="D515" t="inlineStr">
        <is>
          <t>GOTLANDS LÄN</t>
        </is>
      </c>
      <c r="E515" t="inlineStr">
        <is>
          <t>GOTLAND</t>
        </is>
      </c>
      <c r="G515" t="n">
        <v>0.6</v>
      </c>
      <c r="H515" t="n">
        <v>0</v>
      </c>
      <c r="I515" t="n">
        <v>0</v>
      </c>
      <c r="J515" t="n">
        <v>0</v>
      </c>
      <c r="K515" t="n">
        <v>0</v>
      </c>
      <c r="L515" t="n">
        <v>0</v>
      </c>
      <c r="M515" t="n">
        <v>0</v>
      </c>
      <c r="N515" t="n">
        <v>0</v>
      </c>
      <c r="O515" t="n">
        <v>0</v>
      </c>
      <c r="P515" t="n">
        <v>0</v>
      </c>
      <c r="Q515" t="n">
        <v>0</v>
      </c>
      <c r="R515" s="2" t="inlineStr"/>
    </row>
    <row r="516" ht="15" customHeight="1">
      <c r="A516" t="inlineStr">
        <is>
          <t>A 10650-2022</t>
        </is>
      </c>
      <c r="B516" s="1" t="n">
        <v>44624.57945601852</v>
      </c>
      <c r="C516" s="1" t="n">
        <v>46110</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11634-2024</t>
        </is>
      </c>
      <c r="B517" s="1" t="n">
        <v>45373</v>
      </c>
      <c r="C517" s="1" t="n">
        <v>46110</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1351-2025</t>
        </is>
      </c>
      <c r="B518" s="1" t="n">
        <v>45667.62246527777</v>
      </c>
      <c r="C518" s="1" t="n">
        <v>46110</v>
      </c>
      <c r="D518" t="inlineStr">
        <is>
          <t>GOTLANDS LÄN</t>
        </is>
      </c>
      <c r="E518" t="inlineStr">
        <is>
          <t>GOTLAND</t>
        </is>
      </c>
      <c r="G518" t="n">
        <v>1.3</v>
      </c>
      <c r="H518" t="n">
        <v>0</v>
      </c>
      <c r="I518" t="n">
        <v>0</v>
      </c>
      <c r="J518" t="n">
        <v>0</v>
      </c>
      <c r="K518" t="n">
        <v>0</v>
      </c>
      <c r="L518" t="n">
        <v>0</v>
      </c>
      <c r="M518" t="n">
        <v>0</v>
      </c>
      <c r="N518" t="n">
        <v>0</v>
      </c>
      <c r="O518" t="n">
        <v>0</v>
      </c>
      <c r="P518" t="n">
        <v>0</v>
      </c>
      <c r="Q518" t="n">
        <v>0</v>
      </c>
      <c r="R518" s="2" t="inlineStr"/>
    </row>
    <row r="519" ht="15" customHeight="1">
      <c r="A519" t="inlineStr">
        <is>
          <t>A 39496-2022</t>
        </is>
      </c>
      <c r="B519" s="1" t="n">
        <v>44818</v>
      </c>
      <c r="C519" s="1" t="n">
        <v>46110</v>
      </c>
      <c r="D519" t="inlineStr">
        <is>
          <t>GOTLANDS LÄN</t>
        </is>
      </c>
      <c r="E519" t="inlineStr">
        <is>
          <t>GOTLAND</t>
        </is>
      </c>
      <c r="G519" t="n">
        <v>2.4</v>
      </c>
      <c r="H519" t="n">
        <v>0</v>
      </c>
      <c r="I519" t="n">
        <v>0</v>
      </c>
      <c r="J519" t="n">
        <v>0</v>
      </c>
      <c r="K519" t="n">
        <v>0</v>
      </c>
      <c r="L519" t="n">
        <v>0</v>
      </c>
      <c r="M519" t="n">
        <v>0</v>
      </c>
      <c r="N519" t="n">
        <v>0</v>
      </c>
      <c r="O519" t="n">
        <v>0</v>
      </c>
      <c r="P519" t="n">
        <v>0</v>
      </c>
      <c r="Q519" t="n">
        <v>0</v>
      </c>
      <c r="R519" s="2" t="inlineStr"/>
    </row>
    <row r="520" ht="15" customHeight="1">
      <c r="A520" t="inlineStr">
        <is>
          <t>A 49874-2024</t>
        </is>
      </c>
      <c r="B520" s="1" t="n">
        <v>45597.49274305555</v>
      </c>
      <c r="C520" s="1" t="n">
        <v>46110</v>
      </c>
      <c r="D520" t="inlineStr">
        <is>
          <t>GOTLANDS LÄN</t>
        </is>
      </c>
      <c r="E520" t="inlineStr">
        <is>
          <t>GOTLAND</t>
        </is>
      </c>
      <c r="G520" t="n">
        <v>1.1</v>
      </c>
      <c r="H520" t="n">
        <v>0</v>
      </c>
      <c r="I520" t="n">
        <v>0</v>
      </c>
      <c r="J520" t="n">
        <v>0</v>
      </c>
      <c r="K520" t="n">
        <v>0</v>
      </c>
      <c r="L520" t="n">
        <v>0</v>
      </c>
      <c r="M520" t="n">
        <v>0</v>
      </c>
      <c r="N520" t="n">
        <v>0</v>
      </c>
      <c r="O520" t="n">
        <v>0</v>
      </c>
      <c r="P520" t="n">
        <v>0</v>
      </c>
      <c r="Q520" t="n">
        <v>0</v>
      </c>
      <c r="R520" s="2" t="inlineStr"/>
    </row>
    <row r="521" ht="15" customHeight="1">
      <c r="A521" t="inlineStr">
        <is>
          <t>A 42201-2023</t>
        </is>
      </c>
      <c r="B521" s="1" t="n">
        <v>45179</v>
      </c>
      <c r="C521" s="1" t="n">
        <v>46110</v>
      </c>
      <c r="D521" t="inlineStr">
        <is>
          <t>GOTLANDS LÄN</t>
        </is>
      </c>
      <c r="E521" t="inlineStr">
        <is>
          <t>GOTLAND</t>
        </is>
      </c>
      <c r="G521" t="n">
        <v>11.9</v>
      </c>
      <c r="H521" t="n">
        <v>0</v>
      </c>
      <c r="I521" t="n">
        <v>0</v>
      </c>
      <c r="J521" t="n">
        <v>0</v>
      </c>
      <c r="K521" t="n">
        <v>0</v>
      </c>
      <c r="L521" t="n">
        <v>0</v>
      </c>
      <c r="M521" t="n">
        <v>0</v>
      </c>
      <c r="N521" t="n">
        <v>0</v>
      </c>
      <c r="O521" t="n">
        <v>0</v>
      </c>
      <c r="P521" t="n">
        <v>0</v>
      </c>
      <c r="Q521" t="n">
        <v>0</v>
      </c>
      <c r="R521" s="2" t="inlineStr"/>
    </row>
    <row r="522" ht="15" customHeight="1">
      <c r="A522" t="inlineStr">
        <is>
          <t>A 46400-2023</t>
        </is>
      </c>
      <c r="B522" s="1" t="n">
        <v>45197.49290509259</v>
      </c>
      <c r="C522" s="1" t="n">
        <v>46110</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9875-2025</t>
        </is>
      </c>
      <c r="B523" s="1" t="n">
        <v>45716</v>
      </c>
      <c r="C523" s="1" t="n">
        <v>46110</v>
      </c>
      <c r="D523" t="inlineStr">
        <is>
          <t>GOTLANDS LÄN</t>
        </is>
      </c>
      <c r="E523" t="inlineStr">
        <is>
          <t>GOTLAND</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21164-2024</t>
        </is>
      </c>
      <c r="B524" s="1" t="n">
        <v>45440</v>
      </c>
      <c r="C524" s="1" t="n">
        <v>46110</v>
      </c>
      <c r="D524" t="inlineStr">
        <is>
          <t>GOTLANDS LÄN</t>
        </is>
      </c>
      <c r="E524" t="inlineStr">
        <is>
          <t>GOTLAND</t>
        </is>
      </c>
      <c r="G524" t="n">
        <v>6.3</v>
      </c>
      <c r="H524" t="n">
        <v>0</v>
      </c>
      <c r="I524" t="n">
        <v>0</v>
      </c>
      <c r="J524" t="n">
        <v>0</v>
      </c>
      <c r="K524" t="n">
        <v>0</v>
      </c>
      <c r="L524" t="n">
        <v>0</v>
      </c>
      <c r="M524" t="n">
        <v>0</v>
      </c>
      <c r="N524" t="n">
        <v>0</v>
      </c>
      <c r="O524" t="n">
        <v>0</v>
      </c>
      <c r="P524" t="n">
        <v>0</v>
      </c>
      <c r="Q524" t="n">
        <v>0</v>
      </c>
      <c r="R524" s="2" t="inlineStr"/>
    </row>
    <row r="525" ht="15" customHeight="1">
      <c r="A525" t="inlineStr">
        <is>
          <t>A 8045-2022</t>
        </is>
      </c>
      <c r="B525" s="1" t="n">
        <v>44609</v>
      </c>
      <c r="C525" s="1" t="n">
        <v>46110</v>
      </c>
      <c r="D525" t="inlineStr">
        <is>
          <t>GOTLANDS LÄN</t>
        </is>
      </c>
      <c r="E525" t="inlineStr">
        <is>
          <t>GOTLAND</t>
        </is>
      </c>
      <c r="G525" t="n">
        <v>7</v>
      </c>
      <c r="H525" t="n">
        <v>0</v>
      </c>
      <c r="I525" t="n">
        <v>0</v>
      </c>
      <c r="J525" t="n">
        <v>0</v>
      </c>
      <c r="K525" t="n">
        <v>0</v>
      </c>
      <c r="L525" t="n">
        <v>0</v>
      </c>
      <c r="M525" t="n">
        <v>0</v>
      </c>
      <c r="N525" t="n">
        <v>0</v>
      </c>
      <c r="O525" t="n">
        <v>0</v>
      </c>
      <c r="P525" t="n">
        <v>0</v>
      </c>
      <c r="Q525" t="n">
        <v>0</v>
      </c>
      <c r="R525" s="2" t="inlineStr"/>
    </row>
    <row r="526" ht="15" customHeight="1">
      <c r="A526" t="inlineStr">
        <is>
          <t>A 22897-2023</t>
        </is>
      </c>
      <c r="B526" s="1" t="n">
        <v>45072.55239583334</v>
      </c>
      <c r="C526" s="1" t="n">
        <v>46110</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61897-2024</t>
        </is>
      </c>
      <c r="B527" s="1" t="n">
        <v>45652.75685185185</v>
      </c>
      <c r="C527" s="1" t="n">
        <v>46110</v>
      </c>
      <c r="D527" t="inlineStr">
        <is>
          <t>GOTLANDS LÄN</t>
        </is>
      </c>
      <c r="E527" t="inlineStr">
        <is>
          <t>GOTLAND</t>
        </is>
      </c>
      <c r="G527" t="n">
        <v>6.4</v>
      </c>
      <c r="H527" t="n">
        <v>0</v>
      </c>
      <c r="I527" t="n">
        <v>0</v>
      </c>
      <c r="J527" t="n">
        <v>0</v>
      </c>
      <c r="K527" t="n">
        <v>0</v>
      </c>
      <c r="L527" t="n">
        <v>0</v>
      </c>
      <c r="M527" t="n">
        <v>0</v>
      </c>
      <c r="N527" t="n">
        <v>0</v>
      </c>
      <c r="O527" t="n">
        <v>0</v>
      </c>
      <c r="P527" t="n">
        <v>0</v>
      </c>
      <c r="Q527" t="n">
        <v>0</v>
      </c>
      <c r="R527" s="2" t="inlineStr"/>
    </row>
    <row r="528" ht="15" customHeight="1">
      <c r="A528" t="inlineStr">
        <is>
          <t>A 49962-2023</t>
        </is>
      </c>
      <c r="B528" s="1" t="n">
        <v>45215.38775462963</v>
      </c>
      <c r="C528" s="1" t="n">
        <v>46110</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20165-2022</t>
        </is>
      </c>
      <c r="B529" s="1" t="n">
        <v>44698.49854166667</v>
      </c>
      <c r="C529" s="1" t="n">
        <v>46110</v>
      </c>
      <c r="D529" t="inlineStr">
        <is>
          <t>GOTLANDS LÄN</t>
        </is>
      </c>
      <c r="E529" t="inlineStr">
        <is>
          <t>GOTLAND</t>
        </is>
      </c>
      <c r="G529" t="n">
        <v>4.1</v>
      </c>
      <c r="H529" t="n">
        <v>0</v>
      </c>
      <c r="I529" t="n">
        <v>0</v>
      </c>
      <c r="J529" t="n">
        <v>0</v>
      </c>
      <c r="K529" t="n">
        <v>0</v>
      </c>
      <c r="L529" t="n">
        <v>0</v>
      </c>
      <c r="M529" t="n">
        <v>0</v>
      </c>
      <c r="N529" t="n">
        <v>0</v>
      </c>
      <c r="O529" t="n">
        <v>0</v>
      </c>
      <c r="P529" t="n">
        <v>0</v>
      </c>
      <c r="Q529" t="n">
        <v>0</v>
      </c>
      <c r="R529" s="2" t="inlineStr"/>
    </row>
    <row r="530" ht="15" customHeight="1">
      <c r="A530" t="inlineStr">
        <is>
          <t>A 40294-2022</t>
        </is>
      </c>
      <c r="B530" s="1" t="n">
        <v>44821</v>
      </c>
      <c r="C530" s="1" t="n">
        <v>46110</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12032-2025</t>
        </is>
      </c>
      <c r="B531" s="1" t="n">
        <v>45728.64472222222</v>
      </c>
      <c r="C531" s="1" t="n">
        <v>46110</v>
      </c>
      <c r="D531" t="inlineStr">
        <is>
          <t>GOTLANDS LÄN</t>
        </is>
      </c>
      <c r="E531" t="inlineStr">
        <is>
          <t>GOTLAND</t>
        </is>
      </c>
      <c r="G531" t="n">
        <v>1.4</v>
      </c>
      <c r="H531" t="n">
        <v>0</v>
      </c>
      <c r="I531" t="n">
        <v>0</v>
      </c>
      <c r="J531" t="n">
        <v>0</v>
      </c>
      <c r="K531" t="n">
        <v>0</v>
      </c>
      <c r="L531" t="n">
        <v>0</v>
      </c>
      <c r="M531" t="n">
        <v>0</v>
      </c>
      <c r="N531" t="n">
        <v>0</v>
      </c>
      <c r="O531" t="n">
        <v>0</v>
      </c>
      <c r="P531" t="n">
        <v>0</v>
      </c>
      <c r="Q531" t="n">
        <v>0</v>
      </c>
      <c r="R531" s="2" t="inlineStr"/>
    </row>
    <row r="532" ht="15" customHeight="1">
      <c r="A532" t="inlineStr">
        <is>
          <t>A 38787-2023</t>
        </is>
      </c>
      <c r="B532" s="1" t="n">
        <v>45163</v>
      </c>
      <c r="C532" s="1" t="n">
        <v>46110</v>
      </c>
      <c r="D532" t="inlineStr">
        <is>
          <t>GOTLANDS LÄN</t>
        </is>
      </c>
      <c r="E532" t="inlineStr">
        <is>
          <t>GOTLAND</t>
        </is>
      </c>
      <c r="G532" t="n">
        <v>0.4</v>
      </c>
      <c r="H532" t="n">
        <v>0</v>
      </c>
      <c r="I532" t="n">
        <v>0</v>
      </c>
      <c r="J532" t="n">
        <v>0</v>
      </c>
      <c r="K532" t="n">
        <v>0</v>
      </c>
      <c r="L532" t="n">
        <v>0</v>
      </c>
      <c r="M532" t="n">
        <v>0</v>
      </c>
      <c r="N532" t="n">
        <v>0</v>
      </c>
      <c r="O532" t="n">
        <v>0</v>
      </c>
      <c r="P532" t="n">
        <v>0</v>
      </c>
      <c r="Q532" t="n">
        <v>0</v>
      </c>
      <c r="R532" s="2" t="inlineStr"/>
    </row>
    <row r="533" ht="15" customHeight="1">
      <c r="A533" t="inlineStr">
        <is>
          <t>A 43231-2023</t>
        </is>
      </c>
      <c r="B533" s="1" t="n">
        <v>45183.47025462963</v>
      </c>
      <c r="C533" s="1" t="n">
        <v>46110</v>
      </c>
      <c r="D533" t="inlineStr">
        <is>
          <t>GOTLANDS LÄN</t>
        </is>
      </c>
      <c r="E533" t="inlineStr">
        <is>
          <t>GOTLAND</t>
        </is>
      </c>
      <c r="G533" t="n">
        <v>3.6</v>
      </c>
      <c r="H533" t="n">
        <v>0</v>
      </c>
      <c r="I533" t="n">
        <v>0</v>
      </c>
      <c r="J533" t="n">
        <v>0</v>
      </c>
      <c r="K533" t="n">
        <v>0</v>
      </c>
      <c r="L533" t="n">
        <v>0</v>
      </c>
      <c r="M533" t="n">
        <v>0</v>
      </c>
      <c r="N533" t="n">
        <v>0</v>
      </c>
      <c r="O533" t="n">
        <v>0</v>
      </c>
      <c r="P533" t="n">
        <v>0</v>
      </c>
      <c r="Q533" t="n">
        <v>0</v>
      </c>
      <c r="R533" s="2" t="inlineStr"/>
    </row>
    <row r="534" ht="15" customHeight="1">
      <c r="A534" t="inlineStr">
        <is>
          <t>A 17532-2024</t>
        </is>
      </c>
      <c r="B534" s="1" t="n">
        <v>45415</v>
      </c>
      <c r="C534" s="1" t="n">
        <v>46110</v>
      </c>
      <c r="D534" t="inlineStr">
        <is>
          <t>GOTLANDS LÄN</t>
        </is>
      </c>
      <c r="E534" t="inlineStr">
        <is>
          <t>GOTLAND</t>
        </is>
      </c>
      <c r="G534" t="n">
        <v>4.3</v>
      </c>
      <c r="H534" t="n">
        <v>0</v>
      </c>
      <c r="I534" t="n">
        <v>0</v>
      </c>
      <c r="J534" t="n">
        <v>0</v>
      </c>
      <c r="K534" t="n">
        <v>0</v>
      </c>
      <c r="L534" t="n">
        <v>0</v>
      </c>
      <c r="M534" t="n">
        <v>0</v>
      </c>
      <c r="N534" t="n">
        <v>0</v>
      </c>
      <c r="O534" t="n">
        <v>0</v>
      </c>
      <c r="P534" t="n">
        <v>0</v>
      </c>
      <c r="Q534" t="n">
        <v>0</v>
      </c>
      <c r="R534" s="2" t="inlineStr"/>
    </row>
    <row r="535" ht="15" customHeight="1">
      <c r="A535" t="inlineStr">
        <is>
          <t>A 3935-2025</t>
        </is>
      </c>
      <c r="B535" s="1" t="n">
        <v>45684.46070601852</v>
      </c>
      <c r="C535" s="1" t="n">
        <v>46110</v>
      </c>
      <c r="D535" t="inlineStr">
        <is>
          <t>GOTLANDS LÄN</t>
        </is>
      </c>
      <c r="E535" t="inlineStr">
        <is>
          <t>GOTLAND</t>
        </is>
      </c>
      <c r="G535" t="n">
        <v>2.6</v>
      </c>
      <c r="H535" t="n">
        <v>0</v>
      </c>
      <c r="I535" t="n">
        <v>0</v>
      </c>
      <c r="J535" t="n">
        <v>0</v>
      </c>
      <c r="K535" t="n">
        <v>0</v>
      </c>
      <c r="L535" t="n">
        <v>0</v>
      </c>
      <c r="M535" t="n">
        <v>0</v>
      </c>
      <c r="N535" t="n">
        <v>0</v>
      </c>
      <c r="O535" t="n">
        <v>0</v>
      </c>
      <c r="P535" t="n">
        <v>0</v>
      </c>
      <c r="Q535" t="n">
        <v>0</v>
      </c>
      <c r="R535" s="2" t="inlineStr"/>
    </row>
    <row r="536" ht="15" customHeight="1">
      <c r="A536" t="inlineStr">
        <is>
          <t>A 20225-2025</t>
        </is>
      </c>
      <c r="B536" s="1" t="n">
        <v>45772.65802083333</v>
      </c>
      <c r="C536" s="1" t="n">
        <v>46110</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883-2025</t>
        </is>
      </c>
      <c r="B537" s="1" t="n">
        <v>45665</v>
      </c>
      <c r="C537" s="1" t="n">
        <v>46110</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1066-2024</t>
        </is>
      </c>
      <c r="B538" s="1" t="n">
        <v>45302.285</v>
      </c>
      <c r="C538" s="1" t="n">
        <v>46110</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17144-2025</t>
        </is>
      </c>
      <c r="B539" s="1" t="n">
        <v>45755.9499537037</v>
      </c>
      <c r="C539" s="1" t="n">
        <v>46110</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56009-2024</t>
        </is>
      </c>
      <c r="B540" s="1" t="n">
        <v>45623.80864583333</v>
      </c>
      <c r="C540" s="1" t="n">
        <v>46110</v>
      </c>
      <c r="D540" t="inlineStr">
        <is>
          <t>GOTLANDS LÄN</t>
        </is>
      </c>
      <c r="E540" t="inlineStr">
        <is>
          <t>GOTLAND</t>
        </is>
      </c>
      <c r="G540" t="n">
        <v>2.8</v>
      </c>
      <c r="H540" t="n">
        <v>0</v>
      </c>
      <c r="I540" t="n">
        <v>0</v>
      </c>
      <c r="J540" t="n">
        <v>0</v>
      </c>
      <c r="K540" t="n">
        <v>0</v>
      </c>
      <c r="L540" t="n">
        <v>0</v>
      </c>
      <c r="M540" t="n">
        <v>0</v>
      </c>
      <c r="N540" t="n">
        <v>0</v>
      </c>
      <c r="O540" t="n">
        <v>0</v>
      </c>
      <c r="P540" t="n">
        <v>0</v>
      </c>
      <c r="Q540" t="n">
        <v>0</v>
      </c>
      <c r="R540" s="2" t="inlineStr"/>
    </row>
    <row r="541" ht="15" customHeight="1">
      <c r="A541" t="inlineStr">
        <is>
          <t>A 42338-2023</t>
        </is>
      </c>
      <c r="B541" s="1" t="n">
        <v>45180</v>
      </c>
      <c r="C541" s="1" t="n">
        <v>46110</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581-2023</t>
        </is>
      </c>
      <c r="B542" s="1" t="n">
        <v>44930</v>
      </c>
      <c r="C542" s="1" t="n">
        <v>46110</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61386-2023</t>
        </is>
      </c>
      <c r="B543" s="1" t="n">
        <v>45264</v>
      </c>
      <c r="C543" s="1" t="n">
        <v>46110</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873-2024</t>
        </is>
      </c>
      <c r="B544" s="1" t="n">
        <v>45301</v>
      </c>
      <c r="C544" s="1" t="n">
        <v>46110</v>
      </c>
      <c r="D544" t="inlineStr">
        <is>
          <t>GOTLANDS LÄN</t>
        </is>
      </c>
      <c r="E544" t="inlineStr">
        <is>
          <t>GOTLAND</t>
        </is>
      </c>
      <c r="G544" t="n">
        <v>2.7</v>
      </c>
      <c r="H544" t="n">
        <v>0</v>
      </c>
      <c r="I544" t="n">
        <v>0</v>
      </c>
      <c r="J544" t="n">
        <v>0</v>
      </c>
      <c r="K544" t="n">
        <v>0</v>
      </c>
      <c r="L544" t="n">
        <v>0</v>
      </c>
      <c r="M544" t="n">
        <v>0</v>
      </c>
      <c r="N544" t="n">
        <v>0</v>
      </c>
      <c r="O544" t="n">
        <v>0</v>
      </c>
      <c r="P544" t="n">
        <v>0</v>
      </c>
      <c r="Q544" t="n">
        <v>0</v>
      </c>
      <c r="R544" s="2" t="inlineStr"/>
    </row>
    <row r="545" ht="15" customHeight="1">
      <c r="A545" t="inlineStr">
        <is>
          <t>A 49411-2023</t>
        </is>
      </c>
      <c r="B545" s="1" t="n">
        <v>45205</v>
      </c>
      <c r="C545" s="1" t="n">
        <v>46110</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22275-2023</t>
        </is>
      </c>
      <c r="B546" s="1" t="n">
        <v>45070.39875</v>
      </c>
      <c r="C546" s="1" t="n">
        <v>46110</v>
      </c>
      <c r="D546" t="inlineStr">
        <is>
          <t>GOTLANDS LÄN</t>
        </is>
      </c>
      <c r="E546" t="inlineStr">
        <is>
          <t>GOTLAND</t>
        </is>
      </c>
      <c r="G546" t="n">
        <v>7.2</v>
      </c>
      <c r="H546" t="n">
        <v>0</v>
      </c>
      <c r="I546" t="n">
        <v>0</v>
      </c>
      <c r="J546" t="n">
        <v>0</v>
      </c>
      <c r="K546" t="n">
        <v>0</v>
      </c>
      <c r="L546" t="n">
        <v>0</v>
      </c>
      <c r="M546" t="n">
        <v>0</v>
      </c>
      <c r="N546" t="n">
        <v>0</v>
      </c>
      <c r="O546" t="n">
        <v>0</v>
      </c>
      <c r="P546" t="n">
        <v>0</v>
      </c>
      <c r="Q546" t="n">
        <v>0</v>
      </c>
      <c r="R546" s="2" t="inlineStr"/>
    </row>
    <row r="547" ht="15" customHeight="1">
      <c r="A547" t="inlineStr">
        <is>
          <t>A 12322-2025</t>
        </is>
      </c>
      <c r="B547" s="1" t="n">
        <v>45730</v>
      </c>
      <c r="C547" s="1" t="n">
        <v>46110</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14797-2024</t>
        </is>
      </c>
      <c r="B548" s="1" t="n">
        <v>45397.87030092593</v>
      </c>
      <c r="C548" s="1" t="n">
        <v>46110</v>
      </c>
      <c r="D548" t="inlineStr">
        <is>
          <t>GOTLANDS LÄN</t>
        </is>
      </c>
      <c r="E548" t="inlineStr">
        <is>
          <t>GOTLAND</t>
        </is>
      </c>
      <c r="G548" t="n">
        <v>8.1</v>
      </c>
      <c r="H548" t="n">
        <v>0</v>
      </c>
      <c r="I548" t="n">
        <v>0</v>
      </c>
      <c r="J548" t="n">
        <v>0</v>
      </c>
      <c r="K548" t="n">
        <v>0</v>
      </c>
      <c r="L548" t="n">
        <v>0</v>
      </c>
      <c r="M548" t="n">
        <v>0</v>
      </c>
      <c r="N548" t="n">
        <v>0</v>
      </c>
      <c r="O548" t="n">
        <v>0</v>
      </c>
      <c r="P548" t="n">
        <v>0</v>
      </c>
      <c r="Q548" t="n">
        <v>0</v>
      </c>
      <c r="R548" s="2" t="inlineStr"/>
    </row>
    <row r="549" ht="15" customHeight="1">
      <c r="A549" t="inlineStr">
        <is>
          <t>A 999-2024</t>
        </is>
      </c>
      <c r="B549" s="1" t="n">
        <v>45301</v>
      </c>
      <c r="C549" s="1" t="n">
        <v>46110</v>
      </c>
      <c r="D549" t="inlineStr">
        <is>
          <t>GOTLANDS LÄN</t>
        </is>
      </c>
      <c r="E549" t="inlineStr">
        <is>
          <t>GOTLAND</t>
        </is>
      </c>
      <c r="G549" t="n">
        <v>1</v>
      </c>
      <c r="H549" t="n">
        <v>0</v>
      </c>
      <c r="I549" t="n">
        <v>0</v>
      </c>
      <c r="J549" t="n">
        <v>0</v>
      </c>
      <c r="K549" t="n">
        <v>0</v>
      </c>
      <c r="L549" t="n">
        <v>0</v>
      </c>
      <c r="M549" t="n">
        <v>0</v>
      </c>
      <c r="N549" t="n">
        <v>0</v>
      </c>
      <c r="O549" t="n">
        <v>0</v>
      </c>
      <c r="P549" t="n">
        <v>0</v>
      </c>
      <c r="Q549" t="n">
        <v>0</v>
      </c>
      <c r="R549" s="2" t="inlineStr"/>
    </row>
    <row r="550" ht="15" customHeight="1">
      <c r="A550" t="inlineStr">
        <is>
          <t>A 61596-2023</t>
        </is>
      </c>
      <c r="B550" s="1" t="n">
        <v>45265</v>
      </c>
      <c r="C550" s="1" t="n">
        <v>46110</v>
      </c>
      <c r="D550" t="inlineStr">
        <is>
          <t>GOTLANDS LÄN</t>
        </is>
      </c>
      <c r="E550" t="inlineStr">
        <is>
          <t>GOTLAND</t>
        </is>
      </c>
      <c r="G550" t="n">
        <v>1.7</v>
      </c>
      <c r="H550" t="n">
        <v>0</v>
      </c>
      <c r="I550" t="n">
        <v>0</v>
      </c>
      <c r="J550" t="n">
        <v>0</v>
      </c>
      <c r="K550" t="n">
        <v>0</v>
      </c>
      <c r="L550" t="n">
        <v>0</v>
      </c>
      <c r="M550" t="n">
        <v>0</v>
      </c>
      <c r="N550" t="n">
        <v>0</v>
      </c>
      <c r="O550" t="n">
        <v>0</v>
      </c>
      <c r="P550" t="n">
        <v>0</v>
      </c>
      <c r="Q550" t="n">
        <v>0</v>
      </c>
      <c r="R550" s="2" t="inlineStr"/>
    </row>
    <row r="551" ht="15" customHeight="1">
      <c r="A551" t="inlineStr">
        <is>
          <t>A 14638-2025</t>
        </is>
      </c>
      <c r="B551" s="1" t="n">
        <v>45742</v>
      </c>
      <c r="C551" s="1" t="n">
        <v>46110</v>
      </c>
      <c r="D551" t="inlineStr">
        <is>
          <t>GOTLANDS LÄN</t>
        </is>
      </c>
      <c r="E551" t="inlineStr">
        <is>
          <t>GOTLAND</t>
        </is>
      </c>
      <c r="G551" t="n">
        <v>13.4</v>
      </c>
      <c r="H551" t="n">
        <v>0</v>
      </c>
      <c r="I551" t="n">
        <v>0</v>
      </c>
      <c r="J551" t="n">
        <v>0</v>
      </c>
      <c r="K551" t="n">
        <v>0</v>
      </c>
      <c r="L551" t="n">
        <v>0</v>
      </c>
      <c r="M551" t="n">
        <v>0</v>
      </c>
      <c r="N551" t="n">
        <v>0</v>
      </c>
      <c r="O551" t="n">
        <v>0</v>
      </c>
      <c r="P551" t="n">
        <v>0</v>
      </c>
      <c r="Q551" t="n">
        <v>0</v>
      </c>
      <c r="R551" s="2" t="inlineStr"/>
    </row>
    <row r="552" ht="15" customHeight="1">
      <c r="A552" t="inlineStr">
        <is>
          <t>A 60675-2021</t>
        </is>
      </c>
      <c r="B552" s="1" t="n">
        <v>44496.64855324074</v>
      </c>
      <c r="C552" s="1" t="n">
        <v>46110</v>
      </c>
      <c r="D552" t="inlineStr">
        <is>
          <t>GOTLANDS LÄN</t>
        </is>
      </c>
      <c r="E552" t="inlineStr">
        <is>
          <t>GOTLAND</t>
        </is>
      </c>
      <c r="G552" t="n">
        <v>4.6</v>
      </c>
      <c r="H552" t="n">
        <v>0</v>
      </c>
      <c r="I552" t="n">
        <v>0</v>
      </c>
      <c r="J552" t="n">
        <v>0</v>
      </c>
      <c r="K552" t="n">
        <v>0</v>
      </c>
      <c r="L552" t="n">
        <v>0</v>
      </c>
      <c r="M552" t="n">
        <v>0</v>
      </c>
      <c r="N552" t="n">
        <v>0</v>
      </c>
      <c r="O552" t="n">
        <v>0</v>
      </c>
      <c r="P552" t="n">
        <v>0</v>
      </c>
      <c r="Q552" t="n">
        <v>0</v>
      </c>
      <c r="R552" s="2" t="inlineStr"/>
    </row>
    <row r="553" ht="15" customHeight="1">
      <c r="A553" t="inlineStr">
        <is>
          <t>A 37728-2024</t>
        </is>
      </c>
      <c r="B553" s="1" t="n">
        <v>45541</v>
      </c>
      <c r="C553" s="1" t="n">
        <v>46110</v>
      </c>
      <c r="D553" t="inlineStr">
        <is>
          <t>GOTLANDS LÄN</t>
        </is>
      </c>
      <c r="E553" t="inlineStr">
        <is>
          <t>GOTLAND</t>
        </is>
      </c>
      <c r="G553" t="n">
        <v>0.4</v>
      </c>
      <c r="H553" t="n">
        <v>0</v>
      </c>
      <c r="I553" t="n">
        <v>0</v>
      </c>
      <c r="J553" t="n">
        <v>0</v>
      </c>
      <c r="K553" t="n">
        <v>0</v>
      </c>
      <c r="L553" t="n">
        <v>0</v>
      </c>
      <c r="M553" t="n">
        <v>0</v>
      </c>
      <c r="N553" t="n">
        <v>0</v>
      </c>
      <c r="O553" t="n">
        <v>0</v>
      </c>
      <c r="P553" t="n">
        <v>0</v>
      </c>
      <c r="Q553" t="n">
        <v>0</v>
      </c>
      <c r="R553" s="2" t="inlineStr"/>
    </row>
    <row r="554" ht="15" customHeight="1">
      <c r="A554" t="inlineStr">
        <is>
          <t>A 22287-2022</t>
        </is>
      </c>
      <c r="B554" s="1" t="n">
        <v>44712</v>
      </c>
      <c r="C554" s="1" t="n">
        <v>46110</v>
      </c>
      <c r="D554" t="inlineStr">
        <is>
          <t>GOTLANDS LÄN</t>
        </is>
      </c>
      <c r="E554" t="inlineStr">
        <is>
          <t>GOTLAND</t>
        </is>
      </c>
      <c r="G554" t="n">
        <v>6.1</v>
      </c>
      <c r="H554" t="n">
        <v>0</v>
      </c>
      <c r="I554" t="n">
        <v>0</v>
      </c>
      <c r="J554" t="n">
        <v>0</v>
      </c>
      <c r="K554" t="n">
        <v>0</v>
      </c>
      <c r="L554" t="n">
        <v>0</v>
      </c>
      <c r="M554" t="n">
        <v>0</v>
      </c>
      <c r="N554" t="n">
        <v>0</v>
      </c>
      <c r="O554" t="n">
        <v>0</v>
      </c>
      <c r="P554" t="n">
        <v>0</v>
      </c>
      <c r="Q554" t="n">
        <v>0</v>
      </c>
      <c r="R554" s="2" t="inlineStr"/>
    </row>
    <row r="555" ht="15" customHeight="1">
      <c r="A555" t="inlineStr">
        <is>
          <t>A 54074-2022</t>
        </is>
      </c>
      <c r="B555" s="1" t="n">
        <v>44881</v>
      </c>
      <c r="C555" s="1" t="n">
        <v>46110</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65249-2023</t>
        </is>
      </c>
      <c r="B556" s="1" t="n">
        <v>45290</v>
      </c>
      <c r="C556" s="1" t="n">
        <v>46110</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13910-2025</t>
        </is>
      </c>
      <c r="B557" s="1" t="n">
        <v>45737</v>
      </c>
      <c r="C557" s="1" t="n">
        <v>46110</v>
      </c>
      <c r="D557" t="inlineStr">
        <is>
          <t>GOTLANDS LÄN</t>
        </is>
      </c>
      <c r="E557" t="inlineStr">
        <is>
          <t>GOTLAND</t>
        </is>
      </c>
      <c r="F557" t="inlineStr">
        <is>
          <t>Kommuner</t>
        </is>
      </c>
      <c r="G557" t="n">
        <v>3.2</v>
      </c>
      <c r="H557" t="n">
        <v>0</v>
      </c>
      <c r="I557" t="n">
        <v>0</v>
      </c>
      <c r="J557" t="n">
        <v>0</v>
      </c>
      <c r="K557" t="n">
        <v>0</v>
      </c>
      <c r="L557" t="n">
        <v>0</v>
      </c>
      <c r="M557" t="n">
        <v>0</v>
      </c>
      <c r="N557" t="n">
        <v>0</v>
      </c>
      <c r="O557" t="n">
        <v>0</v>
      </c>
      <c r="P557" t="n">
        <v>0</v>
      </c>
      <c r="Q557" t="n">
        <v>0</v>
      </c>
      <c r="R557" s="2" t="inlineStr"/>
    </row>
    <row r="558" ht="15" customHeight="1">
      <c r="A558" t="inlineStr">
        <is>
          <t>A 17780-2022</t>
        </is>
      </c>
      <c r="B558" s="1" t="n">
        <v>44682.82622685185</v>
      </c>
      <c r="C558" s="1" t="n">
        <v>46110</v>
      </c>
      <c r="D558" t="inlineStr">
        <is>
          <t>GOTLANDS LÄN</t>
        </is>
      </c>
      <c r="E558" t="inlineStr">
        <is>
          <t>GOTLAND</t>
        </is>
      </c>
      <c r="G558" t="n">
        <v>2.2</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46110</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11874-2024</t>
        </is>
      </c>
      <c r="B560" s="1" t="n">
        <v>45376.46956018519</v>
      </c>
      <c r="C560" s="1" t="n">
        <v>46110</v>
      </c>
      <c r="D560" t="inlineStr">
        <is>
          <t>GOTLANDS LÄN</t>
        </is>
      </c>
      <c r="E560" t="inlineStr">
        <is>
          <t>GOTLAND</t>
        </is>
      </c>
      <c r="G560" t="n">
        <v>0.8</v>
      </c>
      <c r="H560" t="n">
        <v>0</v>
      </c>
      <c r="I560" t="n">
        <v>0</v>
      </c>
      <c r="J560" t="n">
        <v>0</v>
      </c>
      <c r="K560" t="n">
        <v>0</v>
      </c>
      <c r="L560" t="n">
        <v>0</v>
      </c>
      <c r="M560" t="n">
        <v>0</v>
      </c>
      <c r="N560" t="n">
        <v>0</v>
      </c>
      <c r="O560" t="n">
        <v>0</v>
      </c>
      <c r="P560" t="n">
        <v>0</v>
      </c>
      <c r="Q560" t="n">
        <v>0</v>
      </c>
      <c r="R560" s="2" t="inlineStr"/>
    </row>
    <row r="561" ht="15" customHeight="1">
      <c r="A561" t="inlineStr">
        <is>
          <t>A 42041-2024</t>
        </is>
      </c>
      <c r="B561" s="1" t="n">
        <v>45561</v>
      </c>
      <c r="C561" s="1" t="n">
        <v>46110</v>
      </c>
      <c r="D561" t="inlineStr">
        <is>
          <t>GOTLANDS LÄN</t>
        </is>
      </c>
      <c r="E561" t="inlineStr">
        <is>
          <t>GOTLAND</t>
        </is>
      </c>
      <c r="G561" t="n">
        <v>3.2</v>
      </c>
      <c r="H561" t="n">
        <v>0</v>
      </c>
      <c r="I561" t="n">
        <v>0</v>
      </c>
      <c r="J561" t="n">
        <v>0</v>
      </c>
      <c r="K561" t="n">
        <v>0</v>
      </c>
      <c r="L561" t="n">
        <v>0</v>
      </c>
      <c r="M561" t="n">
        <v>0</v>
      </c>
      <c r="N561" t="n">
        <v>0</v>
      </c>
      <c r="O561" t="n">
        <v>0</v>
      </c>
      <c r="P561" t="n">
        <v>0</v>
      </c>
      <c r="Q561" t="n">
        <v>0</v>
      </c>
      <c r="R561" s="2" t="inlineStr"/>
    </row>
    <row r="562" ht="15" customHeight="1">
      <c r="A562" t="inlineStr">
        <is>
          <t>A 61694-2023</t>
        </is>
      </c>
      <c r="B562" s="1" t="n">
        <v>45264</v>
      </c>
      <c r="C562" s="1" t="n">
        <v>46110</v>
      </c>
      <c r="D562" t="inlineStr">
        <is>
          <t>GOTLANDS LÄN</t>
        </is>
      </c>
      <c r="E562" t="inlineStr">
        <is>
          <t>GOTLAND</t>
        </is>
      </c>
      <c r="G562" t="n">
        <v>4.6</v>
      </c>
      <c r="H562" t="n">
        <v>0</v>
      </c>
      <c r="I562" t="n">
        <v>0</v>
      </c>
      <c r="J562" t="n">
        <v>0</v>
      </c>
      <c r="K562" t="n">
        <v>0</v>
      </c>
      <c r="L562" t="n">
        <v>0</v>
      </c>
      <c r="M562" t="n">
        <v>0</v>
      </c>
      <c r="N562" t="n">
        <v>0</v>
      </c>
      <c r="O562" t="n">
        <v>0</v>
      </c>
      <c r="P562" t="n">
        <v>0</v>
      </c>
      <c r="Q562" t="n">
        <v>0</v>
      </c>
      <c r="R562" s="2" t="inlineStr"/>
    </row>
    <row r="563" ht="15" customHeight="1">
      <c r="A563" t="inlineStr">
        <is>
          <t>A 64555-2023</t>
        </is>
      </c>
      <c r="B563" s="1" t="n">
        <v>45281</v>
      </c>
      <c r="C563" s="1" t="n">
        <v>46110</v>
      </c>
      <c r="D563" t="inlineStr">
        <is>
          <t>GOTLANDS LÄN</t>
        </is>
      </c>
      <c r="E563" t="inlineStr">
        <is>
          <t>GOTLAND</t>
        </is>
      </c>
      <c r="G563" t="n">
        <v>3.5</v>
      </c>
      <c r="H563" t="n">
        <v>0</v>
      </c>
      <c r="I563" t="n">
        <v>0</v>
      </c>
      <c r="J563" t="n">
        <v>0</v>
      </c>
      <c r="K563" t="n">
        <v>0</v>
      </c>
      <c r="L563" t="n">
        <v>0</v>
      </c>
      <c r="M563" t="n">
        <v>0</v>
      </c>
      <c r="N563" t="n">
        <v>0</v>
      </c>
      <c r="O563" t="n">
        <v>0</v>
      </c>
      <c r="P563" t="n">
        <v>0</v>
      </c>
      <c r="Q563" t="n">
        <v>0</v>
      </c>
      <c r="R563" s="2" t="inlineStr"/>
    </row>
    <row r="564" ht="15" customHeight="1">
      <c r="A564" t="inlineStr">
        <is>
          <t>A 64831-2023</t>
        </is>
      </c>
      <c r="B564" s="1" t="n">
        <v>45282.44924768519</v>
      </c>
      <c r="C564" s="1" t="n">
        <v>46110</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999-2023</t>
        </is>
      </c>
      <c r="B565" s="1" t="n">
        <v>44935</v>
      </c>
      <c r="C565" s="1" t="n">
        <v>46110</v>
      </c>
      <c r="D565" t="inlineStr">
        <is>
          <t>GOTLANDS LÄN</t>
        </is>
      </c>
      <c r="E565" t="inlineStr">
        <is>
          <t>GOTLAND</t>
        </is>
      </c>
      <c r="G565" t="n">
        <v>4.7</v>
      </c>
      <c r="H565" t="n">
        <v>0</v>
      </c>
      <c r="I565" t="n">
        <v>0</v>
      </c>
      <c r="J565" t="n">
        <v>0</v>
      </c>
      <c r="K565" t="n">
        <v>0</v>
      </c>
      <c r="L565" t="n">
        <v>0</v>
      </c>
      <c r="M565" t="n">
        <v>0</v>
      </c>
      <c r="N565" t="n">
        <v>0</v>
      </c>
      <c r="O565" t="n">
        <v>0</v>
      </c>
      <c r="P565" t="n">
        <v>0</v>
      </c>
      <c r="Q565" t="n">
        <v>0</v>
      </c>
      <c r="R565" s="2" t="inlineStr"/>
    </row>
    <row r="566" ht="15" customHeight="1">
      <c r="A566" t="inlineStr">
        <is>
          <t>A 27602-2023</t>
        </is>
      </c>
      <c r="B566" s="1" t="n">
        <v>45097</v>
      </c>
      <c r="C566" s="1" t="n">
        <v>46110</v>
      </c>
      <c r="D566" t="inlineStr">
        <is>
          <t>GOTLANDS LÄN</t>
        </is>
      </c>
      <c r="E566" t="inlineStr">
        <is>
          <t>GOTLAND</t>
        </is>
      </c>
      <c r="G566" t="n">
        <v>2.7</v>
      </c>
      <c r="H566" t="n">
        <v>0</v>
      </c>
      <c r="I566" t="n">
        <v>0</v>
      </c>
      <c r="J566" t="n">
        <v>0</v>
      </c>
      <c r="K566" t="n">
        <v>0</v>
      </c>
      <c r="L566" t="n">
        <v>0</v>
      </c>
      <c r="M566" t="n">
        <v>0</v>
      </c>
      <c r="N566" t="n">
        <v>0</v>
      </c>
      <c r="O566" t="n">
        <v>0</v>
      </c>
      <c r="P566" t="n">
        <v>0</v>
      </c>
      <c r="Q566" t="n">
        <v>0</v>
      </c>
      <c r="R566" s="2" t="inlineStr"/>
    </row>
    <row r="567" ht="15" customHeight="1">
      <c r="A567" t="inlineStr">
        <is>
          <t>A 4377-2023</t>
        </is>
      </c>
      <c r="B567" s="1" t="n">
        <v>44955.5502662037</v>
      </c>
      <c r="C567" s="1" t="n">
        <v>46110</v>
      </c>
      <c r="D567" t="inlineStr">
        <is>
          <t>GOTLANDS LÄN</t>
        </is>
      </c>
      <c r="E567" t="inlineStr">
        <is>
          <t>GOTLAND</t>
        </is>
      </c>
      <c r="F567" t="inlineStr">
        <is>
          <t>Kyrkan</t>
        </is>
      </c>
      <c r="G567" t="n">
        <v>0.6</v>
      </c>
      <c r="H567" t="n">
        <v>0</v>
      </c>
      <c r="I567" t="n">
        <v>0</v>
      </c>
      <c r="J567" t="n">
        <v>0</v>
      </c>
      <c r="K567" t="n">
        <v>0</v>
      </c>
      <c r="L567" t="n">
        <v>0</v>
      </c>
      <c r="M567" t="n">
        <v>0</v>
      </c>
      <c r="N567" t="n">
        <v>0</v>
      </c>
      <c r="O567" t="n">
        <v>0</v>
      </c>
      <c r="P567" t="n">
        <v>0</v>
      </c>
      <c r="Q567" t="n">
        <v>0</v>
      </c>
      <c r="R567" s="2" t="inlineStr"/>
    </row>
    <row r="568" ht="15" customHeight="1">
      <c r="A568" t="inlineStr">
        <is>
          <t>A 4387-2023</t>
        </is>
      </c>
      <c r="B568" s="1" t="n">
        <v>44955.73359953704</v>
      </c>
      <c r="C568" s="1" t="n">
        <v>46110</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39479-2022</t>
        </is>
      </c>
      <c r="B569" s="1" t="n">
        <v>44818</v>
      </c>
      <c r="C569" s="1" t="n">
        <v>46110</v>
      </c>
      <c r="D569" t="inlineStr">
        <is>
          <t>GOTLANDS LÄN</t>
        </is>
      </c>
      <c r="E569" t="inlineStr">
        <is>
          <t>GOTLAND</t>
        </is>
      </c>
      <c r="G569" t="n">
        <v>1.1</v>
      </c>
      <c r="H569" t="n">
        <v>0</v>
      </c>
      <c r="I569" t="n">
        <v>0</v>
      </c>
      <c r="J569" t="n">
        <v>0</v>
      </c>
      <c r="K569" t="n">
        <v>0</v>
      </c>
      <c r="L569" t="n">
        <v>0</v>
      </c>
      <c r="M569" t="n">
        <v>0</v>
      </c>
      <c r="N569" t="n">
        <v>0</v>
      </c>
      <c r="O569" t="n">
        <v>0</v>
      </c>
      <c r="P569" t="n">
        <v>0</v>
      </c>
      <c r="Q569" t="n">
        <v>0</v>
      </c>
      <c r="R569" s="2" t="inlineStr"/>
    </row>
    <row r="570" ht="15" customHeight="1">
      <c r="A570" t="inlineStr">
        <is>
          <t>A 51963-2024</t>
        </is>
      </c>
      <c r="B570" s="1" t="n">
        <v>45607.64833333333</v>
      </c>
      <c r="C570" s="1" t="n">
        <v>46110</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811-2023</t>
        </is>
      </c>
      <c r="B571" s="1" t="n">
        <v>44931</v>
      </c>
      <c r="C571" s="1" t="n">
        <v>46110</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46389-2021</t>
        </is>
      </c>
      <c r="B572" s="1" t="n">
        <v>44443</v>
      </c>
      <c r="C572" s="1" t="n">
        <v>46110</v>
      </c>
      <c r="D572" t="inlineStr">
        <is>
          <t>GOTLANDS LÄN</t>
        </is>
      </c>
      <c r="E572" t="inlineStr">
        <is>
          <t>GOTLAND</t>
        </is>
      </c>
      <c r="F572" t="inlineStr">
        <is>
          <t>Kyrkan</t>
        </is>
      </c>
      <c r="G572" t="n">
        <v>2.1</v>
      </c>
      <c r="H572" t="n">
        <v>0</v>
      </c>
      <c r="I572" t="n">
        <v>0</v>
      </c>
      <c r="J572" t="n">
        <v>0</v>
      </c>
      <c r="K572" t="n">
        <v>0</v>
      </c>
      <c r="L572" t="n">
        <v>0</v>
      </c>
      <c r="M572" t="n">
        <v>0</v>
      </c>
      <c r="N572" t="n">
        <v>0</v>
      </c>
      <c r="O572" t="n">
        <v>0</v>
      </c>
      <c r="P572" t="n">
        <v>0</v>
      </c>
      <c r="Q572" t="n">
        <v>0</v>
      </c>
      <c r="R572" s="2" t="inlineStr"/>
    </row>
    <row r="573" ht="15" customHeight="1">
      <c r="A573" t="inlineStr">
        <is>
          <t>A 26810-2021</t>
        </is>
      </c>
      <c r="B573" s="1" t="n">
        <v>44349.55087962963</v>
      </c>
      <c r="C573" s="1" t="n">
        <v>46110</v>
      </c>
      <c r="D573" t="inlineStr">
        <is>
          <t>GOTLANDS LÄN</t>
        </is>
      </c>
      <c r="E573" t="inlineStr">
        <is>
          <t>GOTLAND</t>
        </is>
      </c>
      <c r="G573" t="n">
        <v>3.5</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44963.69503472222</v>
      </c>
      <c r="C574" s="1" t="n">
        <v>46110</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33853-2024</t>
        </is>
      </c>
      <c r="B575" s="1" t="n">
        <v>45520.64298611111</v>
      </c>
      <c r="C575" s="1" t="n">
        <v>46110</v>
      </c>
      <c r="D575" t="inlineStr">
        <is>
          <t>GOTLANDS LÄN</t>
        </is>
      </c>
      <c r="E575" t="inlineStr">
        <is>
          <t>GOTLAND</t>
        </is>
      </c>
      <c r="G575" t="n">
        <v>3.9</v>
      </c>
      <c r="H575" t="n">
        <v>0</v>
      </c>
      <c r="I575" t="n">
        <v>0</v>
      </c>
      <c r="J575" t="n">
        <v>0</v>
      </c>
      <c r="K575" t="n">
        <v>0</v>
      </c>
      <c r="L575" t="n">
        <v>0</v>
      </c>
      <c r="M575" t="n">
        <v>0</v>
      </c>
      <c r="N575" t="n">
        <v>0</v>
      </c>
      <c r="O575" t="n">
        <v>0</v>
      </c>
      <c r="P575" t="n">
        <v>0</v>
      </c>
      <c r="Q575" t="n">
        <v>0</v>
      </c>
      <c r="R575" s="2" t="inlineStr"/>
    </row>
    <row r="576" ht="15" customHeight="1">
      <c r="A576" t="inlineStr">
        <is>
          <t>A 18918-2025</t>
        </is>
      </c>
      <c r="B576" s="1" t="n">
        <v>45764</v>
      </c>
      <c r="C576" s="1" t="n">
        <v>46110</v>
      </c>
      <c r="D576" t="inlineStr">
        <is>
          <t>GOTLANDS LÄN</t>
        </is>
      </c>
      <c r="E576" t="inlineStr">
        <is>
          <t>GOTLAND</t>
        </is>
      </c>
      <c r="G576" t="n">
        <v>1.7</v>
      </c>
      <c r="H576" t="n">
        <v>0</v>
      </c>
      <c r="I576" t="n">
        <v>0</v>
      </c>
      <c r="J576" t="n">
        <v>0</v>
      </c>
      <c r="K576" t="n">
        <v>0</v>
      </c>
      <c r="L576" t="n">
        <v>0</v>
      </c>
      <c r="M576" t="n">
        <v>0</v>
      </c>
      <c r="N576" t="n">
        <v>0</v>
      </c>
      <c r="O576" t="n">
        <v>0</v>
      </c>
      <c r="P576" t="n">
        <v>0</v>
      </c>
      <c r="Q576" t="n">
        <v>0</v>
      </c>
      <c r="R576" s="2" t="inlineStr"/>
    </row>
    <row r="577" ht="15" customHeight="1">
      <c r="A577" t="inlineStr">
        <is>
          <t>A 2674-2023</t>
        </is>
      </c>
      <c r="B577" s="1" t="n">
        <v>44944</v>
      </c>
      <c r="C577" s="1" t="n">
        <v>46110</v>
      </c>
      <c r="D577" t="inlineStr">
        <is>
          <t>GOTLANDS LÄN</t>
        </is>
      </c>
      <c r="E577" t="inlineStr">
        <is>
          <t>GOTLAND</t>
        </is>
      </c>
      <c r="G577" t="n">
        <v>2.5</v>
      </c>
      <c r="H577" t="n">
        <v>0</v>
      </c>
      <c r="I577" t="n">
        <v>0</v>
      </c>
      <c r="J577" t="n">
        <v>0</v>
      </c>
      <c r="K577" t="n">
        <v>0</v>
      </c>
      <c r="L577" t="n">
        <v>0</v>
      </c>
      <c r="M577" t="n">
        <v>0</v>
      </c>
      <c r="N577" t="n">
        <v>0</v>
      </c>
      <c r="O577" t="n">
        <v>0</v>
      </c>
      <c r="P577" t="n">
        <v>0</v>
      </c>
      <c r="Q577" t="n">
        <v>0</v>
      </c>
      <c r="R577" s="2" t="inlineStr"/>
    </row>
    <row r="578" ht="15" customHeight="1">
      <c r="A578" t="inlineStr">
        <is>
          <t>A 10655-2023</t>
        </is>
      </c>
      <c r="B578" s="1" t="n">
        <v>44988.49543981482</v>
      </c>
      <c r="C578" s="1" t="n">
        <v>46110</v>
      </c>
      <c r="D578" t="inlineStr">
        <is>
          <t>GOTLANDS LÄN</t>
        </is>
      </c>
      <c r="E578" t="inlineStr">
        <is>
          <t>GOTLAND</t>
        </is>
      </c>
      <c r="F578" t="inlineStr">
        <is>
          <t>Kyrkan</t>
        </is>
      </c>
      <c r="G578" t="n">
        <v>2</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44944.55361111111</v>
      </c>
      <c r="C579" s="1" t="n">
        <v>46110</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26891-2024</t>
        </is>
      </c>
      <c r="B580" s="1" t="n">
        <v>45470.65540509259</v>
      </c>
      <c r="C580" s="1" t="n">
        <v>46110</v>
      </c>
      <c r="D580" t="inlineStr">
        <is>
          <t>GOTLANDS LÄN</t>
        </is>
      </c>
      <c r="E580" t="inlineStr">
        <is>
          <t>GOTLAND</t>
        </is>
      </c>
      <c r="G580" t="n">
        <v>0.8</v>
      </c>
      <c r="H580" t="n">
        <v>0</v>
      </c>
      <c r="I580" t="n">
        <v>0</v>
      </c>
      <c r="J580" t="n">
        <v>0</v>
      </c>
      <c r="K580" t="n">
        <v>0</v>
      </c>
      <c r="L580" t="n">
        <v>0</v>
      </c>
      <c r="M580" t="n">
        <v>0</v>
      </c>
      <c r="N580" t="n">
        <v>0</v>
      </c>
      <c r="O580" t="n">
        <v>0</v>
      </c>
      <c r="P580" t="n">
        <v>0</v>
      </c>
      <c r="Q580" t="n">
        <v>0</v>
      </c>
      <c r="R580" s="2" t="inlineStr"/>
    </row>
    <row r="581" ht="15" customHeight="1">
      <c r="A581" t="inlineStr">
        <is>
          <t>A 42007-2023</t>
        </is>
      </c>
      <c r="B581" s="1" t="n">
        <v>45177</v>
      </c>
      <c r="C581" s="1" t="n">
        <v>46110</v>
      </c>
      <c r="D581" t="inlineStr">
        <is>
          <t>GOTLANDS LÄN</t>
        </is>
      </c>
      <c r="E581" t="inlineStr">
        <is>
          <t>GOTLAND</t>
        </is>
      </c>
      <c r="G581" t="n">
        <v>0.8</v>
      </c>
      <c r="H581" t="n">
        <v>0</v>
      </c>
      <c r="I581" t="n">
        <v>0</v>
      </c>
      <c r="J581" t="n">
        <v>0</v>
      </c>
      <c r="K581" t="n">
        <v>0</v>
      </c>
      <c r="L581" t="n">
        <v>0</v>
      </c>
      <c r="M581" t="n">
        <v>0</v>
      </c>
      <c r="N581" t="n">
        <v>0</v>
      </c>
      <c r="O581" t="n">
        <v>0</v>
      </c>
      <c r="P581" t="n">
        <v>0</v>
      </c>
      <c r="Q581" t="n">
        <v>0</v>
      </c>
      <c r="R581" s="2" t="inlineStr"/>
    </row>
    <row r="582" ht="15" customHeight="1">
      <c r="A582" t="inlineStr">
        <is>
          <t>A 9887-2025</t>
        </is>
      </c>
      <c r="B582" s="1" t="n">
        <v>45716</v>
      </c>
      <c r="C582" s="1" t="n">
        <v>46110</v>
      </c>
      <c r="D582" t="inlineStr">
        <is>
          <t>GOTLANDS LÄN</t>
        </is>
      </c>
      <c r="E582" t="inlineStr">
        <is>
          <t>GOTLAND</t>
        </is>
      </c>
      <c r="G582" t="n">
        <v>7.5</v>
      </c>
      <c r="H582" t="n">
        <v>0</v>
      </c>
      <c r="I582" t="n">
        <v>0</v>
      </c>
      <c r="J582" t="n">
        <v>0</v>
      </c>
      <c r="K582" t="n">
        <v>0</v>
      </c>
      <c r="L582" t="n">
        <v>0</v>
      </c>
      <c r="M582" t="n">
        <v>0</v>
      </c>
      <c r="N582" t="n">
        <v>0</v>
      </c>
      <c r="O582" t="n">
        <v>0</v>
      </c>
      <c r="P582" t="n">
        <v>0</v>
      </c>
      <c r="Q582" t="n">
        <v>0</v>
      </c>
      <c r="R582" s="2" t="inlineStr"/>
    </row>
    <row r="583" ht="15" customHeight="1">
      <c r="A583" t="inlineStr">
        <is>
          <t>A 38165-2023</t>
        </is>
      </c>
      <c r="B583" s="1" t="n">
        <v>45161</v>
      </c>
      <c r="C583" s="1" t="n">
        <v>46110</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27596-2023</t>
        </is>
      </c>
      <c r="B584" s="1" t="n">
        <v>45097</v>
      </c>
      <c r="C584" s="1" t="n">
        <v>46110</v>
      </c>
      <c r="D584" t="inlineStr">
        <is>
          <t>GOTLANDS LÄN</t>
        </is>
      </c>
      <c r="E584" t="inlineStr">
        <is>
          <t>GOTLAND</t>
        </is>
      </c>
      <c r="G584" t="n">
        <v>3.6</v>
      </c>
      <c r="H584" t="n">
        <v>0</v>
      </c>
      <c r="I584" t="n">
        <v>0</v>
      </c>
      <c r="J584" t="n">
        <v>0</v>
      </c>
      <c r="K584" t="n">
        <v>0</v>
      </c>
      <c r="L584" t="n">
        <v>0</v>
      </c>
      <c r="M584" t="n">
        <v>0</v>
      </c>
      <c r="N584" t="n">
        <v>0</v>
      </c>
      <c r="O584" t="n">
        <v>0</v>
      </c>
      <c r="P584" t="n">
        <v>0</v>
      </c>
      <c r="Q584" t="n">
        <v>0</v>
      </c>
      <c r="R584" s="2" t="inlineStr"/>
    </row>
    <row r="585" ht="15" customHeight="1">
      <c r="A585" t="inlineStr">
        <is>
          <t>A 24825-2024</t>
        </is>
      </c>
      <c r="B585" s="1" t="n">
        <v>45461</v>
      </c>
      <c r="C585" s="1" t="n">
        <v>46110</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6696-2023</t>
        </is>
      </c>
      <c r="B586" s="1" t="n">
        <v>44966.66425925926</v>
      </c>
      <c r="C586" s="1" t="n">
        <v>46110</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21247-2022</t>
        </is>
      </c>
      <c r="B587" s="1" t="n">
        <v>44705.38832175926</v>
      </c>
      <c r="C587" s="1" t="n">
        <v>46110</v>
      </c>
      <c r="D587" t="inlineStr">
        <is>
          <t>GOTLANDS LÄN</t>
        </is>
      </c>
      <c r="E587" t="inlineStr">
        <is>
          <t>GOTLAND</t>
        </is>
      </c>
      <c r="G587" t="n">
        <v>16.2</v>
      </c>
      <c r="H587" t="n">
        <v>0</v>
      </c>
      <c r="I587" t="n">
        <v>0</v>
      </c>
      <c r="J587" t="n">
        <v>0</v>
      </c>
      <c r="K587" t="n">
        <v>0</v>
      </c>
      <c r="L587" t="n">
        <v>0</v>
      </c>
      <c r="M587" t="n">
        <v>0</v>
      </c>
      <c r="N587" t="n">
        <v>0</v>
      </c>
      <c r="O587" t="n">
        <v>0</v>
      </c>
      <c r="P587" t="n">
        <v>0</v>
      </c>
      <c r="Q587" t="n">
        <v>0</v>
      </c>
      <c r="R587" s="2" t="inlineStr"/>
    </row>
    <row r="588" ht="15" customHeight="1">
      <c r="A588" t="inlineStr">
        <is>
          <t>A 456-2023</t>
        </is>
      </c>
      <c r="B588" s="1" t="n">
        <v>44929.87122685185</v>
      </c>
      <c r="C588" s="1" t="n">
        <v>46110</v>
      </c>
      <c r="D588" t="inlineStr">
        <is>
          <t>GOTLANDS LÄN</t>
        </is>
      </c>
      <c r="E588" t="inlineStr">
        <is>
          <t>GOTLAND</t>
        </is>
      </c>
      <c r="G588" t="n">
        <v>3.2</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44944.54896990741</v>
      </c>
      <c r="C589" s="1" t="n">
        <v>46110</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4421-2024</t>
        </is>
      </c>
      <c r="B590" s="1" t="n">
        <v>45327.45173611111</v>
      </c>
      <c r="C590" s="1" t="n">
        <v>46110</v>
      </c>
      <c r="D590" t="inlineStr">
        <is>
          <t>GOTLANDS LÄN</t>
        </is>
      </c>
      <c r="E590" t="inlineStr">
        <is>
          <t>GOTLAND</t>
        </is>
      </c>
      <c r="G590" t="n">
        <v>5.1</v>
      </c>
      <c r="H590" t="n">
        <v>0</v>
      </c>
      <c r="I590" t="n">
        <v>0</v>
      </c>
      <c r="J590" t="n">
        <v>0</v>
      </c>
      <c r="K590" t="n">
        <v>0</v>
      </c>
      <c r="L590" t="n">
        <v>0</v>
      </c>
      <c r="M590" t="n">
        <v>0</v>
      </c>
      <c r="N590" t="n">
        <v>0</v>
      </c>
      <c r="O590" t="n">
        <v>0</v>
      </c>
      <c r="P590" t="n">
        <v>0</v>
      </c>
      <c r="Q590" t="n">
        <v>0</v>
      </c>
      <c r="R590" s="2" t="inlineStr"/>
    </row>
    <row r="591" ht="15" customHeight="1">
      <c r="A591" t="inlineStr">
        <is>
          <t>A 51782-2023</t>
        </is>
      </c>
      <c r="B591" s="1" t="n">
        <v>45222.80952546297</v>
      </c>
      <c r="C591" s="1" t="n">
        <v>46110</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54268-2022</t>
        </is>
      </c>
      <c r="B592" s="1" t="n">
        <v>44882</v>
      </c>
      <c r="C592" s="1" t="n">
        <v>46110</v>
      </c>
      <c r="D592" t="inlineStr">
        <is>
          <t>GOTLANDS LÄN</t>
        </is>
      </c>
      <c r="E592" t="inlineStr">
        <is>
          <t>GOTLAND</t>
        </is>
      </c>
      <c r="G592" t="n">
        <v>2.7</v>
      </c>
      <c r="H592" t="n">
        <v>0</v>
      </c>
      <c r="I592" t="n">
        <v>0</v>
      </c>
      <c r="J592" t="n">
        <v>0</v>
      </c>
      <c r="K592" t="n">
        <v>0</v>
      </c>
      <c r="L592" t="n">
        <v>0</v>
      </c>
      <c r="M592" t="n">
        <v>0</v>
      </c>
      <c r="N592" t="n">
        <v>0</v>
      </c>
      <c r="O592" t="n">
        <v>0</v>
      </c>
      <c r="P592" t="n">
        <v>0</v>
      </c>
      <c r="Q592" t="n">
        <v>0</v>
      </c>
      <c r="R592" s="2" t="inlineStr"/>
    </row>
    <row r="593" ht="15" customHeight="1">
      <c r="A593" t="inlineStr">
        <is>
          <t>A 57534-2022</t>
        </is>
      </c>
      <c r="B593" s="1" t="n">
        <v>44896</v>
      </c>
      <c r="C593" s="1" t="n">
        <v>46110</v>
      </c>
      <c r="D593" t="inlineStr">
        <is>
          <t>GOTLANDS LÄN</t>
        </is>
      </c>
      <c r="E593" t="inlineStr">
        <is>
          <t>GOTLAND</t>
        </is>
      </c>
      <c r="G593" t="n">
        <v>0.6</v>
      </c>
      <c r="H593" t="n">
        <v>0</v>
      </c>
      <c r="I593" t="n">
        <v>0</v>
      </c>
      <c r="J593" t="n">
        <v>0</v>
      </c>
      <c r="K593" t="n">
        <v>0</v>
      </c>
      <c r="L593" t="n">
        <v>0</v>
      </c>
      <c r="M593" t="n">
        <v>0</v>
      </c>
      <c r="N593" t="n">
        <v>0</v>
      </c>
      <c r="O593" t="n">
        <v>0</v>
      </c>
      <c r="P593" t="n">
        <v>0</v>
      </c>
      <c r="Q593" t="n">
        <v>0</v>
      </c>
      <c r="R593" s="2" t="inlineStr"/>
    </row>
    <row r="594" ht="15" customHeight="1">
      <c r="A594" t="inlineStr">
        <is>
          <t>A 25866-2022</t>
        </is>
      </c>
      <c r="B594" s="1" t="n">
        <v>44733</v>
      </c>
      <c r="C594" s="1" t="n">
        <v>46110</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43229-2023</t>
        </is>
      </c>
      <c r="B595" s="1" t="n">
        <v>45183.46704861111</v>
      </c>
      <c r="C595" s="1" t="n">
        <v>46110</v>
      </c>
      <c r="D595" t="inlineStr">
        <is>
          <t>GOTLANDS LÄN</t>
        </is>
      </c>
      <c r="E595" t="inlineStr">
        <is>
          <t>GOTLAND</t>
        </is>
      </c>
      <c r="G595" t="n">
        <v>7.1</v>
      </c>
      <c r="H595" t="n">
        <v>0</v>
      </c>
      <c r="I595" t="n">
        <v>0</v>
      </c>
      <c r="J595" t="n">
        <v>0</v>
      </c>
      <c r="K595" t="n">
        <v>0</v>
      </c>
      <c r="L595" t="n">
        <v>0</v>
      </c>
      <c r="M595" t="n">
        <v>0</v>
      </c>
      <c r="N595" t="n">
        <v>0</v>
      </c>
      <c r="O595" t="n">
        <v>0</v>
      </c>
      <c r="P595" t="n">
        <v>0</v>
      </c>
      <c r="Q595" t="n">
        <v>0</v>
      </c>
      <c r="R595" s="2" t="inlineStr"/>
    </row>
    <row r="596" ht="15" customHeight="1">
      <c r="A596" t="inlineStr">
        <is>
          <t>A 1175-2025</t>
        </is>
      </c>
      <c r="B596" s="1" t="n">
        <v>45667.34449074074</v>
      </c>
      <c r="C596" s="1" t="n">
        <v>46110</v>
      </c>
      <c r="D596" t="inlineStr">
        <is>
          <t>GOTLANDS LÄN</t>
        </is>
      </c>
      <c r="E596" t="inlineStr">
        <is>
          <t>GOTLAND</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27095-2022</t>
        </is>
      </c>
      <c r="B597" s="1" t="n">
        <v>44741</v>
      </c>
      <c r="C597" s="1" t="n">
        <v>46110</v>
      </c>
      <c r="D597" t="inlineStr">
        <is>
          <t>GOTLANDS LÄN</t>
        </is>
      </c>
      <c r="E597" t="inlineStr">
        <is>
          <t>GOTLAND</t>
        </is>
      </c>
      <c r="F597" t="inlineStr">
        <is>
          <t>Övriga Aktiebolag</t>
        </is>
      </c>
      <c r="G597" t="n">
        <v>2.9</v>
      </c>
      <c r="H597" t="n">
        <v>0</v>
      </c>
      <c r="I597" t="n">
        <v>0</v>
      </c>
      <c r="J597" t="n">
        <v>0</v>
      </c>
      <c r="K597" t="n">
        <v>0</v>
      </c>
      <c r="L597" t="n">
        <v>0</v>
      </c>
      <c r="M597" t="n">
        <v>0</v>
      </c>
      <c r="N597" t="n">
        <v>0</v>
      </c>
      <c r="O597" t="n">
        <v>0</v>
      </c>
      <c r="P597" t="n">
        <v>0</v>
      </c>
      <c r="Q597" t="n">
        <v>0</v>
      </c>
      <c r="R597" s="2" t="inlineStr"/>
    </row>
    <row r="598" ht="15" customHeight="1">
      <c r="A598" t="inlineStr">
        <is>
          <t>A 22899-2023</t>
        </is>
      </c>
      <c r="B598" s="1" t="n">
        <v>45072</v>
      </c>
      <c r="C598" s="1" t="n">
        <v>46110</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23978-2023</t>
        </is>
      </c>
      <c r="B599" s="1" t="n">
        <v>45078</v>
      </c>
      <c r="C599" s="1" t="n">
        <v>46110</v>
      </c>
      <c r="D599" t="inlineStr">
        <is>
          <t>GOTLANDS LÄN</t>
        </is>
      </c>
      <c r="E599" t="inlineStr">
        <is>
          <t>GOTLAND</t>
        </is>
      </c>
      <c r="F599" t="inlineStr">
        <is>
          <t>Naturvårdsverket</t>
        </is>
      </c>
      <c r="G599" t="n">
        <v>1.7</v>
      </c>
      <c r="H599" t="n">
        <v>0</v>
      </c>
      <c r="I599" t="n">
        <v>0</v>
      </c>
      <c r="J599" t="n">
        <v>0</v>
      </c>
      <c r="K599" t="n">
        <v>0</v>
      </c>
      <c r="L599" t="n">
        <v>0</v>
      </c>
      <c r="M599" t="n">
        <v>0</v>
      </c>
      <c r="N599" t="n">
        <v>0</v>
      </c>
      <c r="O599" t="n">
        <v>0</v>
      </c>
      <c r="P599" t="n">
        <v>0</v>
      </c>
      <c r="Q599" t="n">
        <v>0</v>
      </c>
      <c r="R599" s="2" t="inlineStr"/>
    </row>
    <row r="600" ht="15" customHeight="1">
      <c r="A600" t="inlineStr">
        <is>
          <t>A 34407-2023</t>
        </is>
      </c>
      <c r="B600" s="1" t="n">
        <v>45132</v>
      </c>
      <c r="C600" s="1" t="n">
        <v>46110</v>
      </c>
      <c r="D600" t="inlineStr">
        <is>
          <t>GOTLANDS LÄN</t>
        </is>
      </c>
      <c r="E600" t="inlineStr">
        <is>
          <t>GOTLAND</t>
        </is>
      </c>
      <c r="G600" t="n">
        <v>4.4</v>
      </c>
      <c r="H600" t="n">
        <v>0</v>
      </c>
      <c r="I600" t="n">
        <v>0</v>
      </c>
      <c r="J600" t="n">
        <v>0</v>
      </c>
      <c r="K600" t="n">
        <v>0</v>
      </c>
      <c r="L600" t="n">
        <v>0</v>
      </c>
      <c r="M600" t="n">
        <v>0</v>
      </c>
      <c r="N600" t="n">
        <v>0</v>
      </c>
      <c r="O600" t="n">
        <v>0</v>
      </c>
      <c r="P600" t="n">
        <v>0</v>
      </c>
      <c r="Q600" t="n">
        <v>0</v>
      </c>
      <c r="R600" s="2" t="inlineStr"/>
    </row>
    <row r="601" ht="15" customHeight="1">
      <c r="A601" t="inlineStr">
        <is>
          <t>A 11013-2024</t>
        </is>
      </c>
      <c r="B601" s="1" t="n">
        <v>45370</v>
      </c>
      <c r="C601" s="1" t="n">
        <v>46110</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27694-2024</t>
        </is>
      </c>
      <c r="B602" s="1" t="n">
        <v>45475</v>
      </c>
      <c r="C602" s="1" t="n">
        <v>46110</v>
      </c>
      <c r="D602" t="inlineStr">
        <is>
          <t>GOTLANDS LÄN</t>
        </is>
      </c>
      <c r="E602" t="inlineStr">
        <is>
          <t>GOTLAND</t>
        </is>
      </c>
      <c r="G602" t="n">
        <v>1.2</v>
      </c>
      <c r="H602" t="n">
        <v>0</v>
      </c>
      <c r="I602" t="n">
        <v>0</v>
      </c>
      <c r="J602" t="n">
        <v>0</v>
      </c>
      <c r="K602" t="n">
        <v>0</v>
      </c>
      <c r="L602" t="n">
        <v>0</v>
      </c>
      <c r="M602" t="n">
        <v>0</v>
      </c>
      <c r="N602" t="n">
        <v>0</v>
      </c>
      <c r="O602" t="n">
        <v>0</v>
      </c>
      <c r="P602" t="n">
        <v>0</v>
      </c>
      <c r="Q602" t="n">
        <v>0</v>
      </c>
      <c r="R602" s="2" t="inlineStr"/>
    </row>
    <row r="603" ht="15" customHeight="1">
      <c r="A603" t="inlineStr">
        <is>
          <t>A 15083-2025</t>
        </is>
      </c>
      <c r="B603" s="1" t="n">
        <v>45743</v>
      </c>
      <c r="C603" s="1" t="n">
        <v>46110</v>
      </c>
      <c r="D603" t="inlineStr">
        <is>
          <t>GOTLANDS LÄN</t>
        </is>
      </c>
      <c r="E603" t="inlineStr">
        <is>
          <t>GOTLAND</t>
        </is>
      </c>
      <c r="G603" t="n">
        <v>2.3</v>
      </c>
      <c r="H603" t="n">
        <v>0</v>
      </c>
      <c r="I603" t="n">
        <v>0</v>
      </c>
      <c r="J603" t="n">
        <v>0</v>
      </c>
      <c r="K603" t="n">
        <v>0</v>
      </c>
      <c r="L603" t="n">
        <v>0</v>
      </c>
      <c r="M603" t="n">
        <v>0</v>
      </c>
      <c r="N603" t="n">
        <v>0</v>
      </c>
      <c r="O603" t="n">
        <v>0</v>
      </c>
      <c r="P603" t="n">
        <v>0</v>
      </c>
      <c r="Q603" t="n">
        <v>0</v>
      </c>
      <c r="R603" s="2" t="inlineStr"/>
    </row>
    <row r="604" ht="15" customHeight="1">
      <c r="A604" t="inlineStr">
        <is>
          <t>A 13037-2025</t>
        </is>
      </c>
      <c r="B604" s="1" t="n">
        <v>45734</v>
      </c>
      <c r="C604" s="1" t="n">
        <v>46110</v>
      </c>
      <c r="D604" t="inlineStr">
        <is>
          <t>GOTLANDS LÄN</t>
        </is>
      </c>
      <c r="E604" t="inlineStr">
        <is>
          <t>GOTLAND</t>
        </is>
      </c>
      <c r="G604" t="n">
        <v>9.5</v>
      </c>
      <c r="H604" t="n">
        <v>0</v>
      </c>
      <c r="I604" t="n">
        <v>0</v>
      </c>
      <c r="J604" t="n">
        <v>0</v>
      </c>
      <c r="K604" t="n">
        <v>0</v>
      </c>
      <c r="L604" t="n">
        <v>0</v>
      </c>
      <c r="M604" t="n">
        <v>0</v>
      </c>
      <c r="N604" t="n">
        <v>0</v>
      </c>
      <c r="O604" t="n">
        <v>0</v>
      </c>
      <c r="P604" t="n">
        <v>0</v>
      </c>
      <c r="Q604" t="n">
        <v>0</v>
      </c>
      <c r="R604" s="2" t="inlineStr"/>
    </row>
    <row r="605" ht="15" customHeight="1">
      <c r="A605" t="inlineStr">
        <is>
          <t>A 458-2023</t>
        </is>
      </c>
      <c r="B605" s="1" t="n">
        <v>44929</v>
      </c>
      <c r="C605" s="1" t="n">
        <v>46110</v>
      </c>
      <c r="D605" t="inlineStr">
        <is>
          <t>GOTLANDS LÄN</t>
        </is>
      </c>
      <c r="E605" t="inlineStr">
        <is>
          <t>GOTLAND</t>
        </is>
      </c>
      <c r="G605" t="n">
        <v>3.6</v>
      </c>
      <c r="H605" t="n">
        <v>0</v>
      </c>
      <c r="I605" t="n">
        <v>0</v>
      </c>
      <c r="J605" t="n">
        <v>0</v>
      </c>
      <c r="K605" t="n">
        <v>0</v>
      </c>
      <c r="L605" t="n">
        <v>0</v>
      </c>
      <c r="M605" t="n">
        <v>0</v>
      </c>
      <c r="N605" t="n">
        <v>0</v>
      </c>
      <c r="O605" t="n">
        <v>0</v>
      </c>
      <c r="P605" t="n">
        <v>0</v>
      </c>
      <c r="Q605" t="n">
        <v>0</v>
      </c>
      <c r="R605" s="2" t="inlineStr"/>
    </row>
    <row r="606" ht="15" customHeight="1">
      <c r="A606" t="inlineStr">
        <is>
          <t>A 44228-2022</t>
        </is>
      </c>
      <c r="B606" s="1" t="n">
        <v>44839.51599537037</v>
      </c>
      <c r="C606" s="1" t="n">
        <v>46110</v>
      </c>
      <c r="D606" t="inlineStr">
        <is>
          <t>GOTLANDS LÄN</t>
        </is>
      </c>
      <c r="E606" t="inlineStr">
        <is>
          <t>GOTLAND</t>
        </is>
      </c>
      <c r="G606" t="n">
        <v>2.1</v>
      </c>
      <c r="H606" t="n">
        <v>0</v>
      </c>
      <c r="I606" t="n">
        <v>0</v>
      </c>
      <c r="J606" t="n">
        <v>0</v>
      </c>
      <c r="K606" t="n">
        <v>0</v>
      </c>
      <c r="L606" t="n">
        <v>0</v>
      </c>
      <c r="M606" t="n">
        <v>0</v>
      </c>
      <c r="N606" t="n">
        <v>0</v>
      </c>
      <c r="O606" t="n">
        <v>0</v>
      </c>
      <c r="P606" t="n">
        <v>0</v>
      </c>
      <c r="Q606" t="n">
        <v>0</v>
      </c>
      <c r="R606" s="2" t="inlineStr"/>
    </row>
    <row r="607" ht="15" customHeight="1">
      <c r="A607" t="inlineStr">
        <is>
          <t>A 58132-2023</t>
        </is>
      </c>
      <c r="B607" s="1" t="n">
        <v>45250</v>
      </c>
      <c r="C607" s="1" t="n">
        <v>46110</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49884-2023</t>
        </is>
      </c>
      <c r="B608" s="1" t="n">
        <v>45213</v>
      </c>
      <c r="C608" s="1" t="n">
        <v>46110</v>
      </c>
      <c r="D608" t="inlineStr">
        <is>
          <t>GOTLANDS LÄN</t>
        </is>
      </c>
      <c r="E608" t="inlineStr">
        <is>
          <t>GOTLAND</t>
        </is>
      </c>
      <c r="G608" t="n">
        <v>8.9</v>
      </c>
      <c r="H608" t="n">
        <v>0</v>
      </c>
      <c r="I608" t="n">
        <v>0</v>
      </c>
      <c r="J608" t="n">
        <v>0</v>
      </c>
      <c r="K608" t="n">
        <v>0</v>
      </c>
      <c r="L608" t="n">
        <v>0</v>
      </c>
      <c r="M608" t="n">
        <v>0</v>
      </c>
      <c r="N608" t="n">
        <v>0</v>
      </c>
      <c r="O608" t="n">
        <v>0</v>
      </c>
      <c r="P608" t="n">
        <v>0</v>
      </c>
      <c r="Q608" t="n">
        <v>0</v>
      </c>
      <c r="R608" s="2" t="inlineStr"/>
    </row>
    <row r="609" ht="15" customHeight="1">
      <c r="A609" t="inlineStr">
        <is>
          <t>A 876-2024</t>
        </is>
      </c>
      <c r="B609" s="1" t="n">
        <v>45301</v>
      </c>
      <c r="C609" s="1" t="n">
        <v>46110</v>
      </c>
      <c r="D609" t="inlineStr">
        <is>
          <t>GOTLANDS LÄN</t>
        </is>
      </c>
      <c r="E609" t="inlineStr">
        <is>
          <t>GOTLAND</t>
        </is>
      </c>
      <c r="G609" t="n">
        <v>5.3</v>
      </c>
      <c r="H609" t="n">
        <v>0</v>
      </c>
      <c r="I609" t="n">
        <v>0</v>
      </c>
      <c r="J609" t="n">
        <v>0</v>
      </c>
      <c r="K609" t="n">
        <v>0</v>
      </c>
      <c r="L609" t="n">
        <v>0</v>
      </c>
      <c r="M609" t="n">
        <v>0</v>
      </c>
      <c r="N609" t="n">
        <v>0</v>
      </c>
      <c r="O609" t="n">
        <v>0</v>
      </c>
      <c r="P609" t="n">
        <v>0</v>
      </c>
      <c r="Q609" t="n">
        <v>0</v>
      </c>
      <c r="R609" s="2" t="inlineStr"/>
    </row>
    <row r="610" ht="15" customHeight="1">
      <c r="A610" t="inlineStr">
        <is>
          <t>A 22704-2023</t>
        </is>
      </c>
      <c r="B610" s="1" t="n">
        <v>45071</v>
      </c>
      <c r="C610" s="1" t="n">
        <v>46110</v>
      </c>
      <c r="D610" t="inlineStr">
        <is>
          <t>GOTLANDS LÄN</t>
        </is>
      </c>
      <c r="E610" t="inlineStr">
        <is>
          <t>GOTLAND</t>
        </is>
      </c>
      <c r="G610" t="n">
        <v>1.9</v>
      </c>
      <c r="H610" t="n">
        <v>0</v>
      </c>
      <c r="I610" t="n">
        <v>0</v>
      </c>
      <c r="J610" t="n">
        <v>0</v>
      </c>
      <c r="K610" t="n">
        <v>0</v>
      </c>
      <c r="L610" t="n">
        <v>0</v>
      </c>
      <c r="M610" t="n">
        <v>0</v>
      </c>
      <c r="N610" t="n">
        <v>0</v>
      </c>
      <c r="O610" t="n">
        <v>0</v>
      </c>
      <c r="P610" t="n">
        <v>0</v>
      </c>
      <c r="Q610" t="n">
        <v>0</v>
      </c>
      <c r="R610" s="2" t="inlineStr"/>
    </row>
    <row r="611" ht="15" customHeight="1">
      <c r="A611" t="inlineStr">
        <is>
          <t>A 28425-2023</t>
        </is>
      </c>
      <c r="B611" s="1" t="n">
        <v>45102</v>
      </c>
      <c r="C611" s="1" t="n">
        <v>46110</v>
      </c>
      <c r="D611" t="inlineStr">
        <is>
          <t>GOTLANDS LÄN</t>
        </is>
      </c>
      <c r="E611" t="inlineStr">
        <is>
          <t>GOTLAND</t>
        </is>
      </c>
      <c r="G611" t="n">
        <v>0.5</v>
      </c>
      <c r="H611" t="n">
        <v>0</v>
      </c>
      <c r="I611" t="n">
        <v>0</v>
      </c>
      <c r="J611" t="n">
        <v>0</v>
      </c>
      <c r="K611" t="n">
        <v>0</v>
      </c>
      <c r="L611" t="n">
        <v>0</v>
      </c>
      <c r="M611" t="n">
        <v>0</v>
      </c>
      <c r="N611" t="n">
        <v>0</v>
      </c>
      <c r="O611" t="n">
        <v>0</v>
      </c>
      <c r="P611" t="n">
        <v>0</v>
      </c>
      <c r="Q611" t="n">
        <v>0</v>
      </c>
      <c r="R611" s="2" t="inlineStr"/>
    </row>
    <row r="612" ht="15" customHeight="1">
      <c r="A612" t="inlineStr">
        <is>
          <t>A 58476-2022</t>
        </is>
      </c>
      <c r="B612" s="1" t="n">
        <v>44902</v>
      </c>
      <c r="C612" s="1" t="n">
        <v>46110</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43200-2023</t>
        </is>
      </c>
      <c r="B613" s="1" t="n">
        <v>45183</v>
      </c>
      <c r="C613" s="1" t="n">
        <v>46110</v>
      </c>
      <c r="D613" t="inlineStr">
        <is>
          <t>GOTLANDS LÄN</t>
        </is>
      </c>
      <c r="E613" t="inlineStr">
        <is>
          <t>GOTLAND</t>
        </is>
      </c>
      <c r="G613" t="n">
        <v>0.5</v>
      </c>
      <c r="H613" t="n">
        <v>0</v>
      </c>
      <c r="I613" t="n">
        <v>0</v>
      </c>
      <c r="J613" t="n">
        <v>0</v>
      </c>
      <c r="K613" t="n">
        <v>0</v>
      </c>
      <c r="L613" t="n">
        <v>0</v>
      </c>
      <c r="M613" t="n">
        <v>0</v>
      </c>
      <c r="N613" t="n">
        <v>0</v>
      </c>
      <c r="O613" t="n">
        <v>0</v>
      </c>
      <c r="P613" t="n">
        <v>0</v>
      </c>
      <c r="Q613" t="n">
        <v>0</v>
      </c>
      <c r="R613" s="2" t="inlineStr"/>
    </row>
    <row r="614" ht="15" customHeight="1">
      <c r="A614" t="inlineStr">
        <is>
          <t>A 43223-2023</t>
        </is>
      </c>
      <c r="B614" s="1" t="n">
        <v>45183.45642361111</v>
      </c>
      <c r="C614" s="1" t="n">
        <v>46110</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12327-2025</t>
        </is>
      </c>
      <c r="B615" s="1" t="n">
        <v>45730</v>
      </c>
      <c r="C615" s="1" t="n">
        <v>46110</v>
      </c>
      <c r="D615" t="inlineStr">
        <is>
          <t>GOTLANDS LÄN</t>
        </is>
      </c>
      <c r="E615" t="inlineStr">
        <is>
          <t>GOTLAND</t>
        </is>
      </c>
      <c r="G615" t="n">
        <v>1.8</v>
      </c>
      <c r="H615" t="n">
        <v>0</v>
      </c>
      <c r="I615" t="n">
        <v>0</v>
      </c>
      <c r="J615" t="n">
        <v>0</v>
      </c>
      <c r="K615" t="n">
        <v>0</v>
      </c>
      <c r="L615" t="n">
        <v>0</v>
      </c>
      <c r="M615" t="n">
        <v>0</v>
      </c>
      <c r="N615" t="n">
        <v>0</v>
      </c>
      <c r="O615" t="n">
        <v>0</v>
      </c>
      <c r="P615" t="n">
        <v>0</v>
      </c>
      <c r="Q615" t="n">
        <v>0</v>
      </c>
      <c r="R615" s="2" t="inlineStr"/>
    </row>
    <row r="616" ht="15" customHeight="1">
      <c r="A616" t="inlineStr">
        <is>
          <t>A 3431-2025</t>
        </is>
      </c>
      <c r="B616" s="1" t="n">
        <v>45680.42935185185</v>
      </c>
      <c r="C616" s="1" t="n">
        <v>46110</v>
      </c>
      <c r="D616" t="inlineStr">
        <is>
          <t>GOTLANDS LÄN</t>
        </is>
      </c>
      <c r="E616" t="inlineStr">
        <is>
          <t>GOTLAND</t>
        </is>
      </c>
      <c r="G616" t="n">
        <v>4.8</v>
      </c>
      <c r="H616" t="n">
        <v>0</v>
      </c>
      <c r="I616" t="n">
        <v>0</v>
      </c>
      <c r="J616" t="n">
        <v>0</v>
      </c>
      <c r="K616" t="n">
        <v>0</v>
      </c>
      <c r="L616" t="n">
        <v>0</v>
      </c>
      <c r="M616" t="n">
        <v>0</v>
      </c>
      <c r="N616" t="n">
        <v>0</v>
      </c>
      <c r="O616" t="n">
        <v>0</v>
      </c>
      <c r="P616" t="n">
        <v>0</v>
      </c>
      <c r="Q616" t="n">
        <v>0</v>
      </c>
      <c r="R616" s="2" t="inlineStr"/>
    </row>
    <row r="617" ht="15" customHeight="1">
      <c r="A617" t="inlineStr">
        <is>
          <t>A 12209-2024</t>
        </is>
      </c>
      <c r="B617" s="1" t="n">
        <v>45378</v>
      </c>
      <c r="C617" s="1" t="n">
        <v>46110</v>
      </c>
      <c r="D617" t="inlineStr">
        <is>
          <t>GOTLANDS LÄN</t>
        </is>
      </c>
      <c r="E617" t="inlineStr">
        <is>
          <t>GOTLAND</t>
        </is>
      </c>
      <c r="G617" t="n">
        <v>5.3</v>
      </c>
      <c r="H617" t="n">
        <v>0</v>
      </c>
      <c r="I617" t="n">
        <v>0</v>
      </c>
      <c r="J617" t="n">
        <v>0</v>
      </c>
      <c r="K617" t="n">
        <v>0</v>
      </c>
      <c r="L617" t="n">
        <v>0</v>
      </c>
      <c r="M617" t="n">
        <v>0</v>
      </c>
      <c r="N617" t="n">
        <v>0</v>
      </c>
      <c r="O617" t="n">
        <v>0</v>
      </c>
      <c r="P617" t="n">
        <v>0</v>
      </c>
      <c r="Q617" t="n">
        <v>0</v>
      </c>
      <c r="R617" s="2" t="inlineStr"/>
    </row>
    <row r="618" ht="15" customHeight="1">
      <c r="A618" t="inlineStr">
        <is>
          <t>A 12210-2024</t>
        </is>
      </c>
      <c r="B618" s="1" t="n">
        <v>45378</v>
      </c>
      <c r="C618" s="1" t="n">
        <v>46110</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1364-2025</t>
        </is>
      </c>
      <c r="B619" s="1" t="n">
        <v>45667.63929398148</v>
      </c>
      <c r="C619" s="1" t="n">
        <v>46110</v>
      </c>
      <c r="D619" t="inlineStr">
        <is>
          <t>GOTLANDS LÄN</t>
        </is>
      </c>
      <c r="E619" t="inlineStr">
        <is>
          <t>GOTLAND</t>
        </is>
      </c>
      <c r="G619" t="n">
        <v>1.2</v>
      </c>
      <c r="H619" t="n">
        <v>0</v>
      </c>
      <c r="I619" t="n">
        <v>0</v>
      </c>
      <c r="J619" t="n">
        <v>0</v>
      </c>
      <c r="K619" t="n">
        <v>0</v>
      </c>
      <c r="L619" t="n">
        <v>0</v>
      </c>
      <c r="M619" t="n">
        <v>0</v>
      </c>
      <c r="N619" t="n">
        <v>0</v>
      </c>
      <c r="O619" t="n">
        <v>0</v>
      </c>
      <c r="P619" t="n">
        <v>0</v>
      </c>
      <c r="Q619" t="n">
        <v>0</v>
      </c>
      <c r="R619" s="2" t="inlineStr"/>
    </row>
    <row r="620" ht="15" customHeight="1">
      <c r="A620" t="inlineStr">
        <is>
          <t>A 15042-2025</t>
        </is>
      </c>
      <c r="B620" s="1" t="n">
        <v>45743</v>
      </c>
      <c r="C620" s="1" t="n">
        <v>46110</v>
      </c>
      <c r="D620" t="inlineStr">
        <is>
          <t>GOTLANDS LÄN</t>
        </is>
      </c>
      <c r="E620" t="inlineStr">
        <is>
          <t>GOTLAND</t>
        </is>
      </c>
      <c r="G620" t="n">
        <v>8.5</v>
      </c>
      <c r="H620" t="n">
        <v>0</v>
      </c>
      <c r="I620" t="n">
        <v>0</v>
      </c>
      <c r="J620" t="n">
        <v>0</v>
      </c>
      <c r="K620" t="n">
        <v>0</v>
      </c>
      <c r="L620" t="n">
        <v>0</v>
      </c>
      <c r="M620" t="n">
        <v>0</v>
      </c>
      <c r="N620" t="n">
        <v>0</v>
      </c>
      <c r="O620" t="n">
        <v>0</v>
      </c>
      <c r="P620" t="n">
        <v>0</v>
      </c>
      <c r="Q620" t="n">
        <v>0</v>
      </c>
      <c r="R620" s="2" t="inlineStr"/>
    </row>
    <row r="621" ht="15" customHeight="1">
      <c r="A621" t="inlineStr">
        <is>
          <t>A 2180-2025</t>
        </is>
      </c>
      <c r="B621" s="1" t="n">
        <v>45673</v>
      </c>
      <c r="C621" s="1" t="n">
        <v>46110</v>
      </c>
      <c r="D621" t="inlineStr">
        <is>
          <t>GOTLANDS LÄN</t>
        </is>
      </c>
      <c r="E621" t="inlineStr">
        <is>
          <t>GOTLAND</t>
        </is>
      </c>
      <c r="G621" t="n">
        <v>0.7</v>
      </c>
      <c r="H621" t="n">
        <v>0</v>
      </c>
      <c r="I621" t="n">
        <v>0</v>
      </c>
      <c r="J621" t="n">
        <v>0</v>
      </c>
      <c r="K621" t="n">
        <v>0</v>
      </c>
      <c r="L621" t="n">
        <v>0</v>
      </c>
      <c r="M621" t="n">
        <v>0</v>
      </c>
      <c r="N621" t="n">
        <v>0</v>
      </c>
      <c r="O621" t="n">
        <v>0</v>
      </c>
      <c r="P621" t="n">
        <v>0</v>
      </c>
      <c r="Q621" t="n">
        <v>0</v>
      </c>
      <c r="R621" s="2" t="inlineStr"/>
    </row>
    <row r="622" ht="15" customHeight="1">
      <c r="A622" t="inlineStr">
        <is>
          <t>A 15436-2025</t>
        </is>
      </c>
      <c r="B622" s="1" t="n">
        <v>45747.47462962963</v>
      </c>
      <c r="C622" s="1" t="n">
        <v>46110</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49257-2024</t>
        </is>
      </c>
      <c r="B623" s="1" t="n">
        <v>45595.47627314815</v>
      </c>
      <c r="C623" s="1" t="n">
        <v>46110</v>
      </c>
      <c r="D623" t="inlineStr">
        <is>
          <t>GOTLANDS LÄN</t>
        </is>
      </c>
      <c r="E623" t="inlineStr">
        <is>
          <t>GOTLAND</t>
        </is>
      </c>
      <c r="G623" t="n">
        <v>6.3</v>
      </c>
      <c r="H623" t="n">
        <v>0</v>
      </c>
      <c r="I623" t="n">
        <v>0</v>
      </c>
      <c r="J623" t="n">
        <v>0</v>
      </c>
      <c r="K623" t="n">
        <v>0</v>
      </c>
      <c r="L623" t="n">
        <v>0</v>
      </c>
      <c r="M623" t="n">
        <v>0</v>
      </c>
      <c r="N623" t="n">
        <v>0</v>
      </c>
      <c r="O623" t="n">
        <v>0</v>
      </c>
      <c r="P623" t="n">
        <v>0</v>
      </c>
      <c r="Q623" t="n">
        <v>0</v>
      </c>
      <c r="R623" s="2" t="inlineStr"/>
    </row>
    <row r="624" ht="15" customHeight="1">
      <c r="A624" t="inlineStr">
        <is>
          <t>A 37202-2024</t>
        </is>
      </c>
      <c r="B624" s="1" t="n">
        <v>45539.67310185185</v>
      </c>
      <c r="C624" s="1" t="n">
        <v>46110</v>
      </c>
      <c r="D624" t="inlineStr">
        <is>
          <t>GOTLANDS LÄN</t>
        </is>
      </c>
      <c r="E624" t="inlineStr">
        <is>
          <t>GOTLAND</t>
        </is>
      </c>
      <c r="G624" t="n">
        <v>0.3</v>
      </c>
      <c r="H624" t="n">
        <v>0</v>
      </c>
      <c r="I624" t="n">
        <v>0</v>
      </c>
      <c r="J624" t="n">
        <v>0</v>
      </c>
      <c r="K624" t="n">
        <v>0</v>
      </c>
      <c r="L624" t="n">
        <v>0</v>
      </c>
      <c r="M624" t="n">
        <v>0</v>
      </c>
      <c r="N624" t="n">
        <v>0</v>
      </c>
      <c r="O624" t="n">
        <v>0</v>
      </c>
      <c r="P624" t="n">
        <v>0</v>
      </c>
      <c r="Q624" t="n">
        <v>0</v>
      </c>
      <c r="R624" s="2" t="inlineStr"/>
    </row>
    <row r="625" ht="15" customHeight="1">
      <c r="A625" t="inlineStr">
        <is>
          <t>A 56115-2023</t>
        </is>
      </c>
      <c r="B625" s="1" t="n">
        <v>45236</v>
      </c>
      <c r="C625" s="1" t="n">
        <v>46110</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2774-2024</t>
        </is>
      </c>
      <c r="B626" s="1" t="n">
        <v>45314.62375</v>
      </c>
      <c r="C626" s="1" t="n">
        <v>46110</v>
      </c>
      <c r="D626" t="inlineStr">
        <is>
          <t>GOTLANDS LÄN</t>
        </is>
      </c>
      <c r="E626" t="inlineStr">
        <is>
          <t>GOTLAND</t>
        </is>
      </c>
      <c r="G626" t="n">
        <v>1</v>
      </c>
      <c r="H626" t="n">
        <v>0</v>
      </c>
      <c r="I626" t="n">
        <v>0</v>
      </c>
      <c r="J626" t="n">
        <v>0</v>
      </c>
      <c r="K626" t="n">
        <v>0</v>
      </c>
      <c r="L626" t="n">
        <v>0</v>
      </c>
      <c r="M626" t="n">
        <v>0</v>
      </c>
      <c r="N626" t="n">
        <v>0</v>
      </c>
      <c r="O626" t="n">
        <v>0</v>
      </c>
      <c r="P626" t="n">
        <v>0</v>
      </c>
      <c r="Q626" t="n">
        <v>0</v>
      </c>
      <c r="R626" s="2" t="inlineStr"/>
    </row>
    <row r="627" ht="15" customHeight="1">
      <c r="A627" t="inlineStr">
        <is>
          <t>A 60709-2023</t>
        </is>
      </c>
      <c r="B627" s="1" t="n">
        <v>45260</v>
      </c>
      <c r="C627" s="1" t="n">
        <v>46110</v>
      </c>
      <c r="D627" t="inlineStr">
        <is>
          <t>GOTLANDS LÄN</t>
        </is>
      </c>
      <c r="E627" t="inlineStr">
        <is>
          <t>GOTLAND</t>
        </is>
      </c>
      <c r="G627" t="n">
        <v>1.7</v>
      </c>
      <c r="H627" t="n">
        <v>0</v>
      </c>
      <c r="I627" t="n">
        <v>0</v>
      </c>
      <c r="J627" t="n">
        <v>0</v>
      </c>
      <c r="K627" t="n">
        <v>0</v>
      </c>
      <c r="L627" t="n">
        <v>0</v>
      </c>
      <c r="M627" t="n">
        <v>0</v>
      </c>
      <c r="N627" t="n">
        <v>0</v>
      </c>
      <c r="O627" t="n">
        <v>0</v>
      </c>
      <c r="P627" t="n">
        <v>0</v>
      </c>
      <c r="Q627" t="n">
        <v>0</v>
      </c>
      <c r="R627" s="2" t="inlineStr"/>
    </row>
    <row r="628" ht="15" customHeight="1">
      <c r="A628" t="inlineStr">
        <is>
          <t>A 64208-2021</t>
        </is>
      </c>
      <c r="B628" s="1" t="n">
        <v>44510</v>
      </c>
      <c r="C628" s="1" t="n">
        <v>46110</v>
      </c>
      <c r="D628" t="inlineStr">
        <is>
          <t>GOTLANDS LÄN</t>
        </is>
      </c>
      <c r="E628" t="inlineStr">
        <is>
          <t>GOTLAND</t>
        </is>
      </c>
      <c r="G628" t="n">
        <v>4.7</v>
      </c>
      <c r="H628" t="n">
        <v>0</v>
      </c>
      <c r="I628" t="n">
        <v>0</v>
      </c>
      <c r="J628" t="n">
        <v>0</v>
      </c>
      <c r="K628" t="n">
        <v>0</v>
      </c>
      <c r="L628" t="n">
        <v>0</v>
      </c>
      <c r="M628" t="n">
        <v>0</v>
      </c>
      <c r="N628" t="n">
        <v>0</v>
      </c>
      <c r="O628" t="n">
        <v>0</v>
      </c>
      <c r="P628" t="n">
        <v>0</v>
      </c>
      <c r="Q628" t="n">
        <v>0</v>
      </c>
      <c r="R628" s="2" t="inlineStr"/>
    </row>
    <row r="629" ht="15" customHeight="1">
      <c r="A629" t="inlineStr">
        <is>
          <t>A 39764-2022</t>
        </is>
      </c>
      <c r="B629" s="1" t="n">
        <v>44819</v>
      </c>
      <c r="C629" s="1" t="n">
        <v>46110</v>
      </c>
      <c r="D629" t="inlineStr">
        <is>
          <t>GOTLANDS LÄN</t>
        </is>
      </c>
      <c r="E629" t="inlineStr">
        <is>
          <t>GOTLAND</t>
        </is>
      </c>
      <c r="F629" t="inlineStr">
        <is>
          <t>Kyrkan</t>
        </is>
      </c>
      <c r="G629" t="n">
        <v>3.7</v>
      </c>
      <c r="H629" t="n">
        <v>0</v>
      </c>
      <c r="I629" t="n">
        <v>0</v>
      </c>
      <c r="J629" t="n">
        <v>0</v>
      </c>
      <c r="K629" t="n">
        <v>0</v>
      </c>
      <c r="L629" t="n">
        <v>0</v>
      </c>
      <c r="M629" t="n">
        <v>0</v>
      </c>
      <c r="N629" t="n">
        <v>0</v>
      </c>
      <c r="O629" t="n">
        <v>0</v>
      </c>
      <c r="P629" t="n">
        <v>0</v>
      </c>
      <c r="Q629" t="n">
        <v>0</v>
      </c>
      <c r="R629" s="2" t="inlineStr"/>
    </row>
    <row r="630" ht="15" customHeight="1">
      <c r="A630" t="inlineStr">
        <is>
          <t>A 58211-2024</t>
        </is>
      </c>
      <c r="B630" s="1" t="n">
        <v>45632.49292824074</v>
      </c>
      <c r="C630" s="1" t="n">
        <v>46110</v>
      </c>
      <c r="D630" t="inlineStr">
        <is>
          <t>GOTLANDS LÄN</t>
        </is>
      </c>
      <c r="E630" t="inlineStr">
        <is>
          <t>GOTLAND</t>
        </is>
      </c>
      <c r="G630" t="n">
        <v>5.4</v>
      </c>
      <c r="H630" t="n">
        <v>0</v>
      </c>
      <c r="I630" t="n">
        <v>0</v>
      </c>
      <c r="J630" t="n">
        <v>0</v>
      </c>
      <c r="K630" t="n">
        <v>0</v>
      </c>
      <c r="L630" t="n">
        <v>0</v>
      </c>
      <c r="M630" t="n">
        <v>0</v>
      </c>
      <c r="N630" t="n">
        <v>0</v>
      </c>
      <c r="O630" t="n">
        <v>0</v>
      </c>
      <c r="P630" t="n">
        <v>0</v>
      </c>
      <c r="Q630" t="n">
        <v>0</v>
      </c>
      <c r="R630" s="2" t="inlineStr"/>
    </row>
    <row r="631" ht="15" customHeight="1">
      <c r="A631" t="inlineStr">
        <is>
          <t>A 30956-2024</t>
        </is>
      </c>
      <c r="B631" s="1" t="n">
        <v>45499.42527777778</v>
      </c>
      <c r="C631" s="1" t="n">
        <v>46110</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30892-2024</t>
        </is>
      </c>
      <c r="B632" s="1" t="n">
        <v>45491</v>
      </c>
      <c r="C632" s="1" t="n">
        <v>46110</v>
      </c>
      <c r="D632" t="inlineStr">
        <is>
          <t>GOTLANDS LÄN</t>
        </is>
      </c>
      <c r="E632" t="inlineStr">
        <is>
          <t>GOTLAND</t>
        </is>
      </c>
      <c r="G632" t="n">
        <v>6.1</v>
      </c>
      <c r="H632" t="n">
        <v>0</v>
      </c>
      <c r="I632" t="n">
        <v>0</v>
      </c>
      <c r="J632" t="n">
        <v>0</v>
      </c>
      <c r="K632" t="n">
        <v>0</v>
      </c>
      <c r="L632" t="n">
        <v>0</v>
      </c>
      <c r="M632" t="n">
        <v>0</v>
      </c>
      <c r="N632" t="n">
        <v>0</v>
      </c>
      <c r="O632" t="n">
        <v>0</v>
      </c>
      <c r="P632" t="n">
        <v>0</v>
      </c>
      <c r="Q632" t="n">
        <v>0</v>
      </c>
      <c r="R632" s="2" t="inlineStr"/>
    </row>
    <row r="633" ht="15" customHeight="1">
      <c r="A633" t="inlineStr">
        <is>
          <t>A 14635-2023</t>
        </is>
      </c>
      <c r="B633" s="1" t="n">
        <v>45013.69365740741</v>
      </c>
      <c r="C633" s="1" t="n">
        <v>46110</v>
      </c>
      <c r="D633" t="inlineStr">
        <is>
          <t>GOTLANDS LÄN</t>
        </is>
      </c>
      <c r="E633" t="inlineStr">
        <is>
          <t>GOTLAND</t>
        </is>
      </c>
      <c r="G633" t="n">
        <v>3.1</v>
      </c>
      <c r="H633" t="n">
        <v>0</v>
      </c>
      <c r="I633" t="n">
        <v>0</v>
      </c>
      <c r="J633" t="n">
        <v>0</v>
      </c>
      <c r="K633" t="n">
        <v>0</v>
      </c>
      <c r="L633" t="n">
        <v>0</v>
      </c>
      <c r="M633" t="n">
        <v>0</v>
      </c>
      <c r="N633" t="n">
        <v>0</v>
      </c>
      <c r="O633" t="n">
        <v>0</v>
      </c>
      <c r="P633" t="n">
        <v>0</v>
      </c>
      <c r="Q633" t="n">
        <v>0</v>
      </c>
      <c r="R633" s="2" t="inlineStr"/>
    </row>
    <row r="634" ht="15" customHeight="1">
      <c r="A634" t="inlineStr">
        <is>
          <t>A 59469-2024</t>
        </is>
      </c>
      <c r="B634" s="1" t="n">
        <v>45638</v>
      </c>
      <c r="C634" s="1" t="n">
        <v>46110</v>
      </c>
      <c r="D634" t="inlineStr">
        <is>
          <t>GOTLANDS LÄN</t>
        </is>
      </c>
      <c r="E634" t="inlineStr">
        <is>
          <t>GOTLAND</t>
        </is>
      </c>
      <c r="G634" t="n">
        <v>0.4</v>
      </c>
      <c r="H634" t="n">
        <v>0</v>
      </c>
      <c r="I634" t="n">
        <v>0</v>
      </c>
      <c r="J634" t="n">
        <v>0</v>
      </c>
      <c r="K634" t="n">
        <v>0</v>
      </c>
      <c r="L634" t="n">
        <v>0</v>
      </c>
      <c r="M634" t="n">
        <v>0</v>
      </c>
      <c r="N634" t="n">
        <v>0</v>
      </c>
      <c r="O634" t="n">
        <v>0</v>
      </c>
      <c r="P634" t="n">
        <v>0</v>
      </c>
      <c r="Q634" t="n">
        <v>0</v>
      </c>
      <c r="R634" s="2" t="inlineStr"/>
    </row>
    <row r="635" ht="15" customHeight="1">
      <c r="A635" t="inlineStr">
        <is>
          <t>A 7858-2025</t>
        </is>
      </c>
      <c r="B635" s="1" t="n">
        <v>45706.68633101852</v>
      </c>
      <c r="C635" s="1" t="n">
        <v>46110</v>
      </c>
      <c r="D635" t="inlineStr">
        <is>
          <t>GOTLANDS LÄN</t>
        </is>
      </c>
      <c r="E635" t="inlineStr">
        <is>
          <t>GOTLAND</t>
        </is>
      </c>
      <c r="G635" t="n">
        <v>3</v>
      </c>
      <c r="H635" t="n">
        <v>0</v>
      </c>
      <c r="I635" t="n">
        <v>0</v>
      </c>
      <c r="J635" t="n">
        <v>0</v>
      </c>
      <c r="K635" t="n">
        <v>0</v>
      </c>
      <c r="L635" t="n">
        <v>0</v>
      </c>
      <c r="M635" t="n">
        <v>0</v>
      </c>
      <c r="N635" t="n">
        <v>0</v>
      </c>
      <c r="O635" t="n">
        <v>0</v>
      </c>
      <c r="P635" t="n">
        <v>0</v>
      </c>
      <c r="Q635" t="n">
        <v>0</v>
      </c>
      <c r="R635" s="2" t="inlineStr"/>
    </row>
    <row r="636" ht="15" customHeight="1">
      <c r="A636" t="inlineStr">
        <is>
          <t>A 53935-2024</t>
        </is>
      </c>
      <c r="B636" s="1" t="n">
        <v>45615</v>
      </c>
      <c r="C636" s="1" t="n">
        <v>46110</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18223-2025</t>
        </is>
      </c>
      <c r="B637" s="1" t="n">
        <v>45761</v>
      </c>
      <c r="C637" s="1" t="n">
        <v>46110</v>
      </c>
      <c r="D637" t="inlineStr">
        <is>
          <t>GOTLANDS LÄN</t>
        </is>
      </c>
      <c r="E637" t="inlineStr">
        <is>
          <t>GOTLAND</t>
        </is>
      </c>
      <c r="G637" t="n">
        <v>0.7</v>
      </c>
      <c r="H637" t="n">
        <v>0</v>
      </c>
      <c r="I637" t="n">
        <v>0</v>
      </c>
      <c r="J637" t="n">
        <v>0</v>
      </c>
      <c r="K637" t="n">
        <v>0</v>
      </c>
      <c r="L637" t="n">
        <v>0</v>
      </c>
      <c r="M637" t="n">
        <v>0</v>
      </c>
      <c r="N637" t="n">
        <v>0</v>
      </c>
      <c r="O637" t="n">
        <v>0</v>
      </c>
      <c r="P637" t="n">
        <v>0</v>
      </c>
      <c r="Q637" t="n">
        <v>0</v>
      </c>
      <c r="R637" s="2" t="inlineStr"/>
    </row>
    <row r="638" ht="15" customHeight="1">
      <c r="A638" t="inlineStr">
        <is>
          <t>A 4420-2025</t>
        </is>
      </c>
      <c r="B638" s="1" t="n">
        <v>45686.47157407407</v>
      </c>
      <c r="C638" s="1" t="n">
        <v>46110</v>
      </c>
      <c r="D638" t="inlineStr">
        <is>
          <t>GOTLANDS LÄN</t>
        </is>
      </c>
      <c r="E638" t="inlineStr">
        <is>
          <t>GOTLAND</t>
        </is>
      </c>
      <c r="G638" t="n">
        <v>1.6</v>
      </c>
      <c r="H638" t="n">
        <v>0</v>
      </c>
      <c r="I638" t="n">
        <v>0</v>
      </c>
      <c r="J638" t="n">
        <v>0</v>
      </c>
      <c r="K638" t="n">
        <v>0</v>
      </c>
      <c r="L638" t="n">
        <v>0</v>
      </c>
      <c r="M638" t="n">
        <v>0</v>
      </c>
      <c r="N638" t="n">
        <v>0</v>
      </c>
      <c r="O638" t="n">
        <v>0</v>
      </c>
      <c r="P638" t="n">
        <v>0</v>
      </c>
      <c r="Q638" t="n">
        <v>0</v>
      </c>
      <c r="R638" s="2" t="inlineStr"/>
    </row>
    <row r="639" ht="15" customHeight="1">
      <c r="A639" t="inlineStr">
        <is>
          <t>A 5891-2025</t>
        </is>
      </c>
      <c r="B639" s="1" t="n">
        <v>45695.38327546296</v>
      </c>
      <c r="C639" s="1" t="n">
        <v>46110</v>
      </c>
      <c r="D639" t="inlineStr">
        <is>
          <t>GOTLANDS LÄN</t>
        </is>
      </c>
      <c r="E639" t="inlineStr">
        <is>
          <t>GOTLAND</t>
        </is>
      </c>
      <c r="G639" t="n">
        <v>0.8</v>
      </c>
      <c r="H639" t="n">
        <v>0</v>
      </c>
      <c r="I639" t="n">
        <v>0</v>
      </c>
      <c r="J639" t="n">
        <v>0</v>
      </c>
      <c r="K639" t="n">
        <v>0</v>
      </c>
      <c r="L639" t="n">
        <v>0</v>
      </c>
      <c r="M639" t="n">
        <v>0</v>
      </c>
      <c r="N639" t="n">
        <v>0</v>
      </c>
      <c r="O639" t="n">
        <v>0</v>
      </c>
      <c r="P639" t="n">
        <v>0</v>
      </c>
      <c r="Q639" t="n">
        <v>0</v>
      </c>
      <c r="R639" s="2" t="inlineStr"/>
    </row>
    <row r="640" ht="15" customHeight="1">
      <c r="A640" t="inlineStr">
        <is>
          <t>A 7835-2024</t>
        </is>
      </c>
      <c r="B640" s="1" t="n">
        <v>45349.83138888889</v>
      </c>
      <c r="C640" s="1" t="n">
        <v>46110</v>
      </c>
      <c r="D640" t="inlineStr">
        <is>
          <t>GOTLANDS LÄN</t>
        </is>
      </c>
      <c r="E640" t="inlineStr">
        <is>
          <t>GOTLAND</t>
        </is>
      </c>
      <c r="G640" t="n">
        <v>3.8</v>
      </c>
      <c r="H640" t="n">
        <v>0</v>
      </c>
      <c r="I640" t="n">
        <v>0</v>
      </c>
      <c r="J640" t="n">
        <v>0</v>
      </c>
      <c r="K640" t="n">
        <v>0</v>
      </c>
      <c r="L640" t="n">
        <v>0</v>
      </c>
      <c r="M640" t="n">
        <v>0</v>
      </c>
      <c r="N640" t="n">
        <v>0</v>
      </c>
      <c r="O640" t="n">
        <v>0</v>
      </c>
      <c r="P640" t="n">
        <v>0</v>
      </c>
      <c r="Q640" t="n">
        <v>0</v>
      </c>
      <c r="R640" s="2" t="inlineStr"/>
    </row>
    <row r="641" ht="15" customHeight="1">
      <c r="A641" t="inlineStr">
        <is>
          <t>A 20794-2025</t>
        </is>
      </c>
      <c r="B641" s="1" t="n">
        <v>45776</v>
      </c>
      <c r="C641" s="1" t="n">
        <v>46110</v>
      </c>
      <c r="D641" t="inlineStr">
        <is>
          <t>GOTLANDS LÄN</t>
        </is>
      </c>
      <c r="E641" t="inlineStr">
        <is>
          <t>GOTLAND</t>
        </is>
      </c>
      <c r="G641" t="n">
        <v>6</v>
      </c>
      <c r="H641" t="n">
        <v>0</v>
      </c>
      <c r="I641" t="n">
        <v>0</v>
      </c>
      <c r="J641" t="n">
        <v>0</v>
      </c>
      <c r="K641" t="n">
        <v>0</v>
      </c>
      <c r="L641" t="n">
        <v>0</v>
      </c>
      <c r="M641" t="n">
        <v>0</v>
      </c>
      <c r="N641" t="n">
        <v>0</v>
      </c>
      <c r="O641" t="n">
        <v>0</v>
      </c>
      <c r="P641" t="n">
        <v>0</v>
      </c>
      <c r="Q641" t="n">
        <v>0</v>
      </c>
      <c r="R641" s="2" t="inlineStr"/>
    </row>
    <row r="642" ht="15" customHeight="1">
      <c r="A642" t="inlineStr">
        <is>
          <t>A 20805-2025</t>
        </is>
      </c>
      <c r="B642" s="1" t="n">
        <v>45776</v>
      </c>
      <c r="C642" s="1" t="n">
        <v>46110</v>
      </c>
      <c r="D642" t="inlineStr">
        <is>
          <t>GOTLANDS LÄN</t>
        </is>
      </c>
      <c r="E642" t="inlineStr">
        <is>
          <t>GOTLAND</t>
        </is>
      </c>
      <c r="G642" t="n">
        <v>3.1</v>
      </c>
      <c r="H642" t="n">
        <v>0</v>
      </c>
      <c r="I642" t="n">
        <v>0</v>
      </c>
      <c r="J642" t="n">
        <v>0</v>
      </c>
      <c r="K642" t="n">
        <v>0</v>
      </c>
      <c r="L642" t="n">
        <v>0</v>
      </c>
      <c r="M642" t="n">
        <v>0</v>
      </c>
      <c r="N642" t="n">
        <v>0</v>
      </c>
      <c r="O642" t="n">
        <v>0</v>
      </c>
      <c r="P642" t="n">
        <v>0</v>
      </c>
      <c r="Q642" t="n">
        <v>0</v>
      </c>
      <c r="R642" s="2" t="inlineStr"/>
    </row>
    <row r="643" ht="15" customHeight="1">
      <c r="A643" t="inlineStr">
        <is>
          <t>A 21389-2025</t>
        </is>
      </c>
      <c r="B643" s="1" t="n">
        <v>45782</v>
      </c>
      <c r="C643" s="1" t="n">
        <v>46110</v>
      </c>
      <c r="D643" t="inlineStr">
        <is>
          <t>GOTLANDS LÄN</t>
        </is>
      </c>
      <c r="E643" t="inlineStr">
        <is>
          <t>GOTLAND</t>
        </is>
      </c>
      <c r="G643" t="n">
        <v>4.1</v>
      </c>
      <c r="H643" t="n">
        <v>0</v>
      </c>
      <c r="I643" t="n">
        <v>0</v>
      </c>
      <c r="J643" t="n">
        <v>0</v>
      </c>
      <c r="K643" t="n">
        <v>0</v>
      </c>
      <c r="L643" t="n">
        <v>0</v>
      </c>
      <c r="M643" t="n">
        <v>0</v>
      </c>
      <c r="N643" t="n">
        <v>0</v>
      </c>
      <c r="O643" t="n">
        <v>0</v>
      </c>
      <c r="P643" t="n">
        <v>0</v>
      </c>
      <c r="Q643" t="n">
        <v>0</v>
      </c>
      <c r="R643" s="2" t="inlineStr"/>
    </row>
    <row r="644">
      <c r="A644" t="inlineStr">
        <is>
          <t>A 21651-2025</t>
        </is>
      </c>
      <c r="B644" s="1" t="n">
        <v>45783</v>
      </c>
      <c r="C644" s="1" t="n">
        <v>46110</v>
      </c>
      <c r="D644" t="inlineStr">
        <is>
          <t>GOTLANDS LÄN</t>
        </is>
      </c>
      <c r="E644" t="inlineStr">
        <is>
          <t>GOTLAND</t>
        </is>
      </c>
      <c r="G644" t="n">
        <v>4.2</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2026-03-29T11:43:20Z</dcterms:created>
  <dcterms:modified xmlns:dcterms="http://purl.org/dc/terms/" xmlns:xsi="http://www.w3.org/2001/XMLSchema-instance" xsi:type="dcterms:W3CDTF">2026-03-29T11:43:20Z</dcterms:modified>
</cp:coreProperties>
</file>