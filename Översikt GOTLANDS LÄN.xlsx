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46161</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46161</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46161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46161</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46161</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46161</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46161</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46161</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46161</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62551-2022</t>
        </is>
      </c>
      <c r="B19" s="1" t="n">
        <v>44924</v>
      </c>
      <c r="C19" s="1" t="n">
        <v>46161</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46161</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46161</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46161</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46161</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46161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46161</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46161</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46161</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46161</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46161</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46161</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44928-2022</t>
        </is>
      </c>
      <c r="B31" s="1" t="n">
        <v>44841</v>
      </c>
      <c r="C31" s="1" t="n">
        <v>46161</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46161</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46161</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46161</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46161</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46161</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46161</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46161</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46161</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46161</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46161</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46161</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52223-2025</t>
        </is>
      </c>
      <c r="B43" s="1" t="n">
        <v>45953.44509259259</v>
      </c>
      <c r="C43" s="1" t="n">
        <v>46161</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46161</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10274-2026</t>
        </is>
      </c>
      <c r="B45" s="1" t="n">
        <v>46076.58261574074</v>
      </c>
      <c r="C45" s="1" t="n">
        <v>46161</v>
      </c>
      <c r="D45" t="inlineStr">
        <is>
          <t>GOTLANDS LÄN</t>
        </is>
      </c>
      <c r="E45" t="inlineStr">
        <is>
          <t>GOTLAND</t>
        </is>
      </c>
      <c r="G45" t="n">
        <v>9.800000000000001</v>
      </c>
      <c r="H45" t="n">
        <v>4</v>
      </c>
      <c r="I45" t="n">
        <v>3</v>
      </c>
      <c r="J45" t="n">
        <v>4</v>
      </c>
      <c r="K45" t="n">
        <v>1</v>
      </c>
      <c r="L45" t="n">
        <v>0</v>
      </c>
      <c r="M45" t="n">
        <v>0</v>
      </c>
      <c r="N45" t="n">
        <v>0</v>
      </c>
      <c r="O45" t="n">
        <v>5</v>
      </c>
      <c r="P45" t="n">
        <v>1</v>
      </c>
      <c r="Q45" t="n">
        <v>11</v>
      </c>
      <c r="R45" s="2" t="inlineStr">
        <is>
          <t>Gråfingerört
Backstarr
Backtimjan
Reliktbock
Spillkråka
Axag
Grönpyrola
Kragjordstjärna
Alvarstånds
Nattviol
Sankt pers nycklar</t>
        </is>
      </c>
      <c r="S45">
        <f>HYPERLINK("https://klasma.github.io/Logging_0980/artfynd/A 10274-2026 artfynd.xlsx", "A 10274-2026")</f>
        <v/>
      </c>
      <c r="T45">
        <f>HYPERLINK("https://klasma.github.io/Logging_0980/kartor/A 10274-2026 karta.png", "A 10274-2026")</f>
        <v/>
      </c>
      <c r="V45">
        <f>HYPERLINK("https://klasma.github.io/Logging_0980/klagomål/A 10274-2026 FSC-klagomål.docx", "A 10274-2026")</f>
        <v/>
      </c>
      <c r="W45">
        <f>HYPERLINK("https://klasma.github.io/Logging_0980/klagomålsmail/A 10274-2026 FSC-klagomål mail.docx", "A 10274-2026")</f>
        <v/>
      </c>
      <c r="X45">
        <f>HYPERLINK("https://klasma.github.io/Logging_0980/tillsyn/A 10274-2026 tillsynsbegäran.docx", "A 10274-2026")</f>
        <v/>
      </c>
      <c r="Y45">
        <f>HYPERLINK("https://klasma.github.io/Logging_0980/tillsynsmail/A 10274-2026 tillsynsbegäran mail.docx", "A 10274-2026")</f>
        <v/>
      </c>
      <c r="Z45">
        <f>HYPERLINK("https://klasma.github.io/Logging_0980/fåglar/A 10274-2026 prioriterade fågelarter.docx", "A 10274-2026")</f>
        <v/>
      </c>
    </row>
    <row r="46" ht="15" customHeight="1">
      <c r="A46" t="inlineStr">
        <is>
          <t>A 584-2023</t>
        </is>
      </c>
      <c r="B46" s="1" t="n">
        <v>44930</v>
      </c>
      <c r="C46" s="1" t="n">
        <v>46161</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22404-2024</t>
        </is>
      </c>
      <c r="B47" s="1" t="n">
        <v>45446</v>
      </c>
      <c r="C47" s="1" t="n">
        <v>46161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17766-2024</t>
        </is>
      </c>
      <c r="B48" s="1" t="n">
        <v>45418</v>
      </c>
      <c r="C48" s="1" t="n">
        <v>46161</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46161</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46161</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46161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46161</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14354-2024</t>
        </is>
      </c>
      <c r="B53" s="1" t="n">
        <v>45393</v>
      </c>
      <c r="C53" s="1" t="n">
        <v>46161</v>
      </c>
      <c r="D53" t="inlineStr">
        <is>
          <t>GOTLANDS LÄN</t>
        </is>
      </c>
      <c r="E53" t="inlineStr">
        <is>
          <t>GOTLAND</t>
        </is>
      </c>
      <c r="G53" t="n">
        <v>2.4</v>
      </c>
      <c r="H53" t="n">
        <v>6</v>
      </c>
      <c r="I53" t="n">
        <v>4</v>
      </c>
      <c r="J53" t="n">
        <v>4</v>
      </c>
      <c r="K53" t="n">
        <v>0</v>
      </c>
      <c r="L53" t="n">
        <v>0</v>
      </c>
      <c r="M53" t="n">
        <v>0</v>
      </c>
      <c r="N53" t="n">
        <v>0</v>
      </c>
      <c r="O53" t="n">
        <v>4</v>
      </c>
      <c r="P53" t="n">
        <v>0</v>
      </c>
      <c r="Q53" t="n">
        <v>10</v>
      </c>
      <c r="R53" s="2" t="inlineStr">
        <is>
          <t>Dårgräsfjäril
Smedbock
Svinrot
Ängsskära
Blåmossa
Nästrot
Skogsknipprot
Tvåblad
Fläcknycklar
Nattviol</t>
        </is>
      </c>
      <c r="S53">
        <f>HYPERLINK("https://klasma.github.io/Logging_0980/artfynd/A 14354-2024 artfynd.xlsx", "A 14354-2024")</f>
        <v/>
      </c>
      <c r="T53">
        <f>HYPERLINK("https://klasma.github.io/Logging_0980/kartor/A 14354-2024 karta.png", "A 14354-2024")</f>
        <v/>
      </c>
      <c r="V53">
        <f>HYPERLINK("https://klasma.github.io/Logging_0980/klagomål/A 14354-2024 FSC-klagomål.docx", "A 14354-2024")</f>
        <v/>
      </c>
      <c r="W53">
        <f>HYPERLINK("https://klasma.github.io/Logging_0980/klagomålsmail/A 14354-2024 FSC-klagomål mail.docx", "A 14354-2024")</f>
        <v/>
      </c>
      <c r="X53">
        <f>HYPERLINK("https://klasma.github.io/Logging_0980/tillsyn/A 14354-2024 tillsynsbegäran.docx", "A 14354-2024")</f>
        <v/>
      </c>
      <c r="Y53">
        <f>HYPERLINK("https://klasma.github.io/Logging_0980/tillsynsmail/A 14354-2024 tillsynsbegäran mail.docx", "A 14354-2024")</f>
        <v/>
      </c>
    </row>
    <row r="54" ht="15" customHeight="1">
      <c r="A54" t="inlineStr">
        <is>
          <t>A 59132-2024</t>
        </is>
      </c>
      <c r="B54" s="1" t="n">
        <v>45637</v>
      </c>
      <c r="C54" s="1" t="n">
        <v>46161</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46161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2649-2023</t>
        </is>
      </c>
      <c r="B56" s="1" t="n">
        <v>44943</v>
      </c>
      <c r="C56" s="1" t="n">
        <v>46161</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46161</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7039-2023</t>
        </is>
      </c>
      <c r="B58" s="1" t="n">
        <v>44968</v>
      </c>
      <c r="C58" s="1" t="n">
        <v>46161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46161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46161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46161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46161</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46161</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46161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46161</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46161</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46161</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25205-2021</t>
        </is>
      </c>
      <c r="B68" s="1" t="n">
        <v>44342</v>
      </c>
      <c r="C68" s="1" t="n">
        <v>46161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46161</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53584-2025</t>
        </is>
      </c>
      <c r="B70" s="1" t="n">
        <v>45960.43130787037</v>
      </c>
      <c r="C70" s="1" t="n">
        <v>46161</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446-2023</t>
        </is>
      </c>
      <c r="B71" s="1" t="n">
        <v>44929</v>
      </c>
      <c r="C71" s="1" t="n">
        <v>46161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16823-2024</t>
        </is>
      </c>
      <c r="B72" s="1" t="n">
        <v>45411</v>
      </c>
      <c r="C72" s="1" t="n">
        <v>46161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46161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46161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46161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46161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46161</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46161</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32326-2024</t>
        </is>
      </c>
      <c r="B79" s="1" t="n">
        <v>45512</v>
      </c>
      <c r="C79" s="1" t="n">
        <v>46161</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35293-2025</t>
        </is>
      </c>
      <c r="B80" s="1" t="n">
        <v>45854.39438657407</v>
      </c>
      <c r="C80" s="1" t="n">
        <v>46161</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52245-2025</t>
        </is>
      </c>
      <c r="B81" s="1" t="n">
        <v>45953.47115740741</v>
      </c>
      <c r="C81" s="1" t="n">
        <v>46161</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39425-2023</t>
        </is>
      </c>
      <c r="B82" s="1" t="n">
        <v>45166</v>
      </c>
      <c r="C82" s="1" t="n">
        <v>46161</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46161</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6839-2026</t>
        </is>
      </c>
      <c r="B84" s="1" t="n">
        <v>46057.41193287037</v>
      </c>
      <c r="C84" s="1" t="n">
        <v>46161</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42936-2024</t>
        </is>
      </c>
      <c r="B85" s="1" t="n">
        <v>45567</v>
      </c>
      <c r="C85" s="1" t="n">
        <v>46161</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46161</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46161</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46161</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40099-2025</t>
        </is>
      </c>
      <c r="B89" s="1" t="n">
        <v>45894.48462962963</v>
      </c>
      <c r="C89" s="1" t="n">
        <v>46161</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46161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20833-2024</t>
        </is>
      </c>
      <c r="B91" s="1" t="n">
        <v>45439</v>
      </c>
      <c r="C91" s="1" t="n">
        <v>46161</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46161</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46161</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46161</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54523-2023</t>
        </is>
      </c>
      <c r="B95" s="1" t="n">
        <v>45233</v>
      </c>
      <c r="C95" s="1" t="n">
        <v>46161</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52250-2025</t>
        </is>
      </c>
      <c r="B96" s="1" t="n">
        <v>45953.48998842593</v>
      </c>
      <c r="C96" s="1" t="n">
        <v>46161</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1971-2023</t>
        </is>
      </c>
      <c r="B97" s="1" t="n">
        <v>44939</v>
      </c>
      <c r="C97" s="1" t="n">
        <v>46161</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186-2023</t>
        </is>
      </c>
      <c r="B98" s="1" t="n">
        <v>44928</v>
      </c>
      <c r="C98" s="1" t="n">
        <v>46161</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13203-2026</t>
        </is>
      </c>
      <c r="B99" s="1" t="n">
        <v>46093</v>
      </c>
      <c r="C99" s="1" t="n">
        <v>46161</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57463-2025</t>
        </is>
      </c>
      <c r="B100" s="1" t="n">
        <v>45980</v>
      </c>
      <c r="C100" s="1" t="n">
        <v>46161</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8265-2023</t>
        </is>
      </c>
      <c r="B101" s="1" t="n">
        <v>44974</v>
      </c>
      <c r="C101" s="1" t="n">
        <v>46161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6836-2026</t>
        </is>
      </c>
      <c r="B102" s="1" t="n">
        <v>46057</v>
      </c>
      <c r="C102" s="1" t="n">
        <v>46161</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44933-2022</t>
        </is>
      </c>
      <c r="B103" s="1" t="n">
        <v>44841</v>
      </c>
      <c r="C103" s="1" t="n">
        <v>46161</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46161</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46161</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46161</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55334-2024</t>
        </is>
      </c>
      <c r="B109" s="1" t="n">
        <v>45621</v>
      </c>
      <c r="C109" s="1" t="n">
        <v>46161</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46161</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13499-2022</t>
        </is>
      </c>
      <c r="B111" s="1" t="n">
        <v>44647.79203703703</v>
      </c>
      <c r="C111" s="1" t="n">
        <v>46161</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46161</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46161</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46161</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46161</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17975-2024</t>
        </is>
      </c>
      <c r="B116" s="1" t="n">
        <v>45419.85546296297</v>
      </c>
      <c r="C116" s="1" t="n">
        <v>46161</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46161</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46161</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46161</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46161</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46161</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46161</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46161</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46161</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46161</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20429-2025</t>
        </is>
      </c>
      <c r="B127" s="1" t="n">
        <v>45775.47728009259</v>
      </c>
      <c r="C127" s="1" t="n">
        <v>46161</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21879-2025</t>
        </is>
      </c>
      <c r="B128" s="1" t="n">
        <v>45784.40533564815</v>
      </c>
      <c r="C128" s="1" t="n">
        <v>46161</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7070-2022</t>
        </is>
      </c>
      <c r="B129" s="1" t="n">
        <v>44603</v>
      </c>
      <c r="C129" s="1" t="n">
        <v>46161</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46161</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46161</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20838-2024</t>
        </is>
      </c>
      <c r="B132" s="1" t="n">
        <v>45439</v>
      </c>
      <c r="C132" s="1" t="n">
        <v>46161</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63162-2025</t>
        </is>
      </c>
      <c r="B133" s="1" t="n">
        <v>46010.37629629629</v>
      </c>
      <c r="C133" s="1" t="n">
        <v>46161</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46161</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17328-2026</t>
        </is>
      </c>
      <c r="B135" s="1" t="n">
        <v>46119.61216435185</v>
      </c>
      <c r="C135" s="1" t="n">
        <v>46161</v>
      </c>
      <c r="D135" t="inlineStr">
        <is>
          <t>GOTLANDS LÄN</t>
        </is>
      </c>
      <c r="E135" t="inlineStr">
        <is>
          <t>GOTLAND</t>
        </is>
      </c>
      <c r="F135" t="inlineStr">
        <is>
          <t>Kyrkan</t>
        </is>
      </c>
      <c r="G135" t="n">
        <v>4</v>
      </c>
      <c r="H135" t="n">
        <v>1</v>
      </c>
      <c r="I135" t="n">
        <v>0</v>
      </c>
      <c r="J135" t="n">
        <v>2</v>
      </c>
      <c r="K135" t="n">
        <v>0</v>
      </c>
      <c r="L135" t="n">
        <v>0</v>
      </c>
      <c r="M135" t="n">
        <v>0</v>
      </c>
      <c r="N135" t="n">
        <v>0</v>
      </c>
      <c r="O135" t="n">
        <v>2</v>
      </c>
      <c r="P135" t="n">
        <v>0</v>
      </c>
      <c r="Q135" t="n">
        <v>2</v>
      </c>
      <c r="R135" s="2" t="inlineStr">
        <is>
          <t>Backtimjan
Spillkråka</t>
        </is>
      </c>
      <c r="S135">
        <f>HYPERLINK("https://klasma.github.io/Logging_0980/artfynd/A 17328-2026 artfynd.xlsx", "A 17328-2026")</f>
        <v/>
      </c>
      <c r="T135">
        <f>HYPERLINK("https://klasma.github.io/Logging_0980/kartor/A 17328-2026 karta.png", "A 17328-2026")</f>
        <v/>
      </c>
      <c r="V135">
        <f>HYPERLINK("https://klasma.github.io/Logging_0980/klagomål/A 17328-2026 FSC-klagomål.docx", "A 17328-2026")</f>
        <v/>
      </c>
      <c r="W135">
        <f>HYPERLINK("https://klasma.github.io/Logging_0980/klagomålsmail/A 17328-2026 FSC-klagomål mail.docx", "A 17328-2026")</f>
        <v/>
      </c>
      <c r="X135">
        <f>HYPERLINK("https://klasma.github.io/Logging_0980/tillsyn/A 17328-2026 tillsynsbegäran.docx", "A 17328-2026")</f>
        <v/>
      </c>
      <c r="Y135">
        <f>HYPERLINK("https://klasma.github.io/Logging_0980/tillsynsmail/A 17328-2026 tillsynsbegäran mail.docx", "A 17328-2026")</f>
        <v/>
      </c>
      <c r="Z135">
        <f>HYPERLINK("https://klasma.github.io/Logging_0980/fåglar/A 17328-2026 prioriterade fågelarter.docx", "A 17328-2026")</f>
        <v/>
      </c>
    </row>
    <row r="136" ht="15" customHeight="1">
      <c r="A136" t="inlineStr">
        <is>
          <t>A 26077-2024</t>
        </is>
      </c>
      <c r="B136" s="1" t="n">
        <v>45467</v>
      </c>
      <c r="C136" s="1" t="n">
        <v>46161</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46161</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16997-2026</t>
        </is>
      </c>
      <c r="B138" s="1" t="n">
        <v>46114.42539351852</v>
      </c>
      <c r="C138" s="1" t="n">
        <v>46161</v>
      </c>
      <c r="D138" t="inlineStr">
        <is>
          <t>GOTLANDS LÄN</t>
        </is>
      </c>
      <c r="E138" t="inlineStr">
        <is>
          <t>GOTLAND</t>
        </is>
      </c>
      <c r="G138" t="n">
        <v>0.7</v>
      </c>
      <c r="H138" t="n">
        <v>0</v>
      </c>
      <c r="I138" t="n">
        <v>1</v>
      </c>
      <c r="J138" t="n">
        <v>0</v>
      </c>
      <c r="K138" t="n">
        <v>0</v>
      </c>
      <c r="L138" t="n">
        <v>1</v>
      </c>
      <c r="M138" t="n">
        <v>0</v>
      </c>
      <c r="N138" t="n">
        <v>0</v>
      </c>
      <c r="O138" t="n">
        <v>1</v>
      </c>
      <c r="P138" t="n">
        <v>1</v>
      </c>
      <c r="Q138" t="n">
        <v>2</v>
      </c>
      <c r="R138" s="2" t="inlineStr">
        <is>
          <t>Ask
Hasselticka</t>
        </is>
      </c>
      <c r="S138">
        <f>HYPERLINK("https://klasma.github.io/Logging_0980/artfynd/A 16997-2026 artfynd.xlsx", "A 16997-2026")</f>
        <v/>
      </c>
      <c r="T138">
        <f>HYPERLINK("https://klasma.github.io/Logging_0980/kartor/A 16997-2026 karta.png", "A 16997-2026")</f>
        <v/>
      </c>
      <c r="V138">
        <f>HYPERLINK("https://klasma.github.io/Logging_0980/klagomål/A 16997-2026 FSC-klagomål.docx", "A 16997-2026")</f>
        <v/>
      </c>
      <c r="W138">
        <f>HYPERLINK("https://klasma.github.io/Logging_0980/klagomålsmail/A 16997-2026 FSC-klagomål mail.docx", "A 16997-2026")</f>
        <v/>
      </c>
      <c r="X138">
        <f>HYPERLINK("https://klasma.github.io/Logging_0980/tillsyn/A 16997-2026 tillsynsbegäran.docx", "A 16997-2026")</f>
        <v/>
      </c>
      <c r="Y138">
        <f>HYPERLINK("https://klasma.github.io/Logging_0980/tillsynsmail/A 16997-2026 tillsynsbegäran mail.docx", "A 16997-2026")</f>
        <v/>
      </c>
    </row>
    <row r="139" ht="15" customHeight="1">
      <c r="A139" t="inlineStr">
        <is>
          <t>A 28276-2024</t>
        </is>
      </c>
      <c r="B139" s="1" t="n">
        <v>45477</v>
      </c>
      <c r="C139" s="1" t="n">
        <v>46161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46161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63576-2021</t>
        </is>
      </c>
      <c r="B141" s="1" t="n">
        <v>44508</v>
      </c>
      <c r="C141" s="1" t="n">
        <v>46161</v>
      </c>
      <c r="D141" t="inlineStr">
        <is>
          <t>GOTLANDS LÄN</t>
        </is>
      </c>
      <c r="E141" t="inlineStr">
        <is>
          <t>GOTLAND</t>
        </is>
      </c>
      <c r="F141" t="inlineStr">
        <is>
          <t>Kyrkan</t>
        </is>
      </c>
      <c r="G141" t="n">
        <v>4.1</v>
      </c>
      <c r="H141" t="n">
        <v>1</v>
      </c>
      <c r="I141" t="n">
        <v>0</v>
      </c>
      <c r="J141" t="n">
        <v>1</v>
      </c>
      <c r="K141" t="n">
        <v>0</v>
      </c>
      <c r="L141" t="n">
        <v>0</v>
      </c>
      <c r="M141" t="n">
        <v>0</v>
      </c>
      <c r="N141" t="n">
        <v>0</v>
      </c>
      <c r="O141" t="n">
        <v>1</v>
      </c>
      <c r="P141" t="n">
        <v>0</v>
      </c>
      <c r="Q141" t="n">
        <v>1</v>
      </c>
      <c r="R141" s="2" t="inlineStr">
        <is>
          <t>Dårgräsfjäril</t>
        </is>
      </c>
      <c r="S141">
        <f>HYPERLINK("https://klasma.github.io/Logging_0980/artfynd/A 63576-2021 artfynd.xlsx", "A 63576-2021")</f>
        <v/>
      </c>
      <c r="T141">
        <f>HYPERLINK("https://klasma.github.io/Logging_0980/kartor/A 63576-2021 karta.png", "A 63576-2021")</f>
        <v/>
      </c>
      <c r="V141">
        <f>HYPERLINK("https://klasma.github.io/Logging_0980/klagomål/A 63576-2021 FSC-klagomål.docx", "A 63576-2021")</f>
        <v/>
      </c>
      <c r="W141">
        <f>HYPERLINK("https://klasma.github.io/Logging_0980/klagomålsmail/A 63576-2021 FSC-klagomål mail.docx", "A 63576-2021")</f>
        <v/>
      </c>
      <c r="X141">
        <f>HYPERLINK("https://klasma.github.io/Logging_0980/tillsyn/A 63576-2021 tillsynsbegäran.docx", "A 63576-2021")</f>
        <v/>
      </c>
      <c r="Y141">
        <f>HYPERLINK("https://klasma.github.io/Logging_0980/tillsynsmail/A 63576-2021 tillsynsbegäran mail.docx", "A 63576-2021")</f>
        <v/>
      </c>
    </row>
    <row r="142" ht="15" customHeight="1">
      <c r="A142" t="inlineStr">
        <is>
          <t>A 24245-2022</t>
        </is>
      </c>
      <c r="B142" s="1" t="n">
        <v>44725</v>
      </c>
      <c r="C142" s="1" t="n">
        <v>46161</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46161</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21466-2025</t>
        </is>
      </c>
      <c r="B144" s="1" t="n">
        <v>45782</v>
      </c>
      <c r="C144" s="1" t="n">
        <v>46161</v>
      </c>
      <c r="D144" t="inlineStr">
        <is>
          <t>GOTLANDS LÄN</t>
        </is>
      </c>
      <c r="E144" t="inlineStr">
        <is>
          <t>GOTLAND</t>
        </is>
      </c>
      <c r="F144" t="inlineStr">
        <is>
          <t>Övriga statliga verk och myndigheter</t>
        </is>
      </c>
      <c r="G144" t="n">
        <v>1.7</v>
      </c>
      <c r="H144" t="n">
        <v>1</v>
      </c>
      <c r="I144" t="n">
        <v>0</v>
      </c>
      <c r="J144" t="n">
        <v>0</v>
      </c>
      <c r="K144" t="n">
        <v>0</v>
      </c>
      <c r="L144" t="n">
        <v>0</v>
      </c>
      <c r="M144" t="n">
        <v>0</v>
      </c>
      <c r="N144" t="n">
        <v>0</v>
      </c>
      <c r="O144" t="n">
        <v>0</v>
      </c>
      <c r="P144" t="n">
        <v>0</v>
      </c>
      <c r="Q144" t="n">
        <v>1</v>
      </c>
      <c r="R144" s="2" t="inlineStr">
        <is>
          <t>Blåsippa</t>
        </is>
      </c>
      <c r="S144">
        <f>HYPERLINK("https://klasma.github.io/Logging_0980/artfynd/A 21466-2025 artfynd.xlsx", "A 21466-2025")</f>
        <v/>
      </c>
      <c r="T144">
        <f>HYPERLINK("https://klasma.github.io/Logging_0980/kartor/A 21466-2025 karta.png", "A 21466-2025")</f>
        <v/>
      </c>
      <c r="V144">
        <f>HYPERLINK("https://klasma.github.io/Logging_0980/klagomål/A 21466-2025 FSC-klagomål.docx", "A 21466-2025")</f>
        <v/>
      </c>
      <c r="W144">
        <f>HYPERLINK("https://klasma.github.io/Logging_0980/klagomålsmail/A 21466-2025 FSC-klagomål mail.docx", "A 21466-2025")</f>
        <v/>
      </c>
      <c r="X144">
        <f>HYPERLINK("https://klasma.github.io/Logging_0980/tillsyn/A 21466-2025 tillsynsbegäran.docx", "A 21466-2025")</f>
        <v/>
      </c>
      <c r="Y144">
        <f>HYPERLINK("https://klasma.github.io/Logging_0980/tillsynsmail/A 21466-2025 tillsynsbegäran mail.docx", "A 21466-2025")</f>
        <v/>
      </c>
    </row>
    <row r="145" ht="15" customHeight="1">
      <c r="A145" t="inlineStr">
        <is>
          <t>A 49726-2025</t>
        </is>
      </c>
      <c r="B145" s="1" t="n">
        <v>45939.84466435185</v>
      </c>
      <c r="C145" s="1" t="n">
        <v>46161</v>
      </c>
      <c r="D145" t="inlineStr">
        <is>
          <t>GOTLANDS LÄN</t>
        </is>
      </c>
      <c r="E145" t="inlineStr">
        <is>
          <t>GOTLAND</t>
        </is>
      </c>
      <c r="F145" t="inlineStr">
        <is>
          <t>Kyrkan</t>
        </is>
      </c>
      <c r="G145" t="n">
        <v>5.4</v>
      </c>
      <c r="H145" t="n">
        <v>0</v>
      </c>
      <c r="I145" t="n">
        <v>0</v>
      </c>
      <c r="J145" t="n">
        <v>1</v>
      </c>
      <c r="K145" t="n">
        <v>0</v>
      </c>
      <c r="L145" t="n">
        <v>0</v>
      </c>
      <c r="M145" t="n">
        <v>0</v>
      </c>
      <c r="N145" t="n">
        <v>0</v>
      </c>
      <c r="O145" t="n">
        <v>1</v>
      </c>
      <c r="P145" t="n">
        <v>0</v>
      </c>
      <c r="Q145" t="n">
        <v>1</v>
      </c>
      <c r="R145" s="2" t="inlineStr">
        <is>
          <t>Odörspindling</t>
        </is>
      </c>
      <c r="S145">
        <f>HYPERLINK("https://klasma.github.io/Logging_0980/artfynd/A 49726-2025 artfynd.xlsx", "A 49726-2025")</f>
        <v/>
      </c>
      <c r="T145">
        <f>HYPERLINK("https://klasma.github.io/Logging_0980/kartor/A 49726-2025 karta.png", "A 49726-2025")</f>
        <v/>
      </c>
      <c r="V145">
        <f>HYPERLINK("https://klasma.github.io/Logging_0980/klagomål/A 49726-2025 FSC-klagomål.docx", "A 49726-2025")</f>
        <v/>
      </c>
      <c r="W145">
        <f>HYPERLINK("https://klasma.github.io/Logging_0980/klagomålsmail/A 49726-2025 FSC-klagomål mail.docx", "A 49726-2025")</f>
        <v/>
      </c>
      <c r="X145">
        <f>HYPERLINK("https://klasma.github.io/Logging_0980/tillsyn/A 49726-2025 tillsynsbegäran.docx", "A 49726-2025")</f>
        <v/>
      </c>
      <c r="Y145">
        <f>HYPERLINK("https://klasma.github.io/Logging_0980/tillsynsmail/A 49726-2025 tillsynsbegäran mail.docx", "A 49726-2025")</f>
        <v/>
      </c>
    </row>
    <row r="146" ht="15" customHeight="1">
      <c r="A146" t="inlineStr">
        <is>
          <t>A 10440-2024</t>
        </is>
      </c>
      <c r="B146" s="1" t="n">
        <v>45366.32818287037</v>
      </c>
      <c r="C146" s="1" t="n">
        <v>46161</v>
      </c>
      <c r="D146" t="inlineStr">
        <is>
          <t>GOTLANDS LÄN</t>
        </is>
      </c>
      <c r="E146" t="inlineStr">
        <is>
          <t>GOTLAND</t>
        </is>
      </c>
      <c r="G146" t="n">
        <v>2.5</v>
      </c>
      <c r="H146" t="n">
        <v>1</v>
      </c>
      <c r="I146" t="n">
        <v>0</v>
      </c>
      <c r="J146" t="n">
        <v>1</v>
      </c>
      <c r="K146" t="n">
        <v>0</v>
      </c>
      <c r="L146" t="n">
        <v>0</v>
      </c>
      <c r="M146" t="n">
        <v>0</v>
      </c>
      <c r="N146" t="n">
        <v>0</v>
      </c>
      <c r="O146" t="n">
        <v>1</v>
      </c>
      <c r="P146" t="n">
        <v>0</v>
      </c>
      <c r="Q146" t="n">
        <v>1</v>
      </c>
      <c r="R146" s="2" t="inlineStr">
        <is>
          <t>Mindre hackspett</t>
        </is>
      </c>
      <c r="S146">
        <f>HYPERLINK("https://klasma.github.io/Logging_0980/artfynd/A 10440-2024 artfynd.xlsx", "A 10440-2024")</f>
        <v/>
      </c>
      <c r="T146">
        <f>HYPERLINK("https://klasma.github.io/Logging_0980/kartor/A 10440-2024 karta.png", "A 10440-2024")</f>
        <v/>
      </c>
      <c r="V146">
        <f>HYPERLINK("https://klasma.github.io/Logging_0980/klagomål/A 10440-2024 FSC-klagomål.docx", "A 10440-2024")</f>
        <v/>
      </c>
      <c r="W146">
        <f>HYPERLINK("https://klasma.github.io/Logging_0980/klagomålsmail/A 10440-2024 FSC-klagomål mail.docx", "A 10440-2024")</f>
        <v/>
      </c>
      <c r="X146">
        <f>HYPERLINK("https://klasma.github.io/Logging_0980/tillsyn/A 10440-2024 tillsynsbegäran.docx", "A 10440-2024")</f>
        <v/>
      </c>
      <c r="Y146">
        <f>HYPERLINK("https://klasma.github.io/Logging_0980/tillsynsmail/A 10440-2024 tillsynsbegäran mail.docx", "A 10440-2024")</f>
        <v/>
      </c>
      <c r="Z146">
        <f>HYPERLINK("https://klasma.github.io/Logging_0980/fåglar/A 10440-2024 prioriterade fågelarter.docx", "A 10440-2024")</f>
        <v/>
      </c>
    </row>
    <row r="147" ht="15" customHeight="1">
      <c r="A147" t="inlineStr">
        <is>
          <t>A 39812-2025</t>
        </is>
      </c>
      <c r="B147" s="1" t="n">
        <v>45891</v>
      </c>
      <c r="C147" s="1" t="n">
        <v>46161</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44308-2021</t>
        </is>
      </c>
      <c r="B148" s="1" t="n">
        <v>44434</v>
      </c>
      <c r="C148" s="1" t="n">
        <v>46161</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46527-2023</t>
        </is>
      </c>
      <c r="B149" s="1" t="n">
        <v>45197</v>
      </c>
      <c r="C149" s="1" t="n">
        <v>46161</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26461-2025</t>
        </is>
      </c>
      <c r="B150" s="1" t="n">
        <v>45807.43337962963</v>
      </c>
      <c r="C150" s="1" t="n">
        <v>46161</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35467-2021</t>
        </is>
      </c>
      <c r="B151" s="1" t="n">
        <v>44385</v>
      </c>
      <c r="C151" s="1" t="n">
        <v>46161</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46161</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6303-2024</t>
        </is>
      </c>
      <c r="B153" s="1" t="n">
        <v>45338.35376157407</v>
      </c>
      <c r="C153" s="1" t="n">
        <v>46161</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46161</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46161</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46161</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9862-2024</t>
        </is>
      </c>
      <c r="B157" s="1" t="n">
        <v>45363</v>
      </c>
      <c r="C157" s="1" t="n">
        <v>46161</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46161</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65927-2021</t>
        </is>
      </c>
      <c r="B159" s="1" t="n">
        <v>44516</v>
      </c>
      <c r="C159" s="1" t="n">
        <v>46161</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46161</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61561-2023</t>
        </is>
      </c>
      <c r="B161" s="1" t="n">
        <v>45265</v>
      </c>
      <c r="C161" s="1" t="n">
        <v>46161</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12924-2025</t>
        </is>
      </c>
      <c r="B162" s="1" t="n">
        <v>45734</v>
      </c>
      <c r="C162" s="1" t="n">
        <v>46161</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12324-2025</t>
        </is>
      </c>
      <c r="B163" s="1" t="n">
        <v>45730</v>
      </c>
      <c r="C163" s="1" t="n">
        <v>46161</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2476-2025</t>
        </is>
      </c>
      <c r="B164" s="1" t="n">
        <v>45673</v>
      </c>
      <c r="C164" s="1" t="n">
        <v>46161</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44304-2021</t>
        </is>
      </c>
      <c r="B165" s="1" t="n">
        <v>44434</v>
      </c>
      <c r="C165" s="1" t="n">
        <v>46161</v>
      </c>
      <c r="D165" t="inlineStr">
        <is>
          <t>GOTLANDS LÄN</t>
        </is>
      </c>
      <c r="E165" t="inlineStr">
        <is>
          <t>GOTLAND</t>
        </is>
      </c>
      <c r="G165" t="n">
        <v>5.8</v>
      </c>
      <c r="H165" t="n">
        <v>0</v>
      </c>
      <c r="I165" t="n">
        <v>0</v>
      </c>
      <c r="J165" t="n">
        <v>1</v>
      </c>
      <c r="K165" t="n">
        <v>0</v>
      </c>
      <c r="L165" t="n">
        <v>0</v>
      </c>
      <c r="M165" t="n">
        <v>0</v>
      </c>
      <c r="N165" t="n">
        <v>0</v>
      </c>
      <c r="O165" t="n">
        <v>1</v>
      </c>
      <c r="P165" t="n">
        <v>0</v>
      </c>
      <c r="Q165" t="n">
        <v>1</v>
      </c>
      <c r="R165" s="2" t="inlineStr">
        <is>
          <t>Svinrot</t>
        </is>
      </c>
      <c r="S165">
        <f>HYPERLINK("https://klasma.github.io/Logging_0980/artfynd/A 44304-2021 artfynd.xlsx", "A 44304-2021")</f>
        <v/>
      </c>
      <c r="T165">
        <f>HYPERLINK("https://klasma.github.io/Logging_0980/kartor/A 44304-2021 karta.png", "A 44304-2021")</f>
        <v/>
      </c>
      <c r="V165">
        <f>HYPERLINK("https://klasma.github.io/Logging_0980/klagomål/A 44304-2021 FSC-klagomål.docx", "A 44304-2021")</f>
        <v/>
      </c>
      <c r="W165">
        <f>HYPERLINK("https://klasma.github.io/Logging_0980/klagomålsmail/A 44304-2021 FSC-klagomål mail.docx", "A 44304-2021")</f>
        <v/>
      </c>
      <c r="X165">
        <f>HYPERLINK("https://klasma.github.io/Logging_0980/tillsyn/A 44304-2021 tillsynsbegäran.docx", "A 44304-2021")</f>
        <v/>
      </c>
      <c r="Y165">
        <f>HYPERLINK("https://klasma.github.io/Logging_0980/tillsynsmail/A 44304-2021 tillsynsbegäran mail.docx", "A 44304-2021")</f>
        <v/>
      </c>
    </row>
    <row r="166" ht="15" customHeight="1">
      <c r="A166" t="inlineStr">
        <is>
          <t>A 447-2023</t>
        </is>
      </c>
      <c r="B166" s="1" t="n">
        <v>44929</v>
      </c>
      <c r="C166" s="1" t="n">
        <v>46161</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34809-2024</t>
        </is>
      </c>
      <c r="B167" s="1" t="n">
        <v>45526</v>
      </c>
      <c r="C167" s="1" t="n">
        <v>46161</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49304-2024</t>
        </is>
      </c>
      <c r="B168" s="1" t="n">
        <v>45595.54996527778</v>
      </c>
      <c r="C168" s="1" t="n">
        <v>46161</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22782-2023</t>
        </is>
      </c>
      <c r="B169" s="1" t="n">
        <v>45072</v>
      </c>
      <c r="C169" s="1" t="n">
        <v>46161</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44088-2022</t>
        </is>
      </c>
      <c r="B170" s="1" t="n">
        <v>44839</v>
      </c>
      <c r="C170" s="1" t="n">
        <v>46161</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10013-2026</t>
        </is>
      </c>
      <c r="B171" s="1" t="n">
        <v>46073</v>
      </c>
      <c r="C171" s="1" t="n">
        <v>46161</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1477-2024</t>
        </is>
      </c>
      <c r="B172" s="1" t="n">
        <v>45305.37987268518</v>
      </c>
      <c r="C172" s="1" t="n">
        <v>46161</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17854-2026</t>
        </is>
      </c>
      <c r="B173" s="1" t="n">
        <v>46121</v>
      </c>
      <c r="C173" s="1" t="n">
        <v>46161</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11708-2026</t>
        </is>
      </c>
      <c r="B174" s="1" t="n">
        <v>46084</v>
      </c>
      <c r="C174" s="1" t="n">
        <v>46161</v>
      </c>
      <c r="D174" t="inlineStr">
        <is>
          <t>GOTLANDS LÄN</t>
        </is>
      </c>
      <c r="E174" t="inlineStr">
        <is>
          <t>GOTLAND</t>
        </is>
      </c>
      <c r="G174" t="n">
        <v>8.4</v>
      </c>
      <c r="H174" t="n">
        <v>1</v>
      </c>
      <c r="I174" t="n">
        <v>0</v>
      </c>
      <c r="J174" t="n">
        <v>1</v>
      </c>
      <c r="K174" t="n">
        <v>0</v>
      </c>
      <c r="L174" t="n">
        <v>0</v>
      </c>
      <c r="M174" t="n">
        <v>0</v>
      </c>
      <c r="N174" t="n">
        <v>0</v>
      </c>
      <c r="O174" t="n">
        <v>1</v>
      </c>
      <c r="P174" t="n">
        <v>0</v>
      </c>
      <c r="Q174" t="n">
        <v>1</v>
      </c>
      <c r="R174" s="2" t="inlineStr">
        <is>
          <t>Bredarun</t>
        </is>
      </c>
      <c r="S174">
        <f>HYPERLINK("https://klasma.github.io/Logging_0980/artfynd/A 11708-2026 artfynd.xlsx", "A 11708-2026")</f>
        <v/>
      </c>
      <c r="T174">
        <f>HYPERLINK("https://klasma.github.io/Logging_0980/kartor/A 11708-2026 karta.png", "A 11708-2026")</f>
        <v/>
      </c>
      <c r="V174">
        <f>HYPERLINK("https://klasma.github.io/Logging_0980/klagomål/A 11708-2026 FSC-klagomål.docx", "A 11708-2026")</f>
        <v/>
      </c>
      <c r="W174">
        <f>HYPERLINK("https://klasma.github.io/Logging_0980/klagomålsmail/A 11708-2026 FSC-klagomål mail.docx", "A 11708-2026")</f>
        <v/>
      </c>
      <c r="X174">
        <f>HYPERLINK("https://klasma.github.io/Logging_0980/tillsyn/A 11708-2026 tillsynsbegäran.docx", "A 11708-2026")</f>
        <v/>
      </c>
      <c r="Y174">
        <f>HYPERLINK("https://klasma.github.io/Logging_0980/tillsynsmail/A 11708-2026 tillsynsbegäran mail.docx", "A 11708-2026")</f>
        <v/>
      </c>
    </row>
    <row r="175" ht="15" customHeight="1">
      <c r="A175" t="inlineStr">
        <is>
          <t>A 18036-2026</t>
        </is>
      </c>
      <c r="B175" s="1" t="n">
        <v>46125.39576388889</v>
      </c>
      <c r="C175" s="1" t="n">
        <v>46161</v>
      </c>
      <c r="D175" t="inlineStr">
        <is>
          <t>GOTLANDS LÄN</t>
        </is>
      </c>
      <c r="E175" t="inlineStr">
        <is>
          <t>GOTLAND</t>
        </is>
      </c>
      <c r="G175" t="n">
        <v>1.8</v>
      </c>
      <c r="H175" t="n">
        <v>0</v>
      </c>
      <c r="I175" t="n">
        <v>0</v>
      </c>
      <c r="J175" t="n">
        <v>1</v>
      </c>
      <c r="K175" t="n">
        <v>0</v>
      </c>
      <c r="L175" t="n">
        <v>0</v>
      </c>
      <c r="M175" t="n">
        <v>0</v>
      </c>
      <c r="N175" t="n">
        <v>0</v>
      </c>
      <c r="O175" t="n">
        <v>1</v>
      </c>
      <c r="P175" t="n">
        <v>0</v>
      </c>
      <c r="Q175" t="n">
        <v>1</v>
      </c>
      <c r="R175" s="2" t="inlineStr">
        <is>
          <t>Sommarfibbla</t>
        </is>
      </c>
      <c r="S175">
        <f>HYPERLINK("https://klasma.github.io/Logging_0980/artfynd/A 18036-2026 artfynd.xlsx", "A 18036-2026")</f>
        <v/>
      </c>
      <c r="T175">
        <f>HYPERLINK("https://klasma.github.io/Logging_0980/kartor/A 18036-2026 karta.png", "A 18036-2026")</f>
        <v/>
      </c>
      <c r="V175">
        <f>HYPERLINK("https://klasma.github.io/Logging_0980/klagomål/A 18036-2026 FSC-klagomål.docx", "A 18036-2026")</f>
        <v/>
      </c>
      <c r="W175">
        <f>HYPERLINK("https://klasma.github.io/Logging_0980/klagomålsmail/A 18036-2026 FSC-klagomål mail.docx", "A 18036-2026")</f>
        <v/>
      </c>
      <c r="X175">
        <f>HYPERLINK("https://klasma.github.io/Logging_0980/tillsyn/A 18036-2026 tillsynsbegäran.docx", "A 18036-2026")</f>
        <v/>
      </c>
      <c r="Y175">
        <f>HYPERLINK("https://klasma.github.io/Logging_0980/tillsynsmail/A 18036-2026 tillsynsbegäran mail.docx", "A 18036-2026")</f>
        <v/>
      </c>
    </row>
    <row r="176" ht="15" customHeight="1">
      <c r="A176" t="inlineStr">
        <is>
          <t>A 7637-2025</t>
        </is>
      </c>
      <c r="B176" s="1" t="n">
        <v>45705.77181712963</v>
      </c>
      <c r="C176" s="1" t="n">
        <v>46161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13482-2026</t>
        </is>
      </c>
      <c r="B177" s="1" t="n">
        <v>46094</v>
      </c>
      <c r="C177" s="1" t="n">
        <v>46161</v>
      </c>
      <c r="D177" t="inlineStr">
        <is>
          <t>GOTLANDS LÄN</t>
        </is>
      </c>
      <c r="E177" t="inlineStr">
        <is>
          <t>GOTLAND</t>
        </is>
      </c>
      <c r="G177" t="n">
        <v>1.7</v>
      </c>
      <c r="H177" t="n">
        <v>1</v>
      </c>
      <c r="I177" t="n">
        <v>0</v>
      </c>
      <c r="J177" t="n">
        <v>1</v>
      </c>
      <c r="K177" t="n">
        <v>0</v>
      </c>
      <c r="L177" t="n">
        <v>0</v>
      </c>
      <c r="M177" t="n">
        <v>0</v>
      </c>
      <c r="N177" t="n">
        <v>0</v>
      </c>
      <c r="O177" t="n">
        <v>1</v>
      </c>
      <c r="P177" t="n">
        <v>0</v>
      </c>
      <c r="Q177" t="n">
        <v>1</v>
      </c>
      <c r="R177" s="2" t="inlineStr">
        <is>
          <t>Spillkråka</t>
        </is>
      </c>
      <c r="S177">
        <f>HYPERLINK("https://klasma.github.io/Logging_0980/artfynd/A 13482-2026 artfynd.xlsx", "A 13482-2026")</f>
        <v/>
      </c>
      <c r="T177">
        <f>HYPERLINK("https://klasma.github.io/Logging_0980/kartor/A 13482-2026 karta.png", "A 13482-2026")</f>
        <v/>
      </c>
      <c r="V177">
        <f>HYPERLINK("https://klasma.github.io/Logging_0980/klagomål/A 13482-2026 FSC-klagomål.docx", "A 13482-2026")</f>
        <v/>
      </c>
      <c r="W177">
        <f>HYPERLINK("https://klasma.github.io/Logging_0980/klagomålsmail/A 13482-2026 FSC-klagomål mail.docx", "A 13482-2026")</f>
        <v/>
      </c>
      <c r="X177">
        <f>HYPERLINK("https://klasma.github.io/Logging_0980/tillsyn/A 13482-2026 tillsynsbegäran.docx", "A 13482-2026")</f>
        <v/>
      </c>
      <c r="Y177">
        <f>HYPERLINK("https://klasma.github.io/Logging_0980/tillsynsmail/A 13482-2026 tillsynsbegäran mail.docx", "A 13482-2026")</f>
        <v/>
      </c>
      <c r="Z177">
        <f>HYPERLINK("https://klasma.github.io/Logging_0980/fåglar/A 13482-2026 prioriterade fågelarter.docx", "A 13482-2026")</f>
        <v/>
      </c>
    </row>
    <row r="178" ht="15" customHeight="1">
      <c r="A178" t="inlineStr">
        <is>
          <t>A 61796-2022</t>
        </is>
      </c>
      <c r="B178" s="1" t="n">
        <v>44917</v>
      </c>
      <c r="C178" s="1" t="n">
        <v>46161</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46161</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46161</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46161</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46161</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46161</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46161</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63149-2025</t>
        </is>
      </c>
      <c r="B185" s="1" t="n">
        <v>46010</v>
      </c>
      <c r="C185" s="1" t="n">
        <v>46161</v>
      </c>
      <c r="D185" t="inlineStr">
        <is>
          <t>GOTLANDS LÄN</t>
        </is>
      </c>
      <c r="E185" t="inlineStr">
        <is>
          <t>GOTLAND</t>
        </is>
      </c>
      <c r="G185" t="n">
        <v>4.3</v>
      </c>
      <c r="H185" t="n">
        <v>0</v>
      </c>
      <c r="I185" t="n">
        <v>1</v>
      </c>
      <c r="J185" t="n">
        <v>0</v>
      </c>
      <c r="K185" t="n">
        <v>0</v>
      </c>
      <c r="L185" t="n">
        <v>0</v>
      </c>
      <c r="M185" t="n">
        <v>0</v>
      </c>
      <c r="N185" t="n">
        <v>0</v>
      </c>
      <c r="O185" t="n">
        <v>0</v>
      </c>
      <c r="P185" t="n">
        <v>0</v>
      </c>
      <c r="Q185" t="n">
        <v>1</v>
      </c>
      <c r="R185" s="2" t="inlineStr">
        <is>
          <t>Anisspindling</t>
        </is>
      </c>
      <c r="S185">
        <f>HYPERLINK("https://klasma.github.io/Logging_0980/artfynd/A 63149-2025 artfynd.xlsx", "A 63149-2025")</f>
        <v/>
      </c>
      <c r="T185">
        <f>HYPERLINK("https://klasma.github.io/Logging_0980/kartor/A 63149-2025 karta.png", "A 63149-2025")</f>
        <v/>
      </c>
      <c r="V185">
        <f>HYPERLINK("https://klasma.github.io/Logging_0980/klagomål/A 63149-2025 FSC-klagomål.docx", "A 63149-2025")</f>
        <v/>
      </c>
      <c r="W185">
        <f>HYPERLINK("https://klasma.github.io/Logging_0980/klagomålsmail/A 63149-2025 FSC-klagomål mail.docx", "A 63149-2025")</f>
        <v/>
      </c>
      <c r="X185">
        <f>HYPERLINK("https://klasma.github.io/Logging_0980/tillsyn/A 63149-2025 tillsynsbegäran.docx", "A 63149-2025")</f>
        <v/>
      </c>
      <c r="Y185">
        <f>HYPERLINK("https://klasma.github.io/Logging_0980/tillsynsmail/A 63149-2025 tillsynsbegäran mail.docx", "A 63149-2025")</f>
        <v/>
      </c>
    </row>
    <row r="186" ht="15" customHeight="1">
      <c r="A186" t="inlineStr">
        <is>
          <t>A 22281-2026</t>
        </is>
      </c>
      <c r="B186" s="1" t="n">
        <v>46154</v>
      </c>
      <c r="C186" s="1" t="n">
        <v>46161</v>
      </c>
      <c r="D186" t="inlineStr">
        <is>
          <t>GOTLANDS LÄN</t>
        </is>
      </c>
      <c r="E186" t="inlineStr">
        <is>
          <t>GOTLAND</t>
        </is>
      </c>
      <c r="G186" t="n">
        <v>8.1</v>
      </c>
      <c r="H186" t="n">
        <v>0</v>
      </c>
      <c r="I186" t="n">
        <v>0</v>
      </c>
      <c r="J186" t="n">
        <v>1</v>
      </c>
      <c r="K186" t="n">
        <v>0</v>
      </c>
      <c r="L186" t="n">
        <v>0</v>
      </c>
      <c r="M186" t="n">
        <v>0</v>
      </c>
      <c r="N186" t="n">
        <v>0</v>
      </c>
      <c r="O186" t="n">
        <v>1</v>
      </c>
      <c r="P186" t="n">
        <v>0</v>
      </c>
      <c r="Q186" t="n">
        <v>1</v>
      </c>
      <c r="R186" s="2" t="inlineStr">
        <is>
          <t>Vasstandad trädbasbagge</t>
        </is>
      </c>
      <c r="S186">
        <f>HYPERLINK("https://klasma.github.io/Logging_0980/artfynd/A 22281-2026 artfynd.xlsx", "A 22281-2026")</f>
        <v/>
      </c>
      <c r="T186">
        <f>HYPERLINK("https://klasma.github.io/Logging_0980/kartor/A 22281-2026 karta.png", "A 22281-2026")</f>
        <v/>
      </c>
      <c r="V186">
        <f>HYPERLINK("https://klasma.github.io/Logging_0980/klagomål/A 22281-2026 FSC-klagomål.docx", "A 22281-2026")</f>
        <v/>
      </c>
      <c r="W186">
        <f>HYPERLINK("https://klasma.github.io/Logging_0980/klagomålsmail/A 22281-2026 FSC-klagomål mail.docx", "A 22281-2026")</f>
        <v/>
      </c>
      <c r="X186">
        <f>HYPERLINK("https://klasma.github.io/Logging_0980/tillsyn/A 22281-2026 tillsynsbegäran.docx", "A 22281-2026")</f>
        <v/>
      </c>
      <c r="Y186">
        <f>HYPERLINK("https://klasma.github.io/Logging_0980/tillsynsmail/A 22281-2026 tillsynsbegäran mail.docx", "A 22281-2026")</f>
        <v/>
      </c>
    </row>
    <row r="187" ht="15" customHeight="1">
      <c r="A187" t="inlineStr">
        <is>
          <t>A 49847-2023</t>
        </is>
      </c>
      <c r="B187" s="1" t="n">
        <v>45212</v>
      </c>
      <c r="C187" s="1" t="n">
        <v>46161</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46161</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36313-2021</t>
        </is>
      </c>
      <c r="B189" s="1" t="n">
        <v>44390</v>
      </c>
      <c r="C189" s="1" t="n">
        <v>46161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46161</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46161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46161</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46161</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46161</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46161</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46161</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46161</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46161</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46161</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46161</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46161</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46161</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46161</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46161</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46161</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46161</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46161</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46161</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46161</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46161</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46161</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46161</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46161</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46161</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46161</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46161</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46161</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46161</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46161</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46161</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46161</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46161</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46161</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46161</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63229-2021</t>
        </is>
      </c>
      <c r="B225" s="1" t="n">
        <v>44508.34518518519</v>
      </c>
      <c r="C225" s="1" t="n">
        <v>46161</v>
      </c>
      <c r="D225" t="inlineStr">
        <is>
          <t>GOTLANDS LÄN</t>
        </is>
      </c>
      <c r="E225" t="inlineStr">
        <is>
          <t>GOTLAND</t>
        </is>
      </c>
      <c r="F225" t="inlineStr">
        <is>
          <t>Kyrkan</t>
        </is>
      </c>
      <c r="G225" t="n">
        <v>3.8</v>
      </c>
      <c r="H225" t="n">
        <v>0</v>
      </c>
      <c r="I225" t="n">
        <v>0</v>
      </c>
      <c r="J225" t="n">
        <v>0</v>
      </c>
      <c r="K225" t="n">
        <v>0</v>
      </c>
      <c r="L225" t="n">
        <v>0</v>
      </c>
      <c r="M225" t="n">
        <v>0</v>
      </c>
      <c r="N225" t="n">
        <v>0</v>
      </c>
      <c r="O225" t="n">
        <v>0</v>
      </c>
      <c r="P225" t="n">
        <v>0</v>
      </c>
      <c r="Q225" t="n">
        <v>0</v>
      </c>
      <c r="R225" s="2" t="inlineStr"/>
    </row>
    <row r="226" ht="15" customHeight="1">
      <c r="A226" t="inlineStr">
        <is>
          <t>A 61596-2023</t>
        </is>
      </c>
      <c r="B226" s="1" t="n">
        <v>45265</v>
      </c>
      <c r="C226" s="1" t="n">
        <v>46161</v>
      </c>
      <c r="D226" t="inlineStr">
        <is>
          <t>GOTLANDS LÄN</t>
        </is>
      </c>
      <c r="E226" t="inlineStr">
        <is>
          <t>GOTLAND</t>
        </is>
      </c>
      <c r="G226" t="n">
        <v>1.7</v>
      </c>
      <c r="H226" t="n">
        <v>0</v>
      </c>
      <c r="I226" t="n">
        <v>0</v>
      </c>
      <c r="J226" t="n">
        <v>0</v>
      </c>
      <c r="K226" t="n">
        <v>0</v>
      </c>
      <c r="L226" t="n">
        <v>0</v>
      </c>
      <c r="M226" t="n">
        <v>0</v>
      </c>
      <c r="N226" t="n">
        <v>0</v>
      </c>
      <c r="O226" t="n">
        <v>0</v>
      </c>
      <c r="P226" t="n">
        <v>0</v>
      </c>
      <c r="Q226" t="n">
        <v>0</v>
      </c>
      <c r="R226" s="2" t="inlineStr"/>
    </row>
    <row r="227" ht="15" customHeight="1">
      <c r="A227" t="inlineStr">
        <is>
          <t>A 32378-2025</t>
        </is>
      </c>
      <c r="B227" s="1" t="n">
        <v>45837</v>
      </c>
      <c r="C227" s="1" t="n">
        <v>46161</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873-2024</t>
        </is>
      </c>
      <c r="B228" s="1" t="n">
        <v>45301</v>
      </c>
      <c r="C228" s="1" t="n">
        <v>46161</v>
      </c>
      <c r="D228" t="inlineStr">
        <is>
          <t>GOTLANDS LÄN</t>
        </is>
      </c>
      <c r="E228" t="inlineStr">
        <is>
          <t>GOTLAND</t>
        </is>
      </c>
      <c r="G228" t="n">
        <v>2.7</v>
      </c>
      <c r="H228" t="n">
        <v>0</v>
      </c>
      <c r="I228" t="n">
        <v>0</v>
      </c>
      <c r="J228" t="n">
        <v>0</v>
      </c>
      <c r="K228" t="n">
        <v>0</v>
      </c>
      <c r="L228" t="n">
        <v>0</v>
      </c>
      <c r="M228" t="n">
        <v>0</v>
      </c>
      <c r="N228" t="n">
        <v>0</v>
      </c>
      <c r="O228" t="n">
        <v>0</v>
      </c>
      <c r="P228" t="n">
        <v>0</v>
      </c>
      <c r="Q228" t="n">
        <v>0</v>
      </c>
      <c r="R228" s="2" t="inlineStr"/>
    </row>
    <row r="229" ht="15" customHeight="1">
      <c r="A229" t="inlineStr">
        <is>
          <t>A 44228-2022</t>
        </is>
      </c>
      <c r="B229" s="1" t="n">
        <v>44839.51599537037</v>
      </c>
      <c r="C229" s="1" t="n">
        <v>46161</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61386-2023</t>
        </is>
      </c>
      <c r="B230" s="1" t="n">
        <v>45264</v>
      </c>
      <c r="C230" s="1" t="n">
        <v>46161</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21164-2024</t>
        </is>
      </c>
      <c r="B231" s="1" t="n">
        <v>45440</v>
      </c>
      <c r="C231" s="1" t="n">
        <v>46161</v>
      </c>
      <c r="D231" t="inlineStr">
        <is>
          <t>GOTLANDS LÄN</t>
        </is>
      </c>
      <c r="E231" t="inlineStr">
        <is>
          <t>GOTLAND</t>
        </is>
      </c>
      <c r="G231" t="n">
        <v>6.3</v>
      </c>
      <c r="H231" t="n">
        <v>0</v>
      </c>
      <c r="I231" t="n">
        <v>0</v>
      </c>
      <c r="J231" t="n">
        <v>0</v>
      </c>
      <c r="K231" t="n">
        <v>0</v>
      </c>
      <c r="L231" t="n">
        <v>0</v>
      </c>
      <c r="M231" t="n">
        <v>0</v>
      </c>
      <c r="N231" t="n">
        <v>0</v>
      </c>
      <c r="O231" t="n">
        <v>0</v>
      </c>
      <c r="P231" t="n">
        <v>0</v>
      </c>
      <c r="Q231" t="n">
        <v>0</v>
      </c>
      <c r="R231" s="2" t="inlineStr"/>
    </row>
    <row r="232" ht="15" customHeight="1">
      <c r="A232" t="inlineStr">
        <is>
          <t>A 17541-2024</t>
        </is>
      </c>
      <c r="B232" s="1" t="n">
        <v>45415</v>
      </c>
      <c r="C232" s="1" t="n">
        <v>46161</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883-2025</t>
        </is>
      </c>
      <c r="B233" s="1" t="n">
        <v>45665</v>
      </c>
      <c r="C233" s="1" t="n">
        <v>46161</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35550-2025</t>
        </is>
      </c>
      <c r="B234" s="1" t="n">
        <v>45856.49324074074</v>
      </c>
      <c r="C234" s="1" t="n">
        <v>46161</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13910-2025</t>
        </is>
      </c>
      <c r="B235" s="1" t="n">
        <v>45737</v>
      </c>
      <c r="C235" s="1" t="n">
        <v>46161</v>
      </c>
      <c r="D235" t="inlineStr">
        <is>
          <t>GOTLANDS LÄN</t>
        </is>
      </c>
      <c r="E235" t="inlineStr">
        <is>
          <t>GOTLAND</t>
        </is>
      </c>
      <c r="F235" t="inlineStr">
        <is>
          <t>Kommuner</t>
        </is>
      </c>
      <c r="G235" t="n">
        <v>3.2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46161</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46161</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20356-2022</t>
        </is>
      </c>
      <c r="B238" s="1" t="n">
        <v>44699</v>
      </c>
      <c r="C238" s="1" t="n">
        <v>46161</v>
      </c>
      <c r="D238" t="inlineStr">
        <is>
          <t>GOTLANDS LÄN</t>
        </is>
      </c>
      <c r="E238" t="inlineStr">
        <is>
          <t>GOTLAND</t>
        </is>
      </c>
      <c r="F238" t="inlineStr">
        <is>
          <t>Övriga Aktiebolag</t>
        </is>
      </c>
      <c r="G238" t="n">
        <v>4.4</v>
      </c>
      <c r="H238" t="n">
        <v>0</v>
      </c>
      <c r="I238" t="n">
        <v>0</v>
      </c>
      <c r="J238" t="n">
        <v>0</v>
      </c>
      <c r="K238" t="n">
        <v>0</v>
      </c>
      <c r="L238" t="n">
        <v>0</v>
      </c>
      <c r="M238" t="n">
        <v>0</v>
      </c>
      <c r="N238" t="n">
        <v>0</v>
      </c>
      <c r="O238" t="n">
        <v>0</v>
      </c>
      <c r="P238" t="n">
        <v>0</v>
      </c>
      <c r="Q238" t="n">
        <v>0</v>
      </c>
      <c r="R238" s="2" t="inlineStr"/>
    </row>
    <row r="239" ht="15" customHeight="1">
      <c r="A239" t="inlineStr">
        <is>
          <t>A 20794-2025</t>
        </is>
      </c>
      <c r="B239" s="1" t="n">
        <v>45776</v>
      </c>
      <c r="C239" s="1" t="n">
        <v>46161</v>
      </c>
      <c r="D239" t="inlineStr">
        <is>
          <t>GOTLANDS LÄN</t>
        </is>
      </c>
      <c r="E239" t="inlineStr">
        <is>
          <t>GOTLAND</t>
        </is>
      </c>
      <c r="G239" t="n">
        <v>6</v>
      </c>
      <c r="H239" t="n">
        <v>0</v>
      </c>
      <c r="I239" t="n">
        <v>0</v>
      </c>
      <c r="J239" t="n">
        <v>0</v>
      </c>
      <c r="K239" t="n">
        <v>0</v>
      </c>
      <c r="L239" t="n">
        <v>0</v>
      </c>
      <c r="M239" t="n">
        <v>0</v>
      </c>
      <c r="N239" t="n">
        <v>0</v>
      </c>
      <c r="O239" t="n">
        <v>0</v>
      </c>
      <c r="P239" t="n">
        <v>0</v>
      </c>
      <c r="Q239" t="n">
        <v>0</v>
      </c>
      <c r="R239" s="2" t="inlineStr"/>
    </row>
    <row r="240" ht="15" customHeight="1">
      <c r="A240" t="inlineStr">
        <is>
          <t>A 47578-2025</t>
        </is>
      </c>
      <c r="B240" s="1" t="n">
        <v>45931</v>
      </c>
      <c r="C240" s="1" t="n">
        <v>46161</v>
      </c>
      <c r="D240" t="inlineStr">
        <is>
          <t>GOTLANDS LÄN</t>
        </is>
      </c>
      <c r="E240" t="inlineStr">
        <is>
          <t>GOTLAND</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20805-2025</t>
        </is>
      </c>
      <c r="B241" s="1" t="n">
        <v>45776</v>
      </c>
      <c r="C241" s="1" t="n">
        <v>46161</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21389-2025</t>
        </is>
      </c>
      <c r="B242" s="1" t="n">
        <v>45782</v>
      </c>
      <c r="C242" s="1" t="n">
        <v>46161</v>
      </c>
      <c r="D242" t="inlineStr">
        <is>
          <t>GOTLANDS LÄN</t>
        </is>
      </c>
      <c r="E242" t="inlineStr">
        <is>
          <t>GOTLAND</t>
        </is>
      </c>
      <c r="G242" t="n">
        <v>4.1</v>
      </c>
      <c r="H242" t="n">
        <v>0</v>
      </c>
      <c r="I242" t="n">
        <v>0</v>
      </c>
      <c r="J242" t="n">
        <v>0</v>
      </c>
      <c r="K242" t="n">
        <v>0</v>
      </c>
      <c r="L242" t="n">
        <v>0</v>
      </c>
      <c r="M242" t="n">
        <v>0</v>
      </c>
      <c r="N242" t="n">
        <v>0</v>
      </c>
      <c r="O242" t="n">
        <v>0</v>
      </c>
      <c r="P242" t="n">
        <v>0</v>
      </c>
      <c r="Q242" t="n">
        <v>0</v>
      </c>
      <c r="R242" s="2" t="inlineStr"/>
    </row>
    <row r="243" ht="15" customHeight="1">
      <c r="A243" t="inlineStr">
        <is>
          <t>A 33011-2025</t>
        </is>
      </c>
      <c r="B243" s="1" t="n">
        <v>45840</v>
      </c>
      <c r="C243" s="1" t="n">
        <v>46161</v>
      </c>
      <c r="D243" t="inlineStr">
        <is>
          <t>GOTLANDS LÄN</t>
        </is>
      </c>
      <c r="E243" t="inlineStr">
        <is>
          <t>GOTLAND</t>
        </is>
      </c>
      <c r="G243" t="n">
        <v>1.7</v>
      </c>
      <c r="H243" t="n">
        <v>0</v>
      </c>
      <c r="I243" t="n">
        <v>0</v>
      </c>
      <c r="J243" t="n">
        <v>0</v>
      </c>
      <c r="K243" t="n">
        <v>0</v>
      </c>
      <c r="L243" t="n">
        <v>0</v>
      </c>
      <c r="M243" t="n">
        <v>0</v>
      </c>
      <c r="N243" t="n">
        <v>0</v>
      </c>
      <c r="O243" t="n">
        <v>0</v>
      </c>
      <c r="P243" t="n">
        <v>0</v>
      </c>
      <c r="Q243" t="n">
        <v>0</v>
      </c>
      <c r="R243" s="2" t="inlineStr"/>
    </row>
    <row r="244" ht="15" customHeight="1">
      <c r="A244" t="inlineStr">
        <is>
          <t>A 49690-2025</t>
        </is>
      </c>
      <c r="B244" s="1" t="n">
        <v>45939.66730324074</v>
      </c>
      <c r="C244" s="1" t="n">
        <v>46161</v>
      </c>
      <c r="D244" t="inlineStr">
        <is>
          <t>GOTLANDS LÄN</t>
        </is>
      </c>
      <c r="E244" t="inlineStr">
        <is>
          <t>GOTLAND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35142-2025</t>
        </is>
      </c>
      <c r="B245" s="1" t="n">
        <v>45852.65532407408</v>
      </c>
      <c r="C245" s="1" t="n">
        <v>46161</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21651-2025</t>
        </is>
      </c>
      <c r="B246" s="1" t="n">
        <v>45783</v>
      </c>
      <c r="C246" s="1" t="n">
        <v>46161</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46161</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35141-2025</t>
        </is>
      </c>
      <c r="B248" s="1" t="n">
        <v>45852.65206018519</v>
      </c>
      <c r="C248" s="1" t="n">
        <v>46161</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54073-2022</t>
        </is>
      </c>
      <c r="B249" s="1" t="n">
        <v>44881.50380787037</v>
      </c>
      <c r="C249" s="1" t="n">
        <v>46161</v>
      </c>
      <c r="D249" t="inlineStr">
        <is>
          <t>GOTLANDS LÄN</t>
        </is>
      </c>
      <c r="E249" t="inlineStr">
        <is>
          <t>GOTLAND</t>
        </is>
      </c>
      <c r="G249" t="n">
        <v>3.8</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46161</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45106-2024</t>
        </is>
      </c>
      <c r="B251" s="1" t="n">
        <v>45575</v>
      </c>
      <c r="C251" s="1" t="n">
        <v>46161</v>
      </c>
      <c r="D251" t="inlineStr">
        <is>
          <t>GOTLANDS LÄN</t>
        </is>
      </c>
      <c r="E251" t="inlineStr">
        <is>
          <t>GOTLAND</t>
        </is>
      </c>
      <c r="G251" t="n">
        <v>10</v>
      </c>
      <c r="H251" t="n">
        <v>0</v>
      </c>
      <c r="I251" t="n">
        <v>0</v>
      </c>
      <c r="J251" t="n">
        <v>0</v>
      </c>
      <c r="K251" t="n">
        <v>0</v>
      </c>
      <c r="L251" t="n">
        <v>0</v>
      </c>
      <c r="M251" t="n">
        <v>0</v>
      </c>
      <c r="N251" t="n">
        <v>0</v>
      </c>
      <c r="O251" t="n">
        <v>0</v>
      </c>
      <c r="P251" t="n">
        <v>0</v>
      </c>
      <c r="Q251" t="n">
        <v>0</v>
      </c>
      <c r="R251" s="2" t="inlineStr"/>
    </row>
    <row r="252" ht="15" customHeight="1">
      <c r="A252" t="inlineStr">
        <is>
          <t>A 45112-2024</t>
        </is>
      </c>
      <c r="B252" s="1" t="n">
        <v>45575</v>
      </c>
      <c r="C252" s="1" t="n">
        <v>46161</v>
      </c>
      <c r="D252" t="inlineStr">
        <is>
          <t>GOTLANDS LÄN</t>
        </is>
      </c>
      <c r="E252" t="inlineStr">
        <is>
          <t>GOTLAND</t>
        </is>
      </c>
      <c r="G252" t="n">
        <v>5.1</v>
      </c>
      <c r="H252" t="n">
        <v>0</v>
      </c>
      <c r="I252" t="n">
        <v>0</v>
      </c>
      <c r="J252" t="n">
        <v>0</v>
      </c>
      <c r="K252" t="n">
        <v>0</v>
      </c>
      <c r="L252" t="n">
        <v>0</v>
      </c>
      <c r="M252" t="n">
        <v>0</v>
      </c>
      <c r="N252" t="n">
        <v>0</v>
      </c>
      <c r="O252" t="n">
        <v>0</v>
      </c>
      <c r="P252" t="n">
        <v>0</v>
      </c>
      <c r="Q252" t="n">
        <v>0</v>
      </c>
      <c r="R252" s="2" t="inlineStr"/>
    </row>
    <row r="253" ht="15" customHeight="1">
      <c r="A253" t="inlineStr">
        <is>
          <t>A 7026-2023</t>
        </is>
      </c>
      <c r="B253" s="1" t="n">
        <v>44968.30340277778</v>
      </c>
      <c r="C253" s="1" t="n">
        <v>46161</v>
      </c>
      <c r="D253" t="inlineStr">
        <is>
          <t>GOTLANDS LÄN</t>
        </is>
      </c>
      <c r="E253" t="inlineStr">
        <is>
          <t>GOTLAND</t>
        </is>
      </c>
      <c r="G253" t="n">
        <v>2.9</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46161</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46161</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39849-2025</t>
        </is>
      </c>
      <c r="B256" s="1" t="n">
        <v>45891.58502314815</v>
      </c>
      <c r="C256" s="1" t="n">
        <v>46161</v>
      </c>
      <c r="D256" t="inlineStr">
        <is>
          <t>GOTLANDS LÄN</t>
        </is>
      </c>
      <c r="E256" t="inlineStr">
        <is>
          <t>GOTLAND</t>
        </is>
      </c>
      <c r="G256" t="n">
        <v>6.1</v>
      </c>
      <c r="H256" t="n">
        <v>0</v>
      </c>
      <c r="I256" t="n">
        <v>0</v>
      </c>
      <c r="J256" t="n">
        <v>0</v>
      </c>
      <c r="K256" t="n">
        <v>0</v>
      </c>
      <c r="L256" t="n">
        <v>0</v>
      </c>
      <c r="M256" t="n">
        <v>0</v>
      </c>
      <c r="N256" t="n">
        <v>0</v>
      </c>
      <c r="O256" t="n">
        <v>0</v>
      </c>
      <c r="P256" t="n">
        <v>0</v>
      </c>
      <c r="Q256" t="n">
        <v>0</v>
      </c>
      <c r="R256" s="2" t="inlineStr"/>
    </row>
    <row r="257" ht="15" customHeight="1">
      <c r="A257" t="inlineStr">
        <is>
          <t>A 21420-2024</t>
        </is>
      </c>
      <c r="B257" s="1" t="n">
        <v>45441.38293981482</v>
      </c>
      <c r="C257" s="1" t="n">
        <v>46161</v>
      </c>
      <c r="D257" t="inlineStr">
        <is>
          <t>GOTLANDS LÄN</t>
        </is>
      </c>
      <c r="E257" t="inlineStr">
        <is>
          <t>GOTLAND</t>
        </is>
      </c>
      <c r="G257" t="n">
        <v>4.1</v>
      </c>
      <c r="H257" t="n">
        <v>0</v>
      </c>
      <c r="I257" t="n">
        <v>0</v>
      </c>
      <c r="J257" t="n">
        <v>0</v>
      </c>
      <c r="K257" t="n">
        <v>0</v>
      </c>
      <c r="L257" t="n">
        <v>0</v>
      </c>
      <c r="M257" t="n">
        <v>0</v>
      </c>
      <c r="N257" t="n">
        <v>0</v>
      </c>
      <c r="O257" t="n">
        <v>0</v>
      </c>
      <c r="P257" t="n">
        <v>0</v>
      </c>
      <c r="Q257" t="n">
        <v>0</v>
      </c>
      <c r="R257" s="2" t="inlineStr"/>
    </row>
    <row r="258" ht="15" customHeight="1">
      <c r="A258" t="inlineStr">
        <is>
          <t>A 10656-2024</t>
        </is>
      </c>
      <c r="B258" s="1" t="n">
        <v>45368</v>
      </c>
      <c r="C258" s="1" t="n">
        <v>46161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57356-2023</t>
        </is>
      </c>
      <c r="B259" s="1" t="n">
        <v>45240</v>
      </c>
      <c r="C259" s="1" t="n">
        <v>46161</v>
      </c>
      <c r="D259" t="inlineStr">
        <is>
          <t>GOTLANDS LÄN</t>
        </is>
      </c>
      <c r="E259" t="inlineStr">
        <is>
          <t>GOTLAND</t>
        </is>
      </c>
      <c r="G259" t="n">
        <v>6.4</v>
      </c>
      <c r="H259" t="n">
        <v>0</v>
      </c>
      <c r="I259" t="n">
        <v>0</v>
      </c>
      <c r="J259" t="n">
        <v>0</v>
      </c>
      <c r="K259" t="n">
        <v>0</v>
      </c>
      <c r="L259" t="n">
        <v>0</v>
      </c>
      <c r="M259" t="n">
        <v>0</v>
      </c>
      <c r="N259" t="n">
        <v>0</v>
      </c>
      <c r="O259" t="n">
        <v>0</v>
      </c>
      <c r="P259" t="n">
        <v>0</v>
      </c>
      <c r="Q259" t="n">
        <v>0</v>
      </c>
      <c r="R259" s="2" t="inlineStr"/>
    </row>
    <row r="260" ht="15" customHeight="1">
      <c r="A260" t="inlineStr">
        <is>
          <t>A 49874-2024</t>
        </is>
      </c>
      <c r="B260" s="1" t="n">
        <v>45597.49274305555</v>
      </c>
      <c r="C260" s="1" t="n">
        <v>46161</v>
      </c>
      <c r="D260" t="inlineStr">
        <is>
          <t>GOTLANDS LÄN</t>
        </is>
      </c>
      <c r="E260" t="inlineStr">
        <is>
          <t>GOTLAND</t>
        </is>
      </c>
      <c r="G260" t="n">
        <v>1.1</v>
      </c>
      <c r="H260" t="n">
        <v>0</v>
      </c>
      <c r="I260" t="n">
        <v>0</v>
      </c>
      <c r="J260" t="n">
        <v>0</v>
      </c>
      <c r="K260" t="n">
        <v>0</v>
      </c>
      <c r="L260" t="n">
        <v>0</v>
      </c>
      <c r="M260" t="n">
        <v>0</v>
      </c>
      <c r="N260" t="n">
        <v>0</v>
      </c>
      <c r="O260" t="n">
        <v>0</v>
      </c>
      <c r="P260" t="n">
        <v>0</v>
      </c>
      <c r="Q260" t="n">
        <v>0</v>
      </c>
      <c r="R260" s="2" t="inlineStr"/>
    </row>
    <row r="261" ht="15" customHeight="1">
      <c r="A261" t="inlineStr">
        <is>
          <t>A 39814-2025</t>
        </is>
      </c>
      <c r="B261" s="1" t="n">
        <v>45891.52694444444</v>
      </c>
      <c r="C261" s="1" t="n">
        <v>46161</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28506-2023</t>
        </is>
      </c>
      <c r="B262" s="1" t="n">
        <v>45103</v>
      </c>
      <c r="C262" s="1" t="n">
        <v>46161</v>
      </c>
      <c r="D262" t="inlineStr">
        <is>
          <t>GOTLANDS LÄN</t>
        </is>
      </c>
      <c r="E262" t="inlineStr">
        <is>
          <t>GOTLAND</t>
        </is>
      </c>
      <c r="G262" t="n">
        <v>3.2</v>
      </c>
      <c r="H262" t="n">
        <v>0</v>
      </c>
      <c r="I262" t="n">
        <v>0</v>
      </c>
      <c r="J262" t="n">
        <v>0</v>
      </c>
      <c r="K262" t="n">
        <v>0</v>
      </c>
      <c r="L262" t="n">
        <v>0</v>
      </c>
      <c r="M262" t="n">
        <v>0</v>
      </c>
      <c r="N262" t="n">
        <v>0</v>
      </c>
      <c r="O262" t="n">
        <v>0</v>
      </c>
      <c r="P262" t="n">
        <v>0</v>
      </c>
      <c r="Q262" t="n">
        <v>0</v>
      </c>
      <c r="R262" s="2" t="inlineStr"/>
    </row>
    <row r="263" ht="15" customHeight="1">
      <c r="A263" t="inlineStr">
        <is>
          <t>A 49724-2025</t>
        </is>
      </c>
      <c r="B263" s="1" t="n">
        <v>45939.83730324074</v>
      </c>
      <c r="C263" s="1" t="n">
        <v>46161</v>
      </c>
      <c r="D263" t="inlineStr">
        <is>
          <t>GOTLANDS LÄN</t>
        </is>
      </c>
      <c r="E263" t="inlineStr">
        <is>
          <t>GOTLAND</t>
        </is>
      </c>
      <c r="F263" t="inlineStr">
        <is>
          <t>Kyrkan</t>
        </is>
      </c>
      <c r="G263" t="n">
        <v>3.1</v>
      </c>
      <c r="H263" t="n">
        <v>0</v>
      </c>
      <c r="I263" t="n">
        <v>0</v>
      </c>
      <c r="J263" t="n">
        <v>0</v>
      </c>
      <c r="K263" t="n">
        <v>0</v>
      </c>
      <c r="L263" t="n">
        <v>0</v>
      </c>
      <c r="M263" t="n">
        <v>0</v>
      </c>
      <c r="N263" t="n">
        <v>0</v>
      </c>
      <c r="O263" t="n">
        <v>0</v>
      </c>
      <c r="P263" t="n">
        <v>0</v>
      </c>
      <c r="Q263" t="n">
        <v>0</v>
      </c>
      <c r="R263" s="2" t="inlineStr"/>
    </row>
    <row r="264" ht="15" customHeight="1">
      <c r="A264" t="inlineStr">
        <is>
          <t>A 49730-2025</t>
        </is>
      </c>
      <c r="B264" s="1" t="n">
        <v>45939.87613425926</v>
      </c>
      <c r="C264" s="1" t="n">
        <v>46161</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46161</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23188-2025</t>
        </is>
      </c>
      <c r="B266" s="1" t="n">
        <v>45791</v>
      </c>
      <c r="C266" s="1" t="n">
        <v>46161</v>
      </c>
      <c r="D266" t="inlineStr">
        <is>
          <t>GOTLANDS LÄN</t>
        </is>
      </c>
      <c r="E266" t="inlineStr">
        <is>
          <t>GOTLAND</t>
        </is>
      </c>
      <c r="G266" t="n">
        <v>6.2</v>
      </c>
      <c r="H266" t="n">
        <v>0</v>
      </c>
      <c r="I266" t="n">
        <v>0</v>
      </c>
      <c r="J266" t="n">
        <v>0</v>
      </c>
      <c r="K266" t="n">
        <v>0</v>
      </c>
      <c r="L266" t="n">
        <v>0</v>
      </c>
      <c r="M266" t="n">
        <v>0</v>
      </c>
      <c r="N266" t="n">
        <v>0</v>
      </c>
      <c r="O266" t="n">
        <v>0</v>
      </c>
      <c r="P266" t="n">
        <v>0</v>
      </c>
      <c r="Q266" t="n">
        <v>0</v>
      </c>
      <c r="R266" s="2" t="inlineStr"/>
    </row>
    <row r="267" ht="15" customHeight="1">
      <c r="A267" t="inlineStr">
        <is>
          <t>A 50421-2025</t>
        </is>
      </c>
      <c r="B267" s="1" t="n">
        <v>45944.66049768519</v>
      </c>
      <c r="C267" s="1" t="n">
        <v>46161</v>
      </c>
      <c r="D267" t="inlineStr">
        <is>
          <t>GOTLANDS LÄN</t>
        </is>
      </c>
      <c r="E267" t="inlineStr">
        <is>
          <t>GOTLAND</t>
        </is>
      </c>
      <c r="G267" t="n">
        <v>3.9</v>
      </c>
      <c r="H267" t="n">
        <v>0</v>
      </c>
      <c r="I267" t="n">
        <v>0</v>
      </c>
      <c r="J267" t="n">
        <v>0</v>
      </c>
      <c r="K267" t="n">
        <v>0</v>
      </c>
      <c r="L267" t="n">
        <v>0</v>
      </c>
      <c r="M267" t="n">
        <v>0</v>
      </c>
      <c r="N267" t="n">
        <v>0</v>
      </c>
      <c r="O267" t="n">
        <v>0</v>
      </c>
      <c r="P267" t="n">
        <v>0</v>
      </c>
      <c r="Q267" t="n">
        <v>0</v>
      </c>
      <c r="R267" s="2" t="inlineStr"/>
    </row>
    <row r="268" ht="15" customHeight="1">
      <c r="A268" t="inlineStr">
        <is>
          <t>A 39752-2025</t>
        </is>
      </c>
      <c r="B268" s="1" t="n">
        <v>45891</v>
      </c>
      <c r="C268" s="1" t="n">
        <v>46161</v>
      </c>
      <c r="D268" t="inlineStr">
        <is>
          <t>GOTLANDS LÄN</t>
        </is>
      </c>
      <c r="E268" t="inlineStr">
        <is>
          <t>GOTLAND</t>
        </is>
      </c>
      <c r="G268" t="n">
        <v>5.3</v>
      </c>
      <c r="H268" t="n">
        <v>0</v>
      </c>
      <c r="I268" t="n">
        <v>0</v>
      </c>
      <c r="J268" t="n">
        <v>0</v>
      </c>
      <c r="K268" t="n">
        <v>0</v>
      </c>
      <c r="L268" t="n">
        <v>0</v>
      </c>
      <c r="M268" t="n">
        <v>0</v>
      </c>
      <c r="N268" t="n">
        <v>0</v>
      </c>
      <c r="O268" t="n">
        <v>0</v>
      </c>
      <c r="P268" t="n">
        <v>0</v>
      </c>
      <c r="Q268" t="n">
        <v>0</v>
      </c>
      <c r="R268" s="2" t="inlineStr"/>
    </row>
    <row r="269" ht="15" customHeight="1">
      <c r="A269" t="inlineStr">
        <is>
          <t>A 39816-2025</t>
        </is>
      </c>
      <c r="B269" s="1" t="n">
        <v>45891</v>
      </c>
      <c r="C269" s="1" t="n">
        <v>46161</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40372-2025</t>
        </is>
      </c>
      <c r="B270" s="1" t="n">
        <v>45895.5162037037</v>
      </c>
      <c r="C270" s="1" t="n">
        <v>46161</v>
      </c>
      <c r="D270" t="inlineStr">
        <is>
          <t>GOTLANDS LÄN</t>
        </is>
      </c>
      <c r="E270" t="inlineStr">
        <is>
          <t>GOTLAND</t>
        </is>
      </c>
      <c r="G270" t="n">
        <v>3.3</v>
      </c>
      <c r="H270" t="n">
        <v>0</v>
      </c>
      <c r="I270" t="n">
        <v>0</v>
      </c>
      <c r="J270" t="n">
        <v>0</v>
      </c>
      <c r="K270" t="n">
        <v>0</v>
      </c>
      <c r="L270" t="n">
        <v>0</v>
      </c>
      <c r="M270" t="n">
        <v>0</v>
      </c>
      <c r="N270" t="n">
        <v>0</v>
      </c>
      <c r="O270" t="n">
        <v>0</v>
      </c>
      <c r="P270" t="n">
        <v>0</v>
      </c>
      <c r="Q270" t="n">
        <v>0</v>
      </c>
      <c r="R270" s="2" t="inlineStr"/>
    </row>
    <row r="271" ht="15" customHeight="1">
      <c r="A271" t="inlineStr">
        <is>
          <t>A 40373-2025</t>
        </is>
      </c>
      <c r="B271" s="1" t="n">
        <v>45895.51821759259</v>
      </c>
      <c r="C271" s="1" t="n">
        <v>46161</v>
      </c>
      <c r="D271" t="inlineStr">
        <is>
          <t>GOTLANDS LÄN</t>
        </is>
      </c>
      <c r="E271" t="inlineStr">
        <is>
          <t>GOTLAND</t>
        </is>
      </c>
      <c r="G271" t="n">
        <v>0.6</v>
      </c>
      <c r="H271" t="n">
        <v>0</v>
      </c>
      <c r="I271" t="n">
        <v>0</v>
      </c>
      <c r="J271" t="n">
        <v>0</v>
      </c>
      <c r="K271" t="n">
        <v>0</v>
      </c>
      <c r="L271" t="n">
        <v>0</v>
      </c>
      <c r="M271" t="n">
        <v>0</v>
      </c>
      <c r="N271" t="n">
        <v>0</v>
      </c>
      <c r="O271" t="n">
        <v>0</v>
      </c>
      <c r="P271" t="n">
        <v>0</v>
      </c>
      <c r="Q271" t="n">
        <v>0</v>
      </c>
      <c r="R271" s="2" t="inlineStr"/>
    </row>
    <row r="272" ht="15" customHeight="1">
      <c r="A272" t="inlineStr">
        <is>
          <t>A 50431-2025</t>
        </is>
      </c>
      <c r="B272" s="1" t="n">
        <v>45944.68453703704</v>
      </c>
      <c r="C272" s="1" t="n">
        <v>46161</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23856-2025</t>
        </is>
      </c>
      <c r="B273" s="1" t="n">
        <v>45793</v>
      </c>
      <c r="C273" s="1" t="n">
        <v>46161</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23473-2025</t>
        </is>
      </c>
      <c r="B274" s="1" t="n">
        <v>45792</v>
      </c>
      <c r="C274" s="1" t="n">
        <v>46161</v>
      </c>
      <c r="D274" t="inlineStr">
        <is>
          <t>GOTLANDS LÄN</t>
        </is>
      </c>
      <c r="E274" t="inlineStr">
        <is>
          <t>GOTLAND</t>
        </is>
      </c>
      <c r="G274" t="n">
        <v>3.6</v>
      </c>
      <c r="H274" t="n">
        <v>0</v>
      </c>
      <c r="I274" t="n">
        <v>0</v>
      </c>
      <c r="J274" t="n">
        <v>0</v>
      </c>
      <c r="K274" t="n">
        <v>0</v>
      </c>
      <c r="L274" t="n">
        <v>0</v>
      </c>
      <c r="M274" t="n">
        <v>0</v>
      </c>
      <c r="N274" t="n">
        <v>0</v>
      </c>
      <c r="O274" t="n">
        <v>0</v>
      </c>
      <c r="P274" t="n">
        <v>0</v>
      </c>
      <c r="Q274" t="n">
        <v>0</v>
      </c>
      <c r="R274" s="2" t="inlineStr"/>
    </row>
    <row r="275" ht="15" customHeight="1">
      <c r="A275" t="inlineStr">
        <is>
          <t>A 51782-2023</t>
        </is>
      </c>
      <c r="B275" s="1" t="n">
        <v>45222.80952546297</v>
      </c>
      <c r="C275" s="1" t="n">
        <v>46161</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23698-2025</t>
        </is>
      </c>
      <c r="B276" s="1" t="n">
        <v>45793</v>
      </c>
      <c r="C276" s="1" t="n">
        <v>46161</v>
      </c>
      <c r="D276" t="inlineStr">
        <is>
          <t>GOTLANDS LÄN</t>
        </is>
      </c>
      <c r="E276" t="inlineStr">
        <is>
          <t>GOTLAND</t>
        </is>
      </c>
      <c r="G276" t="n">
        <v>0.8</v>
      </c>
      <c r="H276" t="n">
        <v>0</v>
      </c>
      <c r="I276" t="n">
        <v>0</v>
      </c>
      <c r="J276" t="n">
        <v>0</v>
      </c>
      <c r="K276" t="n">
        <v>0</v>
      </c>
      <c r="L276" t="n">
        <v>0</v>
      </c>
      <c r="M276" t="n">
        <v>0</v>
      </c>
      <c r="N276" t="n">
        <v>0</v>
      </c>
      <c r="O276" t="n">
        <v>0</v>
      </c>
      <c r="P276" t="n">
        <v>0</v>
      </c>
      <c r="Q276" t="n">
        <v>0</v>
      </c>
      <c r="R276" s="2" t="inlineStr"/>
    </row>
    <row r="277" ht="15" customHeight="1">
      <c r="A277" t="inlineStr">
        <is>
          <t>A 15073-2025</t>
        </is>
      </c>
      <c r="B277" s="1" t="n">
        <v>45743</v>
      </c>
      <c r="C277" s="1" t="n">
        <v>46161</v>
      </c>
      <c r="D277" t="inlineStr">
        <is>
          <t>GOTLANDS LÄN</t>
        </is>
      </c>
      <c r="E277" t="inlineStr">
        <is>
          <t>GOTLAND</t>
        </is>
      </c>
      <c r="G277" t="n">
        <v>12.1</v>
      </c>
      <c r="H277" t="n">
        <v>0</v>
      </c>
      <c r="I277" t="n">
        <v>0</v>
      </c>
      <c r="J277" t="n">
        <v>0</v>
      </c>
      <c r="K277" t="n">
        <v>0</v>
      </c>
      <c r="L277" t="n">
        <v>0</v>
      </c>
      <c r="M277" t="n">
        <v>0</v>
      </c>
      <c r="N277" t="n">
        <v>0</v>
      </c>
      <c r="O277" t="n">
        <v>0</v>
      </c>
      <c r="P277" t="n">
        <v>0</v>
      </c>
      <c r="Q277" t="n">
        <v>0</v>
      </c>
      <c r="R277" s="2" t="inlineStr"/>
    </row>
    <row r="278" ht="15" customHeight="1">
      <c r="A278" t="inlineStr">
        <is>
          <t>A 60675-2021</t>
        </is>
      </c>
      <c r="B278" s="1" t="n">
        <v>44496.64855324074</v>
      </c>
      <c r="C278" s="1" t="n">
        <v>46161</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5217-2023</t>
        </is>
      </c>
      <c r="B279" s="1" t="n">
        <v>44959.39582175926</v>
      </c>
      <c r="C279" s="1" t="n">
        <v>46161</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14638-2025</t>
        </is>
      </c>
      <c r="B280" s="1" t="n">
        <v>45742</v>
      </c>
      <c r="C280" s="1" t="n">
        <v>46161</v>
      </c>
      <c r="D280" t="inlineStr">
        <is>
          <t>GOTLANDS LÄN</t>
        </is>
      </c>
      <c r="E280" t="inlineStr">
        <is>
          <t>GOTLAND</t>
        </is>
      </c>
      <c r="G280" t="n">
        <v>13.4</v>
      </c>
      <c r="H280" t="n">
        <v>0</v>
      </c>
      <c r="I280" t="n">
        <v>0</v>
      </c>
      <c r="J280" t="n">
        <v>0</v>
      </c>
      <c r="K280" t="n">
        <v>0</v>
      </c>
      <c r="L280" t="n">
        <v>0</v>
      </c>
      <c r="M280" t="n">
        <v>0</v>
      </c>
      <c r="N280" t="n">
        <v>0</v>
      </c>
      <c r="O280" t="n">
        <v>0</v>
      </c>
      <c r="P280" t="n">
        <v>0</v>
      </c>
      <c r="Q280" t="n">
        <v>0</v>
      </c>
      <c r="R280" s="2" t="inlineStr"/>
    </row>
    <row r="281" ht="15" customHeight="1">
      <c r="A281" t="inlineStr">
        <is>
          <t>A 50928-2025</t>
        </is>
      </c>
      <c r="B281" s="1" t="n">
        <v>45946.67896990741</v>
      </c>
      <c r="C281" s="1" t="n">
        <v>46161</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46161</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51262-2025</t>
        </is>
      </c>
      <c r="B283" s="1" t="n">
        <v>45949.49872685185</v>
      </c>
      <c r="C283" s="1" t="n">
        <v>46161</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4421-2024</t>
        </is>
      </c>
      <c r="B284" s="1" t="n">
        <v>45327.45173611111</v>
      </c>
      <c r="C284" s="1" t="n">
        <v>46161</v>
      </c>
      <c r="D284" t="inlineStr">
        <is>
          <t>GOTLANDS LÄN</t>
        </is>
      </c>
      <c r="E284" t="inlineStr">
        <is>
          <t>GOTLAND</t>
        </is>
      </c>
      <c r="G284" t="n">
        <v>5.1</v>
      </c>
      <c r="H284" t="n">
        <v>0</v>
      </c>
      <c r="I284" t="n">
        <v>0</v>
      </c>
      <c r="J284" t="n">
        <v>0</v>
      </c>
      <c r="K284" t="n">
        <v>0</v>
      </c>
      <c r="L284" t="n">
        <v>0</v>
      </c>
      <c r="M284" t="n">
        <v>0</v>
      </c>
      <c r="N284" t="n">
        <v>0</v>
      </c>
      <c r="O284" t="n">
        <v>0</v>
      </c>
      <c r="P284" t="n">
        <v>0</v>
      </c>
      <c r="Q284" t="n">
        <v>0</v>
      </c>
      <c r="R284" s="2" t="inlineStr"/>
    </row>
    <row r="285" ht="15" customHeight="1">
      <c r="A285" t="inlineStr">
        <is>
          <t>A 6749-2025</t>
        </is>
      </c>
      <c r="B285" s="1" t="n">
        <v>45700</v>
      </c>
      <c r="C285" s="1" t="n">
        <v>46161</v>
      </c>
      <c r="D285" t="inlineStr">
        <is>
          <t>GOTLANDS LÄN</t>
        </is>
      </c>
      <c r="E285" t="inlineStr">
        <is>
          <t>GOTLAND</t>
        </is>
      </c>
      <c r="G285" t="n">
        <v>4.5</v>
      </c>
      <c r="H285" t="n">
        <v>0</v>
      </c>
      <c r="I285" t="n">
        <v>0</v>
      </c>
      <c r="J285" t="n">
        <v>0</v>
      </c>
      <c r="K285" t="n">
        <v>0</v>
      </c>
      <c r="L285" t="n">
        <v>0</v>
      </c>
      <c r="M285" t="n">
        <v>0</v>
      </c>
      <c r="N285" t="n">
        <v>0</v>
      </c>
      <c r="O285" t="n">
        <v>0</v>
      </c>
      <c r="P285" t="n">
        <v>0</v>
      </c>
      <c r="Q285" t="n">
        <v>0</v>
      </c>
      <c r="R285" s="2" t="inlineStr"/>
    </row>
    <row r="286" ht="15" customHeight="1">
      <c r="A286" t="inlineStr">
        <is>
          <t>A 40499-2025</t>
        </is>
      </c>
      <c r="B286" s="1" t="n">
        <v>45896.32517361111</v>
      </c>
      <c r="C286" s="1" t="n">
        <v>46161</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20165-2022</t>
        </is>
      </c>
      <c r="B287" s="1" t="n">
        <v>44698.49854166667</v>
      </c>
      <c r="C287" s="1" t="n">
        <v>46161</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31264-2021</t>
        </is>
      </c>
      <c r="B288" s="1" t="n">
        <v>44368</v>
      </c>
      <c r="C288" s="1" t="n">
        <v>46161</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5462-2025</t>
        </is>
      </c>
      <c r="B289" s="1" t="n">
        <v>45693.29331018519</v>
      </c>
      <c r="C289" s="1" t="n">
        <v>46161</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46161</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33876-2024</t>
        </is>
      </c>
      <c r="B291" s="1" t="n">
        <v>45521.87988425926</v>
      </c>
      <c r="C291" s="1" t="n">
        <v>46161</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45183.45642361111</v>
      </c>
      <c r="C292" s="1" t="n">
        <v>46161</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61962-2024</t>
        </is>
      </c>
      <c r="B293" s="1" t="n">
        <v>45653.54340277778</v>
      </c>
      <c r="C293" s="1" t="n">
        <v>46161</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39278-2025</t>
        </is>
      </c>
      <c r="B294" s="1" t="n">
        <v>45889</v>
      </c>
      <c r="C294" s="1" t="n">
        <v>46161</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27930-2021</t>
        </is>
      </c>
      <c r="B295" s="1" t="n">
        <v>44354</v>
      </c>
      <c r="C295" s="1" t="n">
        <v>46161</v>
      </c>
      <c r="D295" t="inlineStr">
        <is>
          <t>GOTLANDS LÄN</t>
        </is>
      </c>
      <c r="E295" t="inlineStr">
        <is>
          <t>GOTLAND</t>
        </is>
      </c>
      <c r="G295" t="n">
        <v>2.5</v>
      </c>
      <c r="H295" t="n">
        <v>0</v>
      </c>
      <c r="I295" t="n">
        <v>0</v>
      </c>
      <c r="J295" t="n">
        <v>0</v>
      </c>
      <c r="K295" t="n">
        <v>0</v>
      </c>
      <c r="L295" t="n">
        <v>0</v>
      </c>
      <c r="M295" t="n">
        <v>0</v>
      </c>
      <c r="N295" t="n">
        <v>0</v>
      </c>
      <c r="O295" t="n">
        <v>0</v>
      </c>
      <c r="P295" t="n">
        <v>0</v>
      </c>
      <c r="Q295" t="n">
        <v>0</v>
      </c>
      <c r="R295" s="2" t="inlineStr"/>
    </row>
    <row r="296" ht="15" customHeight="1">
      <c r="A296" t="inlineStr">
        <is>
          <t>A 59469-2024</t>
        </is>
      </c>
      <c r="B296" s="1" t="n">
        <v>45638</v>
      </c>
      <c r="C296" s="1" t="n">
        <v>46161</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41435-2025</t>
        </is>
      </c>
      <c r="B297" s="1" t="n">
        <v>45901.39974537037</v>
      </c>
      <c r="C297" s="1" t="n">
        <v>46161</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5751-2024</t>
        </is>
      </c>
      <c r="B298" s="1" t="n">
        <v>45335.32702546296</v>
      </c>
      <c r="C298" s="1" t="n">
        <v>46161</v>
      </c>
      <c r="D298" t="inlineStr">
        <is>
          <t>GOTLANDS LÄN</t>
        </is>
      </c>
      <c r="E298" t="inlineStr">
        <is>
          <t>GOTLAND</t>
        </is>
      </c>
      <c r="G298" t="n">
        <v>4.2</v>
      </c>
      <c r="H298" t="n">
        <v>0</v>
      </c>
      <c r="I298" t="n">
        <v>0</v>
      </c>
      <c r="J298" t="n">
        <v>0</v>
      </c>
      <c r="K298" t="n">
        <v>0</v>
      </c>
      <c r="L298" t="n">
        <v>0</v>
      </c>
      <c r="M298" t="n">
        <v>0</v>
      </c>
      <c r="N298" t="n">
        <v>0</v>
      </c>
      <c r="O298" t="n">
        <v>0</v>
      </c>
      <c r="P298" t="n">
        <v>0</v>
      </c>
      <c r="Q298" t="n">
        <v>0</v>
      </c>
      <c r="R298" s="2" t="inlineStr"/>
    </row>
    <row r="299" ht="15" customHeight="1">
      <c r="A299" t="inlineStr">
        <is>
          <t>A 6696-2023</t>
        </is>
      </c>
      <c r="B299" s="1" t="n">
        <v>44966.66425925926</v>
      </c>
      <c r="C299" s="1" t="n">
        <v>46161</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28480-2023</t>
        </is>
      </c>
      <c r="B300" s="1" t="n">
        <v>45103</v>
      </c>
      <c r="C300" s="1" t="n">
        <v>46161</v>
      </c>
      <c r="D300" t="inlineStr">
        <is>
          <t>GOTLANDS LÄN</t>
        </is>
      </c>
      <c r="E300" t="inlineStr">
        <is>
          <t>GOTLAND</t>
        </is>
      </c>
      <c r="G300" t="n">
        <v>5.7</v>
      </c>
      <c r="H300" t="n">
        <v>0</v>
      </c>
      <c r="I300" t="n">
        <v>0</v>
      </c>
      <c r="J300" t="n">
        <v>0</v>
      </c>
      <c r="K300" t="n">
        <v>0</v>
      </c>
      <c r="L300" t="n">
        <v>0</v>
      </c>
      <c r="M300" t="n">
        <v>0</v>
      </c>
      <c r="N300" t="n">
        <v>0</v>
      </c>
      <c r="O300" t="n">
        <v>0</v>
      </c>
      <c r="P300" t="n">
        <v>0</v>
      </c>
      <c r="Q300" t="n">
        <v>0</v>
      </c>
      <c r="R300" s="2" t="inlineStr"/>
    </row>
    <row r="301" ht="15" customHeight="1">
      <c r="A301" t="inlineStr">
        <is>
          <t>A 28485-2023</t>
        </is>
      </c>
      <c r="B301" s="1" t="n">
        <v>45103.43731481482</v>
      </c>
      <c r="C301" s="1" t="n">
        <v>46161</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4990-2025</t>
        </is>
      </c>
      <c r="B302" s="1" t="n">
        <v>45691</v>
      </c>
      <c r="C302" s="1" t="n">
        <v>46161</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25796-2025</t>
        </is>
      </c>
      <c r="B303" s="1" t="n">
        <v>45804.39543981481</v>
      </c>
      <c r="C303" s="1" t="n">
        <v>46161</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42608-2025</t>
        </is>
      </c>
      <c r="B304" s="1" t="n">
        <v>45905</v>
      </c>
      <c r="C304" s="1" t="n">
        <v>46161</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46161</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46161</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26465-2025</t>
        </is>
      </c>
      <c r="B307" s="1" t="n">
        <v>45807.44377314814</v>
      </c>
      <c r="C307" s="1" t="n">
        <v>46161</v>
      </c>
      <c r="D307" t="inlineStr">
        <is>
          <t>GOTLANDS LÄN</t>
        </is>
      </c>
      <c r="E307" t="inlineStr">
        <is>
          <t>GOTLAND</t>
        </is>
      </c>
      <c r="G307" t="n">
        <v>4.5</v>
      </c>
      <c r="H307" t="n">
        <v>0</v>
      </c>
      <c r="I307" t="n">
        <v>0</v>
      </c>
      <c r="J307" t="n">
        <v>0</v>
      </c>
      <c r="K307" t="n">
        <v>0</v>
      </c>
      <c r="L307" t="n">
        <v>0</v>
      </c>
      <c r="M307" t="n">
        <v>0</v>
      </c>
      <c r="N307" t="n">
        <v>0</v>
      </c>
      <c r="O307" t="n">
        <v>0</v>
      </c>
      <c r="P307" t="n">
        <v>0</v>
      </c>
      <c r="Q307" t="n">
        <v>0</v>
      </c>
      <c r="R307" s="2" t="inlineStr"/>
    </row>
    <row r="308" ht="15" customHeight="1">
      <c r="A308" t="inlineStr">
        <is>
          <t>A 26457-2025</t>
        </is>
      </c>
      <c r="B308" s="1" t="n">
        <v>45807.42773148148</v>
      </c>
      <c r="C308" s="1" t="n">
        <v>46161</v>
      </c>
      <c r="D308" t="inlineStr">
        <is>
          <t>GOTLANDS LÄN</t>
        </is>
      </c>
      <c r="E308" t="inlineStr">
        <is>
          <t>GOTLAND</t>
        </is>
      </c>
      <c r="G308" t="n">
        <v>5.7</v>
      </c>
      <c r="H308" t="n">
        <v>0</v>
      </c>
      <c r="I308" t="n">
        <v>0</v>
      </c>
      <c r="J308" t="n">
        <v>0</v>
      </c>
      <c r="K308" t="n">
        <v>0</v>
      </c>
      <c r="L308" t="n">
        <v>0</v>
      </c>
      <c r="M308" t="n">
        <v>0</v>
      </c>
      <c r="N308" t="n">
        <v>0</v>
      </c>
      <c r="O308" t="n">
        <v>0</v>
      </c>
      <c r="P308" t="n">
        <v>0</v>
      </c>
      <c r="Q308" t="n">
        <v>0</v>
      </c>
      <c r="R308" s="2" t="inlineStr"/>
    </row>
    <row r="309" ht="15" customHeight="1">
      <c r="A309" t="inlineStr">
        <is>
          <t>A 26467-2025</t>
        </is>
      </c>
      <c r="B309" s="1" t="n">
        <v>45807.44640046296</v>
      </c>
      <c r="C309" s="1" t="n">
        <v>46161</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49693-2023</t>
        </is>
      </c>
      <c r="B310" s="1" t="n">
        <v>45212.38138888889</v>
      </c>
      <c r="C310" s="1" t="n">
        <v>46161</v>
      </c>
      <c r="D310" t="inlineStr">
        <is>
          <t>GOTLANDS LÄN</t>
        </is>
      </c>
      <c r="E310" t="inlineStr">
        <is>
          <t>GOTLAND</t>
        </is>
      </c>
      <c r="G310" t="n">
        <v>2.4</v>
      </c>
      <c r="H310" t="n">
        <v>0</v>
      </c>
      <c r="I310" t="n">
        <v>0</v>
      </c>
      <c r="J310" t="n">
        <v>0</v>
      </c>
      <c r="K310" t="n">
        <v>0</v>
      </c>
      <c r="L310" t="n">
        <v>0</v>
      </c>
      <c r="M310" t="n">
        <v>0</v>
      </c>
      <c r="N310" t="n">
        <v>0</v>
      </c>
      <c r="O310" t="n">
        <v>0</v>
      </c>
      <c r="P310" t="n">
        <v>0</v>
      </c>
      <c r="Q310" t="n">
        <v>0</v>
      </c>
      <c r="R310" s="2" t="inlineStr"/>
    </row>
    <row r="311" ht="15" customHeight="1">
      <c r="A311" t="inlineStr">
        <is>
          <t>A 49697-2023</t>
        </is>
      </c>
      <c r="B311" s="1" t="n">
        <v>45212.38909722222</v>
      </c>
      <c r="C311" s="1" t="n">
        <v>46161</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34312-2024</t>
        </is>
      </c>
      <c r="B312" s="1" t="n">
        <v>45524.69703703704</v>
      </c>
      <c r="C312" s="1" t="n">
        <v>46161</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26660-2025</t>
        </is>
      </c>
      <c r="B313" s="1" t="n">
        <v>45810.39737268518</v>
      </c>
      <c r="C313" s="1" t="n">
        <v>46161</v>
      </c>
      <c r="D313" t="inlineStr">
        <is>
          <t>GOTLANDS LÄN</t>
        </is>
      </c>
      <c r="E313" t="inlineStr">
        <is>
          <t>GOTLAND</t>
        </is>
      </c>
      <c r="G313" t="n">
        <v>1.8</v>
      </c>
      <c r="H313" t="n">
        <v>0</v>
      </c>
      <c r="I313" t="n">
        <v>0</v>
      </c>
      <c r="J313" t="n">
        <v>0</v>
      </c>
      <c r="K313" t="n">
        <v>0</v>
      </c>
      <c r="L313" t="n">
        <v>0</v>
      </c>
      <c r="M313" t="n">
        <v>0</v>
      </c>
      <c r="N313" t="n">
        <v>0</v>
      </c>
      <c r="O313" t="n">
        <v>0</v>
      </c>
      <c r="P313" t="n">
        <v>0</v>
      </c>
      <c r="Q313" t="n">
        <v>0</v>
      </c>
      <c r="R313" s="2" t="inlineStr"/>
    </row>
    <row r="314" ht="15" customHeight="1">
      <c r="A314" t="inlineStr">
        <is>
          <t>A 10158-2025</t>
        </is>
      </c>
      <c r="B314" s="1" t="n">
        <v>45719</v>
      </c>
      <c r="C314" s="1" t="n">
        <v>46161</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27355-2025</t>
        </is>
      </c>
      <c r="B315" s="1" t="n">
        <v>45812</v>
      </c>
      <c r="C315" s="1" t="n">
        <v>46161</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48503-2023</t>
        </is>
      </c>
      <c r="B316" s="1" t="n">
        <v>45207</v>
      </c>
      <c r="C316" s="1" t="n">
        <v>46161</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27371-2025</t>
        </is>
      </c>
      <c r="B317" s="1" t="n">
        <v>45812</v>
      </c>
      <c r="C317" s="1" t="n">
        <v>46161</v>
      </c>
      <c r="D317" t="inlineStr">
        <is>
          <t>GOTLANDS LÄN</t>
        </is>
      </c>
      <c r="E317" t="inlineStr">
        <is>
          <t>GOTLAND</t>
        </is>
      </c>
      <c r="G317" t="n">
        <v>8</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46161</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24825-2024</t>
        </is>
      </c>
      <c r="B319" s="1" t="n">
        <v>45461</v>
      </c>
      <c r="C319" s="1" t="n">
        <v>46161</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22031-2024</t>
        </is>
      </c>
      <c r="B320" s="1" t="n">
        <v>45443.60075231481</v>
      </c>
      <c r="C320" s="1" t="n">
        <v>46161</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7850-2025</t>
        </is>
      </c>
      <c r="B321" s="1" t="n">
        <v>45706</v>
      </c>
      <c r="C321" s="1" t="n">
        <v>46161</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17688-2024</t>
        </is>
      </c>
      <c r="B322" s="1" t="n">
        <v>45418.43575231481</v>
      </c>
      <c r="C322" s="1" t="n">
        <v>46161</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6739-2025</t>
        </is>
      </c>
      <c r="B323" s="1" t="n">
        <v>45700</v>
      </c>
      <c r="C323" s="1" t="n">
        <v>46161</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46161</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46161</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52249-2025</t>
        </is>
      </c>
      <c r="B326" s="1" t="n">
        <v>45953.48637731482</v>
      </c>
      <c r="C326" s="1" t="n">
        <v>46161</v>
      </c>
      <c r="D326" t="inlineStr">
        <is>
          <t>GOTLANDS LÄN</t>
        </is>
      </c>
      <c r="E326" t="inlineStr">
        <is>
          <t>GOTLAND</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8444-2025</t>
        </is>
      </c>
      <c r="B327" s="1" t="n">
        <v>45709</v>
      </c>
      <c r="C327" s="1" t="n">
        <v>46161</v>
      </c>
      <c r="D327" t="inlineStr">
        <is>
          <t>GOTLANDS LÄN</t>
        </is>
      </c>
      <c r="E327" t="inlineStr">
        <is>
          <t>GOTLAND</t>
        </is>
      </c>
      <c r="G327" t="n">
        <v>5.2</v>
      </c>
      <c r="H327" t="n">
        <v>0</v>
      </c>
      <c r="I327" t="n">
        <v>0</v>
      </c>
      <c r="J327" t="n">
        <v>0</v>
      </c>
      <c r="K327" t="n">
        <v>0</v>
      </c>
      <c r="L327" t="n">
        <v>0</v>
      </c>
      <c r="M327" t="n">
        <v>0</v>
      </c>
      <c r="N327" t="n">
        <v>0</v>
      </c>
      <c r="O327" t="n">
        <v>0</v>
      </c>
      <c r="P327" t="n">
        <v>0</v>
      </c>
      <c r="Q327" t="n">
        <v>0</v>
      </c>
      <c r="R327" s="2" t="inlineStr"/>
    </row>
    <row r="328" ht="15" customHeight="1">
      <c r="A328" t="inlineStr">
        <is>
          <t>A 19905-2025</t>
        </is>
      </c>
      <c r="B328" s="1" t="n">
        <v>45771</v>
      </c>
      <c r="C328" s="1" t="n">
        <v>46161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44405-2025</t>
        </is>
      </c>
      <c r="B329" s="1" t="n">
        <v>45916.52405092592</v>
      </c>
      <c r="C329" s="1" t="n">
        <v>46161</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27694-2024</t>
        </is>
      </c>
      <c r="B330" s="1" t="n">
        <v>45475</v>
      </c>
      <c r="C330" s="1" t="n">
        <v>46161</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39764-2022</t>
        </is>
      </c>
      <c r="B331" s="1" t="n">
        <v>44819</v>
      </c>
      <c r="C331" s="1" t="n">
        <v>46161</v>
      </c>
      <c r="D331" t="inlineStr">
        <is>
          <t>GOTLANDS LÄN</t>
        </is>
      </c>
      <c r="E331" t="inlineStr">
        <is>
          <t>GOTLAND</t>
        </is>
      </c>
      <c r="F331" t="inlineStr">
        <is>
          <t>Kyrkan</t>
        </is>
      </c>
      <c r="G331" t="n">
        <v>3.7</v>
      </c>
      <c r="H331" t="n">
        <v>0</v>
      </c>
      <c r="I331" t="n">
        <v>0</v>
      </c>
      <c r="J331" t="n">
        <v>0</v>
      </c>
      <c r="K331" t="n">
        <v>0</v>
      </c>
      <c r="L331" t="n">
        <v>0</v>
      </c>
      <c r="M331" t="n">
        <v>0</v>
      </c>
      <c r="N331" t="n">
        <v>0</v>
      </c>
      <c r="O331" t="n">
        <v>0</v>
      </c>
      <c r="P331" t="n">
        <v>0</v>
      </c>
      <c r="Q331" t="n">
        <v>0</v>
      </c>
      <c r="R331" s="2" t="inlineStr"/>
    </row>
    <row r="332" ht="15" customHeight="1">
      <c r="A332" t="inlineStr">
        <is>
          <t>A 6099-2024</t>
        </is>
      </c>
      <c r="B332" s="1" t="n">
        <v>45337</v>
      </c>
      <c r="C332" s="1" t="n">
        <v>46161</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8260-2023</t>
        </is>
      </c>
      <c r="B333" s="1" t="n">
        <v>44974.61608796296</v>
      </c>
      <c r="C333" s="1" t="n">
        <v>46161</v>
      </c>
      <c r="D333" t="inlineStr">
        <is>
          <t>GOTLANDS LÄN</t>
        </is>
      </c>
      <c r="E333" t="inlineStr">
        <is>
          <t>GOTLAND</t>
        </is>
      </c>
      <c r="G333" t="n">
        <v>2.9</v>
      </c>
      <c r="H333" t="n">
        <v>0</v>
      </c>
      <c r="I333" t="n">
        <v>0</v>
      </c>
      <c r="J333" t="n">
        <v>0</v>
      </c>
      <c r="K333" t="n">
        <v>0</v>
      </c>
      <c r="L333" t="n">
        <v>0</v>
      </c>
      <c r="M333" t="n">
        <v>0</v>
      </c>
      <c r="N333" t="n">
        <v>0</v>
      </c>
      <c r="O333" t="n">
        <v>0</v>
      </c>
      <c r="P333" t="n">
        <v>0</v>
      </c>
      <c r="Q333" t="n">
        <v>0</v>
      </c>
      <c r="R333" s="2" t="inlineStr"/>
    </row>
    <row r="334" ht="15" customHeight="1">
      <c r="A334" t="inlineStr">
        <is>
          <t>A 22287-2022</t>
        </is>
      </c>
      <c r="B334" s="1" t="n">
        <v>44712</v>
      </c>
      <c r="C334" s="1" t="n">
        <v>46161</v>
      </c>
      <c r="D334" t="inlineStr">
        <is>
          <t>GOTLANDS LÄN</t>
        </is>
      </c>
      <c r="E334" t="inlineStr">
        <is>
          <t>GOTLAND</t>
        </is>
      </c>
      <c r="G334" t="n">
        <v>6.1</v>
      </c>
      <c r="H334" t="n">
        <v>0</v>
      </c>
      <c r="I334" t="n">
        <v>0</v>
      </c>
      <c r="J334" t="n">
        <v>0</v>
      </c>
      <c r="K334" t="n">
        <v>0</v>
      </c>
      <c r="L334" t="n">
        <v>0</v>
      </c>
      <c r="M334" t="n">
        <v>0</v>
      </c>
      <c r="N334" t="n">
        <v>0</v>
      </c>
      <c r="O334" t="n">
        <v>0</v>
      </c>
      <c r="P334" t="n">
        <v>0</v>
      </c>
      <c r="Q334" t="n">
        <v>0</v>
      </c>
      <c r="R334" s="2" t="inlineStr"/>
    </row>
    <row r="335" ht="15" customHeight="1">
      <c r="A335" t="inlineStr">
        <is>
          <t>A 57534-2022</t>
        </is>
      </c>
      <c r="B335" s="1" t="n">
        <v>44896</v>
      </c>
      <c r="C335" s="1" t="n">
        <v>46161</v>
      </c>
      <c r="D335" t="inlineStr">
        <is>
          <t>GOTLANDS LÄN</t>
        </is>
      </c>
      <c r="E335" t="inlineStr">
        <is>
          <t>GOTLAND</t>
        </is>
      </c>
      <c r="G335" t="n">
        <v>0.6</v>
      </c>
      <c r="H335" t="n">
        <v>0</v>
      </c>
      <c r="I335" t="n">
        <v>0</v>
      </c>
      <c r="J335" t="n">
        <v>0</v>
      </c>
      <c r="K335" t="n">
        <v>0</v>
      </c>
      <c r="L335" t="n">
        <v>0</v>
      </c>
      <c r="M335" t="n">
        <v>0</v>
      </c>
      <c r="N335" t="n">
        <v>0</v>
      </c>
      <c r="O335" t="n">
        <v>0</v>
      </c>
      <c r="P335" t="n">
        <v>0</v>
      </c>
      <c r="Q335" t="n">
        <v>0</v>
      </c>
      <c r="R335" s="2" t="inlineStr"/>
    </row>
    <row r="336" ht="15" customHeight="1">
      <c r="A336" t="inlineStr">
        <is>
          <t>A 29207-2025</t>
        </is>
      </c>
      <c r="B336" s="1" t="n">
        <v>45823</v>
      </c>
      <c r="C336" s="1" t="n">
        <v>46161</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29196-2025</t>
        </is>
      </c>
      <c r="B337" s="1" t="n">
        <v>45822</v>
      </c>
      <c r="C337" s="1" t="n">
        <v>46161</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52637-2025</t>
        </is>
      </c>
      <c r="B338" s="1" t="n">
        <v>45954.75099537037</v>
      </c>
      <c r="C338" s="1" t="n">
        <v>46161</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30061-2025</t>
        </is>
      </c>
      <c r="B339" s="1" t="n">
        <v>45826.61488425926</v>
      </c>
      <c r="C339" s="1" t="n">
        <v>46161</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64660-2023</t>
        </is>
      </c>
      <c r="B340" s="1" t="n">
        <v>45281.60122685185</v>
      </c>
      <c r="C340" s="1" t="n">
        <v>46161</v>
      </c>
      <c r="D340" t="inlineStr">
        <is>
          <t>GOTLANDS LÄN</t>
        </is>
      </c>
      <c r="E340" t="inlineStr">
        <is>
          <t>GOTLAND</t>
        </is>
      </c>
      <c r="G340" t="n">
        <v>6.3</v>
      </c>
      <c r="H340" t="n">
        <v>0</v>
      </c>
      <c r="I340" t="n">
        <v>0</v>
      </c>
      <c r="J340" t="n">
        <v>0</v>
      </c>
      <c r="K340" t="n">
        <v>0</v>
      </c>
      <c r="L340" t="n">
        <v>0</v>
      </c>
      <c r="M340" t="n">
        <v>0</v>
      </c>
      <c r="N340" t="n">
        <v>0</v>
      </c>
      <c r="O340" t="n">
        <v>0</v>
      </c>
      <c r="P340" t="n">
        <v>0</v>
      </c>
      <c r="Q340" t="n">
        <v>0</v>
      </c>
      <c r="R340" s="2" t="inlineStr"/>
    </row>
    <row r="341" ht="15" customHeight="1">
      <c r="A341" t="inlineStr">
        <is>
          <t>A 58160-2024</t>
        </is>
      </c>
      <c r="B341" s="1" t="n">
        <v>45632.44927083333</v>
      </c>
      <c r="C341" s="1" t="n">
        <v>46161</v>
      </c>
      <c r="D341" t="inlineStr">
        <is>
          <t>GOTLANDS LÄN</t>
        </is>
      </c>
      <c r="E341" t="inlineStr">
        <is>
          <t>GOTLAND</t>
        </is>
      </c>
      <c r="G341" t="n">
        <v>5.6</v>
      </c>
      <c r="H341" t="n">
        <v>0</v>
      </c>
      <c r="I341" t="n">
        <v>0</v>
      </c>
      <c r="J341" t="n">
        <v>0</v>
      </c>
      <c r="K341" t="n">
        <v>0</v>
      </c>
      <c r="L341" t="n">
        <v>0</v>
      </c>
      <c r="M341" t="n">
        <v>0</v>
      </c>
      <c r="N341" t="n">
        <v>0</v>
      </c>
      <c r="O341" t="n">
        <v>0</v>
      </c>
      <c r="P341" t="n">
        <v>0</v>
      </c>
      <c r="Q341" t="n">
        <v>0</v>
      </c>
      <c r="R341" s="2" t="inlineStr"/>
    </row>
    <row r="342" ht="15" customHeight="1">
      <c r="A342" t="inlineStr">
        <is>
          <t>A 20855-2023</t>
        </is>
      </c>
      <c r="B342" s="1" t="n">
        <v>45058.82172453704</v>
      </c>
      <c r="C342" s="1" t="n">
        <v>46161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26391-2025</t>
        </is>
      </c>
      <c r="B343" s="1" t="n">
        <v>45806</v>
      </c>
      <c r="C343" s="1" t="n">
        <v>46161</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53577-2025</t>
        </is>
      </c>
      <c r="B344" s="1" t="n">
        <v>45960.42224537037</v>
      </c>
      <c r="C344" s="1" t="n">
        <v>46161</v>
      </c>
      <c r="D344" t="inlineStr">
        <is>
          <t>GOTLANDS LÄN</t>
        </is>
      </c>
      <c r="E344" t="inlineStr">
        <is>
          <t>GOTLAND</t>
        </is>
      </c>
      <c r="F344" t="inlineStr">
        <is>
          <t>Övriga Aktiebolag</t>
        </is>
      </c>
      <c r="G344" t="n">
        <v>3.3</v>
      </c>
      <c r="H344" t="n">
        <v>0</v>
      </c>
      <c r="I344" t="n">
        <v>0</v>
      </c>
      <c r="J344" t="n">
        <v>0</v>
      </c>
      <c r="K344" t="n">
        <v>0</v>
      </c>
      <c r="L344" t="n">
        <v>0</v>
      </c>
      <c r="M344" t="n">
        <v>0</v>
      </c>
      <c r="N344" t="n">
        <v>0</v>
      </c>
      <c r="O344" t="n">
        <v>0</v>
      </c>
      <c r="P344" t="n">
        <v>0</v>
      </c>
      <c r="Q344" t="n">
        <v>0</v>
      </c>
      <c r="R344" s="2" t="inlineStr"/>
    </row>
    <row r="345" ht="15" customHeight="1">
      <c r="A345" t="inlineStr">
        <is>
          <t>A 53569-2025</t>
        </is>
      </c>
      <c r="B345" s="1" t="n">
        <v>45960.41155092593</v>
      </c>
      <c r="C345" s="1" t="n">
        <v>46161</v>
      </c>
      <c r="D345" t="inlineStr">
        <is>
          <t>GOTLANDS LÄN</t>
        </is>
      </c>
      <c r="E345" t="inlineStr">
        <is>
          <t>GOTLAND</t>
        </is>
      </c>
      <c r="F345" t="inlineStr">
        <is>
          <t>Övriga Aktiebolag</t>
        </is>
      </c>
      <c r="G345" t="n">
        <v>11.3</v>
      </c>
      <c r="H345" t="n">
        <v>0</v>
      </c>
      <c r="I345" t="n">
        <v>0</v>
      </c>
      <c r="J345" t="n">
        <v>0</v>
      </c>
      <c r="K345" t="n">
        <v>0</v>
      </c>
      <c r="L345" t="n">
        <v>0</v>
      </c>
      <c r="M345" t="n">
        <v>0</v>
      </c>
      <c r="N345" t="n">
        <v>0</v>
      </c>
      <c r="O345" t="n">
        <v>0</v>
      </c>
      <c r="P345" t="n">
        <v>0</v>
      </c>
      <c r="Q345" t="n">
        <v>0</v>
      </c>
      <c r="R345" s="2" t="inlineStr"/>
    </row>
    <row r="346" ht="15" customHeight="1">
      <c r="A346" t="inlineStr">
        <is>
          <t>A 60709-2023</t>
        </is>
      </c>
      <c r="B346" s="1" t="n">
        <v>45260</v>
      </c>
      <c r="C346" s="1" t="n">
        <v>46161</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1000-2024</t>
        </is>
      </c>
      <c r="B347" s="1" t="n">
        <v>45301.63371527778</v>
      </c>
      <c r="C347" s="1" t="n">
        <v>46161</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1010-2024</t>
        </is>
      </c>
      <c r="B348" s="1" t="n">
        <v>45301</v>
      </c>
      <c r="C348" s="1" t="n">
        <v>46161</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65249-2023</t>
        </is>
      </c>
      <c r="B349" s="1" t="n">
        <v>45290</v>
      </c>
      <c r="C349" s="1" t="n">
        <v>46161</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46836-2025</t>
        </is>
      </c>
      <c r="B350" s="1" t="n">
        <v>45928.31511574074</v>
      </c>
      <c r="C350" s="1" t="n">
        <v>46161</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30956-2024</t>
        </is>
      </c>
      <c r="B351" s="1" t="n">
        <v>45499.42527777778</v>
      </c>
      <c r="C351" s="1" t="n">
        <v>46161</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12596-2023</t>
        </is>
      </c>
      <c r="B352" s="1" t="n">
        <v>45000.43310185185</v>
      </c>
      <c r="C352" s="1" t="n">
        <v>46161</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8045-2022</t>
        </is>
      </c>
      <c r="B353" s="1" t="n">
        <v>44609</v>
      </c>
      <c r="C353" s="1" t="n">
        <v>46161</v>
      </c>
      <c r="D353" t="inlineStr">
        <is>
          <t>GOTLANDS LÄN</t>
        </is>
      </c>
      <c r="E353" t="inlineStr">
        <is>
          <t>GOTLAND</t>
        </is>
      </c>
      <c r="G353" t="n">
        <v>7</v>
      </c>
      <c r="H353" t="n">
        <v>0</v>
      </c>
      <c r="I353" t="n">
        <v>0</v>
      </c>
      <c r="J353" t="n">
        <v>0</v>
      </c>
      <c r="K353" t="n">
        <v>0</v>
      </c>
      <c r="L353" t="n">
        <v>0</v>
      </c>
      <c r="M353" t="n">
        <v>0</v>
      </c>
      <c r="N353" t="n">
        <v>0</v>
      </c>
      <c r="O353" t="n">
        <v>0</v>
      </c>
      <c r="P353" t="n">
        <v>0</v>
      </c>
      <c r="Q353" t="n">
        <v>0</v>
      </c>
      <c r="R353" s="2" t="inlineStr"/>
    </row>
    <row r="354" ht="15" customHeight="1">
      <c r="A354" t="inlineStr">
        <is>
          <t>A 47637-2025</t>
        </is>
      </c>
      <c r="B354" s="1" t="n">
        <v>45931.49753472222</v>
      </c>
      <c r="C354" s="1" t="n">
        <v>46161</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16109-2025</t>
        </is>
      </c>
      <c r="B355" s="1" t="n">
        <v>45750</v>
      </c>
      <c r="C355" s="1" t="n">
        <v>46161</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32467-2025</t>
        </is>
      </c>
      <c r="B356" s="1" t="n">
        <v>45838.42111111111</v>
      </c>
      <c r="C356" s="1" t="n">
        <v>46161</v>
      </c>
      <c r="D356" t="inlineStr">
        <is>
          <t>GOTLANDS LÄN</t>
        </is>
      </c>
      <c r="E356" t="inlineStr">
        <is>
          <t>GOTLAND</t>
        </is>
      </c>
      <c r="G356" t="n">
        <v>4.3</v>
      </c>
      <c r="H356" t="n">
        <v>0</v>
      </c>
      <c r="I356" t="n">
        <v>0</v>
      </c>
      <c r="J356" t="n">
        <v>0</v>
      </c>
      <c r="K356" t="n">
        <v>0</v>
      </c>
      <c r="L356" t="n">
        <v>0</v>
      </c>
      <c r="M356" t="n">
        <v>0</v>
      </c>
      <c r="N356" t="n">
        <v>0</v>
      </c>
      <c r="O356" t="n">
        <v>0</v>
      </c>
      <c r="P356" t="n">
        <v>0</v>
      </c>
      <c r="Q356" t="n">
        <v>0</v>
      </c>
      <c r="R356" s="2" t="inlineStr"/>
    </row>
    <row r="357" ht="15" customHeight="1">
      <c r="A357" t="inlineStr">
        <is>
          <t>A 32379-2025</t>
        </is>
      </c>
      <c r="B357" s="1" t="n">
        <v>45837</v>
      </c>
      <c r="C357" s="1" t="n">
        <v>46161</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999-2024</t>
        </is>
      </c>
      <c r="B358" s="1" t="n">
        <v>45301</v>
      </c>
      <c r="C358" s="1" t="n">
        <v>46161</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65901-2021</t>
        </is>
      </c>
      <c r="B359" s="1" t="n">
        <v>44516</v>
      </c>
      <c r="C359" s="1" t="n">
        <v>46161</v>
      </c>
      <c r="D359" t="inlineStr">
        <is>
          <t>GOTLANDS LÄN</t>
        </is>
      </c>
      <c r="E359" t="inlineStr">
        <is>
          <t>GOTLAND</t>
        </is>
      </c>
      <c r="G359" t="n">
        <v>4.9</v>
      </c>
      <c r="H359" t="n">
        <v>0</v>
      </c>
      <c r="I359" t="n">
        <v>0</v>
      </c>
      <c r="J359" t="n">
        <v>0</v>
      </c>
      <c r="K359" t="n">
        <v>0</v>
      </c>
      <c r="L359" t="n">
        <v>0</v>
      </c>
      <c r="M359" t="n">
        <v>0</v>
      </c>
      <c r="N359" t="n">
        <v>0</v>
      </c>
      <c r="O359" t="n">
        <v>0</v>
      </c>
      <c r="P359" t="n">
        <v>0</v>
      </c>
      <c r="Q359" t="n">
        <v>0</v>
      </c>
      <c r="R359" s="2" t="inlineStr"/>
    </row>
    <row r="360" ht="15" customHeight="1">
      <c r="A360" t="inlineStr">
        <is>
          <t>A 47762-2023</t>
        </is>
      </c>
      <c r="B360" s="1" t="n">
        <v>45203.86256944444</v>
      </c>
      <c r="C360" s="1" t="n">
        <v>46161</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33007-2025</t>
        </is>
      </c>
      <c r="B361" s="1" t="n">
        <v>45840</v>
      </c>
      <c r="C361" s="1" t="n">
        <v>46161</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40294-2022</t>
        </is>
      </c>
      <c r="B362" s="1" t="n">
        <v>44821</v>
      </c>
      <c r="C362" s="1" t="n">
        <v>46161</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27602-2023</t>
        </is>
      </c>
      <c r="B363" s="1" t="n">
        <v>45097</v>
      </c>
      <c r="C363" s="1" t="n">
        <v>46161</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58780-2024</t>
        </is>
      </c>
      <c r="B364" s="1" t="n">
        <v>45635.84113425926</v>
      </c>
      <c r="C364" s="1" t="n">
        <v>46161</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12322-2025</t>
        </is>
      </c>
      <c r="B365" s="1" t="n">
        <v>45730</v>
      </c>
      <c r="C365" s="1" t="n">
        <v>46161</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24192-2023</t>
        </is>
      </c>
      <c r="B366" s="1" t="n">
        <v>45079</v>
      </c>
      <c r="C366" s="1" t="n">
        <v>46161</v>
      </c>
      <c r="D366" t="inlineStr">
        <is>
          <t>GOTLANDS LÄN</t>
        </is>
      </c>
      <c r="E366" t="inlineStr">
        <is>
          <t>GOTLAND</t>
        </is>
      </c>
      <c r="G366" t="n">
        <v>2.1</v>
      </c>
      <c r="H366" t="n">
        <v>0</v>
      </c>
      <c r="I366" t="n">
        <v>0</v>
      </c>
      <c r="J366" t="n">
        <v>0</v>
      </c>
      <c r="K366" t="n">
        <v>0</v>
      </c>
      <c r="L366" t="n">
        <v>0</v>
      </c>
      <c r="M366" t="n">
        <v>0</v>
      </c>
      <c r="N366" t="n">
        <v>0</v>
      </c>
      <c r="O366" t="n">
        <v>0</v>
      </c>
      <c r="P366" t="n">
        <v>0</v>
      </c>
      <c r="Q366" t="n">
        <v>0</v>
      </c>
      <c r="R366" s="2" t="inlineStr"/>
    </row>
    <row r="367" ht="15" customHeight="1">
      <c r="A367" t="inlineStr">
        <is>
          <t>A 30282-2022</t>
        </is>
      </c>
      <c r="B367" s="1" t="n">
        <v>44760</v>
      </c>
      <c r="C367" s="1" t="n">
        <v>46161</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7835-2024</t>
        </is>
      </c>
      <c r="B368" s="1" t="n">
        <v>45349.83138888889</v>
      </c>
      <c r="C368" s="1" t="n">
        <v>46161</v>
      </c>
      <c r="D368" t="inlineStr">
        <is>
          <t>GOTLANDS LÄN</t>
        </is>
      </c>
      <c r="E368" t="inlineStr">
        <is>
          <t>GOTLAND</t>
        </is>
      </c>
      <c r="G368" t="n">
        <v>3.8</v>
      </c>
      <c r="H368" t="n">
        <v>0</v>
      </c>
      <c r="I368" t="n">
        <v>0</v>
      </c>
      <c r="J368" t="n">
        <v>0</v>
      </c>
      <c r="K368" t="n">
        <v>0</v>
      </c>
      <c r="L368" t="n">
        <v>0</v>
      </c>
      <c r="M368" t="n">
        <v>0</v>
      </c>
      <c r="N368" t="n">
        <v>0</v>
      </c>
      <c r="O368" t="n">
        <v>0</v>
      </c>
      <c r="P368" t="n">
        <v>0</v>
      </c>
      <c r="Q368" t="n">
        <v>0</v>
      </c>
      <c r="R368" s="2" t="inlineStr"/>
    </row>
    <row r="369" ht="15" customHeight="1">
      <c r="A369" t="inlineStr">
        <is>
          <t>A 10650-2022</t>
        </is>
      </c>
      <c r="B369" s="1" t="n">
        <v>44624.57945601852</v>
      </c>
      <c r="C369" s="1" t="n">
        <v>46161</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26810-2021</t>
        </is>
      </c>
      <c r="B370" s="1" t="n">
        <v>44349.55087962963</v>
      </c>
      <c r="C370" s="1" t="n">
        <v>46161</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15413-2025</t>
        </is>
      </c>
      <c r="B371" s="1" t="n">
        <v>45747.451875</v>
      </c>
      <c r="C371" s="1" t="n">
        <v>46161</v>
      </c>
      <c r="D371" t="inlineStr">
        <is>
          <t>GOTLANDS LÄN</t>
        </is>
      </c>
      <c r="E371" t="inlineStr">
        <is>
          <t>GOTLAND</t>
        </is>
      </c>
      <c r="G371" t="n">
        <v>0.6</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46161</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35096-2025</t>
        </is>
      </c>
      <c r="B373" s="1" t="n">
        <v>45852.54356481481</v>
      </c>
      <c r="C373" s="1" t="n">
        <v>46161</v>
      </c>
      <c r="D373" t="inlineStr">
        <is>
          <t>GOTLANDS LÄN</t>
        </is>
      </c>
      <c r="E373" t="inlineStr">
        <is>
          <t>GOTLAND</t>
        </is>
      </c>
      <c r="F373" t="inlineStr">
        <is>
          <t>Kyrkan</t>
        </is>
      </c>
      <c r="G373" t="n">
        <v>1</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46161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13037-2025</t>
        </is>
      </c>
      <c r="B375" s="1" t="n">
        <v>45734</v>
      </c>
      <c r="C375" s="1" t="n">
        <v>46161</v>
      </c>
      <c r="D375" t="inlineStr">
        <is>
          <t>GOTLANDS LÄN</t>
        </is>
      </c>
      <c r="E375" t="inlineStr">
        <is>
          <t>GOTLAND</t>
        </is>
      </c>
      <c r="G375" t="n">
        <v>9.5</v>
      </c>
      <c r="H375" t="n">
        <v>0</v>
      </c>
      <c r="I375" t="n">
        <v>0</v>
      </c>
      <c r="J375" t="n">
        <v>0</v>
      </c>
      <c r="K375" t="n">
        <v>0</v>
      </c>
      <c r="L375" t="n">
        <v>0</v>
      </c>
      <c r="M375" t="n">
        <v>0</v>
      </c>
      <c r="N375" t="n">
        <v>0</v>
      </c>
      <c r="O375" t="n">
        <v>0</v>
      </c>
      <c r="P375" t="n">
        <v>0</v>
      </c>
      <c r="Q375" t="n">
        <v>0</v>
      </c>
      <c r="R375" s="2" t="inlineStr"/>
    </row>
    <row r="376" ht="15" customHeight="1">
      <c r="A376" t="inlineStr">
        <is>
          <t>A 35290-2025</t>
        </is>
      </c>
      <c r="B376" s="1" t="n">
        <v>45854.38502314815</v>
      </c>
      <c r="C376" s="1" t="n">
        <v>46161</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30104-2025</t>
        </is>
      </c>
      <c r="B377" s="1" t="n">
        <v>45826.68806712963</v>
      </c>
      <c r="C377" s="1" t="n">
        <v>46161</v>
      </c>
      <c r="D377" t="inlineStr">
        <is>
          <t>GOTLANDS LÄN</t>
        </is>
      </c>
      <c r="E377" t="inlineStr">
        <is>
          <t>GOTLAND</t>
        </is>
      </c>
      <c r="G377" t="n">
        <v>15.4</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46161</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46161</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10746-2025</t>
        </is>
      </c>
      <c r="B380" s="1" t="n">
        <v>45722.42766203704</v>
      </c>
      <c r="C380" s="1" t="n">
        <v>46161</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30488-2025</t>
        </is>
      </c>
      <c r="B381" s="1" t="n">
        <v>45830</v>
      </c>
      <c r="C381" s="1" t="n">
        <v>46161</v>
      </c>
      <c r="D381" t="inlineStr">
        <is>
          <t>GOTLANDS LÄN</t>
        </is>
      </c>
      <c r="E381" t="inlineStr">
        <is>
          <t>GOTLAND</t>
        </is>
      </c>
      <c r="F381" t="inlineStr">
        <is>
          <t>Kyrkan</t>
        </is>
      </c>
      <c r="G381" t="n">
        <v>3.9</v>
      </c>
      <c r="H381" t="n">
        <v>0</v>
      </c>
      <c r="I381" t="n">
        <v>0</v>
      </c>
      <c r="J381" t="n">
        <v>0</v>
      </c>
      <c r="K381" t="n">
        <v>0</v>
      </c>
      <c r="L381" t="n">
        <v>0</v>
      </c>
      <c r="M381" t="n">
        <v>0</v>
      </c>
      <c r="N381" t="n">
        <v>0</v>
      </c>
      <c r="O381" t="n">
        <v>0</v>
      </c>
      <c r="P381" t="n">
        <v>0</v>
      </c>
      <c r="Q381" t="n">
        <v>0</v>
      </c>
      <c r="R381" s="2" t="inlineStr"/>
    </row>
    <row r="382" ht="15" customHeight="1">
      <c r="A382" t="inlineStr">
        <is>
          <t>A 15216-2025</t>
        </is>
      </c>
      <c r="B382" s="1" t="n">
        <v>45744</v>
      </c>
      <c r="C382" s="1" t="n">
        <v>46161</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15001-2025</t>
        </is>
      </c>
      <c r="B383" s="1" t="n">
        <v>45743</v>
      </c>
      <c r="C383" s="1" t="n">
        <v>46161</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46161</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17847-2025</t>
        </is>
      </c>
      <c r="B385" s="1" t="n">
        <v>45758</v>
      </c>
      <c r="C385" s="1" t="n">
        <v>46161</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46161</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46161</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43229-2023</t>
        </is>
      </c>
      <c r="B388" s="1" t="n">
        <v>45183.46704861111</v>
      </c>
      <c r="C388" s="1" t="n">
        <v>46161</v>
      </c>
      <c r="D388" t="inlineStr">
        <is>
          <t>GOTLANDS LÄN</t>
        </is>
      </c>
      <c r="E388" t="inlineStr">
        <is>
          <t>GOTLAND</t>
        </is>
      </c>
      <c r="G388" t="n">
        <v>7.1</v>
      </c>
      <c r="H388" t="n">
        <v>0</v>
      </c>
      <c r="I388" t="n">
        <v>0</v>
      </c>
      <c r="J388" t="n">
        <v>0</v>
      </c>
      <c r="K388" t="n">
        <v>0</v>
      </c>
      <c r="L388" t="n">
        <v>0</v>
      </c>
      <c r="M388" t="n">
        <v>0</v>
      </c>
      <c r="N388" t="n">
        <v>0</v>
      </c>
      <c r="O388" t="n">
        <v>0</v>
      </c>
      <c r="P388" t="n">
        <v>0</v>
      </c>
      <c r="Q388" t="n">
        <v>0</v>
      </c>
      <c r="R388" s="2" t="inlineStr"/>
    </row>
    <row r="389" ht="15" customHeight="1">
      <c r="A389" t="inlineStr">
        <is>
          <t>A 41038-2023</t>
        </is>
      </c>
      <c r="B389" s="1" t="n">
        <v>45173.60959490741</v>
      </c>
      <c r="C389" s="1" t="n">
        <v>46161</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30489-2025</t>
        </is>
      </c>
      <c r="B390" s="1" t="n">
        <v>45830</v>
      </c>
      <c r="C390" s="1" t="n">
        <v>46161</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21142-2025</t>
        </is>
      </c>
      <c r="B391" s="1" t="n">
        <v>45779</v>
      </c>
      <c r="C391" s="1" t="n">
        <v>46161</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56688-2025</t>
        </is>
      </c>
      <c r="B392" s="1" t="n">
        <v>45975.84331018518</v>
      </c>
      <c r="C392" s="1" t="n">
        <v>46161</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6108-2025</t>
        </is>
      </c>
      <c r="B393" s="1" t="n">
        <v>45698.29880787037</v>
      </c>
      <c r="C393" s="1" t="n">
        <v>46161</v>
      </c>
      <c r="D393" t="inlineStr">
        <is>
          <t>GOTLANDS LÄN</t>
        </is>
      </c>
      <c r="E393" t="inlineStr">
        <is>
          <t>GOTLAND</t>
        </is>
      </c>
      <c r="G393" t="n">
        <v>2.8</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46161</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18938-2025</t>
        </is>
      </c>
      <c r="B395" s="1" t="n">
        <v>45764.49172453704</v>
      </c>
      <c r="C395" s="1" t="n">
        <v>46161</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20307-2025</t>
        </is>
      </c>
      <c r="B396" s="1" t="n">
        <v>45774.95546296296</v>
      </c>
      <c r="C396" s="1" t="n">
        <v>46161</v>
      </c>
      <c r="D396" t="inlineStr">
        <is>
          <t>GOTLANDS LÄN</t>
        </is>
      </c>
      <c r="E396" t="inlineStr">
        <is>
          <t>GOTLAND</t>
        </is>
      </c>
      <c r="G396" t="n">
        <v>6.8</v>
      </c>
      <c r="H396" t="n">
        <v>0</v>
      </c>
      <c r="I396" t="n">
        <v>0</v>
      </c>
      <c r="J396" t="n">
        <v>0</v>
      </c>
      <c r="K396" t="n">
        <v>0</v>
      </c>
      <c r="L396" t="n">
        <v>0</v>
      </c>
      <c r="M396" t="n">
        <v>0</v>
      </c>
      <c r="N396" t="n">
        <v>0</v>
      </c>
      <c r="O396" t="n">
        <v>0</v>
      </c>
      <c r="P396" t="n">
        <v>0</v>
      </c>
      <c r="Q396" t="n">
        <v>0</v>
      </c>
      <c r="R396" s="2" t="inlineStr"/>
    </row>
    <row r="397" ht="15" customHeight="1">
      <c r="A397" t="inlineStr">
        <is>
          <t>A 24966-2023</t>
        </is>
      </c>
      <c r="B397" s="1" t="n">
        <v>45085</v>
      </c>
      <c r="C397" s="1" t="n">
        <v>46161</v>
      </c>
      <c r="D397" t="inlineStr">
        <is>
          <t>GOTLANDS LÄN</t>
        </is>
      </c>
      <c r="E397" t="inlineStr">
        <is>
          <t>GOTLAND</t>
        </is>
      </c>
      <c r="G397" t="n">
        <v>7</v>
      </c>
      <c r="H397" t="n">
        <v>0</v>
      </c>
      <c r="I397" t="n">
        <v>0</v>
      </c>
      <c r="J397" t="n">
        <v>0</v>
      </c>
      <c r="K397" t="n">
        <v>0</v>
      </c>
      <c r="L397" t="n">
        <v>0</v>
      </c>
      <c r="M397" t="n">
        <v>0</v>
      </c>
      <c r="N397" t="n">
        <v>0</v>
      </c>
      <c r="O397" t="n">
        <v>0</v>
      </c>
      <c r="P397" t="n">
        <v>0</v>
      </c>
      <c r="Q397" t="n">
        <v>0</v>
      </c>
      <c r="R397" s="2" t="inlineStr"/>
    </row>
    <row r="398" ht="15" customHeight="1">
      <c r="A398" t="inlineStr">
        <is>
          <t>A 57652-2023</t>
        </is>
      </c>
      <c r="B398" s="1" t="n">
        <v>45246</v>
      </c>
      <c r="C398" s="1" t="n">
        <v>46161</v>
      </c>
      <c r="D398" t="inlineStr">
        <is>
          <t>GOTLANDS LÄN</t>
        </is>
      </c>
      <c r="E398" t="inlineStr">
        <is>
          <t>GOTLAND</t>
        </is>
      </c>
      <c r="G398" t="n">
        <v>7.2</v>
      </c>
      <c r="H398" t="n">
        <v>0</v>
      </c>
      <c r="I398" t="n">
        <v>0</v>
      </c>
      <c r="J398" t="n">
        <v>0</v>
      </c>
      <c r="K398" t="n">
        <v>0</v>
      </c>
      <c r="L398" t="n">
        <v>0</v>
      </c>
      <c r="M398" t="n">
        <v>0</v>
      </c>
      <c r="N398" t="n">
        <v>0</v>
      </c>
      <c r="O398" t="n">
        <v>0</v>
      </c>
      <c r="P398" t="n">
        <v>0</v>
      </c>
      <c r="Q398" t="n">
        <v>0</v>
      </c>
      <c r="R398" s="2" t="inlineStr"/>
    </row>
    <row r="399" ht="15" customHeight="1">
      <c r="A399" t="inlineStr">
        <is>
          <t>A 56799-2025</t>
        </is>
      </c>
      <c r="B399" s="1" t="n">
        <v>45978.43392361111</v>
      </c>
      <c r="C399" s="1" t="n">
        <v>46161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46189-2022</t>
        </is>
      </c>
      <c r="B400" s="1" t="n">
        <v>44847</v>
      </c>
      <c r="C400" s="1" t="n">
        <v>46161</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57522-2022</t>
        </is>
      </c>
      <c r="B401" s="1" t="n">
        <v>44896</v>
      </c>
      <c r="C401" s="1" t="n">
        <v>46161</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14797-2024</t>
        </is>
      </c>
      <c r="B402" s="1" t="n">
        <v>45397.87030092593</v>
      </c>
      <c r="C402" s="1" t="n">
        <v>46161</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18993-2025</t>
        </is>
      </c>
      <c r="B403" s="1" t="n">
        <v>45764</v>
      </c>
      <c r="C403" s="1" t="n">
        <v>46161</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30135-2025</t>
        </is>
      </c>
      <c r="B404" s="1" t="n">
        <v>45826</v>
      </c>
      <c r="C404" s="1" t="n">
        <v>46161</v>
      </c>
      <c r="D404" t="inlineStr">
        <is>
          <t>GOTLANDS LÄN</t>
        </is>
      </c>
      <c r="E404" t="inlineStr">
        <is>
          <t>GOTLAND</t>
        </is>
      </c>
      <c r="G404" t="n">
        <v>2.7</v>
      </c>
      <c r="H404" t="n">
        <v>0</v>
      </c>
      <c r="I404" t="n">
        <v>0</v>
      </c>
      <c r="J404" t="n">
        <v>0</v>
      </c>
      <c r="K404" t="n">
        <v>0</v>
      </c>
      <c r="L404" t="n">
        <v>0</v>
      </c>
      <c r="M404" t="n">
        <v>0</v>
      </c>
      <c r="N404" t="n">
        <v>0</v>
      </c>
      <c r="O404" t="n">
        <v>0</v>
      </c>
      <c r="P404" t="n">
        <v>0</v>
      </c>
      <c r="Q404" t="n">
        <v>0</v>
      </c>
      <c r="R404" s="2" t="inlineStr"/>
    </row>
    <row r="405" ht="15" customHeight="1">
      <c r="A405" t="inlineStr">
        <is>
          <t>A 7837-2024</t>
        </is>
      </c>
      <c r="B405" s="1" t="n">
        <v>45349.83787037037</v>
      </c>
      <c r="C405" s="1" t="n">
        <v>46161</v>
      </c>
      <c r="D405" t="inlineStr">
        <is>
          <t>GOTLANDS LÄN</t>
        </is>
      </c>
      <c r="E405" t="inlineStr">
        <is>
          <t>GOTLAND</t>
        </is>
      </c>
      <c r="G405" t="n">
        <v>5</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46161</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2676-2023</t>
        </is>
      </c>
      <c r="B407" s="1" t="n">
        <v>44944</v>
      </c>
      <c r="C407" s="1" t="n">
        <v>46161</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4387-2023</t>
        </is>
      </c>
      <c r="B408" s="1" t="n">
        <v>44955.73359953704</v>
      </c>
      <c r="C408" s="1" t="n">
        <v>46161</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49411-2023</t>
        </is>
      </c>
      <c r="B409" s="1" t="n">
        <v>45205</v>
      </c>
      <c r="C409" s="1" t="n">
        <v>46161</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37728-2024</t>
        </is>
      </c>
      <c r="B410" s="1" t="n">
        <v>45541</v>
      </c>
      <c r="C410" s="1" t="n">
        <v>46161</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12599-2025</t>
        </is>
      </c>
      <c r="B411" s="1" t="n">
        <v>45733.29546296296</v>
      </c>
      <c r="C411" s="1" t="n">
        <v>46161</v>
      </c>
      <c r="D411" t="inlineStr">
        <is>
          <t>GOTLANDS LÄN</t>
        </is>
      </c>
      <c r="E411" t="inlineStr">
        <is>
          <t>GOTLAND</t>
        </is>
      </c>
      <c r="G411" t="n">
        <v>4.7</v>
      </c>
      <c r="H411" t="n">
        <v>0</v>
      </c>
      <c r="I411" t="n">
        <v>0</v>
      </c>
      <c r="J411" t="n">
        <v>0</v>
      </c>
      <c r="K411" t="n">
        <v>0</v>
      </c>
      <c r="L411" t="n">
        <v>0</v>
      </c>
      <c r="M411" t="n">
        <v>0</v>
      </c>
      <c r="N411" t="n">
        <v>0</v>
      </c>
      <c r="O411" t="n">
        <v>0</v>
      </c>
      <c r="P411" t="n">
        <v>0</v>
      </c>
      <c r="Q411" t="n">
        <v>0</v>
      </c>
      <c r="R411" s="2" t="inlineStr"/>
    </row>
    <row r="412" ht="15" customHeight="1">
      <c r="A412" t="inlineStr">
        <is>
          <t>A 2241-2025</t>
        </is>
      </c>
      <c r="B412" s="1" t="n">
        <v>45673.48710648148</v>
      </c>
      <c r="C412" s="1" t="n">
        <v>46161</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45070.39875</v>
      </c>
      <c r="C413" s="1" t="n">
        <v>46161</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59197-2025</t>
        </is>
      </c>
      <c r="B414" s="1" t="n">
        <v>45988.59846064815</v>
      </c>
      <c r="C414" s="1" t="n">
        <v>46161</v>
      </c>
      <c r="D414" t="inlineStr">
        <is>
          <t>GOTLANDS LÄN</t>
        </is>
      </c>
      <c r="E414" t="inlineStr">
        <is>
          <t>GOTLAND</t>
        </is>
      </c>
      <c r="G414" t="n">
        <v>2.3</v>
      </c>
      <c r="H414" t="n">
        <v>0</v>
      </c>
      <c r="I414" t="n">
        <v>0</v>
      </c>
      <c r="J414" t="n">
        <v>0</v>
      </c>
      <c r="K414" t="n">
        <v>0</v>
      </c>
      <c r="L414" t="n">
        <v>0</v>
      </c>
      <c r="M414" t="n">
        <v>0</v>
      </c>
      <c r="N414" t="n">
        <v>0</v>
      </c>
      <c r="O414" t="n">
        <v>0</v>
      </c>
      <c r="P414" t="n">
        <v>0</v>
      </c>
      <c r="Q414" t="n">
        <v>0</v>
      </c>
      <c r="R414" s="2" t="inlineStr"/>
    </row>
    <row r="415" ht="15" customHeight="1">
      <c r="A415" t="inlineStr">
        <is>
          <t>A 14635-2023</t>
        </is>
      </c>
      <c r="B415" s="1" t="n">
        <v>45013.69365740741</v>
      </c>
      <c r="C415" s="1" t="n">
        <v>46161</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63763-2023</t>
        </is>
      </c>
      <c r="B416" s="1" t="n">
        <v>45278.33944444444</v>
      </c>
      <c r="C416" s="1" t="n">
        <v>46161</v>
      </c>
      <c r="D416" t="inlineStr">
        <is>
          <t>GOTLANDS LÄN</t>
        </is>
      </c>
      <c r="E416" t="inlineStr">
        <is>
          <t>GOTLAND</t>
        </is>
      </c>
      <c r="G416" t="n">
        <v>0.5</v>
      </c>
      <c r="H416" t="n">
        <v>0</v>
      </c>
      <c r="I416" t="n">
        <v>0</v>
      </c>
      <c r="J416" t="n">
        <v>0</v>
      </c>
      <c r="K416" t="n">
        <v>0</v>
      </c>
      <c r="L416" t="n">
        <v>0</v>
      </c>
      <c r="M416" t="n">
        <v>0</v>
      </c>
      <c r="N416" t="n">
        <v>0</v>
      </c>
      <c r="O416" t="n">
        <v>0</v>
      </c>
      <c r="P416" t="n">
        <v>0</v>
      </c>
      <c r="Q416" t="n">
        <v>0</v>
      </c>
      <c r="R416" s="2" t="inlineStr"/>
    </row>
    <row r="417" ht="15" customHeight="1">
      <c r="A417" t="inlineStr">
        <is>
          <t>A 7635-2025</t>
        </is>
      </c>
      <c r="B417" s="1" t="n">
        <v>45705</v>
      </c>
      <c r="C417" s="1" t="n">
        <v>46161</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7636-2025</t>
        </is>
      </c>
      <c r="B418" s="1" t="n">
        <v>45705.7687962963</v>
      </c>
      <c r="C418" s="1" t="n">
        <v>46161</v>
      </c>
      <c r="D418" t="inlineStr">
        <is>
          <t>GOTLANDS LÄN</t>
        </is>
      </c>
      <c r="E418" t="inlineStr">
        <is>
          <t>GOTLAND</t>
        </is>
      </c>
      <c r="G418" t="n">
        <v>0.6</v>
      </c>
      <c r="H418" t="n">
        <v>0</v>
      </c>
      <c r="I418" t="n">
        <v>0</v>
      </c>
      <c r="J418" t="n">
        <v>0</v>
      </c>
      <c r="K418" t="n">
        <v>0</v>
      </c>
      <c r="L418" t="n">
        <v>0</v>
      </c>
      <c r="M418" t="n">
        <v>0</v>
      </c>
      <c r="N418" t="n">
        <v>0</v>
      </c>
      <c r="O418" t="n">
        <v>0</v>
      </c>
      <c r="P418" t="n">
        <v>0</v>
      </c>
      <c r="Q418" t="n">
        <v>0</v>
      </c>
      <c r="R418" s="2" t="inlineStr"/>
    </row>
    <row r="419" ht="15" customHeight="1">
      <c r="A419" t="inlineStr">
        <is>
          <t>A 7639-2025</t>
        </is>
      </c>
      <c r="B419" s="1" t="n">
        <v>45705.77465277778</v>
      </c>
      <c r="C419" s="1" t="n">
        <v>46161</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61682-2024</t>
        </is>
      </c>
      <c r="B420" s="1" t="n">
        <v>45647.48824074074</v>
      </c>
      <c r="C420" s="1" t="n">
        <v>46161</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15434-2024</t>
        </is>
      </c>
      <c r="B421" s="1" t="n">
        <v>45401.38836805556</v>
      </c>
      <c r="C421" s="1" t="n">
        <v>46161</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36319-2025</t>
        </is>
      </c>
      <c r="B422" s="1" t="n">
        <v>45868</v>
      </c>
      <c r="C422" s="1" t="n">
        <v>46161</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7034-2023</t>
        </is>
      </c>
      <c r="B423" s="1" t="n">
        <v>44968.32108796296</v>
      </c>
      <c r="C423" s="1" t="n">
        <v>46161</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7042-2023</t>
        </is>
      </c>
      <c r="B424" s="1" t="n">
        <v>44968</v>
      </c>
      <c r="C424" s="1" t="n">
        <v>46161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2180-2025</t>
        </is>
      </c>
      <c r="B425" s="1" t="n">
        <v>45673</v>
      </c>
      <c r="C425" s="1" t="n">
        <v>46161</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54074-2022</t>
        </is>
      </c>
      <c r="B426" s="1" t="n">
        <v>44881</v>
      </c>
      <c r="C426" s="1" t="n">
        <v>46161</v>
      </c>
      <c r="D426" t="inlineStr">
        <is>
          <t>GOTLANDS LÄN</t>
        </is>
      </c>
      <c r="E426" t="inlineStr">
        <is>
          <t>GOTLAND</t>
        </is>
      </c>
      <c r="G426" t="n">
        <v>0.9</v>
      </c>
      <c r="H426" t="n">
        <v>0</v>
      </c>
      <c r="I426" t="n">
        <v>0</v>
      </c>
      <c r="J426" t="n">
        <v>0</v>
      </c>
      <c r="K426" t="n">
        <v>0</v>
      </c>
      <c r="L426" t="n">
        <v>0</v>
      </c>
      <c r="M426" t="n">
        <v>0</v>
      </c>
      <c r="N426" t="n">
        <v>0</v>
      </c>
      <c r="O426" t="n">
        <v>0</v>
      </c>
      <c r="P426" t="n">
        <v>0</v>
      </c>
      <c r="Q426" t="n">
        <v>0</v>
      </c>
      <c r="R426" s="2" t="inlineStr"/>
    </row>
    <row r="427" ht="15" customHeight="1">
      <c r="A427" t="inlineStr">
        <is>
          <t>A 61694-2023</t>
        </is>
      </c>
      <c r="B427" s="1" t="n">
        <v>45264</v>
      </c>
      <c r="C427" s="1" t="n">
        <v>46161</v>
      </c>
      <c r="D427" t="inlineStr">
        <is>
          <t>GOTLANDS LÄN</t>
        </is>
      </c>
      <c r="E427" t="inlineStr">
        <is>
          <t>GOTLAND</t>
        </is>
      </c>
      <c r="G427" t="n">
        <v>4.6</v>
      </c>
      <c r="H427" t="n">
        <v>0</v>
      </c>
      <c r="I427" t="n">
        <v>0</v>
      </c>
      <c r="J427" t="n">
        <v>0</v>
      </c>
      <c r="K427" t="n">
        <v>0</v>
      </c>
      <c r="L427" t="n">
        <v>0</v>
      </c>
      <c r="M427" t="n">
        <v>0</v>
      </c>
      <c r="N427" t="n">
        <v>0</v>
      </c>
      <c r="O427" t="n">
        <v>0</v>
      </c>
      <c r="P427" t="n">
        <v>0</v>
      </c>
      <c r="Q427" t="n">
        <v>0</v>
      </c>
      <c r="R427" s="2" t="inlineStr"/>
    </row>
    <row r="428" ht="15" customHeight="1">
      <c r="A428" t="inlineStr">
        <is>
          <t>A 64208-2021</t>
        </is>
      </c>
      <c r="B428" s="1" t="n">
        <v>44510</v>
      </c>
      <c r="C428" s="1" t="n">
        <v>46161</v>
      </c>
      <c r="D428" t="inlineStr">
        <is>
          <t>GOTLANDS LÄN</t>
        </is>
      </c>
      <c r="E428" t="inlineStr">
        <is>
          <t>GOTLAND</t>
        </is>
      </c>
      <c r="G428" t="n">
        <v>4.7</v>
      </c>
      <c r="H428" t="n">
        <v>0</v>
      </c>
      <c r="I428" t="n">
        <v>0</v>
      </c>
      <c r="J428" t="n">
        <v>0</v>
      </c>
      <c r="K428" t="n">
        <v>0</v>
      </c>
      <c r="L428" t="n">
        <v>0</v>
      </c>
      <c r="M428" t="n">
        <v>0</v>
      </c>
      <c r="N428" t="n">
        <v>0</v>
      </c>
      <c r="O428" t="n">
        <v>0</v>
      </c>
      <c r="P428" t="n">
        <v>0</v>
      </c>
      <c r="Q428" t="n">
        <v>0</v>
      </c>
      <c r="R428" s="2" t="inlineStr"/>
    </row>
    <row r="429" ht="15" customHeight="1">
      <c r="A429" t="inlineStr">
        <is>
          <t>A 54268-2022</t>
        </is>
      </c>
      <c r="B429" s="1" t="n">
        <v>44882</v>
      </c>
      <c r="C429" s="1" t="n">
        <v>46161</v>
      </c>
      <c r="D429" t="inlineStr">
        <is>
          <t>GOTLANDS LÄN</t>
        </is>
      </c>
      <c r="E429" t="inlineStr">
        <is>
          <t>GOTLAND</t>
        </is>
      </c>
      <c r="G429" t="n">
        <v>2.7</v>
      </c>
      <c r="H429" t="n">
        <v>0</v>
      </c>
      <c r="I429" t="n">
        <v>0</v>
      </c>
      <c r="J429" t="n">
        <v>0</v>
      </c>
      <c r="K429" t="n">
        <v>0</v>
      </c>
      <c r="L429" t="n">
        <v>0</v>
      </c>
      <c r="M429" t="n">
        <v>0</v>
      </c>
      <c r="N429" t="n">
        <v>0</v>
      </c>
      <c r="O429" t="n">
        <v>0</v>
      </c>
      <c r="P429" t="n">
        <v>0</v>
      </c>
      <c r="Q429" t="n">
        <v>0</v>
      </c>
      <c r="R429" s="2" t="inlineStr"/>
    </row>
    <row r="430" ht="15" customHeight="1">
      <c r="A430" t="inlineStr">
        <is>
          <t>A 1446-2025</t>
        </is>
      </c>
      <c r="B430" s="1" t="n">
        <v>45669.86035879629</v>
      </c>
      <c r="C430" s="1" t="n">
        <v>46161</v>
      </c>
      <c r="D430" t="inlineStr">
        <is>
          <t>GOTLANDS LÄN</t>
        </is>
      </c>
      <c r="E430" t="inlineStr">
        <is>
          <t>GOTLAND</t>
        </is>
      </c>
      <c r="G430" t="n">
        <v>3.1</v>
      </c>
      <c r="H430" t="n">
        <v>0</v>
      </c>
      <c r="I430" t="n">
        <v>0</v>
      </c>
      <c r="J430" t="n">
        <v>0</v>
      </c>
      <c r="K430" t="n">
        <v>0</v>
      </c>
      <c r="L430" t="n">
        <v>0</v>
      </c>
      <c r="M430" t="n">
        <v>0</v>
      </c>
      <c r="N430" t="n">
        <v>0</v>
      </c>
      <c r="O430" t="n">
        <v>0</v>
      </c>
      <c r="P430" t="n">
        <v>0</v>
      </c>
      <c r="Q430" t="n">
        <v>0</v>
      </c>
      <c r="R430" s="2" t="inlineStr"/>
    </row>
    <row r="431" ht="15" customHeight="1">
      <c r="A431" t="inlineStr">
        <is>
          <t>A 1462-2025</t>
        </is>
      </c>
      <c r="B431" s="1" t="n">
        <v>45670.36319444444</v>
      </c>
      <c r="C431" s="1" t="n">
        <v>46161</v>
      </c>
      <c r="D431" t="inlineStr">
        <is>
          <t>GOTLANDS LÄN</t>
        </is>
      </c>
      <c r="E431" t="inlineStr">
        <is>
          <t>GOTLAND</t>
        </is>
      </c>
      <c r="G431" t="n">
        <v>2.8</v>
      </c>
      <c r="H431" t="n">
        <v>0</v>
      </c>
      <c r="I431" t="n">
        <v>0</v>
      </c>
      <c r="J431" t="n">
        <v>0</v>
      </c>
      <c r="K431" t="n">
        <v>0</v>
      </c>
      <c r="L431" t="n">
        <v>0</v>
      </c>
      <c r="M431" t="n">
        <v>0</v>
      </c>
      <c r="N431" t="n">
        <v>0</v>
      </c>
      <c r="O431" t="n">
        <v>0</v>
      </c>
      <c r="P431" t="n">
        <v>0</v>
      </c>
      <c r="Q431" t="n">
        <v>0</v>
      </c>
      <c r="R431" s="2" t="inlineStr"/>
    </row>
    <row r="432" ht="15" customHeight="1">
      <c r="A432" t="inlineStr">
        <is>
          <t>A 57685-2022</t>
        </is>
      </c>
      <c r="B432" s="1" t="n">
        <v>44897.4777662037</v>
      </c>
      <c r="C432" s="1" t="n">
        <v>46161</v>
      </c>
      <c r="D432" t="inlineStr">
        <is>
          <t>GOTLANDS LÄN</t>
        </is>
      </c>
      <c r="E432" t="inlineStr">
        <is>
          <t>GOTLAND</t>
        </is>
      </c>
      <c r="G432" t="n">
        <v>3.7</v>
      </c>
      <c r="H432" t="n">
        <v>0</v>
      </c>
      <c r="I432" t="n">
        <v>0</v>
      </c>
      <c r="J432" t="n">
        <v>0</v>
      </c>
      <c r="K432" t="n">
        <v>0</v>
      </c>
      <c r="L432" t="n">
        <v>0</v>
      </c>
      <c r="M432" t="n">
        <v>0</v>
      </c>
      <c r="N432" t="n">
        <v>0</v>
      </c>
      <c r="O432" t="n">
        <v>0</v>
      </c>
      <c r="P432" t="n">
        <v>0</v>
      </c>
      <c r="Q432" t="n">
        <v>0</v>
      </c>
      <c r="R432" s="2" t="inlineStr"/>
    </row>
    <row r="433" ht="15" customHeight="1">
      <c r="A433" t="inlineStr">
        <is>
          <t>A 811-2023</t>
        </is>
      </c>
      <c r="B433" s="1" t="n">
        <v>44931</v>
      </c>
      <c r="C433" s="1" t="n">
        <v>46161</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5905-2024</t>
        </is>
      </c>
      <c r="B434" s="1" t="n">
        <v>45335.88993055555</v>
      </c>
      <c r="C434" s="1" t="n">
        <v>46161</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3431-2025</t>
        </is>
      </c>
      <c r="B435" s="1" t="n">
        <v>45680.42935185185</v>
      </c>
      <c r="C435" s="1" t="n">
        <v>46161</v>
      </c>
      <c r="D435" t="inlineStr">
        <is>
          <t>GOTLANDS LÄN</t>
        </is>
      </c>
      <c r="E435" t="inlineStr">
        <is>
          <t>GOTLAND</t>
        </is>
      </c>
      <c r="G435" t="n">
        <v>4.8</v>
      </c>
      <c r="H435" t="n">
        <v>0</v>
      </c>
      <c r="I435" t="n">
        <v>0</v>
      </c>
      <c r="J435" t="n">
        <v>0</v>
      </c>
      <c r="K435" t="n">
        <v>0</v>
      </c>
      <c r="L435" t="n">
        <v>0</v>
      </c>
      <c r="M435" t="n">
        <v>0</v>
      </c>
      <c r="N435" t="n">
        <v>0</v>
      </c>
      <c r="O435" t="n">
        <v>0</v>
      </c>
      <c r="P435" t="n">
        <v>0</v>
      </c>
      <c r="Q435" t="n">
        <v>0</v>
      </c>
      <c r="R435" s="2" t="inlineStr"/>
    </row>
    <row r="436" ht="15" customHeight="1">
      <c r="A436" t="inlineStr">
        <is>
          <t>A 34407-2023</t>
        </is>
      </c>
      <c r="B436" s="1" t="n">
        <v>45132</v>
      </c>
      <c r="C436" s="1" t="n">
        <v>46161</v>
      </c>
      <c r="D436" t="inlineStr">
        <is>
          <t>GOTLANDS LÄN</t>
        </is>
      </c>
      <c r="E436" t="inlineStr">
        <is>
          <t>GOTLAND</t>
        </is>
      </c>
      <c r="G436" t="n">
        <v>4.4</v>
      </c>
      <c r="H436" t="n">
        <v>0</v>
      </c>
      <c r="I436" t="n">
        <v>0</v>
      </c>
      <c r="J436" t="n">
        <v>0</v>
      </c>
      <c r="K436" t="n">
        <v>0</v>
      </c>
      <c r="L436" t="n">
        <v>0</v>
      </c>
      <c r="M436" t="n">
        <v>0</v>
      </c>
      <c r="N436" t="n">
        <v>0</v>
      </c>
      <c r="O436" t="n">
        <v>0</v>
      </c>
      <c r="P436" t="n">
        <v>0</v>
      </c>
      <c r="Q436" t="n">
        <v>0</v>
      </c>
      <c r="R436" s="2" t="inlineStr"/>
    </row>
    <row r="437" ht="15" customHeight="1">
      <c r="A437" t="inlineStr">
        <is>
          <t>A 30892-2024</t>
        </is>
      </c>
      <c r="B437" s="1" t="n">
        <v>45491</v>
      </c>
      <c r="C437" s="1" t="n">
        <v>46161</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46161</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46161</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46545-2024</t>
        </is>
      </c>
      <c r="B440" s="1" t="n">
        <v>45582.65831018519</v>
      </c>
      <c r="C440" s="1" t="n">
        <v>46161</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999-2023</t>
        </is>
      </c>
      <c r="B441" s="1" t="n">
        <v>44935</v>
      </c>
      <c r="C441" s="1" t="n">
        <v>46161</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1364-2025</t>
        </is>
      </c>
      <c r="B442" s="1" t="n">
        <v>45667.63929398148</v>
      </c>
      <c r="C442" s="1" t="n">
        <v>46161</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2125-2025</t>
        </is>
      </c>
      <c r="B443" s="1" t="n">
        <v>45672.64940972222</v>
      </c>
      <c r="C443" s="1" t="n">
        <v>46161</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62066-2025</t>
        </is>
      </c>
      <c r="B444" s="1" t="n">
        <v>46006.34738425926</v>
      </c>
      <c r="C444" s="1" t="n">
        <v>46161</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62103-2025</t>
        </is>
      </c>
      <c r="B445" s="1" t="n">
        <v>46006</v>
      </c>
      <c r="C445" s="1" t="n">
        <v>46161</v>
      </c>
      <c r="D445" t="inlineStr">
        <is>
          <t>GOTLANDS LÄN</t>
        </is>
      </c>
      <c r="E445" t="inlineStr">
        <is>
          <t>GOTLAND</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14141-2024</t>
        </is>
      </c>
      <c r="B446" s="1" t="n">
        <v>45392.85193287037</v>
      </c>
      <c r="C446" s="1" t="n">
        <v>46161</v>
      </c>
      <c r="D446" t="inlineStr">
        <is>
          <t>GOTLANDS LÄN</t>
        </is>
      </c>
      <c r="E446" t="inlineStr">
        <is>
          <t>GOTLAND</t>
        </is>
      </c>
      <c r="G446" t="n">
        <v>5.3</v>
      </c>
      <c r="H446" t="n">
        <v>0</v>
      </c>
      <c r="I446" t="n">
        <v>0</v>
      </c>
      <c r="J446" t="n">
        <v>0</v>
      </c>
      <c r="K446" t="n">
        <v>0</v>
      </c>
      <c r="L446" t="n">
        <v>0</v>
      </c>
      <c r="M446" t="n">
        <v>0</v>
      </c>
      <c r="N446" t="n">
        <v>0</v>
      </c>
      <c r="O446" t="n">
        <v>0</v>
      </c>
      <c r="P446" t="n">
        <v>0</v>
      </c>
      <c r="Q446" t="n">
        <v>0</v>
      </c>
      <c r="R446" s="2" t="inlineStr"/>
    </row>
    <row r="447" ht="15" customHeight="1">
      <c r="A447" t="inlineStr">
        <is>
          <t>A 12155-2023</t>
        </is>
      </c>
      <c r="B447" s="1" t="n">
        <v>44998.49106481481</v>
      </c>
      <c r="C447" s="1" t="n">
        <v>46161</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2774-2024</t>
        </is>
      </c>
      <c r="B448" s="1" t="n">
        <v>45314.62375</v>
      </c>
      <c r="C448" s="1" t="n">
        <v>46161</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63002-2025</t>
        </is>
      </c>
      <c r="B449" s="1" t="n">
        <v>46009.56564814815</v>
      </c>
      <c r="C449" s="1" t="n">
        <v>46161</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46161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46161</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38649-2025</t>
        </is>
      </c>
      <c r="B452" s="1" t="n">
        <v>45884</v>
      </c>
      <c r="C452" s="1" t="n">
        <v>46161</v>
      </c>
      <c r="D452" t="inlineStr">
        <is>
          <t>GOTLANDS LÄN</t>
        </is>
      </c>
      <c r="E452" t="inlineStr">
        <is>
          <t>GOTLAND</t>
        </is>
      </c>
      <c r="G452" t="n">
        <v>1.5</v>
      </c>
      <c r="H452" t="n">
        <v>0</v>
      </c>
      <c r="I452" t="n">
        <v>0</v>
      </c>
      <c r="J452" t="n">
        <v>0</v>
      </c>
      <c r="K452" t="n">
        <v>0</v>
      </c>
      <c r="L452" t="n">
        <v>0</v>
      </c>
      <c r="M452" t="n">
        <v>0</v>
      </c>
      <c r="N452" t="n">
        <v>0</v>
      </c>
      <c r="O452" t="n">
        <v>0</v>
      </c>
      <c r="P452" t="n">
        <v>0</v>
      </c>
      <c r="Q452" t="n">
        <v>0</v>
      </c>
      <c r="R452" s="2" t="inlineStr"/>
    </row>
    <row r="453" ht="15" customHeight="1">
      <c r="A453" t="inlineStr">
        <is>
          <t>A 15083-2025</t>
        </is>
      </c>
      <c r="B453" s="1" t="n">
        <v>45743</v>
      </c>
      <c r="C453" s="1" t="n">
        <v>46161</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61078-2025</t>
        </is>
      </c>
      <c r="B454" s="1" t="n">
        <v>46000</v>
      </c>
      <c r="C454" s="1" t="n">
        <v>46161</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36-2026</t>
        </is>
      </c>
      <c r="B455" s="1" t="n">
        <v>46024.38886574074</v>
      </c>
      <c r="C455" s="1" t="n">
        <v>46161</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62674-2025</t>
        </is>
      </c>
      <c r="B456" s="1" t="n">
        <v>46008</v>
      </c>
      <c r="C456" s="1" t="n">
        <v>46161</v>
      </c>
      <c r="D456" t="inlineStr">
        <is>
          <t>GOTLANDS LÄN</t>
        </is>
      </c>
      <c r="E456" t="inlineStr">
        <is>
          <t>GOTLAND</t>
        </is>
      </c>
      <c r="G456" t="n">
        <v>5</v>
      </c>
      <c r="H456" t="n">
        <v>0</v>
      </c>
      <c r="I456" t="n">
        <v>0</v>
      </c>
      <c r="J456" t="n">
        <v>0</v>
      </c>
      <c r="K456" t="n">
        <v>0</v>
      </c>
      <c r="L456" t="n">
        <v>0</v>
      </c>
      <c r="M456" t="n">
        <v>0</v>
      </c>
      <c r="N456" t="n">
        <v>0</v>
      </c>
      <c r="O456" t="n">
        <v>0</v>
      </c>
      <c r="P456" t="n">
        <v>0</v>
      </c>
      <c r="Q456" t="n">
        <v>0</v>
      </c>
      <c r="R456" s="2" t="inlineStr"/>
    </row>
    <row r="457" ht="15" customHeight="1">
      <c r="A457" t="inlineStr">
        <is>
          <t>A 1066-2024</t>
        </is>
      </c>
      <c r="B457" s="1" t="n">
        <v>45302.285</v>
      </c>
      <c r="C457" s="1" t="n">
        <v>46161</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37202-2024</t>
        </is>
      </c>
      <c r="B458" s="1" t="n">
        <v>45539.67310185185</v>
      </c>
      <c r="C458" s="1" t="n">
        <v>46161</v>
      </c>
      <c r="D458" t="inlineStr">
        <is>
          <t>GOTLANDS LÄN</t>
        </is>
      </c>
      <c r="E458" t="inlineStr">
        <is>
          <t>GOTLAND</t>
        </is>
      </c>
      <c r="G458" t="n">
        <v>0.3</v>
      </c>
      <c r="H458" t="n">
        <v>0</v>
      </c>
      <c r="I458" t="n">
        <v>0</v>
      </c>
      <c r="J458" t="n">
        <v>0</v>
      </c>
      <c r="K458" t="n">
        <v>0</v>
      </c>
      <c r="L458" t="n">
        <v>0</v>
      </c>
      <c r="M458" t="n">
        <v>0</v>
      </c>
      <c r="N458" t="n">
        <v>0</v>
      </c>
      <c r="O458" t="n">
        <v>0</v>
      </c>
      <c r="P458" t="n">
        <v>0</v>
      </c>
      <c r="Q458" t="n">
        <v>0</v>
      </c>
      <c r="R458" s="2" t="inlineStr"/>
    </row>
    <row r="459" ht="15" customHeight="1">
      <c r="A459" t="inlineStr">
        <is>
          <t>A 1355-2026</t>
        </is>
      </c>
      <c r="B459" s="1" t="n">
        <v>46031.59909722222</v>
      </c>
      <c r="C459" s="1" t="n">
        <v>46161</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30815-2023</t>
        </is>
      </c>
      <c r="B460" s="1" t="n">
        <v>45112</v>
      </c>
      <c r="C460" s="1" t="n">
        <v>46161</v>
      </c>
      <c r="D460" t="inlineStr">
        <is>
          <t>GOTLANDS LÄN</t>
        </is>
      </c>
      <c r="E460" t="inlineStr">
        <is>
          <t>GOTLAND</t>
        </is>
      </c>
      <c r="G460" t="n">
        <v>6</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46161</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10492-2023</t>
        </is>
      </c>
      <c r="B462" s="1" t="n">
        <v>44987</v>
      </c>
      <c r="C462" s="1" t="n">
        <v>46161</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1898-2026</t>
        </is>
      </c>
      <c r="B463" s="1" t="n">
        <v>46035.52024305556</v>
      </c>
      <c r="C463" s="1" t="n">
        <v>46161</v>
      </c>
      <c r="D463" t="inlineStr">
        <is>
          <t>GOTLANDS LÄN</t>
        </is>
      </c>
      <c r="E463" t="inlineStr">
        <is>
          <t>GOTLAND</t>
        </is>
      </c>
      <c r="G463" t="n">
        <v>3.7</v>
      </c>
      <c r="H463" t="n">
        <v>0</v>
      </c>
      <c r="I463" t="n">
        <v>0</v>
      </c>
      <c r="J463" t="n">
        <v>0</v>
      </c>
      <c r="K463" t="n">
        <v>0</v>
      </c>
      <c r="L463" t="n">
        <v>0</v>
      </c>
      <c r="M463" t="n">
        <v>0</v>
      </c>
      <c r="N463" t="n">
        <v>0</v>
      </c>
      <c r="O463" t="n">
        <v>0</v>
      </c>
      <c r="P463" t="n">
        <v>0</v>
      </c>
      <c r="Q463" t="n">
        <v>0</v>
      </c>
      <c r="R463" s="2" t="inlineStr"/>
    </row>
    <row r="464" ht="15" customHeight="1">
      <c r="A464" t="inlineStr">
        <is>
          <t>A 44919-2022</t>
        </is>
      </c>
      <c r="B464" s="1" t="n">
        <v>44841</v>
      </c>
      <c r="C464" s="1" t="n">
        <v>46161</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16501-2023</t>
        </is>
      </c>
      <c r="B465" s="1" t="n">
        <v>45029</v>
      </c>
      <c r="C465" s="1" t="n">
        <v>46161</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2415-2026</t>
        </is>
      </c>
      <c r="B466" s="1" t="n">
        <v>46036.76203703704</v>
      </c>
      <c r="C466" s="1" t="n">
        <v>46161</v>
      </c>
      <c r="D466" t="inlineStr">
        <is>
          <t>GOTLANDS LÄN</t>
        </is>
      </c>
      <c r="E466" t="inlineStr">
        <is>
          <t>GOTLAND</t>
        </is>
      </c>
      <c r="G466" t="n">
        <v>6.9</v>
      </c>
      <c r="H466" t="n">
        <v>0</v>
      </c>
      <c r="I466" t="n">
        <v>0</v>
      </c>
      <c r="J466" t="n">
        <v>0</v>
      </c>
      <c r="K466" t="n">
        <v>0</v>
      </c>
      <c r="L466" t="n">
        <v>0</v>
      </c>
      <c r="M466" t="n">
        <v>0</v>
      </c>
      <c r="N466" t="n">
        <v>0</v>
      </c>
      <c r="O466" t="n">
        <v>0</v>
      </c>
      <c r="P466" t="n">
        <v>0</v>
      </c>
      <c r="Q466" t="n">
        <v>0</v>
      </c>
      <c r="R466" s="2" t="inlineStr"/>
    </row>
    <row r="467" ht="15" customHeight="1">
      <c r="A467" t="inlineStr">
        <is>
          <t>A 27095-2022</t>
        </is>
      </c>
      <c r="B467" s="1" t="n">
        <v>44741</v>
      </c>
      <c r="C467" s="1" t="n">
        <v>46161</v>
      </c>
      <c r="D467" t="inlineStr">
        <is>
          <t>GOTLANDS LÄN</t>
        </is>
      </c>
      <c r="E467" t="inlineStr">
        <is>
          <t>GOTLAND</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458-2023</t>
        </is>
      </c>
      <c r="B468" s="1" t="n">
        <v>44929</v>
      </c>
      <c r="C468" s="1" t="n">
        <v>46161</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1291-2023</t>
        </is>
      </c>
      <c r="B469" s="1" t="n">
        <v>44936.47561342592</v>
      </c>
      <c r="C469" s="1" t="n">
        <v>46161</v>
      </c>
      <c r="D469" t="inlineStr">
        <is>
          <t>GOTLANDS LÄN</t>
        </is>
      </c>
      <c r="E469" t="inlineStr">
        <is>
          <t>GOTLAND</t>
        </is>
      </c>
      <c r="G469" t="n">
        <v>7.4</v>
      </c>
      <c r="H469" t="n">
        <v>0</v>
      </c>
      <c r="I469" t="n">
        <v>0</v>
      </c>
      <c r="J469" t="n">
        <v>0</v>
      </c>
      <c r="K469" t="n">
        <v>0</v>
      </c>
      <c r="L469" t="n">
        <v>0</v>
      </c>
      <c r="M469" t="n">
        <v>0</v>
      </c>
      <c r="N469" t="n">
        <v>0</v>
      </c>
      <c r="O469" t="n">
        <v>0</v>
      </c>
      <c r="P469" t="n">
        <v>0</v>
      </c>
      <c r="Q469" t="n">
        <v>0</v>
      </c>
      <c r="R469" s="2" t="inlineStr"/>
    </row>
    <row r="470" ht="15" customHeight="1">
      <c r="A470" t="inlineStr">
        <is>
          <t>A 3253-2026</t>
        </is>
      </c>
      <c r="B470" s="1" t="n">
        <v>46041.58902777778</v>
      </c>
      <c r="C470" s="1" t="n">
        <v>46161</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32330-2024</t>
        </is>
      </c>
      <c r="B471" s="1" t="n">
        <v>45512</v>
      </c>
      <c r="C471" s="1" t="n">
        <v>46161</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5891-2025</t>
        </is>
      </c>
      <c r="B472" s="1" t="n">
        <v>45695.38327546296</v>
      </c>
      <c r="C472" s="1" t="n">
        <v>46161</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44944.55361111111</v>
      </c>
      <c r="C473" s="1" t="n">
        <v>46161</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17144-2025</t>
        </is>
      </c>
      <c r="B474" s="1" t="n">
        <v>45755.9499537037</v>
      </c>
      <c r="C474" s="1" t="n">
        <v>46161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49314-2024</t>
        </is>
      </c>
      <c r="B475" s="1" t="n">
        <v>45595.55893518519</v>
      </c>
      <c r="C475" s="1" t="n">
        <v>46161</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46161</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44755.8713425926</v>
      </c>
      <c r="C477" s="1" t="n">
        <v>46161</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16361-2024</t>
        </is>
      </c>
      <c r="B478" s="1" t="n">
        <v>45407</v>
      </c>
      <c r="C478" s="1" t="n">
        <v>46161</v>
      </c>
      <c r="D478" t="inlineStr">
        <is>
          <t>GOTLANDS LÄN</t>
        </is>
      </c>
      <c r="E478" t="inlineStr">
        <is>
          <t>GOTLAND</t>
        </is>
      </c>
      <c r="G478" t="n">
        <v>6</v>
      </c>
      <c r="H478" t="n">
        <v>0</v>
      </c>
      <c r="I478" t="n">
        <v>0</v>
      </c>
      <c r="J478" t="n">
        <v>0</v>
      </c>
      <c r="K478" t="n">
        <v>0</v>
      </c>
      <c r="L478" t="n">
        <v>0</v>
      </c>
      <c r="M478" t="n">
        <v>0</v>
      </c>
      <c r="N478" t="n">
        <v>0</v>
      </c>
      <c r="O478" t="n">
        <v>0</v>
      </c>
      <c r="P478" t="n">
        <v>0</v>
      </c>
      <c r="Q478" t="n">
        <v>0</v>
      </c>
      <c r="R478" s="2" t="inlineStr"/>
    </row>
    <row r="479" ht="15" customHeight="1">
      <c r="A479" t="inlineStr">
        <is>
          <t>A 1839-2026</t>
        </is>
      </c>
      <c r="B479" s="1" t="n">
        <v>46035.3942824074</v>
      </c>
      <c r="C479" s="1" t="n">
        <v>46161</v>
      </c>
      <c r="D479" t="inlineStr">
        <is>
          <t>GOTLANDS LÄN</t>
        </is>
      </c>
      <c r="E479" t="inlineStr">
        <is>
          <t>GOTLAND</t>
        </is>
      </c>
      <c r="G479" t="n">
        <v>3.5</v>
      </c>
      <c r="H479" t="n">
        <v>0</v>
      </c>
      <c r="I479" t="n">
        <v>0</v>
      </c>
      <c r="J479" t="n">
        <v>0</v>
      </c>
      <c r="K479" t="n">
        <v>0</v>
      </c>
      <c r="L479" t="n">
        <v>0</v>
      </c>
      <c r="M479" t="n">
        <v>0</v>
      </c>
      <c r="N479" t="n">
        <v>0</v>
      </c>
      <c r="O479" t="n">
        <v>0</v>
      </c>
      <c r="P479" t="n">
        <v>0</v>
      </c>
      <c r="Q479" t="n">
        <v>0</v>
      </c>
      <c r="R479" s="2" t="inlineStr"/>
    </row>
    <row r="480" ht="15" customHeight="1">
      <c r="A480" t="inlineStr">
        <is>
          <t>A 43081-2022</t>
        </is>
      </c>
      <c r="B480" s="1" t="n">
        <v>44833</v>
      </c>
      <c r="C480" s="1" t="n">
        <v>46161</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1175-2025</t>
        </is>
      </c>
      <c r="B481" s="1" t="n">
        <v>45667.34449074074</v>
      </c>
      <c r="C481" s="1" t="n">
        <v>46161</v>
      </c>
      <c r="D481" t="inlineStr">
        <is>
          <t>GOTLANDS LÄN</t>
        </is>
      </c>
      <c r="E481" t="inlineStr">
        <is>
          <t>GOTLAND</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4646-2026</t>
        </is>
      </c>
      <c r="B482" s="1" t="n">
        <v>46048.40357638889</v>
      </c>
      <c r="C482" s="1" t="n">
        <v>46161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4634-2026</t>
        </is>
      </c>
      <c r="B483" s="1" t="n">
        <v>46048.39304398148</v>
      </c>
      <c r="C483" s="1" t="n">
        <v>46161</v>
      </c>
      <c r="D483" t="inlineStr">
        <is>
          <t>GOTLANDS LÄN</t>
        </is>
      </c>
      <c r="E483" t="inlineStr">
        <is>
          <t>GOTLAND</t>
        </is>
      </c>
      <c r="G483" t="n">
        <v>7.8</v>
      </c>
      <c r="H483" t="n">
        <v>0</v>
      </c>
      <c r="I483" t="n">
        <v>0</v>
      </c>
      <c r="J483" t="n">
        <v>0</v>
      </c>
      <c r="K483" t="n">
        <v>0</v>
      </c>
      <c r="L483" t="n">
        <v>0</v>
      </c>
      <c r="M483" t="n">
        <v>0</v>
      </c>
      <c r="N483" t="n">
        <v>0</v>
      </c>
      <c r="O483" t="n">
        <v>0</v>
      </c>
      <c r="P483" t="n">
        <v>0</v>
      </c>
      <c r="Q483" t="n">
        <v>0</v>
      </c>
      <c r="R483" s="2" t="inlineStr"/>
    </row>
    <row r="484" ht="15" customHeight="1">
      <c r="A484" t="inlineStr">
        <is>
          <t>A 4670-2026</t>
        </is>
      </c>
      <c r="B484" s="1" t="n">
        <v>46048.41733796296</v>
      </c>
      <c r="C484" s="1" t="n">
        <v>46161</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3150-2025</t>
        </is>
      </c>
      <c r="B485" s="1" t="n">
        <v>45679.28974537037</v>
      </c>
      <c r="C485" s="1" t="n">
        <v>46161</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42041-2024</t>
        </is>
      </c>
      <c r="B486" s="1" t="n">
        <v>45561</v>
      </c>
      <c r="C486" s="1" t="n">
        <v>46161</v>
      </c>
      <c r="D486" t="inlineStr">
        <is>
          <t>GOTLANDS LÄN</t>
        </is>
      </c>
      <c r="E486" t="inlineStr">
        <is>
          <t>GOTLAND</t>
        </is>
      </c>
      <c r="G486" t="n">
        <v>3.2</v>
      </c>
      <c r="H486" t="n">
        <v>0</v>
      </c>
      <c r="I486" t="n">
        <v>0</v>
      </c>
      <c r="J486" t="n">
        <v>0</v>
      </c>
      <c r="K486" t="n">
        <v>0</v>
      </c>
      <c r="L486" t="n">
        <v>0</v>
      </c>
      <c r="M486" t="n">
        <v>0</v>
      </c>
      <c r="N486" t="n">
        <v>0</v>
      </c>
      <c r="O486" t="n">
        <v>0</v>
      </c>
      <c r="P486" t="n">
        <v>0</v>
      </c>
      <c r="Q486" t="n">
        <v>0</v>
      </c>
      <c r="R486" s="2" t="inlineStr"/>
    </row>
    <row r="487" ht="15" customHeight="1">
      <c r="A487" t="inlineStr">
        <is>
          <t>A 15436-2025</t>
        </is>
      </c>
      <c r="B487" s="1" t="n">
        <v>45747.47462962963</v>
      </c>
      <c r="C487" s="1" t="n">
        <v>46161</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6207-2026</t>
        </is>
      </c>
      <c r="B488" s="1" t="n">
        <v>46055.42083333333</v>
      </c>
      <c r="C488" s="1" t="n">
        <v>46161</v>
      </c>
      <c r="D488" t="inlineStr">
        <is>
          <t>GOTLANDS LÄN</t>
        </is>
      </c>
      <c r="E488" t="inlineStr">
        <is>
          <t>GOTLAND</t>
        </is>
      </c>
      <c r="G488" t="n">
        <v>7.6</v>
      </c>
      <c r="H488" t="n">
        <v>0</v>
      </c>
      <c r="I488" t="n">
        <v>0</v>
      </c>
      <c r="J488" t="n">
        <v>0</v>
      </c>
      <c r="K488" t="n">
        <v>0</v>
      </c>
      <c r="L488" t="n">
        <v>0</v>
      </c>
      <c r="M488" t="n">
        <v>0</v>
      </c>
      <c r="N488" t="n">
        <v>0</v>
      </c>
      <c r="O488" t="n">
        <v>0</v>
      </c>
      <c r="P488" t="n">
        <v>0</v>
      </c>
      <c r="Q488" t="n">
        <v>0</v>
      </c>
      <c r="R488" s="2" t="inlineStr"/>
    </row>
    <row r="489" ht="15" customHeight="1">
      <c r="A489" t="inlineStr">
        <is>
          <t>A 6218-2026</t>
        </is>
      </c>
      <c r="B489" s="1" t="n">
        <v>46055.42859953704</v>
      </c>
      <c r="C489" s="1" t="n">
        <v>46161</v>
      </c>
      <c r="D489" t="inlineStr">
        <is>
          <t>GOTLANDS LÄN</t>
        </is>
      </c>
      <c r="E489" t="inlineStr">
        <is>
          <t>GOTLAND</t>
        </is>
      </c>
      <c r="G489" t="n">
        <v>4.3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44705.38832175926</v>
      </c>
      <c r="C490" s="1" t="n">
        <v>46161</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6959-2026</t>
        </is>
      </c>
      <c r="B491" s="1" t="n">
        <v>46057.580625</v>
      </c>
      <c r="C491" s="1" t="n">
        <v>46161</v>
      </c>
      <c r="D491" t="inlineStr">
        <is>
          <t>GOTLANDS LÄN</t>
        </is>
      </c>
      <c r="E491" t="inlineStr">
        <is>
          <t>GOTLAND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6960-2026</t>
        </is>
      </c>
      <c r="B492" s="1" t="n">
        <v>46057.58105324074</v>
      </c>
      <c r="C492" s="1" t="n">
        <v>46161</v>
      </c>
      <c r="D492" t="inlineStr">
        <is>
          <t>GOTLANDS LÄN</t>
        </is>
      </c>
      <c r="E492" t="inlineStr">
        <is>
          <t>GOTLAND</t>
        </is>
      </c>
      <c r="F492" t="inlineStr">
        <is>
          <t>Kyrkan</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44682.82622685185</v>
      </c>
      <c r="C493" s="1" t="n">
        <v>46161</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63516-2023</t>
        </is>
      </c>
      <c r="B494" s="1" t="n">
        <v>45274</v>
      </c>
      <c r="C494" s="1" t="n">
        <v>46161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53935-2024</t>
        </is>
      </c>
      <c r="B495" s="1" t="n">
        <v>45615</v>
      </c>
      <c r="C495" s="1" t="n">
        <v>46161</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7627-2026</t>
        </is>
      </c>
      <c r="B496" s="1" t="n">
        <v>46062.35465277778</v>
      </c>
      <c r="C496" s="1" t="n">
        <v>46161</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63105-2025</t>
        </is>
      </c>
      <c r="B497" s="1" t="n">
        <v>46009</v>
      </c>
      <c r="C497" s="1" t="n">
        <v>46161</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69112-2021</t>
        </is>
      </c>
      <c r="B498" s="1" t="n">
        <v>44530</v>
      </c>
      <c r="C498" s="1" t="n">
        <v>46161</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7625-2026</t>
        </is>
      </c>
      <c r="B499" s="1" t="n">
        <v>46062.35135416667</v>
      </c>
      <c r="C499" s="1" t="n">
        <v>46161</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2135-2026</t>
        </is>
      </c>
      <c r="B500" s="1" t="n">
        <v>46036</v>
      </c>
      <c r="C500" s="1" t="n">
        <v>46161</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48734-2022</t>
        </is>
      </c>
      <c r="B501" s="1" t="n">
        <v>44855</v>
      </c>
      <c r="C501" s="1" t="n">
        <v>46161</v>
      </c>
      <c r="D501" t="inlineStr">
        <is>
          <t>GOTLANDS LÄN</t>
        </is>
      </c>
      <c r="E501" t="inlineStr">
        <is>
          <t>GOTLAND</t>
        </is>
      </c>
      <c r="G501" t="n">
        <v>1.6</v>
      </c>
      <c r="H501" t="n">
        <v>0</v>
      </c>
      <c r="I501" t="n">
        <v>0</v>
      </c>
      <c r="J501" t="n">
        <v>0</v>
      </c>
      <c r="K501" t="n">
        <v>0</v>
      </c>
      <c r="L501" t="n">
        <v>0</v>
      </c>
      <c r="M501" t="n">
        <v>0</v>
      </c>
      <c r="N501" t="n">
        <v>0</v>
      </c>
      <c r="O501" t="n">
        <v>0</v>
      </c>
      <c r="P501" t="n">
        <v>0</v>
      </c>
      <c r="Q501" t="n">
        <v>0</v>
      </c>
      <c r="R501" s="2" t="inlineStr"/>
    </row>
    <row r="502" ht="15" customHeight="1">
      <c r="A502" t="inlineStr">
        <is>
          <t>A 23516-2023</t>
        </is>
      </c>
      <c r="B502" s="1" t="n">
        <v>45076.93391203704</v>
      </c>
      <c r="C502" s="1" t="n">
        <v>46161</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43231-2023</t>
        </is>
      </c>
      <c r="B503" s="1" t="n">
        <v>45183.47025462963</v>
      </c>
      <c r="C503" s="1" t="n">
        <v>46161</v>
      </c>
      <c r="D503" t="inlineStr">
        <is>
          <t>GOTLANDS LÄN</t>
        </is>
      </c>
      <c r="E503" t="inlineStr">
        <is>
          <t>GOTLAND</t>
        </is>
      </c>
      <c r="G503" t="n">
        <v>3.6</v>
      </c>
      <c r="H503" t="n">
        <v>0</v>
      </c>
      <c r="I503" t="n">
        <v>0</v>
      </c>
      <c r="J503" t="n">
        <v>0</v>
      </c>
      <c r="K503" t="n">
        <v>0</v>
      </c>
      <c r="L503" t="n">
        <v>0</v>
      </c>
      <c r="M503" t="n">
        <v>0</v>
      </c>
      <c r="N503" t="n">
        <v>0</v>
      </c>
      <c r="O503" t="n">
        <v>0</v>
      </c>
      <c r="P503" t="n">
        <v>0</v>
      </c>
      <c r="Q503" t="n">
        <v>0</v>
      </c>
      <c r="R503" s="2" t="inlineStr"/>
    </row>
    <row r="504" ht="15" customHeight="1">
      <c r="A504" t="inlineStr">
        <is>
          <t>A 58230-2024</t>
        </is>
      </c>
      <c r="B504" s="1" t="n">
        <v>45632.51625</v>
      </c>
      <c r="C504" s="1" t="n">
        <v>46161</v>
      </c>
      <c r="D504" t="inlineStr">
        <is>
          <t>GOTLANDS LÄN</t>
        </is>
      </c>
      <c r="E504" t="inlineStr">
        <is>
          <t>GOTLAND</t>
        </is>
      </c>
      <c r="G504" t="n">
        <v>7.3</v>
      </c>
      <c r="H504" t="n">
        <v>0</v>
      </c>
      <c r="I504" t="n">
        <v>0</v>
      </c>
      <c r="J504" t="n">
        <v>0</v>
      </c>
      <c r="K504" t="n">
        <v>0</v>
      </c>
      <c r="L504" t="n">
        <v>0</v>
      </c>
      <c r="M504" t="n">
        <v>0</v>
      </c>
      <c r="N504" t="n">
        <v>0</v>
      </c>
      <c r="O504" t="n">
        <v>0</v>
      </c>
      <c r="P504" t="n">
        <v>0</v>
      </c>
      <c r="Q504" t="n">
        <v>0</v>
      </c>
      <c r="R504" s="2" t="inlineStr"/>
    </row>
    <row r="505" ht="15" customHeight="1">
      <c r="A505" t="inlineStr">
        <is>
          <t>A 2134-2026</t>
        </is>
      </c>
      <c r="B505" s="1" t="n">
        <v>46036</v>
      </c>
      <c r="C505" s="1" t="n">
        <v>46161</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64555-2023</t>
        </is>
      </c>
      <c r="B506" s="1" t="n">
        <v>45281</v>
      </c>
      <c r="C506" s="1" t="n">
        <v>46161</v>
      </c>
      <c r="D506" t="inlineStr">
        <is>
          <t>GOTLANDS LÄN</t>
        </is>
      </c>
      <c r="E506" t="inlineStr">
        <is>
          <t>GOTLAND</t>
        </is>
      </c>
      <c r="G506" t="n">
        <v>3.5</v>
      </c>
      <c r="H506" t="n">
        <v>0</v>
      </c>
      <c r="I506" t="n">
        <v>0</v>
      </c>
      <c r="J506" t="n">
        <v>0</v>
      </c>
      <c r="K506" t="n">
        <v>0</v>
      </c>
      <c r="L506" t="n">
        <v>0</v>
      </c>
      <c r="M506" t="n">
        <v>0</v>
      </c>
      <c r="N506" t="n">
        <v>0</v>
      </c>
      <c r="O506" t="n">
        <v>0</v>
      </c>
      <c r="P506" t="n">
        <v>0</v>
      </c>
      <c r="Q506" t="n">
        <v>0</v>
      </c>
      <c r="R506" s="2" t="inlineStr"/>
    </row>
    <row r="507" ht="15" customHeight="1">
      <c r="A507" t="inlineStr">
        <is>
          <t>A 457-2023</t>
        </is>
      </c>
      <c r="B507" s="1" t="n">
        <v>44929.87238425926</v>
      </c>
      <c r="C507" s="1" t="n">
        <v>46161</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459-2023</t>
        </is>
      </c>
      <c r="B508" s="1" t="n">
        <v>44929.87423611111</v>
      </c>
      <c r="C508" s="1" t="n">
        <v>46161</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876-2024</t>
        </is>
      </c>
      <c r="B509" s="1" t="n">
        <v>45301</v>
      </c>
      <c r="C509" s="1" t="n">
        <v>46161</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26891-2024</t>
        </is>
      </c>
      <c r="B510" s="1" t="n">
        <v>45470.65540509259</v>
      </c>
      <c r="C510" s="1" t="n">
        <v>46161</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46161</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46161</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53561-2025</t>
        </is>
      </c>
      <c r="B513" s="1" t="n">
        <v>45960.4059375</v>
      </c>
      <c r="C513" s="1" t="n">
        <v>46161</v>
      </c>
      <c r="D513" t="inlineStr">
        <is>
          <t>GOTLANDS LÄN</t>
        </is>
      </c>
      <c r="E513" t="inlineStr">
        <is>
          <t>GOTLAND</t>
        </is>
      </c>
      <c r="F513" t="inlineStr">
        <is>
          <t>Övriga Aktiebolag</t>
        </is>
      </c>
      <c r="G513" t="n">
        <v>2.4</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46161</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53587-2025</t>
        </is>
      </c>
      <c r="B515" s="1" t="n">
        <v>45960.43681712963</v>
      </c>
      <c r="C515" s="1" t="n">
        <v>46161</v>
      </c>
      <c r="D515" t="inlineStr">
        <is>
          <t>GOTLANDS LÄN</t>
        </is>
      </c>
      <c r="E515" t="inlineStr">
        <is>
          <t>GOTLAND</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38234-2023</t>
        </is>
      </c>
      <c r="B516" s="1" t="n">
        <v>45161.56663194444</v>
      </c>
      <c r="C516" s="1" t="n">
        <v>46161</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9540-2026</t>
        </is>
      </c>
      <c r="B517" s="1" t="n">
        <v>46071.61961805556</v>
      </c>
      <c r="C517" s="1" t="n">
        <v>46161</v>
      </c>
      <c r="D517" t="inlineStr">
        <is>
          <t>GOTLANDS LÄN</t>
        </is>
      </c>
      <c r="E517" t="inlineStr">
        <is>
          <t>GOTLAND</t>
        </is>
      </c>
      <c r="G517" t="n">
        <v>2.8</v>
      </c>
      <c r="H517" t="n">
        <v>0</v>
      </c>
      <c r="I517" t="n">
        <v>0</v>
      </c>
      <c r="J517" t="n">
        <v>0</v>
      </c>
      <c r="K517" t="n">
        <v>0</v>
      </c>
      <c r="L517" t="n">
        <v>0</v>
      </c>
      <c r="M517" t="n">
        <v>0</v>
      </c>
      <c r="N517" t="n">
        <v>0</v>
      </c>
      <c r="O517" t="n">
        <v>0</v>
      </c>
      <c r="P517" t="n">
        <v>0</v>
      </c>
      <c r="Q517" t="n">
        <v>0</v>
      </c>
      <c r="R517" s="2" t="inlineStr"/>
    </row>
    <row r="518" ht="15" customHeight="1">
      <c r="A518" t="inlineStr">
        <is>
          <t>A 1273-2023</t>
        </is>
      </c>
      <c r="B518" s="1" t="n">
        <v>44936</v>
      </c>
      <c r="C518" s="1" t="n">
        <v>46161</v>
      </c>
      <c r="D518" t="inlineStr">
        <is>
          <t>GOTLANDS LÄN</t>
        </is>
      </c>
      <c r="E518" t="inlineStr">
        <is>
          <t>GOTLAND</t>
        </is>
      </c>
      <c r="G518" t="n">
        <v>4.5</v>
      </c>
      <c r="H518" t="n">
        <v>0</v>
      </c>
      <c r="I518" t="n">
        <v>0</v>
      </c>
      <c r="J518" t="n">
        <v>0</v>
      </c>
      <c r="K518" t="n">
        <v>0</v>
      </c>
      <c r="L518" t="n">
        <v>0</v>
      </c>
      <c r="M518" t="n">
        <v>0</v>
      </c>
      <c r="N518" t="n">
        <v>0</v>
      </c>
      <c r="O518" t="n">
        <v>0</v>
      </c>
      <c r="P518" t="n">
        <v>0</v>
      </c>
      <c r="Q518" t="n">
        <v>0</v>
      </c>
      <c r="R518" s="2" t="inlineStr"/>
    </row>
    <row r="519" ht="15" customHeight="1">
      <c r="A519" t="inlineStr">
        <is>
          <t>A 9521-2026</t>
        </is>
      </c>
      <c r="B519" s="1" t="n">
        <v>46071.59969907408</v>
      </c>
      <c r="C519" s="1" t="n">
        <v>46161</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9524-2026</t>
        </is>
      </c>
      <c r="B520" s="1" t="n">
        <v>46071.60108796296</v>
      </c>
      <c r="C520" s="1" t="n">
        <v>46161</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9543-2026</t>
        </is>
      </c>
      <c r="B521" s="1" t="n">
        <v>46071.62486111111</v>
      </c>
      <c r="C521" s="1" t="n">
        <v>46161</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9504-2026</t>
        </is>
      </c>
      <c r="B522" s="1" t="n">
        <v>46071.57730324074</v>
      </c>
      <c r="C522" s="1" t="n">
        <v>46161</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9518-2026</t>
        </is>
      </c>
      <c r="B523" s="1" t="n">
        <v>46071.59653935185</v>
      </c>
      <c r="C523" s="1" t="n">
        <v>46161</v>
      </c>
      <c r="D523" t="inlineStr">
        <is>
          <t>GOTLANDS LÄN</t>
        </is>
      </c>
      <c r="E523" t="inlineStr">
        <is>
          <t>GOTLAND</t>
        </is>
      </c>
      <c r="G523" t="n">
        <v>6.2</v>
      </c>
      <c r="H523" t="n">
        <v>0</v>
      </c>
      <c r="I523" t="n">
        <v>0</v>
      </c>
      <c r="J523" t="n">
        <v>0</v>
      </c>
      <c r="K523" t="n">
        <v>0</v>
      </c>
      <c r="L523" t="n">
        <v>0</v>
      </c>
      <c r="M523" t="n">
        <v>0</v>
      </c>
      <c r="N523" t="n">
        <v>0</v>
      </c>
      <c r="O523" t="n">
        <v>0</v>
      </c>
      <c r="P523" t="n">
        <v>0</v>
      </c>
      <c r="Q523" t="n">
        <v>0</v>
      </c>
      <c r="R523" s="2" t="inlineStr"/>
    </row>
    <row r="524" ht="15" customHeight="1">
      <c r="A524" t="inlineStr">
        <is>
          <t>A 9519-2026</t>
        </is>
      </c>
      <c r="B524" s="1" t="n">
        <v>46071.59820601852</v>
      </c>
      <c r="C524" s="1" t="n">
        <v>46161</v>
      </c>
      <c r="D524" t="inlineStr">
        <is>
          <t>GOTLANDS LÄN</t>
        </is>
      </c>
      <c r="E524" t="inlineStr">
        <is>
          <t>GOTLAND</t>
        </is>
      </c>
      <c r="G524" t="n">
        <v>4</v>
      </c>
      <c r="H524" t="n">
        <v>0</v>
      </c>
      <c r="I524" t="n">
        <v>0</v>
      </c>
      <c r="J524" t="n">
        <v>0</v>
      </c>
      <c r="K524" t="n">
        <v>0</v>
      </c>
      <c r="L524" t="n">
        <v>0</v>
      </c>
      <c r="M524" t="n">
        <v>0</v>
      </c>
      <c r="N524" t="n">
        <v>0</v>
      </c>
      <c r="O524" t="n">
        <v>0</v>
      </c>
      <c r="P524" t="n">
        <v>0</v>
      </c>
      <c r="Q524" t="n">
        <v>0</v>
      </c>
      <c r="R524" s="2" t="inlineStr"/>
    </row>
    <row r="525" ht="15" customHeight="1">
      <c r="A525" t="inlineStr">
        <is>
          <t>A 9901-2026</t>
        </is>
      </c>
      <c r="B525" s="1" t="n">
        <v>46073.40391203704</v>
      </c>
      <c r="C525" s="1" t="n">
        <v>46161</v>
      </c>
      <c r="D525" t="inlineStr">
        <is>
          <t>GOTLANDS LÄN</t>
        </is>
      </c>
      <c r="E525" t="inlineStr">
        <is>
          <t>GOTLAND</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17724-2024</t>
        </is>
      </c>
      <c r="B526" s="1" t="n">
        <v>45418.55096064815</v>
      </c>
      <c r="C526" s="1" t="n">
        <v>46161</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23978-2023</t>
        </is>
      </c>
      <c r="B527" s="1" t="n">
        <v>45078</v>
      </c>
      <c r="C527" s="1" t="n">
        <v>46161</v>
      </c>
      <c r="D527" t="inlineStr">
        <is>
          <t>GOTLANDS LÄN</t>
        </is>
      </c>
      <c r="E527" t="inlineStr">
        <is>
          <t>GOTLAND</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49884-2023</t>
        </is>
      </c>
      <c r="B528" s="1" t="n">
        <v>45213</v>
      </c>
      <c r="C528" s="1" t="n">
        <v>46161</v>
      </c>
      <c r="D528" t="inlineStr">
        <is>
          <t>GOTLANDS LÄN</t>
        </is>
      </c>
      <c r="E528" t="inlineStr">
        <is>
          <t>GOTLAND</t>
        </is>
      </c>
      <c r="G528" t="n">
        <v>8.9</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46161</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10284-2026</t>
        </is>
      </c>
      <c r="B530" s="1" t="n">
        <v>46076</v>
      </c>
      <c r="C530" s="1" t="n">
        <v>46161</v>
      </c>
      <c r="D530" t="inlineStr">
        <is>
          <t>GOTLANDS LÄN</t>
        </is>
      </c>
      <c r="E530" t="inlineStr">
        <is>
          <t>GOTLAND</t>
        </is>
      </c>
      <c r="G530" t="n">
        <v>5.2</v>
      </c>
      <c r="H530" t="n">
        <v>0</v>
      </c>
      <c r="I530" t="n">
        <v>0</v>
      </c>
      <c r="J530" t="n">
        <v>0</v>
      </c>
      <c r="K530" t="n">
        <v>0</v>
      </c>
      <c r="L530" t="n">
        <v>0</v>
      </c>
      <c r="M530" t="n">
        <v>0</v>
      </c>
      <c r="N530" t="n">
        <v>0</v>
      </c>
      <c r="O530" t="n">
        <v>0</v>
      </c>
      <c r="P530" t="n">
        <v>0</v>
      </c>
      <c r="Q530" t="n">
        <v>0</v>
      </c>
      <c r="R530" s="2" t="inlineStr"/>
    </row>
    <row r="531" ht="15" customHeight="1">
      <c r="A531" t="inlineStr">
        <is>
          <t>A 43200-2023</t>
        </is>
      </c>
      <c r="B531" s="1" t="n">
        <v>45183</v>
      </c>
      <c r="C531" s="1" t="n">
        <v>46161</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46161</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60384-2025</t>
        </is>
      </c>
      <c r="B533" s="1" t="n">
        <v>45995</v>
      </c>
      <c r="C533" s="1" t="n">
        <v>46161</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3935-2025</t>
        </is>
      </c>
      <c r="B534" s="1" t="n">
        <v>45684.46070601852</v>
      </c>
      <c r="C534" s="1" t="n">
        <v>46161</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21792-2024</t>
        </is>
      </c>
      <c r="B535" s="1" t="n">
        <v>45442.64326388889</v>
      </c>
      <c r="C535" s="1" t="n">
        <v>46161</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17935-2026</t>
        </is>
      </c>
      <c r="B536" s="1" t="n">
        <v>46122</v>
      </c>
      <c r="C536" s="1" t="n">
        <v>46161</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17943-2026</t>
        </is>
      </c>
      <c r="B537" s="1" t="n">
        <v>46122</v>
      </c>
      <c r="C537" s="1" t="n">
        <v>46161</v>
      </c>
      <c r="D537" t="inlineStr">
        <is>
          <t>GOTLANDS LÄN</t>
        </is>
      </c>
      <c r="E537" t="inlineStr">
        <is>
          <t>GOTLAND</t>
        </is>
      </c>
      <c r="G537" t="n">
        <v>2.8</v>
      </c>
      <c r="H537" t="n">
        <v>0</v>
      </c>
      <c r="I537" t="n">
        <v>0</v>
      </c>
      <c r="J537" t="n">
        <v>0</v>
      </c>
      <c r="K537" t="n">
        <v>0</v>
      </c>
      <c r="L537" t="n">
        <v>0</v>
      </c>
      <c r="M537" t="n">
        <v>0</v>
      </c>
      <c r="N537" t="n">
        <v>0</v>
      </c>
      <c r="O537" t="n">
        <v>0</v>
      </c>
      <c r="P537" t="n">
        <v>0</v>
      </c>
      <c r="Q537" t="n">
        <v>0</v>
      </c>
      <c r="R537" s="2" t="inlineStr"/>
    </row>
    <row r="538" ht="15" customHeight="1">
      <c r="A538" t="inlineStr">
        <is>
          <t>A 48843-2024</t>
        </is>
      </c>
      <c r="B538" s="1" t="n">
        <v>45593</v>
      </c>
      <c r="C538" s="1" t="n">
        <v>46161</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54584-2025</t>
        </is>
      </c>
      <c r="B539" s="1" t="n">
        <v>45965.71788194445</v>
      </c>
      <c r="C539" s="1" t="n">
        <v>46161</v>
      </c>
      <c r="D539" t="inlineStr">
        <is>
          <t>GOTLANDS LÄN</t>
        </is>
      </c>
      <c r="E539" t="inlineStr">
        <is>
          <t>GOTLAND</t>
        </is>
      </c>
      <c r="G539" t="n">
        <v>3.5</v>
      </c>
      <c r="H539" t="n">
        <v>0</v>
      </c>
      <c r="I539" t="n">
        <v>0</v>
      </c>
      <c r="J539" t="n">
        <v>0</v>
      </c>
      <c r="K539" t="n">
        <v>0</v>
      </c>
      <c r="L539" t="n">
        <v>0</v>
      </c>
      <c r="M539" t="n">
        <v>0</v>
      </c>
      <c r="N539" t="n">
        <v>0</v>
      </c>
      <c r="O539" t="n">
        <v>0</v>
      </c>
      <c r="P539" t="n">
        <v>0</v>
      </c>
      <c r="Q539" t="n">
        <v>0</v>
      </c>
      <c r="R539" s="2" t="inlineStr"/>
    </row>
    <row r="540" ht="15" customHeight="1">
      <c r="A540" t="inlineStr">
        <is>
          <t>A 10653-2023</t>
        </is>
      </c>
      <c r="B540" s="1" t="n">
        <v>44988.48859953704</v>
      </c>
      <c r="C540" s="1" t="n">
        <v>46161</v>
      </c>
      <c r="D540" t="inlineStr">
        <is>
          <t>GOTLANDS LÄN</t>
        </is>
      </c>
      <c r="E540" t="inlineStr">
        <is>
          <t>GOTLAND</t>
        </is>
      </c>
      <c r="F540" t="inlineStr">
        <is>
          <t>Kyrkan</t>
        </is>
      </c>
      <c r="G540" t="n">
        <v>3</v>
      </c>
      <c r="H540" t="n">
        <v>0</v>
      </c>
      <c r="I540" t="n">
        <v>0</v>
      </c>
      <c r="J540" t="n">
        <v>0</v>
      </c>
      <c r="K540" t="n">
        <v>0</v>
      </c>
      <c r="L540" t="n">
        <v>0</v>
      </c>
      <c r="M540" t="n">
        <v>0</v>
      </c>
      <c r="N540" t="n">
        <v>0</v>
      </c>
      <c r="O540" t="n">
        <v>0</v>
      </c>
      <c r="P540" t="n">
        <v>0</v>
      </c>
      <c r="Q540" t="n">
        <v>0</v>
      </c>
      <c r="R540" s="2" t="inlineStr"/>
    </row>
    <row r="541" ht="15" customHeight="1">
      <c r="A541" t="inlineStr">
        <is>
          <t>A 11424-2026</t>
        </is>
      </c>
      <c r="B541" s="1" t="n">
        <v>46083.48068287037</v>
      </c>
      <c r="C541" s="1" t="n">
        <v>46161</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35512-2023</t>
        </is>
      </c>
      <c r="B542" s="1" t="n">
        <v>45147.25623842593</v>
      </c>
      <c r="C542" s="1" t="n">
        <v>46161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3067-2026</t>
        </is>
      </c>
      <c r="B543" s="1" t="n">
        <v>46040.59025462963</v>
      </c>
      <c r="C543" s="1" t="n">
        <v>46161</v>
      </c>
      <c r="D543" t="inlineStr">
        <is>
          <t>GOTLANDS LÄN</t>
        </is>
      </c>
      <c r="E543" t="inlineStr">
        <is>
          <t>GOTLAND</t>
        </is>
      </c>
      <c r="G543" t="n">
        <v>7.8</v>
      </c>
      <c r="H543" t="n">
        <v>0</v>
      </c>
      <c r="I543" t="n">
        <v>0</v>
      </c>
      <c r="J543" t="n">
        <v>0</v>
      </c>
      <c r="K543" t="n">
        <v>0</v>
      </c>
      <c r="L543" t="n">
        <v>0</v>
      </c>
      <c r="M543" t="n">
        <v>0</v>
      </c>
      <c r="N543" t="n">
        <v>0</v>
      </c>
      <c r="O543" t="n">
        <v>0</v>
      </c>
      <c r="P543" t="n">
        <v>0</v>
      </c>
      <c r="Q543" t="n">
        <v>0</v>
      </c>
      <c r="R543" s="2" t="inlineStr"/>
    </row>
    <row r="544" ht="15" customHeight="1">
      <c r="A544" t="inlineStr">
        <is>
          <t>A 11874-2024</t>
        </is>
      </c>
      <c r="B544" s="1" t="n">
        <v>45376.46956018519</v>
      </c>
      <c r="C544" s="1" t="n">
        <v>46161</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11414-2026</t>
        </is>
      </c>
      <c r="B545" s="1" t="n">
        <v>46083.46336805556</v>
      </c>
      <c r="C545" s="1" t="n">
        <v>46161</v>
      </c>
      <c r="D545" t="inlineStr">
        <is>
          <t>GOTLANDS LÄN</t>
        </is>
      </c>
      <c r="E545" t="inlineStr">
        <is>
          <t>GOTLAND</t>
        </is>
      </c>
      <c r="G545" t="n">
        <v>4.9</v>
      </c>
      <c r="H545" t="n">
        <v>0</v>
      </c>
      <c r="I545" t="n">
        <v>0</v>
      </c>
      <c r="J545" t="n">
        <v>0</v>
      </c>
      <c r="K545" t="n">
        <v>0</v>
      </c>
      <c r="L545" t="n">
        <v>0</v>
      </c>
      <c r="M545" t="n">
        <v>0</v>
      </c>
      <c r="N545" t="n">
        <v>0</v>
      </c>
      <c r="O545" t="n">
        <v>0</v>
      </c>
      <c r="P545" t="n">
        <v>0</v>
      </c>
      <c r="Q545" t="n">
        <v>0</v>
      </c>
      <c r="R545" s="2" t="inlineStr"/>
    </row>
    <row r="546" ht="15" customHeight="1">
      <c r="A546" t="inlineStr">
        <is>
          <t>A 12135-2026</t>
        </is>
      </c>
      <c r="B546" s="1" t="n">
        <v>46086</v>
      </c>
      <c r="C546" s="1" t="n">
        <v>46161</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20225-2025</t>
        </is>
      </c>
      <c r="B547" s="1" t="n">
        <v>45772.65802083333</v>
      </c>
      <c r="C547" s="1" t="n">
        <v>46161</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11982-2026</t>
        </is>
      </c>
      <c r="B548" s="1" t="n">
        <v>46085.6434375</v>
      </c>
      <c r="C548" s="1" t="n">
        <v>46161</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18804-2026</t>
        </is>
      </c>
      <c r="B549" s="1" t="n">
        <v>46128.62366898148</v>
      </c>
      <c r="C549" s="1" t="n">
        <v>46161</v>
      </c>
      <c r="D549" t="inlineStr">
        <is>
          <t>GOTLANDS LÄN</t>
        </is>
      </c>
      <c r="E549" t="inlineStr">
        <is>
          <t>GOTLAND</t>
        </is>
      </c>
      <c r="F549" t="inlineStr">
        <is>
          <t>Kyrkan</t>
        </is>
      </c>
      <c r="G549" t="n">
        <v>2.6</v>
      </c>
      <c r="H549" t="n">
        <v>0</v>
      </c>
      <c r="I549" t="n">
        <v>0</v>
      </c>
      <c r="J549" t="n">
        <v>0</v>
      </c>
      <c r="K549" t="n">
        <v>0</v>
      </c>
      <c r="L549" t="n">
        <v>0</v>
      </c>
      <c r="M549" t="n">
        <v>0</v>
      </c>
      <c r="N549" t="n">
        <v>0</v>
      </c>
      <c r="O549" t="n">
        <v>0</v>
      </c>
      <c r="P549" t="n">
        <v>0</v>
      </c>
      <c r="Q549" t="n">
        <v>0</v>
      </c>
      <c r="R549" s="2" t="inlineStr"/>
    </row>
    <row r="550" ht="15" customHeight="1">
      <c r="A550" t="inlineStr">
        <is>
          <t>A 1677-2023</t>
        </is>
      </c>
      <c r="B550" s="1" t="n">
        <v>44938</v>
      </c>
      <c r="C550" s="1" t="n">
        <v>46161</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64831-2023</t>
        </is>
      </c>
      <c r="B551" s="1" t="n">
        <v>45282.44924768519</v>
      </c>
      <c r="C551" s="1" t="n">
        <v>46161</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8036-2022</t>
        </is>
      </c>
      <c r="B552" s="1" t="n">
        <v>44609.44362268518</v>
      </c>
      <c r="C552" s="1" t="n">
        <v>46161</v>
      </c>
      <c r="D552" t="inlineStr">
        <is>
          <t>GOTLANDS LÄN</t>
        </is>
      </c>
      <c r="E552" t="inlineStr">
        <is>
          <t>GOTLAND</t>
        </is>
      </c>
      <c r="G552" t="n">
        <v>6.1</v>
      </c>
      <c r="H552" t="n">
        <v>0</v>
      </c>
      <c r="I552" t="n">
        <v>0</v>
      </c>
      <c r="J552" t="n">
        <v>0</v>
      </c>
      <c r="K552" t="n">
        <v>0</v>
      </c>
      <c r="L552" t="n">
        <v>0</v>
      </c>
      <c r="M552" t="n">
        <v>0</v>
      </c>
      <c r="N552" t="n">
        <v>0</v>
      </c>
      <c r="O552" t="n">
        <v>0</v>
      </c>
      <c r="P552" t="n">
        <v>0</v>
      </c>
      <c r="Q552" t="n">
        <v>0</v>
      </c>
      <c r="R552" s="2" t="inlineStr"/>
    </row>
    <row r="553" ht="15" customHeight="1">
      <c r="A553" t="inlineStr">
        <is>
          <t>A 46375-2024</t>
        </is>
      </c>
      <c r="B553" s="1" t="n">
        <v>45582</v>
      </c>
      <c r="C553" s="1" t="n">
        <v>46161</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62915-2021</t>
        </is>
      </c>
      <c r="B554" s="1" t="n">
        <v>44504</v>
      </c>
      <c r="C554" s="1" t="n">
        <v>46161</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7638-2025</t>
        </is>
      </c>
      <c r="B555" s="1" t="n">
        <v>45705.77306712963</v>
      </c>
      <c r="C555" s="1" t="n">
        <v>46161</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4377-2023</t>
        </is>
      </c>
      <c r="B556" s="1" t="n">
        <v>44955.5502662037</v>
      </c>
      <c r="C556" s="1" t="n">
        <v>46161</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42201-2023</t>
        </is>
      </c>
      <c r="B557" s="1" t="n">
        <v>45179</v>
      </c>
      <c r="C557" s="1" t="n">
        <v>46161</v>
      </c>
      <c r="D557" t="inlineStr">
        <is>
          <t>GOTLANDS LÄN</t>
        </is>
      </c>
      <c r="E557" t="inlineStr">
        <is>
          <t>GOTLAND</t>
        </is>
      </c>
      <c r="G557" t="n">
        <v>11.9</v>
      </c>
      <c r="H557" t="n">
        <v>0</v>
      </c>
      <c r="I557" t="n">
        <v>0</v>
      </c>
      <c r="J557" t="n">
        <v>0</v>
      </c>
      <c r="K557" t="n">
        <v>0</v>
      </c>
      <c r="L557" t="n">
        <v>0</v>
      </c>
      <c r="M557" t="n">
        <v>0</v>
      </c>
      <c r="N557" t="n">
        <v>0</v>
      </c>
      <c r="O557" t="n">
        <v>0</v>
      </c>
      <c r="P557" t="n">
        <v>0</v>
      </c>
      <c r="Q557" t="n">
        <v>0</v>
      </c>
      <c r="R557" s="2" t="inlineStr"/>
    </row>
    <row r="558" ht="15" customHeight="1">
      <c r="A558" t="inlineStr">
        <is>
          <t>A 19322-2026</t>
        </is>
      </c>
      <c r="B558" s="1" t="n">
        <v>46129</v>
      </c>
      <c r="C558" s="1" t="n">
        <v>46161</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43901-2023</t>
        </is>
      </c>
      <c r="B559" s="1" t="n">
        <v>45187</v>
      </c>
      <c r="C559" s="1" t="n">
        <v>46161</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17532-2024</t>
        </is>
      </c>
      <c r="B560" s="1" t="n">
        <v>45415</v>
      </c>
      <c r="C560" s="1" t="n">
        <v>46161</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45692-2023</t>
        </is>
      </c>
      <c r="B561" s="1" t="n">
        <v>45195</v>
      </c>
      <c r="C561" s="1" t="n">
        <v>46161</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37222-2021</t>
        </is>
      </c>
      <c r="B562" s="1" t="n">
        <v>44396</v>
      </c>
      <c r="C562" s="1" t="n">
        <v>46161</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46396-2023</t>
        </is>
      </c>
      <c r="B563" s="1" t="n">
        <v>45197</v>
      </c>
      <c r="C563" s="1" t="n">
        <v>46161</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58388-2022</t>
        </is>
      </c>
      <c r="B564" s="1" t="n">
        <v>44894</v>
      </c>
      <c r="C564" s="1" t="n">
        <v>46161</v>
      </c>
      <c r="D564" t="inlineStr">
        <is>
          <t>GOTLANDS LÄN</t>
        </is>
      </c>
      <c r="E564" t="inlineStr">
        <is>
          <t>GOTLAND</t>
        </is>
      </c>
      <c r="F564" t="inlineStr">
        <is>
          <t>Övriga statliga verk och myndigheter</t>
        </is>
      </c>
      <c r="G564" t="n">
        <v>3.1</v>
      </c>
      <c r="H564" t="n">
        <v>0</v>
      </c>
      <c r="I564" t="n">
        <v>0</v>
      </c>
      <c r="J564" t="n">
        <v>0</v>
      </c>
      <c r="K564" t="n">
        <v>0</v>
      </c>
      <c r="L564" t="n">
        <v>0</v>
      </c>
      <c r="M564" t="n">
        <v>0</v>
      </c>
      <c r="N564" t="n">
        <v>0</v>
      </c>
      <c r="O564" t="n">
        <v>0</v>
      </c>
      <c r="P564" t="n">
        <v>0</v>
      </c>
      <c r="Q564" t="n">
        <v>0</v>
      </c>
      <c r="R564" s="2" t="inlineStr"/>
    </row>
    <row r="565" ht="15" customHeight="1">
      <c r="A565" t="inlineStr">
        <is>
          <t>A 63000-2025</t>
        </is>
      </c>
      <c r="B565" s="1" t="n">
        <v>46009</v>
      </c>
      <c r="C565" s="1" t="n">
        <v>46161</v>
      </c>
      <c r="D565" t="inlineStr">
        <is>
          <t>GOTLANDS LÄN</t>
        </is>
      </c>
      <c r="E565" t="inlineStr">
        <is>
          <t>GOTLAND</t>
        </is>
      </c>
      <c r="F565" t="inlineStr">
        <is>
          <t>Övriga Aktiebolag</t>
        </is>
      </c>
      <c r="G565" t="n">
        <v>1.7</v>
      </c>
      <c r="H565" t="n">
        <v>0</v>
      </c>
      <c r="I565" t="n">
        <v>0</v>
      </c>
      <c r="J565" t="n">
        <v>0</v>
      </c>
      <c r="K565" t="n">
        <v>0</v>
      </c>
      <c r="L565" t="n">
        <v>0</v>
      </c>
      <c r="M565" t="n">
        <v>0</v>
      </c>
      <c r="N565" t="n">
        <v>0</v>
      </c>
      <c r="O565" t="n">
        <v>0</v>
      </c>
      <c r="P565" t="n">
        <v>0</v>
      </c>
      <c r="Q565" t="n">
        <v>0</v>
      </c>
      <c r="R565" s="2" t="inlineStr"/>
    </row>
    <row r="566" ht="15" customHeight="1">
      <c r="A566" t="inlineStr">
        <is>
          <t>A 62751-2025</t>
        </is>
      </c>
      <c r="B566" s="1" t="n">
        <v>46008</v>
      </c>
      <c r="C566" s="1" t="n">
        <v>46161</v>
      </c>
      <c r="D566" t="inlineStr">
        <is>
          <t>GOTLANDS LÄN</t>
        </is>
      </c>
      <c r="E566" t="inlineStr">
        <is>
          <t>GOTLAND</t>
        </is>
      </c>
      <c r="F566" t="inlineStr">
        <is>
          <t>Övriga Aktiebolag</t>
        </is>
      </c>
      <c r="G566" t="n">
        <v>7.8</v>
      </c>
      <c r="H566" t="n">
        <v>0</v>
      </c>
      <c r="I566" t="n">
        <v>0</v>
      </c>
      <c r="J566" t="n">
        <v>0</v>
      </c>
      <c r="K566" t="n">
        <v>0</v>
      </c>
      <c r="L566" t="n">
        <v>0</v>
      </c>
      <c r="M566" t="n">
        <v>0</v>
      </c>
      <c r="N566" t="n">
        <v>0</v>
      </c>
      <c r="O566" t="n">
        <v>0</v>
      </c>
      <c r="P566" t="n">
        <v>0</v>
      </c>
      <c r="Q566" t="n">
        <v>0</v>
      </c>
      <c r="R566" s="2" t="inlineStr"/>
    </row>
    <row r="567" ht="15" customHeight="1">
      <c r="A567" t="inlineStr">
        <is>
          <t>A 62754-2025</t>
        </is>
      </c>
      <c r="B567" s="1" t="n">
        <v>46008</v>
      </c>
      <c r="C567" s="1" t="n">
        <v>46161</v>
      </c>
      <c r="D567" t="inlineStr">
        <is>
          <t>GOTLANDS LÄN</t>
        </is>
      </c>
      <c r="E567" t="inlineStr">
        <is>
          <t>GOTLAND</t>
        </is>
      </c>
      <c r="F567" t="inlineStr">
        <is>
          <t>Övriga Aktiebolag</t>
        </is>
      </c>
      <c r="G567" t="n">
        <v>2.9</v>
      </c>
      <c r="H567" t="n">
        <v>0</v>
      </c>
      <c r="I567" t="n">
        <v>0</v>
      </c>
      <c r="J567" t="n">
        <v>0</v>
      </c>
      <c r="K567" t="n">
        <v>0</v>
      </c>
      <c r="L567" t="n">
        <v>0</v>
      </c>
      <c r="M567" t="n">
        <v>0</v>
      </c>
      <c r="N567" t="n">
        <v>0</v>
      </c>
      <c r="O567" t="n">
        <v>0</v>
      </c>
      <c r="P567" t="n">
        <v>0</v>
      </c>
      <c r="Q567" t="n">
        <v>0</v>
      </c>
      <c r="R567" s="2" t="inlineStr"/>
    </row>
    <row r="568" ht="15" customHeight="1">
      <c r="A568" t="inlineStr">
        <is>
          <t>A 13486-2026</t>
        </is>
      </c>
      <c r="B568" s="1" t="n">
        <v>46094</v>
      </c>
      <c r="C568" s="1" t="n">
        <v>46161</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53934-2024</t>
        </is>
      </c>
      <c r="B569" s="1" t="n">
        <v>45615</v>
      </c>
      <c r="C569" s="1" t="n">
        <v>46161</v>
      </c>
      <c r="D569" t="inlineStr">
        <is>
          <t>GOTLANDS LÄN</t>
        </is>
      </c>
      <c r="E569" t="inlineStr">
        <is>
          <t>GOTLAND</t>
        </is>
      </c>
      <c r="G569" t="n">
        <v>5</v>
      </c>
      <c r="H569" t="n">
        <v>0</v>
      </c>
      <c r="I569" t="n">
        <v>0</v>
      </c>
      <c r="J569" t="n">
        <v>0</v>
      </c>
      <c r="K569" t="n">
        <v>0</v>
      </c>
      <c r="L569" t="n">
        <v>0</v>
      </c>
      <c r="M569" t="n">
        <v>0</v>
      </c>
      <c r="N569" t="n">
        <v>0</v>
      </c>
      <c r="O569" t="n">
        <v>0</v>
      </c>
      <c r="P569" t="n">
        <v>0</v>
      </c>
      <c r="Q569" t="n">
        <v>0</v>
      </c>
      <c r="R569" s="2" t="inlineStr"/>
    </row>
    <row r="570" ht="15" customHeight="1">
      <c r="A570" t="inlineStr">
        <is>
          <t>A 58132-2023</t>
        </is>
      </c>
      <c r="B570" s="1" t="n">
        <v>45250</v>
      </c>
      <c r="C570" s="1" t="n">
        <v>46161</v>
      </c>
      <c r="D570" t="inlineStr">
        <is>
          <t>GOTLANDS LÄN</t>
        </is>
      </c>
      <c r="E570" t="inlineStr">
        <is>
          <t>GOTLAND</t>
        </is>
      </c>
      <c r="G570" t="n">
        <v>3.1</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46161</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28285-2024</t>
        </is>
      </c>
      <c r="B572" s="1" t="n">
        <v>45477</v>
      </c>
      <c r="C572" s="1" t="n">
        <v>46161</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46161</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1734-2025</t>
        </is>
      </c>
      <c r="B574" s="1" t="n">
        <v>45671.3840625</v>
      </c>
      <c r="C574" s="1" t="n">
        <v>46161</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30365-2024</t>
        </is>
      </c>
      <c r="B575" s="1" t="n">
        <v>45491.3716087963</v>
      </c>
      <c r="C575" s="1" t="n">
        <v>46161</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46161</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61100-2022</t>
        </is>
      </c>
      <c r="B577" s="1" t="n">
        <v>44915</v>
      </c>
      <c r="C577" s="1" t="n">
        <v>46161</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46161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10655-2023</t>
        </is>
      </c>
      <c r="B579" s="1" t="n">
        <v>44988.49543981482</v>
      </c>
      <c r="C579" s="1" t="n">
        <v>46161</v>
      </c>
      <c r="D579" t="inlineStr">
        <is>
          <t>GOTLANDS LÄN</t>
        </is>
      </c>
      <c r="E579" t="inlineStr">
        <is>
          <t>GOTLAND</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44649-2021</t>
        </is>
      </c>
      <c r="B580" s="1" t="n">
        <v>44437</v>
      </c>
      <c r="C580" s="1" t="n">
        <v>46161</v>
      </c>
      <c r="D580" t="inlineStr">
        <is>
          <t>GOTLANDS LÄN</t>
        </is>
      </c>
      <c r="E580" t="inlineStr">
        <is>
          <t>GOTLAND</t>
        </is>
      </c>
      <c r="G580" t="n">
        <v>8.1</v>
      </c>
      <c r="H580" t="n">
        <v>0</v>
      </c>
      <c r="I580" t="n">
        <v>0</v>
      </c>
      <c r="J580" t="n">
        <v>0</v>
      </c>
      <c r="K580" t="n">
        <v>0</v>
      </c>
      <c r="L580" t="n">
        <v>0</v>
      </c>
      <c r="M580" t="n">
        <v>0</v>
      </c>
      <c r="N580" t="n">
        <v>0</v>
      </c>
      <c r="O580" t="n">
        <v>0</v>
      </c>
      <c r="P580" t="n">
        <v>0</v>
      </c>
      <c r="Q580" t="n">
        <v>0</v>
      </c>
      <c r="R580" s="2" t="inlineStr"/>
    </row>
    <row r="581" ht="15" customHeight="1">
      <c r="A581" t="inlineStr">
        <is>
          <t>A 8484-2025</t>
        </is>
      </c>
      <c r="B581" s="1" t="n">
        <v>45709</v>
      </c>
      <c r="C581" s="1" t="n">
        <v>46161</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14840-2026</t>
        </is>
      </c>
      <c r="B582" s="1" t="n">
        <v>46104.39498842593</v>
      </c>
      <c r="C582" s="1" t="n">
        <v>46161</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21396-2026</t>
        </is>
      </c>
      <c r="B583" s="1" t="n">
        <v>46148.30710648148</v>
      </c>
      <c r="C583" s="1" t="n">
        <v>46161</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49962-2023</t>
        </is>
      </c>
      <c r="B584" s="1" t="n">
        <v>45215.38775462963</v>
      </c>
      <c r="C584" s="1" t="n">
        <v>46161</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50744-2024</t>
        </is>
      </c>
      <c r="B585" s="1" t="n">
        <v>45602.4187037037</v>
      </c>
      <c r="C585" s="1" t="n">
        <v>46161</v>
      </c>
      <c r="D585" t="inlineStr">
        <is>
          <t>GOTLANDS LÄN</t>
        </is>
      </c>
      <c r="E585" t="inlineStr">
        <is>
          <t>GOTLAND</t>
        </is>
      </c>
      <c r="G585" t="n">
        <v>3.2</v>
      </c>
      <c r="H585" t="n">
        <v>0</v>
      </c>
      <c r="I585" t="n">
        <v>0</v>
      </c>
      <c r="J585" t="n">
        <v>0</v>
      </c>
      <c r="K585" t="n">
        <v>0</v>
      </c>
      <c r="L585" t="n">
        <v>0</v>
      </c>
      <c r="M585" t="n">
        <v>0</v>
      </c>
      <c r="N585" t="n">
        <v>0</v>
      </c>
      <c r="O585" t="n">
        <v>0</v>
      </c>
      <c r="P585" t="n">
        <v>0</v>
      </c>
      <c r="Q585" t="n">
        <v>0</v>
      </c>
      <c r="R585" s="2" t="inlineStr"/>
    </row>
    <row r="586" ht="15" customHeight="1">
      <c r="A586" t="inlineStr">
        <is>
          <t>A 4662-2026</t>
        </is>
      </c>
      <c r="B586" s="1" t="n">
        <v>46048.40949074074</v>
      </c>
      <c r="C586" s="1" t="n">
        <v>46161</v>
      </c>
      <c r="D586" t="inlineStr">
        <is>
          <t>GOTLANDS LÄN</t>
        </is>
      </c>
      <c r="E586" t="inlineStr">
        <is>
          <t>GOTLAND</t>
        </is>
      </c>
      <c r="G586" t="n">
        <v>7.6</v>
      </c>
      <c r="H586" t="n">
        <v>0</v>
      </c>
      <c r="I586" t="n">
        <v>0</v>
      </c>
      <c r="J586" t="n">
        <v>0</v>
      </c>
      <c r="K586" t="n">
        <v>0</v>
      </c>
      <c r="L586" t="n">
        <v>0</v>
      </c>
      <c r="M586" t="n">
        <v>0</v>
      </c>
      <c r="N586" t="n">
        <v>0</v>
      </c>
      <c r="O586" t="n">
        <v>0</v>
      </c>
      <c r="P586" t="n">
        <v>0</v>
      </c>
      <c r="Q586" t="n">
        <v>0</v>
      </c>
      <c r="R586" s="2" t="inlineStr"/>
    </row>
    <row r="587" ht="15" customHeight="1">
      <c r="A587" t="inlineStr">
        <is>
          <t>A 45244-2024</t>
        </is>
      </c>
      <c r="B587" s="1" t="n">
        <v>45576</v>
      </c>
      <c r="C587" s="1" t="n">
        <v>46161</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38787-2023</t>
        </is>
      </c>
      <c r="B588" s="1" t="n">
        <v>45163</v>
      </c>
      <c r="C588" s="1" t="n">
        <v>46161</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46161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22897-2023</t>
        </is>
      </c>
      <c r="B590" s="1" t="n">
        <v>45072.55239583334</v>
      </c>
      <c r="C590" s="1" t="n">
        <v>46161</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4568-2025</t>
        </is>
      </c>
      <c r="B591" s="1" t="n">
        <v>45687</v>
      </c>
      <c r="C591" s="1" t="n">
        <v>46161</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1854-2026</t>
        </is>
      </c>
      <c r="B592" s="1" t="n">
        <v>46035.4171875</v>
      </c>
      <c r="C592" s="1" t="n">
        <v>46161</v>
      </c>
      <c r="D592" t="inlineStr">
        <is>
          <t>GOTLANDS LÄN</t>
        </is>
      </c>
      <c r="E592" t="inlineStr">
        <is>
          <t>GOTLAND</t>
        </is>
      </c>
      <c r="G592" t="n">
        <v>3</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44938.39715277778</v>
      </c>
      <c r="C593" s="1" t="n">
        <v>46161</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22351-2026</t>
        </is>
      </c>
      <c r="B594" s="1" t="n">
        <v>46154.58350694444</v>
      </c>
      <c r="C594" s="1" t="n">
        <v>46161</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22348-2026</t>
        </is>
      </c>
      <c r="B595" s="1" t="n">
        <v>46154.58071759259</v>
      </c>
      <c r="C595" s="1" t="n">
        <v>46161</v>
      </c>
      <c r="D595" t="inlineStr">
        <is>
          <t>GOTLANDS LÄN</t>
        </is>
      </c>
      <c r="E595" t="inlineStr">
        <is>
          <t>GOTLAND</t>
        </is>
      </c>
      <c r="G595" t="n">
        <v>3.3</v>
      </c>
      <c r="H595" t="n">
        <v>0</v>
      </c>
      <c r="I595" t="n">
        <v>0</v>
      </c>
      <c r="J595" t="n">
        <v>0</v>
      </c>
      <c r="K595" t="n">
        <v>0</v>
      </c>
      <c r="L595" t="n">
        <v>0</v>
      </c>
      <c r="M595" t="n">
        <v>0</v>
      </c>
      <c r="N595" t="n">
        <v>0</v>
      </c>
      <c r="O595" t="n">
        <v>0</v>
      </c>
      <c r="P595" t="n">
        <v>0</v>
      </c>
      <c r="Q595" t="n">
        <v>0</v>
      </c>
      <c r="R595" s="2" t="inlineStr"/>
    </row>
    <row r="596" ht="15" customHeight="1">
      <c r="A596" t="inlineStr">
        <is>
          <t>A 42338-2023</t>
        </is>
      </c>
      <c r="B596" s="1" t="n">
        <v>45180</v>
      </c>
      <c r="C596" s="1" t="n">
        <v>46161</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18918-2025</t>
        </is>
      </c>
      <c r="B597" s="1" t="n">
        <v>45764</v>
      </c>
      <c r="C597" s="1" t="n">
        <v>46161</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11013-2024</t>
        </is>
      </c>
      <c r="B598" s="1" t="n">
        <v>45370</v>
      </c>
      <c r="C598" s="1" t="n">
        <v>46161</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45084-2024</t>
        </is>
      </c>
      <c r="B599" s="1" t="n">
        <v>45575</v>
      </c>
      <c r="C599" s="1" t="n">
        <v>46161</v>
      </c>
      <c r="D599" t="inlineStr">
        <is>
          <t>GOTLANDS LÄN</t>
        </is>
      </c>
      <c r="E599" t="inlineStr">
        <is>
          <t>GOTLAND</t>
        </is>
      </c>
      <c r="G599" t="n">
        <v>6.8</v>
      </c>
      <c r="H599" t="n">
        <v>0</v>
      </c>
      <c r="I599" t="n">
        <v>0</v>
      </c>
      <c r="J599" t="n">
        <v>0</v>
      </c>
      <c r="K599" t="n">
        <v>0</v>
      </c>
      <c r="L599" t="n">
        <v>0</v>
      </c>
      <c r="M599" t="n">
        <v>0</v>
      </c>
      <c r="N599" t="n">
        <v>0</v>
      </c>
      <c r="O599" t="n">
        <v>0</v>
      </c>
      <c r="P599" t="n">
        <v>0</v>
      </c>
      <c r="Q599" t="n">
        <v>0</v>
      </c>
      <c r="R599" s="2" t="inlineStr"/>
    </row>
    <row r="600" ht="15" customHeight="1">
      <c r="A600" t="inlineStr">
        <is>
          <t>A 20356-2022</t>
        </is>
      </c>
      <c r="B600" s="1" t="n">
        <v>44699</v>
      </c>
      <c r="C600" s="1" t="n">
        <v>46161</v>
      </c>
      <c r="D600" t="inlineStr">
        <is>
          <t>GOTLANDS LÄN</t>
        </is>
      </c>
      <c r="E600" t="inlineStr">
        <is>
          <t>GOTLAND</t>
        </is>
      </c>
      <c r="F600" t="inlineStr">
        <is>
          <t>Övriga Aktiebolag</t>
        </is>
      </c>
      <c r="G600" t="n">
        <v>4.4</v>
      </c>
      <c r="H600" t="n">
        <v>0</v>
      </c>
      <c r="I600" t="n">
        <v>0</v>
      </c>
      <c r="J600" t="n">
        <v>0</v>
      </c>
      <c r="K600" t="n">
        <v>0</v>
      </c>
      <c r="L600" t="n">
        <v>0</v>
      </c>
      <c r="M600" t="n">
        <v>0</v>
      </c>
      <c r="N600" t="n">
        <v>0</v>
      </c>
      <c r="O600" t="n">
        <v>0</v>
      </c>
      <c r="P600" t="n">
        <v>0</v>
      </c>
      <c r="Q600" t="n">
        <v>0</v>
      </c>
      <c r="R600" s="2" t="inlineStr"/>
    </row>
    <row r="601" ht="15" customHeight="1">
      <c r="A601" t="inlineStr">
        <is>
          <t>A 22275-2026</t>
        </is>
      </c>
      <c r="B601" s="1" t="n">
        <v>46154.41924768518</v>
      </c>
      <c r="C601" s="1" t="n">
        <v>46161</v>
      </c>
      <c r="D601" t="inlineStr">
        <is>
          <t>GOTLANDS LÄN</t>
        </is>
      </c>
      <c r="E601" t="inlineStr">
        <is>
          <t>GOTLAND</t>
        </is>
      </c>
      <c r="G601" t="n">
        <v>3.7</v>
      </c>
      <c r="H601" t="n">
        <v>0</v>
      </c>
      <c r="I601" t="n">
        <v>0</v>
      </c>
      <c r="J601" t="n">
        <v>0</v>
      </c>
      <c r="K601" t="n">
        <v>0</v>
      </c>
      <c r="L601" t="n">
        <v>0</v>
      </c>
      <c r="M601" t="n">
        <v>0</v>
      </c>
      <c r="N601" t="n">
        <v>0</v>
      </c>
      <c r="O601" t="n">
        <v>0</v>
      </c>
      <c r="P601" t="n">
        <v>0</v>
      </c>
      <c r="Q601" t="n">
        <v>0</v>
      </c>
      <c r="R601" s="2" t="inlineStr"/>
    </row>
    <row r="602" ht="15" customHeight="1">
      <c r="A602" t="inlineStr">
        <is>
          <t>A 4868-2024</t>
        </is>
      </c>
      <c r="B602" s="1" t="n">
        <v>45329</v>
      </c>
      <c r="C602" s="1" t="n">
        <v>46161</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9613-2025</t>
        </is>
      </c>
      <c r="B603" s="1" t="n">
        <v>45715</v>
      </c>
      <c r="C603" s="1" t="n">
        <v>46161</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4639-2026</t>
        </is>
      </c>
      <c r="B604" s="1" t="n">
        <v>46048.39880787037</v>
      </c>
      <c r="C604" s="1" t="n">
        <v>46161</v>
      </c>
      <c r="D604" t="inlineStr">
        <is>
          <t>GOTLANDS LÄN</t>
        </is>
      </c>
      <c r="E604" t="inlineStr">
        <is>
          <t>GOTLAND</t>
        </is>
      </c>
      <c r="G604" t="n">
        <v>0.8</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46161</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17000-2026</t>
        </is>
      </c>
      <c r="B606" s="1" t="n">
        <v>46114.42690972222</v>
      </c>
      <c r="C606" s="1" t="n">
        <v>46161</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58211-2024</t>
        </is>
      </c>
      <c r="B607" s="1" t="n">
        <v>45632.49292824074</v>
      </c>
      <c r="C607" s="1" t="n">
        <v>46161</v>
      </c>
      <c r="D607" t="inlineStr">
        <is>
          <t>GOTLANDS LÄN</t>
        </is>
      </c>
      <c r="E607" t="inlineStr">
        <is>
          <t>GOTLAND</t>
        </is>
      </c>
      <c r="G607" t="n">
        <v>5.4</v>
      </c>
      <c r="H607" t="n">
        <v>0</v>
      </c>
      <c r="I607" t="n">
        <v>0</v>
      </c>
      <c r="J607" t="n">
        <v>0</v>
      </c>
      <c r="K607" t="n">
        <v>0</v>
      </c>
      <c r="L607" t="n">
        <v>0</v>
      </c>
      <c r="M607" t="n">
        <v>0</v>
      </c>
      <c r="N607" t="n">
        <v>0</v>
      </c>
      <c r="O607" t="n">
        <v>0</v>
      </c>
      <c r="P607" t="n">
        <v>0</v>
      </c>
      <c r="Q607" t="n">
        <v>0</v>
      </c>
      <c r="R607" s="2" t="inlineStr"/>
    </row>
    <row r="608" ht="15" customHeight="1">
      <c r="A608" t="inlineStr">
        <is>
          <t>A 16993-2026</t>
        </is>
      </c>
      <c r="B608" s="1" t="n">
        <v>46114.41918981481</v>
      </c>
      <c r="C608" s="1" t="n">
        <v>46161</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ht="15" customHeight="1">
      <c r="A609" t="inlineStr">
        <is>
          <t>A 11634-2024</t>
        </is>
      </c>
      <c r="B609" s="1" t="n">
        <v>45373</v>
      </c>
      <c r="C609" s="1" t="n">
        <v>46161</v>
      </c>
      <c r="D609" t="inlineStr">
        <is>
          <t>GOTLANDS LÄN</t>
        </is>
      </c>
      <c r="E609" t="inlineStr">
        <is>
          <t>GOTLAND</t>
        </is>
      </c>
      <c r="G609" t="n">
        <v>3</v>
      </c>
      <c r="H609" t="n">
        <v>0</v>
      </c>
      <c r="I609" t="n">
        <v>0</v>
      </c>
      <c r="J609" t="n">
        <v>0</v>
      </c>
      <c r="K609" t="n">
        <v>0</v>
      </c>
      <c r="L609" t="n">
        <v>0</v>
      </c>
      <c r="M609" t="n">
        <v>0</v>
      </c>
      <c r="N609" t="n">
        <v>0</v>
      </c>
      <c r="O609" t="n">
        <v>0</v>
      </c>
      <c r="P609" t="n">
        <v>0</v>
      </c>
      <c r="Q609" t="n">
        <v>0</v>
      </c>
      <c r="R609" s="2" t="inlineStr"/>
    </row>
    <row r="610" ht="15" customHeight="1">
      <c r="A610" t="inlineStr">
        <is>
          <t>A 5863-2026</t>
        </is>
      </c>
      <c r="B610" s="1" t="n">
        <v>46052</v>
      </c>
      <c r="C610" s="1" t="n">
        <v>46161</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5884-2025</t>
        </is>
      </c>
      <c r="B611" s="1" t="n">
        <v>45695.37482638889</v>
      </c>
      <c r="C611" s="1" t="n">
        <v>46161</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5897-2025</t>
        </is>
      </c>
      <c r="B612" s="1" t="n">
        <v>45695.39273148148</v>
      </c>
      <c r="C612" s="1" t="n">
        <v>46161</v>
      </c>
      <c r="D612" t="inlineStr">
        <is>
          <t>GOTLANDS LÄN</t>
        </is>
      </c>
      <c r="E612" t="inlineStr">
        <is>
          <t>GOTLAND</t>
        </is>
      </c>
      <c r="G612" t="n">
        <v>3.7</v>
      </c>
      <c r="H612" t="n">
        <v>0</v>
      </c>
      <c r="I612" t="n">
        <v>0</v>
      </c>
      <c r="J612" t="n">
        <v>0</v>
      </c>
      <c r="K612" t="n">
        <v>0</v>
      </c>
      <c r="L612" t="n">
        <v>0</v>
      </c>
      <c r="M612" t="n">
        <v>0</v>
      </c>
      <c r="N612" t="n">
        <v>0</v>
      </c>
      <c r="O612" t="n">
        <v>0</v>
      </c>
      <c r="P612" t="n">
        <v>0</v>
      </c>
      <c r="Q612" t="n">
        <v>0</v>
      </c>
      <c r="R612" s="2" t="inlineStr"/>
    </row>
    <row r="613" ht="15" customHeight="1">
      <c r="A613" t="inlineStr">
        <is>
          <t>A 5909-2025</t>
        </is>
      </c>
      <c r="B613" s="1" t="n">
        <v>45695.40634259259</v>
      </c>
      <c r="C613" s="1" t="n">
        <v>46161</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60086-2022</t>
        </is>
      </c>
      <c r="B614" s="1" t="n">
        <v>44909</v>
      </c>
      <c r="C614" s="1" t="n">
        <v>46161</v>
      </c>
      <c r="D614" t="inlineStr">
        <is>
          <t>GOTLANDS LÄN</t>
        </is>
      </c>
      <c r="E614" t="inlineStr">
        <is>
          <t>GOTLAND</t>
        </is>
      </c>
      <c r="G614" t="n">
        <v>2.1</v>
      </c>
      <c r="H614" t="n">
        <v>0</v>
      </c>
      <c r="I614" t="n">
        <v>0</v>
      </c>
      <c r="J614" t="n">
        <v>0</v>
      </c>
      <c r="K614" t="n">
        <v>0</v>
      </c>
      <c r="L614" t="n">
        <v>0</v>
      </c>
      <c r="M614" t="n">
        <v>0</v>
      </c>
      <c r="N614" t="n">
        <v>0</v>
      </c>
      <c r="O614" t="n">
        <v>0</v>
      </c>
      <c r="P614" t="n">
        <v>0</v>
      </c>
      <c r="Q614" t="n">
        <v>0</v>
      </c>
      <c r="R614" s="2" t="inlineStr"/>
    </row>
    <row r="615" ht="15" customHeight="1">
      <c r="A615" t="inlineStr">
        <is>
          <t>A 22704-2023</t>
        </is>
      </c>
      <c r="B615" s="1" t="n">
        <v>45071</v>
      </c>
      <c r="C615" s="1" t="n">
        <v>46161</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62836-2025</t>
        </is>
      </c>
      <c r="B616" s="1" t="n">
        <v>46008</v>
      </c>
      <c r="C616" s="1" t="n">
        <v>46161</v>
      </c>
      <c r="D616" t="inlineStr">
        <is>
          <t>GOTLANDS LÄN</t>
        </is>
      </c>
      <c r="E616" t="inlineStr">
        <is>
          <t>GOTLAND</t>
        </is>
      </c>
      <c r="G616" t="n">
        <v>6.5</v>
      </c>
      <c r="H616" t="n">
        <v>0</v>
      </c>
      <c r="I616" t="n">
        <v>0</v>
      </c>
      <c r="J616" t="n">
        <v>0</v>
      </c>
      <c r="K616" t="n">
        <v>0</v>
      </c>
      <c r="L616" t="n">
        <v>0</v>
      </c>
      <c r="M616" t="n">
        <v>0</v>
      </c>
      <c r="N616" t="n">
        <v>0</v>
      </c>
      <c r="O616" t="n">
        <v>0</v>
      </c>
      <c r="P616" t="n">
        <v>0</v>
      </c>
      <c r="Q616" t="n">
        <v>0</v>
      </c>
      <c r="R616" s="2" t="inlineStr"/>
    </row>
    <row r="617" ht="15" customHeight="1">
      <c r="A617" t="inlineStr">
        <is>
          <t>A 22887-2026</t>
        </is>
      </c>
      <c r="B617" s="1" t="n">
        <v>46160.47591435185</v>
      </c>
      <c r="C617" s="1" t="n">
        <v>46161</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63152-2025</t>
        </is>
      </c>
      <c r="B618" s="1" t="n">
        <v>46010</v>
      </c>
      <c r="C618" s="1" t="n">
        <v>46161</v>
      </c>
      <c r="D618" t="inlineStr">
        <is>
          <t>GOTLANDS LÄN</t>
        </is>
      </c>
      <c r="E618" t="inlineStr">
        <is>
          <t>GOTLAND</t>
        </is>
      </c>
      <c r="G618" t="n">
        <v>1.5</v>
      </c>
      <c r="H618" t="n">
        <v>0</v>
      </c>
      <c r="I618" t="n">
        <v>0</v>
      </c>
      <c r="J618" t="n">
        <v>0</v>
      </c>
      <c r="K618" t="n">
        <v>0</v>
      </c>
      <c r="L618" t="n">
        <v>0</v>
      </c>
      <c r="M618" t="n">
        <v>0</v>
      </c>
      <c r="N618" t="n">
        <v>0</v>
      </c>
      <c r="O618" t="n">
        <v>0</v>
      </c>
      <c r="P618" t="n">
        <v>0</v>
      </c>
      <c r="Q618" t="n">
        <v>0</v>
      </c>
      <c r="R618" s="2" t="inlineStr"/>
    </row>
    <row r="619" ht="15" customHeight="1">
      <c r="A619" t="inlineStr">
        <is>
          <t>A 25866-2022</t>
        </is>
      </c>
      <c r="B619" s="1" t="n">
        <v>44733</v>
      </c>
      <c r="C619" s="1" t="n">
        <v>46161</v>
      </c>
      <c r="D619" t="inlineStr">
        <is>
          <t>GOTLANDS LÄN</t>
        </is>
      </c>
      <c r="E619" t="inlineStr">
        <is>
          <t>GOTLAND</t>
        </is>
      </c>
      <c r="G619" t="n">
        <v>2.9</v>
      </c>
      <c r="H619" t="n">
        <v>0</v>
      </c>
      <c r="I619" t="n">
        <v>0</v>
      </c>
      <c r="J619" t="n">
        <v>0</v>
      </c>
      <c r="K619" t="n">
        <v>0</v>
      </c>
      <c r="L619" t="n">
        <v>0</v>
      </c>
      <c r="M619" t="n">
        <v>0</v>
      </c>
      <c r="N619" t="n">
        <v>0</v>
      </c>
      <c r="O619" t="n">
        <v>0</v>
      </c>
      <c r="P619" t="n">
        <v>0</v>
      </c>
      <c r="Q619" t="n">
        <v>0</v>
      </c>
      <c r="R619" s="2" t="inlineStr"/>
    </row>
    <row r="620" ht="15" customHeight="1">
      <c r="A620" t="inlineStr">
        <is>
          <t>A 9887-2025</t>
        </is>
      </c>
      <c r="B620" s="1" t="n">
        <v>45716</v>
      </c>
      <c r="C620" s="1" t="n">
        <v>46161</v>
      </c>
      <c r="D620" t="inlineStr">
        <is>
          <t>GOTLANDS LÄN</t>
        </is>
      </c>
      <c r="E620" t="inlineStr">
        <is>
          <t>GOTLAND</t>
        </is>
      </c>
      <c r="G620" t="n">
        <v>7.5</v>
      </c>
      <c r="H620" t="n">
        <v>0</v>
      </c>
      <c r="I620" t="n">
        <v>0</v>
      </c>
      <c r="J620" t="n">
        <v>0</v>
      </c>
      <c r="K620" t="n">
        <v>0</v>
      </c>
      <c r="L620" t="n">
        <v>0</v>
      </c>
      <c r="M620" t="n">
        <v>0</v>
      </c>
      <c r="N620" t="n">
        <v>0</v>
      </c>
      <c r="O620" t="n">
        <v>0</v>
      </c>
      <c r="P620" t="n">
        <v>0</v>
      </c>
      <c r="Q620" t="n">
        <v>0</v>
      </c>
      <c r="R620" s="2" t="inlineStr"/>
    </row>
    <row r="621" ht="15" customHeight="1">
      <c r="A621" t="inlineStr">
        <is>
          <t>A 12209-2024</t>
        </is>
      </c>
      <c r="B621" s="1" t="n">
        <v>45378</v>
      </c>
      <c r="C621" s="1" t="n">
        <v>46161</v>
      </c>
      <c r="D621" t="inlineStr">
        <is>
          <t>GOTLANDS LÄN</t>
        </is>
      </c>
      <c r="E621" t="inlineStr">
        <is>
          <t>GOTLAND</t>
        </is>
      </c>
      <c r="G621" t="n">
        <v>5.3</v>
      </c>
      <c r="H621" t="n">
        <v>0</v>
      </c>
      <c r="I621" t="n">
        <v>0</v>
      </c>
      <c r="J621" t="n">
        <v>0</v>
      </c>
      <c r="K621" t="n">
        <v>0</v>
      </c>
      <c r="L621" t="n">
        <v>0</v>
      </c>
      <c r="M621" t="n">
        <v>0</v>
      </c>
      <c r="N621" t="n">
        <v>0</v>
      </c>
      <c r="O621" t="n">
        <v>0</v>
      </c>
      <c r="P621" t="n">
        <v>0</v>
      </c>
      <c r="Q621" t="n">
        <v>0</v>
      </c>
      <c r="R621" s="2" t="inlineStr"/>
    </row>
    <row r="622" ht="15" customHeight="1">
      <c r="A622" t="inlineStr">
        <is>
          <t>A 12210-2024</t>
        </is>
      </c>
      <c r="B622" s="1" t="n">
        <v>45378</v>
      </c>
      <c r="C622" s="1" t="n">
        <v>46161</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59986-2022</t>
        </is>
      </c>
      <c r="B623" s="1" t="n">
        <v>44909</v>
      </c>
      <c r="C623" s="1" t="n">
        <v>46161</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31802-2024</t>
        </is>
      </c>
      <c r="B624" s="1" t="n">
        <v>45509</v>
      </c>
      <c r="C624" s="1" t="n">
        <v>46161</v>
      </c>
      <c r="D624" t="inlineStr">
        <is>
          <t>GOTLANDS LÄN</t>
        </is>
      </c>
      <c r="E624" t="inlineStr">
        <is>
          <t>GOTLAND</t>
        </is>
      </c>
      <c r="G624" t="n">
        <v>2.8</v>
      </c>
      <c r="H624" t="n">
        <v>0</v>
      </c>
      <c r="I624" t="n">
        <v>0</v>
      </c>
      <c r="J624" t="n">
        <v>0</v>
      </c>
      <c r="K624" t="n">
        <v>0</v>
      </c>
      <c r="L624" t="n">
        <v>0</v>
      </c>
      <c r="M624" t="n">
        <v>0</v>
      </c>
      <c r="N624" t="n">
        <v>0</v>
      </c>
      <c r="O624" t="n">
        <v>0</v>
      </c>
      <c r="P624" t="n">
        <v>0</v>
      </c>
      <c r="Q624" t="n">
        <v>0</v>
      </c>
      <c r="R624" s="2" t="inlineStr"/>
    </row>
    <row r="625" ht="15" customHeight="1">
      <c r="A625" t="inlineStr">
        <is>
          <t>A 20993-2023</t>
        </is>
      </c>
      <c r="B625" s="1" t="n">
        <v>45056</v>
      </c>
      <c r="C625" s="1" t="n">
        <v>46161</v>
      </c>
      <c r="D625" t="inlineStr">
        <is>
          <t>GOTLANDS LÄN</t>
        </is>
      </c>
      <c r="E625" t="inlineStr">
        <is>
          <t>GOTLAND</t>
        </is>
      </c>
      <c r="G625" t="n">
        <v>7.1</v>
      </c>
      <c r="H625" t="n">
        <v>0</v>
      </c>
      <c r="I625" t="n">
        <v>0</v>
      </c>
      <c r="J625" t="n">
        <v>0</v>
      </c>
      <c r="K625" t="n">
        <v>0</v>
      </c>
      <c r="L625" t="n">
        <v>0</v>
      </c>
      <c r="M625" t="n">
        <v>0</v>
      </c>
      <c r="N625" t="n">
        <v>0</v>
      </c>
      <c r="O625" t="n">
        <v>0</v>
      </c>
      <c r="P625" t="n">
        <v>0</v>
      </c>
      <c r="Q625" t="n">
        <v>0</v>
      </c>
      <c r="R625" s="2" t="inlineStr"/>
    </row>
    <row r="626" ht="15" customHeight="1">
      <c r="A626" t="inlineStr">
        <is>
          <t>A 15042-2025</t>
        </is>
      </c>
      <c r="B626" s="1" t="n">
        <v>45743</v>
      </c>
      <c r="C626" s="1" t="n">
        <v>46161</v>
      </c>
      <c r="D626" t="inlineStr">
        <is>
          <t>GOTLANDS LÄN</t>
        </is>
      </c>
      <c r="E626" t="inlineStr">
        <is>
          <t>GOTLAND</t>
        </is>
      </c>
      <c r="G626" t="n">
        <v>8.5</v>
      </c>
      <c r="H626" t="n">
        <v>0</v>
      </c>
      <c r="I626" t="n">
        <v>0</v>
      </c>
      <c r="J626" t="n">
        <v>0</v>
      </c>
      <c r="K626" t="n">
        <v>0</v>
      </c>
      <c r="L626" t="n">
        <v>0</v>
      </c>
      <c r="M626" t="n">
        <v>0</v>
      </c>
      <c r="N626" t="n">
        <v>0</v>
      </c>
      <c r="O626" t="n">
        <v>0</v>
      </c>
      <c r="P626" t="n">
        <v>0</v>
      </c>
      <c r="Q626" t="n">
        <v>0</v>
      </c>
      <c r="R626" s="2" t="inlineStr"/>
    </row>
    <row r="627" ht="15" customHeight="1">
      <c r="A627" t="inlineStr">
        <is>
          <t>A 12327-2025</t>
        </is>
      </c>
      <c r="B627" s="1" t="n">
        <v>45730</v>
      </c>
      <c r="C627" s="1" t="n">
        <v>46161</v>
      </c>
      <c r="D627" t="inlineStr">
        <is>
          <t>GOTLANDS LÄN</t>
        </is>
      </c>
      <c r="E627" t="inlineStr">
        <is>
          <t>GOTLAND</t>
        </is>
      </c>
      <c r="G627" t="n">
        <v>1.8</v>
      </c>
      <c r="H627" t="n">
        <v>0</v>
      </c>
      <c r="I627" t="n">
        <v>0</v>
      </c>
      <c r="J627" t="n">
        <v>0</v>
      </c>
      <c r="K627" t="n">
        <v>0</v>
      </c>
      <c r="L627" t="n">
        <v>0</v>
      </c>
      <c r="M627" t="n">
        <v>0</v>
      </c>
      <c r="N627" t="n">
        <v>0</v>
      </c>
      <c r="O627" t="n">
        <v>0</v>
      </c>
      <c r="P627" t="n">
        <v>0</v>
      </c>
      <c r="Q627" t="n">
        <v>0</v>
      </c>
      <c r="R627" s="2" t="inlineStr"/>
    </row>
    <row r="628" ht="15" customHeight="1">
      <c r="A628" t="inlineStr">
        <is>
          <t>A 4420-2025</t>
        </is>
      </c>
      <c r="B628" s="1" t="n">
        <v>45686.47157407407</v>
      </c>
      <c r="C628" s="1" t="n">
        <v>46161</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14427-2024</t>
        </is>
      </c>
      <c r="B629" s="1" t="n">
        <v>45394</v>
      </c>
      <c r="C629" s="1" t="n">
        <v>46161</v>
      </c>
      <c r="D629" t="inlineStr">
        <is>
          <t>GOTLANDS LÄN</t>
        </is>
      </c>
      <c r="E629" t="inlineStr">
        <is>
          <t>GOTLAND</t>
        </is>
      </c>
      <c r="G629" t="n">
        <v>1.3</v>
      </c>
      <c r="H629" t="n">
        <v>0</v>
      </c>
      <c r="I629" t="n">
        <v>0</v>
      </c>
      <c r="J629" t="n">
        <v>0</v>
      </c>
      <c r="K629" t="n">
        <v>0</v>
      </c>
      <c r="L629" t="n">
        <v>0</v>
      </c>
      <c r="M629" t="n">
        <v>0</v>
      </c>
      <c r="N629" t="n">
        <v>0</v>
      </c>
      <c r="O629" t="n">
        <v>0</v>
      </c>
      <c r="P629" t="n">
        <v>0</v>
      </c>
      <c r="Q629" t="n">
        <v>0</v>
      </c>
      <c r="R629" s="2" t="inlineStr"/>
    </row>
    <row r="630" ht="15" customHeight="1">
      <c r="A630" t="inlineStr">
        <is>
          <t>A 49257-2024</t>
        </is>
      </c>
      <c r="B630" s="1" t="n">
        <v>45595.47627314815</v>
      </c>
      <c r="C630" s="1" t="n">
        <v>46161</v>
      </c>
      <c r="D630" t="inlineStr">
        <is>
          <t>GOTLANDS LÄN</t>
        </is>
      </c>
      <c r="E630" t="inlineStr">
        <is>
          <t>GOTLAND</t>
        </is>
      </c>
      <c r="G630" t="n">
        <v>6.3</v>
      </c>
      <c r="H630" t="n">
        <v>0</v>
      </c>
      <c r="I630" t="n">
        <v>0</v>
      </c>
      <c r="J630" t="n">
        <v>0</v>
      </c>
      <c r="K630" t="n">
        <v>0</v>
      </c>
      <c r="L630" t="n">
        <v>0</v>
      </c>
      <c r="M630" t="n">
        <v>0</v>
      </c>
      <c r="N630" t="n">
        <v>0</v>
      </c>
      <c r="O630" t="n">
        <v>0</v>
      </c>
      <c r="P630" t="n">
        <v>0</v>
      </c>
      <c r="Q630" t="n">
        <v>0</v>
      </c>
      <c r="R630" s="2" t="inlineStr"/>
    </row>
    <row r="631" ht="15" customHeight="1">
      <c r="A631" t="inlineStr">
        <is>
          <t>A 49315-2024</t>
        </is>
      </c>
      <c r="B631" s="1" t="n">
        <v>45595</v>
      </c>
      <c r="C631" s="1" t="n">
        <v>46161</v>
      </c>
      <c r="D631" t="inlineStr">
        <is>
          <t>GOTLANDS LÄN</t>
        </is>
      </c>
      <c r="E631" t="inlineStr">
        <is>
          <t>GOTLAND</t>
        </is>
      </c>
      <c r="G631" t="n">
        <v>1.5</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46161</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56115-2023</t>
        </is>
      </c>
      <c r="B633" s="1" t="n">
        <v>45236</v>
      </c>
      <c r="C633" s="1" t="n">
        <v>46161</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64969-2023</t>
        </is>
      </c>
      <c r="B634" s="1" t="n">
        <v>45284.54009259259</v>
      </c>
      <c r="C634" s="1" t="n">
        <v>46161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33853-2024</t>
        </is>
      </c>
      <c r="B635" s="1" t="n">
        <v>45520.64298611111</v>
      </c>
      <c r="C635" s="1" t="n">
        <v>46161</v>
      </c>
      <c r="D635" t="inlineStr">
        <is>
          <t>GOTLANDS LÄN</t>
        </is>
      </c>
      <c r="E635" t="inlineStr">
        <is>
          <t>GOTLAND</t>
        </is>
      </c>
      <c r="G635" t="n">
        <v>3.9</v>
      </c>
      <c r="H635" t="n">
        <v>0</v>
      </c>
      <c r="I635" t="n">
        <v>0</v>
      </c>
      <c r="J635" t="n">
        <v>0</v>
      </c>
      <c r="K635" t="n">
        <v>0</v>
      </c>
      <c r="L635" t="n">
        <v>0</v>
      </c>
      <c r="M635" t="n">
        <v>0</v>
      </c>
      <c r="N635" t="n">
        <v>0</v>
      </c>
      <c r="O635" t="n">
        <v>0</v>
      </c>
      <c r="P635" t="n">
        <v>0</v>
      </c>
      <c r="Q635" t="n">
        <v>0</v>
      </c>
      <c r="R635" s="2" t="inlineStr"/>
    </row>
    <row r="636" ht="15" customHeight="1">
      <c r="A636" t="inlineStr">
        <is>
          <t>A 18223-2025</t>
        </is>
      </c>
      <c r="B636" s="1" t="n">
        <v>45761</v>
      </c>
      <c r="C636" s="1" t="n">
        <v>46161</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46949-2024</t>
        </is>
      </c>
      <c r="B637" s="1" t="n">
        <v>45585</v>
      </c>
      <c r="C637" s="1" t="n">
        <v>46161</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24001-2021</t>
        </is>
      </c>
      <c r="B638" s="1" t="n">
        <v>44335</v>
      </c>
      <c r="C638" s="1" t="n">
        <v>46161</v>
      </c>
      <c r="D638" t="inlineStr">
        <is>
          <t>GOTLANDS LÄN</t>
        </is>
      </c>
      <c r="E638" t="inlineStr">
        <is>
          <t>GOTLAND</t>
        </is>
      </c>
      <c r="G638" t="n">
        <v>3.4</v>
      </c>
      <c r="H638" t="n">
        <v>0</v>
      </c>
      <c r="I638" t="n">
        <v>0</v>
      </c>
      <c r="J638" t="n">
        <v>0</v>
      </c>
      <c r="K638" t="n">
        <v>0</v>
      </c>
      <c r="L638" t="n">
        <v>0</v>
      </c>
      <c r="M638" t="n">
        <v>0</v>
      </c>
      <c r="N638" t="n">
        <v>0</v>
      </c>
      <c r="O638" t="n">
        <v>0</v>
      </c>
      <c r="P638" t="n">
        <v>0</v>
      </c>
      <c r="Q638" t="n">
        <v>0</v>
      </c>
      <c r="R638" s="2" t="inlineStr"/>
    </row>
    <row r="639" ht="15" customHeight="1">
      <c r="A639" t="inlineStr">
        <is>
          <t>A 39479-2022</t>
        </is>
      </c>
      <c r="B639" s="1" t="n">
        <v>44818</v>
      </c>
      <c r="C639" s="1" t="n">
        <v>46161</v>
      </c>
      <c r="D639" t="inlineStr">
        <is>
          <t>GOTLANDS LÄN</t>
        </is>
      </c>
      <c r="E639" t="inlineStr">
        <is>
          <t>GOTLAND</t>
        </is>
      </c>
      <c r="G639" t="n">
        <v>1.1</v>
      </c>
      <c r="H639" t="n">
        <v>0</v>
      </c>
      <c r="I639" t="n">
        <v>0</v>
      </c>
      <c r="J639" t="n">
        <v>0</v>
      </c>
      <c r="K639" t="n">
        <v>0</v>
      </c>
      <c r="L639" t="n">
        <v>0</v>
      </c>
      <c r="M639" t="n">
        <v>0</v>
      </c>
      <c r="N639" t="n">
        <v>0</v>
      </c>
      <c r="O639" t="n">
        <v>0</v>
      </c>
      <c r="P639" t="n">
        <v>0</v>
      </c>
      <c r="Q639" t="n">
        <v>0</v>
      </c>
      <c r="R639" s="2" t="inlineStr"/>
    </row>
    <row r="640" ht="15" customHeight="1">
      <c r="A640" t="inlineStr">
        <is>
          <t>A 39496-2022</t>
        </is>
      </c>
      <c r="B640" s="1" t="n">
        <v>44818</v>
      </c>
      <c r="C640" s="1" t="n">
        <v>46161</v>
      </c>
      <c r="D640" t="inlineStr">
        <is>
          <t>GOTLANDS LÄN</t>
        </is>
      </c>
      <c r="E640" t="inlineStr">
        <is>
          <t>GOTLAND</t>
        </is>
      </c>
      <c r="G640" t="n">
        <v>2.4</v>
      </c>
      <c r="H640" t="n">
        <v>0</v>
      </c>
      <c r="I640" t="n">
        <v>0</v>
      </c>
      <c r="J640" t="n">
        <v>0</v>
      </c>
      <c r="K640" t="n">
        <v>0</v>
      </c>
      <c r="L640" t="n">
        <v>0</v>
      </c>
      <c r="M640" t="n">
        <v>0</v>
      </c>
      <c r="N640" t="n">
        <v>0</v>
      </c>
      <c r="O640" t="n">
        <v>0</v>
      </c>
      <c r="P640" t="n">
        <v>0</v>
      </c>
      <c r="Q640" t="n">
        <v>0</v>
      </c>
      <c r="R640" s="2" t="inlineStr"/>
    </row>
    <row r="641" ht="15" customHeight="1">
      <c r="A641" t="inlineStr">
        <is>
          <t>A 46389-2021</t>
        </is>
      </c>
      <c r="B641" s="1" t="n">
        <v>44443</v>
      </c>
      <c r="C641" s="1" t="n">
        <v>46161</v>
      </c>
      <c r="D641" t="inlineStr">
        <is>
          <t>GOTLANDS LÄN</t>
        </is>
      </c>
      <c r="E641" t="inlineStr">
        <is>
          <t>GOTLAND</t>
        </is>
      </c>
      <c r="F641" t="inlineStr">
        <is>
          <t>Kyrkan</t>
        </is>
      </c>
      <c r="G641" t="n">
        <v>2.1</v>
      </c>
      <c r="H641" t="n">
        <v>0</v>
      </c>
      <c r="I641" t="n">
        <v>0</v>
      </c>
      <c r="J641" t="n">
        <v>0</v>
      </c>
      <c r="K641" t="n">
        <v>0</v>
      </c>
      <c r="L641" t="n">
        <v>0</v>
      </c>
      <c r="M641" t="n">
        <v>0</v>
      </c>
      <c r="N641" t="n">
        <v>0</v>
      </c>
      <c r="O641" t="n">
        <v>0</v>
      </c>
      <c r="P641" t="n">
        <v>0</v>
      </c>
      <c r="Q641" t="n">
        <v>0</v>
      </c>
      <c r="R641" s="2" t="inlineStr"/>
    </row>
    <row r="642" ht="15" customHeight="1">
      <c r="A642" t="inlineStr">
        <is>
          <t>A 44949-2023</t>
        </is>
      </c>
      <c r="B642" s="1" t="n">
        <v>45190.69520833333</v>
      </c>
      <c r="C642" s="1" t="n">
        <v>46161</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17682-2024</t>
        </is>
      </c>
      <c r="B643" s="1" t="n">
        <v>45418.42966435185</v>
      </c>
      <c r="C643" s="1" t="n">
        <v>46161</v>
      </c>
      <c r="D643" t="inlineStr">
        <is>
          <t>GOTLANDS LÄN</t>
        </is>
      </c>
      <c r="E643" t="inlineStr">
        <is>
          <t>GOTLAND</t>
        </is>
      </c>
      <c r="G643" t="n">
        <v>2.9</v>
      </c>
      <c r="H643" t="n">
        <v>0</v>
      </c>
      <c r="I643" t="n">
        <v>0</v>
      </c>
      <c r="J643" t="n">
        <v>0</v>
      </c>
      <c r="K643" t="n">
        <v>0</v>
      </c>
      <c r="L643" t="n">
        <v>0</v>
      </c>
      <c r="M643" t="n">
        <v>0</v>
      </c>
      <c r="N643" t="n">
        <v>0</v>
      </c>
      <c r="O643" t="n">
        <v>0</v>
      </c>
      <c r="P643" t="n">
        <v>0</v>
      </c>
      <c r="Q643" t="n">
        <v>0</v>
      </c>
      <c r="R643" s="2" t="inlineStr"/>
    </row>
    <row r="644" ht="15" customHeight="1">
      <c r="A644" t="inlineStr">
        <is>
          <t>A 61897-2024</t>
        </is>
      </c>
      <c r="B644" s="1" t="n">
        <v>45652.75685185185</v>
      </c>
      <c r="C644" s="1" t="n">
        <v>46161</v>
      </c>
      <c r="D644" t="inlineStr">
        <is>
          <t>GOTLANDS LÄN</t>
        </is>
      </c>
      <c r="E644" t="inlineStr">
        <is>
          <t>GOTLAND</t>
        </is>
      </c>
      <c r="G644" t="n">
        <v>6.4</v>
      </c>
      <c r="H644" t="n">
        <v>0</v>
      </c>
      <c r="I644" t="n">
        <v>0</v>
      </c>
      <c r="J644" t="n">
        <v>0</v>
      </c>
      <c r="K644" t="n">
        <v>0</v>
      </c>
      <c r="L644" t="n">
        <v>0</v>
      </c>
      <c r="M644" t="n">
        <v>0</v>
      </c>
      <c r="N644" t="n">
        <v>0</v>
      </c>
      <c r="O644" t="n">
        <v>0</v>
      </c>
      <c r="P644" t="n">
        <v>0</v>
      </c>
      <c r="Q644" t="n">
        <v>0</v>
      </c>
      <c r="R644" s="2" t="inlineStr"/>
    </row>
    <row r="645" ht="15" customHeight="1">
      <c r="A645" t="inlineStr">
        <is>
          <t>A 12032-2025</t>
        </is>
      </c>
      <c r="B645" s="1" t="n">
        <v>45728.64472222222</v>
      </c>
      <c r="C645" s="1" t="n">
        <v>46161</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c r="A646" t="inlineStr">
        <is>
          <t>A 15595-2024</t>
        </is>
      </c>
      <c r="B646" s="1" t="n">
        <v>45401.81480324074</v>
      </c>
      <c r="C646" s="1" t="n">
        <v>46161</v>
      </c>
      <c r="D646" t="inlineStr">
        <is>
          <t>GOTLANDS LÄN</t>
        </is>
      </c>
      <c r="E646" t="inlineStr">
        <is>
          <t>GOTLAND</t>
        </is>
      </c>
      <c r="G646" t="n">
        <v>6.4</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2026-05-19T11:00:01Z</dcterms:created>
  <dcterms:modified xmlns:dcterms="http://purl.org/dc/terms/" xmlns:xsi="http://www.w3.org/2001/XMLSchema-instance" xsi:type="dcterms:W3CDTF">2026-05-19T11:00:01Z</dcterms:modified>
</cp:coreProperties>
</file>