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45966</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45966</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45966</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45966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45966</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45966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45966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45966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45966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45966</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45966</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45966</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45966</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40235-2025</t>
        </is>
      </c>
      <c r="B17" s="1" t="n">
        <v>45894</v>
      </c>
      <c r="C17" s="1" t="n">
        <v>45966</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922-2023</t>
        </is>
      </c>
      <c r="B18" s="1" t="n">
        <v>44932</v>
      </c>
      <c r="C18" s="1" t="n">
        <v>45966</v>
      </c>
      <c r="D18" t="inlineStr">
        <is>
          <t>GOTLANDS LÄN</t>
        </is>
      </c>
      <c r="E18" t="inlineStr">
        <is>
          <t>GOTLAND</t>
        </is>
      </c>
      <c r="G18" t="n">
        <v>6.9</v>
      </c>
      <c r="H18" t="n">
        <v>3</v>
      </c>
      <c r="I18" t="n">
        <v>8</v>
      </c>
      <c r="J18" t="n">
        <v>7</v>
      </c>
      <c r="K18" t="n">
        <v>6</v>
      </c>
      <c r="L18" t="n">
        <v>0</v>
      </c>
      <c r="M18" t="n">
        <v>0</v>
      </c>
      <c r="N18" t="n">
        <v>0</v>
      </c>
      <c r="O18" t="n">
        <v>13</v>
      </c>
      <c r="P18" t="n">
        <v>6</v>
      </c>
      <c r="Q18" t="n">
        <v>21</v>
      </c>
      <c r="R1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8">
        <f>HYPERLINK("https://klasma.github.io/Logging_0980/artfynd/A 922-2023 artfynd.xlsx", "A 922-2023")</f>
        <v/>
      </c>
      <c r="T18">
        <f>HYPERLINK("https://klasma.github.io/Logging_0980/kartor/A 922-2023 karta.png", "A 922-2023")</f>
        <v/>
      </c>
      <c r="V18">
        <f>HYPERLINK("https://klasma.github.io/Logging_0980/klagomål/A 922-2023 FSC-klagomål.docx", "A 922-2023")</f>
        <v/>
      </c>
      <c r="W18">
        <f>HYPERLINK("https://klasma.github.io/Logging_0980/klagomålsmail/A 922-2023 FSC-klagomål mail.docx", "A 922-2023")</f>
        <v/>
      </c>
      <c r="X18">
        <f>HYPERLINK("https://klasma.github.io/Logging_0980/tillsyn/A 922-2023 tillsynsbegäran.docx", "A 922-2023")</f>
        <v/>
      </c>
      <c r="Y18">
        <f>HYPERLINK("https://klasma.github.io/Logging_0980/tillsynsmail/A 922-2023 tillsynsbegäran mail.docx", "A 922-2023")</f>
        <v/>
      </c>
    </row>
    <row r="19" ht="15" customHeight="1">
      <c r="A19" t="inlineStr">
        <is>
          <t>A 569-2023</t>
        </is>
      </c>
      <c r="B19" s="1" t="n">
        <v>44930</v>
      </c>
      <c r="C19" s="1" t="n">
        <v>45966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45966</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45966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45966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45966</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24575-2025</t>
        </is>
      </c>
      <c r="B25" s="1" t="n">
        <v>45798</v>
      </c>
      <c r="C25" s="1" t="n">
        <v>45966</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34100-2024</t>
        </is>
      </c>
      <c r="B26" s="1" t="n">
        <v>45523</v>
      </c>
      <c r="C26" s="1" t="n">
        <v>45966</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45966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17762-2024</t>
        </is>
      </c>
      <c r="B28" s="1" t="n">
        <v>45418</v>
      </c>
      <c r="C28" s="1" t="n">
        <v>45966</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45966</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45966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15629-2024</t>
        </is>
      </c>
      <c r="B31" s="1" t="n">
        <v>45402.78372685185</v>
      </c>
      <c r="C31" s="1" t="n">
        <v>45966</v>
      </c>
      <c r="D31" t="inlineStr">
        <is>
          <t>GOTLANDS LÄN</t>
        </is>
      </c>
      <c r="E31" t="inlineStr">
        <is>
          <t>GOTLAND</t>
        </is>
      </c>
      <c r="G31" t="n">
        <v>6.3</v>
      </c>
      <c r="H31" t="n">
        <v>6</v>
      </c>
      <c r="I31" t="n">
        <v>3</v>
      </c>
      <c r="J31" t="n">
        <v>9</v>
      </c>
      <c r="K31" t="n">
        <v>0</v>
      </c>
      <c r="L31" t="n">
        <v>0</v>
      </c>
      <c r="M31" t="n">
        <v>0</v>
      </c>
      <c r="N31" t="n">
        <v>0</v>
      </c>
      <c r="O31" t="n">
        <v>9</v>
      </c>
      <c r="P31" t="n">
        <v>0</v>
      </c>
      <c r="Q31" t="n">
        <v>15</v>
      </c>
      <c r="R31" s="2" t="inlineStr">
        <is>
          <t>Apollofjäril
Axveronika
Backtimjan
Jordtistel
Kalkkoppmossa
Orellia scorzonerae
Solvända
Spillkråka
Svinrot
Blåmossa
Kattfotslav
Nästrot
Sankt pers nycklar
Blåsippa
Gullviva</t>
        </is>
      </c>
      <c r="S31">
        <f>HYPERLINK("https://klasma.github.io/Logging_0980/artfynd/A 15629-2024 artfynd.xlsx", "A 15629-2024")</f>
        <v/>
      </c>
      <c r="T31">
        <f>HYPERLINK("https://klasma.github.io/Logging_0980/kartor/A 15629-2024 karta.png", "A 15629-2024")</f>
        <v/>
      </c>
      <c r="V31">
        <f>HYPERLINK("https://klasma.github.io/Logging_0980/klagomål/A 15629-2024 FSC-klagomål.docx", "A 15629-2024")</f>
        <v/>
      </c>
      <c r="W31">
        <f>HYPERLINK("https://klasma.github.io/Logging_0980/klagomålsmail/A 15629-2024 FSC-klagomål mail.docx", "A 15629-2024")</f>
        <v/>
      </c>
      <c r="X31">
        <f>HYPERLINK("https://klasma.github.io/Logging_0980/tillsyn/A 15629-2024 tillsynsbegäran.docx", "A 15629-2024")</f>
        <v/>
      </c>
      <c r="Y31">
        <f>HYPERLINK("https://klasma.github.io/Logging_0980/tillsynsmail/A 15629-2024 tillsynsbegäran mail.docx", "A 15629-2024")</f>
        <v/>
      </c>
      <c r="Z31">
        <f>HYPERLINK("https://klasma.github.io/Logging_0980/fåglar/A 15629-2024 prioriterade fågelarter.docx", "A 15629-2024")</f>
        <v/>
      </c>
    </row>
    <row r="32" ht="15" customHeight="1">
      <c r="A32" t="inlineStr">
        <is>
          <t>A 2222-2024</t>
        </is>
      </c>
      <c r="B32" s="1" t="n">
        <v>45309</v>
      </c>
      <c r="C32" s="1" t="n">
        <v>45966</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45966</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45966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45966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45966</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45966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15850-2025</t>
        </is>
      </c>
      <c r="B39" s="1" t="n">
        <v>45748</v>
      </c>
      <c r="C39" s="1" t="n">
        <v>45966</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3324-2023</t>
        </is>
      </c>
      <c r="B40" s="1" t="n">
        <v>44949</v>
      </c>
      <c r="C40" s="1" t="n">
        <v>45966</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45966</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45966</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45966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45966</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45966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45966</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17766-2024</t>
        </is>
      </c>
      <c r="B47" s="1" t="n">
        <v>45418</v>
      </c>
      <c r="C47" s="1" t="n">
        <v>45966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14354-2024</t>
        </is>
      </c>
      <c r="B48" s="1" t="n">
        <v>45393</v>
      </c>
      <c r="C48" s="1" t="n">
        <v>45966</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45966</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22404-2024</t>
        </is>
      </c>
      <c r="B50" s="1" t="n">
        <v>45446</v>
      </c>
      <c r="C50" s="1" t="n">
        <v>45966</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584-2023</t>
        </is>
      </c>
      <c r="B51" s="1" t="n">
        <v>44930</v>
      </c>
      <c r="C51" s="1" t="n">
        <v>45966</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45966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59132-2024</t>
        </is>
      </c>
      <c r="B53" s="1" t="n">
        <v>45637</v>
      </c>
      <c r="C53" s="1" t="n">
        <v>45966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45966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7039-2023</t>
        </is>
      </c>
      <c r="B55" s="1" t="n">
        <v>44968</v>
      </c>
      <c r="C55" s="1" t="n">
        <v>45966</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45966</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45966</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45966</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51737-2021</t>
        </is>
      </c>
      <c r="B59" s="1" t="n">
        <v>44462.57368055556</v>
      </c>
      <c r="C59" s="1" t="n">
        <v>45966</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34142-2024</t>
        </is>
      </c>
      <c r="B60" s="1" t="n">
        <v>45524.36521990741</v>
      </c>
      <c r="C60" s="1" t="n">
        <v>45966</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18541-2024</t>
        </is>
      </c>
      <c r="B61" s="1" t="n">
        <v>45425</v>
      </c>
      <c r="C61" s="1" t="n">
        <v>45966</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4984-2025</t>
        </is>
      </c>
      <c r="B62" s="1" t="n">
        <v>45691.29891203704</v>
      </c>
      <c r="C62" s="1" t="n">
        <v>45966</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45966</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52223-2025</t>
        </is>
      </c>
      <c r="B64" s="1" t="n">
        <v>45953.44509259259</v>
      </c>
      <c r="C64" s="1" t="n">
        <v>45966</v>
      </c>
      <c r="D64" t="inlineStr">
        <is>
          <t>GOTLANDS LÄN</t>
        </is>
      </c>
      <c r="E64" t="inlineStr">
        <is>
          <t>GOTLAND</t>
        </is>
      </c>
      <c r="F64" t="inlineStr">
        <is>
          <t>Övriga Aktiebolag</t>
        </is>
      </c>
      <c r="G64" t="n">
        <v>5.8</v>
      </c>
      <c r="H64" t="n">
        <v>3</v>
      </c>
      <c r="I64" t="n">
        <v>0</v>
      </c>
      <c r="J64" t="n">
        <v>4</v>
      </c>
      <c r="K64" t="n">
        <v>0</v>
      </c>
      <c r="L64" t="n">
        <v>0</v>
      </c>
      <c r="M64" t="n">
        <v>0</v>
      </c>
      <c r="N64" t="n">
        <v>0</v>
      </c>
      <c r="O64" t="n">
        <v>4</v>
      </c>
      <c r="P64" t="n">
        <v>0</v>
      </c>
      <c r="Q64" t="n">
        <v>7</v>
      </c>
      <c r="R64" s="2" t="inlineStr">
        <is>
          <t>Axveronika
Backtimjan
Solvända
Ängsstarr
Brudsporre
Kärrknipprot
Ängsnycklar</t>
        </is>
      </c>
      <c r="S64">
        <f>HYPERLINK("https://klasma.github.io/Logging_0980/artfynd/A 52223-2025 artfynd.xlsx", "A 52223-2025")</f>
        <v/>
      </c>
      <c r="T64">
        <f>HYPERLINK("https://klasma.github.io/Logging_0980/kartor/A 52223-2025 karta.png", "A 52223-2025")</f>
        <v/>
      </c>
      <c r="V64">
        <f>HYPERLINK("https://klasma.github.io/Logging_0980/klagomål/A 52223-2025 FSC-klagomål.docx", "A 52223-2025")</f>
        <v/>
      </c>
      <c r="W64">
        <f>HYPERLINK("https://klasma.github.io/Logging_0980/klagomålsmail/A 52223-2025 FSC-klagomål mail.docx", "A 52223-2025")</f>
        <v/>
      </c>
      <c r="X64">
        <f>HYPERLINK("https://klasma.github.io/Logging_0980/tillsyn/A 52223-2025 tillsynsbegäran.docx", "A 52223-2025")</f>
        <v/>
      </c>
      <c r="Y64">
        <f>HYPERLINK("https://klasma.github.io/Logging_0980/tillsynsmail/A 52223-2025 tillsynsbegäran mail.docx", "A 52223-2025")</f>
        <v/>
      </c>
    </row>
    <row r="65" ht="15" customHeight="1">
      <c r="A65" t="inlineStr">
        <is>
          <t>A 27280-2023</t>
        </is>
      </c>
      <c r="B65" s="1" t="n">
        <v>45096</v>
      </c>
      <c r="C65" s="1" t="n">
        <v>45966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45248-2024</t>
        </is>
      </c>
      <c r="B66" s="1" t="n">
        <v>45576</v>
      </c>
      <c r="C66" s="1" t="n">
        <v>45966</v>
      </c>
      <c r="D66" t="inlineStr">
        <is>
          <t>GOTLANDS LÄN</t>
        </is>
      </c>
      <c r="E66" t="inlineStr">
        <is>
          <t>GOTLAND</t>
        </is>
      </c>
      <c r="G66" t="n">
        <v>9.4</v>
      </c>
      <c r="H66" t="n">
        <v>0</v>
      </c>
      <c r="I66" t="n">
        <v>3</v>
      </c>
      <c r="J66" t="n">
        <v>1</v>
      </c>
      <c r="K66" t="n">
        <v>1</v>
      </c>
      <c r="L66" t="n">
        <v>1</v>
      </c>
      <c r="M66" t="n">
        <v>1</v>
      </c>
      <c r="N66" t="n">
        <v>0</v>
      </c>
      <c r="O66" t="n">
        <v>4</v>
      </c>
      <c r="P66" t="n">
        <v>3</v>
      </c>
      <c r="Q66" t="n">
        <v>7</v>
      </c>
      <c r="R66" s="2" t="inlineStr">
        <is>
          <t>Lundalm
Ask
Mjölspindling
Oxtungssvamp
Myskmadra
Stinkbrosking
Underviol</t>
        </is>
      </c>
      <c r="S66">
        <f>HYPERLINK("https://klasma.github.io/Logging_0980/artfynd/A 45248-2024 artfynd.xlsx", "A 45248-2024")</f>
        <v/>
      </c>
      <c r="T66">
        <f>HYPERLINK("https://klasma.github.io/Logging_0980/kartor/A 45248-2024 karta.png", "A 45248-2024")</f>
        <v/>
      </c>
      <c r="V66">
        <f>HYPERLINK("https://klasma.github.io/Logging_0980/klagomål/A 45248-2024 FSC-klagomål.docx", "A 45248-2024")</f>
        <v/>
      </c>
      <c r="W66">
        <f>HYPERLINK("https://klasma.github.io/Logging_0980/klagomålsmail/A 45248-2024 FSC-klagomål mail.docx", "A 45248-2024")</f>
        <v/>
      </c>
      <c r="X66">
        <f>HYPERLINK("https://klasma.github.io/Logging_0980/tillsyn/A 45248-2024 tillsynsbegäran.docx", "A 45248-2024")</f>
        <v/>
      </c>
      <c r="Y66">
        <f>HYPERLINK("https://klasma.github.io/Logging_0980/tillsynsmail/A 45248-2024 tillsynsbegäran mail.docx", "A 45248-2024")</f>
        <v/>
      </c>
    </row>
    <row r="67" ht="15" customHeight="1">
      <c r="A67" t="inlineStr">
        <is>
          <t>A 25205-2021</t>
        </is>
      </c>
      <c r="B67" s="1" t="n">
        <v>44342</v>
      </c>
      <c r="C67" s="1" t="n">
        <v>45966</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7038-2023</t>
        </is>
      </c>
      <c r="B68" s="1" t="n">
        <v>44968</v>
      </c>
      <c r="C68" s="1" t="n">
        <v>45966</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45966</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45966</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54527-2023</t>
        </is>
      </c>
      <c r="B71" s="1" t="n">
        <v>45233</v>
      </c>
      <c r="C71" s="1" t="n">
        <v>45966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16823-2024</t>
        </is>
      </c>
      <c r="B72" s="1" t="n">
        <v>45411</v>
      </c>
      <c r="C72" s="1" t="n">
        <v>45966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45966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65819-2020</t>
        </is>
      </c>
      <c r="B74" s="1" t="n">
        <v>44174</v>
      </c>
      <c r="C74" s="1" t="n">
        <v>45966</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66091-2021</t>
        </is>
      </c>
      <c r="B75" s="1" t="n">
        <v>44517</v>
      </c>
      <c r="C75" s="1" t="n">
        <v>45966</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39425-2023</t>
        </is>
      </c>
      <c r="B76" s="1" t="n">
        <v>45166</v>
      </c>
      <c r="C76" s="1" t="n">
        <v>45966</v>
      </c>
      <c r="D76" t="inlineStr">
        <is>
          <t>GOTLANDS LÄN</t>
        </is>
      </c>
      <c r="E76" t="inlineStr">
        <is>
          <t>GOTLAND</t>
        </is>
      </c>
      <c r="G76" t="n">
        <v>3.9</v>
      </c>
      <c r="H76" t="n">
        <v>1</v>
      </c>
      <c r="I76" t="n">
        <v>3</v>
      </c>
      <c r="J76" t="n">
        <v>0</v>
      </c>
      <c r="K76" t="n">
        <v>2</v>
      </c>
      <c r="L76" t="n">
        <v>0</v>
      </c>
      <c r="M76" t="n">
        <v>0</v>
      </c>
      <c r="N76" t="n">
        <v>0</v>
      </c>
      <c r="O76" t="n">
        <v>2</v>
      </c>
      <c r="P76" t="n">
        <v>2</v>
      </c>
      <c r="Q76" t="n">
        <v>5</v>
      </c>
      <c r="R76" s="2" t="inlineStr">
        <is>
          <t>Knärot
Violgubbe
Anisspindling
Rödgul trumpetsvamp
Svavelriska</t>
        </is>
      </c>
      <c r="S76">
        <f>HYPERLINK("https://klasma.github.io/Logging_0980/artfynd/A 39425-2023 artfynd.xlsx", "A 39425-2023")</f>
        <v/>
      </c>
      <c r="T76">
        <f>HYPERLINK("https://klasma.github.io/Logging_0980/kartor/A 39425-2023 karta.png", "A 39425-2023")</f>
        <v/>
      </c>
      <c r="U76">
        <f>HYPERLINK("https://klasma.github.io/Logging_0980/knärot/A 39425-2023 karta knärot.png", "A 39425-2023")</f>
        <v/>
      </c>
      <c r="V76">
        <f>HYPERLINK("https://klasma.github.io/Logging_0980/klagomål/A 39425-2023 FSC-klagomål.docx", "A 39425-2023")</f>
        <v/>
      </c>
      <c r="W76">
        <f>HYPERLINK("https://klasma.github.io/Logging_0980/klagomålsmail/A 39425-2023 FSC-klagomål mail.docx", "A 39425-2023")</f>
        <v/>
      </c>
      <c r="X76">
        <f>HYPERLINK("https://klasma.github.io/Logging_0980/tillsyn/A 39425-2023 tillsynsbegäran.docx", "A 39425-2023")</f>
        <v/>
      </c>
      <c r="Y76">
        <f>HYPERLINK("https://klasma.github.io/Logging_0980/tillsynsmail/A 39425-2023 tillsynsbegäran mail.docx", "A 39425-2023")</f>
        <v/>
      </c>
    </row>
    <row r="77" ht="15" customHeight="1">
      <c r="A77" t="inlineStr">
        <is>
          <t>A 44944-2022</t>
        </is>
      </c>
      <c r="B77" s="1" t="n">
        <v>44841</v>
      </c>
      <c r="C77" s="1" t="n">
        <v>45966</v>
      </c>
      <c r="D77" t="inlineStr">
        <is>
          <t>GOTLANDS LÄN</t>
        </is>
      </c>
      <c r="E77" t="inlineStr">
        <is>
          <t>GOTLAND</t>
        </is>
      </c>
      <c r="G77" t="n">
        <v>2.8</v>
      </c>
      <c r="H77" t="n">
        <v>0</v>
      </c>
      <c r="I77" t="n">
        <v>3</v>
      </c>
      <c r="J77" t="n">
        <v>2</v>
      </c>
      <c r="K77" t="n">
        <v>0</v>
      </c>
      <c r="L77" t="n">
        <v>0</v>
      </c>
      <c r="M77" t="n">
        <v>0</v>
      </c>
      <c r="N77" t="n">
        <v>0</v>
      </c>
      <c r="O77" t="n">
        <v>2</v>
      </c>
      <c r="P77" t="n">
        <v>0</v>
      </c>
      <c r="Q77" t="n">
        <v>5</v>
      </c>
      <c r="R77" s="2" t="inlineStr">
        <is>
          <t>Denisespindling
Odörspindling
Anisspindling
Fjällig taggsvamp s.str.
Rödgul trumpetsvamp</t>
        </is>
      </c>
      <c r="S77">
        <f>HYPERLINK("https://klasma.github.io/Logging_0980/artfynd/A 44944-2022 artfynd.xlsx", "A 44944-2022")</f>
        <v/>
      </c>
      <c r="T77">
        <f>HYPERLINK("https://klasma.github.io/Logging_0980/kartor/A 44944-2022 karta.png", "A 44944-2022")</f>
        <v/>
      </c>
      <c r="V77">
        <f>HYPERLINK("https://klasma.github.io/Logging_0980/klagomål/A 44944-2022 FSC-klagomål.docx", "A 44944-2022")</f>
        <v/>
      </c>
      <c r="W77">
        <f>HYPERLINK("https://klasma.github.io/Logging_0980/klagomålsmail/A 44944-2022 FSC-klagomål mail.docx", "A 44944-2022")</f>
        <v/>
      </c>
      <c r="X77">
        <f>HYPERLINK("https://klasma.github.io/Logging_0980/tillsyn/A 44944-2022 tillsynsbegäran.docx", "A 44944-2022")</f>
        <v/>
      </c>
      <c r="Y77">
        <f>HYPERLINK("https://klasma.github.io/Logging_0980/tillsynsmail/A 44944-2022 tillsynsbegäran mail.docx", "A 44944-2022")</f>
        <v/>
      </c>
    </row>
    <row r="78" ht="15" customHeight="1">
      <c r="A78" t="inlineStr">
        <is>
          <t>A 2213-2023</t>
        </is>
      </c>
      <c r="B78" s="1" t="n">
        <v>44942</v>
      </c>
      <c r="C78" s="1" t="n">
        <v>45966</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16375-2025</t>
        </is>
      </c>
      <c r="B79" s="1" t="n">
        <v>45751.41064814815</v>
      </c>
      <c r="C79" s="1" t="n">
        <v>45966</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45966</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45966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54055-2022</t>
        </is>
      </c>
      <c r="B82" s="1" t="n">
        <v>44881</v>
      </c>
      <c r="C82" s="1" t="n">
        <v>45966</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32326-2024</t>
        </is>
      </c>
      <c r="B83" s="1" t="n">
        <v>45512</v>
      </c>
      <c r="C83" s="1" t="n">
        <v>45966</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29331-2021</t>
        </is>
      </c>
      <c r="B84" s="1" t="n">
        <v>44361</v>
      </c>
      <c r="C84" s="1" t="n">
        <v>45966</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8265-2023</t>
        </is>
      </c>
      <c r="B85" s="1" t="n">
        <v>44974</v>
      </c>
      <c r="C85" s="1" t="n">
        <v>45966</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5904-2024</t>
        </is>
      </c>
      <c r="B86" s="1" t="n">
        <v>45335</v>
      </c>
      <c r="C86" s="1" t="n">
        <v>45966</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54523-2023</t>
        </is>
      </c>
      <c r="B87" s="1" t="n">
        <v>45233</v>
      </c>
      <c r="C87" s="1" t="n">
        <v>45966</v>
      </c>
      <c r="D87" t="inlineStr">
        <is>
          <t>GOTLANDS LÄN</t>
        </is>
      </c>
      <c r="E87" t="inlineStr">
        <is>
          <t>GOTLAND</t>
        </is>
      </c>
      <c r="G87" t="n">
        <v>3.7</v>
      </c>
      <c r="H87" t="n">
        <v>2</v>
      </c>
      <c r="I87" t="n">
        <v>0</v>
      </c>
      <c r="J87" t="n">
        <v>1</v>
      </c>
      <c r="K87" t="n">
        <v>1</v>
      </c>
      <c r="L87" t="n">
        <v>0</v>
      </c>
      <c r="M87" t="n">
        <v>0</v>
      </c>
      <c r="N87" t="n">
        <v>0</v>
      </c>
      <c r="O87" t="n">
        <v>2</v>
      </c>
      <c r="P87" t="n">
        <v>1</v>
      </c>
      <c r="Q87" t="n">
        <v>4</v>
      </c>
      <c r="R87" s="2" t="inlineStr">
        <is>
          <t>Sommarklynne
Åkerkulla
Brudsporre
Kärrknipprot</t>
        </is>
      </c>
      <c r="S87">
        <f>HYPERLINK("https://klasma.github.io/Logging_0980/artfynd/A 54523-2023 artfynd.xlsx", "A 54523-2023")</f>
        <v/>
      </c>
      <c r="T87">
        <f>HYPERLINK("https://klasma.github.io/Logging_0980/kartor/A 54523-2023 karta.png", "A 54523-2023")</f>
        <v/>
      </c>
      <c r="V87">
        <f>HYPERLINK("https://klasma.github.io/Logging_0980/klagomål/A 54523-2023 FSC-klagomål.docx", "A 54523-2023")</f>
        <v/>
      </c>
      <c r="W87">
        <f>HYPERLINK("https://klasma.github.io/Logging_0980/klagomålsmail/A 54523-2023 FSC-klagomål mail.docx", "A 54523-2023")</f>
        <v/>
      </c>
      <c r="X87">
        <f>HYPERLINK("https://klasma.github.io/Logging_0980/tillsyn/A 54523-2023 tillsynsbegäran.docx", "A 54523-2023")</f>
        <v/>
      </c>
      <c r="Y87">
        <f>HYPERLINK("https://klasma.github.io/Logging_0980/tillsynsmail/A 54523-2023 tillsynsbegäran mail.docx", "A 54523-2023")</f>
        <v/>
      </c>
    </row>
    <row r="88" ht="15" customHeight="1">
      <c r="A88" t="inlineStr">
        <is>
          <t>A 2485-2025</t>
        </is>
      </c>
      <c r="B88" s="1" t="n">
        <v>45673</v>
      </c>
      <c r="C88" s="1" t="n">
        <v>45966</v>
      </c>
      <c r="D88" t="inlineStr">
        <is>
          <t>GOTLANDS LÄN</t>
        </is>
      </c>
      <c r="E88" t="inlineStr">
        <is>
          <t>GOTLAND</t>
        </is>
      </c>
      <c r="G88" t="n">
        <v>5</v>
      </c>
      <c r="H88" t="n">
        <v>2</v>
      </c>
      <c r="I88" t="n">
        <v>2</v>
      </c>
      <c r="J88" t="n">
        <v>0</v>
      </c>
      <c r="K88" t="n">
        <v>2</v>
      </c>
      <c r="L88" t="n">
        <v>0</v>
      </c>
      <c r="M88" t="n">
        <v>0</v>
      </c>
      <c r="N88" t="n">
        <v>0</v>
      </c>
      <c r="O88" t="n">
        <v>2</v>
      </c>
      <c r="P88" t="n">
        <v>2</v>
      </c>
      <c r="Q88" t="n">
        <v>4</v>
      </c>
      <c r="R88" s="2" t="inlineStr">
        <is>
          <t>Gotlandsmåra
Skogskorn
Nästrot
Skogsknipprot</t>
        </is>
      </c>
      <c r="S88">
        <f>HYPERLINK("https://klasma.github.io/Logging_0980/artfynd/A 2485-2025 artfynd.xlsx", "A 2485-2025")</f>
        <v/>
      </c>
      <c r="T88">
        <f>HYPERLINK("https://klasma.github.io/Logging_0980/kartor/A 2485-2025 karta.png", "A 2485-2025")</f>
        <v/>
      </c>
      <c r="V88">
        <f>HYPERLINK("https://klasma.github.io/Logging_0980/klagomål/A 2485-2025 FSC-klagomål.docx", "A 2485-2025")</f>
        <v/>
      </c>
      <c r="W88">
        <f>HYPERLINK("https://klasma.github.io/Logging_0980/klagomålsmail/A 2485-2025 FSC-klagomål mail.docx", "A 2485-2025")</f>
        <v/>
      </c>
      <c r="X88">
        <f>HYPERLINK("https://klasma.github.io/Logging_0980/tillsyn/A 2485-2025 tillsynsbegäran.docx", "A 2485-2025")</f>
        <v/>
      </c>
      <c r="Y88">
        <f>HYPERLINK("https://klasma.github.io/Logging_0980/tillsynsmail/A 2485-2025 tillsynsbegäran mail.docx", "A 2485-2025")</f>
        <v/>
      </c>
    </row>
    <row r="89" ht="15" customHeight="1">
      <c r="A89" t="inlineStr">
        <is>
          <t>A 6159-2023</t>
        </is>
      </c>
      <c r="B89" s="1" t="n">
        <v>44964</v>
      </c>
      <c r="C89" s="1" t="n">
        <v>45966</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45966</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40099-2025</t>
        </is>
      </c>
      <c r="B91" s="1" t="n">
        <v>45894.48462962963</v>
      </c>
      <c r="C91" s="1" t="n">
        <v>45966</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44933-2022</t>
        </is>
      </c>
      <c r="B92" s="1" t="n">
        <v>44841</v>
      </c>
      <c r="C92" s="1" t="n">
        <v>45966</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64378-2020</t>
        </is>
      </c>
      <c r="B93" s="1" t="n">
        <v>44168</v>
      </c>
      <c r="C93" s="1" t="n">
        <v>45966</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52309-2025</t>
        </is>
      </c>
      <c r="B94" s="1" t="n">
        <v>45953.64381944444</v>
      </c>
      <c r="C94" s="1" t="n">
        <v>45966</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1971-2023</t>
        </is>
      </c>
      <c r="B95" s="1" t="n">
        <v>44939</v>
      </c>
      <c r="C95" s="1" t="n">
        <v>45966</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53584-2025</t>
        </is>
      </c>
      <c r="B96" s="1" t="n">
        <v>45960.43130787037</v>
      </c>
      <c r="C96" s="1" t="n">
        <v>45966</v>
      </c>
      <c r="D96" t="inlineStr">
        <is>
          <t>GOTLANDS LÄN</t>
        </is>
      </c>
      <c r="E96" t="inlineStr">
        <is>
          <t>GOTLAND</t>
        </is>
      </c>
      <c r="F96" t="inlineStr">
        <is>
          <t>Övriga Aktiebolag</t>
        </is>
      </c>
      <c r="G96" t="n">
        <v>18.1</v>
      </c>
      <c r="H96" t="n">
        <v>1</v>
      </c>
      <c r="I96" t="n">
        <v>0</v>
      </c>
      <c r="J96" t="n">
        <v>4</v>
      </c>
      <c r="K96" t="n">
        <v>0</v>
      </c>
      <c r="L96" t="n">
        <v>0</v>
      </c>
      <c r="M96" t="n">
        <v>0</v>
      </c>
      <c r="N96" t="n">
        <v>0</v>
      </c>
      <c r="O96" t="n">
        <v>4</v>
      </c>
      <c r="P96" t="n">
        <v>0</v>
      </c>
      <c r="Q96" t="n">
        <v>4</v>
      </c>
      <c r="R96" s="2" t="inlineStr">
        <is>
          <t>Apollofjäril
Jordtistel
Klasefibbla
Majviva</t>
        </is>
      </c>
      <c r="S96">
        <f>HYPERLINK("https://klasma.github.io/Logging_0980/artfynd/A 53584-2025 artfynd.xlsx", "A 53584-2025")</f>
        <v/>
      </c>
      <c r="T96">
        <f>HYPERLINK("https://klasma.github.io/Logging_0980/kartor/A 53584-2025 karta.png", "A 53584-2025")</f>
        <v/>
      </c>
      <c r="V96">
        <f>HYPERLINK("https://klasma.github.io/Logging_0980/klagomål/A 53584-2025 FSC-klagomål.docx", "A 53584-2025")</f>
        <v/>
      </c>
      <c r="W96">
        <f>HYPERLINK("https://klasma.github.io/Logging_0980/klagomålsmail/A 53584-2025 FSC-klagomål mail.docx", "A 53584-2025")</f>
        <v/>
      </c>
      <c r="X96">
        <f>HYPERLINK("https://klasma.github.io/Logging_0980/tillsyn/A 53584-2025 tillsynsbegäran.docx", "A 53584-2025")</f>
        <v/>
      </c>
      <c r="Y96">
        <f>HYPERLINK("https://klasma.github.io/Logging_0980/tillsynsmail/A 53584-2025 tillsynsbegäran mail.docx", "A 53584-2025")</f>
        <v/>
      </c>
    </row>
    <row r="97" ht="15" customHeight="1">
      <c r="A97" t="inlineStr">
        <is>
          <t>A 186-2023</t>
        </is>
      </c>
      <c r="B97" s="1" t="n">
        <v>44928</v>
      </c>
      <c r="C97" s="1" t="n">
        <v>45966</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20833-2024</t>
        </is>
      </c>
      <c r="B98" s="1" t="n">
        <v>45439</v>
      </c>
      <c r="C98" s="1" t="n">
        <v>45966</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56717-2024</t>
        </is>
      </c>
      <c r="B99" s="1" t="n">
        <v>45628.3166550926</v>
      </c>
      <c r="C99" s="1" t="n">
        <v>45966</v>
      </c>
      <c r="D99" t="inlineStr">
        <is>
          <t>GOTLANDS LÄN</t>
        </is>
      </c>
      <c r="E99" t="inlineStr">
        <is>
          <t>GOTLAND</t>
        </is>
      </c>
      <c r="G99" t="n">
        <v>9.699999999999999</v>
      </c>
      <c r="H99" t="n">
        <v>0</v>
      </c>
      <c r="I99" t="n">
        <v>2</v>
      </c>
      <c r="J99" t="n">
        <v>2</v>
      </c>
      <c r="K99" t="n">
        <v>0</v>
      </c>
      <c r="L99" t="n">
        <v>0</v>
      </c>
      <c r="M99" t="n">
        <v>0</v>
      </c>
      <c r="N99" t="n">
        <v>0</v>
      </c>
      <c r="O99" t="n">
        <v>2</v>
      </c>
      <c r="P99" t="n">
        <v>0</v>
      </c>
      <c r="Q99" t="n">
        <v>4</v>
      </c>
      <c r="R99" s="2" t="inlineStr">
        <is>
          <t>Ekvaxskivling
Odörspindling
Fjällig taggsvamp s.str.
Kattfotslav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65537-2020</t>
        </is>
      </c>
      <c r="B100" s="1" t="n">
        <v>44173</v>
      </c>
      <c r="C100" s="1" t="n">
        <v>45966</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45966</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45966</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45966</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45966</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2332-2021</t>
        </is>
      </c>
      <c r="B105" s="1" t="n">
        <v>44214</v>
      </c>
      <c r="C105" s="1" t="n">
        <v>45966</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43013-2022</t>
        </is>
      </c>
      <c r="B106" s="1" t="n">
        <v>44833</v>
      </c>
      <c r="C106" s="1" t="n">
        <v>45966</v>
      </c>
      <c r="D106" t="inlineStr">
        <is>
          <t>GOTLANDS LÄN</t>
        </is>
      </c>
      <c r="E106" t="inlineStr">
        <is>
          <t>GOTLAND</t>
        </is>
      </c>
      <c r="G106" t="n">
        <v>9.300000000000001</v>
      </c>
      <c r="H106" t="n">
        <v>0</v>
      </c>
      <c r="I106" t="n">
        <v>2</v>
      </c>
      <c r="J106" t="n">
        <v>0</v>
      </c>
      <c r="K106" t="n">
        <v>1</v>
      </c>
      <c r="L106" t="n">
        <v>0</v>
      </c>
      <c r="M106" t="n">
        <v>0</v>
      </c>
      <c r="N106" t="n">
        <v>0</v>
      </c>
      <c r="O106" t="n">
        <v>1</v>
      </c>
      <c r="P106" t="n">
        <v>1</v>
      </c>
      <c r="Q106" t="n">
        <v>3</v>
      </c>
      <c r="R106" s="2" t="inlineStr">
        <is>
          <t>Violettfläckig spindling
Anisspindling
Blå slemspindling</t>
        </is>
      </c>
      <c r="S106">
        <f>HYPERLINK("https://klasma.github.io/Logging_0980/artfynd/A 43013-2022 artfynd.xlsx", "A 43013-2022")</f>
        <v/>
      </c>
      <c r="T106">
        <f>HYPERLINK("https://klasma.github.io/Logging_0980/kartor/A 43013-2022 karta.png", "A 43013-2022")</f>
        <v/>
      </c>
      <c r="V106">
        <f>HYPERLINK("https://klasma.github.io/Logging_0980/klagomål/A 43013-2022 FSC-klagomål.docx", "A 43013-2022")</f>
        <v/>
      </c>
      <c r="W106">
        <f>HYPERLINK("https://klasma.github.io/Logging_0980/klagomålsmail/A 43013-2022 FSC-klagomål mail.docx", "A 43013-2022")</f>
        <v/>
      </c>
      <c r="X106">
        <f>HYPERLINK("https://klasma.github.io/Logging_0980/tillsyn/A 43013-2022 tillsynsbegäran.docx", "A 43013-2022")</f>
        <v/>
      </c>
      <c r="Y106">
        <f>HYPERLINK("https://klasma.github.io/Logging_0980/tillsynsmail/A 43013-2022 tillsynsbegäran mail.docx", "A 43013-2022")</f>
        <v/>
      </c>
    </row>
    <row r="107" ht="15" customHeight="1">
      <c r="A107" t="inlineStr">
        <is>
          <t>A 17975-2024</t>
        </is>
      </c>
      <c r="B107" s="1" t="n">
        <v>45419.85546296297</v>
      </c>
      <c r="C107" s="1" t="n">
        <v>45966</v>
      </c>
      <c r="D107" t="inlineStr">
        <is>
          <t>GOTLANDS LÄN</t>
        </is>
      </c>
      <c r="E107" t="inlineStr">
        <is>
          <t>GOTLAND</t>
        </is>
      </c>
      <c r="G107" t="n">
        <v>7.9</v>
      </c>
      <c r="H107" t="n">
        <v>0</v>
      </c>
      <c r="I107" t="n">
        <v>1</v>
      </c>
      <c r="J107" t="n">
        <v>1</v>
      </c>
      <c r="K107" t="n">
        <v>0</v>
      </c>
      <c r="L107" t="n">
        <v>1</v>
      </c>
      <c r="M107" t="n">
        <v>0</v>
      </c>
      <c r="N107" t="n">
        <v>0</v>
      </c>
      <c r="O107" t="n">
        <v>2</v>
      </c>
      <c r="P107" t="n">
        <v>1</v>
      </c>
      <c r="Q107" t="n">
        <v>3</v>
      </c>
      <c r="R107" s="2" t="inlineStr">
        <is>
          <t>Ask
Skugglosta
Strävlosta</t>
        </is>
      </c>
      <c r="S107">
        <f>HYPERLINK("https://klasma.github.io/Logging_0980/artfynd/A 17975-2024 artfynd.xlsx", "A 17975-2024")</f>
        <v/>
      </c>
      <c r="T107">
        <f>HYPERLINK("https://klasma.github.io/Logging_0980/kartor/A 17975-2024 karta.png", "A 17975-2024")</f>
        <v/>
      </c>
      <c r="V107">
        <f>HYPERLINK("https://klasma.github.io/Logging_0980/klagomål/A 17975-2024 FSC-klagomål.docx", "A 17975-2024")</f>
        <v/>
      </c>
      <c r="W107">
        <f>HYPERLINK("https://klasma.github.io/Logging_0980/klagomålsmail/A 17975-2024 FSC-klagomål mail.docx", "A 17975-2024")</f>
        <v/>
      </c>
      <c r="X107">
        <f>HYPERLINK("https://klasma.github.io/Logging_0980/tillsyn/A 17975-2024 tillsynsbegäran.docx", "A 17975-2024")</f>
        <v/>
      </c>
      <c r="Y107">
        <f>HYPERLINK("https://klasma.github.io/Logging_0980/tillsynsmail/A 17975-2024 tillsynsbegäran mail.docx", "A 17975-2024")</f>
        <v/>
      </c>
    </row>
    <row r="108" ht="15" customHeight="1">
      <c r="A108" t="inlineStr">
        <is>
          <t>A 62326-2020</t>
        </is>
      </c>
      <c r="B108" s="1" t="n">
        <v>44160</v>
      </c>
      <c r="C108" s="1" t="n">
        <v>45966</v>
      </c>
      <c r="D108" t="inlineStr">
        <is>
          <t>GOTLANDS LÄN</t>
        </is>
      </c>
      <c r="E108" t="inlineStr">
        <is>
          <t>GOTLAND</t>
        </is>
      </c>
      <c r="G108" t="n">
        <v>7.4</v>
      </c>
      <c r="H108" t="n">
        <v>1</v>
      </c>
      <c r="I108" t="n">
        <v>3</v>
      </c>
      <c r="J108" t="n">
        <v>0</v>
      </c>
      <c r="K108" t="n">
        <v>0</v>
      </c>
      <c r="L108" t="n">
        <v>0</v>
      </c>
      <c r="M108" t="n">
        <v>0</v>
      </c>
      <c r="N108" t="n">
        <v>0</v>
      </c>
      <c r="O108" t="n">
        <v>0</v>
      </c>
      <c r="P108" t="n">
        <v>0</v>
      </c>
      <c r="Q108" t="n">
        <v>3</v>
      </c>
      <c r="R108" s="2" t="inlineStr">
        <is>
          <t>Anisspindling
Blåmossa
Skogsknipprot</t>
        </is>
      </c>
      <c r="S108">
        <f>HYPERLINK("https://klasma.github.io/Logging_0980/artfynd/A 62326-2020 artfynd.xlsx", "A 62326-2020")</f>
        <v/>
      </c>
      <c r="T108">
        <f>HYPERLINK("https://klasma.github.io/Logging_0980/kartor/A 62326-2020 karta.png", "A 62326-2020")</f>
        <v/>
      </c>
      <c r="V108">
        <f>HYPERLINK("https://klasma.github.io/Logging_0980/klagomål/A 62326-2020 FSC-klagomål.docx", "A 62326-2020")</f>
        <v/>
      </c>
      <c r="W108">
        <f>HYPERLINK("https://klasma.github.io/Logging_0980/klagomålsmail/A 62326-2020 FSC-klagomål mail.docx", "A 62326-2020")</f>
        <v/>
      </c>
      <c r="X108">
        <f>HYPERLINK("https://klasma.github.io/Logging_0980/tillsyn/A 62326-2020 tillsynsbegäran.docx", "A 62326-2020")</f>
        <v/>
      </c>
      <c r="Y108">
        <f>HYPERLINK("https://klasma.github.io/Logging_0980/tillsynsmail/A 62326-2020 tillsynsbegäran mail.docx", "A 62326-2020")</f>
        <v/>
      </c>
    </row>
    <row r="109" ht="15" customHeight="1">
      <c r="A109" t="inlineStr">
        <is>
          <t>A 49709-2025</t>
        </is>
      </c>
      <c r="B109" s="1" t="n">
        <v>45939.68228009259</v>
      </c>
      <c r="C109" s="1" t="n">
        <v>45966</v>
      </c>
      <c r="D109" t="inlineStr">
        <is>
          <t>GOTLANDS LÄN</t>
        </is>
      </c>
      <c r="E109" t="inlineStr">
        <is>
          <t>GOTLAND</t>
        </is>
      </c>
      <c r="G109" t="n">
        <v>10.2</v>
      </c>
      <c r="H109" t="n">
        <v>0</v>
      </c>
      <c r="I109" t="n">
        <v>2</v>
      </c>
      <c r="J109" t="n">
        <v>1</v>
      </c>
      <c r="K109" t="n">
        <v>0</v>
      </c>
      <c r="L109" t="n">
        <v>0</v>
      </c>
      <c r="M109" t="n">
        <v>0</v>
      </c>
      <c r="N109" t="n">
        <v>0</v>
      </c>
      <c r="O109" t="n">
        <v>1</v>
      </c>
      <c r="P109" t="n">
        <v>0</v>
      </c>
      <c r="Q109" t="n">
        <v>3</v>
      </c>
      <c r="R109" s="2" t="inlineStr">
        <is>
          <t>Tallticka
Blåmossa
Grovticka</t>
        </is>
      </c>
      <c r="S109">
        <f>HYPERLINK("https://klasma.github.io/Logging_0980/artfynd/A 49709-2025 artfynd.xlsx", "A 49709-2025")</f>
        <v/>
      </c>
      <c r="T109">
        <f>HYPERLINK("https://klasma.github.io/Logging_0980/kartor/A 49709-2025 karta.png", "A 49709-2025")</f>
        <v/>
      </c>
      <c r="V109">
        <f>HYPERLINK("https://klasma.github.io/Logging_0980/klagomål/A 49709-2025 FSC-klagomål.docx", "A 49709-2025")</f>
        <v/>
      </c>
      <c r="W109">
        <f>HYPERLINK("https://klasma.github.io/Logging_0980/klagomålsmail/A 49709-2025 FSC-klagomål mail.docx", "A 49709-2025")</f>
        <v/>
      </c>
      <c r="X109">
        <f>HYPERLINK("https://klasma.github.io/Logging_0980/tillsyn/A 49709-2025 tillsynsbegäran.docx", "A 49709-2025")</f>
        <v/>
      </c>
      <c r="Y109">
        <f>HYPERLINK("https://klasma.github.io/Logging_0980/tillsynsmail/A 49709-2025 tillsynsbegäran mail.docx", "A 49709-2025")</f>
        <v/>
      </c>
    </row>
    <row r="110" ht="15" customHeight="1">
      <c r="A110" t="inlineStr">
        <is>
          <t>A 73144-2021</t>
        </is>
      </c>
      <c r="B110" s="1" t="n">
        <v>44550</v>
      </c>
      <c r="C110" s="1" t="n">
        <v>45966</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45966</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30490-2025</t>
        </is>
      </c>
      <c r="B112" s="1" t="n">
        <v>45830</v>
      </c>
      <c r="C112" s="1" t="n">
        <v>45966</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53552-2021</t>
        </is>
      </c>
      <c r="B113" s="1" t="n">
        <v>44468</v>
      </c>
      <c r="C113" s="1" t="n">
        <v>45966</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45966</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45966</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13499-2022</t>
        </is>
      </c>
      <c r="B116" s="1" t="n">
        <v>44647.79203703703</v>
      </c>
      <c r="C116" s="1" t="n">
        <v>45966</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5235-2025</t>
        </is>
      </c>
      <c r="B117" s="1" t="n">
        <v>45692.26797453704</v>
      </c>
      <c r="C117" s="1" t="n">
        <v>45966</v>
      </c>
      <c r="D117" t="inlineStr">
        <is>
          <t>GOTLANDS LÄN</t>
        </is>
      </c>
      <c r="E117" t="inlineStr">
        <is>
          <t>GOTLAND</t>
        </is>
      </c>
      <c r="G117" t="n">
        <v>7.6</v>
      </c>
      <c r="H117" t="n">
        <v>1</v>
      </c>
      <c r="I117" t="n">
        <v>2</v>
      </c>
      <c r="J117" t="n">
        <v>1</v>
      </c>
      <c r="K117" t="n">
        <v>0</v>
      </c>
      <c r="L117" t="n">
        <v>0</v>
      </c>
      <c r="M117" t="n">
        <v>0</v>
      </c>
      <c r="N117" t="n">
        <v>0</v>
      </c>
      <c r="O117" t="n">
        <v>1</v>
      </c>
      <c r="P117" t="n">
        <v>0</v>
      </c>
      <c r="Q117" t="n">
        <v>3</v>
      </c>
      <c r="R117" s="2" t="inlineStr">
        <is>
          <t>Svinrot
Blåmossa
Tvåblad</t>
        </is>
      </c>
      <c r="S117">
        <f>HYPERLINK("https://klasma.github.io/Logging_0980/artfynd/A 5235-2025 artfynd.xlsx", "A 5235-2025")</f>
        <v/>
      </c>
      <c r="T117">
        <f>HYPERLINK("https://klasma.github.io/Logging_0980/kartor/A 5235-2025 karta.png", "A 5235-2025")</f>
        <v/>
      </c>
      <c r="V117">
        <f>HYPERLINK("https://klasma.github.io/Logging_0980/klagomål/A 5235-2025 FSC-klagomål.docx", "A 5235-2025")</f>
        <v/>
      </c>
      <c r="W117">
        <f>HYPERLINK("https://klasma.github.io/Logging_0980/klagomålsmail/A 5235-2025 FSC-klagomål mail.docx", "A 5235-2025")</f>
        <v/>
      </c>
      <c r="X117">
        <f>HYPERLINK("https://klasma.github.io/Logging_0980/tillsyn/A 5235-2025 tillsynsbegäran.docx", "A 5235-2025")</f>
        <v/>
      </c>
      <c r="Y117">
        <f>HYPERLINK("https://klasma.github.io/Logging_0980/tillsynsmail/A 5235-2025 tillsynsbegäran mail.docx", "A 5235-2025")</f>
        <v/>
      </c>
    </row>
    <row r="118" ht="15" customHeight="1">
      <c r="A118" t="inlineStr">
        <is>
          <t>A 20831-2024</t>
        </is>
      </c>
      <c r="B118" s="1" t="n">
        <v>45439</v>
      </c>
      <c r="C118" s="1" t="n">
        <v>45966</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48126-2022</t>
        </is>
      </c>
      <c r="B119" s="1" t="n">
        <v>44857</v>
      </c>
      <c r="C119" s="1" t="n">
        <v>45966</v>
      </c>
      <c r="D119" t="inlineStr">
        <is>
          <t>GOTLANDS LÄN</t>
        </is>
      </c>
      <c r="E119" t="inlineStr">
        <is>
          <t>GOTLAND</t>
        </is>
      </c>
      <c r="G119" t="n">
        <v>9.800000000000001</v>
      </c>
      <c r="H119" t="n">
        <v>1</v>
      </c>
      <c r="I119" t="n">
        <v>0</v>
      </c>
      <c r="J119" t="n">
        <v>3</v>
      </c>
      <c r="K119" t="n">
        <v>0</v>
      </c>
      <c r="L119" t="n">
        <v>0</v>
      </c>
      <c r="M119" t="n">
        <v>0</v>
      </c>
      <c r="N119" t="n">
        <v>0</v>
      </c>
      <c r="O119" t="n">
        <v>3</v>
      </c>
      <c r="P119" t="n">
        <v>0</v>
      </c>
      <c r="Q119" t="n">
        <v>3</v>
      </c>
      <c r="R119" s="2" t="inlineStr">
        <is>
          <t>Jordtistel
Spillkråka
Svinrot</t>
        </is>
      </c>
      <c r="S119">
        <f>HYPERLINK("https://klasma.github.io/Logging_0980/artfynd/A 48126-2022 artfynd.xlsx", "A 48126-2022")</f>
        <v/>
      </c>
      <c r="T119">
        <f>HYPERLINK("https://klasma.github.io/Logging_0980/kartor/A 48126-2022 karta.png", "A 48126-2022")</f>
        <v/>
      </c>
      <c r="V119">
        <f>HYPERLINK("https://klasma.github.io/Logging_0980/klagomål/A 48126-2022 FSC-klagomål.docx", "A 48126-2022")</f>
        <v/>
      </c>
      <c r="W119">
        <f>HYPERLINK("https://klasma.github.io/Logging_0980/klagomålsmail/A 48126-2022 FSC-klagomål mail.docx", "A 48126-2022")</f>
        <v/>
      </c>
      <c r="X119">
        <f>HYPERLINK("https://klasma.github.io/Logging_0980/tillsyn/A 48126-2022 tillsynsbegäran.docx", "A 48126-2022")</f>
        <v/>
      </c>
      <c r="Y119">
        <f>HYPERLINK("https://klasma.github.io/Logging_0980/tillsynsmail/A 48126-2022 tillsynsbegäran mail.docx", "A 48126-2022")</f>
        <v/>
      </c>
      <c r="Z119">
        <f>HYPERLINK("https://klasma.github.io/Logging_0980/fåglar/A 48126-2022 prioriterade fågelarter.docx", "A 48126-2022")</f>
        <v/>
      </c>
    </row>
    <row r="120" ht="15" customHeight="1">
      <c r="A120" t="inlineStr">
        <is>
          <t>A 29870-2021</t>
        </is>
      </c>
      <c r="B120" s="1" t="n">
        <v>44362</v>
      </c>
      <c r="C120" s="1" t="n">
        <v>45966</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45966</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45966</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45966</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60665-2021</t>
        </is>
      </c>
      <c r="B124" s="1" t="n">
        <v>44496</v>
      </c>
      <c r="C124" s="1" t="n">
        <v>45966</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45966</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12914-2025</t>
        </is>
      </c>
      <c r="B126" s="1" t="n">
        <v>45733</v>
      </c>
      <c r="C126" s="1" t="n">
        <v>45966</v>
      </c>
      <c r="D126" t="inlineStr">
        <is>
          <t>GOTLANDS LÄN</t>
        </is>
      </c>
      <c r="E126" t="inlineStr">
        <is>
          <t>GOTLAND</t>
        </is>
      </c>
      <c r="G126" t="n">
        <v>24.8</v>
      </c>
      <c r="H126" t="n">
        <v>2</v>
      </c>
      <c r="I126" t="n">
        <v>1</v>
      </c>
      <c r="J126" t="n">
        <v>0</v>
      </c>
      <c r="K126" t="n">
        <v>0</v>
      </c>
      <c r="L126" t="n">
        <v>0</v>
      </c>
      <c r="M126" t="n">
        <v>0</v>
      </c>
      <c r="N126" t="n">
        <v>0</v>
      </c>
      <c r="O126" t="n">
        <v>0</v>
      </c>
      <c r="P126" t="n">
        <v>0</v>
      </c>
      <c r="Q126" t="n">
        <v>2</v>
      </c>
      <c r="R126" s="2" t="inlineStr">
        <is>
          <t>Purpurknipprot
Brudsporre</t>
        </is>
      </c>
      <c r="S126">
        <f>HYPERLINK("https://klasma.github.io/Logging_0980/artfynd/A 12914-2025 artfynd.xlsx", "A 12914-2025")</f>
        <v/>
      </c>
      <c r="T126">
        <f>HYPERLINK("https://klasma.github.io/Logging_0980/kartor/A 12914-2025 karta.png", "A 12914-2025")</f>
        <v/>
      </c>
      <c r="V126">
        <f>HYPERLINK("https://klasma.github.io/Logging_0980/klagomål/A 12914-2025 FSC-klagomål.docx", "A 12914-2025")</f>
        <v/>
      </c>
      <c r="W126">
        <f>HYPERLINK("https://klasma.github.io/Logging_0980/klagomålsmail/A 12914-2025 FSC-klagomål mail.docx", "A 12914-2025")</f>
        <v/>
      </c>
      <c r="X126">
        <f>HYPERLINK("https://klasma.github.io/Logging_0980/tillsyn/A 12914-2025 tillsynsbegäran.docx", "A 12914-2025")</f>
        <v/>
      </c>
      <c r="Y126">
        <f>HYPERLINK("https://klasma.github.io/Logging_0980/tillsynsmail/A 12914-2025 tillsynsbegäran mail.docx", "A 12914-2025")</f>
        <v/>
      </c>
    </row>
    <row r="127" ht="15" customHeight="1">
      <c r="A127" t="inlineStr">
        <is>
          <t>A 43219-2023</t>
        </is>
      </c>
      <c r="B127" s="1" t="n">
        <v>45183</v>
      </c>
      <c r="C127" s="1" t="n">
        <v>45966</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28261-2024</t>
        </is>
      </c>
      <c r="B128" s="1" t="n">
        <v>45477</v>
      </c>
      <c r="C128" s="1" t="n">
        <v>45966</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28276-2024</t>
        </is>
      </c>
      <c r="B129" s="1" t="n">
        <v>45477</v>
      </c>
      <c r="C129" s="1" t="n">
        <v>45966</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28276-2024 artfynd.xlsx", "A 28276-2024")</f>
        <v/>
      </c>
      <c r="T129">
        <f>HYPERLINK("https://klasma.github.io/Logging_0980/kartor/A 28276-2024 karta.png", "A 28276-2024")</f>
        <v/>
      </c>
      <c r="V129">
        <f>HYPERLINK("https://klasma.github.io/Logging_0980/klagomål/A 28276-2024 FSC-klagomål.docx", "A 28276-2024")</f>
        <v/>
      </c>
      <c r="W129">
        <f>HYPERLINK("https://klasma.github.io/Logging_0980/klagomålsmail/A 28276-2024 FSC-klagomål mail.docx", "A 28276-2024")</f>
        <v/>
      </c>
      <c r="X129">
        <f>HYPERLINK("https://klasma.github.io/Logging_0980/tillsyn/A 28276-2024 tillsynsbegäran.docx", "A 28276-2024")</f>
        <v/>
      </c>
      <c r="Y129">
        <f>HYPERLINK("https://klasma.github.io/Logging_0980/tillsynsmail/A 28276-2024 tillsynsbegäran mail.docx", "A 28276-2024")</f>
        <v/>
      </c>
    </row>
    <row r="130" ht="15" customHeight="1">
      <c r="A130" t="inlineStr">
        <is>
          <t>A 54357-2024</t>
        </is>
      </c>
      <c r="B130" s="1" t="n">
        <v>45617.40662037037</v>
      </c>
      <c r="C130" s="1" t="n">
        <v>45966</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20838-2024</t>
        </is>
      </c>
      <c r="B131" s="1" t="n">
        <v>45439</v>
      </c>
      <c r="C131" s="1" t="n">
        <v>45966</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21879-2025</t>
        </is>
      </c>
      <c r="B132" s="1" t="n">
        <v>45784.40533564815</v>
      </c>
      <c r="C132" s="1" t="n">
        <v>45966</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52245-2025</t>
        </is>
      </c>
      <c r="B133" s="1" t="n">
        <v>45953.47115740741</v>
      </c>
      <c r="C133" s="1" t="n">
        <v>45966</v>
      </c>
      <c r="D133" t="inlineStr">
        <is>
          <t>GOTLANDS LÄN</t>
        </is>
      </c>
      <c r="E133" t="inlineStr">
        <is>
          <t>GOTLAND</t>
        </is>
      </c>
      <c r="F133" t="inlineStr">
        <is>
          <t>Övriga Aktiebolag</t>
        </is>
      </c>
      <c r="G133" t="n">
        <v>10.1</v>
      </c>
      <c r="H133" t="n">
        <v>0</v>
      </c>
      <c r="I133" t="n">
        <v>1</v>
      </c>
      <c r="J133" t="n">
        <v>0</v>
      </c>
      <c r="K133" t="n">
        <v>1</v>
      </c>
      <c r="L133" t="n">
        <v>0</v>
      </c>
      <c r="M133" t="n">
        <v>0</v>
      </c>
      <c r="N133" t="n">
        <v>0</v>
      </c>
      <c r="O133" t="n">
        <v>1</v>
      </c>
      <c r="P133" t="n">
        <v>1</v>
      </c>
      <c r="Q133" t="n">
        <v>2</v>
      </c>
      <c r="R133" s="2" t="inlineStr">
        <is>
          <t>Källnate
Underviol</t>
        </is>
      </c>
      <c r="S133">
        <f>HYPERLINK("https://klasma.github.io/Logging_0980/artfynd/A 52245-2025 artfynd.xlsx", "A 52245-2025")</f>
        <v/>
      </c>
      <c r="T133">
        <f>HYPERLINK("https://klasma.github.io/Logging_0980/kartor/A 52245-2025 karta.png", "A 52245-2025")</f>
        <v/>
      </c>
      <c r="V133">
        <f>HYPERLINK("https://klasma.github.io/Logging_0980/klagomål/A 52245-2025 FSC-klagomål.docx", "A 52245-2025")</f>
        <v/>
      </c>
      <c r="W133">
        <f>HYPERLINK("https://klasma.github.io/Logging_0980/klagomålsmail/A 52245-2025 FSC-klagomål mail.docx", "A 52245-2025")</f>
        <v/>
      </c>
      <c r="X133">
        <f>HYPERLINK("https://klasma.github.io/Logging_0980/tillsyn/A 52245-2025 tillsynsbegäran.docx", "A 52245-2025")</f>
        <v/>
      </c>
      <c r="Y133">
        <f>HYPERLINK("https://klasma.github.io/Logging_0980/tillsynsmail/A 52245-2025 tillsynsbegäran mail.docx", "A 52245-2025")</f>
        <v/>
      </c>
    </row>
    <row r="134" ht="15" customHeight="1">
      <c r="A134" t="inlineStr">
        <is>
          <t>A 55649-2024</t>
        </is>
      </c>
      <c r="B134" s="1" t="n">
        <v>45622.63053240741</v>
      </c>
      <c r="C134" s="1" t="n">
        <v>45966</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26077-2024</t>
        </is>
      </c>
      <c r="B135" s="1" t="n">
        <v>45467</v>
      </c>
      <c r="C135" s="1" t="n">
        <v>45966</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58701-2020</t>
        </is>
      </c>
      <c r="B136" s="1" t="n">
        <v>44146</v>
      </c>
      <c r="C136" s="1" t="n">
        <v>45966</v>
      </c>
      <c r="D136" t="inlineStr">
        <is>
          <t>GOTLANDS LÄN</t>
        </is>
      </c>
      <c r="E136" t="inlineStr">
        <is>
          <t>GOTLAND</t>
        </is>
      </c>
      <c r="G136" t="n">
        <v>5.5</v>
      </c>
      <c r="H136" t="n">
        <v>0</v>
      </c>
      <c r="I136" t="n">
        <v>0</v>
      </c>
      <c r="J136" t="n">
        <v>1</v>
      </c>
      <c r="K136" t="n">
        <v>1</v>
      </c>
      <c r="L136" t="n">
        <v>0</v>
      </c>
      <c r="M136" t="n">
        <v>0</v>
      </c>
      <c r="N136" t="n">
        <v>0</v>
      </c>
      <c r="O136" t="n">
        <v>2</v>
      </c>
      <c r="P136" t="n">
        <v>1</v>
      </c>
      <c r="Q136" t="n">
        <v>2</v>
      </c>
      <c r="R136" s="2" t="inlineStr">
        <is>
          <t>Vit taggsvamp
Odörspindling</t>
        </is>
      </c>
      <c r="S136">
        <f>HYPERLINK("https://klasma.github.io/Logging_0980/artfynd/A 58701-2020 artfynd.xlsx", "A 58701-2020")</f>
        <v/>
      </c>
      <c r="T136">
        <f>HYPERLINK("https://klasma.github.io/Logging_0980/kartor/A 58701-2020 karta.png", "A 58701-2020")</f>
        <v/>
      </c>
      <c r="V136">
        <f>HYPERLINK("https://klasma.github.io/Logging_0980/klagomål/A 58701-2020 FSC-klagomål.docx", "A 58701-2020")</f>
        <v/>
      </c>
      <c r="W136">
        <f>HYPERLINK("https://klasma.github.io/Logging_0980/klagomålsmail/A 58701-2020 FSC-klagomål mail.docx", "A 58701-2020")</f>
        <v/>
      </c>
      <c r="X136">
        <f>HYPERLINK("https://klasma.github.io/Logging_0980/tillsyn/A 58701-2020 tillsynsbegäran.docx", "A 58701-2020")</f>
        <v/>
      </c>
      <c r="Y136">
        <f>HYPERLINK("https://klasma.github.io/Logging_0980/tillsynsmail/A 58701-2020 tillsynsbegäran mail.docx", "A 58701-2020")</f>
        <v/>
      </c>
    </row>
    <row r="137" ht="15" customHeight="1">
      <c r="A137" t="inlineStr">
        <is>
          <t>A 7070-2022</t>
        </is>
      </c>
      <c r="B137" s="1" t="n">
        <v>44603</v>
      </c>
      <c r="C137" s="1" t="n">
        <v>45966</v>
      </c>
      <c r="D137" t="inlineStr">
        <is>
          <t>GOTLANDS LÄN</t>
        </is>
      </c>
      <c r="E137" t="inlineStr">
        <is>
          <t>GOTLAND</t>
        </is>
      </c>
      <c r="G137" t="n">
        <v>2.6</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7070-2022 artfynd.xlsx", "A 7070-2022")</f>
        <v/>
      </c>
      <c r="T137">
        <f>HYPERLINK("https://klasma.github.io/Logging_0980/kartor/A 7070-2022 karta.png", "A 7070-2022")</f>
        <v/>
      </c>
      <c r="V137">
        <f>HYPERLINK("https://klasma.github.io/Logging_0980/klagomål/A 7070-2022 FSC-klagomål.docx", "A 7070-2022")</f>
        <v/>
      </c>
      <c r="W137">
        <f>HYPERLINK("https://klasma.github.io/Logging_0980/klagomålsmail/A 7070-2022 FSC-klagomål mail.docx", "A 7070-2022")</f>
        <v/>
      </c>
      <c r="X137">
        <f>HYPERLINK("https://klasma.github.io/Logging_0980/tillsyn/A 7070-2022 tillsynsbegäran.docx", "A 7070-2022")</f>
        <v/>
      </c>
      <c r="Y137">
        <f>HYPERLINK("https://klasma.github.io/Logging_0980/tillsynsmail/A 7070-2022 tillsynsbegäran mail.docx", "A 7070-2022")</f>
        <v/>
      </c>
    </row>
    <row r="138" ht="15" customHeight="1">
      <c r="A138" t="inlineStr">
        <is>
          <t>A 64263-2020</t>
        </is>
      </c>
      <c r="B138" s="1" t="n">
        <v>44168</v>
      </c>
      <c r="C138" s="1" t="n">
        <v>45966</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24-2021</t>
        </is>
      </c>
      <c r="B139" s="1" t="n">
        <v>44197</v>
      </c>
      <c r="C139" s="1" t="n">
        <v>45966</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45966</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45966</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13939-2021</t>
        </is>
      </c>
      <c r="B143" s="1" t="n">
        <v>44277</v>
      </c>
      <c r="C143" s="1" t="n">
        <v>45966</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61561-2023</t>
        </is>
      </c>
      <c r="B144" s="1" t="n">
        <v>45265</v>
      </c>
      <c r="C144" s="1" t="n">
        <v>45966</v>
      </c>
      <c r="D144" t="inlineStr">
        <is>
          <t>GOTLANDS LÄN</t>
        </is>
      </c>
      <c r="E144" t="inlineStr">
        <is>
          <t>GOTLAND</t>
        </is>
      </c>
      <c r="G144" t="n">
        <v>7.4</v>
      </c>
      <c r="H144" t="n">
        <v>0</v>
      </c>
      <c r="I144" t="n">
        <v>0</v>
      </c>
      <c r="J144" t="n">
        <v>1</v>
      </c>
      <c r="K144" t="n">
        <v>0</v>
      </c>
      <c r="L144" t="n">
        <v>0</v>
      </c>
      <c r="M144" t="n">
        <v>0</v>
      </c>
      <c r="N144" t="n">
        <v>0</v>
      </c>
      <c r="O144" t="n">
        <v>1</v>
      </c>
      <c r="P144" t="n">
        <v>0</v>
      </c>
      <c r="Q144" t="n">
        <v>1</v>
      </c>
      <c r="R144" s="2" t="inlineStr">
        <is>
          <t>Loppstarr</t>
        </is>
      </c>
      <c r="S144">
        <f>HYPERLINK("https://klasma.github.io/Logging_0980/artfynd/A 61561-2023 artfynd.xlsx", "A 61561-2023")</f>
        <v/>
      </c>
      <c r="T144">
        <f>HYPERLINK("https://klasma.github.io/Logging_0980/kartor/A 61561-2023 karta.png", "A 61561-2023")</f>
        <v/>
      </c>
      <c r="V144">
        <f>HYPERLINK("https://klasma.github.io/Logging_0980/klagomål/A 61561-2023 FSC-klagomål.docx", "A 61561-2023")</f>
        <v/>
      </c>
      <c r="W144">
        <f>HYPERLINK("https://klasma.github.io/Logging_0980/klagomålsmail/A 61561-2023 FSC-klagomål mail.docx", "A 61561-2023")</f>
        <v/>
      </c>
      <c r="X144">
        <f>HYPERLINK("https://klasma.github.io/Logging_0980/tillsyn/A 61561-2023 tillsynsbegäran.docx", "A 61561-2023")</f>
        <v/>
      </c>
      <c r="Y144">
        <f>HYPERLINK("https://klasma.github.io/Logging_0980/tillsynsmail/A 61561-2023 tillsynsbegäran mail.docx", "A 61561-2023")</f>
        <v/>
      </c>
    </row>
    <row r="145" ht="15" customHeight="1">
      <c r="A145" t="inlineStr">
        <is>
          <t>A 20429-2025</t>
        </is>
      </c>
      <c r="B145" s="1" t="n">
        <v>45775.47728009259</v>
      </c>
      <c r="C145" s="1" t="n">
        <v>45966</v>
      </c>
      <c r="D145" t="inlineStr">
        <is>
          <t>GOTLANDS LÄN</t>
        </is>
      </c>
      <c r="E145" t="inlineStr">
        <is>
          <t>GOTLAND</t>
        </is>
      </c>
      <c r="G145" t="n">
        <v>1.4</v>
      </c>
      <c r="H145" t="n">
        <v>1</v>
      </c>
      <c r="I145" t="n">
        <v>0</v>
      </c>
      <c r="J145" t="n">
        <v>0</v>
      </c>
      <c r="K145" t="n">
        <v>0</v>
      </c>
      <c r="L145" t="n">
        <v>0</v>
      </c>
      <c r="M145" t="n">
        <v>0</v>
      </c>
      <c r="N145" t="n">
        <v>0</v>
      </c>
      <c r="O145" t="n">
        <v>0</v>
      </c>
      <c r="P145" t="n">
        <v>0</v>
      </c>
      <c r="Q145" t="n">
        <v>1</v>
      </c>
      <c r="R145" s="2" t="inlineStr">
        <is>
          <t>Äkta lopplummer</t>
        </is>
      </c>
      <c r="S145">
        <f>HYPERLINK("https://klasma.github.io/Logging_0980/artfynd/A 20429-2025 artfynd.xlsx", "A 20429-2025")</f>
        <v/>
      </c>
      <c r="T145">
        <f>HYPERLINK("https://klasma.github.io/Logging_0980/kartor/A 20429-2025 karta.png", "A 20429-2025")</f>
        <v/>
      </c>
      <c r="V145">
        <f>HYPERLINK("https://klasma.github.io/Logging_0980/klagomål/A 20429-2025 FSC-klagomål.docx", "A 20429-2025")</f>
        <v/>
      </c>
      <c r="W145">
        <f>HYPERLINK("https://klasma.github.io/Logging_0980/klagomålsmail/A 20429-2025 FSC-klagomål mail.docx", "A 20429-2025")</f>
        <v/>
      </c>
      <c r="X145">
        <f>HYPERLINK("https://klasma.github.io/Logging_0980/tillsyn/A 20429-2025 tillsynsbegäran.docx", "A 20429-2025")</f>
        <v/>
      </c>
      <c r="Y145">
        <f>HYPERLINK("https://klasma.github.io/Logging_0980/tillsynsmail/A 20429-2025 tillsynsbegäran mail.docx", "A 20429-2025")</f>
        <v/>
      </c>
    </row>
    <row r="146" ht="15" customHeight="1">
      <c r="A146" t="inlineStr">
        <is>
          <t>A 63299-2020</t>
        </is>
      </c>
      <c r="B146" s="1" t="n">
        <v>44165</v>
      </c>
      <c r="C146" s="1" t="n">
        <v>45966</v>
      </c>
      <c r="D146" t="inlineStr">
        <is>
          <t>GOTLANDS LÄN</t>
        </is>
      </c>
      <c r="E146" t="inlineStr">
        <is>
          <t>GOTLAND</t>
        </is>
      </c>
      <c r="G146" t="n">
        <v>12.9</v>
      </c>
      <c r="H146" t="n">
        <v>1</v>
      </c>
      <c r="I146" t="n">
        <v>0</v>
      </c>
      <c r="J146" t="n">
        <v>1</v>
      </c>
      <c r="K146" t="n">
        <v>0</v>
      </c>
      <c r="L146" t="n">
        <v>0</v>
      </c>
      <c r="M146" t="n">
        <v>0</v>
      </c>
      <c r="N146" t="n">
        <v>0</v>
      </c>
      <c r="O146" t="n">
        <v>1</v>
      </c>
      <c r="P146" t="n">
        <v>0</v>
      </c>
      <c r="Q146" t="n">
        <v>1</v>
      </c>
      <c r="R146" s="2" t="inlineStr">
        <is>
          <t>Svartfläckig blåvinge</t>
        </is>
      </c>
      <c r="S146">
        <f>HYPERLINK("https://klasma.github.io/Logging_0980/artfynd/A 63299-2020 artfynd.xlsx", "A 63299-2020")</f>
        <v/>
      </c>
      <c r="T146">
        <f>HYPERLINK("https://klasma.github.io/Logging_0980/kartor/A 63299-2020 karta.png", "A 63299-2020")</f>
        <v/>
      </c>
      <c r="V146">
        <f>HYPERLINK("https://klasma.github.io/Logging_0980/klagomål/A 63299-2020 FSC-klagomål.docx", "A 63299-2020")</f>
        <v/>
      </c>
      <c r="W146">
        <f>HYPERLINK("https://klasma.github.io/Logging_0980/klagomålsmail/A 63299-2020 FSC-klagomål mail.docx", "A 63299-2020")</f>
        <v/>
      </c>
      <c r="X146">
        <f>HYPERLINK("https://klasma.github.io/Logging_0980/tillsyn/A 63299-2020 tillsynsbegäran.docx", "A 63299-2020")</f>
        <v/>
      </c>
      <c r="Y146">
        <f>HYPERLINK("https://klasma.github.io/Logging_0980/tillsynsmail/A 63299-2020 tillsynsbegäran mail.docx", "A 63299-2020")</f>
        <v/>
      </c>
    </row>
    <row r="147" ht="15" customHeight="1">
      <c r="A147" t="inlineStr">
        <is>
          <t>A 12324-2025</t>
        </is>
      </c>
      <c r="B147" s="1" t="n">
        <v>45730</v>
      </c>
      <c r="C147" s="1" t="n">
        <v>45966</v>
      </c>
      <c r="D147" t="inlineStr">
        <is>
          <t>GOTLANDS LÄN</t>
        </is>
      </c>
      <c r="E147" t="inlineStr">
        <is>
          <t>GOTLAND</t>
        </is>
      </c>
      <c r="G147" t="n">
        <v>5</v>
      </c>
      <c r="H147" t="n">
        <v>0</v>
      </c>
      <c r="I147" t="n">
        <v>0</v>
      </c>
      <c r="J147" t="n">
        <v>0</v>
      </c>
      <c r="K147" t="n">
        <v>1</v>
      </c>
      <c r="L147" t="n">
        <v>0</v>
      </c>
      <c r="M147" t="n">
        <v>0</v>
      </c>
      <c r="N147" t="n">
        <v>0</v>
      </c>
      <c r="O147" t="n">
        <v>1</v>
      </c>
      <c r="P147" t="n">
        <v>1</v>
      </c>
      <c r="Q147" t="n">
        <v>1</v>
      </c>
      <c r="R147" s="2" t="inlineStr">
        <is>
          <t>Sommarklynne</t>
        </is>
      </c>
      <c r="S147">
        <f>HYPERLINK("https://klasma.github.io/Logging_0980/artfynd/A 12324-2025 artfynd.xlsx", "A 12324-2025")</f>
        <v/>
      </c>
      <c r="T147">
        <f>HYPERLINK("https://klasma.github.io/Logging_0980/kartor/A 12324-2025 karta.png", "A 12324-2025")</f>
        <v/>
      </c>
      <c r="V147">
        <f>HYPERLINK("https://klasma.github.io/Logging_0980/klagomål/A 12324-2025 FSC-klagomål.docx", "A 12324-2025")</f>
        <v/>
      </c>
      <c r="W147">
        <f>HYPERLINK("https://klasma.github.io/Logging_0980/klagomålsmail/A 12324-2025 FSC-klagomål mail.docx", "A 12324-2025")</f>
        <v/>
      </c>
      <c r="X147">
        <f>HYPERLINK("https://klasma.github.io/Logging_0980/tillsyn/A 12324-2025 tillsynsbegäran.docx", "A 12324-2025")</f>
        <v/>
      </c>
      <c r="Y147">
        <f>HYPERLINK("https://klasma.github.io/Logging_0980/tillsynsmail/A 12324-2025 tillsynsbegäran mail.docx", "A 12324-2025")</f>
        <v/>
      </c>
    </row>
    <row r="148" ht="15" customHeight="1">
      <c r="A148" t="inlineStr">
        <is>
          <t>A 49847-2023</t>
        </is>
      </c>
      <c r="B148" s="1" t="n">
        <v>45212</v>
      </c>
      <c r="C148" s="1" t="n">
        <v>45966</v>
      </c>
      <c r="D148" t="inlineStr">
        <is>
          <t>GOTLANDS LÄN</t>
        </is>
      </c>
      <c r="E148" t="inlineStr">
        <is>
          <t>GOTLAND</t>
        </is>
      </c>
      <c r="G148" t="n">
        <v>35.2</v>
      </c>
      <c r="H148" t="n">
        <v>0</v>
      </c>
      <c r="I148" t="n">
        <v>0</v>
      </c>
      <c r="J148" t="n">
        <v>0</v>
      </c>
      <c r="K148" t="n">
        <v>1</v>
      </c>
      <c r="L148" t="n">
        <v>0</v>
      </c>
      <c r="M148" t="n">
        <v>0</v>
      </c>
      <c r="N148" t="n">
        <v>0</v>
      </c>
      <c r="O148" t="n">
        <v>1</v>
      </c>
      <c r="P148" t="n">
        <v>1</v>
      </c>
      <c r="Q148" t="n">
        <v>1</v>
      </c>
      <c r="R148" s="2" t="inlineStr">
        <is>
          <t>Strandviol</t>
        </is>
      </c>
      <c r="S148">
        <f>HYPERLINK("https://klasma.github.io/Logging_0980/artfynd/A 49847-2023 artfynd.xlsx", "A 49847-2023")</f>
        <v/>
      </c>
      <c r="T148">
        <f>HYPERLINK("https://klasma.github.io/Logging_0980/kartor/A 49847-2023 karta.png", "A 49847-2023")</f>
        <v/>
      </c>
      <c r="V148">
        <f>HYPERLINK("https://klasma.github.io/Logging_0980/klagomål/A 49847-2023 FSC-klagomål.docx", "A 49847-2023")</f>
        <v/>
      </c>
      <c r="W148">
        <f>HYPERLINK("https://klasma.github.io/Logging_0980/klagomålsmail/A 49847-2023 FSC-klagomål mail.docx", "A 49847-2023")</f>
        <v/>
      </c>
      <c r="X148">
        <f>HYPERLINK("https://klasma.github.io/Logging_0980/tillsyn/A 49847-2023 tillsynsbegäran.docx", "A 49847-2023")</f>
        <v/>
      </c>
      <c r="Y148">
        <f>HYPERLINK("https://klasma.github.io/Logging_0980/tillsynsmail/A 49847-2023 tillsynsbegäran mail.docx", "A 49847-2023")</f>
        <v/>
      </c>
    </row>
    <row r="149" ht="15" customHeight="1">
      <c r="A149" t="inlineStr">
        <is>
          <t>A 39812-2025</t>
        </is>
      </c>
      <c r="B149" s="1" t="n">
        <v>45891</v>
      </c>
      <c r="C149" s="1" t="n">
        <v>45966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49726-2025</t>
        </is>
      </c>
      <c r="B150" s="1" t="n">
        <v>45939.84466435185</v>
      </c>
      <c r="C150" s="1" t="n">
        <v>45966</v>
      </c>
      <c r="D150" t="inlineStr">
        <is>
          <t>GOTLANDS LÄN</t>
        </is>
      </c>
      <c r="E150" t="inlineStr">
        <is>
          <t>GOTLAND</t>
        </is>
      </c>
      <c r="F150" t="inlineStr">
        <is>
          <t>Kyrkan</t>
        </is>
      </c>
      <c r="G150" t="n">
        <v>5.4</v>
      </c>
      <c r="H150" t="n">
        <v>0</v>
      </c>
      <c r="I150" t="n">
        <v>0</v>
      </c>
      <c r="J150" t="n">
        <v>1</v>
      </c>
      <c r="K150" t="n">
        <v>0</v>
      </c>
      <c r="L150" t="n">
        <v>0</v>
      </c>
      <c r="M150" t="n">
        <v>0</v>
      </c>
      <c r="N150" t="n">
        <v>0</v>
      </c>
      <c r="O150" t="n">
        <v>1</v>
      </c>
      <c r="P150" t="n">
        <v>0</v>
      </c>
      <c r="Q150" t="n">
        <v>1</v>
      </c>
      <c r="R150" s="2" t="inlineStr">
        <is>
          <t>Odörspindling</t>
        </is>
      </c>
      <c r="S150">
        <f>HYPERLINK("https://klasma.github.io/Logging_0980/artfynd/A 49726-2025 artfynd.xlsx", "A 49726-2025")</f>
        <v/>
      </c>
      <c r="T150">
        <f>HYPERLINK("https://klasma.github.io/Logging_0980/kartor/A 49726-2025 karta.png", "A 49726-2025")</f>
        <v/>
      </c>
      <c r="V150">
        <f>HYPERLINK("https://klasma.github.io/Logging_0980/klagomål/A 49726-2025 FSC-klagomål.docx", "A 49726-2025")</f>
        <v/>
      </c>
      <c r="W150">
        <f>HYPERLINK("https://klasma.github.io/Logging_0980/klagomålsmail/A 49726-2025 FSC-klagomål mail.docx", "A 49726-2025")</f>
        <v/>
      </c>
      <c r="X150">
        <f>HYPERLINK("https://klasma.github.io/Logging_0980/tillsyn/A 49726-2025 tillsynsbegäran.docx", "A 49726-2025")</f>
        <v/>
      </c>
      <c r="Y150">
        <f>HYPERLINK("https://klasma.github.io/Logging_0980/tillsynsmail/A 49726-2025 tillsynsbegäran mail.docx", "A 49726-2025")</f>
        <v/>
      </c>
    </row>
    <row r="151" ht="15" customHeight="1">
      <c r="A151" t="inlineStr">
        <is>
          <t>A 2476-2025</t>
        </is>
      </c>
      <c r="B151" s="1" t="n">
        <v>45673</v>
      </c>
      <c r="C151" s="1" t="n">
        <v>45966</v>
      </c>
      <c r="D151" t="inlineStr">
        <is>
          <t>GOTLANDS LÄN</t>
        </is>
      </c>
      <c r="E151" t="inlineStr">
        <is>
          <t>GOTLAND</t>
        </is>
      </c>
      <c r="G151" t="n">
        <v>3.1</v>
      </c>
      <c r="H151" t="n">
        <v>0</v>
      </c>
      <c r="I151" t="n">
        <v>1</v>
      </c>
      <c r="J151" t="n">
        <v>0</v>
      </c>
      <c r="K151" t="n">
        <v>0</v>
      </c>
      <c r="L151" t="n">
        <v>0</v>
      </c>
      <c r="M151" t="n">
        <v>0</v>
      </c>
      <c r="N151" t="n">
        <v>0</v>
      </c>
      <c r="O151" t="n">
        <v>0</v>
      </c>
      <c r="P151" t="n">
        <v>0</v>
      </c>
      <c r="Q151" t="n">
        <v>1</v>
      </c>
      <c r="R151" s="2" t="inlineStr">
        <is>
          <t>Kryddspindling</t>
        </is>
      </c>
      <c r="S151">
        <f>HYPERLINK("https://klasma.github.io/Logging_0980/artfynd/A 2476-2025 artfynd.xlsx", "A 2476-2025")</f>
        <v/>
      </c>
      <c r="T151">
        <f>HYPERLINK("https://klasma.github.io/Logging_0980/kartor/A 2476-2025 karta.png", "A 2476-2025")</f>
        <v/>
      </c>
      <c r="V151">
        <f>HYPERLINK("https://klasma.github.io/Logging_0980/klagomål/A 2476-2025 FSC-klagomål.docx", "A 2476-2025")</f>
        <v/>
      </c>
      <c r="W151">
        <f>HYPERLINK("https://klasma.github.io/Logging_0980/klagomålsmail/A 2476-2025 FSC-klagomål mail.docx", "A 2476-2025")</f>
        <v/>
      </c>
      <c r="X151">
        <f>HYPERLINK("https://klasma.github.io/Logging_0980/tillsyn/A 2476-2025 tillsynsbegäran.docx", "A 2476-2025")</f>
        <v/>
      </c>
      <c r="Y151">
        <f>HYPERLINK("https://klasma.github.io/Logging_0980/tillsynsmail/A 2476-2025 tillsynsbegäran mail.docx", "A 2476-2025")</f>
        <v/>
      </c>
    </row>
    <row r="152" ht="15" customHeight="1">
      <c r="A152" t="inlineStr">
        <is>
          <t>A 447-2023</t>
        </is>
      </c>
      <c r="B152" s="1" t="n">
        <v>44929</v>
      </c>
      <c r="C152" s="1" t="n">
        <v>45966</v>
      </c>
      <c r="D152" t="inlineStr">
        <is>
          <t>GOTLANDS LÄN</t>
        </is>
      </c>
      <c r="E152" t="inlineStr">
        <is>
          <t>GOTLAND</t>
        </is>
      </c>
      <c r="G152" t="n">
        <v>5.1</v>
      </c>
      <c r="H152" t="n">
        <v>0</v>
      </c>
      <c r="I152" t="n">
        <v>0</v>
      </c>
      <c r="J152" t="n">
        <v>1</v>
      </c>
      <c r="K152" t="n">
        <v>0</v>
      </c>
      <c r="L152" t="n">
        <v>0</v>
      </c>
      <c r="M152" t="n">
        <v>0</v>
      </c>
      <c r="N152" t="n">
        <v>0</v>
      </c>
      <c r="O152" t="n">
        <v>1</v>
      </c>
      <c r="P152" t="n">
        <v>0</v>
      </c>
      <c r="Q152" t="n">
        <v>1</v>
      </c>
      <c r="R152" s="2" t="inlineStr">
        <is>
          <t>Äggspindling</t>
        </is>
      </c>
      <c r="S152">
        <f>HYPERLINK("https://klasma.github.io/Logging_0980/artfynd/A 447-2023 artfynd.xlsx", "A 447-2023")</f>
        <v/>
      </c>
      <c r="T152">
        <f>HYPERLINK("https://klasma.github.io/Logging_0980/kartor/A 447-2023 karta.png", "A 447-2023")</f>
        <v/>
      </c>
      <c r="V152">
        <f>HYPERLINK("https://klasma.github.io/Logging_0980/klagomål/A 447-2023 FSC-klagomål.docx", "A 447-2023")</f>
        <v/>
      </c>
      <c r="W152">
        <f>HYPERLINK("https://klasma.github.io/Logging_0980/klagomålsmail/A 447-2023 FSC-klagomål mail.docx", "A 447-2023")</f>
        <v/>
      </c>
      <c r="X152">
        <f>HYPERLINK("https://klasma.github.io/Logging_0980/tillsyn/A 447-2023 tillsynsbegäran.docx", "A 447-2023")</f>
        <v/>
      </c>
      <c r="Y152">
        <f>HYPERLINK("https://klasma.github.io/Logging_0980/tillsynsmail/A 447-2023 tillsynsbegäran mail.docx", "A 447-2023")</f>
        <v/>
      </c>
    </row>
    <row r="153" ht="15" customHeight="1">
      <c r="A153" t="inlineStr">
        <is>
          <t>A 10995-2023</t>
        </is>
      </c>
      <c r="B153" s="1" t="n">
        <v>44986</v>
      </c>
      <c r="C153" s="1" t="n">
        <v>45966</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63576-2021</t>
        </is>
      </c>
      <c r="B154" s="1" t="n">
        <v>44508</v>
      </c>
      <c r="C154" s="1" t="n">
        <v>45966</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21466-2025</t>
        </is>
      </c>
      <c r="B155" s="1" t="n">
        <v>45782</v>
      </c>
      <c r="C155" s="1" t="n">
        <v>45966</v>
      </c>
      <c r="D155" t="inlineStr">
        <is>
          <t>GOTLANDS LÄN</t>
        </is>
      </c>
      <c r="E155" t="inlineStr">
        <is>
          <t>GOTLAND</t>
        </is>
      </c>
      <c r="F155" t="inlineStr">
        <is>
          <t>Övriga statliga verk och myndigheter</t>
        </is>
      </c>
      <c r="G155" t="n">
        <v>1.7</v>
      </c>
      <c r="H155" t="n">
        <v>1</v>
      </c>
      <c r="I155" t="n">
        <v>0</v>
      </c>
      <c r="J155" t="n">
        <v>0</v>
      </c>
      <c r="K155" t="n">
        <v>0</v>
      </c>
      <c r="L155" t="n">
        <v>0</v>
      </c>
      <c r="M155" t="n">
        <v>0</v>
      </c>
      <c r="N155" t="n">
        <v>0</v>
      </c>
      <c r="O155" t="n">
        <v>0</v>
      </c>
      <c r="P155" t="n">
        <v>0</v>
      </c>
      <c r="Q155" t="n">
        <v>1</v>
      </c>
      <c r="R155" s="2" t="inlineStr">
        <is>
          <t>Blåsippa</t>
        </is>
      </c>
      <c r="S155">
        <f>HYPERLINK("https://klasma.github.io/Logging_0980/artfynd/A 21466-2025 artfynd.xlsx", "A 21466-2025")</f>
        <v/>
      </c>
      <c r="T155">
        <f>HYPERLINK("https://klasma.github.io/Logging_0980/kartor/A 21466-2025 karta.png", "A 21466-2025")</f>
        <v/>
      </c>
      <c r="V155">
        <f>HYPERLINK("https://klasma.github.io/Logging_0980/klagomål/A 21466-2025 FSC-klagomål.docx", "A 21466-2025")</f>
        <v/>
      </c>
      <c r="W155">
        <f>HYPERLINK("https://klasma.github.io/Logging_0980/klagomålsmail/A 21466-2025 FSC-klagomål mail.docx", "A 21466-2025")</f>
        <v/>
      </c>
      <c r="X155">
        <f>HYPERLINK("https://klasma.github.io/Logging_0980/tillsyn/A 21466-2025 tillsynsbegäran.docx", "A 21466-2025")</f>
        <v/>
      </c>
      <c r="Y155">
        <f>HYPERLINK("https://klasma.github.io/Logging_0980/tillsynsmail/A 21466-2025 tillsynsbegäran mail.docx", "A 21466-2025")</f>
        <v/>
      </c>
    </row>
    <row r="156" ht="15" customHeight="1">
      <c r="A156" t="inlineStr">
        <is>
          <t>A 34809-2024</t>
        </is>
      </c>
      <c r="B156" s="1" t="n">
        <v>45526</v>
      </c>
      <c r="C156" s="1" t="n">
        <v>45966</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35467-2021</t>
        </is>
      </c>
      <c r="B157" s="1" t="n">
        <v>44385</v>
      </c>
      <c r="C157" s="1" t="n">
        <v>45966</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45966</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49304-2024</t>
        </is>
      </c>
      <c r="B159" s="1" t="n">
        <v>45595.54996527778</v>
      </c>
      <c r="C159" s="1" t="n">
        <v>45966</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10440-2024</t>
        </is>
      </c>
      <c r="B160" s="1" t="n">
        <v>45366.32818287037</v>
      </c>
      <c r="C160" s="1" t="n">
        <v>45966</v>
      </c>
      <c r="D160" t="inlineStr">
        <is>
          <t>GOTLANDS LÄN</t>
        </is>
      </c>
      <c r="E160" t="inlineStr">
        <is>
          <t>GOTLAND</t>
        </is>
      </c>
      <c r="G160" t="n">
        <v>2.5</v>
      </c>
      <c r="H160" t="n">
        <v>1</v>
      </c>
      <c r="I160" t="n">
        <v>0</v>
      </c>
      <c r="J160" t="n">
        <v>1</v>
      </c>
      <c r="K160" t="n">
        <v>0</v>
      </c>
      <c r="L160" t="n">
        <v>0</v>
      </c>
      <c r="M160" t="n">
        <v>0</v>
      </c>
      <c r="N160" t="n">
        <v>0</v>
      </c>
      <c r="O160" t="n">
        <v>1</v>
      </c>
      <c r="P160" t="n">
        <v>0</v>
      </c>
      <c r="Q160" t="n">
        <v>1</v>
      </c>
      <c r="R160" s="2" t="inlineStr">
        <is>
          <t>Mindre hackspett</t>
        </is>
      </c>
      <c r="S160">
        <f>HYPERLINK("https://klasma.github.io/Logging_0980/artfynd/A 10440-2024 artfynd.xlsx", "A 10440-2024")</f>
        <v/>
      </c>
      <c r="T160">
        <f>HYPERLINK("https://klasma.github.io/Logging_0980/kartor/A 10440-2024 karta.png", "A 10440-2024")</f>
        <v/>
      </c>
      <c r="V160">
        <f>HYPERLINK("https://klasma.github.io/Logging_0980/klagomål/A 10440-2024 FSC-klagomål.docx", "A 10440-2024")</f>
        <v/>
      </c>
      <c r="W160">
        <f>HYPERLINK("https://klasma.github.io/Logging_0980/klagomålsmail/A 10440-2024 FSC-klagomål mail.docx", "A 10440-2024")</f>
        <v/>
      </c>
      <c r="X160">
        <f>HYPERLINK("https://klasma.github.io/Logging_0980/tillsyn/A 10440-2024 tillsynsbegäran.docx", "A 10440-2024")</f>
        <v/>
      </c>
      <c r="Y160">
        <f>HYPERLINK("https://klasma.github.io/Logging_0980/tillsynsmail/A 10440-2024 tillsynsbegäran mail.docx", "A 10440-2024")</f>
        <v/>
      </c>
      <c r="Z160">
        <f>HYPERLINK("https://klasma.github.io/Logging_0980/fåglar/A 10440-2024 prioriterade fågelarter.docx", "A 10440-2024")</f>
        <v/>
      </c>
    </row>
    <row r="161" ht="15" customHeight="1">
      <c r="A161" t="inlineStr">
        <is>
          <t>A 22782-2023</t>
        </is>
      </c>
      <c r="B161" s="1" t="n">
        <v>45072</v>
      </c>
      <c r="C161" s="1" t="n">
        <v>45966</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44088-2022</t>
        </is>
      </c>
      <c r="B162" s="1" t="n">
        <v>44839</v>
      </c>
      <c r="C162" s="1" t="n">
        <v>45966</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24245-2022</t>
        </is>
      </c>
      <c r="B163" s="1" t="n">
        <v>44725</v>
      </c>
      <c r="C163" s="1" t="n">
        <v>45966</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22883-2024</t>
        </is>
      </c>
      <c r="B164" s="1" t="n">
        <v>45448.66368055555</v>
      </c>
      <c r="C164" s="1" t="n">
        <v>45966</v>
      </c>
      <c r="D164" t="inlineStr">
        <is>
          <t>GOTLANDS LÄN</t>
        </is>
      </c>
      <c r="E164" t="inlineStr">
        <is>
          <t>GOTLAND</t>
        </is>
      </c>
      <c r="G164" t="n">
        <v>0.5</v>
      </c>
      <c r="H164" t="n">
        <v>0</v>
      </c>
      <c r="I164" t="n">
        <v>0</v>
      </c>
      <c r="J164" t="n">
        <v>0</v>
      </c>
      <c r="K164" t="n">
        <v>1</v>
      </c>
      <c r="L164" t="n">
        <v>0</v>
      </c>
      <c r="M164" t="n">
        <v>0</v>
      </c>
      <c r="N164" t="n">
        <v>0</v>
      </c>
      <c r="O164" t="n">
        <v>1</v>
      </c>
      <c r="P164" t="n">
        <v>1</v>
      </c>
      <c r="Q164" t="n">
        <v>1</v>
      </c>
      <c r="R164" s="2" t="inlineStr">
        <is>
          <t>Gotlandsmåra</t>
        </is>
      </c>
      <c r="S164">
        <f>HYPERLINK("https://klasma.github.io/Logging_0980/artfynd/A 22883-2024 artfynd.xlsx", "A 22883-2024")</f>
        <v/>
      </c>
      <c r="T164">
        <f>HYPERLINK("https://klasma.github.io/Logging_0980/kartor/A 22883-2024 karta.png", "A 22883-2024")</f>
        <v/>
      </c>
      <c r="V164">
        <f>HYPERLINK("https://klasma.github.io/Logging_0980/klagomål/A 22883-2024 FSC-klagomål.docx", "A 22883-2024")</f>
        <v/>
      </c>
      <c r="W164">
        <f>HYPERLINK("https://klasma.github.io/Logging_0980/klagomålsmail/A 22883-2024 FSC-klagomål mail.docx", "A 22883-2024")</f>
        <v/>
      </c>
      <c r="X164">
        <f>HYPERLINK("https://klasma.github.io/Logging_0980/tillsyn/A 22883-2024 tillsynsbegäran.docx", "A 22883-2024")</f>
        <v/>
      </c>
      <c r="Y164">
        <f>HYPERLINK("https://klasma.github.io/Logging_0980/tillsynsmail/A 22883-2024 tillsynsbegäran mail.docx", "A 22883-2024")</f>
        <v/>
      </c>
    </row>
    <row r="165" ht="15" customHeight="1">
      <c r="A165" t="inlineStr">
        <is>
          <t>A 26461-2025</t>
        </is>
      </c>
      <c r="B165" s="1" t="n">
        <v>45807.43337962963</v>
      </c>
      <c r="C165" s="1" t="n">
        <v>45966</v>
      </c>
      <c r="D165" t="inlineStr">
        <is>
          <t>GOTLANDS LÄN</t>
        </is>
      </c>
      <c r="E165" t="inlineStr">
        <is>
          <t>GOTLAND</t>
        </is>
      </c>
      <c r="G165" t="n">
        <v>4.1</v>
      </c>
      <c r="H165" t="n">
        <v>0</v>
      </c>
      <c r="I165" t="n">
        <v>0</v>
      </c>
      <c r="J165" t="n">
        <v>0</v>
      </c>
      <c r="K165" t="n">
        <v>1</v>
      </c>
      <c r="L165" t="n">
        <v>0</v>
      </c>
      <c r="M165" t="n">
        <v>0</v>
      </c>
      <c r="N165" t="n">
        <v>0</v>
      </c>
      <c r="O165" t="n">
        <v>1</v>
      </c>
      <c r="P165" t="n">
        <v>1</v>
      </c>
      <c r="Q165" t="n">
        <v>1</v>
      </c>
      <c r="R165" s="2" t="inlineStr">
        <is>
          <t>Gotlandsmåra</t>
        </is>
      </c>
      <c r="S165">
        <f>HYPERLINK("https://klasma.github.io/Logging_0980/artfynd/A 26461-2025 artfynd.xlsx", "A 26461-2025")</f>
        <v/>
      </c>
      <c r="T165">
        <f>HYPERLINK("https://klasma.github.io/Logging_0980/kartor/A 26461-2025 karta.png", "A 26461-2025")</f>
        <v/>
      </c>
      <c r="V165">
        <f>HYPERLINK("https://klasma.github.io/Logging_0980/klagomål/A 26461-2025 FSC-klagomål.docx", "A 26461-2025")</f>
        <v/>
      </c>
      <c r="W165">
        <f>HYPERLINK("https://klasma.github.io/Logging_0980/klagomålsmail/A 26461-2025 FSC-klagomål mail.docx", "A 26461-2025")</f>
        <v/>
      </c>
      <c r="X165">
        <f>HYPERLINK("https://klasma.github.io/Logging_0980/tillsyn/A 26461-2025 tillsynsbegäran.docx", "A 26461-2025")</f>
        <v/>
      </c>
      <c r="Y165">
        <f>HYPERLINK("https://klasma.github.io/Logging_0980/tillsynsmail/A 26461-2025 tillsynsbegäran mail.docx", "A 26461-2025")</f>
        <v/>
      </c>
    </row>
    <row r="166" ht="15" customHeight="1">
      <c r="A166" t="inlineStr">
        <is>
          <t>A 1477-2024</t>
        </is>
      </c>
      <c r="B166" s="1" t="n">
        <v>45305.37987268518</v>
      </c>
      <c r="C166" s="1" t="n">
        <v>45966</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7637-2025</t>
        </is>
      </c>
      <c r="B167" s="1" t="n">
        <v>45705.77181712963</v>
      </c>
      <c r="C167" s="1" t="n">
        <v>45966</v>
      </c>
      <c r="D167" t="inlineStr">
        <is>
          <t>GOTLANDS LÄN</t>
        </is>
      </c>
      <c r="E167" t="inlineStr">
        <is>
          <t>GOTLAND</t>
        </is>
      </c>
      <c r="G167" t="n">
        <v>3.7</v>
      </c>
      <c r="H167" t="n">
        <v>0</v>
      </c>
      <c r="I167" t="n">
        <v>0</v>
      </c>
      <c r="J167" t="n">
        <v>0</v>
      </c>
      <c r="K167" t="n">
        <v>0</v>
      </c>
      <c r="L167" t="n">
        <v>0</v>
      </c>
      <c r="M167" t="n">
        <v>1</v>
      </c>
      <c r="N167" t="n">
        <v>0</v>
      </c>
      <c r="O167" t="n">
        <v>1</v>
      </c>
      <c r="P167" t="n">
        <v>1</v>
      </c>
      <c r="Q167" t="n">
        <v>1</v>
      </c>
      <c r="R167" s="2" t="inlineStr">
        <is>
          <t>Skogsalm</t>
        </is>
      </c>
      <c r="S167">
        <f>HYPERLINK("https://klasma.github.io/Logging_0980/artfynd/A 7637-2025 artfynd.xlsx", "A 7637-2025")</f>
        <v/>
      </c>
      <c r="T167">
        <f>HYPERLINK("https://klasma.github.io/Logging_0980/kartor/A 7637-2025 karta.png", "A 7637-2025")</f>
        <v/>
      </c>
      <c r="V167">
        <f>HYPERLINK("https://klasma.github.io/Logging_0980/klagomål/A 7637-2025 FSC-klagomål.docx", "A 7637-2025")</f>
        <v/>
      </c>
      <c r="W167">
        <f>HYPERLINK("https://klasma.github.io/Logging_0980/klagomålsmail/A 7637-2025 FSC-klagomål mail.docx", "A 7637-2025")</f>
        <v/>
      </c>
      <c r="X167">
        <f>HYPERLINK("https://klasma.github.io/Logging_0980/tillsyn/A 7637-2025 tillsynsbegäran.docx", "A 7637-2025")</f>
        <v/>
      </c>
      <c r="Y167">
        <f>HYPERLINK("https://klasma.github.io/Logging_0980/tillsynsmail/A 7637-2025 tillsynsbegäran mail.docx", "A 7637-2025")</f>
        <v/>
      </c>
    </row>
    <row r="168" ht="15" customHeight="1">
      <c r="A168" t="inlineStr">
        <is>
          <t>A 9862-2024</t>
        </is>
      </c>
      <c r="B168" s="1" t="n">
        <v>45363</v>
      </c>
      <c r="C168" s="1" t="n">
        <v>45966</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45966</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61796-2022</t>
        </is>
      </c>
      <c r="B170" s="1" t="n">
        <v>44917</v>
      </c>
      <c r="C170" s="1" t="n">
        <v>45966</v>
      </c>
      <c r="D170" t="inlineStr">
        <is>
          <t>GOTLANDS LÄN</t>
        </is>
      </c>
      <c r="E170" t="inlineStr">
        <is>
          <t>GOTLAND</t>
        </is>
      </c>
      <c r="G170" t="n">
        <v>1.5</v>
      </c>
      <c r="H170" t="n">
        <v>1</v>
      </c>
      <c r="I170" t="n">
        <v>0</v>
      </c>
      <c r="J170" t="n">
        <v>0</v>
      </c>
      <c r="K170" t="n">
        <v>0</v>
      </c>
      <c r="L170" t="n">
        <v>0</v>
      </c>
      <c r="M170" t="n">
        <v>0</v>
      </c>
      <c r="N170" t="n">
        <v>0</v>
      </c>
      <c r="O170" t="n">
        <v>0</v>
      </c>
      <c r="P170" t="n">
        <v>0</v>
      </c>
      <c r="Q170" t="n">
        <v>1</v>
      </c>
      <c r="R170" s="2" t="inlineStr">
        <is>
          <t>Skogsduva</t>
        </is>
      </c>
      <c r="S170">
        <f>HYPERLINK("https://klasma.github.io/Logging_0980/artfynd/A 61796-2022 artfynd.xlsx", "A 61796-2022")</f>
        <v/>
      </c>
      <c r="T170">
        <f>HYPERLINK("https://klasma.github.io/Logging_0980/kartor/A 61796-2022 karta.png", "A 61796-2022")</f>
        <v/>
      </c>
      <c r="V170">
        <f>HYPERLINK("https://klasma.github.io/Logging_0980/klagomål/A 61796-2022 FSC-klagomål.docx", "A 61796-2022")</f>
        <v/>
      </c>
      <c r="W170">
        <f>HYPERLINK("https://klasma.github.io/Logging_0980/klagomålsmail/A 61796-2022 FSC-klagomål mail.docx", "A 61796-2022")</f>
        <v/>
      </c>
      <c r="X170">
        <f>HYPERLINK("https://klasma.github.io/Logging_0980/tillsyn/A 61796-2022 tillsynsbegäran.docx", "A 61796-2022")</f>
        <v/>
      </c>
      <c r="Y170">
        <f>HYPERLINK("https://klasma.github.io/Logging_0980/tillsynsmail/A 61796-2022 tillsynsbegäran mail.docx", "A 61796-2022")</f>
        <v/>
      </c>
      <c r="Z170">
        <f>HYPERLINK("https://klasma.github.io/Logging_0980/fåglar/A 61796-2022 prioriterade fågelarter.docx", "A 61796-2022")</f>
        <v/>
      </c>
    </row>
    <row r="171" ht="15" customHeight="1">
      <c r="A171" t="inlineStr">
        <is>
          <t>A 10218-2025</t>
        </is>
      </c>
      <c r="B171" s="1" t="n">
        <v>45720</v>
      </c>
      <c r="C171" s="1" t="n">
        <v>45966</v>
      </c>
      <c r="D171" t="inlineStr">
        <is>
          <t>GOTLANDS LÄN</t>
        </is>
      </c>
      <c r="E171" t="inlineStr">
        <is>
          <t>GOTLAND</t>
        </is>
      </c>
      <c r="G171" t="n">
        <v>8.1</v>
      </c>
      <c r="H171" t="n">
        <v>0</v>
      </c>
      <c r="I171" t="n">
        <v>1</v>
      </c>
      <c r="J171" t="n">
        <v>0</v>
      </c>
      <c r="K171" t="n">
        <v>0</v>
      </c>
      <c r="L171" t="n">
        <v>0</v>
      </c>
      <c r="M171" t="n">
        <v>0</v>
      </c>
      <c r="N171" t="n">
        <v>0</v>
      </c>
      <c r="O171" t="n">
        <v>0</v>
      </c>
      <c r="P171" t="n">
        <v>0</v>
      </c>
      <c r="Q171" t="n">
        <v>1</v>
      </c>
      <c r="R171" s="2" t="inlineStr">
        <is>
          <t>Kalktallört</t>
        </is>
      </c>
      <c r="S171">
        <f>HYPERLINK("https://klasma.github.io/Logging_0980/artfynd/A 10218-2025 artfynd.xlsx", "A 10218-2025")</f>
        <v/>
      </c>
      <c r="T171">
        <f>HYPERLINK("https://klasma.github.io/Logging_0980/kartor/A 10218-2025 karta.png", "A 10218-2025")</f>
        <v/>
      </c>
      <c r="V171">
        <f>HYPERLINK("https://klasma.github.io/Logging_0980/klagomål/A 10218-2025 FSC-klagomål.docx", "A 10218-2025")</f>
        <v/>
      </c>
      <c r="W171">
        <f>HYPERLINK("https://klasma.github.io/Logging_0980/klagomålsmail/A 10218-2025 FSC-klagomål mail.docx", "A 10218-2025")</f>
        <v/>
      </c>
      <c r="X171">
        <f>HYPERLINK("https://klasma.github.io/Logging_0980/tillsyn/A 10218-2025 tillsynsbegäran.docx", "A 10218-2025")</f>
        <v/>
      </c>
      <c r="Y171">
        <f>HYPERLINK("https://klasma.github.io/Logging_0980/tillsynsmail/A 10218-2025 tillsynsbegäran mail.docx", "A 10218-2025")</f>
        <v/>
      </c>
    </row>
    <row r="172" ht="15" customHeight="1">
      <c r="A172" t="inlineStr">
        <is>
          <t>A 12379-2024</t>
        </is>
      </c>
      <c r="B172" s="1" t="n">
        <v>45379.28155092592</v>
      </c>
      <c r="C172" s="1" t="n">
        <v>45966</v>
      </c>
      <c r="D172" t="inlineStr">
        <is>
          <t>GOTLANDS LÄN</t>
        </is>
      </c>
      <c r="E172" t="inlineStr">
        <is>
          <t>GOTLAND</t>
        </is>
      </c>
      <c r="G172" t="n">
        <v>4.4</v>
      </c>
      <c r="H172" t="n">
        <v>0</v>
      </c>
      <c r="I172" t="n">
        <v>0</v>
      </c>
      <c r="J172" t="n">
        <v>1</v>
      </c>
      <c r="K172" t="n">
        <v>0</v>
      </c>
      <c r="L172" t="n">
        <v>0</v>
      </c>
      <c r="M172" t="n">
        <v>0</v>
      </c>
      <c r="N172" t="n">
        <v>0</v>
      </c>
      <c r="O172" t="n">
        <v>1</v>
      </c>
      <c r="P172" t="n">
        <v>0</v>
      </c>
      <c r="Q172" t="n">
        <v>1</v>
      </c>
      <c r="R172" s="2" t="inlineStr">
        <is>
          <t>Svinrot</t>
        </is>
      </c>
      <c r="S172">
        <f>HYPERLINK("https://klasma.github.io/Logging_0980/artfynd/A 12379-2024 artfynd.xlsx", "A 12379-2024")</f>
        <v/>
      </c>
      <c r="T172">
        <f>HYPERLINK("https://klasma.github.io/Logging_0980/kartor/A 12379-2024 karta.png", "A 12379-2024")</f>
        <v/>
      </c>
      <c r="V172">
        <f>HYPERLINK("https://klasma.github.io/Logging_0980/klagomål/A 12379-2024 FSC-klagomål.docx", "A 12379-2024")</f>
        <v/>
      </c>
      <c r="W172">
        <f>HYPERLINK("https://klasma.github.io/Logging_0980/klagomålsmail/A 12379-2024 FSC-klagomål mail.docx", "A 12379-2024")</f>
        <v/>
      </c>
      <c r="X172">
        <f>HYPERLINK("https://klasma.github.io/Logging_0980/tillsyn/A 12379-2024 tillsynsbegäran.docx", "A 12379-2024")</f>
        <v/>
      </c>
      <c r="Y172">
        <f>HYPERLINK("https://klasma.github.io/Logging_0980/tillsynsmail/A 12379-2024 tillsynsbegäran mail.docx", "A 12379-2024")</f>
        <v/>
      </c>
    </row>
    <row r="173" ht="15" customHeight="1">
      <c r="A173" t="inlineStr">
        <is>
          <t>A 12924-2025</t>
        </is>
      </c>
      <c r="B173" s="1" t="n">
        <v>45734</v>
      </c>
      <c r="C173" s="1" t="n">
        <v>45966</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64700-2021</t>
        </is>
      </c>
      <c r="B174" s="1" t="n">
        <v>44511</v>
      </c>
      <c r="C174" s="1" t="n">
        <v>45966</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35574-2024</t>
        </is>
      </c>
      <c r="B175" s="1" t="n">
        <v>45531</v>
      </c>
      <c r="C175" s="1" t="n">
        <v>45966</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37591-2023</t>
        </is>
      </c>
      <c r="B176" s="1" t="n">
        <v>45159</v>
      </c>
      <c r="C176" s="1" t="n">
        <v>45966</v>
      </c>
      <c r="D176" t="inlineStr">
        <is>
          <t>GOTLANDS LÄN</t>
        </is>
      </c>
      <c r="E176" t="inlineStr">
        <is>
          <t>GOTLAND</t>
        </is>
      </c>
      <c r="G176" t="n">
        <v>8.300000000000001</v>
      </c>
      <c r="H176" t="n">
        <v>0</v>
      </c>
      <c r="I176" t="n">
        <v>0</v>
      </c>
      <c r="J176" t="n">
        <v>1</v>
      </c>
      <c r="K176" t="n">
        <v>0</v>
      </c>
      <c r="L176" t="n">
        <v>0</v>
      </c>
      <c r="M176" t="n">
        <v>0</v>
      </c>
      <c r="N176" t="n">
        <v>0</v>
      </c>
      <c r="O176" t="n">
        <v>1</v>
      </c>
      <c r="P176" t="n">
        <v>0</v>
      </c>
      <c r="Q176" t="n">
        <v>1</v>
      </c>
      <c r="R176" s="2" t="inlineStr">
        <is>
          <t>Ängsstarr</t>
        </is>
      </c>
      <c r="S176">
        <f>HYPERLINK("https://klasma.github.io/Logging_0980/artfynd/A 37591-2023 artfynd.xlsx", "A 37591-2023")</f>
        <v/>
      </c>
      <c r="T176">
        <f>HYPERLINK("https://klasma.github.io/Logging_0980/kartor/A 37591-2023 karta.png", "A 37591-2023")</f>
        <v/>
      </c>
      <c r="V176">
        <f>HYPERLINK("https://klasma.github.io/Logging_0980/klagomål/A 37591-2023 FSC-klagomål.docx", "A 37591-2023")</f>
        <v/>
      </c>
      <c r="W176">
        <f>HYPERLINK("https://klasma.github.io/Logging_0980/klagomålsmail/A 37591-2023 FSC-klagomål mail.docx", "A 37591-2023")</f>
        <v/>
      </c>
      <c r="X176">
        <f>HYPERLINK("https://klasma.github.io/Logging_0980/tillsyn/A 37591-2023 tillsynsbegäran.docx", "A 37591-2023")</f>
        <v/>
      </c>
      <c r="Y176">
        <f>HYPERLINK("https://klasma.github.io/Logging_0980/tillsynsmail/A 37591-2023 tillsynsbegäran mail.docx", "A 37591-2023")</f>
        <v/>
      </c>
    </row>
    <row r="177" ht="15" customHeight="1">
      <c r="A177" t="inlineStr">
        <is>
          <t>A 44308-2021</t>
        </is>
      </c>
      <c r="B177" s="1" t="n">
        <v>44434</v>
      </c>
      <c r="C177" s="1" t="n">
        <v>45966</v>
      </c>
      <c r="D177" t="inlineStr">
        <is>
          <t>GOTLANDS LÄN</t>
        </is>
      </c>
      <c r="E177" t="inlineStr">
        <is>
          <t>GOTLAND</t>
        </is>
      </c>
      <c r="G177" t="n">
        <v>5.9</v>
      </c>
      <c r="H177" t="n">
        <v>0</v>
      </c>
      <c r="I177" t="n">
        <v>1</v>
      </c>
      <c r="J177" t="n">
        <v>0</v>
      </c>
      <c r="K177" t="n">
        <v>0</v>
      </c>
      <c r="L177" t="n">
        <v>0</v>
      </c>
      <c r="M177" t="n">
        <v>0</v>
      </c>
      <c r="N177" t="n">
        <v>0</v>
      </c>
      <c r="O177" t="n">
        <v>0</v>
      </c>
      <c r="P177" t="n">
        <v>0</v>
      </c>
      <c r="Q177" t="n">
        <v>1</v>
      </c>
      <c r="R177" s="2" t="inlineStr">
        <is>
          <t>Svavelriska</t>
        </is>
      </c>
      <c r="S177">
        <f>HYPERLINK("https://klasma.github.io/Logging_0980/artfynd/A 44308-2021 artfynd.xlsx", "A 44308-2021")</f>
        <v/>
      </c>
      <c r="T177">
        <f>HYPERLINK("https://klasma.github.io/Logging_0980/kartor/A 44308-2021 karta.png", "A 44308-2021")</f>
        <v/>
      </c>
      <c r="V177">
        <f>HYPERLINK("https://klasma.github.io/Logging_0980/klagomål/A 44308-2021 FSC-klagomål.docx", "A 44308-2021")</f>
        <v/>
      </c>
      <c r="W177">
        <f>HYPERLINK("https://klasma.github.io/Logging_0980/klagomålsmail/A 44308-2021 FSC-klagomål mail.docx", "A 44308-2021")</f>
        <v/>
      </c>
      <c r="X177">
        <f>HYPERLINK("https://klasma.github.io/Logging_0980/tillsyn/A 44308-2021 tillsynsbegäran.docx", "A 44308-2021")</f>
        <v/>
      </c>
      <c r="Y177">
        <f>HYPERLINK("https://klasma.github.io/Logging_0980/tillsynsmail/A 44308-2021 tillsynsbegäran mail.docx", "A 44308-2021")</f>
        <v/>
      </c>
    </row>
    <row r="178" ht="15" customHeight="1">
      <c r="A178" t="inlineStr">
        <is>
          <t>A 15637-2024</t>
        </is>
      </c>
      <c r="B178" s="1" t="n">
        <v>45403.6684837963</v>
      </c>
      <c r="C178" s="1" t="n">
        <v>45966</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46527-2023</t>
        </is>
      </c>
      <c r="B179" s="1" t="n">
        <v>45197</v>
      </c>
      <c r="C179" s="1" t="n">
        <v>45966</v>
      </c>
      <c r="D179" t="inlineStr">
        <is>
          <t>GOTLANDS LÄN</t>
        </is>
      </c>
      <c r="E179" t="inlineStr">
        <is>
          <t>GOTLAND</t>
        </is>
      </c>
      <c r="G179" t="n">
        <v>0.9</v>
      </c>
      <c r="H179" t="n">
        <v>0</v>
      </c>
      <c r="I179" t="n">
        <v>0</v>
      </c>
      <c r="J179" t="n">
        <v>1</v>
      </c>
      <c r="K179" t="n">
        <v>0</v>
      </c>
      <c r="L179" t="n">
        <v>0</v>
      </c>
      <c r="M179" t="n">
        <v>0</v>
      </c>
      <c r="N179" t="n">
        <v>0</v>
      </c>
      <c r="O179" t="n">
        <v>1</v>
      </c>
      <c r="P179" t="n">
        <v>0</v>
      </c>
      <c r="Q179" t="n">
        <v>1</v>
      </c>
      <c r="R179" s="2" t="inlineStr">
        <is>
          <t>Guldgräshoppa</t>
        </is>
      </c>
      <c r="S179">
        <f>HYPERLINK("https://klasma.github.io/Logging_0980/artfynd/A 46527-2023 artfynd.xlsx", "A 46527-2023")</f>
        <v/>
      </c>
      <c r="T179">
        <f>HYPERLINK("https://klasma.github.io/Logging_0980/kartor/A 46527-2023 karta.png", "A 46527-2023")</f>
        <v/>
      </c>
      <c r="V179">
        <f>HYPERLINK("https://klasma.github.io/Logging_0980/klagomål/A 46527-2023 FSC-klagomål.docx", "A 46527-2023")</f>
        <v/>
      </c>
      <c r="W179">
        <f>HYPERLINK("https://klasma.github.io/Logging_0980/klagomålsmail/A 46527-2023 FSC-klagomål mail.docx", "A 46527-2023")</f>
        <v/>
      </c>
      <c r="X179">
        <f>HYPERLINK("https://klasma.github.io/Logging_0980/tillsyn/A 46527-2023 tillsynsbegäran.docx", "A 46527-2023")</f>
        <v/>
      </c>
      <c r="Y179">
        <f>HYPERLINK("https://klasma.github.io/Logging_0980/tillsynsmail/A 46527-2023 tillsynsbegäran mail.docx", "A 46527-2023")</f>
        <v/>
      </c>
    </row>
    <row r="180" ht="15" customHeight="1">
      <c r="A180" t="inlineStr">
        <is>
          <t>A 17723-2021</t>
        </is>
      </c>
      <c r="B180" s="1" t="n">
        <v>44300</v>
      </c>
      <c r="C180" s="1" t="n">
        <v>45966</v>
      </c>
      <c r="D180" t="inlineStr">
        <is>
          <t>GOTLANDS LÄN</t>
        </is>
      </c>
      <c r="E180" t="inlineStr">
        <is>
          <t>GOTLAND</t>
        </is>
      </c>
      <c r="G180" t="n">
        <v>1.5</v>
      </c>
      <c r="H180" t="n">
        <v>1</v>
      </c>
      <c r="I180" t="n">
        <v>1</v>
      </c>
      <c r="J180" t="n">
        <v>0</v>
      </c>
      <c r="K180" t="n">
        <v>0</v>
      </c>
      <c r="L180" t="n">
        <v>0</v>
      </c>
      <c r="M180" t="n">
        <v>0</v>
      </c>
      <c r="N180" t="n">
        <v>0</v>
      </c>
      <c r="O180" t="n">
        <v>0</v>
      </c>
      <c r="P180" t="n">
        <v>0</v>
      </c>
      <c r="Q180" t="n">
        <v>1</v>
      </c>
      <c r="R180" s="2" t="inlineStr">
        <is>
          <t>Vit skogslilja</t>
        </is>
      </c>
      <c r="S180">
        <f>HYPERLINK("https://klasma.github.io/Logging_0980/artfynd/A 17723-2021 artfynd.xlsx", "A 17723-2021")</f>
        <v/>
      </c>
      <c r="T180">
        <f>HYPERLINK("https://klasma.github.io/Logging_0980/kartor/A 17723-2021 karta.png", "A 17723-2021")</f>
        <v/>
      </c>
      <c r="V180">
        <f>HYPERLINK("https://klasma.github.io/Logging_0980/klagomål/A 17723-2021 FSC-klagomål.docx", "A 17723-2021")</f>
        <v/>
      </c>
      <c r="W180">
        <f>HYPERLINK("https://klasma.github.io/Logging_0980/klagomålsmail/A 17723-2021 FSC-klagomål mail.docx", "A 17723-2021")</f>
        <v/>
      </c>
      <c r="X180">
        <f>HYPERLINK("https://klasma.github.io/Logging_0980/tillsyn/A 17723-2021 tillsynsbegäran.docx", "A 17723-2021")</f>
        <v/>
      </c>
      <c r="Y180">
        <f>HYPERLINK("https://klasma.github.io/Logging_0980/tillsynsmail/A 17723-2021 tillsynsbegäran mail.docx", "A 17723-2021")</f>
        <v/>
      </c>
    </row>
    <row r="181" ht="15" customHeight="1">
      <c r="A181" t="inlineStr">
        <is>
          <t>A 6303-2024</t>
        </is>
      </c>
      <c r="B181" s="1" t="n">
        <v>45338.35376157407</v>
      </c>
      <c r="C181" s="1" t="n">
        <v>45966</v>
      </c>
      <c r="D181" t="inlineStr">
        <is>
          <t>GOTLANDS LÄN</t>
        </is>
      </c>
      <c r="E181" t="inlineStr">
        <is>
          <t>GOTLAND</t>
        </is>
      </c>
      <c r="G181" t="n">
        <v>0.6</v>
      </c>
      <c r="H181" t="n">
        <v>0</v>
      </c>
      <c r="I181" t="n">
        <v>1</v>
      </c>
      <c r="J181" t="n">
        <v>0</v>
      </c>
      <c r="K181" t="n">
        <v>0</v>
      </c>
      <c r="L181" t="n">
        <v>0</v>
      </c>
      <c r="M181" t="n">
        <v>0</v>
      </c>
      <c r="N181" t="n">
        <v>0</v>
      </c>
      <c r="O181" t="n">
        <v>0</v>
      </c>
      <c r="P181" t="n">
        <v>0</v>
      </c>
      <c r="Q181" t="n">
        <v>1</v>
      </c>
      <c r="R181" s="2" t="inlineStr">
        <is>
          <t>Strävlosta</t>
        </is>
      </c>
      <c r="S181">
        <f>HYPERLINK("https://klasma.github.io/Logging_0980/artfynd/A 6303-2024 artfynd.xlsx", "A 6303-2024")</f>
        <v/>
      </c>
      <c r="T181">
        <f>HYPERLINK("https://klasma.github.io/Logging_0980/kartor/A 6303-2024 karta.png", "A 6303-2024")</f>
        <v/>
      </c>
      <c r="V181">
        <f>HYPERLINK("https://klasma.github.io/Logging_0980/klagomål/A 6303-2024 FSC-klagomål.docx", "A 6303-2024")</f>
        <v/>
      </c>
      <c r="W181">
        <f>HYPERLINK("https://klasma.github.io/Logging_0980/klagomålsmail/A 6303-2024 FSC-klagomål mail.docx", "A 6303-2024")</f>
        <v/>
      </c>
      <c r="X181">
        <f>HYPERLINK("https://klasma.github.io/Logging_0980/tillsyn/A 6303-2024 tillsynsbegäran.docx", "A 6303-2024")</f>
        <v/>
      </c>
      <c r="Y181">
        <f>HYPERLINK("https://klasma.github.io/Logging_0980/tillsynsmail/A 6303-2024 tillsynsbegäran mail.docx", "A 6303-2024")</f>
        <v/>
      </c>
    </row>
    <row r="182" ht="15" customHeight="1">
      <c r="A182" t="inlineStr">
        <is>
          <t>A 62552-2022</t>
        </is>
      </c>
      <c r="B182" s="1" t="n">
        <v>44924</v>
      </c>
      <c r="C182" s="1" t="n">
        <v>45966</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27168-2022</t>
        </is>
      </c>
      <c r="B183" s="1" t="n">
        <v>44741</v>
      </c>
      <c r="C183" s="1" t="n">
        <v>45966</v>
      </c>
      <c r="D183" t="inlineStr">
        <is>
          <t>GOTLANDS LÄN</t>
        </is>
      </c>
      <c r="E183" t="inlineStr">
        <is>
          <t>GOTLAND</t>
        </is>
      </c>
      <c r="G183" t="n">
        <v>2.2</v>
      </c>
      <c r="H183" t="n">
        <v>1</v>
      </c>
      <c r="I183" t="n">
        <v>1</v>
      </c>
      <c r="J183" t="n">
        <v>0</v>
      </c>
      <c r="K183" t="n">
        <v>0</v>
      </c>
      <c r="L183" t="n">
        <v>0</v>
      </c>
      <c r="M183" t="n">
        <v>0</v>
      </c>
      <c r="N183" t="n">
        <v>0</v>
      </c>
      <c r="O183" t="n">
        <v>0</v>
      </c>
      <c r="P183" t="n">
        <v>0</v>
      </c>
      <c r="Q183" t="n">
        <v>1</v>
      </c>
      <c r="R183" s="2" t="inlineStr">
        <is>
          <t>Purpurknipprot</t>
        </is>
      </c>
      <c r="S183">
        <f>HYPERLINK("https://klasma.github.io/Logging_0980/artfynd/A 27168-2022 artfynd.xlsx", "A 27168-2022")</f>
        <v/>
      </c>
      <c r="T183">
        <f>HYPERLINK("https://klasma.github.io/Logging_0980/kartor/A 27168-2022 karta.png", "A 27168-2022")</f>
        <v/>
      </c>
      <c r="V183">
        <f>HYPERLINK("https://klasma.github.io/Logging_0980/klagomål/A 27168-2022 FSC-klagomål.docx", "A 27168-2022")</f>
        <v/>
      </c>
      <c r="W183">
        <f>HYPERLINK("https://klasma.github.io/Logging_0980/klagomålsmail/A 27168-2022 FSC-klagomål mail.docx", "A 27168-2022")</f>
        <v/>
      </c>
      <c r="X183">
        <f>HYPERLINK("https://klasma.github.io/Logging_0980/tillsyn/A 27168-2022 tillsynsbegäran.docx", "A 27168-2022")</f>
        <v/>
      </c>
      <c r="Y183">
        <f>HYPERLINK("https://klasma.github.io/Logging_0980/tillsynsmail/A 27168-2022 tillsynsbegäran mail.docx", "A 27168-2022")</f>
        <v/>
      </c>
    </row>
    <row r="184" ht="15" customHeight="1">
      <c r="A184" t="inlineStr">
        <is>
          <t>A 25977-2024</t>
        </is>
      </c>
      <c r="B184" s="1" t="n">
        <v>45467.69356481481</v>
      </c>
      <c r="C184" s="1" t="n">
        <v>45966</v>
      </c>
      <c r="D184" t="inlineStr">
        <is>
          <t>GOTLANDS LÄN</t>
        </is>
      </c>
      <c r="E184" t="inlineStr">
        <is>
          <t>GOTLAND</t>
        </is>
      </c>
      <c r="G184" t="n">
        <v>3</v>
      </c>
      <c r="H184" t="n">
        <v>1</v>
      </c>
      <c r="I184" t="n">
        <v>0</v>
      </c>
      <c r="J184" t="n">
        <v>0</v>
      </c>
      <c r="K184" t="n">
        <v>0</v>
      </c>
      <c r="L184" t="n">
        <v>0</v>
      </c>
      <c r="M184" t="n">
        <v>0</v>
      </c>
      <c r="N184" t="n">
        <v>0</v>
      </c>
      <c r="O184" t="n">
        <v>0</v>
      </c>
      <c r="P184" t="n">
        <v>0</v>
      </c>
      <c r="Q184" t="n">
        <v>1</v>
      </c>
      <c r="R184" s="2" t="inlineStr">
        <is>
          <t>Nattviol</t>
        </is>
      </c>
      <c r="S184">
        <f>HYPERLINK("https://klasma.github.io/Logging_0980/artfynd/A 25977-2024 artfynd.xlsx", "A 25977-2024")</f>
        <v/>
      </c>
      <c r="T184">
        <f>HYPERLINK("https://klasma.github.io/Logging_0980/kartor/A 25977-2024 karta.png", "A 25977-2024")</f>
        <v/>
      </c>
      <c r="V184">
        <f>HYPERLINK("https://klasma.github.io/Logging_0980/klagomål/A 25977-2024 FSC-klagomål.docx", "A 25977-2024")</f>
        <v/>
      </c>
      <c r="W184">
        <f>HYPERLINK("https://klasma.github.io/Logging_0980/klagomålsmail/A 25977-2024 FSC-klagomål mail.docx", "A 25977-2024")</f>
        <v/>
      </c>
      <c r="X184">
        <f>HYPERLINK("https://klasma.github.io/Logging_0980/tillsyn/A 25977-2024 tillsynsbegäran.docx", "A 25977-2024")</f>
        <v/>
      </c>
      <c r="Y184">
        <f>HYPERLINK("https://klasma.github.io/Logging_0980/tillsynsmail/A 25977-2024 tillsynsbegäran mail.docx", "A 25977-2024")</f>
        <v/>
      </c>
    </row>
    <row r="185" ht="15" customHeight="1">
      <c r="A185" t="inlineStr">
        <is>
          <t>A 27589-2023</t>
        </is>
      </c>
      <c r="B185" s="1" t="n">
        <v>45097</v>
      </c>
      <c r="C185" s="1" t="n">
        <v>45966</v>
      </c>
      <c r="D185" t="inlineStr">
        <is>
          <t>GOTLANDS LÄN</t>
        </is>
      </c>
      <c r="E185" t="inlineStr">
        <is>
          <t>GOTLAND</t>
        </is>
      </c>
      <c r="G185" t="n">
        <v>5.4</v>
      </c>
      <c r="H185" t="n">
        <v>0</v>
      </c>
      <c r="I185" t="n">
        <v>0</v>
      </c>
      <c r="J185" t="n">
        <v>0</v>
      </c>
      <c r="K185" t="n">
        <v>0</v>
      </c>
      <c r="L185" t="n">
        <v>0</v>
      </c>
      <c r="M185" t="n">
        <v>1</v>
      </c>
      <c r="N185" t="n">
        <v>0</v>
      </c>
      <c r="O185" t="n">
        <v>1</v>
      </c>
      <c r="P185" t="n">
        <v>1</v>
      </c>
      <c r="Q185" t="n">
        <v>1</v>
      </c>
      <c r="R185" s="2" t="inlineStr">
        <is>
          <t>Skogsalm</t>
        </is>
      </c>
      <c r="S185">
        <f>HYPERLINK("https://klasma.github.io/Logging_0980/artfynd/A 27589-2023 artfynd.xlsx", "A 27589-2023")</f>
        <v/>
      </c>
      <c r="T185">
        <f>HYPERLINK("https://klasma.github.io/Logging_0980/kartor/A 27589-2023 karta.png", "A 27589-2023")</f>
        <v/>
      </c>
      <c r="V185">
        <f>HYPERLINK("https://klasma.github.io/Logging_0980/klagomål/A 27589-2023 FSC-klagomål.docx", "A 27589-2023")</f>
        <v/>
      </c>
      <c r="W185">
        <f>HYPERLINK("https://klasma.github.io/Logging_0980/klagomålsmail/A 27589-2023 FSC-klagomål mail.docx", "A 27589-2023")</f>
        <v/>
      </c>
      <c r="X185">
        <f>HYPERLINK("https://klasma.github.io/Logging_0980/tillsyn/A 27589-2023 tillsynsbegäran.docx", "A 27589-2023")</f>
        <v/>
      </c>
      <c r="Y185">
        <f>HYPERLINK("https://klasma.github.io/Logging_0980/tillsynsmail/A 27589-2023 tillsynsbegäran mail.docx", "A 27589-2023")</f>
        <v/>
      </c>
    </row>
    <row r="186" ht="15" customHeight="1">
      <c r="A186" t="inlineStr">
        <is>
          <t>A 65927-2021</t>
        </is>
      </c>
      <c r="B186" s="1" t="n">
        <v>44516</v>
      </c>
      <c r="C186" s="1" t="n">
        <v>45966</v>
      </c>
      <c r="D186" t="inlineStr">
        <is>
          <t>GOTLANDS LÄN</t>
        </is>
      </c>
      <c r="E186" t="inlineStr">
        <is>
          <t>GOTLAND</t>
        </is>
      </c>
      <c r="G186" t="n">
        <v>3.1</v>
      </c>
      <c r="H186" t="n">
        <v>1</v>
      </c>
      <c r="I186" t="n">
        <v>0</v>
      </c>
      <c r="J186" t="n">
        <v>0</v>
      </c>
      <c r="K186" t="n">
        <v>1</v>
      </c>
      <c r="L186" t="n">
        <v>0</v>
      </c>
      <c r="M186" t="n">
        <v>0</v>
      </c>
      <c r="N186" t="n">
        <v>0</v>
      </c>
      <c r="O186" t="n">
        <v>1</v>
      </c>
      <c r="P186" t="n">
        <v>1</v>
      </c>
      <c r="Q186" t="n">
        <v>1</v>
      </c>
      <c r="R186" s="2" t="inlineStr">
        <is>
          <t>Grenigt kungsljus</t>
        </is>
      </c>
      <c r="S186">
        <f>HYPERLINK("https://klasma.github.io/Logging_0980/artfynd/A 65927-2021 artfynd.xlsx", "A 65927-2021")</f>
        <v/>
      </c>
      <c r="T186">
        <f>HYPERLINK("https://klasma.github.io/Logging_0980/kartor/A 65927-2021 karta.png", "A 65927-2021")</f>
        <v/>
      </c>
      <c r="V186">
        <f>HYPERLINK("https://klasma.github.io/Logging_0980/klagomål/A 65927-2021 FSC-klagomål.docx", "A 65927-2021")</f>
        <v/>
      </c>
      <c r="W186">
        <f>HYPERLINK("https://klasma.github.io/Logging_0980/klagomålsmail/A 65927-2021 FSC-klagomål mail.docx", "A 65927-2021")</f>
        <v/>
      </c>
      <c r="X186">
        <f>HYPERLINK("https://klasma.github.io/Logging_0980/tillsyn/A 65927-2021 tillsynsbegäran.docx", "A 65927-2021")</f>
        <v/>
      </c>
      <c r="Y186">
        <f>HYPERLINK("https://klasma.github.io/Logging_0980/tillsynsmail/A 65927-2021 tillsynsbegäran mail.docx", "A 65927-2021")</f>
        <v/>
      </c>
    </row>
    <row r="187" ht="15" customHeight="1">
      <c r="A187" t="inlineStr">
        <is>
          <t>A 947-2023</t>
        </is>
      </c>
      <c r="B187" s="1" t="n">
        <v>44934</v>
      </c>
      <c r="C187" s="1" t="n">
        <v>45966</v>
      </c>
      <c r="D187" t="inlineStr">
        <is>
          <t>GOTLANDS LÄN</t>
        </is>
      </c>
      <c r="E187" t="inlineStr">
        <is>
          <t>GOTLAND</t>
        </is>
      </c>
      <c r="G187" t="n">
        <v>0.7</v>
      </c>
      <c r="H187" t="n">
        <v>1</v>
      </c>
      <c r="I187" t="n">
        <v>0</v>
      </c>
      <c r="J187" t="n">
        <v>0</v>
      </c>
      <c r="K187" t="n">
        <v>1</v>
      </c>
      <c r="L187" t="n">
        <v>0</v>
      </c>
      <c r="M187" t="n">
        <v>0</v>
      </c>
      <c r="N187" t="n">
        <v>0</v>
      </c>
      <c r="O187" t="n">
        <v>1</v>
      </c>
      <c r="P187" t="n">
        <v>1</v>
      </c>
      <c r="Q187" t="n">
        <v>1</v>
      </c>
      <c r="R187" s="2" t="inlineStr">
        <is>
          <t>Garderönn</t>
        </is>
      </c>
      <c r="S187">
        <f>HYPERLINK("https://klasma.github.io/Logging_0980/artfynd/A 947-2023 artfynd.xlsx", "A 947-2023")</f>
        <v/>
      </c>
      <c r="T187">
        <f>HYPERLINK("https://klasma.github.io/Logging_0980/kartor/A 947-2023 karta.png", "A 947-2023")</f>
        <v/>
      </c>
      <c r="V187">
        <f>HYPERLINK("https://klasma.github.io/Logging_0980/klagomål/A 947-2023 FSC-klagomål.docx", "A 947-2023")</f>
        <v/>
      </c>
      <c r="W187">
        <f>HYPERLINK("https://klasma.github.io/Logging_0980/klagomålsmail/A 947-2023 FSC-klagomål mail.docx", "A 947-2023")</f>
        <v/>
      </c>
      <c r="X187">
        <f>HYPERLINK("https://klasma.github.io/Logging_0980/tillsyn/A 947-2023 tillsynsbegäran.docx", "A 947-2023")</f>
        <v/>
      </c>
      <c r="Y187">
        <f>HYPERLINK("https://klasma.github.io/Logging_0980/tillsynsmail/A 947-2023 tillsynsbegäran mail.docx", "A 947-2023")</f>
        <v/>
      </c>
    </row>
    <row r="188" ht="15" customHeight="1">
      <c r="A188" t="inlineStr">
        <is>
          <t>A 19901-2021</t>
        </is>
      </c>
      <c r="B188" s="1" t="n">
        <v>44312</v>
      </c>
      <c r="C188" s="1" t="n">
        <v>45966</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45966</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45966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45966</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45966</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45966</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45966</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45966</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45966</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45966</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45966</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45966</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45966</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45966</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45966</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45966</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45966</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45966</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45966</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45966</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45966</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45966</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45966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45966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45966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45966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45966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45966</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45966</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45966</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45966</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45966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45966</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45966</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45966</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44942-2022</t>
        </is>
      </c>
      <c r="B234" s="1" t="n">
        <v>44841</v>
      </c>
      <c r="C234" s="1" t="n">
        <v>45966</v>
      </c>
      <c r="D234" t="inlineStr">
        <is>
          <t>GOTLANDS LÄN</t>
        </is>
      </c>
      <c r="E234" t="inlineStr">
        <is>
          <t>GOTLAND</t>
        </is>
      </c>
      <c r="G234" t="n">
        <v>2</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45966</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53225-2022</t>
        </is>
      </c>
      <c r="B236" s="1" t="n">
        <v>44876</v>
      </c>
      <c r="C236" s="1" t="n">
        <v>45966</v>
      </c>
      <c r="D236" t="inlineStr">
        <is>
          <t>GOTLANDS LÄN</t>
        </is>
      </c>
      <c r="E236" t="inlineStr">
        <is>
          <t>GOTLAND</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62120-2020</t>
        </is>
      </c>
      <c r="B237" s="1" t="n">
        <v>44158</v>
      </c>
      <c r="C237" s="1" t="n">
        <v>45966</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30055-2021</t>
        </is>
      </c>
      <c r="B238" s="1" t="n">
        <v>44363</v>
      </c>
      <c r="C238" s="1" t="n">
        <v>45966</v>
      </c>
      <c r="D238" t="inlineStr">
        <is>
          <t>GOTLANDS LÄN</t>
        </is>
      </c>
      <c r="E238" t="inlineStr">
        <is>
          <t>GOTLAND</t>
        </is>
      </c>
      <c r="G238" t="n">
        <v>1.8</v>
      </c>
      <c r="H238" t="n">
        <v>0</v>
      </c>
      <c r="I238" t="n">
        <v>0</v>
      </c>
      <c r="J238" t="n">
        <v>0</v>
      </c>
      <c r="K238" t="n">
        <v>0</v>
      </c>
      <c r="L238" t="n">
        <v>0</v>
      </c>
      <c r="M238" t="n">
        <v>0</v>
      </c>
      <c r="N238" t="n">
        <v>0</v>
      </c>
      <c r="O238" t="n">
        <v>0</v>
      </c>
      <c r="P238" t="n">
        <v>0</v>
      </c>
      <c r="Q238" t="n">
        <v>0</v>
      </c>
      <c r="R238" s="2" t="inlineStr"/>
    </row>
    <row r="239" ht="15" customHeight="1">
      <c r="A239" t="inlineStr">
        <is>
          <t>A 3271-2021</t>
        </is>
      </c>
      <c r="B239" s="1" t="n">
        <v>44217</v>
      </c>
      <c r="C239" s="1" t="n">
        <v>45966</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2714-2023</t>
        </is>
      </c>
      <c r="B240" s="1" t="n">
        <v>44944.54896990741</v>
      </c>
      <c r="C240" s="1" t="n">
        <v>45966</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65393-2021</t>
        </is>
      </c>
      <c r="B241" s="1" t="n">
        <v>44515</v>
      </c>
      <c r="C241" s="1" t="n">
        <v>45966</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10746-2025</t>
        </is>
      </c>
      <c r="B242" s="1" t="n">
        <v>45722.42766203704</v>
      </c>
      <c r="C242" s="1" t="n">
        <v>45966</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22897-2023</t>
        </is>
      </c>
      <c r="B243" s="1" t="n">
        <v>45072.55239583334</v>
      </c>
      <c r="C243" s="1" t="n">
        <v>45966</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4568-2025</t>
        </is>
      </c>
      <c r="B244" s="1" t="n">
        <v>45687</v>
      </c>
      <c r="C244" s="1" t="n">
        <v>45966</v>
      </c>
      <c r="D244" t="inlineStr">
        <is>
          <t>GOTLANDS LÄN</t>
        </is>
      </c>
      <c r="E244" t="inlineStr">
        <is>
          <t>GOTLAND</t>
        </is>
      </c>
      <c r="G244" t="n">
        <v>1.9</v>
      </c>
      <c r="H244" t="n">
        <v>0</v>
      </c>
      <c r="I244" t="n">
        <v>0</v>
      </c>
      <c r="J244" t="n">
        <v>0</v>
      </c>
      <c r="K244" t="n">
        <v>0</v>
      </c>
      <c r="L244" t="n">
        <v>0</v>
      </c>
      <c r="M244" t="n">
        <v>0</v>
      </c>
      <c r="N244" t="n">
        <v>0</v>
      </c>
      <c r="O244" t="n">
        <v>0</v>
      </c>
      <c r="P244" t="n">
        <v>0</v>
      </c>
      <c r="Q244" t="n">
        <v>0</v>
      </c>
      <c r="R244" s="2" t="inlineStr"/>
    </row>
    <row r="245" ht="15" customHeight="1">
      <c r="A245" t="inlineStr">
        <is>
          <t>A 1681-2023</t>
        </is>
      </c>
      <c r="B245" s="1" t="n">
        <v>44938.39715277778</v>
      </c>
      <c r="C245" s="1" t="n">
        <v>45966</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42338-2023</t>
        </is>
      </c>
      <c r="B246" s="1" t="n">
        <v>45180</v>
      </c>
      <c r="C246" s="1" t="n">
        <v>45966</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18918-2025</t>
        </is>
      </c>
      <c r="B247" s="1" t="n">
        <v>45764</v>
      </c>
      <c r="C247" s="1" t="n">
        <v>45966</v>
      </c>
      <c r="D247" t="inlineStr">
        <is>
          <t>GOTLANDS LÄN</t>
        </is>
      </c>
      <c r="E247" t="inlineStr">
        <is>
          <t>GOTLAND</t>
        </is>
      </c>
      <c r="G247" t="n">
        <v>1.7</v>
      </c>
      <c r="H247" t="n">
        <v>0</v>
      </c>
      <c r="I247" t="n">
        <v>0</v>
      </c>
      <c r="J247" t="n">
        <v>0</v>
      </c>
      <c r="K247" t="n">
        <v>0</v>
      </c>
      <c r="L247" t="n">
        <v>0</v>
      </c>
      <c r="M247" t="n">
        <v>0</v>
      </c>
      <c r="N247" t="n">
        <v>0</v>
      </c>
      <c r="O247" t="n">
        <v>0</v>
      </c>
      <c r="P247" t="n">
        <v>0</v>
      </c>
      <c r="Q247" t="n">
        <v>0</v>
      </c>
      <c r="R247" s="2" t="inlineStr"/>
    </row>
    <row r="248" ht="15" customHeight="1">
      <c r="A248" t="inlineStr">
        <is>
          <t>A 23910-2021</t>
        </is>
      </c>
      <c r="B248" s="1" t="n">
        <v>44335</v>
      </c>
      <c r="C248" s="1" t="n">
        <v>45966</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11013-2024</t>
        </is>
      </c>
      <c r="B249" s="1" t="n">
        <v>45370</v>
      </c>
      <c r="C249" s="1" t="n">
        <v>45966</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18993-2025</t>
        </is>
      </c>
      <c r="B250" s="1" t="n">
        <v>45764</v>
      </c>
      <c r="C250" s="1" t="n">
        <v>45966</v>
      </c>
      <c r="D250" t="inlineStr">
        <is>
          <t>GOTLANDS LÄN</t>
        </is>
      </c>
      <c r="E250" t="inlineStr">
        <is>
          <t>GOTLAND</t>
        </is>
      </c>
      <c r="G250" t="n">
        <v>3</v>
      </c>
      <c r="H250" t="n">
        <v>0</v>
      </c>
      <c r="I250" t="n">
        <v>0</v>
      </c>
      <c r="J250" t="n">
        <v>0</v>
      </c>
      <c r="K250" t="n">
        <v>0</v>
      </c>
      <c r="L250" t="n">
        <v>0</v>
      </c>
      <c r="M250" t="n">
        <v>0</v>
      </c>
      <c r="N250" t="n">
        <v>0</v>
      </c>
      <c r="O250" t="n">
        <v>0</v>
      </c>
      <c r="P250" t="n">
        <v>0</v>
      </c>
      <c r="Q250" t="n">
        <v>0</v>
      </c>
      <c r="R250" s="2" t="inlineStr"/>
    </row>
    <row r="251" ht="15" customHeight="1">
      <c r="A251" t="inlineStr">
        <is>
          <t>A 30135-2025</t>
        </is>
      </c>
      <c r="B251" s="1" t="n">
        <v>45826</v>
      </c>
      <c r="C251" s="1" t="n">
        <v>45966</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46836-2025</t>
        </is>
      </c>
      <c r="B252" s="1" t="n">
        <v>45928.31511574074</v>
      </c>
      <c r="C252" s="1" t="n">
        <v>45966</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45084-2024</t>
        </is>
      </c>
      <c r="B253" s="1" t="n">
        <v>45575</v>
      </c>
      <c r="C253" s="1" t="n">
        <v>45966</v>
      </c>
      <c r="D253" t="inlineStr">
        <is>
          <t>GOTLANDS LÄN</t>
        </is>
      </c>
      <c r="E253" t="inlineStr">
        <is>
          <t>GOTLAND</t>
        </is>
      </c>
      <c r="G253" t="n">
        <v>6.8</v>
      </c>
      <c r="H253" t="n">
        <v>0</v>
      </c>
      <c r="I253" t="n">
        <v>0</v>
      </c>
      <c r="J253" t="n">
        <v>0</v>
      </c>
      <c r="K253" t="n">
        <v>0</v>
      </c>
      <c r="L253" t="n">
        <v>0</v>
      </c>
      <c r="M253" t="n">
        <v>0</v>
      </c>
      <c r="N253" t="n">
        <v>0</v>
      </c>
      <c r="O253" t="n">
        <v>0</v>
      </c>
      <c r="P253" t="n">
        <v>0</v>
      </c>
      <c r="Q253" t="n">
        <v>0</v>
      </c>
      <c r="R253" s="2" t="inlineStr"/>
    </row>
    <row r="254" ht="15" customHeight="1">
      <c r="A254" t="inlineStr">
        <is>
          <t>A 20356-2022</t>
        </is>
      </c>
      <c r="B254" s="1" t="n">
        <v>44699</v>
      </c>
      <c r="C254" s="1" t="n">
        <v>45966</v>
      </c>
      <c r="D254" t="inlineStr">
        <is>
          <t>GOTLANDS LÄN</t>
        </is>
      </c>
      <c r="E254" t="inlineStr">
        <is>
          <t>GOTLAND</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21507-2021</t>
        </is>
      </c>
      <c r="B255" s="1" t="n">
        <v>44321</v>
      </c>
      <c r="C255" s="1" t="n">
        <v>45966</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4868-2024</t>
        </is>
      </c>
      <c r="B256" s="1" t="n">
        <v>45329</v>
      </c>
      <c r="C256" s="1" t="n">
        <v>45966</v>
      </c>
      <c r="D256" t="inlineStr">
        <is>
          <t>GOTLANDS LÄN</t>
        </is>
      </c>
      <c r="E256" t="inlineStr">
        <is>
          <t>GOTLAND</t>
        </is>
      </c>
      <c r="G256" t="n">
        <v>7.1</v>
      </c>
      <c r="H256" t="n">
        <v>0</v>
      </c>
      <c r="I256" t="n">
        <v>0</v>
      </c>
      <c r="J256" t="n">
        <v>0</v>
      </c>
      <c r="K256" t="n">
        <v>0</v>
      </c>
      <c r="L256" t="n">
        <v>0</v>
      </c>
      <c r="M256" t="n">
        <v>0</v>
      </c>
      <c r="N256" t="n">
        <v>0</v>
      </c>
      <c r="O256" t="n">
        <v>0</v>
      </c>
      <c r="P256" t="n">
        <v>0</v>
      </c>
      <c r="Q256" t="n">
        <v>0</v>
      </c>
      <c r="R256" s="2" t="inlineStr"/>
    </row>
    <row r="257" ht="15" customHeight="1">
      <c r="A257" t="inlineStr">
        <is>
          <t>A 9613-2025</t>
        </is>
      </c>
      <c r="B257" s="1" t="n">
        <v>45715</v>
      </c>
      <c r="C257" s="1" t="n">
        <v>45966</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43229-2023</t>
        </is>
      </c>
      <c r="B258" s="1" t="n">
        <v>45183.46704861111</v>
      </c>
      <c r="C258" s="1" t="n">
        <v>45966</v>
      </c>
      <c r="D258" t="inlineStr">
        <is>
          <t>GOTLANDS LÄN</t>
        </is>
      </c>
      <c r="E258" t="inlineStr">
        <is>
          <t>GOTLAND</t>
        </is>
      </c>
      <c r="G258" t="n">
        <v>7.1</v>
      </c>
      <c r="H258" t="n">
        <v>0</v>
      </c>
      <c r="I258" t="n">
        <v>0</v>
      </c>
      <c r="J258" t="n">
        <v>0</v>
      </c>
      <c r="K258" t="n">
        <v>0</v>
      </c>
      <c r="L258" t="n">
        <v>0</v>
      </c>
      <c r="M258" t="n">
        <v>0</v>
      </c>
      <c r="N258" t="n">
        <v>0</v>
      </c>
      <c r="O258" t="n">
        <v>0</v>
      </c>
      <c r="P258" t="n">
        <v>0</v>
      </c>
      <c r="Q258" t="n">
        <v>0</v>
      </c>
      <c r="R258" s="2" t="inlineStr"/>
    </row>
    <row r="259" ht="15" customHeight="1">
      <c r="A259" t="inlineStr">
        <is>
          <t>A 12599-2025</t>
        </is>
      </c>
      <c r="B259" s="1" t="n">
        <v>45733.29546296296</v>
      </c>
      <c r="C259" s="1" t="n">
        <v>45966</v>
      </c>
      <c r="D259" t="inlineStr">
        <is>
          <t>GOTLANDS LÄN</t>
        </is>
      </c>
      <c r="E259" t="inlineStr">
        <is>
          <t>GOTLAND</t>
        </is>
      </c>
      <c r="G259" t="n">
        <v>4.7</v>
      </c>
      <c r="H259" t="n">
        <v>0</v>
      </c>
      <c r="I259" t="n">
        <v>0</v>
      </c>
      <c r="J259" t="n">
        <v>0</v>
      </c>
      <c r="K259" t="n">
        <v>0</v>
      </c>
      <c r="L259" t="n">
        <v>0</v>
      </c>
      <c r="M259" t="n">
        <v>0</v>
      </c>
      <c r="N259" t="n">
        <v>0</v>
      </c>
      <c r="O259" t="n">
        <v>0</v>
      </c>
      <c r="P259" t="n">
        <v>0</v>
      </c>
      <c r="Q259" t="n">
        <v>0</v>
      </c>
      <c r="R259" s="2" t="inlineStr"/>
    </row>
    <row r="260" ht="15" customHeight="1">
      <c r="A260" t="inlineStr">
        <is>
          <t>A 41038-2023</t>
        </is>
      </c>
      <c r="B260" s="1" t="n">
        <v>45173.60959490741</v>
      </c>
      <c r="C260" s="1" t="n">
        <v>45966</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5386-2023</t>
        </is>
      </c>
      <c r="B261" s="1" t="n">
        <v>44959</v>
      </c>
      <c r="C261" s="1" t="n">
        <v>45966</v>
      </c>
      <c r="D261" t="inlineStr">
        <is>
          <t>GOTLANDS LÄN</t>
        </is>
      </c>
      <c r="E261" t="inlineStr">
        <is>
          <t>GOTLAND</t>
        </is>
      </c>
      <c r="G261" t="n">
        <v>5.4</v>
      </c>
      <c r="H261" t="n">
        <v>0</v>
      </c>
      <c r="I261" t="n">
        <v>0</v>
      </c>
      <c r="J261" t="n">
        <v>0</v>
      </c>
      <c r="K261" t="n">
        <v>0</v>
      </c>
      <c r="L261" t="n">
        <v>0</v>
      </c>
      <c r="M261" t="n">
        <v>0</v>
      </c>
      <c r="N261" t="n">
        <v>0</v>
      </c>
      <c r="O261" t="n">
        <v>0</v>
      </c>
      <c r="P261" t="n">
        <v>0</v>
      </c>
      <c r="Q261" t="n">
        <v>0</v>
      </c>
      <c r="R261" s="2" t="inlineStr"/>
    </row>
    <row r="262" ht="15" customHeight="1">
      <c r="A262" t="inlineStr">
        <is>
          <t>A 58211-2024</t>
        </is>
      </c>
      <c r="B262" s="1" t="n">
        <v>45632.49292824074</v>
      </c>
      <c r="C262" s="1" t="n">
        <v>45966</v>
      </c>
      <c r="D262" t="inlineStr">
        <is>
          <t>GOTLANDS LÄN</t>
        </is>
      </c>
      <c r="E262" t="inlineStr">
        <is>
          <t>GOTLAND</t>
        </is>
      </c>
      <c r="G262" t="n">
        <v>5.4</v>
      </c>
      <c r="H262" t="n">
        <v>0</v>
      </c>
      <c r="I262" t="n">
        <v>0</v>
      </c>
      <c r="J262" t="n">
        <v>0</v>
      </c>
      <c r="K262" t="n">
        <v>0</v>
      </c>
      <c r="L262" t="n">
        <v>0</v>
      </c>
      <c r="M262" t="n">
        <v>0</v>
      </c>
      <c r="N262" t="n">
        <v>0</v>
      </c>
      <c r="O262" t="n">
        <v>0</v>
      </c>
      <c r="P262" t="n">
        <v>0</v>
      </c>
      <c r="Q262" t="n">
        <v>0</v>
      </c>
      <c r="R262" s="2" t="inlineStr"/>
    </row>
    <row r="263" ht="15" customHeight="1">
      <c r="A263" t="inlineStr">
        <is>
          <t>A 57219-2021</t>
        </is>
      </c>
      <c r="B263" s="1" t="n">
        <v>44483</v>
      </c>
      <c r="C263" s="1" t="n">
        <v>45966</v>
      </c>
      <c r="D263" t="inlineStr">
        <is>
          <t>GOTLANDS LÄN</t>
        </is>
      </c>
      <c r="E263" t="inlineStr">
        <is>
          <t>GOTLAND</t>
        </is>
      </c>
      <c r="F263" t="inlineStr">
        <is>
          <t>Kyrkan</t>
        </is>
      </c>
      <c r="G263" t="n">
        <v>4</v>
      </c>
      <c r="H263" t="n">
        <v>0</v>
      </c>
      <c r="I263" t="n">
        <v>0</v>
      </c>
      <c r="J263" t="n">
        <v>0</v>
      </c>
      <c r="K263" t="n">
        <v>0</v>
      </c>
      <c r="L263" t="n">
        <v>0</v>
      </c>
      <c r="M263" t="n">
        <v>0</v>
      </c>
      <c r="N263" t="n">
        <v>0</v>
      </c>
      <c r="O263" t="n">
        <v>0</v>
      </c>
      <c r="P263" t="n">
        <v>0</v>
      </c>
      <c r="Q263" t="n">
        <v>0</v>
      </c>
      <c r="R263" s="2" t="inlineStr"/>
    </row>
    <row r="264" ht="15" customHeight="1">
      <c r="A264" t="inlineStr">
        <is>
          <t>A 11634-2024</t>
        </is>
      </c>
      <c r="B264" s="1" t="n">
        <v>45373</v>
      </c>
      <c r="C264" s="1" t="n">
        <v>45966</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5884-2025</t>
        </is>
      </c>
      <c r="B265" s="1" t="n">
        <v>45695.37482638889</v>
      </c>
      <c r="C265" s="1" t="n">
        <v>45966</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5897-2025</t>
        </is>
      </c>
      <c r="B266" s="1" t="n">
        <v>45695.39273148148</v>
      </c>
      <c r="C266" s="1" t="n">
        <v>45966</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5909-2025</t>
        </is>
      </c>
      <c r="B267" s="1" t="n">
        <v>45695.40634259259</v>
      </c>
      <c r="C267" s="1" t="n">
        <v>45966</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20356-2022</t>
        </is>
      </c>
      <c r="B268" s="1" t="n">
        <v>44699</v>
      </c>
      <c r="C268" s="1" t="n">
        <v>45966</v>
      </c>
      <c r="D268" t="inlineStr">
        <is>
          <t>GOTLANDS LÄN</t>
        </is>
      </c>
      <c r="E268" t="inlineStr">
        <is>
          <t>GOTLAND</t>
        </is>
      </c>
      <c r="F268" t="inlineStr">
        <is>
          <t>Övriga Aktiebolag</t>
        </is>
      </c>
      <c r="G268" t="n">
        <v>4.4</v>
      </c>
      <c r="H268" t="n">
        <v>0</v>
      </c>
      <c r="I268" t="n">
        <v>0</v>
      </c>
      <c r="J268" t="n">
        <v>0</v>
      </c>
      <c r="K268" t="n">
        <v>0</v>
      </c>
      <c r="L268" t="n">
        <v>0</v>
      </c>
      <c r="M268" t="n">
        <v>0</v>
      </c>
      <c r="N268" t="n">
        <v>0</v>
      </c>
      <c r="O268" t="n">
        <v>0</v>
      </c>
      <c r="P268" t="n">
        <v>0</v>
      </c>
      <c r="Q268" t="n">
        <v>0</v>
      </c>
      <c r="R268" s="2" t="inlineStr"/>
    </row>
    <row r="269" ht="15" customHeight="1">
      <c r="A269" t="inlineStr">
        <is>
          <t>A 60086-2022</t>
        </is>
      </c>
      <c r="B269" s="1" t="n">
        <v>44909</v>
      </c>
      <c r="C269" s="1" t="n">
        <v>45966</v>
      </c>
      <c r="D269" t="inlineStr">
        <is>
          <t>GOTLANDS LÄN</t>
        </is>
      </c>
      <c r="E269" t="inlineStr">
        <is>
          <t>GOTLAND</t>
        </is>
      </c>
      <c r="G269" t="n">
        <v>2.1</v>
      </c>
      <c r="H269" t="n">
        <v>0</v>
      </c>
      <c r="I269" t="n">
        <v>0</v>
      </c>
      <c r="J269" t="n">
        <v>0</v>
      </c>
      <c r="K269" t="n">
        <v>0</v>
      </c>
      <c r="L269" t="n">
        <v>0</v>
      </c>
      <c r="M269" t="n">
        <v>0</v>
      </c>
      <c r="N269" t="n">
        <v>0</v>
      </c>
      <c r="O269" t="n">
        <v>0</v>
      </c>
      <c r="P269" t="n">
        <v>0</v>
      </c>
      <c r="Q269" t="n">
        <v>0</v>
      </c>
      <c r="R269" s="2" t="inlineStr"/>
    </row>
    <row r="270" ht="15" customHeight="1">
      <c r="A270" t="inlineStr">
        <is>
          <t>A 22704-2023</t>
        </is>
      </c>
      <c r="B270" s="1" t="n">
        <v>45071</v>
      </c>
      <c r="C270" s="1" t="n">
        <v>45966</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24966-2023</t>
        </is>
      </c>
      <c r="B271" s="1" t="n">
        <v>45085</v>
      </c>
      <c r="C271" s="1" t="n">
        <v>45966</v>
      </c>
      <c r="D271" t="inlineStr">
        <is>
          <t>GOTLANDS LÄN</t>
        </is>
      </c>
      <c r="E271" t="inlineStr">
        <is>
          <t>GOTLAND</t>
        </is>
      </c>
      <c r="G271" t="n">
        <v>7</v>
      </c>
      <c r="H271" t="n">
        <v>0</v>
      </c>
      <c r="I271" t="n">
        <v>0</v>
      </c>
      <c r="J271" t="n">
        <v>0</v>
      </c>
      <c r="K271" t="n">
        <v>0</v>
      </c>
      <c r="L271" t="n">
        <v>0</v>
      </c>
      <c r="M271" t="n">
        <v>0</v>
      </c>
      <c r="N271" t="n">
        <v>0</v>
      </c>
      <c r="O271" t="n">
        <v>0</v>
      </c>
      <c r="P271" t="n">
        <v>0</v>
      </c>
      <c r="Q271" t="n">
        <v>0</v>
      </c>
      <c r="R271" s="2" t="inlineStr"/>
    </row>
    <row r="272" ht="15" customHeight="1">
      <c r="A272" t="inlineStr">
        <is>
          <t>A 57652-2023</t>
        </is>
      </c>
      <c r="B272" s="1" t="n">
        <v>45246</v>
      </c>
      <c r="C272" s="1" t="n">
        <v>45966</v>
      </c>
      <c r="D272" t="inlineStr">
        <is>
          <t>GOTLANDS LÄN</t>
        </is>
      </c>
      <c r="E272" t="inlineStr">
        <is>
          <t>GOTLAND</t>
        </is>
      </c>
      <c r="G272" t="n">
        <v>7.2</v>
      </c>
      <c r="H272" t="n">
        <v>0</v>
      </c>
      <c r="I272" t="n">
        <v>0</v>
      </c>
      <c r="J272" t="n">
        <v>0</v>
      </c>
      <c r="K272" t="n">
        <v>0</v>
      </c>
      <c r="L272" t="n">
        <v>0</v>
      </c>
      <c r="M272" t="n">
        <v>0</v>
      </c>
      <c r="N272" t="n">
        <v>0</v>
      </c>
      <c r="O272" t="n">
        <v>0</v>
      </c>
      <c r="P272" t="n">
        <v>0</v>
      </c>
      <c r="Q272" t="n">
        <v>0</v>
      </c>
      <c r="R272" s="2" t="inlineStr"/>
    </row>
    <row r="273" ht="15" customHeight="1">
      <c r="A273" t="inlineStr">
        <is>
          <t>A 2292-2021</t>
        </is>
      </c>
      <c r="B273" s="1" t="n">
        <v>44212</v>
      </c>
      <c r="C273" s="1" t="n">
        <v>45966</v>
      </c>
      <c r="D273" t="inlineStr">
        <is>
          <t>GOTLANDS LÄN</t>
        </is>
      </c>
      <c r="E273" t="inlineStr">
        <is>
          <t>GOTLAND</t>
        </is>
      </c>
      <c r="G273" t="n">
        <v>3</v>
      </c>
      <c r="H273" t="n">
        <v>0</v>
      </c>
      <c r="I273" t="n">
        <v>0</v>
      </c>
      <c r="J273" t="n">
        <v>0</v>
      </c>
      <c r="K273" t="n">
        <v>0</v>
      </c>
      <c r="L273" t="n">
        <v>0</v>
      </c>
      <c r="M273" t="n">
        <v>0</v>
      </c>
      <c r="N273" t="n">
        <v>0</v>
      </c>
      <c r="O273" t="n">
        <v>0</v>
      </c>
      <c r="P273" t="n">
        <v>0</v>
      </c>
      <c r="Q273" t="n">
        <v>0</v>
      </c>
      <c r="R273" s="2" t="inlineStr"/>
    </row>
    <row r="274" ht="15" customHeight="1">
      <c r="A274" t="inlineStr">
        <is>
          <t>A 46189-2022</t>
        </is>
      </c>
      <c r="B274" s="1" t="n">
        <v>44847</v>
      </c>
      <c r="C274" s="1" t="n">
        <v>45966</v>
      </c>
      <c r="D274" t="inlineStr">
        <is>
          <t>GOTLANDS LÄN</t>
        </is>
      </c>
      <c r="E274" t="inlineStr">
        <is>
          <t>GOTLAND</t>
        </is>
      </c>
      <c r="G274" t="n">
        <v>0.4</v>
      </c>
      <c r="H274" t="n">
        <v>0</v>
      </c>
      <c r="I274" t="n">
        <v>0</v>
      </c>
      <c r="J274" t="n">
        <v>0</v>
      </c>
      <c r="K274" t="n">
        <v>0</v>
      </c>
      <c r="L274" t="n">
        <v>0</v>
      </c>
      <c r="M274" t="n">
        <v>0</v>
      </c>
      <c r="N274" t="n">
        <v>0</v>
      </c>
      <c r="O274" t="n">
        <v>0</v>
      </c>
      <c r="P274" t="n">
        <v>0</v>
      </c>
      <c r="Q274" t="n">
        <v>0</v>
      </c>
      <c r="R274" s="2" t="inlineStr"/>
    </row>
    <row r="275" ht="15" customHeight="1">
      <c r="A275" t="inlineStr">
        <is>
          <t>A 35142-2025</t>
        </is>
      </c>
      <c r="B275" s="1" t="n">
        <v>45852.65532407408</v>
      </c>
      <c r="C275" s="1" t="n">
        <v>45966</v>
      </c>
      <c r="D275" t="inlineStr">
        <is>
          <t>GOTLANDS LÄN</t>
        </is>
      </c>
      <c r="E275" t="inlineStr">
        <is>
          <t>GOTLAND</t>
        </is>
      </c>
      <c r="G275" t="n">
        <v>2.4</v>
      </c>
      <c r="H275" t="n">
        <v>0</v>
      </c>
      <c r="I275" t="n">
        <v>0</v>
      </c>
      <c r="J275" t="n">
        <v>0</v>
      </c>
      <c r="K275" t="n">
        <v>0</v>
      </c>
      <c r="L275" t="n">
        <v>0</v>
      </c>
      <c r="M275" t="n">
        <v>0</v>
      </c>
      <c r="N275" t="n">
        <v>0</v>
      </c>
      <c r="O275" t="n">
        <v>0</v>
      </c>
      <c r="P275" t="n">
        <v>0</v>
      </c>
      <c r="Q275" t="n">
        <v>0</v>
      </c>
      <c r="R275" s="2" t="inlineStr"/>
    </row>
    <row r="276" ht="15" customHeight="1">
      <c r="A276" t="inlineStr">
        <is>
          <t>A 57522-2022</t>
        </is>
      </c>
      <c r="B276" s="1" t="n">
        <v>44896</v>
      </c>
      <c r="C276" s="1" t="n">
        <v>45966</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35141-2025</t>
        </is>
      </c>
      <c r="B277" s="1" t="n">
        <v>45852.65206018519</v>
      </c>
      <c r="C277" s="1" t="n">
        <v>45966</v>
      </c>
      <c r="D277" t="inlineStr">
        <is>
          <t>GOTLANDS LÄN</t>
        </is>
      </c>
      <c r="E277" t="inlineStr">
        <is>
          <t>GOTLAND</t>
        </is>
      </c>
      <c r="G277" t="n">
        <v>1</v>
      </c>
      <c r="H277" t="n">
        <v>0</v>
      </c>
      <c r="I277" t="n">
        <v>0</v>
      </c>
      <c r="J277" t="n">
        <v>0</v>
      </c>
      <c r="K277" t="n">
        <v>0</v>
      </c>
      <c r="L277" t="n">
        <v>0</v>
      </c>
      <c r="M277" t="n">
        <v>0</v>
      </c>
      <c r="N277" t="n">
        <v>0</v>
      </c>
      <c r="O277" t="n">
        <v>0</v>
      </c>
      <c r="P277" t="n">
        <v>0</v>
      </c>
      <c r="Q277" t="n">
        <v>0</v>
      </c>
      <c r="R277" s="2" t="inlineStr"/>
    </row>
    <row r="278" ht="15" customHeight="1">
      <c r="A278" t="inlineStr">
        <is>
          <t>A 14797-2024</t>
        </is>
      </c>
      <c r="B278" s="1" t="n">
        <v>45397.87030092593</v>
      </c>
      <c r="C278" s="1" t="n">
        <v>45966</v>
      </c>
      <c r="D278" t="inlineStr">
        <is>
          <t>GOTLANDS LÄN</t>
        </is>
      </c>
      <c r="E278" t="inlineStr">
        <is>
          <t>GOTLAND</t>
        </is>
      </c>
      <c r="G278" t="n">
        <v>8.1</v>
      </c>
      <c r="H278" t="n">
        <v>0</v>
      </c>
      <c r="I278" t="n">
        <v>0</v>
      </c>
      <c r="J278" t="n">
        <v>0</v>
      </c>
      <c r="K278" t="n">
        <v>0</v>
      </c>
      <c r="L278" t="n">
        <v>0</v>
      </c>
      <c r="M278" t="n">
        <v>0</v>
      </c>
      <c r="N278" t="n">
        <v>0</v>
      </c>
      <c r="O278" t="n">
        <v>0</v>
      </c>
      <c r="P278" t="n">
        <v>0</v>
      </c>
      <c r="Q278" t="n">
        <v>0</v>
      </c>
      <c r="R278" s="2" t="inlineStr"/>
    </row>
    <row r="279" ht="15" customHeight="1">
      <c r="A279" t="inlineStr">
        <is>
          <t>A 25866-2022</t>
        </is>
      </c>
      <c r="B279" s="1" t="n">
        <v>44733</v>
      </c>
      <c r="C279" s="1" t="n">
        <v>45966</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7837-2024</t>
        </is>
      </c>
      <c r="B280" s="1" t="n">
        <v>45349.83787037037</v>
      </c>
      <c r="C280" s="1" t="n">
        <v>45966</v>
      </c>
      <c r="D280" t="inlineStr">
        <is>
          <t>GOTLANDS LÄN</t>
        </is>
      </c>
      <c r="E280" t="inlineStr">
        <is>
          <t>GOTLAND</t>
        </is>
      </c>
      <c r="G280" t="n">
        <v>5</v>
      </c>
      <c r="H280" t="n">
        <v>0</v>
      </c>
      <c r="I280" t="n">
        <v>0</v>
      </c>
      <c r="J280" t="n">
        <v>0</v>
      </c>
      <c r="K280" t="n">
        <v>0</v>
      </c>
      <c r="L280" t="n">
        <v>0</v>
      </c>
      <c r="M280" t="n">
        <v>0</v>
      </c>
      <c r="N280" t="n">
        <v>0</v>
      </c>
      <c r="O280" t="n">
        <v>0</v>
      </c>
      <c r="P280" t="n">
        <v>0</v>
      </c>
      <c r="Q280" t="n">
        <v>0</v>
      </c>
      <c r="R280" s="2" t="inlineStr"/>
    </row>
    <row r="281" ht="15" customHeight="1">
      <c r="A281" t="inlineStr">
        <is>
          <t>A 1394-2023</t>
        </is>
      </c>
      <c r="B281" s="1" t="n">
        <v>44936.72997685185</v>
      </c>
      <c r="C281" s="1" t="n">
        <v>45966</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2676-2023</t>
        </is>
      </c>
      <c r="B282" s="1" t="n">
        <v>44944</v>
      </c>
      <c r="C282" s="1" t="n">
        <v>45966</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4387-2023</t>
        </is>
      </c>
      <c r="B283" s="1" t="n">
        <v>44955.73359953704</v>
      </c>
      <c r="C283" s="1" t="n">
        <v>45966</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47637-2025</t>
        </is>
      </c>
      <c r="B284" s="1" t="n">
        <v>45931.49753472222</v>
      </c>
      <c r="C284" s="1" t="n">
        <v>45966</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49411-2023</t>
        </is>
      </c>
      <c r="B285" s="1" t="n">
        <v>45205</v>
      </c>
      <c r="C285" s="1" t="n">
        <v>45966</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9887-2025</t>
        </is>
      </c>
      <c r="B286" s="1" t="n">
        <v>45716</v>
      </c>
      <c r="C286" s="1" t="n">
        <v>45966</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17901-2023</t>
        </is>
      </c>
      <c r="B287" s="1" t="n">
        <v>45039</v>
      </c>
      <c r="C287" s="1" t="n">
        <v>45966</v>
      </c>
      <c r="D287" t="inlineStr">
        <is>
          <t>GOTLANDS LÄN</t>
        </is>
      </c>
      <c r="E287" t="inlineStr">
        <is>
          <t>GOTLAND</t>
        </is>
      </c>
      <c r="F287" t="inlineStr">
        <is>
          <t>Kyrkan</t>
        </is>
      </c>
      <c r="G287" t="n">
        <v>0.6</v>
      </c>
      <c r="H287" t="n">
        <v>0</v>
      </c>
      <c r="I287" t="n">
        <v>0</v>
      </c>
      <c r="J287" t="n">
        <v>0</v>
      </c>
      <c r="K287" t="n">
        <v>0</v>
      </c>
      <c r="L287" t="n">
        <v>0</v>
      </c>
      <c r="M287" t="n">
        <v>0</v>
      </c>
      <c r="N287" t="n">
        <v>0</v>
      </c>
      <c r="O287" t="n">
        <v>0</v>
      </c>
      <c r="P287" t="n">
        <v>0</v>
      </c>
      <c r="Q287" t="n">
        <v>0</v>
      </c>
      <c r="R287" s="2" t="inlineStr"/>
    </row>
    <row r="288" ht="15" customHeight="1">
      <c r="A288" t="inlineStr">
        <is>
          <t>A 37728-2024</t>
        </is>
      </c>
      <c r="B288" s="1" t="n">
        <v>45541</v>
      </c>
      <c r="C288" s="1" t="n">
        <v>45966</v>
      </c>
      <c r="D288" t="inlineStr">
        <is>
          <t>GOTLANDS LÄN</t>
        </is>
      </c>
      <c r="E288" t="inlineStr">
        <is>
          <t>GOTLAND</t>
        </is>
      </c>
      <c r="G288" t="n">
        <v>0.4</v>
      </c>
      <c r="H288" t="n">
        <v>0</v>
      </c>
      <c r="I288" t="n">
        <v>0</v>
      </c>
      <c r="J288" t="n">
        <v>0</v>
      </c>
      <c r="K288" t="n">
        <v>0</v>
      </c>
      <c r="L288" t="n">
        <v>0</v>
      </c>
      <c r="M288" t="n">
        <v>0</v>
      </c>
      <c r="N288" t="n">
        <v>0</v>
      </c>
      <c r="O288" t="n">
        <v>0</v>
      </c>
      <c r="P288" t="n">
        <v>0</v>
      </c>
      <c r="Q288" t="n">
        <v>0</v>
      </c>
      <c r="R288" s="2" t="inlineStr"/>
    </row>
    <row r="289" ht="15" customHeight="1">
      <c r="A289" t="inlineStr">
        <is>
          <t>A 12209-2024</t>
        </is>
      </c>
      <c r="B289" s="1" t="n">
        <v>45378</v>
      </c>
      <c r="C289" s="1" t="n">
        <v>45966</v>
      </c>
      <c r="D289" t="inlineStr">
        <is>
          <t>GOTLANDS LÄN</t>
        </is>
      </c>
      <c r="E289" t="inlineStr">
        <is>
          <t>GOTLAND</t>
        </is>
      </c>
      <c r="G289" t="n">
        <v>5.3</v>
      </c>
      <c r="H289" t="n">
        <v>0</v>
      </c>
      <c r="I289" t="n">
        <v>0</v>
      </c>
      <c r="J289" t="n">
        <v>0</v>
      </c>
      <c r="K289" t="n">
        <v>0</v>
      </c>
      <c r="L289" t="n">
        <v>0</v>
      </c>
      <c r="M289" t="n">
        <v>0</v>
      </c>
      <c r="N289" t="n">
        <v>0</v>
      </c>
      <c r="O289" t="n">
        <v>0</v>
      </c>
      <c r="P289" t="n">
        <v>0</v>
      </c>
      <c r="Q289" t="n">
        <v>0</v>
      </c>
      <c r="R289" s="2" t="inlineStr"/>
    </row>
    <row r="290" ht="15" customHeight="1">
      <c r="A290" t="inlineStr">
        <is>
          <t>A 12210-2024</t>
        </is>
      </c>
      <c r="B290" s="1" t="n">
        <v>45378</v>
      </c>
      <c r="C290" s="1" t="n">
        <v>45966</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47147-2025</t>
        </is>
      </c>
      <c r="B291" s="1" t="n">
        <v>45929.71716435185</v>
      </c>
      <c r="C291" s="1" t="n">
        <v>45966</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59986-2022</t>
        </is>
      </c>
      <c r="B292" s="1" t="n">
        <v>44909</v>
      </c>
      <c r="C292" s="1" t="n">
        <v>45966</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2241-2025</t>
        </is>
      </c>
      <c r="B293" s="1" t="n">
        <v>45673.48710648148</v>
      </c>
      <c r="C293" s="1" t="n">
        <v>45966</v>
      </c>
      <c r="D293" t="inlineStr">
        <is>
          <t>GOTLANDS LÄN</t>
        </is>
      </c>
      <c r="E293" t="inlineStr">
        <is>
          <t>GOTLAND</t>
        </is>
      </c>
      <c r="G293" t="n">
        <v>1</v>
      </c>
      <c r="H293" t="n">
        <v>0</v>
      </c>
      <c r="I293" t="n">
        <v>0</v>
      </c>
      <c r="J293" t="n">
        <v>0</v>
      </c>
      <c r="K293" t="n">
        <v>0</v>
      </c>
      <c r="L293" t="n">
        <v>0</v>
      </c>
      <c r="M293" t="n">
        <v>0</v>
      </c>
      <c r="N293" t="n">
        <v>0</v>
      </c>
      <c r="O293" t="n">
        <v>0</v>
      </c>
      <c r="P293" t="n">
        <v>0</v>
      </c>
      <c r="Q293" t="n">
        <v>0</v>
      </c>
      <c r="R293" s="2" t="inlineStr"/>
    </row>
    <row r="294" ht="15" customHeight="1">
      <c r="A294" t="inlineStr">
        <is>
          <t>A 456-2023</t>
        </is>
      </c>
      <c r="B294" s="1" t="n">
        <v>44929.87122685185</v>
      </c>
      <c r="C294" s="1" t="n">
        <v>45966</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39849-2025</t>
        </is>
      </c>
      <c r="B295" s="1" t="n">
        <v>45891.58502314815</v>
      </c>
      <c r="C295" s="1" t="n">
        <v>45966</v>
      </c>
      <c r="D295" t="inlineStr">
        <is>
          <t>GOTLANDS LÄN</t>
        </is>
      </c>
      <c r="E295" t="inlineStr">
        <is>
          <t>GOTLAND</t>
        </is>
      </c>
      <c r="G295" t="n">
        <v>6.1</v>
      </c>
      <c r="H295" t="n">
        <v>0</v>
      </c>
      <c r="I295" t="n">
        <v>0</v>
      </c>
      <c r="J295" t="n">
        <v>0</v>
      </c>
      <c r="K295" t="n">
        <v>0</v>
      </c>
      <c r="L295" t="n">
        <v>0</v>
      </c>
      <c r="M295" t="n">
        <v>0</v>
      </c>
      <c r="N295" t="n">
        <v>0</v>
      </c>
      <c r="O295" t="n">
        <v>0</v>
      </c>
      <c r="P295" t="n">
        <v>0</v>
      </c>
      <c r="Q295" t="n">
        <v>0</v>
      </c>
      <c r="R295" s="2" t="inlineStr"/>
    </row>
    <row r="296" ht="15" customHeight="1">
      <c r="A296" t="inlineStr">
        <is>
          <t>A 39814-2025</t>
        </is>
      </c>
      <c r="B296" s="1" t="n">
        <v>45891.52694444444</v>
      </c>
      <c r="C296" s="1" t="n">
        <v>45966</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31802-2024</t>
        </is>
      </c>
      <c r="B297" s="1" t="n">
        <v>45509</v>
      </c>
      <c r="C297" s="1" t="n">
        <v>45966</v>
      </c>
      <c r="D297" t="inlineStr">
        <is>
          <t>GOTLANDS LÄN</t>
        </is>
      </c>
      <c r="E297" t="inlineStr">
        <is>
          <t>GOTLAND</t>
        </is>
      </c>
      <c r="G297" t="n">
        <v>2.8</v>
      </c>
      <c r="H297" t="n">
        <v>0</v>
      </c>
      <c r="I297" t="n">
        <v>0</v>
      </c>
      <c r="J297" t="n">
        <v>0</v>
      </c>
      <c r="K297" t="n">
        <v>0</v>
      </c>
      <c r="L297" t="n">
        <v>0</v>
      </c>
      <c r="M297" t="n">
        <v>0</v>
      </c>
      <c r="N297" t="n">
        <v>0</v>
      </c>
      <c r="O297" t="n">
        <v>0</v>
      </c>
      <c r="P297" t="n">
        <v>0</v>
      </c>
      <c r="Q297" t="n">
        <v>0</v>
      </c>
      <c r="R297" s="2" t="inlineStr"/>
    </row>
    <row r="298" ht="15" customHeight="1">
      <c r="A298" t="inlineStr">
        <is>
          <t>A 39819-2025</t>
        </is>
      </c>
      <c r="B298" s="1" t="n">
        <v>45891.53418981482</v>
      </c>
      <c r="C298" s="1" t="n">
        <v>45966</v>
      </c>
      <c r="D298" t="inlineStr">
        <is>
          <t>GOTLANDS LÄN</t>
        </is>
      </c>
      <c r="E298" t="inlineStr">
        <is>
          <t>GOTLAND</t>
        </is>
      </c>
      <c r="G298" t="n">
        <v>3.1</v>
      </c>
      <c r="H298" t="n">
        <v>0</v>
      </c>
      <c r="I298" t="n">
        <v>0</v>
      </c>
      <c r="J298" t="n">
        <v>0</v>
      </c>
      <c r="K298" t="n">
        <v>0</v>
      </c>
      <c r="L298" t="n">
        <v>0</v>
      </c>
      <c r="M298" t="n">
        <v>0</v>
      </c>
      <c r="N298" t="n">
        <v>0</v>
      </c>
      <c r="O298" t="n">
        <v>0</v>
      </c>
      <c r="P298" t="n">
        <v>0</v>
      </c>
      <c r="Q298" t="n">
        <v>0</v>
      </c>
      <c r="R298" s="2" t="inlineStr"/>
    </row>
    <row r="299" ht="15" customHeight="1">
      <c r="A299" t="inlineStr">
        <is>
          <t>A 20993-2023</t>
        </is>
      </c>
      <c r="B299" s="1" t="n">
        <v>45056</v>
      </c>
      <c r="C299" s="1" t="n">
        <v>45966</v>
      </c>
      <c r="D299" t="inlineStr">
        <is>
          <t>GOTLANDS LÄN</t>
        </is>
      </c>
      <c r="E299" t="inlineStr">
        <is>
          <t>GOTLAND</t>
        </is>
      </c>
      <c r="G299" t="n">
        <v>7.1</v>
      </c>
      <c r="H299" t="n">
        <v>0</v>
      </c>
      <c r="I299" t="n">
        <v>0</v>
      </c>
      <c r="J299" t="n">
        <v>0</v>
      </c>
      <c r="K299" t="n">
        <v>0</v>
      </c>
      <c r="L299" t="n">
        <v>0</v>
      </c>
      <c r="M299" t="n">
        <v>0</v>
      </c>
      <c r="N299" t="n">
        <v>0</v>
      </c>
      <c r="O299" t="n">
        <v>0</v>
      </c>
      <c r="P299" t="n">
        <v>0</v>
      </c>
      <c r="Q299" t="n">
        <v>0</v>
      </c>
      <c r="R299" s="2" t="inlineStr"/>
    </row>
    <row r="300" ht="15" customHeight="1">
      <c r="A300" t="inlineStr">
        <is>
          <t>A 22275-2023</t>
        </is>
      </c>
      <c r="B300" s="1" t="n">
        <v>45070.39875</v>
      </c>
      <c r="C300" s="1" t="n">
        <v>45966</v>
      </c>
      <c r="D300" t="inlineStr">
        <is>
          <t>GOTLANDS LÄN</t>
        </is>
      </c>
      <c r="E300" t="inlineStr">
        <is>
          <t>GOTLAND</t>
        </is>
      </c>
      <c r="G300" t="n">
        <v>7.2</v>
      </c>
      <c r="H300" t="n">
        <v>0</v>
      </c>
      <c r="I300" t="n">
        <v>0</v>
      </c>
      <c r="J300" t="n">
        <v>0</v>
      </c>
      <c r="K300" t="n">
        <v>0</v>
      </c>
      <c r="L300" t="n">
        <v>0</v>
      </c>
      <c r="M300" t="n">
        <v>0</v>
      </c>
      <c r="N300" t="n">
        <v>0</v>
      </c>
      <c r="O300" t="n">
        <v>0</v>
      </c>
      <c r="P300" t="n">
        <v>0</v>
      </c>
      <c r="Q300" t="n">
        <v>0</v>
      </c>
      <c r="R300" s="2" t="inlineStr"/>
    </row>
    <row r="301" ht="15" customHeight="1">
      <c r="A301" t="inlineStr">
        <is>
          <t>A 15042-2025</t>
        </is>
      </c>
      <c r="B301" s="1" t="n">
        <v>45743</v>
      </c>
      <c r="C301" s="1" t="n">
        <v>45966</v>
      </c>
      <c r="D301" t="inlineStr">
        <is>
          <t>GOTLANDS LÄN</t>
        </is>
      </c>
      <c r="E301" t="inlineStr">
        <is>
          <t>GOTLAND</t>
        </is>
      </c>
      <c r="G301" t="n">
        <v>8.5</v>
      </c>
      <c r="H301" t="n">
        <v>0</v>
      </c>
      <c r="I301" t="n">
        <v>0</v>
      </c>
      <c r="J301" t="n">
        <v>0</v>
      </c>
      <c r="K301" t="n">
        <v>0</v>
      </c>
      <c r="L301" t="n">
        <v>0</v>
      </c>
      <c r="M301" t="n">
        <v>0</v>
      </c>
      <c r="N301" t="n">
        <v>0</v>
      </c>
      <c r="O301" t="n">
        <v>0</v>
      </c>
      <c r="P301" t="n">
        <v>0</v>
      </c>
      <c r="Q301" t="n">
        <v>0</v>
      </c>
      <c r="R301" s="2" t="inlineStr"/>
    </row>
    <row r="302" ht="15" customHeight="1">
      <c r="A302" t="inlineStr">
        <is>
          <t>A 14635-2023</t>
        </is>
      </c>
      <c r="B302" s="1" t="n">
        <v>45013.69365740741</v>
      </c>
      <c r="C302" s="1" t="n">
        <v>45966</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63763-2023</t>
        </is>
      </c>
      <c r="B303" s="1" t="n">
        <v>45278.33944444444</v>
      </c>
      <c r="C303" s="1" t="n">
        <v>45966</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7635-2025</t>
        </is>
      </c>
      <c r="B304" s="1" t="n">
        <v>45705</v>
      </c>
      <c r="C304" s="1" t="n">
        <v>45966</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7636-2025</t>
        </is>
      </c>
      <c r="B305" s="1" t="n">
        <v>45705.7687962963</v>
      </c>
      <c r="C305" s="1" t="n">
        <v>45966</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7639-2025</t>
        </is>
      </c>
      <c r="B306" s="1" t="n">
        <v>45705.77465277778</v>
      </c>
      <c r="C306" s="1" t="n">
        <v>45966</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47578-2025</t>
        </is>
      </c>
      <c r="B307" s="1" t="n">
        <v>45931</v>
      </c>
      <c r="C307" s="1" t="n">
        <v>45966</v>
      </c>
      <c r="D307" t="inlineStr">
        <is>
          <t>GOTLANDS LÄN</t>
        </is>
      </c>
      <c r="E307" t="inlineStr">
        <is>
          <t>GOTLAND</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61682-2024</t>
        </is>
      </c>
      <c r="B308" s="1" t="n">
        <v>45647.48824074074</v>
      </c>
      <c r="C308" s="1" t="n">
        <v>45966</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12327-2025</t>
        </is>
      </c>
      <c r="B309" s="1" t="n">
        <v>45730</v>
      </c>
      <c r="C309" s="1" t="n">
        <v>45966</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15434-2024</t>
        </is>
      </c>
      <c r="B310" s="1" t="n">
        <v>45401.38836805556</v>
      </c>
      <c r="C310" s="1" t="n">
        <v>45966</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39752-2025</t>
        </is>
      </c>
      <c r="B311" s="1" t="n">
        <v>45891</v>
      </c>
      <c r="C311" s="1" t="n">
        <v>45966</v>
      </c>
      <c r="D311" t="inlineStr">
        <is>
          <t>GOTLANDS LÄN</t>
        </is>
      </c>
      <c r="E311" t="inlineStr">
        <is>
          <t>GOTLAND</t>
        </is>
      </c>
      <c r="G311" t="n">
        <v>5.3</v>
      </c>
      <c r="H311" t="n">
        <v>0</v>
      </c>
      <c r="I311" t="n">
        <v>0</v>
      </c>
      <c r="J311" t="n">
        <v>0</v>
      </c>
      <c r="K311" t="n">
        <v>0</v>
      </c>
      <c r="L311" t="n">
        <v>0</v>
      </c>
      <c r="M311" t="n">
        <v>0</v>
      </c>
      <c r="N311" t="n">
        <v>0</v>
      </c>
      <c r="O311" t="n">
        <v>0</v>
      </c>
      <c r="P311" t="n">
        <v>0</v>
      </c>
      <c r="Q311" t="n">
        <v>0</v>
      </c>
      <c r="R311" s="2" t="inlineStr"/>
    </row>
    <row r="312" ht="15" customHeight="1">
      <c r="A312" t="inlineStr">
        <is>
          <t>A 39816-2025</t>
        </is>
      </c>
      <c r="B312" s="1" t="n">
        <v>45891</v>
      </c>
      <c r="C312" s="1" t="n">
        <v>45966</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40372-2025</t>
        </is>
      </c>
      <c r="B313" s="1" t="n">
        <v>45895.5162037037</v>
      </c>
      <c r="C313" s="1" t="n">
        <v>45966</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4420-2025</t>
        </is>
      </c>
      <c r="B314" s="1" t="n">
        <v>45686.47157407407</v>
      </c>
      <c r="C314" s="1" t="n">
        <v>45966</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40373-2025</t>
        </is>
      </c>
      <c r="B315" s="1" t="n">
        <v>45895.51821759259</v>
      </c>
      <c r="C315" s="1" t="n">
        <v>45966</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14427-2024</t>
        </is>
      </c>
      <c r="B316" s="1" t="n">
        <v>45394</v>
      </c>
      <c r="C316" s="1" t="n">
        <v>45966</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7034-2023</t>
        </is>
      </c>
      <c r="B317" s="1" t="n">
        <v>44968.32108796296</v>
      </c>
      <c r="C317" s="1" t="n">
        <v>45966</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7042-2023</t>
        </is>
      </c>
      <c r="B318" s="1" t="n">
        <v>44968</v>
      </c>
      <c r="C318" s="1" t="n">
        <v>45966</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2180-2025</t>
        </is>
      </c>
      <c r="B319" s="1" t="n">
        <v>45673</v>
      </c>
      <c r="C319" s="1" t="n">
        <v>45966</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54074-2022</t>
        </is>
      </c>
      <c r="B320" s="1" t="n">
        <v>44881</v>
      </c>
      <c r="C320" s="1" t="n">
        <v>45966</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49257-2024</t>
        </is>
      </c>
      <c r="B321" s="1" t="n">
        <v>45595.47627314815</v>
      </c>
      <c r="C321" s="1" t="n">
        <v>45966</v>
      </c>
      <c r="D321" t="inlineStr">
        <is>
          <t>GOTLANDS LÄN</t>
        </is>
      </c>
      <c r="E321" t="inlineStr">
        <is>
          <t>GOTLAND</t>
        </is>
      </c>
      <c r="G321" t="n">
        <v>6.3</v>
      </c>
      <c r="H321" t="n">
        <v>0</v>
      </c>
      <c r="I321" t="n">
        <v>0</v>
      </c>
      <c r="J321" t="n">
        <v>0</v>
      </c>
      <c r="K321" t="n">
        <v>0</v>
      </c>
      <c r="L321" t="n">
        <v>0</v>
      </c>
      <c r="M321" t="n">
        <v>0</v>
      </c>
      <c r="N321" t="n">
        <v>0</v>
      </c>
      <c r="O321" t="n">
        <v>0</v>
      </c>
      <c r="P321" t="n">
        <v>0</v>
      </c>
      <c r="Q321" t="n">
        <v>0</v>
      </c>
      <c r="R321" s="2" t="inlineStr"/>
    </row>
    <row r="322" ht="15" customHeight="1">
      <c r="A322" t="inlineStr">
        <is>
          <t>A 61694-2023</t>
        </is>
      </c>
      <c r="B322" s="1" t="n">
        <v>45264</v>
      </c>
      <c r="C322" s="1" t="n">
        <v>45966</v>
      </c>
      <c r="D322" t="inlineStr">
        <is>
          <t>GOTLANDS LÄN</t>
        </is>
      </c>
      <c r="E322" t="inlineStr">
        <is>
          <t>GOTLAND</t>
        </is>
      </c>
      <c r="G322" t="n">
        <v>4.6</v>
      </c>
      <c r="H322" t="n">
        <v>0</v>
      </c>
      <c r="I322" t="n">
        <v>0</v>
      </c>
      <c r="J322" t="n">
        <v>0</v>
      </c>
      <c r="K322" t="n">
        <v>0</v>
      </c>
      <c r="L322" t="n">
        <v>0</v>
      </c>
      <c r="M322" t="n">
        <v>0</v>
      </c>
      <c r="N322" t="n">
        <v>0</v>
      </c>
      <c r="O322" t="n">
        <v>0</v>
      </c>
      <c r="P322" t="n">
        <v>0</v>
      </c>
      <c r="Q322" t="n">
        <v>0</v>
      </c>
      <c r="R322" s="2" t="inlineStr"/>
    </row>
    <row r="323" ht="15" customHeight="1">
      <c r="A323" t="inlineStr">
        <is>
          <t>A 40103-2025</t>
        </is>
      </c>
      <c r="B323" s="1" t="n">
        <v>45894.4880324074</v>
      </c>
      <c r="C323" s="1" t="n">
        <v>45966</v>
      </c>
      <c r="D323" t="inlineStr">
        <is>
          <t>GOTLANDS LÄN</t>
        </is>
      </c>
      <c r="E323" t="inlineStr">
        <is>
          <t>GOTLAND</t>
        </is>
      </c>
      <c r="G323" t="n">
        <v>0.9</v>
      </c>
      <c r="H323" t="n">
        <v>0</v>
      </c>
      <c r="I323" t="n">
        <v>0</v>
      </c>
      <c r="J323" t="n">
        <v>0</v>
      </c>
      <c r="K323" t="n">
        <v>0</v>
      </c>
      <c r="L323" t="n">
        <v>0</v>
      </c>
      <c r="M323" t="n">
        <v>0</v>
      </c>
      <c r="N323" t="n">
        <v>0</v>
      </c>
      <c r="O323" t="n">
        <v>0</v>
      </c>
      <c r="P323" t="n">
        <v>0</v>
      </c>
      <c r="Q323" t="n">
        <v>0</v>
      </c>
      <c r="R323" s="2" t="inlineStr"/>
    </row>
    <row r="324" ht="15" customHeight="1">
      <c r="A324" t="inlineStr">
        <is>
          <t>A 64208-2021</t>
        </is>
      </c>
      <c r="B324" s="1" t="n">
        <v>44510</v>
      </c>
      <c r="C324" s="1" t="n">
        <v>45966</v>
      </c>
      <c r="D324" t="inlineStr">
        <is>
          <t>GOTLANDS LÄN</t>
        </is>
      </c>
      <c r="E324" t="inlineStr">
        <is>
          <t>GOTLAND</t>
        </is>
      </c>
      <c r="G324" t="n">
        <v>4.7</v>
      </c>
      <c r="H324" t="n">
        <v>0</v>
      </c>
      <c r="I324" t="n">
        <v>0</v>
      </c>
      <c r="J324" t="n">
        <v>0</v>
      </c>
      <c r="K324" t="n">
        <v>0</v>
      </c>
      <c r="L324" t="n">
        <v>0</v>
      </c>
      <c r="M324" t="n">
        <v>0</v>
      </c>
      <c r="N324" t="n">
        <v>0</v>
      </c>
      <c r="O324" t="n">
        <v>0</v>
      </c>
      <c r="P324" t="n">
        <v>0</v>
      </c>
      <c r="Q324" t="n">
        <v>0</v>
      </c>
      <c r="R324" s="2" t="inlineStr"/>
    </row>
    <row r="325" ht="15" customHeight="1">
      <c r="A325" t="inlineStr">
        <is>
          <t>A 38649-2025</t>
        </is>
      </c>
      <c r="B325" s="1" t="n">
        <v>45884</v>
      </c>
      <c r="C325" s="1" t="n">
        <v>45966</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49315-2024</t>
        </is>
      </c>
      <c r="B326" s="1" t="n">
        <v>45595</v>
      </c>
      <c r="C326" s="1" t="n">
        <v>45966</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54268-2022</t>
        </is>
      </c>
      <c r="B327" s="1" t="n">
        <v>44882</v>
      </c>
      <c r="C327" s="1" t="n">
        <v>45966</v>
      </c>
      <c r="D327" t="inlineStr">
        <is>
          <t>GOTLANDS LÄN</t>
        </is>
      </c>
      <c r="E327" t="inlineStr">
        <is>
          <t>GOTLAND</t>
        </is>
      </c>
      <c r="G327" t="n">
        <v>2.7</v>
      </c>
      <c r="H327" t="n">
        <v>0</v>
      </c>
      <c r="I327" t="n">
        <v>0</v>
      </c>
      <c r="J327" t="n">
        <v>0</v>
      </c>
      <c r="K327" t="n">
        <v>0</v>
      </c>
      <c r="L327" t="n">
        <v>0</v>
      </c>
      <c r="M327" t="n">
        <v>0</v>
      </c>
      <c r="N327" t="n">
        <v>0</v>
      </c>
      <c r="O327" t="n">
        <v>0</v>
      </c>
      <c r="P327" t="n">
        <v>0</v>
      </c>
      <c r="Q327" t="n">
        <v>0</v>
      </c>
      <c r="R327" s="2" t="inlineStr"/>
    </row>
    <row r="328" ht="15" customHeight="1">
      <c r="A328" t="inlineStr">
        <is>
          <t>A 1446-2025</t>
        </is>
      </c>
      <c r="B328" s="1" t="n">
        <v>45669.86035879629</v>
      </c>
      <c r="C328" s="1" t="n">
        <v>45966</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1462-2025</t>
        </is>
      </c>
      <c r="B329" s="1" t="n">
        <v>45670.36319444444</v>
      </c>
      <c r="C329" s="1" t="n">
        <v>45966</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57685-2022</t>
        </is>
      </c>
      <c r="B330" s="1" t="n">
        <v>44897.4777662037</v>
      </c>
      <c r="C330" s="1" t="n">
        <v>45966</v>
      </c>
      <c r="D330" t="inlineStr">
        <is>
          <t>GOTLANDS LÄN</t>
        </is>
      </c>
      <c r="E330" t="inlineStr">
        <is>
          <t>GOTLAND</t>
        </is>
      </c>
      <c r="G330" t="n">
        <v>3.7</v>
      </c>
      <c r="H330" t="n">
        <v>0</v>
      </c>
      <c r="I330" t="n">
        <v>0</v>
      </c>
      <c r="J330" t="n">
        <v>0</v>
      </c>
      <c r="K330" t="n">
        <v>0</v>
      </c>
      <c r="L330" t="n">
        <v>0</v>
      </c>
      <c r="M330" t="n">
        <v>0</v>
      </c>
      <c r="N330" t="n">
        <v>0</v>
      </c>
      <c r="O330" t="n">
        <v>0</v>
      </c>
      <c r="P330" t="n">
        <v>0</v>
      </c>
      <c r="Q330" t="n">
        <v>0</v>
      </c>
      <c r="R330" s="2" t="inlineStr"/>
    </row>
    <row r="331" ht="15" customHeight="1">
      <c r="A331" t="inlineStr">
        <is>
          <t>A 811-2023</t>
        </is>
      </c>
      <c r="B331" s="1" t="n">
        <v>44931</v>
      </c>
      <c r="C331" s="1" t="n">
        <v>45966</v>
      </c>
      <c r="D331" t="inlineStr">
        <is>
          <t>GOTLANDS LÄN</t>
        </is>
      </c>
      <c r="E331" t="inlineStr">
        <is>
          <t>GOTLAND</t>
        </is>
      </c>
      <c r="G331" t="n">
        <v>0.6</v>
      </c>
      <c r="H331" t="n">
        <v>0</v>
      </c>
      <c r="I331" t="n">
        <v>0</v>
      </c>
      <c r="J331" t="n">
        <v>0</v>
      </c>
      <c r="K331" t="n">
        <v>0</v>
      </c>
      <c r="L331" t="n">
        <v>0</v>
      </c>
      <c r="M331" t="n">
        <v>0</v>
      </c>
      <c r="N331" t="n">
        <v>0</v>
      </c>
      <c r="O331" t="n">
        <v>0</v>
      </c>
      <c r="P331" t="n">
        <v>0</v>
      </c>
      <c r="Q331" t="n">
        <v>0</v>
      </c>
      <c r="R331" s="2" t="inlineStr"/>
    </row>
    <row r="332" ht="15" customHeight="1">
      <c r="A332" t="inlineStr">
        <is>
          <t>A 40499-2025</t>
        </is>
      </c>
      <c r="B332" s="1" t="n">
        <v>45896.32517361111</v>
      </c>
      <c r="C332" s="1" t="n">
        <v>45966</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49690-2025</t>
        </is>
      </c>
      <c r="B333" s="1" t="n">
        <v>45939.66730324074</v>
      </c>
      <c r="C333" s="1" t="n">
        <v>45966</v>
      </c>
      <c r="D333" t="inlineStr">
        <is>
          <t>GOTLANDS LÄN</t>
        </is>
      </c>
      <c r="E333" t="inlineStr">
        <is>
          <t>GOTLAND</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49724-2025</t>
        </is>
      </c>
      <c r="B334" s="1" t="n">
        <v>45939.83730324074</v>
      </c>
      <c r="C334" s="1" t="n">
        <v>45966</v>
      </c>
      <c r="D334" t="inlineStr">
        <is>
          <t>GOTLANDS LÄN</t>
        </is>
      </c>
      <c r="E334" t="inlineStr">
        <is>
          <t>GOTLAND</t>
        </is>
      </c>
      <c r="F334" t="inlineStr">
        <is>
          <t>Kyrkan</t>
        </is>
      </c>
      <c r="G334" t="n">
        <v>3.1</v>
      </c>
      <c r="H334" t="n">
        <v>0</v>
      </c>
      <c r="I334" t="n">
        <v>0</v>
      </c>
      <c r="J334" t="n">
        <v>0</v>
      </c>
      <c r="K334" t="n">
        <v>0</v>
      </c>
      <c r="L334" t="n">
        <v>0</v>
      </c>
      <c r="M334" t="n">
        <v>0</v>
      </c>
      <c r="N334" t="n">
        <v>0</v>
      </c>
      <c r="O334" t="n">
        <v>0</v>
      </c>
      <c r="P334" t="n">
        <v>0</v>
      </c>
      <c r="Q334" t="n">
        <v>0</v>
      </c>
      <c r="R334" s="2" t="inlineStr"/>
    </row>
    <row r="335" ht="15" customHeight="1">
      <c r="A335" t="inlineStr">
        <is>
          <t>A 49730-2025</t>
        </is>
      </c>
      <c r="B335" s="1" t="n">
        <v>45939.87613425926</v>
      </c>
      <c r="C335" s="1" t="n">
        <v>45966</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5905-2024</t>
        </is>
      </c>
      <c r="B336" s="1" t="n">
        <v>45335.88993055555</v>
      </c>
      <c r="C336" s="1" t="n">
        <v>45966</v>
      </c>
      <c r="D336" t="inlineStr">
        <is>
          <t>GOTLANDS LÄN</t>
        </is>
      </c>
      <c r="E336" t="inlineStr">
        <is>
          <t>GOTLAND</t>
        </is>
      </c>
      <c r="G336" t="n">
        <v>3</v>
      </c>
      <c r="H336" t="n">
        <v>0</v>
      </c>
      <c r="I336" t="n">
        <v>0</v>
      </c>
      <c r="J336" t="n">
        <v>0</v>
      </c>
      <c r="K336" t="n">
        <v>0</v>
      </c>
      <c r="L336" t="n">
        <v>0</v>
      </c>
      <c r="M336" t="n">
        <v>0</v>
      </c>
      <c r="N336" t="n">
        <v>0</v>
      </c>
      <c r="O336" t="n">
        <v>0</v>
      </c>
      <c r="P336" t="n">
        <v>0</v>
      </c>
      <c r="Q336" t="n">
        <v>0</v>
      </c>
      <c r="R336" s="2" t="inlineStr"/>
    </row>
    <row r="337" ht="15" customHeight="1">
      <c r="A337" t="inlineStr">
        <is>
          <t>A 3431-2025</t>
        </is>
      </c>
      <c r="B337" s="1" t="n">
        <v>45680.42935185185</v>
      </c>
      <c r="C337" s="1" t="n">
        <v>45966</v>
      </c>
      <c r="D337" t="inlineStr">
        <is>
          <t>GOTLANDS LÄN</t>
        </is>
      </c>
      <c r="E337" t="inlineStr">
        <is>
          <t>GOTLAND</t>
        </is>
      </c>
      <c r="G337" t="n">
        <v>4.8</v>
      </c>
      <c r="H337" t="n">
        <v>0</v>
      </c>
      <c r="I337" t="n">
        <v>0</v>
      </c>
      <c r="J337" t="n">
        <v>0</v>
      </c>
      <c r="K337" t="n">
        <v>0</v>
      </c>
      <c r="L337" t="n">
        <v>0</v>
      </c>
      <c r="M337" t="n">
        <v>0</v>
      </c>
      <c r="N337" t="n">
        <v>0</v>
      </c>
      <c r="O337" t="n">
        <v>0</v>
      </c>
      <c r="P337" t="n">
        <v>0</v>
      </c>
      <c r="Q337" t="n">
        <v>0</v>
      </c>
      <c r="R337" s="2" t="inlineStr"/>
    </row>
    <row r="338" ht="15" customHeight="1">
      <c r="A338" t="inlineStr">
        <is>
          <t>A 34407-2023</t>
        </is>
      </c>
      <c r="B338" s="1" t="n">
        <v>45132</v>
      </c>
      <c r="C338" s="1" t="n">
        <v>45966</v>
      </c>
      <c r="D338" t="inlineStr">
        <is>
          <t>GOTLANDS LÄN</t>
        </is>
      </c>
      <c r="E338" t="inlineStr">
        <is>
          <t>GOTLAND</t>
        </is>
      </c>
      <c r="G338" t="n">
        <v>4.4</v>
      </c>
      <c r="H338" t="n">
        <v>0</v>
      </c>
      <c r="I338" t="n">
        <v>0</v>
      </c>
      <c r="J338" t="n">
        <v>0</v>
      </c>
      <c r="K338" t="n">
        <v>0</v>
      </c>
      <c r="L338" t="n">
        <v>0</v>
      </c>
      <c r="M338" t="n">
        <v>0</v>
      </c>
      <c r="N338" t="n">
        <v>0</v>
      </c>
      <c r="O338" t="n">
        <v>0</v>
      </c>
      <c r="P338" t="n">
        <v>0</v>
      </c>
      <c r="Q338" t="n">
        <v>0</v>
      </c>
      <c r="R338" s="2" t="inlineStr"/>
    </row>
    <row r="339" ht="15" customHeight="1">
      <c r="A339" t="inlineStr">
        <is>
          <t>A 30892-2024</t>
        </is>
      </c>
      <c r="B339" s="1" t="n">
        <v>45491</v>
      </c>
      <c r="C339" s="1" t="n">
        <v>45966</v>
      </c>
      <c r="D339" t="inlineStr">
        <is>
          <t>GOTLANDS LÄN</t>
        </is>
      </c>
      <c r="E339" t="inlineStr">
        <is>
          <t>GOTLAND</t>
        </is>
      </c>
      <c r="G339" t="n">
        <v>6.1</v>
      </c>
      <c r="H339" t="n">
        <v>0</v>
      </c>
      <c r="I339" t="n">
        <v>0</v>
      </c>
      <c r="J339" t="n">
        <v>0</v>
      </c>
      <c r="K339" t="n">
        <v>0</v>
      </c>
      <c r="L339" t="n">
        <v>0</v>
      </c>
      <c r="M339" t="n">
        <v>0</v>
      </c>
      <c r="N339" t="n">
        <v>0</v>
      </c>
      <c r="O339" t="n">
        <v>0</v>
      </c>
      <c r="P339" t="n">
        <v>0</v>
      </c>
      <c r="Q339" t="n">
        <v>0</v>
      </c>
      <c r="R339" s="2" t="inlineStr"/>
    </row>
    <row r="340" ht="15" customHeight="1">
      <c r="A340" t="inlineStr">
        <is>
          <t>A 32958-2021</t>
        </is>
      </c>
      <c r="B340" s="1" t="n">
        <v>44376</v>
      </c>
      <c r="C340" s="1" t="n">
        <v>45966</v>
      </c>
      <c r="D340" t="inlineStr">
        <is>
          <t>GOTLANDS LÄN</t>
        </is>
      </c>
      <c r="E340" t="inlineStr">
        <is>
          <t>GOTLAND</t>
        </is>
      </c>
      <c r="G340" t="n">
        <v>2.2</v>
      </c>
      <c r="H340" t="n">
        <v>0</v>
      </c>
      <c r="I340" t="n">
        <v>0</v>
      </c>
      <c r="J340" t="n">
        <v>0</v>
      </c>
      <c r="K340" t="n">
        <v>0</v>
      </c>
      <c r="L340" t="n">
        <v>0</v>
      </c>
      <c r="M340" t="n">
        <v>0</v>
      </c>
      <c r="N340" t="n">
        <v>0</v>
      </c>
      <c r="O340" t="n">
        <v>0</v>
      </c>
      <c r="P340" t="n">
        <v>0</v>
      </c>
      <c r="Q340" t="n">
        <v>0</v>
      </c>
      <c r="R340" s="2" t="inlineStr"/>
    </row>
    <row r="341" ht="15" customHeight="1">
      <c r="A341" t="inlineStr">
        <is>
          <t>A 27596-2023</t>
        </is>
      </c>
      <c r="B341" s="1" t="n">
        <v>45097</v>
      </c>
      <c r="C341" s="1" t="n">
        <v>45966</v>
      </c>
      <c r="D341" t="inlineStr">
        <is>
          <t>GOTLANDS LÄN</t>
        </is>
      </c>
      <c r="E341" t="inlineStr">
        <is>
          <t>GOTLAND</t>
        </is>
      </c>
      <c r="G341" t="n">
        <v>3.6</v>
      </c>
      <c r="H341" t="n">
        <v>0</v>
      </c>
      <c r="I341" t="n">
        <v>0</v>
      </c>
      <c r="J341" t="n">
        <v>0</v>
      </c>
      <c r="K341" t="n">
        <v>0</v>
      </c>
      <c r="L341" t="n">
        <v>0</v>
      </c>
      <c r="M341" t="n">
        <v>0</v>
      </c>
      <c r="N341" t="n">
        <v>0</v>
      </c>
      <c r="O341" t="n">
        <v>0</v>
      </c>
      <c r="P341" t="n">
        <v>0</v>
      </c>
      <c r="Q341" t="n">
        <v>0</v>
      </c>
      <c r="R341" s="2" t="inlineStr"/>
    </row>
    <row r="342" ht="15" customHeight="1">
      <c r="A342" t="inlineStr">
        <is>
          <t>A 56115-2023</t>
        </is>
      </c>
      <c r="B342" s="1" t="n">
        <v>45236</v>
      </c>
      <c r="C342" s="1" t="n">
        <v>45966</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64969-2023</t>
        </is>
      </c>
      <c r="B343" s="1" t="n">
        <v>45284.54009259259</v>
      </c>
      <c r="C343" s="1" t="n">
        <v>45966</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41551-2025</t>
        </is>
      </c>
      <c r="B344" s="1" t="n">
        <v>45901.58854166666</v>
      </c>
      <c r="C344" s="1" t="n">
        <v>45966</v>
      </c>
      <c r="D344" t="inlineStr">
        <is>
          <t>GOTLANDS LÄN</t>
        </is>
      </c>
      <c r="E344" t="inlineStr">
        <is>
          <t>GOTLAND</t>
        </is>
      </c>
      <c r="G344" t="n">
        <v>5.6</v>
      </c>
      <c r="H344" t="n">
        <v>0</v>
      </c>
      <c r="I344" t="n">
        <v>0</v>
      </c>
      <c r="J344" t="n">
        <v>0</v>
      </c>
      <c r="K344" t="n">
        <v>0</v>
      </c>
      <c r="L344" t="n">
        <v>0</v>
      </c>
      <c r="M344" t="n">
        <v>0</v>
      </c>
      <c r="N344" t="n">
        <v>0</v>
      </c>
      <c r="O344" t="n">
        <v>0</v>
      </c>
      <c r="P344" t="n">
        <v>0</v>
      </c>
      <c r="Q344" t="n">
        <v>0</v>
      </c>
      <c r="R344" s="2" t="inlineStr"/>
    </row>
    <row r="345" ht="15" customHeight="1">
      <c r="A345" t="inlineStr">
        <is>
          <t>A 33853-2024</t>
        </is>
      </c>
      <c r="B345" s="1" t="n">
        <v>45520.64298611111</v>
      </c>
      <c r="C345" s="1" t="n">
        <v>45966</v>
      </c>
      <c r="D345" t="inlineStr">
        <is>
          <t>GOTLANDS LÄN</t>
        </is>
      </c>
      <c r="E345" t="inlineStr">
        <is>
          <t>GOTLAND</t>
        </is>
      </c>
      <c r="G345" t="n">
        <v>3.9</v>
      </c>
      <c r="H345" t="n">
        <v>0</v>
      </c>
      <c r="I345" t="n">
        <v>0</v>
      </c>
      <c r="J345" t="n">
        <v>0</v>
      </c>
      <c r="K345" t="n">
        <v>0</v>
      </c>
      <c r="L345" t="n">
        <v>0</v>
      </c>
      <c r="M345" t="n">
        <v>0</v>
      </c>
      <c r="N345" t="n">
        <v>0</v>
      </c>
      <c r="O345" t="n">
        <v>0</v>
      </c>
      <c r="P345" t="n">
        <v>0</v>
      </c>
      <c r="Q345" t="n">
        <v>0</v>
      </c>
      <c r="R345" s="2" t="inlineStr"/>
    </row>
    <row r="346" ht="15" customHeight="1">
      <c r="A346" t="inlineStr">
        <is>
          <t>A 7858-2025</t>
        </is>
      </c>
      <c r="B346" s="1" t="n">
        <v>45706.68633101852</v>
      </c>
      <c r="C346" s="1" t="n">
        <v>45966</v>
      </c>
      <c r="D346" t="inlineStr">
        <is>
          <t>GOTLANDS LÄN</t>
        </is>
      </c>
      <c r="E346" t="inlineStr">
        <is>
          <t>GOTLAND</t>
        </is>
      </c>
      <c r="G346" t="n">
        <v>3</v>
      </c>
      <c r="H346" t="n">
        <v>0</v>
      </c>
      <c r="I346" t="n">
        <v>0</v>
      </c>
      <c r="J346" t="n">
        <v>0</v>
      </c>
      <c r="K346" t="n">
        <v>0</v>
      </c>
      <c r="L346" t="n">
        <v>0</v>
      </c>
      <c r="M346" t="n">
        <v>0</v>
      </c>
      <c r="N346" t="n">
        <v>0</v>
      </c>
      <c r="O346" t="n">
        <v>0</v>
      </c>
      <c r="P346" t="n">
        <v>0</v>
      </c>
      <c r="Q346" t="n">
        <v>0</v>
      </c>
      <c r="R346" s="2" t="inlineStr"/>
    </row>
    <row r="347" ht="15" customHeight="1">
      <c r="A347" t="inlineStr">
        <is>
          <t>A 46545-2024</t>
        </is>
      </c>
      <c r="B347" s="1" t="n">
        <v>45582.65831018519</v>
      </c>
      <c r="C347" s="1" t="n">
        <v>45966</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999-2023</t>
        </is>
      </c>
      <c r="B348" s="1" t="n">
        <v>44935</v>
      </c>
      <c r="C348" s="1" t="n">
        <v>45966</v>
      </c>
      <c r="D348" t="inlineStr">
        <is>
          <t>GOTLANDS LÄN</t>
        </is>
      </c>
      <c r="E348" t="inlineStr">
        <is>
          <t>GOTLAND</t>
        </is>
      </c>
      <c r="G348" t="n">
        <v>4.7</v>
      </c>
      <c r="H348" t="n">
        <v>0</v>
      </c>
      <c r="I348" t="n">
        <v>0</v>
      </c>
      <c r="J348" t="n">
        <v>0</v>
      </c>
      <c r="K348" t="n">
        <v>0</v>
      </c>
      <c r="L348" t="n">
        <v>0</v>
      </c>
      <c r="M348" t="n">
        <v>0</v>
      </c>
      <c r="N348" t="n">
        <v>0</v>
      </c>
      <c r="O348" t="n">
        <v>0</v>
      </c>
      <c r="P348" t="n">
        <v>0</v>
      </c>
      <c r="Q348" t="n">
        <v>0</v>
      </c>
      <c r="R348" s="2" t="inlineStr"/>
    </row>
    <row r="349" ht="15" customHeight="1">
      <c r="A349" t="inlineStr">
        <is>
          <t>A 1364-2025</t>
        </is>
      </c>
      <c r="B349" s="1" t="n">
        <v>45667.63929398148</v>
      </c>
      <c r="C349" s="1" t="n">
        <v>45966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2125-2025</t>
        </is>
      </c>
      <c r="B350" s="1" t="n">
        <v>45672.64940972222</v>
      </c>
      <c r="C350" s="1" t="n">
        <v>45966</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39278-2025</t>
        </is>
      </c>
      <c r="B351" s="1" t="n">
        <v>45889</v>
      </c>
      <c r="C351" s="1" t="n">
        <v>45966</v>
      </c>
      <c r="D351" t="inlineStr">
        <is>
          <t>GOTLANDS LÄN</t>
        </is>
      </c>
      <c r="E351" t="inlineStr">
        <is>
          <t>GOTLAND</t>
        </is>
      </c>
      <c r="G351" t="n">
        <v>3.7</v>
      </c>
      <c r="H351" t="n">
        <v>0</v>
      </c>
      <c r="I351" t="n">
        <v>0</v>
      </c>
      <c r="J351" t="n">
        <v>0</v>
      </c>
      <c r="K351" t="n">
        <v>0</v>
      </c>
      <c r="L351" t="n">
        <v>0</v>
      </c>
      <c r="M351" t="n">
        <v>0</v>
      </c>
      <c r="N351" t="n">
        <v>0</v>
      </c>
      <c r="O351" t="n">
        <v>0</v>
      </c>
      <c r="P351" t="n">
        <v>0</v>
      </c>
      <c r="Q351" t="n">
        <v>0</v>
      </c>
      <c r="R351" s="2" t="inlineStr"/>
    </row>
    <row r="352" ht="15" customHeight="1">
      <c r="A352" t="inlineStr">
        <is>
          <t>A 18223-2025</t>
        </is>
      </c>
      <c r="B352" s="1" t="n">
        <v>45761</v>
      </c>
      <c r="C352" s="1" t="n">
        <v>45966</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46949-2024</t>
        </is>
      </c>
      <c r="B353" s="1" t="n">
        <v>45585</v>
      </c>
      <c r="C353" s="1" t="n">
        <v>45966</v>
      </c>
      <c r="D353" t="inlineStr">
        <is>
          <t>GOTLANDS LÄN</t>
        </is>
      </c>
      <c r="E353" t="inlineStr">
        <is>
          <t>GOTLAND</t>
        </is>
      </c>
      <c r="G353" t="n">
        <v>0.6</v>
      </c>
      <c r="H353" t="n">
        <v>0</v>
      </c>
      <c r="I353" t="n">
        <v>0</v>
      </c>
      <c r="J353" t="n">
        <v>0</v>
      </c>
      <c r="K353" t="n">
        <v>0</v>
      </c>
      <c r="L353" t="n">
        <v>0</v>
      </c>
      <c r="M353" t="n">
        <v>0</v>
      </c>
      <c r="N353" t="n">
        <v>0</v>
      </c>
      <c r="O353" t="n">
        <v>0</v>
      </c>
      <c r="P353" t="n">
        <v>0</v>
      </c>
      <c r="Q353" t="n">
        <v>0</v>
      </c>
      <c r="R353" s="2" t="inlineStr"/>
    </row>
    <row r="354" ht="15" customHeight="1">
      <c r="A354" t="inlineStr">
        <is>
          <t>A 33011-2025</t>
        </is>
      </c>
      <c r="B354" s="1" t="n">
        <v>45840</v>
      </c>
      <c r="C354" s="1" t="n">
        <v>45966</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24001-2021</t>
        </is>
      </c>
      <c r="B355" s="1" t="n">
        <v>44335</v>
      </c>
      <c r="C355" s="1" t="n">
        <v>45966</v>
      </c>
      <c r="D355" t="inlineStr">
        <is>
          <t>GOTLANDS LÄN</t>
        </is>
      </c>
      <c r="E355" t="inlineStr">
        <is>
          <t>GOTLAND</t>
        </is>
      </c>
      <c r="G355" t="n">
        <v>3.4</v>
      </c>
      <c r="H355" t="n">
        <v>0</v>
      </c>
      <c r="I355" t="n">
        <v>0</v>
      </c>
      <c r="J355" t="n">
        <v>0</v>
      </c>
      <c r="K355" t="n">
        <v>0</v>
      </c>
      <c r="L355" t="n">
        <v>0</v>
      </c>
      <c r="M355" t="n">
        <v>0</v>
      </c>
      <c r="N355" t="n">
        <v>0</v>
      </c>
      <c r="O355" t="n">
        <v>0</v>
      </c>
      <c r="P355" t="n">
        <v>0</v>
      </c>
      <c r="Q355" t="n">
        <v>0</v>
      </c>
      <c r="R355" s="2" t="inlineStr"/>
    </row>
    <row r="356" ht="15" customHeight="1">
      <c r="A356" t="inlineStr">
        <is>
          <t>A 41435-2025</t>
        </is>
      </c>
      <c r="B356" s="1" t="n">
        <v>45901.39974537037</v>
      </c>
      <c r="C356" s="1" t="n">
        <v>45966</v>
      </c>
      <c r="D356" t="inlineStr">
        <is>
          <t>GOTLANDS LÄN</t>
        </is>
      </c>
      <c r="E356" t="inlineStr">
        <is>
          <t>GOTLAND</t>
        </is>
      </c>
      <c r="G356" t="n">
        <v>4.9</v>
      </c>
      <c r="H356" t="n">
        <v>0</v>
      </c>
      <c r="I356" t="n">
        <v>0</v>
      </c>
      <c r="J356" t="n">
        <v>0</v>
      </c>
      <c r="K356" t="n">
        <v>0</v>
      </c>
      <c r="L356" t="n">
        <v>0</v>
      </c>
      <c r="M356" t="n">
        <v>0</v>
      </c>
      <c r="N356" t="n">
        <v>0</v>
      </c>
      <c r="O356" t="n">
        <v>0</v>
      </c>
      <c r="P356" t="n">
        <v>0</v>
      </c>
      <c r="Q356" t="n">
        <v>0</v>
      </c>
      <c r="R356" s="2" t="inlineStr"/>
    </row>
    <row r="357" ht="15" customHeight="1">
      <c r="A357" t="inlineStr">
        <is>
          <t>A 39479-2022</t>
        </is>
      </c>
      <c r="B357" s="1" t="n">
        <v>44818</v>
      </c>
      <c r="C357" s="1" t="n">
        <v>45966</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39496-2022</t>
        </is>
      </c>
      <c r="B358" s="1" t="n">
        <v>44818</v>
      </c>
      <c r="C358" s="1" t="n">
        <v>45966</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14141-2024</t>
        </is>
      </c>
      <c r="B359" s="1" t="n">
        <v>45392.85193287037</v>
      </c>
      <c r="C359" s="1" t="n">
        <v>45966</v>
      </c>
      <c r="D359" t="inlineStr">
        <is>
          <t>GOTLANDS LÄN</t>
        </is>
      </c>
      <c r="E359" t="inlineStr">
        <is>
          <t>GOTLAND</t>
        </is>
      </c>
      <c r="G359" t="n">
        <v>5.3</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45966</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12155-2023</t>
        </is>
      </c>
      <c r="B361" s="1" t="n">
        <v>44998.49106481481</v>
      </c>
      <c r="C361" s="1" t="n">
        <v>45966</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50431-2025</t>
        </is>
      </c>
      <c r="B362" s="1" t="n">
        <v>45944.68453703704</v>
      </c>
      <c r="C362" s="1" t="n">
        <v>45966</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2774-2024</t>
        </is>
      </c>
      <c r="B363" s="1" t="n">
        <v>45314.62375</v>
      </c>
      <c r="C363" s="1" t="n">
        <v>45966</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46389-2021</t>
        </is>
      </c>
      <c r="B364" s="1" t="n">
        <v>44443</v>
      </c>
      <c r="C364" s="1" t="n">
        <v>45966</v>
      </c>
      <c r="D364" t="inlineStr">
        <is>
          <t>GOTLANDS LÄN</t>
        </is>
      </c>
      <c r="E364" t="inlineStr">
        <is>
          <t>GOTLAND</t>
        </is>
      </c>
      <c r="F364" t="inlineStr">
        <is>
          <t>Kyrkan</t>
        </is>
      </c>
      <c r="G364" t="n">
        <v>2.1</v>
      </c>
      <c r="H364" t="n">
        <v>0</v>
      </c>
      <c r="I364" t="n">
        <v>0</v>
      </c>
      <c r="J364" t="n">
        <v>0</v>
      </c>
      <c r="K364" t="n">
        <v>0</v>
      </c>
      <c r="L364" t="n">
        <v>0</v>
      </c>
      <c r="M364" t="n">
        <v>0</v>
      </c>
      <c r="N364" t="n">
        <v>0</v>
      </c>
      <c r="O364" t="n">
        <v>0</v>
      </c>
      <c r="P364" t="n">
        <v>0</v>
      </c>
      <c r="Q364" t="n">
        <v>0</v>
      </c>
      <c r="R364" s="2" t="inlineStr"/>
    </row>
    <row r="365" ht="15" customHeight="1">
      <c r="A365" t="inlineStr">
        <is>
          <t>A 9947-2024</t>
        </is>
      </c>
      <c r="B365" s="1" t="n">
        <v>45363</v>
      </c>
      <c r="C365" s="1" t="n">
        <v>45966</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42007-2023</t>
        </is>
      </c>
      <c r="B366" s="1" t="n">
        <v>45177</v>
      </c>
      <c r="C366" s="1" t="n">
        <v>45966</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44949-2023</t>
        </is>
      </c>
      <c r="B367" s="1" t="n">
        <v>45190.69520833333</v>
      </c>
      <c r="C367" s="1" t="n">
        <v>45966</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45966</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17682-2024</t>
        </is>
      </c>
      <c r="B369" s="1" t="n">
        <v>45418.42966435185</v>
      </c>
      <c r="C369" s="1" t="n">
        <v>45966</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42608-2025</t>
        </is>
      </c>
      <c r="B370" s="1" t="n">
        <v>45905</v>
      </c>
      <c r="C370" s="1" t="n">
        <v>45966</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44304-2021</t>
        </is>
      </c>
      <c r="B371" s="1" t="n">
        <v>44434</v>
      </c>
      <c r="C371" s="1" t="n">
        <v>45966</v>
      </c>
      <c r="D371" t="inlineStr">
        <is>
          <t>GOTLANDS LÄN</t>
        </is>
      </c>
      <c r="E371" t="inlineStr">
        <is>
          <t>GOTLAND</t>
        </is>
      </c>
      <c r="G371" t="n">
        <v>5.8</v>
      </c>
      <c r="H371" t="n">
        <v>0</v>
      </c>
      <c r="I371" t="n">
        <v>0</v>
      </c>
      <c r="J371" t="n">
        <v>0</v>
      </c>
      <c r="K371" t="n">
        <v>0</v>
      </c>
      <c r="L371" t="n">
        <v>0</v>
      </c>
      <c r="M371" t="n">
        <v>0</v>
      </c>
      <c r="N371" t="n">
        <v>0</v>
      </c>
      <c r="O371" t="n">
        <v>0</v>
      </c>
      <c r="P371" t="n">
        <v>0</v>
      </c>
      <c r="Q371" t="n">
        <v>0</v>
      </c>
      <c r="R371" s="2" t="inlineStr"/>
    </row>
    <row r="372" ht="15" customHeight="1">
      <c r="A372" t="inlineStr">
        <is>
          <t>A 61897-2024</t>
        </is>
      </c>
      <c r="B372" s="1" t="n">
        <v>45652.75685185185</v>
      </c>
      <c r="C372" s="1" t="n">
        <v>45966</v>
      </c>
      <c r="D372" t="inlineStr">
        <is>
          <t>GOTLANDS LÄN</t>
        </is>
      </c>
      <c r="E372" t="inlineStr">
        <is>
          <t>GOTLAND</t>
        </is>
      </c>
      <c r="G372" t="n">
        <v>6.4</v>
      </c>
      <c r="H372" t="n">
        <v>0</v>
      </c>
      <c r="I372" t="n">
        <v>0</v>
      </c>
      <c r="J372" t="n">
        <v>0</v>
      </c>
      <c r="K372" t="n">
        <v>0</v>
      </c>
      <c r="L372" t="n">
        <v>0</v>
      </c>
      <c r="M372" t="n">
        <v>0</v>
      </c>
      <c r="N372" t="n">
        <v>0</v>
      </c>
      <c r="O372" t="n">
        <v>0</v>
      </c>
      <c r="P372" t="n">
        <v>0</v>
      </c>
      <c r="Q372" t="n">
        <v>0</v>
      </c>
      <c r="R372" s="2" t="inlineStr"/>
    </row>
    <row r="373" ht="15" customHeight="1">
      <c r="A373" t="inlineStr">
        <is>
          <t>A 12032-2025</t>
        </is>
      </c>
      <c r="B373" s="1" t="n">
        <v>45728.64472222222</v>
      </c>
      <c r="C373" s="1" t="n">
        <v>45966</v>
      </c>
      <c r="D373" t="inlineStr">
        <is>
          <t>GOTLANDS LÄN</t>
        </is>
      </c>
      <c r="E373" t="inlineStr">
        <is>
          <t>GOTLAND</t>
        </is>
      </c>
      <c r="G373" t="n">
        <v>1.4</v>
      </c>
      <c r="H373" t="n">
        <v>0</v>
      </c>
      <c r="I373" t="n">
        <v>0</v>
      </c>
      <c r="J373" t="n">
        <v>0</v>
      </c>
      <c r="K373" t="n">
        <v>0</v>
      </c>
      <c r="L373" t="n">
        <v>0</v>
      </c>
      <c r="M373" t="n">
        <v>0</v>
      </c>
      <c r="N373" t="n">
        <v>0</v>
      </c>
      <c r="O373" t="n">
        <v>0</v>
      </c>
      <c r="P373" t="n">
        <v>0</v>
      </c>
      <c r="Q373" t="n">
        <v>0</v>
      </c>
      <c r="R373" s="2" t="inlineStr"/>
    </row>
    <row r="374" ht="15" customHeight="1">
      <c r="A374" t="inlineStr">
        <is>
          <t>A 15083-2025</t>
        </is>
      </c>
      <c r="B374" s="1" t="n">
        <v>45743</v>
      </c>
      <c r="C374" s="1" t="n">
        <v>45966</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15595-2024</t>
        </is>
      </c>
      <c r="B375" s="1" t="n">
        <v>45401.81480324074</v>
      </c>
      <c r="C375" s="1" t="n">
        <v>45966</v>
      </c>
      <c r="D375" t="inlineStr">
        <is>
          <t>GOTLANDS LÄN</t>
        </is>
      </c>
      <c r="E375" t="inlineStr">
        <is>
          <t>GOTLAND</t>
        </is>
      </c>
      <c r="G375" t="n">
        <v>6.4</v>
      </c>
      <c r="H375" t="n">
        <v>0</v>
      </c>
      <c r="I375" t="n">
        <v>0</v>
      </c>
      <c r="J375" t="n">
        <v>0</v>
      </c>
      <c r="K375" t="n">
        <v>0</v>
      </c>
      <c r="L375" t="n">
        <v>0</v>
      </c>
      <c r="M375" t="n">
        <v>0</v>
      </c>
      <c r="N375" t="n">
        <v>0</v>
      </c>
      <c r="O375" t="n">
        <v>0</v>
      </c>
      <c r="P375" t="n">
        <v>0</v>
      </c>
      <c r="Q375" t="n">
        <v>0</v>
      </c>
      <c r="R375" s="2" t="inlineStr"/>
    </row>
    <row r="376" ht="15" customHeight="1">
      <c r="A376" t="inlineStr">
        <is>
          <t>A 16373-2025</t>
        </is>
      </c>
      <c r="B376" s="1" t="n">
        <v>45751</v>
      </c>
      <c r="C376" s="1" t="n">
        <v>45966</v>
      </c>
      <c r="D376" t="inlineStr">
        <is>
          <t>GOTLANDS LÄN</t>
        </is>
      </c>
      <c r="E376" t="inlineStr">
        <is>
          <t>GOTLAND</t>
        </is>
      </c>
      <c r="G376" t="n">
        <v>1.5</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45966</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21164-2024</t>
        </is>
      </c>
      <c r="B378" s="1" t="n">
        <v>45440</v>
      </c>
      <c r="C378" s="1" t="n">
        <v>45966</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17541-2024</t>
        </is>
      </c>
      <c r="B379" s="1" t="n">
        <v>45415</v>
      </c>
      <c r="C379" s="1" t="n">
        <v>45966</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883-2025</t>
        </is>
      </c>
      <c r="B380" s="1" t="n">
        <v>45665</v>
      </c>
      <c r="C380" s="1" t="n">
        <v>45966</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13910-2025</t>
        </is>
      </c>
      <c r="B381" s="1" t="n">
        <v>45737</v>
      </c>
      <c r="C381" s="1" t="n">
        <v>45966</v>
      </c>
      <c r="D381" t="inlineStr">
        <is>
          <t>GOTLANDS LÄN</t>
        </is>
      </c>
      <c r="E381" t="inlineStr">
        <is>
          <t>GOTLAND</t>
        </is>
      </c>
      <c r="F381" t="inlineStr">
        <is>
          <t>Kommuner</t>
        </is>
      </c>
      <c r="G381" t="n">
        <v>3.2</v>
      </c>
      <c r="H381" t="n">
        <v>0</v>
      </c>
      <c r="I381" t="n">
        <v>0</v>
      </c>
      <c r="J381" t="n">
        <v>0</v>
      </c>
      <c r="K381" t="n">
        <v>0</v>
      </c>
      <c r="L381" t="n">
        <v>0</v>
      </c>
      <c r="M381" t="n">
        <v>0</v>
      </c>
      <c r="N381" t="n">
        <v>0</v>
      </c>
      <c r="O381" t="n">
        <v>0</v>
      </c>
      <c r="P381" t="n">
        <v>0</v>
      </c>
      <c r="Q381" t="n">
        <v>0</v>
      </c>
      <c r="R381" s="2" t="inlineStr"/>
    </row>
    <row r="382" ht="15" customHeight="1">
      <c r="A382" t="inlineStr">
        <is>
          <t>A 1066-2024</t>
        </is>
      </c>
      <c r="B382" s="1" t="n">
        <v>45302.285</v>
      </c>
      <c r="C382" s="1" t="n">
        <v>45966</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37202-2024</t>
        </is>
      </c>
      <c r="B383" s="1" t="n">
        <v>45539.67310185185</v>
      </c>
      <c r="C383" s="1" t="n">
        <v>45966</v>
      </c>
      <c r="D383" t="inlineStr">
        <is>
          <t>GOTLANDS LÄN</t>
        </is>
      </c>
      <c r="E383" t="inlineStr">
        <is>
          <t>GOTLAND</t>
        </is>
      </c>
      <c r="G383" t="n">
        <v>0.3</v>
      </c>
      <c r="H383" t="n">
        <v>0</v>
      </c>
      <c r="I383" t="n">
        <v>0</v>
      </c>
      <c r="J383" t="n">
        <v>0</v>
      </c>
      <c r="K383" t="n">
        <v>0</v>
      </c>
      <c r="L383" t="n">
        <v>0</v>
      </c>
      <c r="M383" t="n">
        <v>0</v>
      </c>
      <c r="N383" t="n">
        <v>0</v>
      </c>
      <c r="O383" t="n">
        <v>0</v>
      </c>
      <c r="P383" t="n">
        <v>0</v>
      </c>
      <c r="Q383" t="n">
        <v>0</v>
      </c>
      <c r="R383" s="2" t="inlineStr"/>
    </row>
    <row r="384" ht="15" customHeight="1">
      <c r="A384" t="inlineStr">
        <is>
          <t>A 20794-2025</t>
        </is>
      </c>
      <c r="B384" s="1" t="n">
        <v>45776</v>
      </c>
      <c r="C384" s="1" t="n">
        <v>45966</v>
      </c>
      <c r="D384" t="inlineStr">
        <is>
          <t>GOTLANDS LÄN</t>
        </is>
      </c>
      <c r="E384" t="inlineStr">
        <is>
          <t>GOTLAND</t>
        </is>
      </c>
      <c r="G384" t="n">
        <v>6</v>
      </c>
      <c r="H384" t="n">
        <v>0</v>
      </c>
      <c r="I384" t="n">
        <v>0</v>
      </c>
      <c r="J384" t="n">
        <v>0</v>
      </c>
      <c r="K384" t="n">
        <v>0</v>
      </c>
      <c r="L384" t="n">
        <v>0</v>
      </c>
      <c r="M384" t="n">
        <v>0</v>
      </c>
      <c r="N384" t="n">
        <v>0</v>
      </c>
      <c r="O384" t="n">
        <v>0</v>
      </c>
      <c r="P384" t="n">
        <v>0</v>
      </c>
      <c r="Q384" t="n">
        <v>0</v>
      </c>
      <c r="R384" s="2" t="inlineStr"/>
    </row>
    <row r="385" ht="15" customHeight="1">
      <c r="A385" t="inlineStr">
        <is>
          <t>A 20805-2025</t>
        </is>
      </c>
      <c r="B385" s="1" t="n">
        <v>45776</v>
      </c>
      <c r="C385" s="1" t="n">
        <v>45966</v>
      </c>
      <c r="D385" t="inlineStr">
        <is>
          <t>GOTLANDS LÄN</t>
        </is>
      </c>
      <c r="E385" t="inlineStr">
        <is>
          <t>GOTLAND</t>
        </is>
      </c>
      <c r="G385" t="n">
        <v>3.1</v>
      </c>
      <c r="H385" t="n">
        <v>0</v>
      </c>
      <c r="I385" t="n">
        <v>0</v>
      </c>
      <c r="J385" t="n">
        <v>0</v>
      </c>
      <c r="K385" t="n">
        <v>0</v>
      </c>
      <c r="L385" t="n">
        <v>0</v>
      </c>
      <c r="M385" t="n">
        <v>0</v>
      </c>
      <c r="N385" t="n">
        <v>0</v>
      </c>
      <c r="O385" t="n">
        <v>0</v>
      </c>
      <c r="P385" t="n">
        <v>0</v>
      </c>
      <c r="Q385" t="n">
        <v>0</v>
      </c>
      <c r="R385" s="2" t="inlineStr"/>
    </row>
    <row r="386" ht="15" customHeight="1">
      <c r="A386" t="inlineStr">
        <is>
          <t>A 30815-2023</t>
        </is>
      </c>
      <c r="B386" s="1" t="n">
        <v>45112</v>
      </c>
      <c r="C386" s="1" t="n">
        <v>45966</v>
      </c>
      <c r="D386" t="inlineStr">
        <is>
          <t>GOTLANDS LÄN</t>
        </is>
      </c>
      <c r="E386" t="inlineStr">
        <is>
          <t>GOTLAND</t>
        </is>
      </c>
      <c r="G386" t="n">
        <v>6</v>
      </c>
      <c r="H386" t="n">
        <v>0</v>
      </c>
      <c r="I386" t="n">
        <v>0</v>
      </c>
      <c r="J386" t="n">
        <v>0</v>
      </c>
      <c r="K386" t="n">
        <v>0</v>
      </c>
      <c r="L386" t="n">
        <v>0</v>
      </c>
      <c r="M386" t="n">
        <v>0</v>
      </c>
      <c r="N386" t="n">
        <v>0</v>
      </c>
      <c r="O386" t="n">
        <v>0</v>
      </c>
      <c r="P386" t="n">
        <v>0</v>
      </c>
      <c r="Q386" t="n">
        <v>0</v>
      </c>
      <c r="R386" s="2" t="inlineStr"/>
    </row>
    <row r="387" ht="15" customHeight="1">
      <c r="A387" t="inlineStr">
        <is>
          <t>A 21389-2025</t>
        </is>
      </c>
      <c r="B387" s="1" t="n">
        <v>45782</v>
      </c>
      <c r="C387" s="1" t="n">
        <v>45966</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46400-2023</t>
        </is>
      </c>
      <c r="B388" s="1" t="n">
        <v>45197.49290509259</v>
      </c>
      <c r="C388" s="1" t="n">
        <v>45966</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10492-2023</t>
        </is>
      </c>
      <c r="B389" s="1" t="n">
        <v>44987</v>
      </c>
      <c r="C389" s="1" t="n">
        <v>45966</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10158-2025</t>
        </is>
      </c>
      <c r="B390" s="1" t="n">
        <v>45719</v>
      </c>
      <c r="C390" s="1" t="n">
        <v>45966</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45966</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21651-2025</t>
        </is>
      </c>
      <c r="B392" s="1" t="n">
        <v>45783</v>
      </c>
      <c r="C392" s="1" t="n">
        <v>45966</v>
      </c>
      <c r="D392" t="inlineStr">
        <is>
          <t>GOTLANDS LÄN</t>
        </is>
      </c>
      <c r="E392" t="inlineStr">
        <is>
          <t>GOTLAND</t>
        </is>
      </c>
      <c r="G392" t="n">
        <v>4.2</v>
      </c>
      <c r="H392" t="n">
        <v>0</v>
      </c>
      <c r="I392" t="n">
        <v>0</v>
      </c>
      <c r="J392" t="n">
        <v>0</v>
      </c>
      <c r="K392" t="n">
        <v>0</v>
      </c>
      <c r="L392" t="n">
        <v>0</v>
      </c>
      <c r="M392" t="n">
        <v>0</v>
      </c>
      <c r="N392" t="n">
        <v>0</v>
      </c>
      <c r="O392" t="n">
        <v>0</v>
      </c>
      <c r="P392" t="n">
        <v>0</v>
      </c>
      <c r="Q392" t="n">
        <v>0</v>
      </c>
      <c r="R392" s="2" t="inlineStr"/>
    </row>
    <row r="393" ht="15" customHeight="1">
      <c r="A393" t="inlineStr">
        <is>
          <t>A 44919-2022</t>
        </is>
      </c>
      <c r="B393" s="1" t="n">
        <v>44841</v>
      </c>
      <c r="C393" s="1" t="n">
        <v>45966</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43911-2025</t>
        </is>
      </c>
      <c r="B394" s="1" t="n">
        <v>45914.3881712963</v>
      </c>
      <c r="C394" s="1" t="n">
        <v>45966</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16501-2023</t>
        </is>
      </c>
      <c r="B395" s="1" t="n">
        <v>45029</v>
      </c>
      <c r="C395" s="1" t="n">
        <v>45966</v>
      </c>
      <c r="D395" t="inlineStr">
        <is>
          <t>GOTLANDS LÄN</t>
        </is>
      </c>
      <c r="E395" t="inlineStr">
        <is>
          <t>GOTLAND</t>
        </is>
      </c>
      <c r="G395" t="n">
        <v>3.1</v>
      </c>
      <c r="H395" t="n">
        <v>0</v>
      </c>
      <c r="I395" t="n">
        <v>0</v>
      </c>
      <c r="J395" t="n">
        <v>0</v>
      </c>
      <c r="K395" t="n">
        <v>0</v>
      </c>
      <c r="L395" t="n">
        <v>0</v>
      </c>
      <c r="M395" t="n">
        <v>0</v>
      </c>
      <c r="N395" t="n">
        <v>0</v>
      </c>
      <c r="O395" t="n">
        <v>0</v>
      </c>
      <c r="P395" t="n">
        <v>0</v>
      </c>
      <c r="Q395" t="n">
        <v>0</v>
      </c>
      <c r="R395" s="2" t="inlineStr"/>
    </row>
    <row r="396" ht="15" customHeight="1">
      <c r="A396" t="inlineStr">
        <is>
          <t>A 27095-2022</t>
        </is>
      </c>
      <c r="B396" s="1" t="n">
        <v>44741</v>
      </c>
      <c r="C396" s="1" t="n">
        <v>45966</v>
      </c>
      <c r="D396" t="inlineStr">
        <is>
          <t>GOTLANDS LÄN</t>
        </is>
      </c>
      <c r="E396" t="inlineStr">
        <is>
          <t>GOTLAND</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458-2023</t>
        </is>
      </c>
      <c r="B397" s="1" t="n">
        <v>44929</v>
      </c>
      <c r="C397" s="1" t="n">
        <v>45966</v>
      </c>
      <c r="D397" t="inlineStr">
        <is>
          <t>GOTLANDS LÄN</t>
        </is>
      </c>
      <c r="E397" t="inlineStr">
        <is>
          <t>GOTLAND</t>
        </is>
      </c>
      <c r="G397" t="n">
        <v>3.6</v>
      </c>
      <c r="H397" t="n">
        <v>0</v>
      </c>
      <c r="I397" t="n">
        <v>0</v>
      </c>
      <c r="J397" t="n">
        <v>0</v>
      </c>
      <c r="K397" t="n">
        <v>0</v>
      </c>
      <c r="L397" t="n">
        <v>0</v>
      </c>
      <c r="M397" t="n">
        <v>0</v>
      </c>
      <c r="N397" t="n">
        <v>0</v>
      </c>
      <c r="O397" t="n">
        <v>0</v>
      </c>
      <c r="P397" t="n">
        <v>0</v>
      </c>
      <c r="Q397" t="n">
        <v>0</v>
      </c>
      <c r="R397" s="2" t="inlineStr"/>
    </row>
    <row r="398" ht="15" customHeight="1">
      <c r="A398" t="inlineStr">
        <is>
          <t>A 1291-2023</t>
        </is>
      </c>
      <c r="B398" s="1" t="n">
        <v>44936.47561342592</v>
      </c>
      <c r="C398" s="1" t="n">
        <v>45966</v>
      </c>
      <c r="D398" t="inlineStr">
        <is>
          <t>GOTLANDS LÄN</t>
        </is>
      </c>
      <c r="E398" t="inlineStr">
        <is>
          <t>GOTLAND</t>
        </is>
      </c>
      <c r="G398" t="n">
        <v>7.4</v>
      </c>
      <c r="H398" t="n">
        <v>0</v>
      </c>
      <c r="I398" t="n">
        <v>0</v>
      </c>
      <c r="J398" t="n">
        <v>0</v>
      </c>
      <c r="K398" t="n">
        <v>0</v>
      </c>
      <c r="L398" t="n">
        <v>0</v>
      </c>
      <c r="M398" t="n">
        <v>0</v>
      </c>
      <c r="N398" t="n">
        <v>0</v>
      </c>
      <c r="O398" t="n">
        <v>0</v>
      </c>
      <c r="P398" t="n">
        <v>0</v>
      </c>
      <c r="Q398" t="n">
        <v>0</v>
      </c>
      <c r="R398" s="2" t="inlineStr"/>
    </row>
    <row r="399" ht="15" customHeight="1">
      <c r="A399" t="inlineStr">
        <is>
          <t>A 58476-2022</t>
        </is>
      </c>
      <c r="B399" s="1" t="n">
        <v>44902</v>
      </c>
      <c r="C399" s="1" t="n">
        <v>45966</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32330-2024</t>
        </is>
      </c>
      <c r="B400" s="1" t="n">
        <v>45512</v>
      </c>
      <c r="C400" s="1" t="n">
        <v>45966</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5891-2025</t>
        </is>
      </c>
      <c r="B401" s="1" t="n">
        <v>45695.38327546296</v>
      </c>
      <c r="C401" s="1" t="n">
        <v>45966</v>
      </c>
      <c r="D401" t="inlineStr">
        <is>
          <t>GOTLANDS LÄN</t>
        </is>
      </c>
      <c r="E401" t="inlineStr">
        <is>
          <t>GOTLAND</t>
        </is>
      </c>
      <c r="G401" t="n">
        <v>0.8</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45966</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43951-2025</t>
        </is>
      </c>
      <c r="B403" s="1" t="n">
        <v>45915.38119212963</v>
      </c>
      <c r="C403" s="1" t="n">
        <v>45966</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52637-2025</t>
        </is>
      </c>
      <c r="B404" s="1" t="n">
        <v>45954.75099537037</v>
      </c>
      <c r="C404" s="1" t="n">
        <v>45966</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44410-2025</t>
        </is>
      </c>
      <c r="B405" s="1" t="n">
        <v>45916.53699074074</v>
      </c>
      <c r="C405" s="1" t="n">
        <v>45966</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21420-2024</t>
        </is>
      </c>
      <c r="B406" s="1" t="n">
        <v>45441.38293981482</v>
      </c>
      <c r="C406" s="1" t="n">
        <v>45966</v>
      </c>
      <c r="D406" t="inlineStr">
        <is>
          <t>GOTLANDS LÄN</t>
        </is>
      </c>
      <c r="E406" t="inlineStr">
        <is>
          <t>GOTLAND</t>
        </is>
      </c>
      <c r="G406" t="n">
        <v>4.1</v>
      </c>
      <c r="H406" t="n">
        <v>0</v>
      </c>
      <c r="I406" t="n">
        <v>0</v>
      </c>
      <c r="J406" t="n">
        <v>0</v>
      </c>
      <c r="K406" t="n">
        <v>0</v>
      </c>
      <c r="L406" t="n">
        <v>0</v>
      </c>
      <c r="M406" t="n">
        <v>0</v>
      </c>
      <c r="N406" t="n">
        <v>0</v>
      </c>
      <c r="O406" t="n">
        <v>0</v>
      </c>
      <c r="P406" t="n">
        <v>0</v>
      </c>
      <c r="Q406" t="n">
        <v>0</v>
      </c>
      <c r="R406" s="2" t="inlineStr"/>
    </row>
    <row r="407" ht="15" customHeight="1">
      <c r="A407" t="inlineStr">
        <is>
          <t>A 2719-2023</t>
        </is>
      </c>
      <c r="B407" s="1" t="n">
        <v>44944.55361111111</v>
      </c>
      <c r="C407" s="1" t="n">
        <v>45966</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10656-2024</t>
        </is>
      </c>
      <c r="B408" s="1" t="n">
        <v>45368</v>
      </c>
      <c r="C408" s="1" t="n">
        <v>45966</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17144-2025</t>
        </is>
      </c>
      <c r="B409" s="1" t="n">
        <v>45755.9499537037</v>
      </c>
      <c r="C409" s="1" t="n">
        <v>45966</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57356-2023</t>
        </is>
      </c>
      <c r="B410" s="1" t="n">
        <v>45240</v>
      </c>
      <c r="C410" s="1" t="n">
        <v>45966</v>
      </c>
      <c r="D410" t="inlineStr">
        <is>
          <t>GOTLANDS LÄN</t>
        </is>
      </c>
      <c r="E410" t="inlineStr">
        <is>
          <t>GOTLAND</t>
        </is>
      </c>
      <c r="G410" t="n">
        <v>6.4</v>
      </c>
      <c r="H410" t="n">
        <v>0</v>
      </c>
      <c r="I410" t="n">
        <v>0</v>
      </c>
      <c r="J410" t="n">
        <v>0</v>
      </c>
      <c r="K410" t="n">
        <v>0</v>
      </c>
      <c r="L410" t="n">
        <v>0</v>
      </c>
      <c r="M410" t="n">
        <v>0</v>
      </c>
      <c r="N410" t="n">
        <v>0</v>
      </c>
      <c r="O410" t="n">
        <v>0</v>
      </c>
      <c r="P410" t="n">
        <v>0</v>
      </c>
      <c r="Q410" t="n">
        <v>0</v>
      </c>
      <c r="R410" s="2" t="inlineStr"/>
    </row>
    <row r="411" ht="15" customHeight="1">
      <c r="A411" t="inlineStr">
        <is>
          <t>A 49314-2024</t>
        </is>
      </c>
      <c r="B411" s="1" t="n">
        <v>45595.55893518519</v>
      </c>
      <c r="C411" s="1" t="n">
        <v>45966</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28506-2023</t>
        </is>
      </c>
      <c r="B412" s="1" t="n">
        <v>45103</v>
      </c>
      <c r="C412" s="1" t="n">
        <v>45966</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9875-2025</t>
        </is>
      </c>
      <c r="B413" s="1" t="n">
        <v>45716</v>
      </c>
      <c r="C413" s="1" t="n">
        <v>45966</v>
      </c>
      <c r="D413" t="inlineStr">
        <is>
          <t>GOTLANDS LÄN</t>
        </is>
      </c>
      <c r="E413" t="inlineStr">
        <is>
          <t>GOTLAND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29809-2022</t>
        </is>
      </c>
      <c r="B414" s="1" t="n">
        <v>44755.8713425926</v>
      </c>
      <c r="C414" s="1" t="n">
        <v>45966</v>
      </c>
      <c r="D414" t="inlineStr">
        <is>
          <t>GOTLANDS LÄN</t>
        </is>
      </c>
      <c r="E414" t="inlineStr">
        <is>
          <t>GOTLAND</t>
        </is>
      </c>
      <c r="G414" t="n">
        <v>11.5</v>
      </c>
      <c r="H414" t="n">
        <v>0</v>
      </c>
      <c r="I414" t="n">
        <v>0</v>
      </c>
      <c r="J414" t="n">
        <v>0</v>
      </c>
      <c r="K414" t="n">
        <v>0</v>
      </c>
      <c r="L414" t="n">
        <v>0</v>
      </c>
      <c r="M414" t="n">
        <v>0</v>
      </c>
      <c r="N414" t="n">
        <v>0</v>
      </c>
      <c r="O414" t="n">
        <v>0</v>
      </c>
      <c r="P414" t="n">
        <v>0</v>
      </c>
      <c r="Q414" t="n">
        <v>0</v>
      </c>
      <c r="R414" s="2" t="inlineStr"/>
    </row>
    <row r="415" ht="15" customHeight="1">
      <c r="A415" t="inlineStr">
        <is>
          <t>A 23188-2025</t>
        </is>
      </c>
      <c r="B415" s="1" t="n">
        <v>45791</v>
      </c>
      <c r="C415" s="1" t="n">
        <v>45966</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44405-2025</t>
        </is>
      </c>
      <c r="B416" s="1" t="n">
        <v>45916.52405092592</v>
      </c>
      <c r="C416" s="1" t="n">
        <v>45966</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16361-2024</t>
        </is>
      </c>
      <c r="B417" s="1" t="n">
        <v>45407</v>
      </c>
      <c r="C417" s="1" t="n">
        <v>45966</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43081-2022</t>
        </is>
      </c>
      <c r="B418" s="1" t="n">
        <v>44833</v>
      </c>
      <c r="C418" s="1" t="n">
        <v>45966</v>
      </c>
      <c r="D418" t="inlineStr">
        <is>
          <t>GOTLANDS LÄN</t>
        </is>
      </c>
      <c r="E418" t="inlineStr">
        <is>
          <t>GOTLAND</t>
        </is>
      </c>
      <c r="G418" t="n">
        <v>6.8</v>
      </c>
      <c r="H418" t="n">
        <v>0</v>
      </c>
      <c r="I418" t="n">
        <v>0</v>
      </c>
      <c r="J418" t="n">
        <v>0</v>
      </c>
      <c r="K418" t="n">
        <v>0</v>
      </c>
      <c r="L418" t="n">
        <v>0</v>
      </c>
      <c r="M418" t="n">
        <v>0</v>
      </c>
      <c r="N418" t="n">
        <v>0</v>
      </c>
      <c r="O418" t="n">
        <v>0</v>
      </c>
      <c r="P418" t="n">
        <v>0</v>
      </c>
      <c r="Q418" t="n">
        <v>0</v>
      </c>
      <c r="R418" s="2" t="inlineStr"/>
    </row>
    <row r="419" ht="15" customHeight="1">
      <c r="A419" t="inlineStr">
        <is>
          <t>A 53587-2025</t>
        </is>
      </c>
      <c r="B419" s="1" t="n">
        <v>45960.43681712963</v>
      </c>
      <c r="C419" s="1" t="n">
        <v>45966</v>
      </c>
      <c r="D419" t="inlineStr">
        <is>
          <t>GOTLANDS LÄN</t>
        </is>
      </c>
      <c r="E419" t="inlineStr">
        <is>
          <t>GOTLAND</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23856-2025</t>
        </is>
      </c>
      <c r="B420" s="1" t="n">
        <v>45793</v>
      </c>
      <c r="C420" s="1" t="n">
        <v>45966</v>
      </c>
      <c r="D420" t="inlineStr">
        <is>
          <t>GOTLANDS LÄN</t>
        </is>
      </c>
      <c r="E420" t="inlineStr">
        <is>
          <t>GOTLAND</t>
        </is>
      </c>
      <c r="G420" t="n">
        <v>4.4</v>
      </c>
      <c r="H420" t="n">
        <v>0</v>
      </c>
      <c r="I420" t="n">
        <v>0</v>
      </c>
      <c r="J420" t="n">
        <v>0</v>
      </c>
      <c r="K420" t="n">
        <v>0</v>
      </c>
      <c r="L420" t="n">
        <v>0</v>
      </c>
      <c r="M420" t="n">
        <v>0</v>
      </c>
      <c r="N420" t="n">
        <v>0</v>
      </c>
      <c r="O420" t="n">
        <v>0</v>
      </c>
      <c r="P420" t="n">
        <v>0</v>
      </c>
      <c r="Q420" t="n">
        <v>0</v>
      </c>
      <c r="R420" s="2" t="inlineStr"/>
    </row>
    <row r="421" ht="15" customHeight="1">
      <c r="A421" t="inlineStr">
        <is>
          <t>A 23473-2025</t>
        </is>
      </c>
      <c r="B421" s="1" t="n">
        <v>45792</v>
      </c>
      <c r="C421" s="1" t="n">
        <v>45966</v>
      </c>
      <c r="D421" t="inlineStr">
        <is>
          <t>GOTLANDS LÄN</t>
        </is>
      </c>
      <c r="E421" t="inlineStr">
        <is>
          <t>GOTLAND</t>
        </is>
      </c>
      <c r="G421" t="n">
        <v>3.6</v>
      </c>
      <c r="H421" t="n">
        <v>0</v>
      </c>
      <c r="I421" t="n">
        <v>0</v>
      </c>
      <c r="J421" t="n">
        <v>0</v>
      </c>
      <c r="K421" t="n">
        <v>0</v>
      </c>
      <c r="L421" t="n">
        <v>0</v>
      </c>
      <c r="M421" t="n">
        <v>0</v>
      </c>
      <c r="N421" t="n">
        <v>0</v>
      </c>
      <c r="O421" t="n">
        <v>0</v>
      </c>
      <c r="P421" t="n">
        <v>0</v>
      </c>
      <c r="Q421" t="n">
        <v>0</v>
      </c>
      <c r="R421" s="2" t="inlineStr"/>
    </row>
    <row r="422" ht="15" customHeight="1">
      <c r="A422" t="inlineStr">
        <is>
          <t>A 1175-2025</t>
        </is>
      </c>
      <c r="B422" s="1" t="n">
        <v>45667.34449074074</v>
      </c>
      <c r="C422" s="1" t="n">
        <v>45966</v>
      </c>
      <c r="D422" t="inlineStr">
        <is>
          <t>GOTLANDS LÄN</t>
        </is>
      </c>
      <c r="E422" t="inlineStr">
        <is>
          <t>GOTLAND</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23698-2025</t>
        </is>
      </c>
      <c r="B423" s="1" t="n">
        <v>45793</v>
      </c>
      <c r="C423" s="1" t="n">
        <v>45966</v>
      </c>
      <c r="D423" t="inlineStr">
        <is>
          <t>GOTLANDS LÄN</t>
        </is>
      </c>
      <c r="E423" t="inlineStr">
        <is>
          <t>GOTLAND</t>
        </is>
      </c>
      <c r="G423" t="n">
        <v>0.8</v>
      </c>
      <c r="H423" t="n">
        <v>0</v>
      </c>
      <c r="I423" t="n">
        <v>0</v>
      </c>
      <c r="J423" t="n">
        <v>0</v>
      </c>
      <c r="K423" t="n">
        <v>0</v>
      </c>
      <c r="L423" t="n">
        <v>0</v>
      </c>
      <c r="M423" t="n">
        <v>0</v>
      </c>
      <c r="N423" t="n">
        <v>0</v>
      </c>
      <c r="O423" t="n">
        <v>0</v>
      </c>
      <c r="P423" t="n">
        <v>0</v>
      </c>
      <c r="Q423" t="n">
        <v>0</v>
      </c>
      <c r="R423" s="2" t="inlineStr"/>
    </row>
    <row r="424" ht="15" customHeight="1">
      <c r="A424" t="inlineStr">
        <is>
          <t>A 15073-2025</t>
        </is>
      </c>
      <c r="B424" s="1" t="n">
        <v>45743</v>
      </c>
      <c r="C424" s="1" t="n">
        <v>45966</v>
      </c>
      <c r="D424" t="inlineStr">
        <is>
          <t>GOTLANDS LÄN</t>
        </is>
      </c>
      <c r="E424" t="inlineStr">
        <is>
          <t>GOTLAND</t>
        </is>
      </c>
      <c r="G424" t="n">
        <v>12.1</v>
      </c>
      <c r="H424" t="n">
        <v>0</v>
      </c>
      <c r="I424" t="n">
        <v>0</v>
      </c>
      <c r="J424" t="n">
        <v>0</v>
      </c>
      <c r="K424" t="n">
        <v>0</v>
      </c>
      <c r="L424" t="n">
        <v>0</v>
      </c>
      <c r="M424" t="n">
        <v>0</v>
      </c>
      <c r="N424" t="n">
        <v>0</v>
      </c>
      <c r="O424" t="n">
        <v>0</v>
      </c>
      <c r="P424" t="n">
        <v>0</v>
      </c>
      <c r="Q424" t="n">
        <v>0</v>
      </c>
      <c r="R424" s="2" t="inlineStr"/>
    </row>
    <row r="425" ht="15" customHeight="1">
      <c r="A425" t="inlineStr">
        <is>
          <t>A 53561-2025</t>
        </is>
      </c>
      <c r="B425" s="1" t="n">
        <v>45960.4059375</v>
      </c>
      <c r="C425" s="1" t="n">
        <v>45966</v>
      </c>
      <c r="D425" t="inlineStr">
        <is>
          <t>GOTLANDS LÄN</t>
        </is>
      </c>
      <c r="E425" t="inlineStr">
        <is>
          <t>GOTLAND</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53569-2025</t>
        </is>
      </c>
      <c r="B426" s="1" t="n">
        <v>45960.41155092593</v>
      </c>
      <c r="C426" s="1" t="n">
        <v>45966</v>
      </c>
      <c r="D426" t="inlineStr">
        <is>
          <t>GOTLANDS LÄN</t>
        </is>
      </c>
      <c r="E426" t="inlineStr">
        <is>
          <t>GOTLAND</t>
        </is>
      </c>
      <c r="F426" t="inlineStr">
        <is>
          <t>Övriga Aktiebolag</t>
        </is>
      </c>
      <c r="G426" t="n">
        <v>11.3</v>
      </c>
      <c r="H426" t="n">
        <v>0</v>
      </c>
      <c r="I426" t="n">
        <v>0</v>
      </c>
      <c r="J426" t="n">
        <v>0</v>
      </c>
      <c r="K426" t="n">
        <v>0</v>
      </c>
      <c r="L426" t="n">
        <v>0</v>
      </c>
      <c r="M426" t="n">
        <v>0</v>
      </c>
      <c r="N426" t="n">
        <v>0</v>
      </c>
      <c r="O426" t="n">
        <v>0</v>
      </c>
      <c r="P426" t="n">
        <v>0</v>
      </c>
      <c r="Q426" t="n">
        <v>0</v>
      </c>
      <c r="R426" s="2" t="inlineStr"/>
    </row>
    <row r="427" ht="15" customHeight="1">
      <c r="A427" t="inlineStr">
        <is>
          <t>A 53577-2025</t>
        </is>
      </c>
      <c r="B427" s="1" t="n">
        <v>45960.42224537037</v>
      </c>
      <c r="C427" s="1" t="n">
        <v>45966</v>
      </c>
      <c r="D427" t="inlineStr">
        <is>
          <t>GOTLANDS LÄN</t>
        </is>
      </c>
      <c r="E427" t="inlineStr">
        <is>
          <t>GOTLAND</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42201-2023</t>
        </is>
      </c>
      <c r="B428" s="1" t="n">
        <v>45179</v>
      </c>
      <c r="C428" s="1" t="n">
        <v>45966</v>
      </c>
      <c r="D428" t="inlineStr">
        <is>
          <t>GOTLANDS LÄN</t>
        </is>
      </c>
      <c r="E428" t="inlineStr">
        <is>
          <t>GOTLAND</t>
        </is>
      </c>
      <c r="G428" t="n">
        <v>11.9</v>
      </c>
      <c r="H428" t="n">
        <v>0</v>
      </c>
      <c r="I428" t="n">
        <v>0</v>
      </c>
      <c r="J428" t="n">
        <v>0</v>
      </c>
      <c r="K428" t="n">
        <v>0</v>
      </c>
      <c r="L428" t="n">
        <v>0</v>
      </c>
      <c r="M428" t="n">
        <v>0</v>
      </c>
      <c r="N428" t="n">
        <v>0</v>
      </c>
      <c r="O428" t="n">
        <v>0</v>
      </c>
      <c r="P428" t="n">
        <v>0</v>
      </c>
      <c r="Q428" t="n">
        <v>0</v>
      </c>
      <c r="R428" s="2" t="inlineStr"/>
    </row>
    <row r="429" ht="15" customHeight="1">
      <c r="A429" t="inlineStr">
        <is>
          <t>A 3150-2025</t>
        </is>
      </c>
      <c r="B429" s="1" t="n">
        <v>45679.28974537037</v>
      </c>
      <c r="C429" s="1" t="n">
        <v>45966</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6749-2025</t>
        </is>
      </c>
      <c r="B430" s="1" t="n">
        <v>45700</v>
      </c>
      <c r="C430" s="1" t="n">
        <v>45966</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42041-2024</t>
        </is>
      </c>
      <c r="B431" s="1" t="n">
        <v>45561</v>
      </c>
      <c r="C431" s="1" t="n">
        <v>45966</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63229-2021</t>
        </is>
      </c>
      <c r="B432" s="1" t="n">
        <v>44508.34518518519</v>
      </c>
      <c r="C432" s="1" t="n">
        <v>45966</v>
      </c>
      <c r="D432" t="inlineStr">
        <is>
          <t>GOTLANDS LÄN</t>
        </is>
      </c>
      <c r="E432" t="inlineStr">
        <is>
          <t>GOTLAND</t>
        </is>
      </c>
      <c r="F432" t="inlineStr">
        <is>
          <t>Kyrkan</t>
        </is>
      </c>
      <c r="G432" t="n">
        <v>3.8</v>
      </c>
      <c r="H432" t="n">
        <v>0</v>
      </c>
      <c r="I432" t="n">
        <v>0</v>
      </c>
      <c r="J432" t="n">
        <v>0</v>
      </c>
      <c r="K432" t="n">
        <v>0</v>
      </c>
      <c r="L432" t="n">
        <v>0</v>
      </c>
      <c r="M432" t="n">
        <v>0</v>
      </c>
      <c r="N432" t="n">
        <v>0</v>
      </c>
      <c r="O432" t="n">
        <v>0</v>
      </c>
      <c r="P432" t="n">
        <v>0</v>
      </c>
      <c r="Q432" t="n">
        <v>0</v>
      </c>
      <c r="R432" s="2" t="inlineStr"/>
    </row>
    <row r="433" ht="15" customHeight="1">
      <c r="A433" t="inlineStr">
        <is>
          <t>A 61596-2023</t>
        </is>
      </c>
      <c r="B433" s="1" t="n">
        <v>45265</v>
      </c>
      <c r="C433" s="1" t="n">
        <v>45966</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873-2024</t>
        </is>
      </c>
      <c r="B434" s="1" t="n">
        <v>45301</v>
      </c>
      <c r="C434" s="1" t="n">
        <v>45966</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44228-2022</t>
        </is>
      </c>
      <c r="B435" s="1" t="n">
        <v>44839.51599537037</v>
      </c>
      <c r="C435" s="1" t="n">
        <v>45966</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5462-2025</t>
        </is>
      </c>
      <c r="B436" s="1" t="n">
        <v>45693.29331018519</v>
      </c>
      <c r="C436" s="1" t="n">
        <v>45966</v>
      </c>
      <c r="D436" t="inlineStr">
        <is>
          <t>GOTLANDS LÄN</t>
        </is>
      </c>
      <c r="E436" t="inlineStr">
        <is>
          <t>GOTLAND</t>
        </is>
      </c>
      <c r="G436" t="n">
        <v>2.6</v>
      </c>
      <c r="H436" t="n">
        <v>0</v>
      </c>
      <c r="I436" t="n">
        <v>0</v>
      </c>
      <c r="J436" t="n">
        <v>0</v>
      </c>
      <c r="K436" t="n">
        <v>0</v>
      </c>
      <c r="L436" t="n">
        <v>0</v>
      </c>
      <c r="M436" t="n">
        <v>0</v>
      </c>
      <c r="N436" t="n">
        <v>0</v>
      </c>
      <c r="O436" t="n">
        <v>0</v>
      </c>
      <c r="P436" t="n">
        <v>0</v>
      </c>
      <c r="Q436" t="n">
        <v>0</v>
      </c>
      <c r="R436" s="2" t="inlineStr"/>
    </row>
    <row r="437" ht="15" customHeight="1">
      <c r="A437" t="inlineStr">
        <is>
          <t>A 54584-2025</t>
        </is>
      </c>
      <c r="B437" s="1" t="n">
        <v>45965.71788194445</v>
      </c>
      <c r="C437" s="1" t="n">
        <v>45966</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52250-2025</t>
        </is>
      </c>
      <c r="B438" s="1" t="n">
        <v>45953.48998842593</v>
      </c>
      <c r="C438" s="1" t="n">
        <v>45966</v>
      </c>
      <c r="D438" t="inlineStr">
        <is>
          <t>GOTLANDS LÄN</t>
        </is>
      </c>
      <c r="E438" t="inlineStr">
        <is>
          <t>GOTLAND</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15436-2025</t>
        </is>
      </c>
      <c r="B439" s="1" t="n">
        <v>45747.47462962963</v>
      </c>
      <c r="C439" s="1" t="n">
        <v>45966</v>
      </c>
      <c r="D439" t="inlineStr">
        <is>
          <t>GOTLANDS LÄN</t>
        </is>
      </c>
      <c r="E439" t="inlineStr">
        <is>
          <t>GOTLAND</t>
        </is>
      </c>
      <c r="G439" t="n">
        <v>4.1</v>
      </c>
      <c r="H439" t="n">
        <v>0</v>
      </c>
      <c r="I439" t="n">
        <v>0</v>
      </c>
      <c r="J439" t="n">
        <v>0</v>
      </c>
      <c r="K439" t="n">
        <v>0</v>
      </c>
      <c r="L439" t="n">
        <v>0</v>
      </c>
      <c r="M439" t="n">
        <v>0</v>
      </c>
      <c r="N439" t="n">
        <v>0</v>
      </c>
      <c r="O439" t="n">
        <v>0</v>
      </c>
      <c r="P439" t="n">
        <v>0</v>
      </c>
      <c r="Q439" t="n">
        <v>0</v>
      </c>
      <c r="R439" s="2" t="inlineStr"/>
    </row>
    <row r="440" ht="15" customHeight="1">
      <c r="A440" t="inlineStr">
        <is>
          <t>A 61386-2023</t>
        </is>
      </c>
      <c r="B440" s="1" t="n">
        <v>45264</v>
      </c>
      <c r="C440" s="1" t="n">
        <v>45966</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21247-2022</t>
        </is>
      </c>
      <c r="B441" s="1" t="n">
        <v>44705.38832175926</v>
      </c>
      <c r="C441" s="1" t="n">
        <v>45966</v>
      </c>
      <c r="D441" t="inlineStr">
        <is>
          <t>GOTLANDS LÄN</t>
        </is>
      </c>
      <c r="E441" t="inlineStr">
        <is>
          <t>GOTLAND</t>
        </is>
      </c>
      <c r="G441" t="n">
        <v>16.2</v>
      </c>
      <c r="H441" t="n">
        <v>0</v>
      </c>
      <c r="I441" t="n">
        <v>0</v>
      </c>
      <c r="J441" t="n">
        <v>0</v>
      </c>
      <c r="K441" t="n">
        <v>0</v>
      </c>
      <c r="L441" t="n">
        <v>0</v>
      </c>
      <c r="M441" t="n">
        <v>0</v>
      </c>
      <c r="N441" t="n">
        <v>0</v>
      </c>
      <c r="O441" t="n">
        <v>0</v>
      </c>
      <c r="P441" t="n">
        <v>0</v>
      </c>
      <c r="Q441" t="n">
        <v>0</v>
      </c>
      <c r="R441" s="2" t="inlineStr"/>
    </row>
    <row r="442" ht="15" customHeight="1">
      <c r="A442" t="inlineStr">
        <is>
          <t>A 17780-2022</t>
        </is>
      </c>
      <c r="B442" s="1" t="n">
        <v>44682.82622685185</v>
      </c>
      <c r="C442" s="1" t="n">
        <v>45966</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63516-2023</t>
        </is>
      </c>
      <c r="B443" s="1" t="n">
        <v>45274</v>
      </c>
      <c r="C443" s="1" t="n">
        <v>45966</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25796-2025</t>
        </is>
      </c>
      <c r="B444" s="1" t="n">
        <v>45804.39543981481</v>
      </c>
      <c r="C444" s="1" t="n">
        <v>45966</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53935-2024</t>
        </is>
      </c>
      <c r="B445" s="1" t="n">
        <v>45615</v>
      </c>
      <c r="C445" s="1" t="n">
        <v>45966</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69112-2021</t>
        </is>
      </c>
      <c r="B446" s="1" t="n">
        <v>44530</v>
      </c>
      <c r="C446" s="1" t="n">
        <v>45966</v>
      </c>
      <c r="D446" t="inlineStr">
        <is>
          <t>GOTLANDS LÄN</t>
        </is>
      </c>
      <c r="E446" t="inlineStr">
        <is>
          <t>GOTLAND</t>
        </is>
      </c>
      <c r="G446" t="n">
        <v>4.2</v>
      </c>
      <c r="H446" t="n">
        <v>0</v>
      </c>
      <c r="I446" t="n">
        <v>0</v>
      </c>
      <c r="J446" t="n">
        <v>0</v>
      </c>
      <c r="K446" t="n">
        <v>0</v>
      </c>
      <c r="L446" t="n">
        <v>0</v>
      </c>
      <c r="M446" t="n">
        <v>0</v>
      </c>
      <c r="N446" t="n">
        <v>0</v>
      </c>
      <c r="O446" t="n">
        <v>0</v>
      </c>
      <c r="P446" t="n">
        <v>0</v>
      </c>
      <c r="Q446" t="n">
        <v>0</v>
      </c>
      <c r="R446" s="2" t="inlineStr"/>
    </row>
    <row r="447" ht="15" customHeight="1">
      <c r="A447" t="inlineStr">
        <is>
          <t>A 48734-2022</t>
        </is>
      </c>
      <c r="B447" s="1" t="n">
        <v>44855</v>
      </c>
      <c r="C447" s="1" t="n">
        <v>45966</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23516-2023</t>
        </is>
      </c>
      <c r="B448" s="1" t="n">
        <v>45076.93391203704</v>
      </c>
      <c r="C448" s="1" t="n">
        <v>45966</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43231-2023</t>
        </is>
      </c>
      <c r="B449" s="1" t="n">
        <v>45183.47025462963</v>
      </c>
      <c r="C449" s="1" t="n">
        <v>45966</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26391-2025</t>
        </is>
      </c>
      <c r="B450" s="1" t="n">
        <v>45806</v>
      </c>
      <c r="C450" s="1" t="n">
        <v>45966</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26465-2025</t>
        </is>
      </c>
      <c r="B451" s="1" t="n">
        <v>45807.44377314814</v>
      </c>
      <c r="C451" s="1" t="n">
        <v>45966</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27593-2023</t>
        </is>
      </c>
      <c r="B452" s="1" t="n">
        <v>45097</v>
      </c>
      <c r="C452" s="1" t="n">
        <v>45966</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58230-2024</t>
        </is>
      </c>
      <c r="B453" s="1" t="n">
        <v>45632.51625</v>
      </c>
      <c r="C453" s="1" t="n">
        <v>45966</v>
      </c>
      <c r="D453" t="inlineStr">
        <is>
          <t>GOTLANDS LÄN</t>
        </is>
      </c>
      <c r="E453" t="inlineStr">
        <is>
          <t>GOTLAND</t>
        </is>
      </c>
      <c r="G453" t="n">
        <v>7.3</v>
      </c>
      <c r="H453" t="n">
        <v>0</v>
      </c>
      <c r="I453" t="n">
        <v>0</v>
      </c>
      <c r="J453" t="n">
        <v>0</v>
      </c>
      <c r="K453" t="n">
        <v>0</v>
      </c>
      <c r="L453" t="n">
        <v>0</v>
      </c>
      <c r="M453" t="n">
        <v>0</v>
      </c>
      <c r="N453" t="n">
        <v>0</v>
      </c>
      <c r="O453" t="n">
        <v>0</v>
      </c>
      <c r="P453" t="n">
        <v>0</v>
      </c>
      <c r="Q453" t="n">
        <v>0</v>
      </c>
      <c r="R453" s="2" t="inlineStr"/>
    </row>
    <row r="454" ht="15" customHeight="1">
      <c r="A454" t="inlineStr">
        <is>
          <t>A 26457-2025</t>
        </is>
      </c>
      <c r="B454" s="1" t="n">
        <v>45807.42773148148</v>
      </c>
      <c r="C454" s="1" t="n">
        <v>45966</v>
      </c>
      <c r="D454" t="inlineStr">
        <is>
          <t>GOTLANDS LÄN</t>
        </is>
      </c>
      <c r="E454" t="inlineStr">
        <is>
          <t>GOTLAND</t>
        </is>
      </c>
      <c r="G454" t="n">
        <v>5.7</v>
      </c>
      <c r="H454" t="n">
        <v>0</v>
      </c>
      <c r="I454" t="n">
        <v>0</v>
      </c>
      <c r="J454" t="n">
        <v>0</v>
      </c>
      <c r="K454" t="n">
        <v>0</v>
      </c>
      <c r="L454" t="n">
        <v>0</v>
      </c>
      <c r="M454" t="n">
        <v>0</v>
      </c>
      <c r="N454" t="n">
        <v>0</v>
      </c>
      <c r="O454" t="n">
        <v>0</v>
      </c>
      <c r="P454" t="n">
        <v>0</v>
      </c>
      <c r="Q454" t="n">
        <v>0</v>
      </c>
      <c r="R454" s="2" t="inlineStr"/>
    </row>
    <row r="455" ht="15" customHeight="1">
      <c r="A455" t="inlineStr">
        <is>
          <t>A 26467-2025</t>
        </is>
      </c>
      <c r="B455" s="1" t="n">
        <v>45807.44640046296</v>
      </c>
      <c r="C455" s="1" t="n">
        <v>45966</v>
      </c>
      <c r="D455" t="inlineStr">
        <is>
          <t>GOTLANDS LÄN</t>
        </is>
      </c>
      <c r="E455" t="inlineStr">
        <is>
          <t>GOTLAND</t>
        </is>
      </c>
      <c r="G455" t="n">
        <v>0.7</v>
      </c>
      <c r="H455" t="n">
        <v>0</v>
      </c>
      <c r="I455" t="n">
        <v>0</v>
      </c>
      <c r="J455" t="n">
        <v>0</v>
      </c>
      <c r="K455" t="n">
        <v>0</v>
      </c>
      <c r="L455" t="n">
        <v>0</v>
      </c>
      <c r="M455" t="n">
        <v>0</v>
      </c>
      <c r="N455" t="n">
        <v>0</v>
      </c>
      <c r="O455" t="n">
        <v>0</v>
      </c>
      <c r="P455" t="n">
        <v>0</v>
      </c>
      <c r="Q455" t="n">
        <v>0</v>
      </c>
      <c r="R455" s="2" t="inlineStr"/>
    </row>
    <row r="456" ht="15" customHeight="1">
      <c r="A456" t="inlineStr">
        <is>
          <t>A 64555-2023</t>
        </is>
      </c>
      <c r="B456" s="1" t="n">
        <v>45281</v>
      </c>
      <c r="C456" s="1" t="n">
        <v>45966</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457-2023</t>
        </is>
      </c>
      <c r="B457" s="1" t="n">
        <v>44929.87238425926</v>
      </c>
      <c r="C457" s="1" t="n">
        <v>45966</v>
      </c>
      <c r="D457" t="inlineStr">
        <is>
          <t>GOTLANDS LÄN</t>
        </is>
      </c>
      <c r="E457" t="inlineStr">
        <is>
          <t>GOTLAND</t>
        </is>
      </c>
      <c r="G457" t="n">
        <v>2.4</v>
      </c>
      <c r="H457" t="n">
        <v>0</v>
      </c>
      <c r="I457" t="n">
        <v>0</v>
      </c>
      <c r="J457" t="n">
        <v>0</v>
      </c>
      <c r="K457" t="n">
        <v>0</v>
      </c>
      <c r="L457" t="n">
        <v>0</v>
      </c>
      <c r="M457" t="n">
        <v>0</v>
      </c>
      <c r="N457" t="n">
        <v>0</v>
      </c>
      <c r="O457" t="n">
        <v>0</v>
      </c>
      <c r="P457" t="n">
        <v>0</v>
      </c>
      <c r="Q457" t="n">
        <v>0</v>
      </c>
      <c r="R457" s="2" t="inlineStr"/>
    </row>
    <row r="458" ht="15" customHeight="1">
      <c r="A458" t="inlineStr">
        <is>
          <t>A 459-2023</t>
        </is>
      </c>
      <c r="B458" s="1" t="n">
        <v>44929.87423611111</v>
      </c>
      <c r="C458" s="1" t="n">
        <v>45966</v>
      </c>
      <c r="D458" t="inlineStr">
        <is>
          <t>GOTLANDS LÄN</t>
        </is>
      </c>
      <c r="E458" t="inlineStr">
        <is>
          <t>GOTLAND</t>
        </is>
      </c>
      <c r="G458" t="n">
        <v>4.2</v>
      </c>
      <c r="H458" t="n">
        <v>0</v>
      </c>
      <c r="I458" t="n">
        <v>0</v>
      </c>
      <c r="J458" t="n">
        <v>0</v>
      </c>
      <c r="K458" t="n">
        <v>0</v>
      </c>
      <c r="L458" t="n">
        <v>0</v>
      </c>
      <c r="M458" t="n">
        <v>0</v>
      </c>
      <c r="N458" t="n">
        <v>0</v>
      </c>
      <c r="O458" t="n">
        <v>0</v>
      </c>
      <c r="P458" t="n">
        <v>0</v>
      </c>
      <c r="Q458" t="n">
        <v>0</v>
      </c>
      <c r="R458" s="2" t="inlineStr"/>
    </row>
    <row r="459" ht="15" customHeight="1">
      <c r="A459" t="inlineStr">
        <is>
          <t>A 25129-2023</t>
        </is>
      </c>
      <c r="B459" s="1" t="n">
        <v>45086.44261574074</v>
      </c>
      <c r="C459" s="1" t="n">
        <v>45966</v>
      </c>
      <c r="D459" t="inlineStr">
        <is>
          <t>GOTLANDS LÄN</t>
        </is>
      </c>
      <c r="E459" t="inlineStr">
        <is>
          <t>GOTLAND</t>
        </is>
      </c>
      <c r="G459" t="n">
        <v>1.5</v>
      </c>
      <c r="H459" t="n">
        <v>0</v>
      </c>
      <c r="I459" t="n">
        <v>0</v>
      </c>
      <c r="J459" t="n">
        <v>0</v>
      </c>
      <c r="K459" t="n">
        <v>0</v>
      </c>
      <c r="L459" t="n">
        <v>0</v>
      </c>
      <c r="M459" t="n">
        <v>0</v>
      </c>
      <c r="N459" t="n">
        <v>0</v>
      </c>
      <c r="O459" t="n">
        <v>0</v>
      </c>
      <c r="P459" t="n">
        <v>0</v>
      </c>
      <c r="Q459" t="n">
        <v>0</v>
      </c>
      <c r="R459" s="2" t="inlineStr"/>
    </row>
    <row r="460" ht="15" customHeight="1">
      <c r="A460" t="inlineStr">
        <is>
          <t>A 26660-2025</t>
        </is>
      </c>
      <c r="B460" s="1" t="n">
        <v>45810.39737268518</v>
      </c>
      <c r="C460" s="1" t="n">
        <v>45966</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876-2024</t>
        </is>
      </c>
      <c r="B461" s="1" t="n">
        <v>45301</v>
      </c>
      <c r="C461" s="1" t="n">
        <v>45966</v>
      </c>
      <c r="D461" t="inlineStr">
        <is>
          <t>GOTLANDS LÄN</t>
        </is>
      </c>
      <c r="E461" t="inlineStr">
        <is>
          <t>GOTLAND</t>
        </is>
      </c>
      <c r="G461" t="n">
        <v>5.3</v>
      </c>
      <c r="H461" t="n">
        <v>0</v>
      </c>
      <c r="I461" t="n">
        <v>0</v>
      </c>
      <c r="J461" t="n">
        <v>0</v>
      </c>
      <c r="K461" t="n">
        <v>0</v>
      </c>
      <c r="L461" t="n">
        <v>0</v>
      </c>
      <c r="M461" t="n">
        <v>0</v>
      </c>
      <c r="N461" t="n">
        <v>0</v>
      </c>
      <c r="O461" t="n">
        <v>0</v>
      </c>
      <c r="P461" t="n">
        <v>0</v>
      </c>
      <c r="Q461" t="n">
        <v>0</v>
      </c>
      <c r="R461" s="2" t="inlineStr"/>
    </row>
    <row r="462" ht="15" customHeight="1">
      <c r="A462" t="inlineStr">
        <is>
          <t>A 26891-2024</t>
        </is>
      </c>
      <c r="B462" s="1" t="n">
        <v>45470.65540509259</v>
      </c>
      <c r="C462" s="1" t="n">
        <v>45966</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14536-2021</t>
        </is>
      </c>
      <c r="B463" s="1" t="n">
        <v>44279.66168981481</v>
      </c>
      <c r="C463" s="1" t="n">
        <v>45966</v>
      </c>
      <c r="D463" t="inlineStr">
        <is>
          <t>GOTLANDS LÄN</t>
        </is>
      </c>
      <c r="E463" t="inlineStr">
        <is>
          <t>GOTLAND</t>
        </is>
      </c>
      <c r="G463" t="n">
        <v>8.5</v>
      </c>
      <c r="H463" t="n">
        <v>0</v>
      </c>
      <c r="I463" t="n">
        <v>0</v>
      </c>
      <c r="J463" t="n">
        <v>0</v>
      </c>
      <c r="K463" t="n">
        <v>0</v>
      </c>
      <c r="L463" t="n">
        <v>0</v>
      </c>
      <c r="M463" t="n">
        <v>0</v>
      </c>
      <c r="N463" t="n">
        <v>0</v>
      </c>
      <c r="O463" t="n">
        <v>0</v>
      </c>
      <c r="P463" t="n">
        <v>0</v>
      </c>
      <c r="Q463" t="n">
        <v>0</v>
      </c>
      <c r="R463" s="2" t="inlineStr"/>
    </row>
    <row r="464" ht="15" customHeight="1">
      <c r="A464" t="inlineStr">
        <is>
          <t>A 5923-2023</t>
        </is>
      </c>
      <c r="B464" s="1" t="n">
        <v>44963.69503472222</v>
      </c>
      <c r="C464" s="1" t="n">
        <v>45966</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27355-2025</t>
        </is>
      </c>
      <c r="B465" s="1" t="n">
        <v>45812</v>
      </c>
      <c r="C465" s="1" t="n">
        <v>45966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50482-2024</t>
        </is>
      </c>
      <c r="B466" s="1" t="n">
        <v>45601.48114583334</v>
      </c>
      <c r="C466" s="1" t="n">
        <v>45966</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27371-2025</t>
        </is>
      </c>
      <c r="B467" s="1" t="n">
        <v>45812</v>
      </c>
      <c r="C467" s="1" t="n">
        <v>45966</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45966</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38234-2023</t>
        </is>
      </c>
      <c r="B469" s="1" t="n">
        <v>45161.56663194444</v>
      </c>
      <c r="C469" s="1" t="n">
        <v>45966</v>
      </c>
      <c r="D469" t="inlineStr">
        <is>
          <t>GOTLANDS LÄN</t>
        </is>
      </c>
      <c r="E469" t="inlineStr">
        <is>
          <t>GOTLAND</t>
        </is>
      </c>
      <c r="G469" t="n">
        <v>1.3</v>
      </c>
      <c r="H469" t="n">
        <v>0</v>
      </c>
      <c r="I469" t="n">
        <v>0</v>
      </c>
      <c r="J469" t="n">
        <v>0</v>
      </c>
      <c r="K469" t="n">
        <v>0</v>
      </c>
      <c r="L469" t="n">
        <v>0</v>
      </c>
      <c r="M469" t="n">
        <v>0</v>
      </c>
      <c r="N469" t="n">
        <v>0</v>
      </c>
      <c r="O469" t="n">
        <v>0</v>
      </c>
      <c r="P469" t="n">
        <v>0</v>
      </c>
      <c r="Q469" t="n">
        <v>0</v>
      </c>
      <c r="R469" s="2" t="inlineStr"/>
    </row>
    <row r="470" ht="15" customHeight="1">
      <c r="A470" t="inlineStr">
        <is>
          <t>A 1273-2023</t>
        </is>
      </c>
      <c r="B470" s="1" t="n">
        <v>44936</v>
      </c>
      <c r="C470" s="1" t="n">
        <v>45966</v>
      </c>
      <c r="D470" t="inlineStr">
        <is>
          <t>GOTLANDS LÄN</t>
        </is>
      </c>
      <c r="E470" t="inlineStr">
        <is>
          <t>GOTLAND</t>
        </is>
      </c>
      <c r="G470" t="n">
        <v>4.5</v>
      </c>
      <c r="H470" t="n">
        <v>0</v>
      </c>
      <c r="I470" t="n">
        <v>0</v>
      </c>
      <c r="J470" t="n">
        <v>0</v>
      </c>
      <c r="K470" t="n">
        <v>0</v>
      </c>
      <c r="L470" t="n">
        <v>0</v>
      </c>
      <c r="M470" t="n">
        <v>0</v>
      </c>
      <c r="N470" t="n">
        <v>0</v>
      </c>
      <c r="O470" t="n">
        <v>0</v>
      </c>
      <c r="P470" t="n">
        <v>0</v>
      </c>
      <c r="Q470" t="n">
        <v>0</v>
      </c>
      <c r="R470" s="2" t="inlineStr"/>
    </row>
    <row r="471" ht="15" customHeight="1">
      <c r="A471" t="inlineStr">
        <is>
          <t>A 7850-2025</t>
        </is>
      </c>
      <c r="B471" s="1" t="n">
        <v>45706</v>
      </c>
      <c r="C471" s="1" t="n">
        <v>45966</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6739-2025</t>
        </is>
      </c>
      <c r="B472" s="1" t="n">
        <v>45700</v>
      </c>
      <c r="C472" s="1" t="n">
        <v>45966</v>
      </c>
      <c r="D472" t="inlineStr">
        <is>
          <t>GOTLANDS LÄN</t>
        </is>
      </c>
      <c r="E472" t="inlineStr">
        <is>
          <t>GOTLAND</t>
        </is>
      </c>
      <c r="G472" t="n">
        <v>4.5</v>
      </c>
      <c r="H472" t="n">
        <v>0</v>
      </c>
      <c r="I472" t="n">
        <v>0</v>
      </c>
      <c r="J472" t="n">
        <v>0</v>
      </c>
      <c r="K472" t="n">
        <v>0</v>
      </c>
      <c r="L472" t="n">
        <v>0</v>
      </c>
      <c r="M472" t="n">
        <v>0</v>
      </c>
      <c r="N472" t="n">
        <v>0</v>
      </c>
      <c r="O472" t="n">
        <v>0</v>
      </c>
      <c r="P472" t="n">
        <v>0</v>
      </c>
      <c r="Q472" t="n">
        <v>0</v>
      </c>
      <c r="R472" s="2" t="inlineStr"/>
    </row>
    <row r="473" ht="15" customHeight="1">
      <c r="A473" t="inlineStr">
        <is>
          <t>A 17724-2024</t>
        </is>
      </c>
      <c r="B473" s="1" t="n">
        <v>45418.55096064815</v>
      </c>
      <c r="C473" s="1" t="n">
        <v>45966</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8444-2025</t>
        </is>
      </c>
      <c r="B474" s="1" t="n">
        <v>45709</v>
      </c>
      <c r="C474" s="1" t="n">
        <v>45966</v>
      </c>
      <c r="D474" t="inlineStr">
        <is>
          <t>GOTLANDS LÄN</t>
        </is>
      </c>
      <c r="E474" t="inlineStr">
        <is>
          <t>GOTLAND</t>
        </is>
      </c>
      <c r="G474" t="n">
        <v>5.2</v>
      </c>
      <c r="H474" t="n">
        <v>0</v>
      </c>
      <c r="I474" t="n">
        <v>0</v>
      </c>
      <c r="J474" t="n">
        <v>0</v>
      </c>
      <c r="K474" t="n">
        <v>0</v>
      </c>
      <c r="L474" t="n">
        <v>0</v>
      </c>
      <c r="M474" t="n">
        <v>0</v>
      </c>
      <c r="N474" t="n">
        <v>0</v>
      </c>
      <c r="O474" t="n">
        <v>0</v>
      </c>
      <c r="P474" t="n">
        <v>0</v>
      </c>
      <c r="Q474" t="n">
        <v>0</v>
      </c>
      <c r="R474" s="2" t="inlineStr"/>
    </row>
    <row r="475" ht="15" customHeight="1">
      <c r="A475" t="inlineStr">
        <is>
          <t>A 19905-2025</t>
        </is>
      </c>
      <c r="B475" s="1" t="n">
        <v>45771</v>
      </c>
      <c r="C475" s="1" t="n">
        <v>45966</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23978-2023</t>
        </is>
      </c>
      <c r="B476" s="1" t="n">
        <v>45078</v>
      </c>
      <c r="C476" s="1" t="n">
        <v>45966</v>
      </c>
      <c r="D476" t="inlineStr">
        <is>
          <t>GOTLANDS LÄN</t>
        </is>
      </c>
      <c r="E476" t="inlineStr">
        <is>
          <t>GOTLAND</t>
        </is>
      </c>
      <c r="F476" t="inlineStr">
        <is>
          <t>Naturvårdsverket</t>
        </is>
      </c>
      <c r="G476" t="n">
        <v>1.7</v>
      </c>
      <c r="H476" t="n">
        <v>0</v>
      </c>
      <c r="I476" t="n">
        <v>0</v>
      </c>
      <c r="J476" t="n">
        <v>0</v>
      </c>
      <c r="K476" t="n">
        <v>0</v>
      </c>
      <c r="L476" t="n">
        <v>0</v>
      </c>
      <c r="M476" t="n">
        <v>0</v>
      </c>
      <c r="N476" t="n">
        <v>0</v>
      </c>
      <c r="O476" t="n">
        <v>0</v>
      </c>
      <c r="P476" t="n">
        <v>0</v>
      </c>
      <c r="Q476" t="n">
        <v>0</v>
      </c>
      <c r="R476" s="2" t="inlineStr"/>
    </row>
    <row r="477" ht="15" customHeight="1">
      <c r="A477" t="inlineStr">
        <is>
          <t>A 49884-2023</t>
        </is>
      </c>
      <c r="B477" s="1" t="n">
        <v>45213</v>
      </c>
      <c r="C477" s="1" t="n">
        <v>45966</v>
      </c>
      <c r="D477" t="inlineStr">
        <is>
          <t>GOTLANDS LÄN</t>
        </is>
      </c>
      <c r="E477" t="inlineStr">
        <is>
          <t>GOTLAND</t>
        </is>
      </c>
      <c r="G477" t="n">
        <v>8.9</v>
      </c>
      <c r="H477" t="n">
        <v>0</v>
      </c>
      <c r="I477" t="n">
        <v>0</v>
      </c>
      <c r="J477" t="n">
        <v>0</v>
      </c>
      <c r="K477" t="n">
        <v>0</v>
      </c>
      <c r="L477" t="n">
        <v>0</v>
      </c>
      <c r="M477" t="n">
        <v>0</v>
      </c>
      <c r="N477" t="n">
        <v>0</v>
      </c>
      <c r="O477" t="n">
        <v>0</v>
      </c>
      <c r="P477" t="n">
        <v>0</v>
      </c>
      <c r="Q477" t="n">
        <v>0</v>
      </c>
      <c r="R477" s="2" t="inlineStr"/>
    </row>
    <row r="478" ht="15" customHeight="1">
      <c r="A478" t="inlineStr">
        <is>
          <t>A 12846-2025</t>
        </is>
      </c>
      <c r="B478" s="1" t="n">
        <v>45733.65049768519</v>
      </c>
      <c r="C478" s="1" t="n">
        <v>45966</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43200-2023</t>
        </is>
      </c>
      <c r="B479" s="1" t="n">
        <v>45183</v>
      </c>
      <c r="C479" s="1" t="n">
        <v>45966</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3935-2025</t>
        </is>
      </c>
      <c r="B480" s="1" t="n">
        <v>45684.46070601852</v>
      </c>
      <c r="C480" s="1" t="n">
        <v>45966</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29207-2025</t>
        </is>
      </c>
      <c r="B481" s="1" t="n">
        <v>45823</v>
      </c>
      <c r="C481" s="1" t="n">
        <v>45966</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29196-2025</t>
        </is>
      </c>
      <c r="B482" s="1" t="n">
        <v>45822</v>
      </c>
      <c r="C482" s="1" t="n">
        <v>45966</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21792-2024</t>
        </is>
      </c>
      <c r="B483" s="1" t="n">
        <v>45442.64326388889</v>
      </c>
      <c r="C483" s="1" t="n">
        <v>45966</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30061-2025</t>
        </is>
      </c>
      <c r="B484" s="1" t="n">
        <v>45826.61488425926</v>
      </c>
      <c r="C484" s="1" t="n">
        <v>45966</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48843-2024</t>
        </is>
      </c>
      <c r="B485" s="1" t="n">
        <v>45593</v>
      </c>
      <c r="C485" s="1" t="n">
        <v>45966</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58160-2024</t>
        </is>
      </c>
      <c r="B486" s="1" t="n">
        <v>45632.44927083333</v>
      </c>
      <c r="C486" s="1" t="n">
        <v>45966</v>
      </c>
      <c r="D486" t="inlineStr">
        <is>
          <t>GOTLANDS LÄN</t>
        </is>
      </c>
      <c r="E486" t="inlineStr">
        <is>
          <t>GOTLAND</t>
        </is>
      </c>
      <c r="G486" t="n">
        <v>5.6</v>
      </c>
      <c r="H486" t="n">
        <v>0</v>
      </c>
      <c r="I486" t="n">
        <v>0</v>
      </c>
      <c r="J486" t="n">
        <v>0</v>
      </c>
      <c r="K486" t="n">
        <v>0</v>
      </c>
      <c r="L486" t="n">
        <v>0</v>
      </c>
      <c r="M486" t="n">
        <v>0</v>
      </c>
      <c r="N486" t="n">
        <v>0</v>
      </c>
      <c r="O486" t="n">
        <v>0</v>
      </c>
      <c r="P486" t="n">
        <v>0</v>
      </c>
      <c r="Q486" t="n">
        <v>0</v>
      </c>
      <c r="R486" s="2" t="inlineStr"/>
    </row>
    <row r="487" ht="15" customHeight="1">
      <c r="A487" t="inlineStr">
        <is>
          <t>A 10653-2023</t>
        </is>
      </c>
      <c r="B487" s="1" t="n">
        <v>44988.48859953704</v>
      </c>
      <c r="C487" s="1" t="n">
        <v>45966</v>
      </c>
      <c r="D487" t="inlineStr">
        <is>
          <t>GOTLANDS LÄN</t>
        </is>
      </c>
      <c r="E487" t="inlineStr">
        <is>
          <t>GOTLAND</t>
        </is>
      </c>
      <c r="F487" t="inlineStr">
        <is>
          <t>Kyrkan</t>
        </is>
      </c>
      <c r="G487" t="n">
        <v>3</v>
      </c>
      <c r="H487" t="n">
        <v>0</v>
      </c>
      <c r="I487" t="n">
        <v>0</v>
      </c>
      <c r="J487" t="n">
        <v>0</v>
      </c>
      <c r="K487" t="n">
        <v>0</v>
      </c>
      <c r="L487" t="n">
        <v>0</v>
      </c>
      <c r="M487" t="n">
        <v>0</v>
      </c>
      <c r="N487" t="n">
        <v>0</v>
      </c>
      <c r="O487" t="n">
        <v>0</v>
      </c>
      <c r="P487" t="n">
        <v>0</v>
      </c>
      <c r="Q487" t="n">
        <v>0</v>
      </c>
      <c r="R487" s="2" t="inlineStr"/>
    </row>
    <row r="488" ht="15" customHeight="1">
      <c r="A488" t="inlineStr">
        <is>
          <t>A 56009-2024</t>
        </is>
      </c>
      <c r="B488" s="1" t="n">
        <v>45623.80864583333</v>
      </c>
      <c r="C488" s="1" t="n">
        <v>45966</v>
      </c>
      <c r="D488" t="inlineStr">
        <is>
          <t>GOTLANDS LÄN</t>
        </is>
      </c>
      <c r="E488" t="inlineStr">
        <is>
          <t>GOTLAND</t>
        </is>
      </c>
      <c r="G488" t="n">
        <v>2.8</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45966</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35512-2023</t>
        </is>
      </c>
      <c r="B490" s="1" t="n">
        <v>45147.25623842593</v>
      </c>
      <c r="C490" s="1" t="n">
        <v>45966</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11874-2024</t>
        </is>
      </c>
      <c r="B491" s="1" t="n">
        <v>45376.46956018519</v>
      </c>
      <c r="C491" s="1" t="n">
        <v>45966</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3964-2024</t>
        </is>
      </c>
      <c r="B492" s="1" t="n">
        <v>45322</v>
      </c>
      <c r="C492" s="1" t="n">
        <v>45966</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20225-2025</t>
        </is>
      </c>
      <c r="B493" s="1" t="n">
        <v>45772.65802083333</v>
      </c>
      <c r="C493" s="1" t="n">
        <v>45966</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1677-2023</t>
        </is>
      </c>
      <c r="B494" s="1" t="n">
        <v>44938</v>
      </c>
      <c r="C494" s="1" t="n">
        <v>45966</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45106-2024</t>
        </is>
      </c>
      <c r="B495" s="1" t="n">
        <v>45575</v>
      </c>
      <c r="C495" s="1" t="n">
        <v>45966</v>
      </c>
      <c r="D495" t="inlineStr">
        <is>
          <t>GOTLANDS LÄN</t>
        </is>
      </c>
      <c r="E495" t="inlineStr">
        <is>
          <t>GOTLAND</t>
        </is>
      </c>
      <c r="G495" t="n">
        <v>10</v>
      </c>
      <c r="H495" t="n">
        <v>0</v>
      </c>
      <c r="I495" t="n">
        <v>0</v>
      </c>
      <c r="J495" t="n">
        <v>0</v>
      </c>
      <c r="K495" t="n">
        <v>0</v>
      </c>
      <c r="L495" t="n">
        <v>0</v>
      </c>
      <c r="M495" t="n">
        <v>0</v>
      </c>
      <c r="N495" t="n">
        <v>0</v>
      </c>
      <c r="O495" t="n">
        <v>0</v>
      </c>
      <c r="P495" t="n">
        <v>0</v>
      </c>
      <c r="Q495" t="n">
        <v>0</v>
      </c>
      <c r="R495" s="2" t="inlineStr"/>
    </row>
    <row r="496" ht="15" customHeight="1">
      <c r="A496" t="inlineStr">
        <is>
          <t>A 45112-2024</t>
        </is>
      </c>
      <c r="B496" s="1" t="n">
        <v>45575</v>
      </c>
      <c r="C496" s="1" t="n">
        <v>45966</v>
      </c>
      <c r="D496" t="inlineStr">
        <is>
          <t>GOTLANDS LÄN</t>
        </is>
      </c>
      <c r="E496" t="inlineStr">
        <is>
          <t>GOTLAND</t>
        </is>
      </c>
      <c r="G496" t="n">
        <v>5.1</v>
      </c>
      <c r="H496" t="n">
        <v>0</v>
      </c>
      <c r="I496" t="n">
        <v>0</v>
      </c>
      <c r="J496" t="n">
        <v>0</v>
      </c>
      <c r="K496" t="n">
        <v>0</v>
      </c>
      <c r="L496" t="n">
        <v>0</v>
      </c>
      <c r="M496" t="n">
        <v>0</v>
      </c>
      <c r="N496" t="n">
        <v>0</v>
      </c>
      <c r="O496" t="n">
        <v>0</v>
      </c>
      <c r="P496" t="n">
        <v>0</v>
      </c>
      <c r="Q496" t="n">
        <v>0</v>
      </c>
      <c r="R496" s="2" t="inlineStr"/>
    </row>
    <row r="497" ht="15" customHeight="1">
      <c r="A497" t="inlineStr">
        <is>
          <t>A 16109-2025</t>
        </is>
      </c>
      <c r="B497" s="1" t="n">
        <v>45750</v>
      </c>
      <c r="C497" s="1" t="n">
        <v>45966</v>
      </c>
      <c r="D497" t="inlineStr">
        <is>
          <t>GOTLANDS LÄN</t>
        </is>
      </c>
      <c r="E497" t="inlineStr">
        <is>
          <t>GOTLAND</t>
        </is>
      </c>
      <c r="G497" t="n">
        <v>4.9</v>
      </c>
      <c r="H497" t="n">
        <v>0</v>
      </c>
      <c r="I497" t="n">
        <v>0</v>
      </c>
      <c r="J497" t="n">
        <v>0</v>
      </c>
      <c r="K497" t="n">
        <v>0</v>
      </c>
      <c r="L497" t="n">
        <v>0</v>
      </c>
      <c r="M497" t="n">
        <v>0</v>
      </c>
      <c r="N497" t="n">
        <v>0</v>
      </c>
      <c r="O497" t="n">
        <v>0</v>
      </c>
      <c r="P497" t="n">
        <v>0</v>
      </c>
      <c r="Q497" t="n">
        <v>0</v>
      </c>
      <c r="R497" s="2" t="inlineStr"/>
    </row>
    <row r="498" ht="15" customHeight="1">
      <c r="A498" t="inlineStr">
        <is>
          <t>A 32467-2025</t>
        </is>
      </c>
      <c r="B498" s="1" t="n">
        <v>45838.42111111111</v>
      </c>
      <c r="C498" s="1" t="n">
        <v>45966</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64831-2023</t>
        </is>
      </c>
      <c r="B499" s="1" t="n">
        <v>45282.44924768519</v>
      </c>
      <c r="C499" s="1" t="n">
        <v>45966</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32378-2025</t>
        </is>
      </c>
      <c r="B500" s="1" t="n">
        <v>45837</v>
      </c>
      <c r="C500" s="1" t="n">
        <v>45966</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7026-2023</t>
        </is>
      </c>
      <c r="B501" s="1" t="n">
        <v>44968.30340277778</v>
      </c>
      <c r="C501" s="1" t="n">
        <v>45966</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8036-2022</t>
        </is>
      </c>
      <c r="B502" s="1" t="n">
        <v>44609.44362268518</v>
      </c>
      <c r="C502" s="1" t="n">
        <v>45966</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32379-2025</t>
        </is>
      </c>
      <c r="B503" s="1" t="n">
        <v>45837</v>
      </c>
      <c r="C503" s="1" t="n">
        <v>45966</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46375-2024</t>
        </is>
      </c>
      <c r="B504" s="1" t="n">
        <v>45582</v>
      </c>
      <c r="C504" s="1" t="n">
        <v>45966</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62915-2021</t>
        </is>
      </c>
      <c r="B505" s="1" t="n">
        <v>44504</v>
      </c>
      <c r="C505" s="1" t="n">
        <v>45966</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52892-2021</t>
        </is>
      </c>
      <c r="B506" s="1" t="n">
        <v>44467.49048611111</v>
      </c>
      <c r="C506" s="1" t="n">
        <v>45966</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7638-2025</t>
        </is>
      </c>
      <c r="B507" s="1" t="n">
        <v>45705.77306712963</v>
      </c>
      <c r="C507" s="1" t="n">
        <v>45966</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33007-2025</t>
        </is>
      </c>
      <c r="B508" s="1" t="n">
        <v>45840</v>
      </c>
      <c r="C508" s="1" t="n">
        <v>45966</v>
      </c>
      <c r="D508" t="inlineStr">
        <is>
          <t>GOTLANDS LÄN</t>
        </is>
      </c>
      <c r="E508" t="inlineStr">
        <is>
          <t>GOTLAND</t>
        </is>
      </c>
      <c r="G508" t="n">
        <v>4.9</v>
      </c>
      <c r="H508" t="n">
        <v>0</v>
      </c>
      <c r="I508" t="n">
        <v>0</v>
      </c>
      <c r="J508" t="n">
        <v>0</v>
      </c>
      <c r="K508" t="n">
        <v>0</v>
      </c>
      <c r="L508" t="n">
        <v>0</v>
      </c>
      <c r="M508" t="n">
        <v>0</v>
      </c>
      <c r="N508" t="n">
        <v>0</v>
      </c>
      <c r="O508" t="n">
        <v>0</v>
      </c>
      <c r="P508" t="n">
        <v>0</v>
      </c>
      <c r="Q508" t="n">
        <v>0</v>
      </c>
      <c r="R508" s="2" t="inlineStr"/>
    </row>
    <row r="509" ht="15" customHeight="1">
      <c r="A509" t="inlineStr">
        <is>
          <t>A 1351-2025</t>
        </is>
      </c>
      <c r="B509" s="1" t="n">
        <v>45667.62246527777</v>
      </c>
      <c r="C509" s="1" t="n">
        <v>45966</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4377-2023</t>
        </is>
      </c>
      <c r="B510" s="1" t="n">
        <v>44955.5502662037</v>
      </c>
      <c r="C510" s="1" t="n">
        <v>45966</v>
      </c>
      <c r="D510" t="inlineStr">
        <is>
          <t>GOTLANDS LÄN</t>
        </is>
      </c>
      <c r="E510" t="inlineStr">
        <is>
          <t>GOTLAND</t>
        </is>
      </c>
      <c r="F510" t="inlineStr">
        <is>
          <t>Kyrkan</t>
        </is>
      </c>
      <c r="G510" t="n">
        <v>0.6</v>
      </c>
      <c r="H510" t="n">
        <v>0</v>
      </c>
      <c r="I510" t="n">
        <v>0</v>
      </c>
      <c r="J510" t="n">
        <v>0</v>
      </c>
      <c r="K510" t="n">
        <v>0</v>
      </c>
      <c r="L510" t="n">
        <v>0</v>
      </c>
      <c r="M510" t="n">
        <v>0</v>
      </c>
      <c r="N510" t="n">
        <v>0</v>
      </c>
      <c r="O510" t="n">
        <v>0</v>
      </c>
      <c r="P510" t="n">
        <v>0</v>
      </c>
      <c r="Q510" t="n">
        <v>0</v>
      </c>
      <c r="R510" s="2" t="inlineStr"/>
    </row>
    <row r="511" ht="15" customHeight="1">
      <c r="A511" t="inlineStr">
        <is>
          <t>A 49874-2024</t>
        </is>
      </c>
      <c r="B511" s="1" t="n">
        <v>45597.49274305555</v>
      </c>
      <c r="C511" s="1" t="n">
        <v>45966</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43901-2023</t>
        </is>
      </c>
      <c r="B512" s="1" t="n">
        <v>45187</v>
      </c>
      <c r="C512" s="1" t="n">
        <v>45966</v>
      </c>
      <c r="D512" t="inlineStr">
        <is>
          <t>GOTLANDS LÄN</t>
        </is>
      </c>
      <c r="E512" t="inlineStr">
        <is>
          <t>GOTLAND</t>
        </is>
      </c>
      <c r="G512" t="n">
        <v>5.4</v>
      </c>
      <c r="H512" t="n">
        <v>0</v>
      </c>
      <c r="I512" t="n">
        <v>0</v>
      </c>
      <c r="J512" t="n">
        <v>0</v>
      </c>
      <c r="K512" t="n">
        <v>0</v>
      </c>
      <c r="L512" t="n">
        <v>0</v>
      </c>
      <c r="M512" t="n">
        <v>0</v>
      </c>
      <c r="N512" t="n">
        <v>0</v>
      </c>
      <c r="O512" t="n">
        <v>0</v>
      </c>
      <c r="P512" t="n">
        <v>0</v>
      </c>
      <c r="Q512" t="n">
        <v>0</v>
      </c>
      <c r="R512" s="2" t="inlineStr"/>
    </row>
    <row r="513" ht="15" customHeight="1">
      <c r="A513" t="inlineStr">
        <is>
          <t>A 17532-2024</t>
        </is>
      </c>
      <c r="B513" s="1" t="n">
        <v>45415</v>
      </c>
      <c r="C513" s="1" t="n">
        <v>45966</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45692-2023</t>
        </is>
      </c>
      <c r="B514" s="1" t="n">
        <v>45195</v>
      </c>
      <c r="C514" s="1" t="n">
        <v>45966</v>
      </c>
      <c r="D514" t="inlineStr">
        <is>
          <t>GOTLANDS LÄN</t>
        </is>
      </c>
      <c r="E514" t="inlineStr">
        <is>
          <t>GOTLAND</t>
        </is>
      </c>
      <c r="G514" t="n">
        <v>5.3</v>
      </c>
      <c r="H514" t="n">
        <v>0</v>
      </c>
      <c r="I514" t="n">
        <v>0</v>
      </c>
      <c r="J514" t="n">
        <v>0</v>
      </c>
      <c r="K514" t="n">
        <v>0</v>
      </c>
      <c r="L514" t="n">
        <v>0</v>
      </c>
      <c r="M514" t="n">
        <v>0</v>
      </c>
      <c r="N514" t="n">
        <v>0</v>
      </c>
      <c r="O514" t="n">
        <v>0</v>
      </c>
      <c r="P514" t="n">
        <v>0</v>
      </c>
      <c r="Q514" t="n">
        <v>0</v>
      </c>
      <c r="R514" s="2" t="inlineStr"/>
    </row>
    <row r="515" ht="15" customHeight="1">
      <c r="A515" t="inlineStr">
        <is>
          <t>A 37222-2021</t>
        </is>
      </c>
      <c r="B515" s="1" t="n">
        <v>44396</v>
      </c>
      <c r="C515" s="1" t="n">
        <v>45966</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15413-2025</t>
        </is>
      </c>
      <c r="B516" s="1" t="n">
        <v>45747.451875</v>
      </c>
      <c r="C516" s="1" t="n">
        <v>45966</v>
      </c>
      <c r="D516" t="inlineStr">
        <is>
          <t>GOTLANDS LÄN</t>
        </is>
      </c>
      <c r="E516" t="inlineStr">
        <is>
          <t>GOTLAND</t>
        </is>
      </c>
      <c r="G516" t="n">
        <v>0.6</v>
      </c>
      <c r="H516" t="n">
        <v>0</v>
      </c>
      <c r="I516" t="n">
        <v>0</v>
      </c>
      <c r="J516" t="n">
        <v>0</v>
      </c>
      <c r="K516" t="n">
        <v>0</v>
      </c>
      <c r="L516" t="n">
        <v>0</v>
      </c>
      <c r="M516" t="n">
        <v>0</v>
      </c>
      <c r="N516" t="n">
        <v>0</v>
      </c>
      <c r="O516" t="n">
        <v>0</v>
      </c>
      <c r="P516" t="n">
        <v>0</v>
      </c>
      <c r="Q516" t="n">
        <v>0</v>
      </c>
      <c r="R516" s="2" t="inlineStr"/>
    </row>
    <row r="517" ht="15" customHeight="1">
      <c r="A517" t="inlineStr">
        <is>
          <t>A 35096-2025</t>
        </is>
      </c>
      <c r="B517" s="1" t="n">
        <v>45852.54356481481</v>
      </c>
      <c r="C517" s="1" t="n">
        <v>45966</v>
      </c>
      <c r="D517" t="inlineStr">
        <is>
          <t>GOTLANDS LÄN</t>
        </is>
      </c>
      <c r="E517" t="inlineStr">
        <is>
          <t>GOTLAND</t>
        </is>
      </c>
      <c r="F517" t="inlineStr">
        <is>
          <t>Kyrkan</t>
        </is>
      </c>
      <c r="G517" t="n">
        <v>1</v>
      </c>
      <c r="H517" t="n">
        <v>0</v>
      </c>
      <c r="I517" t="n">
        <v>0</v>
      </c>
      <c r="J517" t="n">
        <v>0</v>
      </c>
      <c r="K517" t="n">
        <v>0</v>
      </c>
      <c r="L517" t="n">
        <v>0</v>
      </c>
      <c r="M517" t="n">
        <v>0</v>
      </c>
      <c r="N517" t="n">
        <v>0</v>
      </c>
      <c r="O517" t="n">
        <v>0</v>
      </c>
      <c r="P517" t="n">
        <v>0</v>
      </c>
      <c r="Q517" t="n">
        <v>0</v>
      </c>
      <c r="R517" s="2" t="inlineStr"/>
    </row>
    <row r="518" ht="15" customHeight="1">
      <c r="A518" t="inlineStr">
        <is>
          <t>A 46396-2023</t>
        </is>
      </c>
      <c r="B518" s="1" t="n">
        <v>45197</v>
      </c>
      <c r="C518" s="1" t="n">
        <v>45966</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35123-2025</t>
        </is>
      </c>
      <c r="B519" s="1" t="n">
        <v>45852.614375</v>
      </c>
      <c r="C519" s="1" t="n">
        <v>45966</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58388-2022</t>
        </is>
      </c>
      <c r="B520" s="1" t="n">
        <v>44894</v>
      </c>
      <c r="C520" s="1" t="n">
        <v>45966</v>
      </c>
      <c r="D520" t="inlineStr">
        <is>
          <t>GOTLANDS LÄN</t>
        </is>
      </c>
      <c r="E520" t="inlineStr">
        <is>
          <t>GOTLAND</t>
        </is>
      </c>
      <c r="F520" t="inlineStr">
        <is>
          <t>Övriga statliga verk och myndigheter</t>
        </is>
      </c>
      <c r="G520" t="n">
        <v>3.1</v>
      </c>
      <c r="H520" t="n">
        <v>0</v>
      </c>
      <c r="I520" t="n">
        <v>0</v>
      </c>
      <c r="J520" t="n">
        <v>0</v>
      </c>
      <c r="K520" t="n">
        <v>0</v>
      </c>
      <c r="L520" t="n">
        <v>0</v>
      </c>
      <c r="M520" t="n">
        <v>0</v>
      </c>
      <c r="N520" t="n">
        <v>0</v>
      </c>
      <c r="O520" t="n">
        <v>0</v>
      </c>
      <c r="P520" t="n">
        <v>0</v>
      </c>
      <c r="Q520" t="n">
        <v>0</v>
      </c>
      <c r="R520" s="2" t="inlineStr"/>
    </row>
    <row r="521" ht="15" customHeight="1">
      <c r="A521" t="inlineStr">
        <is>
          <t>A 35290-2025</t>
        </is>
      </c>
      <c r="B521" s="1" t="n">
        <v>45854.38502314815</v>
      </c>
      <c r="C521" s="1" t="n">
        <v>45966</v>
      </c>
      <c r="D521" t="inlineStr">
        <is>
          <t>GOTLANDS LÄN</t>
        </is>
      </c>
      <c r="E521" t="inlineStr">
        <is>
          <t>GOTLAND</t>
        </is>
      </c>
      <c r="G521" t="n">
        <v>5.4</v>
      </c>
      <c r="H521" t="n">
        <v>0</v>
      </c>
      <c r="I521" t="n">
        <v>0</v>
      </c>
      <c r="J521" t="n">
        <v>0</v>
      </c>
      <c r="K521" t="n">
        <v>0</v>
      </c>
      <c r="L521" t="n">
        <v>0</v>
      </c>
      <c r="M521" t="n">
        <v>0</v>
      </c>
      <c r="N521" t="n">
        <v>0</v>
      </c>
      <c r="O521" t="n">
        <v>0</v>
      </c>
      <c r="P521" t="n">
        <v>0</v>
      </c>
      <c r="Q521" t="n">
        <v>0</v>
      </c>
      <c r="R521" s="2" t="inlineStr"/>
    </row>
    <row r="522" ht="15" customHeight="1">
      <c r="A522" t="inlineStr">
        <is>
          <t>A 30104-2025</t>
        </is>
      </c>
      <c r="B522" s="1" t="n">
        <v>45826.68806712963</v>
      </c>
      <c r="C522" s="1" t="n">
        <v>45966</v>
      </c>
      <c r="D522" t="inlineStr">
        <is>
          <t>GOTLANDS LÄN</t>
        </is>
      </c>
      <c r="E522" t="inlineStr">
        <is>
          <t>GOTLAND</t>
        </is>
      </c>
      <c r="G522" t="n">
        <v>15.4</v>
      </c>
      <c r="H522" t="n">
        <v>0</v>
      </c>
      <c r="I522" t="n">
        <v>0</v>
      </c>
      <c r="J522" t="n">
        <v>0</v>
      </c>
      <c r="K522" t="n">
        <v>0</v>
      </c>
      <c r="L522" t="n">
        <v>0</v>
      </c>
      <c r="M522" t="n">
        <v>0</v>
      </c>
      <c r="N522" t="n">
        <v>0</v>
      </c>
      <c r="O522" t="n">
        <v>0</v>
      </c>
      <c r="P522" t="n">
        <v>0</v>
      </c>
      <c r="Q522" t="n">
        <v>0</v>
      </c>
      <c r="R522" s="2" t="inlineStr"/>
    </row>
    <row r="523" ht="15" customHeight="1">
      <c r="A523" t="inlineStr">
        <is>
          <t>A 32669-2024</t>
        </is>
      </c>
      <c r="B523" s="1" t="n">
        <v>45514</v>
      </c>
      <c r="C523" s="1" t="n">
        <v>45966</v>
      </c>
      <c r="D523" t="inlineStr">
        <is>
          <t>GOTLANDS LÄN</t>
        </is>
      </c>
      <c r="E523" t="inlineStr">
        <is>
          <t>GOTLAND</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35550-2025</t>
        </is>
      </c>
      <c r="B524" s="1" t="n">
        <v>45856.49324074074</v>
      </c>
      <c r="C524" s="1" t="n">
        <v>45966</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35537-2025</t>
        </is>
      </c>
      <c r="B525" s="1" t="n">
        <v>45856</v>
      </c>
      <c r="C525" s="1" t="n">
        <v>45966</v>
      </c>
      <c r="D525" t="inlineStr">
        <is>
          <t>GOTLANDS LÄN</t>
        </is>
      </c>
      <c r="E525" t="inlineStr">
        <is>
          <t>GOTLAND</t>
        </is>
      </c>
      <c r="G525" t="n">
        <v>16.8</v>
      </c>
      <c r="H525" t="n">
        <v>0</v>
      </c>
      <c r="I525" t="n">
        <v>0</v>
      </c>
      <c r="J525" t="n">
        <v>0</v>
      </c>
      <c r="K525" t="n">
        <v>0</v>
      </c>
      <c r="L525" t="n">
        <v>0</v>
      </c>
      <c r="M525" t="n">
        <v>0</v>
      </c>
      <c r="N525" t="n">
        <v>0</v>
      </c>
      <c r="O525" t="n">
        <v>0</v>
      </c>
      <c r="P525" t="n">
        <v>0</v>
      </c>
      <c r="Q525" t="n">
        <v>0</v>
      </c>
      <c r="R525" s="2" t="inlineStr"/>
    </row>
    <row r="526" ht="15" customHeight="1">
      <c r="A526" t="inlineStr">
        <is>
          <t>A 53934-2024</t>
        </is>
      </c>
      <c r="B526" s="1" t="n">
        <v>45615</v>
      </c>
      <c r="C526" s="1" t="n">
        <v>45966</v>
      </c>
      <c r="D526" t="inlineStr">
        <is>
          <t>GOTLANDS LÄN</t>
        </is>
      </c>
      <c r="E526" t="inlineStr">
        <is>
          <t>GOTLAND</t>
        </is>
      </c>
      <c r="G526" t="n">
        <v>5</v>
      </c>
      <c r="H526" t="n">
        <v>0</v>
      </c>
      <c r="I526" t="n">
        <v>0</v>
      </c>
      <c r="J526" t="n">
        <v>0</v>
      </c>
      <c r="K526" t="n">
        <v>0</v>
      </c>
      <c r="L526" t="n">
        <v>0</v>
      </c>
      <c r="M526" t="n">
        <v>0</v>
      </c>
      <c r="N526" t="n">
        <v>0</v>
      </c>
      <c r="O526" t="n">
        <v>0</v>
      </c>
      <c r="P526" t="n">
        <v>0</v>
      </c>
      <c r="Q526" t="n">
        <v>0</v>
      </c>
      <c r="R526" s="2" t="inlineStr"/>
    </row>
    <row r="527" ht="15" customHeight="1">
      <c r="A527" t="inlineStr">
        <is>
          <t>A 58132-2023</t>
        </is>
      </c>
      <c r="B527" s="1" t="n">
        <v>45250</v>
      </c>
      <c r="C527" s="1" t="n">
        <v>45966</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22899-2023</t>
        </is>
      </c>
      <c r="B528" s="1" t="n">
        <v>45072</v>
      </c>
      <c r="C528" s="1" t="n">
        <v>45966</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30488-2025</t>
        </is>
      </c>
      <c r="B529" s="1" t="n">
        <v>45830</v>
      </c>
      <c r="C529" s="1" t="n">
        <v>45966</v>
      </c>
      <c r="D529" t="inlineStr">
        <is>
          <t>GOTLANDS LÄN</t>
        </is>
      </c>
      <c r="E529" t="inlineStr">
        <is>
          <t>GOTLAND</t>
        </is>
      </c>
      <c r="F529" t="inlineStr">
        <is>
          <t>Kyrkan</t>
        </is>
      </c>
      <c r="G529" t="n">
        <v>3.9</v>
      </c>
      <c r="H529" t="n">
        <v>0</v>
      </c>
      <c r="I529" t="n">
        <v>0</v>
      </c>
      <c r="J529" t="n">
        <v>0</v>
      </c>
      <c r="K529" t="n">
        <v>0</v>
      </c>
      <c r="L529" t="n">
        <v>0</v>
      </c>
      <c r="M529" t="n">
        <v>0</v>
      </c>
      <c r="N529" t="n">
        <v>0</v>
      </c>
      <c r="O529" t="n">
        <v>0</v>
      </c>
      <c r="P529" t="n">
        <v>0</v>
      </c>
      <c r="Q529" t="n">
        <v>0</v>
      </c>
      <c r="R529" s="2" t="inlineStr"/>
    </row>
    <row r="530" ht="15" customHeight="1">
      <c r="A530" t="inlineStr">
        <is>
          <t>A 15216-2025</t>
        </is>
      </c>
      <c r="B530" s="1" t="n">
        <v>45744</v>
      </c>
      <c r="C530" s="1" t="n">
        <v>45966</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28285-2024</t>
        </is>
      </c>
      <c r="B531" s="1" t="n">
        <v>45477</v>
      </c>
      <c r="C531" s="1" t="n">
        <v>45966</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15001-2025</t>
        </is>
      </c>
      <c r="B532" s="1" t="n">
        <v>45743</v>
      </c>
      <c r="C532" s="1" t="n">
        <v>45966</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43790-2024</t>
        </is>
      </c>
      <c r="B533" s="1" t="n">
        <v>45571</v>
      </c>
      <c r="C533" s="1" t="n">
        <v>45966</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51963-2024</t>
        </is>
      </c>
      <c r="B534" s="1" t="n">
        <v>45607.64833333333</v>
      </c>
      <c r="C534" s="1" t="n">
        <v>45966</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17847-2025</t>
        </is>
      </c>
      <c r="B535" s="1" t="n">
        <v>45758</v>
      </c>
      <c r="C535" s="1" t="n">
        <v>45966</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36319-2025</t>
        </is>
      </c>
      <c r="B536" s="1" t="n">
        <v>45868</v>
      </c>
      <c r="C536" s="1" t="n">
        <v>45966</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18742-2025</t>
        </is>
      </c>
      <c r="B537" s="1" t="n">
        <v>45763</v>
      </c>
      <c r="C537" s="1" t="n">
        <v>45966</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35129-2025</t>
        </is>
      </c>
      <c r="B538" s="1" t="n">
        <v>45852.63224537037</v>
      </c>
      <c r="C538" s="1" t="n">
        <v>45966</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1734-2025</t>
        </is>
      </c>
      <c r="B539" s="1" t="n">
        <v>45671.3840625</v>
      </c>
      <c r="C539" s="1" t="n">
        <v>45966</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30365-2024</t>
        </is>
      </c>
      <c r="B540" s="1" t="n">
        <v>45491.3716087963</v>
      </c>
      <c r="C540" s="1" t="n">
        <v>45966</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51782-2023</t>
        </is>
      </c>
      <c r="B541" s="1" t="n">
        <v>45222.80952546297</v>
      </c>
      <c r="C541" s="1" t="n">
        <v>45966</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60675-2021</t>
        </is>
      </c>
      <c r="B542" s="1" t="n">
        <v>44496.64855324074</v>
      </c>
      <c r="C542" s="1" t="n">
        <v>45966</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2674-2023</t>
        </is>
      </c>
      <c r="B543" s="1" t="n">
        <v>44944</v>
      </c>
      <c r="C543" s="1" t="n">
        <v>45966</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45966</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5217-2023</t>
        </is>
      </c>
      <c r="B545" s="1" t="n">
        <v>44959.39582175926</v>
      </c>
      <c r="C545" s="1" t="n">
        <v>45966</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581-2023</t>
        </is>
      </c>
      <c r="B546" s="1" t="n">
        <v>44930</v>
      </c>
      <c r="C546" s="1" t="n">
        <v>45966</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45966</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45966</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44649-2021</t>
        </is>
      </c>
      <c r="B549" s="1" t="n">
        <v>44437</v>
      </c>
      <c r="C549" s="1" t="n">
        <v>45966</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4421-2024</t>
        </is>
      </c>
      <c r="B550" s="1" t="n">
        <v>45327.45173611111</v>
      </c>
      <c r="C550" s="1" t="n">
        <v>45966</v>
      </c>
      <c r="D550" t="inlineStr">
        <is>
          <t>GOTLANDS LÄN</t>
        </is>
      </c>
      <c r="E550" t="inlineStr">
        <is>
          <t>GOTLAND</t>
        </is>
      </c>
      <c r="G550" t="n">
        <v>5.1</v>
      </c>
      <c r="H550" t="n">
        <v>0</v>
      </c>
      <c r="I550" t="n">
        <v>0</v>
      </c>
      <c r="J550" t="n">
        <v>0</v>
      </c>
      <c r="K550" t="n">
        <v>0</v>
      </c>
      <c r="L550" t="n">
        <v>0</v>
      </c>
      <c r="M550" t="n">
        <v>0</v>
      </c>
      <c r="N550" t="n">
        <v>0</v>
      </c>
      <c r="O550" t="n">
        <v>0</v>
      </c>
      <c r="P550" t="n">
        <v>0</v>
      </c>
      <c r="Q550" t="n">
        <v>0</v>
      </c>
      <c r="R550" s="2" t="inlineStr"/>
    </row>
    <row r="551" ht="15" customHeight="1">
      <c r="A551" t="inlineStr">
        <is>
          <t>A 8484-2025</t>
        </is>
      </c>
      <c r="B551" s="1" t="n">
        <v>45709</v>
      </c>
      <c r="C551" s="1" t="n">
        <v>45966</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30489-2025</t>
        </is>
      </c>
      <c r="B552" s="1" t="n">
        <v>45830</v>
      </c>
      <c r="C552" s="1" t="n">
        <v>45966</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21142-2025</t>
        </is>
      </c>
      <c r="B553" s="1" t="n">
        <v>45779</v>
      </c>
      <c r="C553" s="1" t="n">
        <v>45966</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6108-2025</t>
        </is>
      </c>
      <c r="B554" s="1" t="n">
        <v>45698.29880787037</v>
      </c>
      <c r="C554" s="1" t="n">
        <v>45966</v>
      </c>
      <c r="D554" t="inlineStr">
        <is>
          <t>GOTLANDS LÄN</t>
        </is>
      </c>
      <c r="E554" t="inlineStr">
        <is>
          <t>GOTLAND</t>
        </is>
      </c>
      <c r="G554" t="n">
        <v>2.8</v>
      </c>
      <c r="H554" t="n">
        <v>0</v>
      </c>
      <c r="I554" t="n">
        <v>0</v>
      </c>
      <c r="J554" t="n">
        <v>0</v>
      </c>
      <c r="K554" t="n">
        <v>0</v>
      </c>
      <c r="L554" t="n">
        <v>0</v>
      </c>
      <c r="M554" t="n">
        <v>0</v>
      </c>
      <c r="N554" t="n">
        <v>0</v>
      </c>
      <c r="O554" t="n">
        <v>0</v>
      </c>
      <c r="P554" t="n">
        <v>0</v>
      </c>
      <c r="Q554" t="n">
        <v>0</v>
      </c>
      <c r="R554" s="2" t="inlineStr"/>
    </row>
    <row r="555" ht="15" customHeight="1">
      <c r="A555" t="inlineStr">
        <is>
          <t>A 17343-2025</t>
        </is>
      </c>
      <c r="B555" s="1" t="n">
        <v>45756.6687037037</v>
      </c>
      <c r="C555" s="1" t="n">
        <v>45966</v>
      </c>
      <c r="D555" t="inlineStr">
        <is>
          <t>GOTLANDS LÄN</t>
        </is>
      </c>
      <c r="E555" t="inlineStr">
        <is>
          <t>GOTLAND</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18938-2025</t>
        </is>
      </c>
      <c r="B556" s="1" t="n">
        <v>45764.49172453704</v>
      </c>
      <c r="C556" s="1" t="n">
        <v>45966</v>
      </c>
      <c r="D556" t="inlineStr">
        <is>
          <t>GOTLANDS LÄN</t>
        </is>
      </c>
      <c r="E556" t="inlineStr">
        <is>
          <t>GOTLAND</t>
        </is>
      </c>
      <c r="G556" t="n">
        <v>1.1</v>
      </c>
      <c r="H556" t="n">
        <v>0</v>
      </c>
      <c r="I556" t="n">
        <v>0</v>
      </c>
      <c r="J556" t="n">
        <v>0</v>
      </c>
      <c r="K556" t="n">
        <v>0</v>
      </c>
      <c r="L556" t="n">
        <v>0</v>
      </c>
      <c r="M556" t="n">
        <v>0</v>
      </c>
      <c r="N556" t="n">
        <v>0</v>
      </c>
      <c r="O556" t="n">
        <v>0</v>
      </c>
      <c r="P556" t="n">
        <v>0</v>
      </c>
      <c r="Q556" t="n">
        <v>0</v>
      </c>
      <c r="R556" s="2" t="inlineStr"/>
    </row>
    <row r="557" ht="15" customHeight="1">
      <c r="A557" t="inlineStr">
        <is>
          <t>A 20307-2025</t>
        </is>
      </c>
      <c r="B557" s="1" t="n">
        <v>45774.95546296296</v>
      </c>
      <c r="C557" s="1" t="n">
        <v>45966</v>
      </c>
      <c r="D557" t="inlineStr">
        <is>
          <t>GOTLANDS LÄN</t>
        </is>
      </c>
      <c r="E557" t="inlineStr">
        <is>
          <t>GOTLAND</t>
        </is>
      </c>
      <c r="G557" t="n">
        <v>6.8</v>
      </c>
      <c r="H557" t="n">
        <v>0</v>
      </c>
      <c r="I557" t="n">
        <v>0</v>
      </c>
      <c r="J557" t="n">
        <v>0</v>
      </c>
      <c r="K557" t="n">
        <v>0</v>
      </c>
      <c r="L557" t="n">
        <v>0</v>
      </c>
      <c r="M557" t="n">
        <v>0</v>
      </c>
      <c r="N557" t="n">
        <v>0</v>
      </c>
      <c r="O557" t="n">
        <v>0</v>
      </c>
      <c r="P557" t="n">
        <v>0</v>
      </c>
      <c r="Q557" t="n">
        <v>0</v>
      </c>
      <c r="R557" s="2" t="inlineStr"/>
    </row>
    <row r="558" ht="15" customHeight="1">
      <c r="A558" t="inlineStr">
        <is>
          <t>A 49962-2023</t>
        </is>
      </c>
      <c r="B558" s="1" t="n">
        <v>45215.38775462963</v>
      </c>
      <c r="C558" s="1" t="n">
        <v>45966</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20165-2022</t>
        </is>
      </c>
      <c r="B559" s="1" t="n">
        <v>44698.49854166667</v>
      </c>
      <c r="C559" s="1" t="n">
        <v>45966</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45966</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45966</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38787-2023</t>
        </is>
      </c>
      <c r="B562" s="1" t="n">
        <v>45163</v>
      </c>
      <c r="C562" s="1" t="n">
        <v>45966</v>
      </c>
      <c r="D562" t="inlineStr">
        <is>
          <t>GOTLANDS LÄN</t>
        </is>
      </c>
      <c r="E562" t="inlineStr">
        <is>
          <t>GOTLAND</t>
        </is>
      </c>
      <c r="G562" t="n">
        <v>0.4</v>
      </c>
      <c r="H562" t="n">
        <v>0</v>
      </c>
      <c r="I562" t="n">
        <v>0</v>
      </c>
      <c r="J562" t="n">
        <v>0</v>
      </c>
      <c r="K562" t="n">
        <v>0</v>
      </c>
      <c r="L562" t="n">
        <v>0</v>
      </c>
      <c r="M562" t="n">
        <v>0</v>
      </c>
      <c r="N562" t="n">
        <v>0</v>
      </c>
      <c r="O562" t="n">
        <v>0</v>
      </c>
      <c r="P562" t="n">
        <v>0</v>
      </c>
      <c r="Q562" t="n">
        <v>0</v>
      </c>
      <c r="R562" s="2" t="inlineStr"/>
    </row>
    <row r="563" ht="15" customHeight="1">
      <c r="A563" t="inlineStr">
        <is>
          <t>A 31264-2021</t>
        </is>
      </c>
      <c r="B563" s="1" t="n">
        <v>44368</v>
      </c>
      <c r="C563" s="1" t="n">
        <v>45966</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33876-2024</t>
        </is>
      </c>
      <c r="B564" s="1" t="n">
        <v>45521.87988425926</v>
      </c>
      <c r="C564" s="1" t="n">
        <v>45966</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43223-2023</t>
        </is>
      </c>
      <c r="B565" s="1" t="n">
        <v>45183.45642361111</v>
      </c>
      <c r="C565" s="1" t="n">
        <v>45966</v>
      </c>
      <c r="D565" t="inlineStr">
        <is>
          <t>GOTLANDS LÄN</t>
        </is>
      </c>
      <c r="E565" t="inlineStr">
        <is>
          <t>GOTLAND</t>
        </is>
      </c>
      <c r="G565" t="n">
        <v>1.8</v>
      </c>
      <c r="H565" t="n">
        <v>0</v>
      </c>
      <c r="I565" t="n">
        <v>0</v>
      </c>
      <c r="J565" t="n">
        <v>0</v>
      </c>
      <c r="K565" t="n">
        <v>0</v>
      </c>
      <c r="L565" t="n">
        <v>0</v>
      </c>
      <c r="M565" t="n">
        <v>0</v>
      </c>
      <c r="N565" t="n">
        <v>0</v>
      </c>
      <c r="O565" t="n">
        <v>0</v>
      </c>
      <c r="P565" t="n">
        <v>0</v>
      </c>
      <c r="Q565" t="n">
        <v>0</v>
      </c>
      <c r="R565" s="2" t="inlineStr"/>
    </row>
    <row r="566" ht="15" customHeight="1">
      <c r="A566" t="inlineStr">
        <is>
          <t>A 61962-2024</t>
        </is>
      </c>
      <c r="B566" s="1" t="n">
        <v>45653.54340277778</v>
      </c>
      <c r="C566" s="1" t="n">
        <v>45966</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27930-2021</t>
        </is>
      </c>
      <c r="B567" s="1" t="n">
        <v>44354</v>
      </c>
      <c r="C567" s="1" t="n">
        <v>45966</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59469-2024</t>
        </is>
      </c>
      <c r="B568" s="1" t="n">
        <v>45638</v>
      </c>
      <c r="C568" s="1" t="n">
        <v>45966</v>
      </c>
      <c r="D568" t="inlineStr">
        <is>
          <t>GOTLANDS LÄN</t>
        </is>
      </c>
      <c r="E568" t="inlineStr">
        <is>
          <t>GOTLAND</t>
        </is>
      </c>
      <c r="G568" t="n">
        <v>0.4</v>
      </c>
      <c r="H568" t="n">
        <v>0</v>
      </c>
      <c r="I568" t="n">
        <v>0</v>
      </c>
      <c r="J568" t="n">
        <v>0</v>
      </c>
      <c r="K568" t="n">
        <v>0</v>
      </c>
      <c r="L568" t="n">
        <v>0</v>
      </c>
      <c r="M568" t="n">
        <v>0</v>
      </c>
      <c r="N568" t="n">
        <v>0</v>
      </c>
      <c r="O568" t="n">
        <v>0</v>
      </c>
      <c r="P568" t="n">
        <v>0</v>
      </c>
      <c r="Q568" t="n">
        <v>0</v>
      </c>
      <c r="R568" s="2" t="inlineStr"/>
    </row>
    <row r="569" ht="15" customHeight="1">
      <c r="A569" t="inlineStr">
        <is>
          <t>A 5751-2024</t>
        </is>
      </c>
      <c r="B569" s="1" t="n">
        <v>45335.32702546296</v>
      </c>
      <c r="C569" s="1" t="n">
        <v>45966</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6696-2023</t>
        </is>
      </c>
      <c r="B570" s="1" t="n">
        <v>44966.66425925926</v>
      </c>
      <c r="C570" s="1" t="n">
        <v>45966</v>
      </c>
      <c r="D570" t="inlineStr">
        <is>
          <t>GOTLANDS LÄN</t>
        </is>
      </c>
      <c r="E570" t="inlineStr">
        <is>
          <t>GOTLAND</t>
        </is>
      </c>
      <c r="G570" t="n">
        <v>1.5</v>
      </c>
      <c r="H570" t="n">
        <v>0</v>
      </c>
      <c r="I570" t="n">
        <v>0</v>
      </c>
      <c r="J570" t="n">
        <v>0</v>
      </c>
      <c r="K570" t="n">
        <v>0</v>
      </c>
      <c r="L570" t="n">
        <v>0</v>
      </c>
      <c r="M570" t="n">
        <v>0</v>
      </c>
      <c r="N570" t="n">
        <v>0</v>
      </c>
      <c r="O570" t="n">
        <v>0</v>
      </c>
      <c r="P570" t="n">
        <v>0</v>
      </c>
      <c r="Q570" t="n">
        <v>0</v>
      </c>
      <c r="R570" s="2" t="inlineStr"/>
    </row>
    <row r="571" ht="15" customHeight="1">
      <c r="A571" t="inlineStr">
        <is>
          <t>A 28480-2023</t>
        </is>
      </c>
      <c r="B571" s="1" t="n">
        <v>45103</v>
      </c>
      <c r="C571" s="1" t="n">
        <v>45966</v>
      </c>
      <c r="D571" t="inlineStr">
        <is>
          <t>GOTLANDS LÄN</t>
        </is>
      </c>
      <c r="E571" t="inlineStr">
        <is>
          <t>GOTLAND</t>
        </is>
      </c>
      <c r="G571" t="n">
        <v>5.7</v>
      </c>
      <c r="H571" t="n">
        <v>0</v>
      </c>
      <c r="I571" t="n">
        <v>0</v>
      </c>
      <c r="J571" t="n">
        <v>0</v>
      </c>
      <c r="K571" t="n">
        <v>0</v>
      </c>
      <c r="L571" t="n">
        <v>0</v>
      </c>
      <c r="M571" t="n">
        <v>0</v>
      </c>
      <c r="N571" t="n">
        <v>0</v>
      </c>
      <c r="O571" t="n">
        <v>0</v>
      </c>
      <c r="P571" t="n">
        <v>0</v>
      </c>
      <c r="Q571" t="n">
        <v>0</v>
      </c>
      <c r="R571" s="2" t="inlineStr"/>
    </row>
    <row r="572" ht="15" customHeight="1">
      <c r="A572" t="inlineStr">
        <is>
          <t>A 28485-2023</t>
        </is>
      </c>
      <c r="B572" s="1" t="n">
        <v>45103.43731481482</v>
      </c>
      <c r="C572" s="1" t="n">
        <v>45966</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4990-2025</t>
        </is>
      </c>
      <c r="B573" s="1" t="n">
        <v>45691</v>
      </c>
      <c r="C573" s="1" t="n">
        <v>45966</v>
      </c>
      <c r="D573" t="inlineStr">
        <is>
          <t>GOTLANDS LÄN</t>
        </is>
      </c>
      <c r="E573" t="inlineStr">
        <is>
          <t>GOTLAND</t>
        </is>
      </c>
      <c r="G573" t="n">
        <v>7.7</v>
      </c>
      <c r="H573" t="n">
        <v>0</v>
      </c>
      <c r="I573" t="n">
        <v>0</v>
      </c>
      <c r="J573" t="n">
        <v>0</v>
      </c>
      <c r="K573" t="n">
        <v>0</v>
      </c>
      <c r="L573" t="n">
        <v>0</v>
      </c>
      <c r="M573" t="n">
        <v>0</v>
      </c>
      <c r="N573" t="n">
        <v>0</v>
      </c>
      <c r="O573" t="n">
        <v>0</v>
      </c>
      <c r="P573" t="n">
        <v>0</v>
      </c>
      <c r="Q573" t="n">
        <v>0</v>
      </c>
      <c r="R573" s="2" t="inlineStr"/>
    </row>
    <row r="574" ht="15" customHeight="1">
      <c r="A574" t="inlineStr">
        <is>
          <t>A 38165-2023</t>
        </is>
      </c>
      <c r="B574" s="1" t="n">
        <v>45161</v>
      </c>
      <c r="C574" s="1" t="n">
        <v>45966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49693-2023</t>
        </is>
      </c>
      <c r="B575" s="1" t="n">
        <v>45212.38138888889</v>
      </c>
      <c r="C575" s="1" t="n">
        <v>45966</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49697-2023</t>
        </is>
      </c>
      <c r="B576" s="1" t="n">
        <v>45212.38909722222</v>
      </c>
      <c r="C576" s="1" t="n">
        <v>45966</v>
      </c>
      <c r="D576" t="inlineStr">
        <is>
          <t>GOTLANDS LÄN</t>
        </is>
      </c>
      <c r="E576" t="inlineStr">
        <is>
          <t>GOTLAND</t>
        </is>
      </c>
      <c r="G576" t="n">
        <v>4.4</v>
      </c>
      <c r="H576" t="n">
        <v>0</v>
      </c>
      <c r="I576" t="n">
        <v>0</v>
      </c>
      <c r="J576" t="n">
        <v>0</v>
      </c>
      <c r="K576" t="n">
        <v>0</v>
      </c>
      <c r="L576" t="n">
        <v>0</v>
      </c>
      <c r="M576" t="n">
        <v>0</v>
      </c>
      <c r="N576" t="n">
        <v>0</v>
      </c>
      <c r="O576" t="n">
        <v>0</v>
      </c>
      <c r="P576" t="n">
        <v>0</v>
      </c>
      <c r="Q576" t="n">
        <v>0</v>
      </c>
      <c r="R576" s="2" t="inlineStr"/>
    </row>
    <row r="577" ht="15" customHeight="1">
      <c r="A577" t="inlineStr">
        <is>
          <t>A 34312-2024</t>
        </is>
      </c>
      <c r="B577" s="1" t="n">
        <v>45524.69703703704</v>
      </c>
      <c r="C577" s="1" t="n">
        <v>45966</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48503-2023</t>
        </is>
      </c>
      <c r="B578" s="1" t="n">
        <v>45207</v>
      </c>
      <c r="C578" s="1" t="n">
        <v>45966</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24825-2024</t>
        </is>
      </c>
      <c r="B579" s="1" t="n">
        <v>45461</v>
      </c>
      <c r="C579" s="1" t="n">
        <v>45966</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22031-2024</t>
        </is>
      </c>
      <c r="B580" s="1" t="n">
        <v>45443.60075231481</v>
      </c>
      <c r="C580" s="1" t="n">
        <v>45966</v>
      </c>
      <c r="D580" t="inlineStr">
        <is>
          <t>GOTLANDS LÄN</t>
        </is>
      </c>
      <c r="E580" t="inlineStr">
        <is>
          <t>GOTLAND</t>
        </is>
      </c>
      <c r="G580" t="n">
        <v>2.3</v>
      </c>
      <c r="H580" t="n">
        <v>0</v>
      </c>
      <c r="I580" t="n">
        <v>0</v>
      </c>
      <c r="J580" t="n">
        <v>0</v>
      </c>
      <c r="K580" t="n">
        <v>0</v>
      </c>
      <c r="L580" t="n">
        <v>0</v>
      </c>
      <c r="M580" t="n">
        <v>0</v>
      </c>
      <c r="N580" t="n">
        <v>0</v>
      </c>
      <c r="O580" t="n">
        <v>0</v>
      </c>
      <c r="P580" t="n">
        <v>0</v>
      </c>
      <c r="Q580" t="n">
        <v>0</v>
      </c>
      <c r="R580" s="2" t="inlineStr"/>
    </row>
    <row r="581" ht="15" customHeight="1">
      <c r="A581" t="inlineStr">
        <is>
          <t>A 17688-2024</t>
        </is>
      </c>
      <c r="B581" s="1" t="n">
        <v>45418.43575231481</v>
      </c>
      <c r="C581" s="1" t="n">
        <v>45966</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27694-2024</t>
        </is>
      </c>
      <c r="B582" s="1" t="n">
        <v>45475</v>
      </c>
      <c r="C582" s="1" t="n">
        <v>45966</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39764-2022</t>
        </is>
      </c>
      <c r="B583" s="1" t="n">
        <v>44819</v>
      </c>
      <c r="C583" s="1" t="n">
        <v>45966</v>
      </c>
      <c r="D583" t="inlineStr">
        <is>
          <t>GOTLANDS LÄN</t>
        </is>
      </c>
      <c r="E583" t="inlineStr">
        <is>
          <t>GOTLAND</t>
        </is>
      </c>
      <c r="F583" t="inlineStr">
        <is>
          <t>Kyrkan</t>
        </is>
      </c>
      <c r="G583" t="n">
        <v>3.7</v>
      </c>
      <c r="H583" t="n">
        <v>0</v>
      </c>
      <c r="I583" t="n">
        <v>0</v>
      </c>
      <c r="J583" t="n">
        <v>0</v>
      </c>
      <c r="K583" t="n">
        <v>0</v>
      </c>
      <c r="L583" t="n">
        <v>0</v>
      </c>
      <c r="M583" t="n">
        <v>0</v>
      </c>
      <c r="N583" t="n">
        <v>0</v>
      </c>
      <c r="O583" t="n">
        <v>0</v>
      </c>
      <c r="P583" t="n">
        <v>0</v>
      </c>
      <c r="Q583" t="n">
        <v>0</v>
      </c>
      <c r="R583" s="2" t="inlineStr"/>
    </row>
    <row r="584" ht="15" customHeight="1">
      <c r="A584" t="inlineStr">
        <is>
          <t>A 6099-2024</t>
        </is>
      </c>
      <c r="B584" s="1" t="n">
        <v>45337</v>
      </c>
      <c r="C584" s="1" t="n">
        <v>45966</v>
      </c>
      <c r="D584" t="inlineStr">
        <is>
          <t>GOTLANDS LÄN</t>
        </is>
      </c>
      <c r="E584" t="inlineStr">
        <is>
          <t>GOTLAND</t>
        </is>
      </c>
      <c r="G584" t="n">
        <v>12.6</v>
      </c>
      <c r="H584" t="n">
        <v>0</v>
      </c>
      <c r="I584" t="n">
        <v>0</v>
      </c>
      <c r="J584" t="n">
        <v>0</v>
      </c>
      <c r="K584" t="n">
        <v>0</v>
      </c>
      <c r="L584" t="n">
        <v>0</v>
      </c>
      <c r="M584" t="n">
        <v>0</v>
      </c>
      <c r="N584" t="n">
        <v>0</v>
      </c>
      <c r="O584" t="n">
        <v>0</v>
      </c>
      <c r="P584" t="n">
        <v>0</v>
      </c>
      <c r="Q584" t="n">
        <v>0</v>
      </c>
      <c r="R584" s="2" t="inlineStr"/>
    </row>
    <row r="585" ht="15" customHeight="1">
      <c r="A585" t="inlineStr">
        <is>
          <t>A 8260-2023</t>
        </is>
      </c>
      <c r="B585" s="1" t="n">
        <v>44974.61608796296</v>
      </c>
      <c r="C585" s="1" t="n">
        <v>45966</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22287-2022</t>
        </is>
      </c>
      <c r="B586" s="1" t="n">
        <v>44712</v>
      </c>
      <c r="C586" s="1" t="n">
        <v>45966</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57534-2022</t>
        </is>
      </c>
      <c r="B587" s="1" t="n">
        <v>44896</v>
      </c>
      <c r="C587" s="1" t="n">
        <v>45966</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64660-2023</t>
        </is>
      </c>
      <c r="B588" s="1" t="n">
        <v>45281.60122685185</v>
      </c>
      <c r="C588" s="1" t="n">
        <v>45966</v>
      </c>
      <c r="D588" t="inlineStr">
        <is>
          <t>GOTLANDS LÄN</t>
        </is>
      </c>
      <c r="E588" t="inlineStr">
        <is>
          <t>GOTLAND</t>
        </is>
      </c>
      <c r="G588" t="n">
        <v>6.3</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45058.82172453704</v>
      </c>
      <c r="C589" s="1" t="n">
        <v>45966</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60709-2023</t>
        </is>
      </c>
      <c r="B590" s="1" t="n">
        <v>45260</v>
      </c>
      <c r="C590" s="1" t="n">
        <v>45966</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1000-2024</t>
        </is>
      </c>
      <c r="B591" s="1" t="n">
        <v>45301.63371527778</v>
      </c>
      <c r="C591" s="1" t="n">
        <v>45966</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1010-2024</t>
        </is>
      </c>
      <c r="B592" s="1" t="n">
        <v>45301</v>
      </c>
      <c r="C592" s="1" t="n">
        <v>45966</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65249-2023</t>
        </is>
      </c>
      <c r="B593" s="1" t="n">
        <v>45290</v>
      </c>
      <c r="C593" s="1" t="n">
        <v>45966</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30956-2024</t>
        </is>
      </c>
      <c r="B594" s="1" t="n">
        <v>45499.42527777778</v>
      </c>
      <c r="C594" s="1" t="n">
        <v>45966</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12596-2023</t>
        </is>
      </c>
      <c r="B595" s="1" t="n">
        <v>45000.43310185185</v>
      </c>
      <c r="C595" s="1" t="n">
        <v>45966</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8045-2022</t>
        </is>
      </c>
      <c r="B596" s="1" t="n">
        <v>44609</v>
      </c>
      <c r="C596" s="1" t="n">
        <v>45966</v>
      </c>
      <c r="D596" t="inlineStr">
        <is>
          <t>GOTLANDS LÄN</t>
        </is>
      </c>
      <c r="E596" t="inlineStr">
        <is>
          <t>GOTLAND</t>
        </is>
      </c>
      <c r="G596" t="n">
        <v>7</v>
      </c>
      <c r="H596" t="n">
        <v>0</v>
      </c>
      <c r="I596" t="n">
        <v>0</v>
      </c>
      <c r="J596" t="n">
        <v>0</v>
      </c>
      <c r="K596" t="n">
        <v>0</v>
      </c>
      <c r="L596" t="n">
        <v>0</v>
      </c>
      <c r="M596" t="n">
        <v>0</v>
      </c>
      <c r="N596" t="n">
        <v>0</v>
      </c>
      <c r="O596" t="n">
        <v>0</v>
      </c>
      <c r="P596" t="n">
        <v>0</v>
      </c>
      <c r="Q596" t="n">
        <v>0</v>
      </c>
      <c r="R596" s="2" t="inlineStr"/>
    </row>
    <row r="597" ht="15" customHeight="1">
      <c r="A597" t="inlineStr">
        <is>
          <t>A 999-2024</t>
        </is>
      </c>
      <c r="B597" s="1" t="n">
        <v>45301</v>
      </c>
      <c r="C597" s="1" t="n">
        <v>45966</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65901-2021</t>
        </is>
      </c>
      <c r="B598" s="1" t="n">
        <v>44516</v>
      </c>
      <c r="C598" s="1" t="n">
        <v>45966</v>
      </c>
      <c r="D598" t="inlineStr">
        <is>
          <t>GOTLANDS LÄN</t>
        </is>
      </c>
      <c r="E598" t="inlineStr">
        <is>
          <t>GOTLAND</t>
        </is>
      </c>
      <c r="G598" t="n">
        <v>4.9</v>
      </c>
      <c r="H598" t="n">
        <v>0</v>
      </c>
      <c r="I598" t="n">
        <v>0</v>
      </c>
      <c r="J598" t="n">
        <v>0</v>
      </c>
      <c r="K598" t="n">
        <v>0</v>
      </c>
      <c r="L598" t="n">
        <v>0</v>
      </c>
      <c r="M598" t="n">
        <v>0</v>
      </c>
      <c r="N598" t="n">
        <v>0</v>
      </c>
      <c r="O598" t="n">
        <v>0</v>
      </c>
      <c r="P598" t="n">
        <v>0</v>
      </c>
      <c r="Q598" t="n">
        <v>0</v>
      </c>
      <c r="R598" s="2" t="inlineStr"/>
    </row>
    <row r="599" ht="15" customHeight="1">
      <c r="A599" t="inlineStr">
        <is>
          <t>A 47762-2023</t>
        </is>
      </c>
      <c r="B599" s="1" t="n">
        <v>45203.86256944444</v>
      </c>
      <c r="C599" s="1" t="n">
        <v>45966</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40294-2022</t>
        </is>
      </c>
      <c r="B600" s="1" t="n">
        <v>44821</v>
      </c>
      <c r="C600" s="1" t="n">
        <v>45966</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27602-2023</t>
        </is>
      </c>
      <c r="B601" s="1" t="n">
        <v>45097</v>
      </c>
      <c r="C601" s="1" t="n">
        <v>45966</v>
      </c>
      <c r="D601" t="inlineStr">
        <is>
          <t>GOTLANDS LÄN</t>
        </is>
      </c>
      <c r="E601" t="inlineStr">
        <is>
          <t>GOTLAND</t>
        </is>
      </c>
      <c r="G601" t="n">
        <v>2.7</v>
      </c>
      <c r="H601" t="n">
        <v>0</v>
      </c>
      <c r="I601" t="n">
        <v>0</v>
      </c>
      <c r="J601" t="n">
        <v>0</v>
      </c>
      <c r="K601" t="n">
        <v>0</v>
      </c>
      <c r="L601" t="n">
        <v>0</v>
      </c>
      <c r="M601" t="n">
        <v>0</v>
      </c>
      <c r="N601" t="n">
        <v>0</v>
      </c>
      <c r="O601" t="n">
        <v>0</v>
      </c>
      <c r="P601" t="n">
        <v>0</v>
      </c>
      <c r="Q601" t="n">
        <v>0</v>
      </c>
      <c r="R601" s="2" t="inlineStr"/>
    </row>
    <row r="602" ht="15" customHeight="1">
      <c r="A602" t="inlineStr">
        <is>
          <t>A 58780-2024</t>
        </is>
      </c>
      <c r="B602" s="1" t="n">
        <v>45635.84113425926</v>
      </c>
      <c r="C602" s="1" t="n">
        <v>45966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12322-2025</t>
        </is>
      </c>
      <c r="B603" s="1" t="n">
        <v>45730</v>
      </c>
      <c r="C603" s="1" t="n">
        <v>45966</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24192-2023</t>
        </is>
      </c>
      <c r="B604" s="1" t="n">
        <v>45079</v>
      </c>
      <c r="C604" s="1" t="n">
        <v>45966</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30282-2022</t>
        </is>
      </c>
      <c r="B605" s="1" t="n">
        <v>44760</v>
      </c>
      <c r="C605" s="1" t="n">
        <v>45966</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7835-2024</t>
        </is>
      </c>
      <c r="B606" s="1" t="n">
        <v>45349.83138888889</v>
      </c>
      <c r="C606" s="1" t="n">
        <v>45966</v>
      </c>
      <c r="D606" t="inlineStr">
        <is>
          <t>GOTLANDS LÄN</t>
        </is>
      </c>
      <c r="E606" t="inlineStr">
        <is>
          <t>GOTLAND</t>
        </is>
      </c>
      <c r="G606" t="n">
        <v>3.8</v>
      </c>
      <c r="H606" t="n">
        <v>0</v>
      </c>
      <c r="I606" t="n">
        <v>0</v>
      </c>
      <c r="J606" t="n">
        <v>0</v>
      </c>
      <c r="K606" t="n">
        <v>0</v>
      </c>
      <c r="L606" t="n">
        <v>0</v>
      </c>
      <c r="M606" t="n">
        <v>0</v>
      </c>
      <c r="N606" t="n">
        <v>0</v>
      </c>
      <c r="O606" t="n">
        <v>0</v>
      </c>
      <c r="P606" t="n">
        <v>0</v>
      </c>
      <c r="Q606" t="n">
        <v>0</v>
      </c>
      <c r="R606" s="2" t="inlineStr"/>
    </row>
    <row r="607" ht="15" customHeight="1">
      <c r="A607" t="inlineStr">
        <is>
          <t>A 10650-2022</t>
        </is>
      </c>
      <c r="B607" s="1" t="n">
        <v>44624.57945601852</v>
      </c>
      <c r="C607" s="1" t="n">
        <v>45966</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26810-2021</t>
        </is>
      </c>
      <c r="B608" s="1" t="n">
        <v>44349.55087962963</v>
      </c>
      <c r="C608" s="1" t="n">
        <v>45966</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28425-2023</t>
        </is>
      </c>
      <c r="B609" s="1" t="n">
        <v>45102</v>
      </c>
      <c r="C609" s="1" t="n">
        <v>45966</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c r="A610" t="inlineStr">
        <is>
          <t>A 13037-2025</t>
        </is>
      </c>
      <c r="B610" s="1" t="n">
        <v>45734</v>
      </c>
      <c r="C610" s="1" t="n">
        <v>45966</v>
      </c>
      <c r="D610" t="inlineStr">
        <is>
          <t>GOTLANDS LÄN</t>
        </is>
      </c>
      <c r="E610" t="inlineStr">
        <is>
          <t>GOTLAND</t>
        </is>
      </c>
      <c r="G610" t="n">
        <v>9.5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2025-11-05T10:09:38Z</dcterms:created>
  <dcterms:modified xmlns:dcterms="http://purl.org/dc/terms/" xmlns:xsi="http://www.w3.org/2001/XMLSchema-instance" xsi:type="dcterms:W3CDTF">2025-11-05T10:09:39Z</dcterms:modified>
</cp:coreProperties>
</file>