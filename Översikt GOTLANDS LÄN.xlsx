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45986</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45986</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45986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45986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45986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45986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45986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45986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45986</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45986</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45986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45986</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45986</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45986</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45986</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45986</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45986</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45986</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45986</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45986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45986</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45986</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45986</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45986</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445-2023</t>
        </is>
      </c>
      <c r="B35" s="1" t="n">
        <v>44929</v>
      </c>
      <c r="C35" s="1" t="n">
        <v>45986</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45986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44928-2022</t>
        </is>
      </c>
      <c r="B37" s="1" t="n">
        <v>44841</v>
      </c>
      <c r="C37" s="1" t="n">
        <v>45986</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35141-2022</t>
        </is>
      </c>
      <c r="B38" s="1" t="n">
        <v>44797.53318287037</v>
      </c>
      <c r="C38" s="1" t="n">
        <v>45986</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45986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45986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45986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45986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45986</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45986</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45986</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45986</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45986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45986</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14354-2024</t>
        </is>
      </c>
      <c r="B50" s="1" t="n">
        <v>45393</v>
      </c>
      <c r="C50" s="1" t="n">
        <v>45986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45248-2024</t>
        </is>
      </c>
      <c r="B51" s="1" t="n">
        <v>45576</v>
      </c>
      <c r="C51" s="1" t="n">
        <v>45986</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1719-2025</t>
        </is>
      </c>
      <c r="B52" s="1" t="n">
        <v>45671</v>
      </c>
      <c r="C52" s="1" t="n">
        <v>45986</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45986</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45986</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45986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45986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45986</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45986</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45986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45986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45986</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27280-2023</t>
        </is>
      </c>
      <c r="B63" s="1" t="n">
        <v>45096</v>
      </c>
      <c r="C63" s="1" t="n">
        <v>45986</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45986</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45986</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45986</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45986</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45986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45986</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53584-2025</t>
        </is>
      </c>
      <c r="B70" s="1" t="n">
        <v>45960.43130787037</v>
      </c>
      <c r="C70" s="1" t="n">
        <v>45986</v>
      </c>
      <c r="D70" t="inlineStr">
        <is>
          <t>GOTLANDS LÄN</t>
        </is>
      </c>
      <c r="E70" t="inlineStr">
        <is>
          <t>GOTLAND</t>
        </is>
      </c>
      <c r="F70" t="inlineStr">
        <is>
          <t>Övriga Aktiebolag</t>
        </is>
      </c>
      <c r="G70" t="n">
        <v>18.1</v>
      </c>
      <c r="H70" t="n">
        <v>3</v>
      </c>
      <c r="I70" t="n">
        <v>0</v>
      </c>
      <c r="J70" t="n">
        <v>4</v>
      </c>
      <c r="K70" t="n">
        <v>0</v>
      </c>
      <c r="L70" t="n">
        <v>0</v>
      </c>
      <c r="M70" t="n">
        <v>0</v>
      </c>
      <c r="N70" t="n">
        <v>0</v>
      </c>
      <c r="O70" t="n">
        <v>4</v>
      </c>
      <c r="P70" t="n">
        <v>0</v>
      </c>
      <c r="Q70" t="n">
        <v>6</v>
      </c>
      <c r="R70" s="2" t="inlineStr">
        <is>
          <t>Apollofjäril
Jordtistel
Klasefibbla
Majviva
Gråkråka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row>
    <row r="71" ht="15" customHeight="1">
      <c r="A71" t="inlineStr">
        <is>
          <t>A 57773-2025</t>
        </is>
      </c>
      <c r="B71" s="1" t="n">
        <v>45981.56349537037</v>
      </c>
      <c r="C71" s="1" t="n">
        <v>45986</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65819-2020</t>
        </is>
      </c>
      <c r="B72" s="1" t="n">
        <v>44174</v>
      </c>
      <c r="C72" s="1" t="n">
        <v>45986</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45986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16823-2024</t>
        </is>
      </c>
      <c r="B74" s="1" t="n">
        <v>45411</v>
      </c>
      <c r="C74" s="1" t="n">
        <v>45986</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446-2023</t>
        </is>
      </c>
      <c r="B75" s="1" t="n">
        <v>44929</v>
      </c>
      <c r="C75" s="1" t="n">
        <v>45986</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45986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45986</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45986</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45986</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52245-2025</t>
        </is>
      </c>
      <c r="B80" s="1" t="n">
        <v>45953.47115740741</v>
      </c>
      <c r="C80" s="1" t="n">
        <v>45986</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32326-2024</t>
        </is>
      </c>
      <c r="B81" s="1" t="n">
        <v>45512</v>
      </c>
      <c r="C81" s="1" t="n">
        <v>45986</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45986</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45986</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44944-2022</t>
        </is>
      </c>
      <c r="B84" s="1" t="n">
        <v>44841</v>
      </c>
      <c r="C84" s="1" t="n">
        <v>45986</v>
      </c>
      <c r="D84" t="inlineStr">
        <is>
          <t>GOTLANDS LÄN</t>
        </is>
      </c>
      <c r="E84" t="inlineStr">
        <is>
          <t>GOTLAND</t>
        </is>
      </c>
      <c r="G84" t="n">
        <v>2.8</v>
      </c>
      <c r="H84" t="n">
        <v>0</v>
      </c>
      <c r="I84" t="n">
        <v>3</v>
      </c>
      <c r="J84" t="n">
        <v>2</v>
      </c>
      <c r="K84" t="n">
        <v>0</v>
      </c>
      <c r="L84" t="n">
        <v>0</v>
      </c>
      <c r="M84" t="n">
        <v>0</v>
      </c>
      <c r="N84" t="n">
        <v>0</v>
      </c>
      <c r="O84" t="n">
        <v>2</v>
      </c>
      <c r="P84" t="n">
        <v>0</v>
      </c>
      <c r="Q84" t="n">
        <v>5</v>
      </c>
      <c r="R84" s="2" t="inlineStr">
        <is>
          <t>Denisespindling
Odörspindling
Anisspindling
Fjällig taggsvamp s.str.
Rödgul trumpetsvamp</t>
        </is>
      </c>
      <c r="S84">
        <f>HYPERLINK("https://klasma.github.io/Logging_0980/artfynd/A 44944-2022 artfynd.xlsx", "A 44944-2022")</f>
        <v/>
      </c>
      <c r="T84">
        <f>HYPERLINK("https://klasma.github.io/Logging_0980/kartor/A 44944-2022 karta.png", "A 44944-2022")</f>
        <v/>
      </c>
      <c r="V84">
        <f>HYPERLINK("https://klasma.github.io/Logging_0980/klagomål/A 44944-2022 FSC-klagomål.docx", "A 44944-2022")</f>
        <v/>
      </c>
      <c r="W84">
        <f>HYPERLINK("https://klasma.github.io/Logging_0980/klagomålsmail/A 44944-2022 FSC-klagomål mail.docx", "A 44944-2022")</f>
        <v/>
      </c>
      <c r="X84">
        <f>HYPERLINK("https://klasma.github.io/Logging_0980/tillsyn/A 44944-2022 tillsynsbegäran.docx", "A 44944-2022")</f>
        <v/>
      </c>
      <c r="Y84">
        <f>HYPERLINK("https://klasma.github.io/Logging_0980/tillsynsmail/A 44944-2022 tillsynsbegäran mail.docx", "A 44944-2022")</f>
        <v/>
      </c>
    </row>
    <row r="85" ht="15" customHeight="1">
      <c r="A85" t="inlineStr">
        <is>
          <t>A 2213-2023</t>
        </is>
      </c>
      <c r="B85" s="1" t="n">
        <v>44942</v>
      </c>
      <c r="C85" s="1" t="n">
        <v>45986</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45986</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45986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45986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45986</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45986</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52309-2025</t>
        </is>
      </c>
      <c r="B91" s="1" t="n">
        <v>45953.64381944444</v>
      </c>
      <c r="C91" s="1" t="n">
        <v>45986</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52309-2025 artfynd.xlsx", "A 52309-2025")</f>
        <v/>
      </c>
      <c r="T91">
        <f>HYPERLINK("https://klasma.github.io/Logging_0980/kartor/A 52309-2025 karta.png", "A 52309-2025")</f>
        <v/>
      </c>
      <c r="V91">
        <f>HYPERLINK("https://klasma.github.io/Logging_0980/klagomål/A 52309-2025 FSC-klagomål.docx", "A 52309-2025")</f>
        <v/>
      </c>
      <c r="W91">
        <f>HYPERLINK("https://klasma.github.io/Logging_0980/klagomålsmail/A 52309-2025 FSC-klagomål mail.docx", "A 52309-2025")</f>
        <v/>
      </c>
      <c r="X91">
        <f>HYPERLINK("https://klasma.github.io/Logging_0980/tillsyn/A 52309-2025 tillsynsbegäran.docx", "A 52309-2025")</f>
        <v/>
      </c>
      <c r="Y91">
        <f>HYPERLINK("https://klasma.github.io/Logging_0980/tillsynsmail/A 52309-2025 tillsynsbegäran mail.docx", "A 52309-2025")</f>
        <v/>
      </c>
    </row>
    <row r="92" ht="15" customHeight="1">
      <c r="A92" t="inlineStr">
        <is>
          <t>A 56717-2024</t>
        </is>
      </c>
      <c r="B92" s="1" t="n">
        <v>45628.3166550926</v>
      </c>
      <c r="C92" s="1" t="n">
        <v>45986</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52250-2025</t>
        </is>
      </c>
      <c r="B93" s="1" t="n">
        <v>45953.48998842593</v>
      </c>
      <c r="C93" s="1" t="n">
        <v>45986</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57463-2025</t>
        </is>
      </c>
      <c r="B94" s="1" t="n">
        <v>45980.54174768519</v>
      </c>
      <c r="C94" s="1" t="n">
        <v>45986</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54523-2023</t>
        </is>
      </c>
      <c r="B95" s="1" t="n">
        <v>45233</v>
      </c>
      <c r="C95" s="1" t="n">
        <v>45986</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45986</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45986</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20833-2024</t>
        </is>
      </c>
      <c r="B98" s="1" t="n">
        <v>45439</v>
      </c>
      <c r="C98" s="1" t="n">
        <v>45986</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43197-2023</t>
        </is>
      </c>
      <c r="B99" s="1" t="n">
        <v>45183</v>
      </c>
      <c r="C99" s="1" t="n">
        <v>45986</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45986</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45986</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45986</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45986</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64378-2020</t>
        </is>
      </c>
      <c r="B104" s="1" t="n">
        <v>44168</v>
      </c>
      <c r="C104" s="1" t="n">
        <v>45986</v>
      </c>
      <c r="D104" t="inlineStr">
        <is>
          <t>GOTLANDS LÄN</t>
        </is>
      </c>
      <c r="E104" t="inlineStr">
        <is>
          <t>GOTLAND</t>
        </is>
      </c>
      <c r="G104" t="n">
        <v>2.1</v>
      </c>
      <c r="H104" t="n">
        <v>0</v>
      </c>
      <c r="I104" t="n">
        <v>1</v>
      </c>
      <c r="J104" t="n">
        <v>0</v>
      </c>
      <c r="K104" t="n">
        <v>2</v>
      </c>
      <c r="L104" t="n">
        <v>1</v>
      </c>
      <c r="M104" t="n">
        <v>0</v>
      </c>
      <c r="N104" t="n">
        <v>0</v>
      </c>
      <c r="O104" t="n">
        <v>3</v>
      </c>
      <c r="P104" t="n">
        <v>3</v>
      </c>
      <c r="Q104" t="n">
        <v>4</v>
      </c>
      <c r="R104" s="2" t="inlineStr">
        <is>
          <t>Sienamusseron
Bitter taggsvamp
Duvspindling
Fjällig taggsvamp s.str.</t>
        </is>
      </c>
      <c r="S104">
        <f>HYPERLINK("https://klasma.github.io/Logging_0980/artfynd/A 64378-2020 artfynd.xlsx", "A 64378-2020")</f>
        <v/>
      </c>
      <c r="T104">
        <f>HYPERLINK("https://klasma.github.io/Logging_0980/kartor/A 64378-2020 karta.png", "A 64378-2020")</f>
        <v/>
      </c>
      <c r="V104">
        <f>HYPERLINK("https://klasma.github.io/Logging_0980/klagomål/A 64378-2020 FSC-klagomål.docx", "A 64378-2020")</f>
        <v/>
      </c>
      <c r="W104">
        <f>HYPERLINK("https://klasma.github.io/Logging_0980/klagomålsmail/A 64378-2020 FSC-klagomål mail.docx", "A 64378-2020")</f>
        <v/>
      </c>
      <c r="X104">
        <f>HYPERLINK("https://klasma.github.io/Logging_0980/tillsyn/A 64378-2020 tillsynsbegäran.docx", "A 64378-2020")</f>
        <v/>
      </c>
      <c r="Y104">
        <f>HYPERLINK("https://klasma.github.io/Logging_0980/tillsynsmail/A 64378-2020 tillsynsbegäran mail.docx", "A 64378-2020")</f>
        <v/>
      </c>
    </row>
    <row r="105" ht="15" customHeight="1">
      <c r="A105" t="inlineStr">
        <is>
          <t>A 65537-2020</t>
        </is>
      </c>
      <c r="B105" s="1" t="n">
        <v>44173</v>
      </c>
      <c r="C105" s="1" t="n">
        <v>45986</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45986</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45986</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45986</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45986</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45986</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43013-2022</t>
        </is>
      </c>
      <c r="B111" s="1" t="n">
        <v>44833</v>
      </c>
      <c r="C111" s="1" t="n">
        <v>45986</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73144-2021</t>
        </is>
      </c>
      <c r="B112" s="1" t="n">
        <v>44550</v>
      </c>
      <c r="C112" s="1" t="n">
        <v>45986</v>
      </c>
      <c r="D112" t="inlineStr">
        <is>
          <t>GOTLANDS LÄN</t>
        </is>
      </c>
      <c r="E112" t="inlineStr">
        <is>
          <t>GOTLAND</t>
        </is>
      </c>
      <c r="G112" t="n">
        <v>1.9</v>
      </c>
      <c r="H112" t="n">
        <v>0</v>
      </c>
      <c r="I112" t="n">
        <v>1</v>
      </c>
      <c r="J112" t="n">
        <v>1</v>
      </c>
      <c r="K112" t="n">
        <v>1</v>
      </c>
      <c r="L112" t="n">
        <v>0</v>
      </c>
      <c r="M112" t="n">
        <v>0</v>
      </c>
      <c r="N112" t="n">
        <v>0</v>
      </c>
      <c r="O112" t="n">
        <v>2</v>
      </c>
      <c r="P112" t="n">
        <v>1</v>
      </c>
      <c r="Q112" t="n">
        <v>3</v>
      </c>
      <c r="R112" s="2" t="inlineStr">
        <is>
          <t>Skogskorn
Igelkott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13499-2022</t>
        </is>
      </c>
      <c r="B113" s="1" t="n">
        <v>44647.79203703703</v>
      </c>
      <c r="C113" s="1" t="n">
        <v>45986</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5235-2025</t>
        </is>
      </c>
      <c r="B114" s="1" t="n">
        <v>45692.26797453704</v>
      </c>
      <c r="C114" s="1" t="n">
        <v>45986</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48126-2022</t>
        </is>
      </c>
      <c r="B115" s="1" t="n">
        <v>44857</v>
      </c>
      <c r="C115" s="1" t="n">
        <v>45986</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45986</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55334-2024</t>
        </is>
      </c>
      <c r="B117" s="1" t="n">
        <v>45621</v>
      </c>
      <c r="C117" s="1" t="n">
        <v>45986</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45986</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20831-2024</t>
        </is>
      </c>
      <c r="B119" s="1" t="n">
        <v>45439</v>
      </c>
      <c r="C119" s="1" t="n">
        <v>45986</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17975-2024</t>
        </is>
      </c>
      <c r="B120" s="1" t="n">
        <v>45419.85546296297</v>
      </c>
      <c r="C120" s="1" t="n">
        <v>45986</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62326-2020</t>
        </is>
      </c>
      <c r="B121" s="1" t="n">
        <v>44160</v>
      </c>
      <c r="C121" s="1" t="n">
        <v>45986</v>
      </c>
      <c r="D121" t="inlineStr">
        <is>
          <t>GOTLANDS LÄN</t>
        </is>
      </c>
      <c r="E121" t="inlineStr">
        <is>
          <t>GOTLAND</t>
        </is>
      </c>
      <c r="G121" t="n">
        <v>7.4</v>
      </c>
      <c r="H121" t="n">
        <v>1</v>
      </c>
      <c r="I121" t="n">
        <v>3</v>
      </c>
      <c r="J121" t="n">
        <v>0</v>
      </c>
      <c r="K121" t="n">
        <v>0</v>
      </c>
      <c r="L121" t="n">
        <v>0</v>
      </c>
      <c r="M121" t="n">
        <v>0</v>
      </c>
      <c r="N121" t="n">
        <v>0</v>
      </c>
      <c r="O121" t="n">
        <v>0</v>
      </c>
      <c r="P121" t="n">
        <v>0</v>
      </c>
      <c r="Q121" t="n">
        <v>3</v>
      </c>
      <c r="R121" s="2" t="inlineStr">
        <is>
          <t>Anisspindling
Blåmossa
Skogsknipprot</t>
        </is>
      </c>
      <c r="S121">
        <f>HYPERLINK("https://klasma.github.io/Logging_0980/artfynd/A 62326-2020 artfynd.xlsx", "A 62326-2020")</f>
        <v/>
      </c>
      <c r="T121">
        <f>HYPERLINK("https://klasma.github.io/Logging_0980/kartor/A 62326-2020 karta.png", "A 62326-2020")</f>
        <v/>
      </c>
      <c r="V121">
        <f>HYPERLINK("https://klasma.github.io/Logging_0980/klagomål/A 62326-2020 FSC-klagomål.docx", "A 62326-2020")</f>
        <v/>
      </c>
      <c r="W121">
        <f>HYPERLINK("https://klasma.github.io/Logging_0980/klagomålsmail/A 62326-2020 FSC-klagomål mail.docx", "A 62326-2020")</f>
        <v/>
      </c>
      <c r="X121">
        <f>HYPERLINK("https://klasma.github.io/Logging_0980/tillsyn/A 62326-2020 tillsynsbegäran.docx", "A 62326-2020")</f>
        <v/>
      </c>
      <c r="Y121">
        <f>HYPERLINK("https://klasma.github.io/Logging_0980/tillsynsmail/A 62326-2020 tillsynsbegäran mail.docx", "A 62326-2020")</f>
        <v/>
      </c>
    </row>
    <row r="122" ht="15" customHeight="1">
      <c r="A122" t="inlineStr">
        <is>
          <t>A 17982-2023</t>
        </is>
      </c>
      <c r="B122" s="1" t="n">
        <v>45040</v>
      </c>
      <c r="C122" s="1" t="n">
        <v>45986</v>
      </c>
      <c r="D122" t="inlineStr">
        <is>
          <t>GOTLANDS LÄN</t>
        </is>
      </c>
      <c r="E122" t="inlineStr">
        <is>
          <t>GOTLAND</t>
        </is>
      </c>
      <c r="G122" t="n">
        <v>2.2</v>
      </c>
      <c r="H122" t="n">
        <v>0</v>
      </c>
      <c r="I122" t="n">
        <v>0</v>
      </c>
      <c r="J122" t="n">
        <v>2</v>
      </c>
      <c r="K122" t="n">
        <v>0</v>
      </c>
      <c r="L122" t="n">
        <v>0</v>
      </c>
      <c r="M122" t="n">
        <v>1</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53552-2021</t>
        </is>
      </c>
      <c r="B123" s="1" t="n">
        <v>44468</v>
      </c>
      <c r="C123" s="1" t="n">
        <v>45986</v>
      </c>
      <c r="D123" t="inlineStr">
        <is>
          <t>GOTLANDS LÄN</t>
        </is>
      </c>
      <c r="E123" t="inlineStr">
        <is>
          <t>GOTLAND</t>
        </is>
      </c>
      <c r="G123" t="n">
        <v>6.2</v>
      </c>
      <c r="H123" t="n">
        <v>2</v>
      </c>
      <c r="I123" t="n">
        <v>0</v>
      </c>
      <c r="J123" t="n">
        <v>1</v>
      </c>
      <c r="K123" t="n">
        <v>0</v>
      </c>
      <c r="L123" t="n">
        <v>0</v>
      </c>
      <c r="M123" t="n">
        <v>0</v>
      </c>
      <c r="N123" t="n">
        <v>0</v>
      </c>
      <c r="O123" t="n">
        <v>1</v>
      </c>
      <c r="P123" t="n">
        <v>0</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12315-2024</t>
        </is>
      </c>
      <c r="B124" s="1" t="n">
        <v>45378.6434837963</v>
      </c>
      <c r="C124" s="1" t="n">
        <v>45986</v>
      </c>
      <c r="D124" t="inlineStr">
        <is>
          <t>GOTLANDS LÄN</t>
        </is>
      </c>
      <c r="E124" t="inlineStr">
        <is>
          <t>GOTLAND</t>
        </is>
      </c>
      <c r="G124" t="n">
        <v>6</v>
      </c>
      <c r="H124" t="n">
        <v>3</v>
      </c>
      <c r="I124" t="n">
        <v>1</v>
      </c>
      <c r="J124" t="n">
        <v>1</v>
      </c>
      <c r="K124" t="n">
        <v>0</v>
      </c>
      <c r="L124" t="n">
        <v>0</v>
      </c>
      <c r="M124" t="n">
        <v>0</v>
      </c>
      <c r="N124" t="n">
        <v>0</v>
      </c>
      <c r="O124" t="n">
        <v>1</v>
      </c>
      <c r="P124" t="n">
        <v>0</v>
      </c>
      <c r="Q124" t="n">
        <v>3</v>
      </c>
      <c r="R124" s="2" t="inlineStr">
        <is>
          <t>Buskskvätta
Tvåblad
Fläcknycklar</t>
        </is>
      </c>
      <c r="S124">
        <f>HYPERLINK("https://klasma.github.io/Logging_0980/artfynd/A 12315-2024 artfynd.xlsx", "A 12315-2024")</f>
        <v/>
      </c>
      <c r="T124">
        <f>HYPERLINK("https://klasma.github.io/Logging_0980/kartor/A 12315-2024 karta.png", "A 12315-2024")</f>
        <v/>
      </c>
      <c r="V124">
        <f>HYPERLINK("https://klasma.github.io/Logging_0980/klagomål/A 12315-2024 FSC-klagomål.docx", "A 12315-2024")</f>
        <v/>
      </c>
      <c r="W124">
        <f>HYPERLINK("https://klasma.github.io/Logging_0980/klagomålsmail/A 12315-2024 FSC-klagomål mail.docx", "A 12315-2024")</f>
        <v/>
      </c>
      <c r="X124">
        <f>HYPERLINK("https://klasma.github.io/Logging_0980/tillsyn/A 12315-2024 tillsynsbegäran.docx", "A 12315-2024")</f>
        <v/>
      </c>
      <c r="Y124">
        <f>HYPERLINK("https://klasma.github.io/Logging_0980/tillsynsmail/A 12315-2024 tillsynsbegäran mail.docx", "A 12315-2024")</f>
        <v/>
      </c>
      <c r="Z124">
        <f>HYPERLINK("https://klasma.github.io/Logging_0980/fåglar/A 12315-2024 prioriterade fågelarter.docx", "A 12315-2024")</f>
        <v/>
      </c>
    </row>
    <row r="125" ht="15" customHeight="1">
      <c r="A125" t="inlineStr">
        <is>
          <t>A 29870-2021</t>
        </is>
      </c>
      <c r="B125" s="1" t="n">
        <v>44362</v>
      </c>
      <c r="C125" s="1" t="n">
        <v>45986</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45986</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16429-2021</t>
        </is>
      </c>
      <c r="B127" s="1" t="n">
        <v>44293</v>
      </c>
      <c r="C127" s="1" t="n">
        <v>45986</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9930-2021</t>
        </is>
      </c>
      <c r="B128" s="1" t="n">
        <v>44252</v>
      </c>
      <c r="C128" s="1" t="n">
        <v>45986</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60665-2021</t>
        </is>
      </c>
      <c r="B129" s="1" t="n">
        <v>44496</v>
      </c>
      <c r="C129" s="1" t="n">
        <v>45986</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45986</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28261-2024</t>
        </is>
      </c>
      <c r="B131" s="1" t="n">
        <v>45477</v>
      </c>
      <c r="C131" s="1" t="n">
        <v>45986</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55649-2024</t>
        </is>
      </c>
      <c r="B132" s="1" t="n">
        <v>45622.63053240741</v>
      </c>
      <c r="C132" s="1" t="n">
        <v>45986</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21879-2025</t>
        </is>
      </c>
      <c r="B133" s="1" t="n">
        <v>45784.40533564815</v>
      </c>
      <c r="C133" s="1" t="n">
        <v>45986</v>
      </c>
      <c r="D133" t="inlineStr">
        <is>
          <t>GOTLANDS LÄN</t>
        </is>
      </c>
      <c r="E133" t="inlineStr">
        <is>
          <t>GOTLAND</t>
        </is>
      </c>
      <c r="G133" t="n">
        <v>11.1</v>
      </c>
      <c r="H133" t="n">
        <v>0</v>
      </c>
      <c r="I133" t="n">
        <v>1</v>
      </c>
      <c r="J133" t="n">
        <v>0</v>
      </c>
      <c r="K133" t="n">
        <v>0</v>
      </c>
      <c r="L133" t="n">
        <v>1</v>
      </c>
      <c r="M133" t="n">
        <v>0</v>
      </c>
      <c r="N133" t="n">
        <v>0</v>
      </c>
      <c r="O133" t="n">
        <v>1</v>
      </c>
      <c r="P133" t="n">
        <v>1</v>
      </c>
      <c r="Q133" t="n">
        <v>2</v>
      </c>
      <c r="R133" s="2" t="inlineStr">
        <is>
          <t>Ask
Murgröna</t>
        </is>
      </c>
      <c r="S133">
        <f>HYPERLINK("https://klasma.github.io/Logging_0980/artfynd/A 21879-2025 artfynd.xlsx", "A 21879-2025")</f>
        <v/>
      </c>
      <c r="T133">
        <f>HYPERLINK("https://klasma.github.io/Logging_0980/kartor/A 21879-2025 karta.png", "A 21879-2025")</f>
        <v/>
      </c>
      <c r="V133">
        <f>HYPERLINK("https://klasma.github.io/Logging_0980/klagomål/A 21879-2025 FSC-klagomål.docx", "A 21879-2025")</f>
        <v/>
      </c>
      <c r="W133">
        <f>HYPERLINK("https://klasma.github.io/Logging_0980/klagomålsmail/A 21879-2025 FSC-klagomål mail.docx", "A 21879-2025")</f>
        <v/>
      </c>
      <c r="X133">
        <f>HYPERLINK("https://klasma.github.io/Logging_0980/tillsyn/A 21879-2025 tillsynsbegäran.docx", "A 21879-2025")</f>
        <v/>
      </c>
      <c r="Y133">
        <f>HYPERLINK("https://klasma.github.io/Logging_0980/tillsynsmail/A 21879-2025 tillsynsbegäran mail.docx", "A 21879-2025")</f>
        <v/>
      </c>
    </row>
    <row r="134" ht="15" customHeight="1">
      <c r="A134" t="inlineStr">
        <is>
          <t>A 7070-2022</t>
        </is>
      </c>
      <c r="B134" s="1" t="n">
        <v>44603</v>
      </c>
      <c r="C134" s="1" t="n">
        <v>45986</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64263-2020</t>
        </is>
      </c>
      <c r="B135" s="1" t="n">
        <v>44168</v>
      </c>
      <c r="C135" s="1" t="n">
        <v>45986</v>
      </c>
      <c r="D135" t="inlineStr">
        <is>
          <t>GOTLANDS LÄN</t>
        </is>
      </c>
      <c r="E135" t="inlineStr">
        <is>
          <t>GOTLAND</t>
        </is>
      </c>
      <c r="G135" t="n">
        <v>10.9</v>
      </c>
      <c r="H135" t="n">
        <v>1</v>
      </c>
      <c r="I135" t="n">
        <v>0</v>
      </c>
      <c r="J135" t="n">
        <v>2</v>
      </c>
      <c r="K135" t="n">
        <v>0</v>
      </c>
      <c r="L135" t="n">
        <v>0</v>
      </c>
      <c r="M135" t="n">
        <v>0</v>
      </c>
      <c r="N135" t="n">
        <v>0</v>
      </c>
      <c r="O135" t="n">
        <v>2</v>
      </c>
      <c r="P135" t="n">
        <v>0</v>
      </c>
      <c r="Q135" t="n">
        <v>2</v>
      </c>
      <c r="R135" s="2" t="inlineStr">
        <is>
          <t>Mindre hackspett
Ullticka</t>
        </is>
      </c>
      <c r="S135">
        <f>HYPERLINK("https://klasma.github.io/Logging_0980/artfynd/A 64263-2020 artfynd.xlsx", "A 64263-2020")</f>
        <v/>
      </c>
      <c r="T135">
        <f>HYPERLINK("https://klasma.github.io/Logging_0980/kartor/A 64263-2020 karta.png", "A 64263-2020")</f>
        <v/>
      </c>
      <c r="V135">
        <f>HYPERLINK("https://klasma.github.io/Logging_0980/klagomål/A 64263-2020 FSC-klagomål.docx", "A 64263-2020")</f>
        <v/>
      </c>
      <c r="W135">
        <f>HYPERLINK("https://klasma.github.io/Logging_0980/klagomålsmail/A 64263-2020 FSC-klagomål mail.docx", "A 64263-2020")</f>
        <v/>
      </c>
      <c r="X135">
        <f>HYPERLINK("https://klasma.github.io/Logging_0980/tillsyn/A 64263-2020 tillsynsbegäran.docx", "A 64263-2020")</f>
        <v/>
      </c>
      <c r="Y135">
        <f>HYPERLINK("https://klasma.github.io/Logging_0980/tillsynsmail/A 64263-2020 tillsynsbegäran mail.docx", "A 64263-2020")</f>
        <v/>
      </c>
      <c r="Z135">
        <f>HYPERLINK("https://klasma.github.io/Logging_0980/fåglar/A 64263-2020 prioriterade fågelarter.docx", "A 64263-2020")</f>
        <v/>
      </c>
    </row>
    <row r="136" ht="15" customHeight="1">
      <c r="A136" t="inlineStr">
        <is>
          <t>A 12914-2025</t>
        </is>
      </c>
      <c r="B136" s="1" t="n">
        <v>45733</v>
      </c>
      <c r="C136" s="1" t="n">
        <v>45986</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54357-2024</t>
        </is>
      </c>
      <c r="B137" s="1" t="n">
        <v>45617.40662037037</v>
      </c>
      <c r="C137" s="1" t="n">
        <v>45986</v>
      </c>
      <c r="D137" t="inlineStr">
        <is>
          <t>GOTLANDS LÄN</t>
        </is>
      </c>
      <c r="E137" t="inlineStr">
        <is>
          <t>GOTLAND</t>
        </is>
      </c>
      <c r="G137" t="n">
        <v>1.5</v>
      </c>
      <c r="H137" t="n">
        <v>1</v>
      </c>
      <c r="I137" t="n">
        <v>0</v>
      </c>
      <c r="J137" t="n">
        <v>1</v>
      </c>
      <c r="K137" t="n">
        <v>0</v>
      </c>
      <c r="L137" t="n">
        <v>0</v>
      </c>
      <c r="M137" t="n">
        <v>0</v>
      </c>
      <c r="N137" t="n">
        <v>0</v>
      </c>
      <c r="O137" t="n">
        <v>1</v>
      </c>
      <c r="P137" t="n">
        <v>0</v>
      </c>
      <c r="Q137" t="n">
        <v>2</v>
      </c>
      <c r="R137" s="2" t="inlineStr">
        <is>
          <t>Loppstarr
Fläcknycklar</t>
        </is>
      </c>
      <c r="S137">
        <f>HYPERLINK("https://klasma.github.io/Logging_0980/artfynd/A 54357-2024 artfynd.xlsx", "A 54357-2024")</f>
        <v/>
      </c>
      <c r="T137">
        <f>HYPERLINK("https://klasma.github.io/Logging_0980/kartor/A 54357-2024 karta.png", "A 54357-2024")</f>
        <v/>
      </c>
      <c r="V137">
        <f>HYPERLINK("https://klasma.github.io/Logging_0980/klagomål/A 54357-2024 FSC-klagomål.docx", "A 54357-2024")</f>
        <v/>
      </c>
      <c r="W137">
        <f>HYPERLINK("https://klasma.github.io/Logging_0980/klagomålsmail/A 54357-2024 FSC-klagomål mail.docx", "A 54357-2024")</f>
        <v/>
      </c>
      <c r="X137">
        <f>HYPERLINK("https://klasma.github.io/Logging_0980/tillsyn/A 54357-2024 tillsynsbegäran.docx", "A 54357-2024")</f>
        <v/>
      </c>
      <c r="Y137">
        <f>HYPERLINK("https://klasma.github.io/Logging_0980/tillsynsmail/A 54357-2024 tillsynsbegäran mail.docx", "A 54357-2024")</f>
        <v/>
      </c>
    </row>
    <row r="138" ht="15" customHeight="1">
      <c r="A138" t="inlineStr">
        <is>
          <t>A 20838-2024</t>
        </is>
      </c>
      <c r="B138" s="1" t="n">
        <v>45439</v>
      </c>
      <c r="C138" s="1" t="n">
        <v>45986</v>
      </c>
      <c r="D138" t="inlineStr">
        <is>
          <t>GOTLANDS LÄN</t>
        </is>
      </c>
      <c r="E138" t="inlineStr">
        <is>
          <t>GOTLAND</t>
        </is>
      </c>
      <c r="G138" t="n">
        <v>0.7</v>
      </c>
      <c r="H138" t="n">
        <v>2</v>
      </c>
      <c r="I138" t="n">
        <v>1</v>
      </c>
      <c r="J138" t="n">
        <v>1</v>
      </c>
      <c r="K138" t="n">
        <v>0</v>
      </c>
      <c r="L138" t="n">
        <v>0</v>
      </c>
      <c r="M138" t="n">
        <v>0</v>
      </c>
      <c r="N138" t="n">
        <v>0</v>
      </c>
      <c r="O138" t="n">
        <v>1</v>
      </c>
      <c r="P138" t="n">
        <v>0</v>
      </c>
      <c r="Q138" t="n">
        <v>2</v>
      </c>
      <c r="R138" s="2" t="inlineStr">
        <is>
          <t>Spillkråka
Skogsknipprot</t>
        </is>
      </c>
      <c r="S138">
        <f>HYPERLINK("https://klasma.github.io/Logging_0980/artfynd/A 20838-2024 artfynd.xlsx", "A 20838-2024")</f>
        <v/>
      </c>
      <c r="T138">
        <f>HYPERLINK("https://klasma.github.io/Logging_0980/kartor/A 20838-2024 karta.png", "A 20838-2024")</f>
        <v/>
      </c>
      <c r="V138">
        <f>HYPERLINK("https://klasma.github.io/Logging_0980/klagomål/A 20838-2024 FSC-klagomål.docx", "A 20838-2024")</f>
        <v/>
      </c>
      <c r="W138">
        <f>HYPERLINK("https://klasma.github.io/Logging_0980/klagomålsmail/A 20838-2024 FSC-klagomål mail.docx", "A 20838-2024")</f>
        <v/>
      </c>
      <c r="X138">
        <f>HYPERLINK("https://klasma.github.io/Logging_0980/tillsyn/A 20838-2024 tillsynsbegäran.docx", "A 20838-2024")</f>
        <v/>
      </c>
      <c r="Y138">
        <f>HYPERLINK("https://klasma.github.io/Logging_0980/tillsynsmail/A 20838-2024 tillsynsbegäran mail.docx", "A 20838-2024")</f>
        <v/>
      </c>
      <c r="Z138">
        <f>HYPERLINK("https://klasma.github.io/Logging_0980/fåglar/A 20838-2024 prioriterade fågelarter.docx", "A 20838-2024")</f>
        <v/>
      </c>
    </row>
    <row r="139" ht="15" customHeight="1">
      <c r="A139" t="inlineStr">
        <is>
          <t>A 26077-2024</t>
        </is>
      </c>
      <c r="B139" s="1" t="n">
        <v>45467</v>
      </c>
      <c r="C139" s="1" t="n">
        <v>45986</v>
      </c>
      <c r="D139" t="inlineStr">
        <is>
          <t>GOTLANDS LÄN</t>
        </is>
      </c>
      <c r="E139" t="inlineStr">
        <is>
          <t>GOTLAND</t>
        </is>
      </c>
      <c r="G139" t="n">
        <v>4.6</v>
      </c>
      <c r="H139" t="n">
        <v>0</v>
      </c>
      <c r="I139" t="n">
        <v>0</v>
      </c>
      <c r="J139" t="n">
        <v>1</v>
      </c>
      <c r="K139" t="n">
        <v>0</v>
      </c>
      <c r="L139" t="n">
        <v>1</v>
      </c>
      <c r="M139" t="n">
        <v>0</v>
      </c>
      <c r="N139" t="n">
        <v>0</v>
      </c>
      <c r="O139" t="n">
        <v>2</v>
      </c>
      <c r="P139" t="n">
        <v>1</v>
      </c>
      <c r="Q139" t="n">
        <v>2</v>
      </c>
      <c r="R139" s="2" t="inlineStr">
        <is>
          <t>Ask
Tallticka</t>
        </is>
      </c>
      <c r="S139">
        <f>HYPERLINK("https://klasma.github.io/Logging_0980/artfynd/A 26077-2024 artfynd.xlsx", "A 26077-2024")</f>
        <v/>
      </c>
      <c r="T139">
        <f>HYPERLINK("https://klasma.github.io/Logging_0980/kartor/A 26077-2024 karta.png", "A 26077-2024")</f>
        <v/>
      </c>
      <c r="V139">
        <f>HYPERLINK("https://klasma.github.io/Logging_0980/klagomål/A 26077-2024 FSC-klagomål.docx", "A 26077-2024")</f>
        <v/>
      </c>
      <c r="W139">
        <f>HYPERLINK("https://klasma.github.io/Logging_0980/klagomålsmail/A 26077-2024 FSC-klagomål mail.docx", "A 26077-2024")</f>
        <v/>
      </c>
      <c r="X139">
        <f>HYPERLINK("https://klasma.github.io/Logging_0980/tillsyn/A 26077-2024 tillsynsbegäran.docx", "A 26077-2024")</f>
        <v/>
      </c>
      <c r="Y139">
        <f>HYPERLINK("https://klasma.github.io/Logging_0980/tillsynsmail/A 26077-2024 tillsynsbegäran mail.docx", "A 26077-2024")</f>
        <v/>
      </c>
    </row>
    <row r="140" ht="15" customHeight="1">
      <c r="A140" t="inlineStr">
        <is>
          <t>A 43219-2023</t>
        </is>
      </c>
      <c r="B140" s="1" t="n">
        <v>45183</v>
      </c>
      <c r="C140" s="1" t="n">
        <v>45986</v>
      </c>
      <c r="D140" t="inlineStr">
        <is>
          <t>GOTLANDS LÄN</t>
        </is>
      </c>
      <c r="E140" t="inlineStr">
        <is>
          <t>GOTLAND</t>
        </is>
      </c>
      <c r="G140" t="n">
        <v>3.6</v>
      </c>
      <c r="H140" t="n">
        <v>1</v>
      </c>
      <c r="I140" t="n">
        <v>0</v>
      </c>
      <c r="J140" t="n">
        <v>1</v>
      </c>
      <c r="K140" t="n">
        <v>0</v>
      </c>
      <c r="L140" t="n">
        <v>0</v>
      </c>
      <c r="M140" t="n">
        <v>0</v>
      </c>
      <c r="N140" t="n">
        <v>0</v>
      </c>
      <c r="O140" t="n">
        <v>1</v>
      </c>
      <c r="P140" t="n">
        <v>0</v>
      </c>
      <c r="Q140" t="n">
        <v>2</v>
      </c>
      <c r="R140" s="2" t="inlineStr">
        <is>
          <t>Axveronika
Skogsduva</t>
        </is>
      </c>
      <c r="S140">
        <f>HYPERLINK("https://klasma.github.io/Logging_0980/artfynd/A 43219-2023 artfynd.xlsx", "A 43219-2023")</f>
        <v/>
      </c>
      <c r="T140">
        <f>HYPERLINK("https://klasma.github.io/Logging_0980/kartor/A 43219-2023 karta.png", "A 43219-2023")</f>
        <v/>
      </c>
      <c r="V140">
        <f>HYPERLINK("https://klasma.github.io/Logging_0980/klagomål/A 43219-2023 FSC-klagomål.docx", "A 43219-2023")</f>
        <v/>
      </c>
      <c r="W140">
        <f>HYPERLINK("https://klasma.github.io/Logging_0980/klagomålsmail/A 43219-2023 FSC-klagomål mail.docx", "A 43219-2023")</f>
        <v/>
      </c>
      <c r="X140">
        <f>HYPERLINK("https://klasma.github.io/Logging_0980/tillsyn/A 43219-2023 tillsynsbegäran.docx", "A 43219-2023")</f>
        <v/>
      </c>
      <c r="Y140">
        <f>HYPERLINK("https://klasma.github.io/Logging_0980/tillsynsmail/A 43219-2023 tillsynsbegäran mail.docx", "A 43219-2023")</f>
        <v/>
      </c>
      <c r="Z140">
        <f>HYPERLINK("https://klasma.github.io/Logging_0980/fåglar/A 43219-2023 prioriterade fågelarter.docx", "A 43219-2023")</f>
        <v/>
      </c>
    </row>
    <row r="141" ht="15" customHeight="1">
      <c r="A141" t="inlineStr">
        <is>
          <t>A 28276-2024</t>
        </is>
      </c>
      <c r="B141" s="1" t="n">
        <v>45477</v>
      </c>
      <c r="C141" s="1" t="n">
        <v>45986</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24-2021</t>
        </is>
      </c>
      <c r="B142" s="1" t="n">
        <v>44197</v>
      </c>
      <c r="C142" s="1" t="n">
        <v>45986</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45986</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45986</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45986</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22883-2024</t>
        </is>
      </c>
      <c r="B146" s="1" t="n">
        <v>45448.66368055555</v>
      </c>
      <c r="C146" s="1" t="n">
        <v>45986</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24245-2022</t>
        </is>
      </c>
      <c r="B147" s="1" t="n">
        <v>44725</v>
      </c>
      <c r="C147" s="1" t="n">
        <v>45986</v>
      </c>
      <c r="D147" t="inlineStr">
        <is>
          <t>GOTLANDS LÄN</t>
        </is>
      </c>
      <c r="E147" t="inlineStr">
        <is>
          <t>GOTLAND</t>
        </is>
      </c>
      <c r="G147" t="n">
        <v>4.9</v>
      </c>
      <c r="H147" t="n">
        <v>0</v>
      </c>
      <c r="I147" t="n">
        <v>0</v>
      </c>
      <c r="J147" t="n">
        <v>0</v>
      </c>
      <c r="K147" t="n">
        <v>0</v>
      </c>
      <c r="L147" t="n">
        <v>1</v>
      </c>
      <c r="M147" t="n">
        <v>0</v>
      </c>
      <c r="N147" t="n">
        <v>0</v>
      </c>
      <c r="O147" t="n">
        <v>1</v>
      </c>
      <c r="P147" t="n">
        <v>1</v>
      </c>
      <c r="Q147" t="n">
        <v>1</v>
      </c>
      <c r="R147" s="2" t="inlineStr">
        <is>
          <t>Slät taggsvamp</t>
        </is>
      </c>
      <c r="S147">
        <f>HYPERLINK("https://klasma.github.io/Logging_0980/artfynd/A 24245-2022 artfynd.xlsx", "A 24245-2022")</f>
        <v/>
      </c>
      <c r="T147">
        <f>HYPERLINK("https://klasma.github.io/Logging_0980/kartor/A 24245-2022 karta.png", "A 24245-2022")</f>
        <v/>
      </c>
      <c r="V147">
        <f>HYPERLINK("https://klasma.github.io/Logging_0980/klagomål/A 24245-2022 FSC-klagomål.docx", "A 24245-2022")</f>
        <v/>
      </c>
      <c r="W147">
        <f>HYPERLINK("https://klasma.github.io/Logging_0980/klagomålsmail/A 24245-2022 FSC-klagomål mail.docx", "A 24245-2022")</f>
        <v/>
      </c>
      <c r="X147">
        <f>HYPERLINK("https://klasma.github.io/Logging_0980/tillsyn/A 24245-2022 tillsynsbegäran.docx", "A 24245-2022")</f>
        <v/>
      </c>
      <c r="Y147">
        <f>HYPERLINK("https://klasma.github.io/Logging_0980/tillsynsmail/A 24245-2022 tillsynsbegäran mail.docx", "A 24245-2022")</f>
        <v/>
      </c>
    </row>
    <row r="148" ht="15" customHeight="1">
      <c r="A148" t="inlineStr">
        <is>
          <t>A 10440-2024</t>
        </is>
      </c>
      <c r="B148" s="1" t="n">
        <v>45366.32818287037</v>
      </c>
      <c r="C148" s="1" t="n">
        <v>45986</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45986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26461-2025</t>
        </is>
      </c>
      <c r="B150" s="1" t="n">
        <v>45807.43337962963</v>
      </c>
      <c r="C150" s="1" t="n">
        <v>45986</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44308-2021</t>
        </is>
      </c>
      <c r="B151" s="1" t="n">
        <v>44434</v>
      </c>
      <c r="C151" s="1" t="n">
        <v>45986</v>
      </c>
      <c r="D151" t="inlineStr">
        <is>
          <t>GOTLANDS LÄN</t>
        </is>
      </c>
      <c r="E151" t="inlineStr">
        <is>
          <t>GOTLAND</t>
        </is>
      </c>
      <c r="G151" t="n">
        <v>5.9</v>
      </c>
      <c r="H151" t="n">
        <v>0</v>
      </c>
      <c r="I151" t="n">
        <v>1</v>
      </c>
      <c r="J151" t="n">
        <v>0</v>
      </c>
      <c r="K151" t="n">
        <v>0</v>
      </c>
      <c r="L151" t="n">
        <v>0</v>
      </c>
      <c r="M151" t="n">
        <v>0</v>
      </c>
      <c r="N151" t="n">
        <v>0</v>
      </c>
      <c r="O151" t="n">
        <v>0</v>
      </c>
      <c r="P151" t="n">
        <v>0</v>
      </c>
      <c r="Q151" t="n">
        <v>1</v>
      </c>
      <c r="R151" s="2" t="inlineStr">
        <is>
          <t>Svavelriska</t>
        </is>
      </c>
      <c r="S151">
        <f>HYPERLINK("https://klasma.github.io/Logging_0980/artfynd/A 44308-2021 artfynd.xlsx", "A 44308-2021")</f>
        <v/>
      </c>
      <c r="T151">
        <f>HYPERLINK("https://klasma.github.io/Logging_0980/kartor/A 44308-2021 karta.png", "A 44308-2021")</f>
        <v/>
      </c>
      <c r="V151">
        <f>HYPERLINK("https://klasma.github.io/Logging_0980/klagomål/A 44308-2021 FSC-klagomål.docx", "A 44308-2021")</f>
        <v/>
      </c>
      <c r="W151">
        <f>HYPERLINK("https://klasma.github.io/Logging_0980/klagomålsmail/A 44308-2021 FSC-klagomål mail.docx", "A 44308-2021")</f>
        <v/>
      </c>
      <c r="X151">
        <f>HYPERLINK("https://klasma.github.io/Logging_0980/tillsyn/A 44308-2021 tillsynsbegäran.docx", "A 44308-2021")</f>
        <v/>
      </c>
      <c r="Y151">
        <f>HYPERLINK("https://klasma.github.io/Logging_0980/tillsynsmail/A 44308-2021 tillsynsbegäran mail.docx", "A 44308-2021")</f>
        <v/>
      </c>
    </row>
    <row r="152" ht="15" customHeight="1">
      <c r="A152" t="inlineStr">
        <is>
          <t>A 35467-2021</t>
        </is>
      </c>
      <c r="B152" s="1" t="n">
        <v>44385</v>
      </c>
      <c r="C152" s="1" t="n">
        <v>45986</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45986</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46527-2023</t>
        </is>
      </c>
      <c r="B154" s="1" t="n">
        <v>45197</v>
      </c>
      <c r="C154" s="1" t="n">
        <v>45986</v>
      </c>
      <c r="D154" t="inlineStr">
        <is>
          <t>GOTLANDS LÄN</t>
        </is>
      </c>
      <c r="E154" t="inlineStr">
        <is>
          <t>GOTLAND</t>
        </is>
      </c>
      <c r="G154" t="n">
        <v>0.9</v>
      </c>
      <c r="H154" t="n">
        <v>0</v>
      </c>
      <c r="I154" t="n">
        <v>0</v>
      </c>
      <c r="J154" t="n">
        <v>1</v>
      </c>
      <c r="K154" t="n">
        <v>0</v>
      </c>
      <c r="L154" t="n">
        <v>0</v>
      </c>
      <c r="M154" t="n">
        <v>0</v>
      </c>
      <c r="N154" t="n">
        <v>0</v>
      </c>
      <c r="O154" t="n">
        <v>1</v>
      </c>
      <c r="P154" t="n">
        <v>0</v>
      </c>
      <c r="Q154" t="n">
        <v>1</v>
      </c>
      <c r="R154" s="2" t="inlineStr">
        <is>
          <t>Guldgräshoppa</t>
        </is>
      </c>
      <c r="S154">
        <f>HYPERLINK("https://klasma.github.io/Logging_0980/artfynd/A 46527-2023 artfynd.xlsx", "A 46527-2023")</f>
        <v/>
      </c>
      <c r="T154">
        <f>HYPERLINK("https://klasma.github.io/Logging_0980/kartor/A 46527-2023 karta.png", "A 46527-2023")</f>
        <v/>
      </c>
      <c r="V154">
        <f>HYPERLINK("https://klasma.github.io/Logging_0980/klagomål/A 46527-2023 FSC-klagomål.docx", "A 46527-2023")</f>
        <v/>
      </c>
      <c r="W154">
        <f>HYPERLINK("https://klasma.github.io/Logging_0980/klagomålsmail/A 46527-2023 FSC-klagomål mail.docx", "A 46527-2023")</f>
        <v/>
      </c>
      <c r="X154">
        <f>HYPERLINK("https://klasma.github.io/Logging_0980/tillsyn/A 46527-2023 tillsynsbegäran.docx", "A 46527-2023")</f>
        <v/>
      </c>
      <c r="Y154">
        <f>HYPERLINK("https://klasma.github.io/Logging_0980/tillsynsmail/A 46527-2023 tillsynsbegäran mail.docx", "A 46527-2023")</f>
        <v/>
      </c>
    </row>
    <row r="155" ht="15" customHeight="1">
      <c r="A155" t="inlineStr">
        <is>
          <t>A 17723-2021</t>
        </is>
      </c>
      <c r="B155" s="1" t="n">
        <v>44300</v>
      </c>
      <c r="C155" s="1" t="n">
        <v>45986</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6303-2024</t>
        </is>
      </c>
      <c r="B156" s="1" t="n">
        <v>45338.35376157407</v>
      </c>
      <c r="C156" s="1" t="n">
        <v>45986</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62552-2022</t>
        </is>
      </c>
      <c r="B157" s="1" t="n">
        <v>44924</v>
      </c>
      <c r="C157" s="1" t="n">
        <v>45986</v>
      </c>
      <c r="D157" t="inlineStr">
        <is>
          <t>GOTLANDS LÄN</t>
        </is>
      </c>
      <c r="E157" t="inlineStr">
        <is>
          <t>GOTLAND</t>
        </is>
      </c>
      <c r="G157" t="n">
        <v>1.6</v>
      </c>
      <c r="H157" t="n">
        <v>0</v>
      </c>
      <c r="I157" t="n">
        <v>0</v>
      </c>
      <c r="J157" t="n">
        <v>1</v>
      </c>
      <c r="K157" t="n">
        <v>0</v>
      </c>
      <c r="L157" t="n">
        <v>0</v>
      </c>
      <c r="M157" t="n">
        <v>0</v>
      </c>
      <c r="N157" t="n">
        <v>0</v>
      </c>
      <c r="O157" t="n">
        <v>1</v>
      </c>
      <c r="P157" t="n">
        <v>0</v>
      </c>
      <c r="Q157" t="n">
        <v>1</v>
      </c>
      <c r="R157" s="2" t="inlineStr">
        <is>
          <t>Äggspindling</t>
        </is>
      </c>
      <c r="S157">
        <f>HYPERLINK("https://klasma.github.io/Logging_0980/artfynd/A 62552-2022 artfynd.xlsx", "A 62552-2022")</f>
        <v/>
      </c>
      <c r="T157">
        <f>HYPERLINK("https://klasma.github.io/Logging_0980/kartor/A 62552-2022 karta.png", "A 62552-2022")</f>
        <v/>
      </c>
      <c r="V157">
        <f>HYPERLINK("https://klasma.github.io/Logging_0980/klagomål/A 62552-2022 FSC-klagomål.docx", "A 62552-2022")</f>
        <v/>
      </c>
      <c r="W157">
        <f>HYPERLINK("https://klasma.github.io/Logging_0980/klagomålsmail/A 62552-2022 FSC-klagomål mail.docx", "A 62552-2022")</f>
        <v/>
      </c>
      <c r="X157">
        <f>HYPERLINK("https://klasma.github.io/Logging_0980/tillsyn/A 62552-2022 tillsynsbegäran.docx", "A 62552-2022")</f>
        <v/>
      </c>
      <c r="Y157">
        <f>HYPERLINK("https://klasma.github.io/Logging_0980/tillsynsmail/A 62552-2022 tillsynsbegäran mail.docx", "A 62552-2022")</f>
        <v/>
      </c>
    </row>
    <row r="158" ht="15" customHeight="1">
      <c r="A158" t="inlineStr">
        <is>
          <t>A 27168-2022</t>
        </is>
      </c>
      <c r="B158" s="1" t="n">
        <v>44741</v>
      </c>
      <c r="C158" s="1" t="n">
        <v>45986</v>
      </c>
      <c r="D158" t="inlineStr">
        <is>
          <t>GOTLANDS LÄN</t>
        </is>
      </c>
      <c r="E158" t="inlineStr">
        <is>
          <t>GOTLAND</t>
        </is>
      </c>
      <c r="G158" t="n">
        <v>2.2</v>
      </c>
      <c r="H158" t="n">
        <v>1</v>
      </c>
      <c r="I158" t="n">
        <v>1</v>
      </c>
      <c r="J158" t="n">
        <v>0</v>
      </c>
      <c r="K158" t="n">
        <v>0</v>
      </c>
      <c r="L158" t="n">
        <v>0</v>
      </c>
      <c r="M158" t="n">
        <v>0</v>
      </c>
      <c r="N158" t="n">
        <v>0</v>
      </c>
      <c r="O158" t="n">
        <v>0</v>
      </c>
      <c r="P158" t="n">
        <v>0</v>
      </c>
      <c r="Q158" t="n">
        <v>1</v>
      </c>
      <c r="R158" s="2" t="inlineStr">
        <is>
          <t>Purpurknipprot</t>
        </is>
      </c>
      <c r="S158">
        <f>HYPERLINK("https://klasma.github.io/Logging_0980/artfynd/A 27168-2022 artfynd.xlsx", "A 27168-2022")</f>
        <v/>
      </c>
      <c r="T158">
        <f>HYPERLINK("https://klasma.github.io/Logging_0980/kartor/A 27168-2022 karta.png", "A 27168-2022")</f>
        <v/>
      </c>
      <c r="V158">
        <f>HYPERLINK("https://klasma.github.io/Logging_0980/klagomål/A 27168-2022 FSC-klagomål.docx", "A 27168-2022")</f>
        <v/>
      </c>
      <c r="W158">
        <f>HYPERLINK("https://klasma.github.io/Logging_0980/klagomålsmail/A 27168-2022 FSC-klagomål mail.docx", "A 27168-2022")</f>
        <v/>
      </c>
      <c r="X158">
        <f>HYPERLINK("https://klasma.github.io/Logging_0980/tillsyn/A 27168-2022 tillsynsbegäran.docx", "A 27168-2022")</f>
        <v/>
      </c>
      <c r="Y158">
        <f>HYPERLINK("https://klasma.github.io/Logging_0980/tillsynsmail/A 27168-2022 tillsynsbegäran mail.docx", "A 27168-2022")</f>
        <v/>
      </c>
    </row>
    <row r="159" ht="15" customHeight="1">
      <c r="A159" t="inlineStr">
        <is>
          <t>A 25977-2024</t>
        </is>
      </c>
      <c r="B159" s="1" t="n">
        <v>45467.69356481481</v>
      </c>
      <c r="C159" s="1" t="n">
        <v>45986</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45986</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65927-2021</t>
        </is>
      </c>
      <c r="B161" s="1" t="n">
        <v>44516</v>
      </c>
      <c r="C161" s="1" t="n">
        <v>45986</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45986</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9862-2024</t>
        </is>
      </c>
      <c r="B163" s="1" t="n">
        <v>45363</v>
      </c>
      <c r="C163" s="1" t="n">
        <v>45986</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20429-2025</t>
        </is>
      </c>
      <c r="B164" s="1" t="n">
        <v>45775.47728009259</v>
      </c>
      <c r="C164" s="1" t="n">
        <v>45986</v>
      </c>
      <c r="D164" t="inlineStr">
        <is>
          <t>GOTLANDS LÄN</t>
        </is>
      </c>
      <c r="E164" t="inlineStr">
        <is>
          <t>GOTLAND</t>
        </is>
      </c>
      <c r="G164" t="n">
        <v>1.4</v>
      </c>
      <c r="H164" t="n">
        <v>1</v>
      </c>
      <c r="I164" t="n">
        <v>0</v>
      </c>
      <c r="J164" t="n">
        <v>0</v>
      </c>
      <c r="K164" t="n">
        <v>0</v>
      </c>
      <c r="L164" t="n">
        <v>0</v>
      </c>
      <c r="M164" t="n">
        <v>0</v>
      </c>
      <c r="N164" t="n">
        <v>0</v>
      </c>
      <c r="O164" t="n">
        <v>0</v>
      </c>
      <c r="P164" t="n">
        <v>0</v>
      </c>
      <c r="Q164" t="n">
        <v>1</v>
      </c>
      <c r="R164" s="2" t="inlineStr">
        <is>
          <t>Äkta lopplummer</t>
        </is>
      </c>
      <c r="S164">
        <f>HYPERLINK("https://klasma.github.io/Logging_0980/artfynd/A 20429-2025 artfynd.xlsx", "A 20429-2025")</f>
        <v/>
      </c>
      <c r="T164">
        <f>HYPERLINK("https://klasma.github.io/Logging_0980/kartor/A 20429-2025 karta.png", "A 20429-2025")</f>
        <v/>
      </c>
      <c r="V164">
        <f>HYPERLINK("https://klasma.github.io/Logging_0980/klagomål/A 20429-2025 FSC-klagomål.docx", "A 20429-2025")</f>
        <v/>
      </c>
      <c r="W164">
        <f>HYPERLINK("https://klasma.github.io/Logging_0980/klagomålsmail/A 20429-2025 FSC-klagomål mail.docx", "A 20429-2025")</f>
        <v/>
      </c>
      <c r="X164">
        <f>HYPERLINK("https://klasma.github.io/Logging_0980/tillsyn/A 20429-2025 tillsynsbegäran.docx", "A 20429-2025")</f>
        <v/>
      </c>
      <c r="Y164">
        <f>HYPERLINK("https://klasma.github.io/Logging_0980/tillsynsmail/A 20429-2025 tillsynsbegäran mail.docx", "A 20429-2025")</f>
        <v/>
      </c>
    </row>
    <row r="165" ht="15" customHeight="1">
      <c r="A165" t="inlineStr">
        <is>
          <t>A 34141-2024</t>
        </is>
      </c>
      <c r="B165" s="1" t="n">
        <v>45524.36229166666</v>
      </c>
      <c r="C165" s="1" t="n">
        <v>45986</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49726-2025</t>
        </is>
      </c>
      <c r="B166" s="1" t="n">
        <v>45939.84466435185</v>
      </c>
      <c r="C166" s="1" t="n">
        <v>45986</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61561-2023</t>
        </is>
      </c>
      <c r="B167" s="1" t="n">
        <v>45265</v>
      </c>
      <c r="C167" s="1" t="n">
        <v>45986</v>
      </c>
      <c r="D167" t="inlineStr">
        <is>
          <t>GOTLANDS LÄN</t>
        </is>
      </c>
      <c r="E167" t="inlineStr">
        <is>
          <t>GOTLAND</t>
        </is>
      </c>
      <c r="G167" t="n">
        <v>7.4</v>
      </c>
      <c r="H167" t="n">
        <v>0</v>
      </c>
      <c r="I167" t="n">
        <v>0</v>
      </c>
      <c r="J167" t="n">
        <v>1</v>
      </c>
      <c r="K167" t="n">
        <v>0</v>
      </c>
      <c r="L167" t="n">
        <v>0</v>
      </c>
      <c r="M167" t="n">
        <v>0</v>
      </c>
      <c r="N167" t="n">
        <v>0</v>
      </c>
      <c r="O167" t="n">
        <v>1</v>
      </c>
      <c r="P167" t="n">
        <v>0</v>
      </c>
      <c r="Q167" t="n">
        <v>1</v>
      </c>
      <c r="R167" s="2" t="inlineStr">
        <is>
          <t>Loppstarr</t>
        </is>
      </c>
      <c r="S167">
        <f>HYPERLINK("https://klasma.github.io/Logging_0980/artfynd/A 61561-2023 artfynd.xlsx", "A 61561-2023")</f>
        <v/>
      </c>
      <c r="T167">
        <f>HYPERLINK("https://klasma.github.io/Logging_0980/kartor/A 61561-2023 karta.png", "A 61561-2023")</f>
        <v/>
      </c>
      <c r="V167">
        <f>HYPERLINK("https://klasma.github.io/Logging_0980/klagomål/A 61561-2023 FSC-klagomål.docx", "A 61561-2023")</f>
        <v/>
      </c>
      <c r="W167">
        <f>HYPERLINK("https://klasma.github.io/Logging_0980/klagomålsmail/A 61561-2023 FSC-klagomål mail.docx", "A 61561-2023")</f>
        <v/>
      </c>
      <c r="X167">
        <f>HYPERLINK("https://klasma.github.io/Logging_0980/tillsyn/A 61561-2023 tillsynsbegäran.docx", "A 61561-2023")</f>
        <v/>
      </c>
      <c r="Y167">
        <f>HYPERLINK("https://klasma.github.io/Logging_0980/tillsynsmail/A 61561-2023 tillsynsbegäran mail.docx", "A 61561-2023")</f>
        <v/>
      </c>
    </row>
    <row r="168" ht="15" customHeight="1">
      <c r="A168" t="inlineStr">
        <is>
          <t>A 12324-2025</t>
        </is>
      </c>
      <c r="B168" s="1" t="n">
        <v>45730</v>
      </c>
      <c r="C168" s="1" t="n">
        <v>45986</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12924-2025</t>
        </is>
      </c>
      <c r="B169" s="1" t="n">
        <v>45734</v>
      </c>
      <c r="C169" s="1" t="n">
        <v>45986</v>
      </c>
      <c r="D169" t="inlineStr">
        <is>
          <t>GOTLANDS LÄN</t>
        </is>
      </c>
      <c r="E169" t="inlineStr">
        <is>
          <t>GOTLAND</t>
        </is>
      </c>
      <c r="G169" t="n">
        <v>11.7</v>
      </c>
      <c r="H169" t="n">
        <v>0</v>
      </c>
      <c r="I169" t="n">
        <v>0</v>
      </c>
      <c r="J169" t="n">
        <v>0</v>
      </c>
      <c r="K169" t="n">
        <v>1</v>
      </c>
      <c r="L169" t="n">
        <v>0</v>
      </c>
      <c r="M169" t="n">
        <v>0</v>
      </c>
      <c r="N169" t="n">
        <v>0</v>
      </c>
      <c r="O169" t="n">
        <v>1</v>
      </c>
      <c r="P169" t="n">
        <v>1</v>
      </c>
      <c r="Q169" t="n">
        <v>1</v>
      </c>
      <c r="R169" s="2" t="inlineStr">
        <is>
          <t>Gotlandsmåra</t>
        </is>
      </c>
      <c r="S169">
        <f>HYPERLINK("https://klasma.github.io/Logging_0980/artfynd/A 12924-2025 artfynd.xlsx", "A 12924-2025")</f>
        <v/>
      </c>
      <c r="T169">
        <f>HYPERLINK("https://klasma.github.io/Logging_0980/kartor/A 12924-2025 karta.png", "A 12924-2025")</f>
        <v/>
      </c>
      <c r="V169">
        <f>HYPERLINK("https://klasma.github.io/Logging_0980/klagomål/A 12924-2025 FSC-klagomål.docx", "A 12924-2025")</f>
        <v/>
      </c>
      <c r="W169">
        <f>HYPERLINK("https://klasma.github.io/Logging_0980/klagomålsmail/A 12924-2025 FSC-klagomål mail.docx", "A 12924-2025")</f>
        <v/>
      </c>
      <c r="X169">
        <f>HYPERLINK("https://klasma.github.io/Logging_0980/tillsyn/A 12924-2025 tillsynsbegäran.docx", "A 12924-2025")</f>
        <v/>
      </c>
      <c r="Y169">
        <f>HYPERLINK("https://klasma.github.io/Logging_0980/tillsynsmail/A 12924-2025 tillsynsbegäran mail.docx", "A 12924-2025")</f>
        <v/>
      </c>
    </row>
    <row r="170" ht="15" customHeight="1">
      <c r="A170" t="inlineStr">
        <is>
          <t>A 13939-2021</t>
        </is>
      </c>
      <c r="B170" s="1" t="n">
        <v>44277</v>
      </c>
      <c r="C170" s="1" t="n">
        <v>45986</v>
      </c>
      <c r="D170" t="inlineStr">
        <is>
          <t>GOTLANDS LÄN</t>
        </is>
      </c>
      <c r="E170" t="inlineStr">
        <is>
          <t>GOTLAND</t>
        </is>
      </c>
      <c r="G170" t="n">
        <v>1</v>
      </c>
      <c r="H170" t="n">
        <v>0</v>
      </c>
      <c r="I170" t="n">
        <v>0</v>
      </c>
      <c r="J170" t="n">
        <v>1</v>
      </c>
      <c r="K170" t="n">
        <v>0</v>
      </c>
      <c r="L170" t="n">
        <v>0</v>
      </c>
      <c r="M170" t="n">
        <v>0</v>
      </c>
      <c r="N170" t="n">
        <v>0</v>
      </c>
      <c r="O170" t="n">
        <v>1</v>
      </c>
      <c r="P170" t="n">
        <v>0</v>
      </c>
      <c r="Q170" t="n">
        <v>1</v>
      </c>
      <c r="R170" s="2" t="inlineStr">
        <is>
          <t>Axveronika</t>
        </is>
      </c>
      <c r="S170">
        <f>HYPERLINK("https://klasma.github.io/Logging_0980/artfynd/A 13939-2021 artfynd.xlsx", "A 13939-2021")</f>
        <v/>
      </c>
      <c r="T170">
        <f>HYPERLINK("https://klasma.github.io/Logging_0980/kartor/A 13939-2021 karta.png", "A 13939-2021")</f>
        <v/>
      </c>
      <c r="V170">
        <f>HYPERLINK("https://klasma.github.io/Logging_0980/klagomål/A 13939-2021 FSC-klagomål.docx", "A 13939-2021")</f>
        <v/>
      </c>
      <c r="W170">
        <f>HYPERLINK("https://klasma.github.io/Logging_0980/klagomålsmail/A 13939-2021 FSC-klagomål mail.docx", "A 13939-2021")</f>
        <v/>
      </c>
      <c r="X170">
        <f>HYPERLINK("https://klasma.github.io/Logging_0980/tillsyn/A 13939-2021 tillsynsbegäran.docx", "A 13939-2021")</f>
        <v/>
      </c>
      <c r="Y170">
        <f>HYPERLINK("https://klasma.github.io/Logging_0980/tillsynsmail/A 13939-2021 tillsynsbegäran mail.docx", "A 13939-2021")</f>
        <v/>
      </c>
    </row>
    <row r="171" ht="15" customHeight="1">
      <c r="A171" t="inlineStr">
        <is>
          <t>A 2476-2025</t>
        </is>
      </c>
      <c r="B171" s="1" t="n">
        <v>45673</v>
      </c>
      <c r="C171" s="1" t="n">
        <v>45986</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447-2023</t>
        </is>
      </c>
      <c r="B172" s="1" t="n">
        <v>44929</v>
      </c>
      <c r="C172" s="1" t="n">
        <v>45986</v>
      </c>
      <c r="D172" t="inlineStr">
        <is>
          <t>GOTLANDS LÄN</t>
        </is>
      </c>
      <c r="E172" t="inlineStr">
        <is>
          <t>GOTLAND</t>
        </is>
      </c>
      <c r="G172" t="n">
        <v>5.1</v>
      </c>
      <c r="H172" t="n">
        <v>0</v>
      </c>
      <c r="I172" t="n">
        <v>0</v>
      </c>
      <c r="J172" t="n">
        <v>1</v>
      </c>
      <c r="K172" t="n">
        <v>0</v>
      </c>
      <c r="L172" t="n">
        <v>0</v>
      </c>
      <c r="M172" t="n">
        <v>0</v>
      </c>
      <c r="N172" t="n">
        <v>0</v>
      </c>
      <c r="O172" t="n">
        <v>1</v>
      </c>
      <c r="P172" t="n">
        <v>0</v>
      </c>
      <c r="Q172" t="n">
        <v>1</v>
      </c>
      <c r="R172" s="2" t="inlineStr">
        <is>
          <t>Äggspindling</t>
        </is>
      </c>
      <c r="S172">
        <f>HYPERLINK("https://klasma.github.io/Logging_0980/artfynd/A 447-2023 artfynd.xlsx", "A 447-2023")</f>
        <v/>
      </c>
      <c r="T172">
        <f>HYPERLINK("https://klasma.github.io/Logging_0980/kartor/A 447-2023 karta.png", "A 447-2023")</f>
        <v/>
      </c>
      <c r="V172">
        <f>HYPERLINK("https://klasma.github.io/Logging_0980/klagomål/A 447-2023 FSC-klagomål.docx", "A 447-2023")</f>
        <v/>
      </c>
      <c r="W172">
        <f>HYPERLINK("https://klasma.github.io/Logging_0980/klagomålsmail/A 447-2023 FSC-klagomål mail.docx", "A 447-2023")</f>
        <v/>
      </c>
      <c r="X172">
        <f>HYPERLINK("https://klasma.github.io/Logging_0980/tillsyn/A 447-2023 tillsynsbegäran.docx", "A 447-2023")</f>
        <v/>
      </c>
      <c r="Y172">
        <f>HYPERLINK("https://klasma.github.io/Logging_0980/tillsynsmail/A 447-2023 tillsynsbegäran mail.docx", "A 447-2023")</f>
        <v/>
      </c>
    </row>
    <row r="173" ht="15" customHeight="1">
      <c r="A173" t="inlineStr">
        <is>
          <t>A 34809-2024</t>
        </is>
      </c>
      <c r="B173" s="1" t="n">
        <v>45526</v>
      </c>
      <c r="C173" s="1" t="n">
        <v>45986</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49304-2024</t>
        </is>
      </c>
      <c r="B174" s="1" t="n">
        <v>45595.54996527778</v>
      </c>
      <c r="C174" s="1" t="n">
        <v>45986</v>
      </c>
      <c r="D174" t="inlineStr">
        <is>
          <t>GOTLANDS LÄN</t>
        </is>
      </c>
      <c r="E174" t="inlineStr">
        <is>
          <t>GOTLAND</t>
        </is>
      </c>
      <c r="G174" t="n">
        <v>10.8</v>
      </c>
      <c r="H174" t="n">
        <v>0</v>
      </c>
      <c r="I174" t="n">
        <v>0</v>
      </c>
      <c r="J174" t="n">
        <v>1</v>
      </c>
      <c r="K174" t="n">
        <v>0</v>
      </c>
      <c r="L174" t="n">
        <v>0</v>
      </c>
      <c r="M174" t="n">
        <v>0</v>
      </c>
      <c r="N174" t="n">
        <v>0</v>
      </c>
      <c r="O174" t="n">
        <v>1</v>
      </c>
      <c r="P174" t="n">
        <v>0</v>
      </c>
      <c r="Q174" t="n">
        <v>1</v>
      </c>
      <c r="R174" s="2" t="inlineStr">
        <is>
          <t>Åkerranunkel</t>
        </is>
      </c>
      <c r="S174">
        <f>HYPERLINK("https://klasma.github.io/Logging_0980/artfynd/A 49304-2024 artfynd.xlsx", "A 49304-2024")</f>
        <v/>
      </c>
      <c r="T174">
        <f>HYPERLINK("https://klasma.github.io/Logging_0980/kartor/A 49304-2024 karta.png", "A 49304-2024")</f>
        <v/>
      </c>
      <c r="V174">
        <f>HYPERLINK("https://klasma.github.io/Logging_0980/klagomål/A 49304-2024 FSC-klagomål.docx", "A 49304-2024")</f>
        <v/>
      </c>
      <c r="W174">
        <f>HYPERLINK("https://klasma.github.io/Logging_0980/klagomålsmail/A 49304-2024 FSC-klagomål mail.docx", "A 49304-2024")</f>
        <v/>
      </c>
      <c r="X174">
        <f>HYPERLINK("https://klasma.github.io/Logging_0980/tillsyn/A 49304-2024 tillsynsbegäran.docx", "A 49304-2024")</f>
        <v/>
      </c>
      <c r="Y174">
        <f>HYPERLINK("https://klasma.github.io/Logging_0980/tillsynsmail/A 49304-2024 tillsynsbegäran mail.docx", "A 49304-2024")</f>
        <v/>
      </c>
    </row>
    <row r="175" ht="15" customHeight="1">
      <c r="A175" t="inlineStr">
        <is>
          <t>A 22782-2023</t>
        </is>
      </c>
      <c r="B175" s="1" t="n">
        <v>45072</v>
      </c>
      <c r="C175" s="1" t="n">
        <v>45986</v>
      </c>
      <c r="D175" t="inlineStr">
        <is>
          <t>GOTLANDS LÄN</t>
        </is>
      </c>
      <c r="E175" t="inlineStr">
        <is>
          <t>GOTLAND</t>
        </is>
      </c>
      <c r="F175" t="inlineStr">
        <is>
          <t>Kyrkan</t>
        </is>
      </c>
      <c r="G175" t="n">
        <v>3.1</v>
      </c>
      <c r="H175" t="n">
        <v>1</v>
      </c>
      <c r="I175" t="n">
        <v>0</v>
      </c>
      <c r="J175" t="n">
        <v>0</v>
      </c>
      <c r="K175" t="n">
        <v>0</v>
      </c>
      <c r="L175" t="n">
        <v>0</v>
      </c>
      <c r="M175" t="n">
        <v>0</v>
      </c>
      <c r="N175" t="n">
        <v>0</v>
      </c>
      <c r="O175" t="n">
        <v>0</v>
      </c>
      <c r="P175" t="n">
        <v>0</v>
      </c>
      <c r="Q175" t="n">
        <v>1</v>
      </c>
      <c r="R175" s="2" t="inlineStr">
        <is>
          <t>Ängsnycklar × skogsnycklar</t>
        </is>
      </c>
      <c r="S175">
        <f>HYPERLINK("https://klasma.github.io/Logging_0980/artfynd/A 22782-2023 artfynd.xlsx", "A 22782-2023")</f>
        <v/>
      </c>
      <c r="T175">
        <f>HYPERLINK("https://klasma.github.io/Logging_0980/kartor/A 22782-2023 karta.png", "A 22782-2023")</f>
        <v/>
      </c>
      <c r="V175">
        <f>HYPERLINK("https://klasma.github.io/Logging_0980/klagomål/A 22782-2023 FSC-klagomål.docx", "A 22782-2023")</f>
        <v/>
      </c>
      <c r="W175">
        <f>HYPERLINK("https://klasma.github.io/Logging_0980/klagomålsmail/A 22782-2023 FSC-klagomål mail.docx", "A 22782-2023")</f>
        <v/>
      </c>
      <c r="X175">
        <f>HYPERLINK("https://klasma.github.io/Logging_0980/tillsyn/A 22782-2023 tillsynsbegäran.docx", "A 22782-2023")</f>
        <v/>
      </c>
      <c r="Y175">
        <f>HYPERLINK("https://klasma.github.io/Logging_0980/tillsynsmail/A 22782-2023 tillsynsbegäran mail.docx", "A 22782-2023")</f>
        <v/>
      </c>
    </row>
    <row r="176" ht="15" customHeight="1">
      <c r="A176" t="inlineStr">
        <is>
          <t>A 44088-2022</t>
        </is>
      </c>
      <c r="B176" s="1" t="n">
        <v>44839</v>
      </c>
      <c r="C176" s="1" t="n">
        <v>45986</v>
      </c>
      <c r="D176" t="inlineStr">
        <is>
          <t>GOTLANDS LÄN</t>
        </is>
      </c>
      <c r="E176" t="inlineStr">
        <is>
          <t>GOTLAND</t>
        </is>
      </c>
      <c r="G176" t="n">
        <v>1.5</v>
      </c>
      <c r="H176" t="n">
        <v>0</v>
      </c>
      <c r="I176" t="n">
        <v>1</v>
      </c>
      <c r="J176" t="n">
        <v>0</v>
      </c>
      <c r="K176" t="n">
        <v>0</v>
      </c>
      <c r="L176" t="n">
        <v>0</v>
      </c>
      <c r="M176" t="n">
        <v>0</v>
      </c>
      <c r="N176" t="n">
        <v>0</v>
      </c>
      <c r="O176" t="n">
        <v>0</v>
      </c>
      <c r="P176" t="n">
        <v>0</v>
      </c>
      <c r="Q176" t="n">
        <v>1</v>
      </c>
      <c r="R176" s="2" t="inlineStr">
        <is>
          <t>Strävlosta</t>
        </is>
      </c>
      <c r="S176">
        <f>HYPERLINK("https://klasma.github.io/Logging_0980/artfynd/A 44088-2022 artfynd.xlsx", "A 44088-2022")</f>
        <v/>
      </c>
      <c r="T176">
        <f>HYPERLINK("https://klasma.github.io/Logging_0980/kartor/A 44088-2022 karta.png", "A 44088-2022")</f>
        <v/>
      </c>
      <c r="V176">
        <f>HYPERLINK("https://klasma.github.io/Logging_0980/klagomål/A 44088-2022 FSC-klagomål.docx", "A 44088-2022")</f>
        <v/>
      </c>
      <c r="W176">
        <f>HYPERLINK("https://klasma.github.io/Logging_0980/klagomålsmail/A 44088-2022 FSC-klagomål mail.docx", "A 44088-2022")</f>
        <v/>
      </c>
      <c r="X176">
        <f>HYPERLINK("https://klasma.github.io/Logging_0980/tillsyn/A 44088-2022 tillsynsbegäran.docx", "A 44088-2022")</f>
        <v/>
      </c>
      <c r="Y176">
        <f>HYPERLINK("https://klasma.github.io/Logging_0980/tillsynsmail/A 44088-2022 tillsynsbegäran mail.docx", "A 44088-2022")</f>
        <v/>
      </c>
    </row>
    <row r="177" ht="15" customHeight="1">
      <c r="A177" t="inlineStr">
        <is>
          <t>A 1477-2024</t>
        </is>
      </c>
      <c r="B177" s="1" t="n">
        <v>45305.37987268518</v>
      </c>
      <c r="C177" s="1" t="n">
        <v>45986</v>
      </c>
      <c r="D177" t="inlineStr">
        <is>
          <t>GOTLANDS LÄN</t>
        </is>
      </c>
      <c r="E177" t="inlineStr">
        <is>
          <t>GOTLAND</t>
        </is>
      </c>
      <c r="G177" t="n">
        <v>6.9</v>
      </c>
      <c r="H177" t="n">
        <v>0</v>
      </c>
      <c r="I177" t="n">
        <v>0</v>
      </c>
      <c r="J177" t="n">
        <v>1</v>
      </c>
      <c r="K177" t="n">
        <v>0</v>
      </c>
      <c r="L177" t="n">
        <v>0</v>
      </c>
      <c r="M177" t="n">
        <v>0</v>
      </c>
      <c r="N177" t="n">
        <v>0</v>
      </c>
      <c r="O177" t="n">
        <v>1</v>
      </c>
      <c r="P177" t="n">
        <v>0</v>
      </c>
      <c r="Q177" t="n">
        <v>1</v>
      </c>
      <c r="R177" s="2" t="inlineStr">
        <is>
          <t>Igelkott</t>
        </is>
      </c>
      <c r="S177">
        <f>HYPERLINK("https://klasma.github.io/Logging_0980/artfynd/A 1477-2024 artfynd.xlsx", "A 1477-2024")</f>
        <v/>
      </c>
      <c r="T177">
        <f>HYPERLINK("https://klasma.github.io/Logging_0980/kartor/A 1477-2024 karta.png", "A 1477-2024")</f>
        <v/>
      </c>
      <c r="V177">
        <f>HYPERLINK("https://klasma.github.io/Logging_0980/klagomål/A 1477-2024 FSC-klagomål.docx", "A 1477-2024")</f>
        <v/>
      </c>
      <c r="W177">
        <f>HYPERLINK("https://klasma.github.io/Logging_0980/klagomålsmail/A 1477-2024 FSC-klagomål mail.docx", "A 1477-2024")</f>
        <v/>
      </c>
      <c r="X177">
        <f>HYPERLINK("https://klasma.github.io/Logging_0980/tillsyn/A 1477-2024 tillsynsbegäran.docx", "A 1477-2024")</f>
        <v/>
      </c>
      <c r="Y177">
        <f>HYPERLINK("https://klasma.github.io/Logging_0980/tillsynsmail/A 1477-2024 tillsynsbegäran mail.docx", "A 1477-2024")</f>
        <v/>
      </c>
    </row>
    <row r="178" ht="15" customHeight="1">
      <c r="A178" t="inlineStr">
        <is>
          <t>A 7637-2025</t>
        </is>
      </c>
      <c r="B178" s="1" t="n">
        <v>45705.77181712963</v>
      </c>
      <c r="C178" s="1" t="n">
        <v>45986</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61796-2022</t>
        </is>
      </c>
      <c r="B179" s="1" t="n">
        <v>44917</v>
      </c>
      <c r="C179" s="1" t="n">
        <v>45986</v>
      </c>
      <c r="D179" t="inlineStr">
        <is>
          <t>GOTLANDS LÄN</t>
        </is>
      </c>
      <c r="E179" t="inlineStr">
        <is>
          <t>GOTLAND</t>
        </is>
      </c>
      <c r="G179" t="n">
        <v>1.5</v>
      </c>
      <c r="H179" t="n">
        <v>1</v>
      </c>
      <c r="I179" t="n">
        <v>0</v>
      </c>
      <c r="J179" t="n">
        <v>0</v>
      </c>
      <c r="K179" t="n">
        <v>0</v>
      </c>
      <c r="L179" t="n">
        <v>0</v>
      </c>
      <c r="M179" t="n">
        <v>0</v>
      </c>
      <c r="N179" t="n">
        <v>0</v>
      </c>
      <c r="O179" t="n">
        <v>0</v>
      </c>
      <c r="P179" t="n">
        <v>0</v>
      </c>
      <c r="Q179" t="n">
        <v>1</v>
      </c>
      <c r="R179" s="2" t="inlineStr">
        <is>
          <t>Skogsduva</t>
        </is>
      </c>
      <c r="S179">
        <f>HYPERLINK("https://klasma.github.io/Logging_0980/artfynd/A 61796-2022 artfynd.xlsx", "A 61796-2022")</f>
        <v/>
      </c>
      <c r="T179">
        <f>HYPERLINK("https://klasma.github.io/Logging_0980/kartor/A 61796-2022 karta.png", "A 61796-2022")</f>
        <v/>
      </c>
      <c r="V179">
        <f>HYPERLINK("https://klasma.github.io/Logging_0980/klagomål/A 61796-2022 FSC-klagomål.docx", "A 61796-2022")</f>
        <v/>
      </c>
      <c r="W179">
        <f>HYPERLINK("https://klasma.github.io/Logging_0980/klagomålsmail/A 61796-2022 FSC-klagomål mail.docx", "A 61796-2022")</f>
        <v/>
      </c>
      <c r="X179">
        <f>HYPERLINK("https://klasma.github.io/Logging_0980/tillsyn/A 61796-2022 tillsynsbegäran.docx", "A 61796-2022")</f>
        <v/>
      </c>
      <c r="Y179">
        <f>HYPERLINK("https://klasma.github.io/Logging_0980/tillsynsmail/A 61796-2022 tillsynsbegäran mail.docx", "A 61796-2022")</f>
        <v/>
      </c>
      <c r="Z179">
        <f>HYPERLINK("https://klasma.github.io/Logging_0980/fåglar/A 61796-2022 prioriterade fågelarter.docx", "A 61796-2022")</f>
        <v/>
      </c>
    </row>
    <row r="180" ht="15" customHeight="1">
      <c r="A180" t="inlineStr">
        <is>
          <t>A 10218-2025</t>
        </is>
      </c>
      <c r="B180" s="1" t="n">
        <v>45720</v>
      </c>
      <c r="C180" s="1" t="n">
        <v>45986</v>
      </c>
      <c r="D180" t="inlineStr">
        <is>
          <t>GOTLANDS LÄN</t>
        </is>
      </c>
      <c r="E180" t="inlineStr">
        <is>
          <t>GOTLAND</t>
        </is>
      </c>
      <c r="G180" t="n">
        <v>8.1</v>
      </c>
      <c r="H180" t="n">
        <v>0</v>
      </c>
      <c r="I180" t="n">
        <v>1</v>
      </c>
      <c r="J180" t="n">
        <v>0</v>
      </c>
      <c r="K180" t="n">
        <v>0</v>
      </c>
      <c r="L180" t="n">
        <v>0</v>
      </c>
      <c r="M180" t="n">
        <v>0</v>
      </c>
      <c r="N180" t="n">
        <v>0</v>
      </c>
      <c r="O180" t="n">
        <v>0</v>
      </c>
      <c r="P180" t="n">
        <v>0</v>
      </c>
      <c r="Q180" t="n">
        <v>1</v>
      </c>
      <c r="R180" s="2" t="inlineStr">
        <is>
          <t>Kalktallört</t>
        </is>
      </c>
      <c r="S180">
        <f>HYPERLINK("https://klasma.github.io/Logging_0980/artfynd/A 10218-2025 artfynd.xlsx", "A 10218-2025")</f>
        <v/>
      </c>
      <c r="T180">
        <f>HYPERLINK("https://klasma.github.io/Logging_0980/kartor/A 10218-2025 karta.png", "A 10218-2025")</f>
        <v/>
      </c>
      <c r="V180">
        <f>HYPERLINK("https://klasma.github.io/Logging_0980/klagomål/A 10218-2025 FSC-klagomål.docx", "A 10218-2025")</f>
        <v/>
      </c>
      <c r="W180">
        <f>HYPERLINK("https://klasma.github.io/Logging_0980/klagomålsmail/A 10218-2025 FSC-klagomål mail.docx", "A 10218-2025")</f>
        <v/>
      </c>
      <c r="X180">
        <f>HYPERLINK("https://klasma.github.io/Logging_0980/tillsyn/A 10218-2025 tillsynsbegäran.docx", "A 10218-2025")</f>
        <v/>
      </c>
      <c r="Y180">
        <f>HYPERLINK("https://klasma.github.io/Logging_0980/tillsynsmail/A 10218-2025 tillsynsbegäran mail.docx", "A 10218-2025")</f>
        <v/>
      </c>
    </row>
    <row r="181" ht="15" customHeight="1">
      <c r="A181" t="inlineStr">
        <is>
          <t>A 12379-2024</t>
        </is>
      </c>
      <c r="B181" s="1" t="n">
        <v>45379.28155092592</v>
      </c>
      <c r="C181" s="1" t="n">
        <v>45986</v>
      </c>
      <c r="D181" t="inlineStr">
        <is>
          <t>GOTLANDS LÄN</t>
        </is>
      </c>
      <c r="E181" t="inlineStr">
        <is>
          <t>GOTLAND</t>
        </is>
      </c>
      <c r="G181" t="n">
        <v>4.4</v>
      </c>
      <c r="H181" t="n">
        <v>0</v>
      </c>
      <c r="I181" t="n">
        <v>0</v>
      </c>
      <c r="J181" t="n">
        <v>1</v>
      </c>
      <c r="K181" t="n">
        <v>0</v>
      </c>
      <c r="L181" t="n">
        <v>0</v>
      </c>
      <c r="M181" t="n">
        <v>0</v>
      </c>
      <c r="N181" t="n">
        <v>0</v>
      </c>
      <c r="O181" t="n">
        <v>1</v>
      </c>
      <c r="P181" t="n">
        <v>0</v>
      </c>
      <c r="Q181" t="n">
        <v>1</v>
      </c>
      <c r="R181" s="2" t="inlineStr">
        <is>
          <t>Svinrot</t>
        </is>
      </c>
      <c r="S181">
        <f>HYPERLINK("https://klasma.github.io/Logging_0980/artfynd/A 12379-2024 artfynd.xlsx", "A 12379-2024")</f>
        <v/>
      </c>
      <c r="T181">
        <f>HYPERLINK("https://klasma.github.io/Logging_0980/kartor/A 12379-2024 karta.png", "A 12379-2024")</f>
        <v/>
      </c>
      <c r="V181">
        <f>HYPERLINK("https://klasma.github.io/Logging_0980/klagomål/A 12379-2024 FSC-klagomål.docx", "A 12379-2024")</f>
        <v/>
      </c>
      <c r="W181">
        <f>HYPERLINK("https://klasma.github.io/Logging_0980/klagomålsmail/A 12379-2024 FSC-klagomål mail.docx", "A 12379-2024")</f>
        <v/>
      </c>
      <c r="X181">
        <f>HYPERLINK("https://klasma.github.io/Logging_0980/tillsyn/A 12379-2024 tillsynsbegäran.docx", "A 12379-2024")</f>
        <v/>
      </c>
      <c r="Y181">
        <f>HYPERLINK("https://klasma.github.io/Logging_0980/tillsynsmail/A 12379-2024 tillsynsbegäran mail.docx", "A 12379-2024")</f>
        <v/>
      </c>
    </row>
    <row r="182" ht="15" customHeight="1">
      <c r="A182" t="inlineStr">
        <is>
          <t>A 64700-2021</t>
        </is>
      </c>
      <c r="B182" s="1" t="n">
        <v>44511</v>
      </c>
      <c r="C182" s="1" t="n">
        <v>45986</v>
      </c>
      <c r="D182" t="inlineStr">
        <is>
          <t>GOTLANDS LÄN</t>
        </is>
      </c>
      <c r="E182" t="inlineStr">
        <is>
          <t>GOTLAND</t>
        </is>
      </c>
      <c r="F182" t="inlineStr">
        <is>
          <t>Naturvårdsverket</t>
        </is>
      </c>
      <c r="G182" t="n">
        <v>2.4</v>
      </c>
      <c r="H182" t="n">
        <v>1</v>
      </c>
      <c r="I182" t="n">
        <v>0</v>
      </c>
      <c r="J182" t="n">
        <v>0</v>
      </c>
      <c r="K182" t="n">
        <v>1</v>
      </c>
      <c r="L182" t="n">
        <v>0</v>
      </c>
      <c r="M182" t="n">
        <v>0</v>
      </c>
      <c r="N182" t="n">
        <v>0</v>
      </c>
      <c r="O182" t="n">
        <v>1</v>
      </c>
      <c r="P182" t="n">
        <v>1</v>
      </c>
      <c r="Q182" t="n">
        <v>1</v>
      </c>
      <c r="R182" s="2" t="inlineStr">
        <is>
          <t>Kalkdån</t>
        </is>
      </c>
      <c r="S182">
        <f>HYPERLINK("https://klasma.github.io/Logging_0980/artfynd/A 64700-2021 artfynd.xlsx", "A 64700-2021")</f>
        <v/>
      </c>
      <c r="T182">
        <f>HYPERLINK("https://klasma.github.io/Logging_0980/kartor/A 64700-2021 karta.png", "A 64700-2021")</f>
        <v/>
      </c>
      <c r="V182">
        <f>HYPERLINK("https://klasma.github.io/Logging_0980/klagomål/A 64700-2021 FSC-klagomål.docx", "A 64700-2021")</f>
        <v/>
      </c>
      <c r="W182">
        <f>HYPERLINK("https://klasma.github.io/Logging_0980/klagomålsmail/A 64700-2021 FSC-klagomål mail.docx", "A 64700-2021")</f>
        <v/>
      </c>
      <c r="X182">
        <f>HYPERLINK("https://klasma.github.io/Logging_0980/tillsyn/A 64700-2021 tillsynsbegäran.docx", "A 64700-2021")</f>
        <v/>
      </c>
      <c r="Y182">
        <f>HYPERLINK("https://klasma.github.io/Logging_0980/tillsynsmail/A 64700-2021 tillsynsbegäran mail.docx", "A 64700-2021")</f>
        <v/>
      </c>
    </row>
    <row r="183" ht="15" customHeight="1">
      <c r="A183" t="inlineStr">
        <is>
          <t>A 35574-2024</t>
        </is>
      </c>
      <c r="B183" s="1" t="n">
        <v>45531</v>
      </c>
      <c r="C183" s="1" t="n">
        <v>45986</v>
      </c>
      <c r="D183" t="inlineStr">
        <is>
          <t>GOTLANDS LÄN</t>
        </is>
      </c>
      <c r="E183" t="inlineStr">
        <is>
          <t>GOTLAND</t>
        </is>
      </c>
      <c r="G183" t="n">
        <v>5.7</v>
      </c>
      <c r="H183" t="n">
        <v>0</v>
      </c>
      <c r="I183" t="n">
        <v>1</v>
      </c>
      <c r="J183" t="n">
        <v>0</v>
      </c>
      <c r="K183" t="n">
        <v>0</v>
      </c>
      <c r="L183" t="n">
        <v>0</v>
      </c>
      <c r="M183" t="n">
        <v>0</v>
      </c>
      <c r="N183" t="n">
        <v>0</v>
      </c>
      <c r="O183" t="n">
        <v>0</v>
      </c>
      <c r="P183" t="n">
        <v>0</v>
      </c>
      <c r="Q183" t="n">
        <v>1</v>
      </c>
      <c r="R183" s="2" t="inlineStr">
        <is>
          <t>Murgröna</t>
        </is>
      </c>
      <c r="S183">
        <f>HYPERLINK("https://klasma.github.io/Logging_0980/artfynd/A 35574-2024 artfynd.xlsx", "A 35574-2024")</f>
        <v/>
      </c>
      <c r="T183">
        <f>HYPERLINK("https://klasma.github.io/Logging_0980/kartor/A 35574-2024 karta.png", "A 35574-2024")</f>
        <v/>
      </c>
      <c r="V183">
        <f>HYPERLINK("https://klasma.github.io/Logging_0980/klagomål/A 35574-2024 FSC-klagomål.docx", "A 35574-2024")</f>
        <v/>
      </c>
      <c r="W183">
        <f>HYPERLINK("https://klasma.github.io/Logging_0980/klagomålsmail/A 35574-2024 FSC-klagomål mail.docx", "A 35574-2024")</f>
        <v/>
      </c>
      <c r="X183">
        <f>HYPERLINK("https://klasma.github.io/Logging_0980/tillsyn/A 35574-2024 tillsynsbegäran.docx", "A 35574-2024")</f>
        <v/>
      </c>
      <c r="Y183">
        <f>HYPERLINK("https://klasma.github.io/Logging_0980/tillsynsmail/A 35574-2024 tillsynsbegäran mail.docx", "A 35574-2024")</f>
        <v/>
      </c>
    </row>
    <row r="184" ht="15" customHeight="1">
      <c r="A184" t="inlineStr">
        <is>
          <t>A 37591-2023</t>
        </is>
      </c>
      <c r="B184" s="1" t="n">
        <v>45159</v>
      </c>
      <c r="C184" s="1" t="n">
        <v>45986</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15637-2024</t>
        </is>
      </c>
      <c r="B185" s="1" t="n">
        <v>45403.6684837963</v>
      </c>
      <c r="C185" s="1" t="n">
        <v>45986</v>
      </c>
      <c r="D185" t="inlineStr">
        <is>
          <t>GOTLANDS LÄN</t>
        </is>
      </c>
      <c r="E185" t="inlineStr">
        <is>
          <t>GOTLAND</t>
        </is>
      </c>
      <c r="G185" t="n">
        <v>4.1</v>
      </c>
      <c r="H185" t="n">
        <v>1</v>
      </c>
      <c r="I185" t="n">
        <v>0</v>
      </c>
      <c r="J185" t="n">
        <v>0</v>
      </c>
      <c r="K185" t="n">
        <v>0</v>
      </c>
      <c r="L185" t="n">
        <v>0</v>
      </c>
      <c r="M185" t="n">
        <v>0</v>
      </c>
      <c r="N185" t="n">
        <v>0</v>
      </c>
      <c r="O185" t="n">
        <v>0</v>
      </c>
      <c r="P185" t="n">
        <v>0</v>
      </c>
      <c r="Q185" t="n">
        <v>1</v>
      </c>
      <c r="R185" s="2" t="inlineStr">
        <is>
          <t>Blåsippa</t>
        </is>
      </c>
      <c r="S185">
        <f>HYPERLINK("https://klasma.github.io/Logging_0980/artfynd/A 15637-2024 artfynd.xlsx", "A 15637-2024")</f>
        <v/>
      </c>
      <c r="T185">
        <f>HYPERLINK("https://klasma.github.io/Logging_0980/kartor/A 15637-2024 karta.png", "A 15637-2024")</f>
        <v/>
      </c>
      <c r="V185">
        <f>HYPERLINK("https://klasma.github.io/Logging_0980/klagomål/A 15637-2024 FSC-klagomål.docx", "A 15637-2024")</f>
        <v/>
      </c>
      <c r="W185">
        <f>HYPERLINK("https://klasma.github.io/Logging_0980/klagomålsmail/A 15637-2024 FSC-klagomål mail.docx", "A 15637-2024")</f>
        <v/>
      </c>
      <c r="X185">
        <f>HYPERLINK("https://klasma.github.io/Logging_0980/tillsyn/A 15637-2024 tillsynsbegäran.docx", "A 15637-2024")</f>
        <v/>
      </c>
      <c r="Y185">
        <f>HYPERLINK("https://klasma.github.io/Logging_0980/tillsynsmail/A 15637-2024 tillsynsbegäran mail.docx", "A 15637-2024")</f>
        <v/>
      </c>
    </row>
    <row r="186" ht="15" customHeight="1">
      <c r="A186" t="inlineStr">
        <is>
          <t>A 63299-2020</t>
        </is>
      </c>
      <c r="B186" s="1" t="n">
        <v>44165</v>
      </c>
      <c r="C186" s="1" t="n">
        <v>45986</v>
      </c>
      <c r="D186" t="inlineStr">
        <is>
          <t>GOTLANDS LÄN</t>
        </is>
      </c>
      <c r="E186" t="inlineStr">
        <is>
          <t>GOTLAND</t>
        </is>
      </c>
      <c r="G186" t="n">
        <v>12.9</v>
      </c>
      <c r="H186" t="n">
        <v>1</v>
      </c>
      <c r="I186" t="n">
        <v>0</v>
      </c>
      <c r="J186" t="n">
        <v>1</v>
      </c>
      <c r="K186" t="n">
        <v>0</v>
      </c>
      <c r="L186" t="n">
        <v>0</v>
      </c>
      <c r="M186" t="n">
        <v>0</v>
      </c>
      <c r="N186" t="n">
        <v>0</v>
      </c>
      <c r="O186" t="n">
        <v>1</v>
      </c>
      <c r="P186" t="n">
        <v>0</v>
      </c>
      <c r="Q186" t="n">
        <v>1</v>
      </c>
      <c r="R186" s="2" t="inlineStr">
        <is>
          <t>Svartfläckig blåvinge</t>
        </is>
      </c>
      <c r="S186">
        <f>HYPERLINK("https://klasma.github.io/Logging_0980/artfynd/A 63299-2020 artfynd.xlsx", "A 63299-2020")</f>
        <v/>
      </c>
      <c r="T186">
        <f>HYPERLINK("https://klasma.github.io/Logging_0980/kartor/A 63299-2020 karta.png", "A 63299-2020")</f>
        <v/>
      </c>
      <c r="V186">
        <f>HYPERLINK("https://klasma.github.io/Logging_0980/klagomål/A 63299-2020 FSC-klagomål.docx", "A 63299-2020")</f>
        <v/>
      </c>
      <c r="W186">
        <f>HYPERLINK("https://klasma.github.io/Logging_0980/klagomålsmail/A 63299-2020 FSC-klagomål mail.docx", "A 63299-2020")</f>
        <v/>
      </c>
      <c r="X186">
        <f>HYPERLINK("https://klasma.github.io/Logging_0980/tillsyn/A 63299-2020 tillsynsbegäran.docx", "A 63299-2020")</f>
        <v/>
      </c>
      <c r="Y186">
        <f>HYPERLINK("https://klasma.github.io/Logging_0980/tillsynsmail/A 63299-2020 tillsynsbegäran mail.docx", "A 63299-2020")</f>
        <v/>
      </c>
    </row>
    <row r="187" ht="15" customHeight="1">
      <c r="A187" t="inlineStr">
        <is>
          <t>A 49847-2023</t>
        </is>
      </c>
      <c r="B187" s="1" t="n">
        <v>45212</v>
      </c>
      <c r="C187" s="1" t="n">
        <v>45986</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45986</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63576-2021</t>
        </is>
      </c>
      <c r="B189" s="1" t="n">
        <v>44508</v>
      </c>
      <c r="C189" s="1" t="n">
        <v>45986</v>
      </c>
      <c r="D189" t="inlineStr">
        <is>
          <t>GOTLANDS LÄN</t>
        </is>
      </c>
      <c r="E189" t="inlineStr">
        <is>
          <t>GOTLAND</t>
        </is>
      </c>
      <c r="F189" t="inlineStr">
        <is>
          <t>Kyrkan</t>
        </is>
      </c>
      <c r="G189" t="n">
        <v>4.1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63576-2021 artfynd.xlsx", "A 63576-2021")</f>
        <v/>
      </c>
      <c r="T189">
        <f>HYPERLINK("https://klasma.github.io/Logging_0980/kartor/A 63576-2021 karta.png", "A 63576-2021")</f>
        <v/>
      </c>
      <c r="V189">
        <f>HYPERLINK("https://klasma.github.io/Logging_0980/klagomål/A 63576-2021 FSC-klagomål.docx", "A 63576-2021")</f>
        <v/>
      </c>
      <c r="W189">
        <f>HYPERLINK("https://klasma.github.io/Logging_0980/klagomålsmail/A 63576-2021 FSC-klagomål mail.docx", "A 63576-2021")</f>
        <v/>
      </c>
      <c r="X189">
        <f>HYPERLINK("https://klasma.github.io/Logging_0980/tillsyn/A 63576-2021 tillsynsbegäran.docx", "A 63576-2021")</f>
        <v/>
      </c>
      <c r="Y189">
        <f>HYPERLINK("https://klasma.github.io/Logging_0980/tillsynsmail/A 63576-2021 tillsynsbegäran mail.docx", "A 63576-2021")</f>
        <v/>
      </c>
    </row>
    <row r="190" ht="15" customHeight="1">
      <c r="A190" t="inlineStr">
        <is>
          <t>A 21466-2025</t>
        </is>
      </c>
      <c r="B190" s="1" t="n">
        <v>45782</v>
      </c>
      <c r="C190" s="1" t="n">
        <v>45986</v>
      </c>
      <c r="D190" t="inlineStr">
        <is>
          <t>GOTLANDS LÄN</t>
        </is>
      </c>
      <c r="E190" t="inlineStr">
        <is>
          <t>GOTLAND</t>
        </is>
      </c>
      <c r="F190" t="inlineStr">
        <is>
          <t>Övriga statliga verk och myndigheter</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HYPERLINK("https://klasma.github.io/Logging_0980/artfynd/A 21466-2025 artfynd.xlsx", "A 21466-2025")</f>
        <v/>
      </c>
      <c r="T190">
        <f>HYPERLINK("https://klasma.github.io/Logging_0980/kartor/A 21466-2025 karta.png", "A 21466-2025")</f>
        <v/>
      </c>
      <c r="V190">
        <f>HYPERLINK("https://klasma.github.io/Logging_0980/klagomål/A 21466-2025 FSC-klagomål.docx", "A 21466-2025")</f>
        <v/>
      </c>
      <c r="W190">
        <f>HYPERLINK("https://klasma.github.io/Logging_0980/klagomålsmail/A 21466-2025 FSC-klagomål mail.docx", "A 21466-2025")</f>
        <v/>
      </c>
      <c r="X190">
        <f>HYPERLINK("https://klasma.github.io/Logging_0980/tillsyn/A 21466-2025 tillsynsbegäran.docx", "A 21466-2025")</f>
        <v/>
      </c>
      <c r="Y190">
        <f>HYPERLINK("https://klasma.github.io/Logging_0980/tillsynsmail/A 21466-2025 tillsynsbegäran mail.docx", "A 21466-2025")</f>
        <v/>
      </c>
    </row>
    <row r="191" ht="15" customHeight="1">
      <c r="A191" t="inlineStr">
        <is>
          <t>A 19901-2021</t>
        </is>
      </c>
      <c r="B191" s="1" t="n">
        <v>44312</v>
      </c>
      <c r="C191" s="1" t="n">
        <v>45986</v>
      </c>
      <c r="D191" t="inlineStr">
        <is>
          <t>GOTLANDS LÄN</t>
        </is>
      </c>
      <c r="E191" t="inlineStr">
        <is>
          <t>GOTLAND</t>
        </is>
      </c>
      <c r="G191" t="n">
        <v>4.5</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45986</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36313-2021</t>
        </is>
      </c>
      <c r="B193" s="1" t="n">
        <v>44390</v>
      </c>
      <c r="C193" s="1" t="n">
        <v>45986</v>
      </c>
      <c r="D193" t="inlineStr">
        <is>
          <t>GOTLANDS LÄN</t>
        </is>
      </c>
      <c r="E193" t="inlineStr">
        <is>
          <t>GOTLAND</t>
        </is>
      </c>
      <c r="G193" t="n">
        <v>2.2</v>
      </c>
      <c r="H193" t="n">
        <v>0</v>
      </c>
      <c r="I193" t="n">
        <v>0</v>
      </c>
      <c r="J193" t="n">
        <v>0</v>
      </c>
      <c r="K193" t="n">
        <v>0</v>
      </c>
      <c r="L193" t="n">
        <v>0</v>
      </c>
      <c r="M193" t="n">
        <v>0</v>
      </c>
      <c r="N193" t="n">
        <v>0</v>
      </c>
      <c r="O193" t="n">
        <v>0</v>
      </c>
      <c r="P193" t="n">
        <v>0</v>
      </c>
      <c r="Q193" t="n">
        <v>0</v>
      </c>
      <c r="R193" s="2" t="inlineStr"/>
    </row>
    <row r="194" ht="15" customHeight="1">
      <c r="A194" t="inlineStr">
        <is>
          <t>A 31981-2021</t>
        </is>
      </c>
      <c r="B194" s="1" t="n">
        <v>44370</v>
      </c>
      <c r="C194" s="1" t="n">
        <v>45986</v>
      </c>
      <c r="D194" t="inlineStr">
        <is>
          <t>GOTLANDS LÄN</t>
        </is>
      </c>
      <c r="E194" t="inlineStr">
        <is>
          <t>GOTLAND</t>
        </is>
      </c>
      <c r="G194" t="n">
        <v>6.1</v>
      </c>
      <c r="H194" t="n">
        <v>0</v>
      </c>
      <c r="I194" t="n">
        <v>0</v>
      </c>
      <c r="J194" t="n">
        <v>0</v>
      </c>
      <c r="K194" t="n">
        <v>0</v>
      </c>
      <c r="L194" t="n">
        <v>0</v>
      </c>
      <c r="M194" t="n">
        <v>0</v>
      </c>
      <c r="N194" t="n">
        <v>0</v>
      </c>
      <c r="O194" t="n">
        <v>0</v>
      </c>
      <c r="P194" t="n">
        <v>0</v>
      </c>
      <c r="Q194" t="n">
        <v>0</v>
      </c>
      <c r="R194" s="2" t="inlineStr"/>
    </row>
    <row r="195" ht="15" customHeight="1">
      <c r="A195" t="inlineStr">
        <is>
          <t>A 50892-2021</t>
        </is>
      </c>
      <c r="B195" s="1" t="n">
        <v>44459</v>
      </c>
      <c r="C195" s="1" t="n">
        <v>45986</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17585-2021</t>
        </is>
      </c>
      <c r="B196" s="1" t="n">
        <v>44299</v>
      </c>
      <c r="C196" s="1" t="n">
        <v>45986</v>
      </c>
      <c r="D196" t="inlineStr">
        <is>
          <t>GOTLANDS LÄN</t>
        </is>
      </c>
      <c r="E196" t="inlineStr">
        <is>
          <t>GOTLAND</t>
        </is>
      </c>
      <c r="G196" t="n">
        <v>5.4</v>
      </c>
      <c r="H196" t="n">
        <v>0</v>
      </c>
      <c r="I196" t="n">
        <v>0</v>
      </c>
      <c r="J196" t="n">
        <v>0</v>
      </c>
      <c r="K196" t="n">
        <v>0</v>
      </c>
      <c r="L196" t="n">
        <v>0</v>
      </c>
      <c r="M196" t="n">
        <v>0</v>
      </c>
      <c r="N196" t="n">
        <v>0</v>
      </c>
      <c r="O196" t="n">
        <v>0</v>
      </c>
      <c r="P196" t="n">
        <v>0</v>
      </c>
      <c r="Q196" t="n">
        <v>0</v>
      </c>
      <c r="R196" s="2" t="inlineStr"/>
    </row>
    <row r="197" ht="15" customHeight="1">
      <c r="A197" t="inlineStr">
        <is>
          <t>A 17199-2021</t>
        </is>
      </c>
      <c r="B197" s="1" t="n">
        <v>44298</v>
      </c>
      <c r="C197" s="1" t="n">
        <v>45986</v>
      </c>
      <c r="D197" t="inlineStr">
        <is>
          <t>GOTLANDS LÄN</t>
        </is>
      </c>
      <c r="E197" t="inlineStr">
        <is>
          <t>GOTLAND</t>
        </is>
      </c>
      <c r="G197" t="n">
        <v>9.6</v>
      </c>
      <c r="H197" t="n">
        <v>0</v>
      </c>
      <c r="I197" t="n">
        <v>0</v>
      </c>
      <c r="J197" t="n">
        <v>0</v>
      </c>
      <c r="K197" t="n">
        <v>0</v>
      </c>
      <c r="L197" t="n">
        <v>0</v>
      </c>
      <c r="M197" t="n">
        <v>0</v>
      </c>
      <c r="N197" t="n">
        <v>0</v>
      </c>
      <c r="O197" t="n">
        <v>0</v>
      </c>
      <c r="P197" t="n">
        <v>0</v>
      </c>
      <c r="Q197" t="n">
        <v>0</v>
      </c>
      <c r="R197" s="2" t="inlineStr"/>
    </row>
    <row r="198" ht="15" customHeight="1">
      <c r="A198" t="inlineStr">
        <is>
          <t>A 11400-2021</t>
        </is>
      </c>
      <c r="B198" s="1" t="n">
        <v>44263</v>
      </c>
      <c r="C198" s="1" t="n">
        <v>45986</v>
      </c>
      <c r="D198" t="inlineStr">
        <is>
          <t>GOTLANDS LÄN</t>
        </is>
      </c>
      <c r="E198" t="inlineStr">
        <is>
          <t>GOTLAND</t>
        </is>
      </c>
      <c r="G198" t="n">
        <v>5.6</v>
      </c>
      <c r="H198" t="n">
        <v>0</v>
      </c>
      <c r="I198" t="n">
        <v>0</v>
      </c>
      <c r="J198" t="n">
        <v>0</v>
      </c>
      <c r="K198" t="n">
        <v>0</v>
      </c>
      <c r="L198" t="n">
        <v>0</v>
      </c>
      <c r="M198" t="n">
        <v>0</v>
      </c>
      <c r="N198" t="n">
        <v>0</v>
      </c>
      <c r="O198" t="n">
        <v>0</v>
      </c>
      <c r="P198" t="n">
        <v>0</v>
      </c>
      <c r="Q198" t="n">
        <v>0</v>
      </c>
      <c r="R198" s="2" t="inlineStr"/>
    </row>
    <row r="199" ht="15" customHeight="1">
      <c r="A199" t="inlineStr">
        <is>
          <t>A 8329-2021</t>
        </is>
      </c>
      <c r="B199" s="1" t="n">
        <v>44244</v>
      </c>
      <c r="C199" s="1" t="n">
        <v>45986</v>
      </c>
      <c r="D199" t="inlineStr">
        <is>
          <t>GOTLANDS LÄN</t>
        </is>
      </c>
      <c r="E199" t="inlineStr">
        <is>
          <t>GOTLAND</t>
        </is>
      </c>
      <c r="F199" t="inlineStr">
        <is>
          <t>Kyrkan</t>
        </is>
      </c>
      <c r="G199" t="n">
        <v>4.5</v>
      </c>
      <c r="H199" t="n">
        <v>0</v>
      </c>
      <c r="I199" t="n">
        <v>0</v>
      </c>
      <c r="J199" t="n">
        <v>0</v>
      </c>
      <c r="K199" t="n">
        <v>0</v>
      </c>
      <c r="L199" t="n">
        <v>0</v>
      </c>
      <c r="M199" t="n">
        <v>0</v>
      </c>
      <c r="N199" t="n">
        <v>0</v>
      </c>
      <c r="O199" t="n">
        <v>0</v>
      </c>
      <c r="P199" t="n">
        <v>0</v>
      </c>
      <c r="Q199" t="n">
        <v>0</v>
      </c>
      <c r="R199" s="2" t="inlineStr"/>
    </row>
    <row r="200" ht="15" customHeight="1">
      <c r="A200" t="inlineStr">
        <is>
          <t>A 44108-2022</t>
        </is>
      </c>
      <c r="B200" s="1" t="n">
        <v>44839.38159722222</v>
      </c>
      <c r="C200" s="1" t="n">
        <v>45986</v>
      </c>
      <c r="D200" t="inlineStr">
        <is>
          <t>GOTLANDS LÄN</t>
        </is>
      </c>
      <c r="E200" t="inlineStr">
        <is>
          <t>GOTLAND</t>
        </is>
      </c>
      <c r="G200" t="n">
        <v>12.9</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45986</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45986</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24235-2022</t>
        </is>
      </c>
      <c r="B203" s="1" t="n">
        <v>44725</v>
      </c>
      <c r="C203" s="1" t="n">
        <v>45986</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32647-2021</t>
        </is>
      </c>
      <c r="B204" s="1" t="n">
        <v>44375</v>
      </c>
      <c r="C204" s="1" t="n">
        <v>45986</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45986</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45986</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45986</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45986</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45986</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45986</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45986</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45986</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45986</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45986</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45986</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45986</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45986</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45986</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45986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45986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45986</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45986</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45986</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45986</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45986</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45986</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45986</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45986</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45986</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30055-2021</t>
        </is>
      </c>
      <c r="B230" s="1" t="n">
        <v>44363</v>
      </c>
      <c r="C230" s="1" t="n">
        <v>45986</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45986</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17354-2022</t>
        </is>
      </c>
      <c r="B232" s="1" t="n">
        <v>44678</v>
      </c>
      <c r="C232" s="1" t="n">
        <v>45986</v>
      </c>
      <c r="D232" t="inlineStr">
        <is>
          <t>GOTLANDS LÄN</t>
        </is>
      </c>
      <c r="E232" t="inlineStr">
        <is>
          <t>GOTLAND</t>
        </is>
      </c>
      <c r="G232" t="n">
        <v>7.1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45986</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1229-2021</t>
        </is>
      </c>
      <c r="B234" s="1" t="n">
        <v>44208</v>
      </c>
      <c r="C234" s="1" t="n">
        <v>45986</v>
      </c>
      <c r="D234" t="inlineStr">
        <is>
          <t>GOTLANDS LÄN</t>
        </is>
      </c>
      <c r="E234" t="inlineStr">
        <is>
          <t>GOTLAND</t>
        </is>
      </c>
      <c r="G234" t="n">
        <v>5.3</v>
      </c>
      <c r="H234" t="n">
        <v>0</v>
      </c>
      <c r="I234" t="n">
        <v>0</v>
      </c>
      <c r="J234" t="n">
        <v>0</v>
      </c>
      <c r="K234" t="n">
        <v>0</v>
      </c>
      <c r="L234" t="n">
        <v>0</v>
      </c>
      <c r="M234" t="n">
        <v>0</v>
      </c>
      <c r="N234" t="n">
        <v>0</v>
      </c>
      <c r="O234" t="n">
        <v>0</v>
      </c>
      <c r="P234" t="n">
        <v>0</v>
      </c>
      <c r="Q234" t="n">
        <v>0</v>
      </c>
      <c r="R234" s="2" t="inlineStr"/>
    </row>
    <row r="235" ht="15" customHeight="1">
      <c r="A235" t="inlineStr">
        <is>
          <t>A 3271-2021</t>
        </is>
      </c>
      <c r="B235" s="1" t="n">
        <v>44217</v>
      </c>
      <c r="C235" s="1" t="n">
        <v>45986</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64380-2020</t>
        </is>
      </c>
      <c r="B236" s="1" t="n">
        <v>44168.60128472222</v>
      </c>
      <c r="C236" s="1" t="n">
        <v>45986</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2608-2021</t>
        </is>
      </c>
      <c r="B237" s="1" t="n">
        <v>44214</v>
      </c>
      <c r="C237" s="1" t="n">
        <v>45986</v>
      </c>
      <c r="D237" t="inlineStr">
        <is>
          <t>GOTLANDS LÄN</t>
        </is>
      </c>
      <c r="E237" t="inlineStr">
        <is>
          <t>GOTLAND</t>
        </is>
      </c>
      <c r="G237" t="n">
        <v>3.9</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45986</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13498-2022</t>
        </is>
      </c>
      <c r="B239" s="1" t="n">
        <v>44647.78866898148</v>
      </c>
      <c r="C239" s="1" t="n">
        <v>45986</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13500-2022</t>
        </is>
      </c>
      <c r="B240" s="1" t="n">
        <v>44647.79513888889</v>
      </c>
      <c r="C240" s="1" t="n">
        <v>45986</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21507-2021</t>
        </is>
      </c>
      <c r="B241" s="1" t="n">
        <v>44321</v>
      </c>
      <c r="C241" s="1" t="n">
        <v>45986</v>
      </c>
      <c r="D241" t="inlineStr">
        <is>
          <t>GOTLANDS LÄN</t>
        </is>
      </c>
      <c r="E241" t="inlineStr">
        <is>
          <t>GOTLAND</t>
        </is>
      </c>
      <c r="G241" t="n">
        <v>1.1</v>
      </c>
      <c r="H241" t="n">
        <v>0</v>
      </c>
      <c r="I241" t="n">
        <v>0</v>
      </c>
      <c r="J241" t="n">
        <v>0</v>
      </c>
      <c r="K241" t="n">
        <v>0</v>
      </c>
      <c r="L241" t="n">
        <v>0</v>
      </c>
      <c r="M241" t="n">
        <v>0</v>
      </c>
      <c r="N241" t="n">
        <v>0</v>
      </c>
      <c r="O241" t="n">
        <v>0</v>
      </c>
      <c r="P241" t="n">
        <v>0</v>
      </c>
      <c r="Q241" t="n">
        <v>0</v>
      </c>
      <c r="R241" s="2" t="inlineStr"/>
    </row>
    <row r="242" ht="15" customHeight="1">
      <c r="A242" t="inlineStr">
        <is>
          <t>A 57219-2021</t>
        </is>
      </c>
      <c r="B242" s="1" t="n">
        <v>44483</v>
      </c>
      <c r="C242" s="1" t="n">
        <v>45986</v>
      </c>
      <c r="D242" t="inlineStr">
        <is>
          <t>GOTLANDS LÄN</t>
        </is>
      </c>
      <c r="E242" t="inlineStr">
        <is>
          <t>GOTLAND</t>
        </is>
      </c>
      <c r="F242" t="inlineStr">
        <is>
          <t>Kyrkan</t>
        </is>
      </c>
      <c r="G242" t="n">
        <v>4</v>
      </c>
      <c r="H242" t="n">
        <v>0</v>
      </c>
      <c r="I242" t="n">
        <v>0</v>
      </c>
      <c r="J242" t="n">
        <v>0</v>
      </c>
      <c r="K242" t="n">
        <v>0</v>
      </c>
      <c r="L242" t="n">
        <v>0</v>
      </c>
      <c r="M242" t="n">
        <v>0</v>
      </c>
      <c r="N242" t="n">
        <v>0</v>
      </c>
      <c r="O242" t="n">
        <v>0</v>
      </c>
      <c r="P242" t="n">
        <v>0</v>
      </c>
      <c r="Q242" t="n">
        <v>0</v>
      </c>
      <c r="R242" s="2" t="inlineStr"/>
    </row>
    <row r="243" ht="15" customHeight="1">
      <c r="A243" t="inlineStr">
        <is>
          <t>A 456-2023</t>
        </is>
      </c>
      <c r="B243" s="1" t="n">
        <v>44929.87122685185</v>
      </c>
      <c r="C243" s="1" t="n">
        <v>45986</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58476-2022</t>
        </is>
      </c>
      <c r="B244" s="1" t="n">
        <v>44902</v>
      </c>
      <c r="C244" s="1" t="n">
        <v>45986</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61596-2023</t>
        </is>
      </c>
      <c r="B245" s="1" t="n">
        <v>45265</v>
      </c>
      <c r="C245" s="1" t="n">
        <v>45986</v>
      </c>
      <c r="D245" t="inlineStr">
        <is>
          <t>GOTLANDS LÄN</t>
        </is>
      </c>
      <c r="E245" t="inlineStr">
        <is>
          <t>GOTLAND</t>
        </is>
      </c>
      <c r="G245" t="n">
        <v>1.7</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45986</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45986</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17901-2023</t>
        </is>
      </c>
      <c r="B248" s="1" t="n">
        <v>45039</v>
      </c>
      <c r="C248" s="1" t="n">
        <v>45986</v>
      </c>
      <c r="D248" t="inlineStr">
        <is>
          <t>GOTLANDS LÄN</t>
        </is>
      </c>
      <c r="E248" t="inlineStr">
        <is>
          <t>GOTLAND</t>
        </is>
      </c>
      <c r="F248" t="inlineStr">
        <is>
          <t>Kyrkan</t>
        </is>
      </c>
      <c r="G248" t="n">
        <v>0.6</v>
      </c>
      <c r="H248" t="n">
        <v>0</v>
      </c>
      <c r="I248" t="n">
        <v>0</v>
      </c>
      <c r="J248" t="n">
        <v>0</v>
      </c>
      <c r="K248" t="n">
        <v>0</v>
      </c>
      <c r="L248" t="n">
        <v>0</v>
      </c>
      <c r="M248" t="n">
        <v>0</v>
      </c>
      <c r="N248" t="n">
        <v>0</v>
      </c>
      <c r="O248" t="n">
        <v>0</v>
      </c>
      <c r="P248" t="n">
        <v>0</v>
      </c>
      <c r="Q248" t="n">
        <v>0</v>
      </c>
      <c r="R248" s="2" t="inlineStr"/>
    </row>
    <row r="249" ht="15" customHeight="1">
      <c r="A249" t="inlineStr">
        <is>
          <t>A 63229-2021</t>
        </is>
      </c>
      <c r="B249" s="1" t="n">
        <v>44508.34518518519</v>
      </c>
      <c r="C249" s="1" t="n">
        <v>45986</v>
      </c>
      <c r="D249" t="inlineStr">
        <is>
          <t>GOTLANDS LÄN</t>
        </is>
      </c>
      <c r="E249" t="inlineStr">
        <is>
          <t>GOTLAND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61386-2023</t>
        </is>
      </c>
      <c r="B250" s="1" t="n">
        <v>45264</v>
      </c>
      <c r="C250" s="1" t="n">
        <v>45986</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27593-2023</t>
        </is>
      </c>
      <c r="B251" s="1" t="n">
        <v>45097</v>
      </c>
      <c r="C251" s="1" t="n">
        <v>45986</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25129-2023</t>
        </is>
      </c>
      <c r="B252" s="1" t="n">
        <v>45086.44261574074</v>
      </c>
      <c r="C252" s="1" t="n">
        <v>45986</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45986</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21420-2024</t>
        </is>
      </c>
      <c r="B254" s="1" t="n">
        <v>45441.38293981482</v>
      </c>
      <c r="C254" s="1" t="n">
        <v>45986</v>
      </c>
      <c r="D254" t="inlineStr">
        <is>
          <t>GOTLANDS LÄN</t>
        </is>
      </c>
      <c r="E254" t="inlineStr">
        <is>
          <t>GOTLAND</t>
        </is>
      </c>
      <c r="G254" t="n">
        <v>4.1</v>
      </c>
      <c r="H254" t="n">
        <v>0</v>
      </c>
      <c r="I254" t="n">
        <v>0</v>
      </c>
      <c r="J254" t="n">
        <v>0</v>
      </c>
      <c r="K254" t="n">
        <v>0</v>
      </c>
      <c r="L254" t="n">
        <v>0</v>
      </c>
      <c r="M254" t="n">
        <v>0</v>
      </c>
      <c r="N254" t="n">
        <v>0</v>
      </c>
      <c r="O254" t="n">
        <v>0</v>
      </c>
      <c r="P254" t="n">
        <v>0</v>
      </c>
      <c r="Q254" t="n">
        <v>0</v>
      </c>
      <c r="R254" s="2" t="inlineStr"/>
    </row>
    <row r="255" ht="15" customHeight="1">
      <c r="A255" t="inlineStr">
        <is>
          <t>A 10656-2024</t>
        </is>
      </c>
      <c r="B255" s="1" t="n">
        <v>45368</v>
      </c>
      <c r="C255" s="1" t="n">
        <v>45986</v>
      </c>
      <c r="D255" t="inlineStr">
        <is>
          <t>GOTLANDS LÄN</t>
        </is>
      </c>
      <c r="E255" t="inlineStr">
        <is>
          <t>GOTLAND</t>
        </is>
      </c>
      <c r="G255" t="n">
        <v>1.5</v>
      </c>
      <c r="H255" t="n">
        <v>0</v>
      </c>
      <c r="I255" t="n">
        <v>0</v>
      </c>
      <c r="J255" t="n">
        <v>0</v>
      </c>
      <c r="K255" t="n">
        <v>0</v>
      </c>
      <c r="L255" t="n">
        <v>0</v>
      </c>
      <c r="M255" t="n">
        <v>0</v>
      </c>
      <c r="N255" t="n">
        <v>0</v>
      </c>
      <c r="O255" t="n">
        <v>0</v>
      </c>
      <c r="P255" t="n">
        <v>0</v>
      </c>
      <c r="Q255" t="n">
        <v>0</v>
      </c>
      <c r="R255" s="2" t="inlineStr"/>
    </row>
    <row r="256" ht="15" customHeight="1">
      <c r="A256" t="inlineStr">
        <is>
          <t>A 57356-2023</t>
        </is>
      </c>
      <c r="B256" s="1" t="n">
        <v>45240</v>
      </c>
      <c r="C256" s="1" t="n">
        <v>45986</v>
      </c>
      <c r="D256" t="inlineStr">
        <is>
          <t>GOTLANDS LÄN</t>
        </is>
      </c>
      <c r="E256" t="inlineStr">
        <is>
          <t>GOTLAND</t>
        </is>
      </c>
      <c r="G256" t="n">
        <v>6.4</v>
      </c>
      <c r="H256" t="n">
        <v>0</v>
      </c>
      <c r="I256" t="n">
        <v>0</v>
      </c>
      <c r="J256" t="n">
        <v>0</v>
      </c>
      <c r="K256" t="n">
        <v>0</v>
      </c>
      <c r="L256" t="n">
        <v>0</v>
      </c>
      <c r="M256" t="n">
        <v>0</v>
      </c>
      <c r="N256" t="n">
        <v>0</v>
      </c>
      <c r="O256" t="n">
        <v>0</v>
      </c>
      <c r="P256" t="n">
        <v>0</v>
      </c>
      <c r="Q256" t="n">
        <v>0</v>
      </c>
      <c r="R256" s="2" t="inlineStr"/>
    </row>
    <row r="257" ht="15" customHeight="1">
      <c r="A257" t="inlineStr">
        <is>
          <t>A 28506-2023</t>
        </is>
      </c>
      <c r="B257" s="1" t="n">
        <v>45103</v>
      </c>
      <c r="C257" s="1" t="n">
        <v>45986</v>
      </c>
      <c r="D257" t="inlineStr">
        <is>
          <t>GOTLANDS LÄN</t>
        </is>
      </c>
      <c r="E257" t="inlineStr">
        <is>
          <t>GOTLAND</t>
        </is>
      </c>
      <c r="G257" t="n">
        <v>3.2</v>
      </c>
      <c r="H257" t="n">
        <v>0</v>
      </c>
      <c r="I257" t="n">
        <v>0</v>
      </c>
      <c r="J257" t="n">
        <v>0</v>
      </c>
      <c r="K257" t="n">
        <v>0</v>
      </c>
      <c r="L257" t="n">
        <v>0</v>
      </c>
      <c r="M257" t="n">
        <v>0</v>
      </c>
      <c r="N257" t="n">
        <v>0</v>
      </c>
      <c r="O257" t="n">
        <v>0</v>
      </c>
      <c r="P257" t="n">
        <v>0</v>
      </c>
      <c r="Q257" t="n">
        <v>0</v>
      </c>
      <c r="R257" s="2" t="inlineStr"/>
    </row>
    <row r="258" ht="15" customHeight="1">
      <c r="A258" t="inlineStr">
        <is>
          <t>A 2292-2021</t>
        </is>
      </c>
      <c r="B258" s="1" t="n">
        <v>44212</v>
      </c>
      <c r="C258" s="1" t="n">
        <v>45986</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45986</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23188-2025</t>
        </is>
      </c>
      <c r="B260" s="1" t="n">
        <v>45791</v>
      </c>
      <c r="C260" s="1" t="n">
        <v>45986</v>
      </c>
      <c r="D260" t="inlineStr">
        <is>
          <t>GOTLANDS LÄN</t>
        </is>
      </c>
      <c r="E260" t="inlineStr">
        <is>
          <t>GOTLAND</t>
        </is>
      </c>
      <c r="G260" t="n">
        <v>6.2</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45986</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23856-2025</t>
        </is>
      </c>
      <c r="B262" s="1" t="n">
        <v>45793</v>
      </c>
      <c r="C262" s="1" t="n">
        <v>45986</v>
      </c>
      <c r="D262" t="inlineStr">
        <is>
          <t>GOTLANDS LÄN</t>
        </is>
      </c>
      <c r="E262" t="inlineStr">
        <is>
          <t>GOTLAND</t>
        </is>
      </c>
      <c r="G262" t="n">
        <v>4.4</v>
      </c>
      <c r="H262" t="n">
        <v>0</v>
      </c>
      <c r="I262" t="n">
        <v>0</v>
      </c>
      <c r="J262" t="n">
        <v>0</v>
      </c>
      <c r="K262" t="n">
        <v>0</v>
      </c>
      <c r="L262" t="n">
        <v>0</v>
      </c>
      <c r="M262" t="n">
        <v>0</v>
      </c>
      <c r="N262" t="n">
        <v>0</v>
      </c>
      <c r="O262" t="n">
        <v>0</v>
      </c>
      <c r="P262" t="n">
        <v>0</v>
      </c>
      <c r="Q262" t="n">
        <v>0</v>
      </c>
      <c r="R262" s="2" t="inlineStr"/>
    </row>
    <row r="263" ht="15" customHeight="1">
      <c r="A263" t="inlineStr">
        <is>
          <t>A 23473-2025</t>
        </is>
      </c>
      <c r="B263" s="1" t="n">
        <v>45792</v>
      </c>
      <c r="C263" s="1" t="n">
        <v>45986</v>
      </c>
      <c r="D263" t="inlineStr">
        <is>
          <t>GOTLANDS LÄN</t>
        </is>
      </c>
      <c r="E263" t="inlineStr">
        <is>
          <t>GOTLAND</t>
        </is>
      </c>
      <c r="G263" t="n">
        <v>3.6</v>
      </c>
      <c r="H263" t="n">
        <v>0</v>
      </c>
      <c r="I263" t="n">
        <v>0</v>
      </c>
      <c r="J263" t="n">
        <v>0</v>
      </c>
      <c r="K263" t="n">
        <v>0</v>
      </c>
      <c r="L263" t="n">
        <v>0</v>
      </c>
      <c r="M263" t="n">
        <v>0</v>
      </c>
      <c r="N263" t="n">
        <v>0</v>
      </c>
      <c r="O263" t="n">
        <v>0</v>
      </c>
      <c r="P263" t="n">
        <v>0</v>
      </c>
      <c r="Q263" t="n">
        <v>0</v>
      </c>
      <c r="R263" s="2" t="inlineStr"/>
    </row>
    <row r="264" ht="15" customHeight="1">
      <c r="A264" t="inlineStr">
        <is>
          <t>A 39849-2025</t>
        </is>
      </c>
      <c r="B264" s="1" t="n">
        <v>45891.58502314815</v>
      </c>
      <c r="C264" s="1" t="n">
        <v>45986</v>
      </c>
      <c r="D264" t="inlineStr">
        <is>
          <t>GOTLANDS LÄN</t>
        </is>
      </c>
      <c r="E264" t="inlineStr">
        <is>
          <t>GOTLAND</t>
        </is>
      </c>
      <c r="G264" t="n">
        <v>6.1</v>
      </c>
      <c r="H264" t="n">
        <v>0</v>
      </c>
      <c r="I264" t="n">
        <v>0</v>
      </c>
      <c r="J264" t="n">
        <v>0</v>
      </c>
      <c r="K264" t="n">
        <v>0</v>
      </c>
      <c r="L264" t="n">
        <v>0</v>
      </c>
      <c r="M264" t="n">
        <v>0</v>
      </c>
      <c r="N264" t="n">
        <v>0</v>
      </c>
      <c r="O264" t="n">
        <v>0</v>
      </c>
      <c r="P264" t="n">
        <v>0</v>
      </c>
      <c r="Q264" t="n">
        <v>0</v>
      </c>
      <c r="R264" s="2" t="inlineStr"/>
    </row>
    <row r="265" ht="15" customHeight="1">
      <c r="A265" t="inlineStr">
        <is>
          <t>A 23698-2025</t>
        </is>
      </c>
      <c r="B265" s="1" t="n">
        <v>45793</v>
      </c>
      <c r="C265" s="1" t="n">
        <v>45986</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15073-2025</t>
        </is>
      </c>
      <c r="B266" s="1" t="n">
        <v>45743</v>
      </c>
      <c r="C266" s="1" t="n">
        <v>45986</v>
      </c>
      <c r="D266" t="inlineStr">
        <is>
          <t>GOTLANDS LÄN</t>
        </is>
      </c>
      <c r="E266" t="inlineStr">
        <is>
          <t>GOTLAND</t>
        </is>
      </c>
      <c r="G266" t="n">
        <v>12.1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45986</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45986</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45986</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45986</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45986</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45986</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6749-2025</t>
        </is>
      </c>
      <c r="B273" s="1" t="n">
        <v>45700</v>
      </c>
      <c r="C273" s="1" t="n">
        <v>45986</v>
      </c>
      <c r="D273" t="inlineStr">
        <is>
          <t>GOTLANDS LÄN</t>
        </is>
      </c>
      <c r="E273" t="inlineStr">
        <is>
          <t>GOTLAND</t>
        </is>
      </c>
      <c r="G273" t="n">
        <v>4.5</v>
      </c>
      <c r="H273" t="n">
        <v>0</v>
      </c>
      <c r="I273" t="n">
        <v>0</v>
      </c>
      <c r="J273" t="n">
        <v>0</v>
      </c>
      <c r="K273" t="n">
        <v>0</v>
      </c>
      <c r="L273" t="n">
        <v>0</v>
      </c>
      <c r="M273" t="n">
        <v>0</v>
      </c>
      <c r="N273" t="n">
        <v>0</v>
      </c>
      <c r="O273" t="n">
        <v>0</v>
      </c>
      <c r="P273" t="n">
        <v>0</v>
      </c>
      <c r="Q273" t="n">
        <v>0</v>
      </c>
      <c r="R273" s="2" t="inlineStr"/>
    </row>
    <row r="274" ht="15" customHeight="1">
      <c r="A274" t="inlineStr">
        <is>
          <t>A 40103-2025</t>
        </is>
      </c>
      <c r="B274" s="1" t="n">
        <v>45894.4880324074</v>
      </c>
      <c r="C274" s="1" t="n">
        <v>45986</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38649-2025</t>
        </is>
      </c>
      <c r="B275" s="1" t="n">
        <v>45884</v>
      </c>
      <c r="C275" s="1" t="n">
        <v>45986</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5462-2025</t>
        </is>
      </c>
      <c r="B276" s="1" t="n">
        <v>45693.29331018519</v>
      </c>
      <c r="C276" s="1" t="n">
        <v>45986</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40499-2025</t>
        </is>
      </c>
      <c r="B277" s="1" t="n">
        <v>45896.32517361111</v>
      </c>
      <c r="C277" s="1" t="n">
        <v>45986</v>
      </c>
      <c r="D277" t="inlineStr">
        <is>
          <t>GOTLANDS LÄN</t>
        </is>
      </c>
      <c r="E277" t="inlineStr">
        <is>
          <t>GOTLAND</t>
        </is>
      </c>
      <c r="G277" t="n">
        <v>2.6</v>
      </c>
      <c r="H277" t="n">
        <v>0</v>
      </c>
      <c r="I277" t="n">
        <v>0</v>
      </c>
      <c r="J277" t="n">
        <v>0</v>
      </c>
      <c r="K277" t="n">
        <v>0</v>
      </c>
      <c r="L277" t="n">
        <v>0</v>
      </c>
      <c r="M277" t="n">
        <v>0</v>
      </c>
      <c r="N277" t="n">
        <v>0</v>
      </c>
      <c r="O277" t="n">
        <v>0</v>
      </c>
      <c r="P277" t="n">
        <v>0</v>
      </c>
      <c r="Q277" t="n">
        <v>0</v>
      </c>
      <c r="R277" s="2" t="inlineStr"/>
    </row>
    <row r="278" ht="15" customHeight="1">
      <c r="A278" t="inlineStr">
        <is>
          <t>A 41551-2025</t>
        </is>
      </c>
      <c r="B278" s="1" t="n">
        <v>45901.58854166666</v>
      </c>
      <c r="C278" s="1" t="n">
        <v>45986</v>
      </c>
      <c r="D278" t="inlineStr">
        <is>
          <t>GOTLANDS LÄN</t>
        </is>
      </c>
      <c r="E278" t="inlineStr">
        <is>
          <t>GOTLAND</t>
        </is>
      </c>
      <c r="G278" t="n">
        <v>5.6</v>
      </c>
      <c r="H278" t="n">
        <v>0</v>
      </c>
      <c r="I278" t="n">
        <v>0</v>
      </c>
      <c r="J278" t="n">
        <v>0</v>
      </c>
      <c r="K278" t="n">
        <v>0</v>
      </c>
      <c r="L278" t="n">
        <v>0</v>
      </c>
      <c r="M278" t="n">
        <v>0</v>
      </c>
      <c r="N278" t="n">
        <v>0</v>
      </c>
      <c r="O278" t="n">
        <v>0</v>
      </c>
      <c r="P278" t="n">
        <v>0</v>
      </c>
      <c r="Q278" t="n">
        <v>0</v>
      </c>
      <c r="R278" s="2" t="inlineStr"/>
    </row>
    <row r="279" ht="15" customHeight="1">
      <c r="A279" t="inlineStr">
        <is>
          <t>A 39278-2025</t>
        </is>
      </c>
      <c r="B279" s="1" t="n">
        <v>45889</v>
      </c>
      <c r="C279" s="1" t="n">
        <v>45986</v>
      </c>
      <c r="D279" t="inlineStr">
        <is>
          <t>GOTLANDS LÄN</t>
        </is>
      </c>
      <c r="E279" t="inlineStr">
        <is>
          <t>GOTLAND</t>
        </is>
      </c>
      <c r="G279" t="n">
        <v>3.7</v>
      </c>
      <c r="H279" t="n">
        <v>0</v>
      </c>
      <c r="I279" t="n">
        <v>0</v>
      </c>
      <c r="J279" t="n">
        <v>0</v>
      </c>
      <c r="K279" t="n">
        <v>0</v>
      </c>
      <c r="L279" t="n">
        <v>0</v>
      </c>
      <c r="M279" t="n">
        <v>0</v>
      </c>
      <c r="N279" t="n">
        <v>0</v>
      </c>
      <c r="O279" t="n">
        <v>0</v>
      </c>
      <c r="P279" t="n">
        <v>0</v>
      </c>
      <c r="Q279" t="n">
        <v>0</v>
      </c>
      <c r="R279" s="2" t="inlineStr"/>
    </row>
    <row r="280" ht="15" customHeight="1">
      <c r="A280" t="inlineStr">
        <is>
          <t>A 41435-2025</t>
        </is>
      </c>
      <c r="B280" s="1" t="n">
        <v>45901.39974537037</v>
      </c>
      <c r="C280" s="1" t="n">
        <v>45986</v>
      </c>
      <c r="D280" t="inlineStr">
        <is>
          <t>GOTLANDS LÄN</t>
        </is>
      </c>
      <c r="E280" t="inlineStr">
        <is>
          <t>GOTLAND</t>
        </is>
      </c>
      <c r="G280" t="n">
        <v>4.9</v>
      </c>
      <c r="H280" t="n">
        <v>0</v>
      </c>
      <c r="I280" t="n">
        <v>0</v>
      </c>
      <c r="J280" t="n">
        <v>0</v>
      </c>
      <c r="K280" t="n">
        <v>0</v>
      </c>
      <c r="L280" t="n">
        <v>0</v>
      </c>
      <c r="M280" t="n">
        <v>0</v>
      </c>
      <c r="N280" t="n">
        <v>0</v>
      </c>
      <c r="O280" t="n">
        <v>0</v>
      </c>
      <c r="P280" t="n">
        <v>0</v>
      </c>
      <c r="Q280" t="n">
        <v>0</v>
      </c>
      <c r="R280" s="2" t="inlineStr"/>
    </row>
    <row r="281" ht="15" customHeight="1">
      <c r="A281" t="inlineStr">
        <is>
          <t>A 50421-2025</t>
        </is>
      </c>
      <c r="B281" s="1" t="n">
        <v>45944.66049768519</v>
      </c>
      <c r="C281" s="1" t="n">
        <v>45986</v>
      </c>
      <c r="D281" t="inlineStr">
        <is>
          <t>GOTLANDS LÄN</t>
        </is>
      </c>
      <c r="E281" t="inlineStr">
        <is>
          <t>GOTLAND</t>
        </is>
      </c>
      <c r="G281" t="n">
        <v>3.9</v>
      </c>
      <c r="H281" t="n">
        <v>0</v>
      </c>
      <c r="I281" t="n">
        <v>0</v>
      </c>
      <c r="J281" t="n">
        <v>0</v>
      </c>
      <c r="K281" t="n">
        <v>0</v>
      </c>
      <c r="L281" t="n">
        <v>0</v>
      </c>
      <c r="M281" t="n">
        <v>0</v>
      </c>
      <c r="N281" t="n">
        <v>0</v>
      </c>
      <c r="O281" t="n">
        <v>0</v>
      </c>
      <c r="P281" t="n">
        <v>0</v>
      </c>
      <c r="Q281" t="n">
        <v>0</v>
      </c>
      <c r="R281" s="2" t="inlineStr"/>
    </row>
    <row r="282" ht="15" customHeight="1">
      <c r="A282" t="inlineStr">
        <is>
          <t>A 56009-2024</t>
        </is>
      </c>
      <c r="B282" s="1" t="n">
        <v>45623.80864583333</v>
      </c>
      <c r="C282" s="1" t="n">
        <v>45986</v>
      </c>
      <c r="D282" t="inlineStr">
        <is>
          <t>GOTLANDS LÄN</t>
        </is>
      </c>
      <c r="E282" t="inlineStr">
        <is>
          <t>GOTLAND</t>
        </is>
      </c>
      <c r="G282" t="n">
        <v>2.8</v>
      </c>
      <c r="H282" t="n">
        <v>0</v>
      </c>
      <c r="I282" t="n">
        <v>0</v>
      </c>
      <c r="J282" t="n">
        <v>0</v>
      </c>
      <c r="K282" t="n">
        <v>0</v>
      </c>
      <c r="L282" t="n">
        <v>0</v>
      </c>
      <c r="M282" t="n">
        <v>0</v>
      </c>
      <c r="N282" t="n">
        <v>0</v>
      </c>
      <c r="O282" t="n">
        <v>0</v>
      </c>
      <c r="P282" t="n">
        <v>0</v>
      </c>
      <c r="Q282" t="n">
        <v>0</v>
      </c>
      <c r="R282" s="2" t="inlineStr"/>
    </row>
    <row r="283" ht="15" customHeight="1">
      <c r="A283" t="inlineStr">
        <is>
          <t>A 54073-2022</t>
        </is>
      </c>
      <c r="B283" s="1" t="n">
        <v>44881.50380787037</v>
      </c>
      <c r="C283" s="1" t="n">
        <v>45986</v>
      </c>
      <c r="D283" t="inlineStr">
        <is>
          <t>GOTLANDS LÄN</t>
        </is>
      </c>
      <c r="E283" t="inlineStr">
        <is>
          <t>GOTLAND</t>
        </is>
      </c>
      <c r="G283" t="n">
        <v>3.8</v>
      </c>
      <c r="H283" t="n">
        <v>0</v>
      </c>
      <c r="I283" t="n">
        <v>0</v>
      </c>
      <c r="J283" t="n">
        <v>0</v>
      </c>
      <c r="K283" t="n">
        <v>0</v>
      </c>
      <c r="L283" t="n">
        <v>0</v>
      </c>
      <c r="M283" t="n">
        <v>0</v>
      </c>
      <c r="N283" t="n">
        <v>0</v>
      </c>
      <c r="O283" t="n">
        <v>0</v>
      </c>
      <c r="P283" t="n">
        <v>0</v>
      </c>
      <c r="Q283" t="n">
        <v>0</v>
      </c>
      <c r="R283" s="2" t="inlineStr"/>
    </row>
    <row r="284" ht="15" customHeight="1">
      <c r="A284" t="inlineStr">
        <is>
          <t>A 50431-2025</t>
        </is>
      </c>
      <c r="B284" s="1" t="n">
        <v>45944.68453703704</v>
      </c>
      <c r="C284" s="1" t="n">
        <v>45986</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3964-2024</t>
        </is>
      </c>
      <c r="B285" s="1" t="n">
        <v>45322</v>
      </c>
      <c r="C285" s="1" t="n">
        <v>45986</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45106-2024</t>
        </is>
      </c>
      <c r="B286" s="1" t="n">
        <v>45575</v>
      </c>
      <c r="C286" s="1" t="n">
        <v>45986</v>
      </c>
      <c r="D286" t="inlineStr">
        <is>
          <t>GOTLANDS LÄN</t>
        </is>
      </c>
      <c r="E286" t="inlineStr">
        <is>
          <t>GOTLAND</t>
        </is>
      </c>
      <c r="G286" t="n">
        <v>10</v>
      </c>
      <c r="H286" t="n">
        <v>0</v>
      </c>
      <c r="I286" t="n">
        <v>0</v>
      </c>
      <c r="J286" t="n">
        <v>0</v>
      </c>
      <c r="K286" t="n">
        <v>0</v>
      </c>
      <c r="L286" t="n">
        <v>0</v>
      </c>
      <c r="M286" t="n">
        <v>0</v>
      </c>
      <c r="N286" t="n">
        <v>0</v>
      </c>
      <c r="O286" t="n">
        <v>0</v>
      </c>
      <c r="P286" t="n">
        <v>0</v>
      </c>
      <c r="Q286" t="n">
        <v>0</v>
      </c>
      <c r="R286" s="2" t="inlineStr"/>
    </row>
    <row r="287" ht="15" customHeight="1">
      <c r="A287" t="inlineStr">
        <is>
          <t>A 45112-2024</t>
        </is>
      </c>
      <c r="B287" s="1" t="n">
        <v>45575</v>
      </c>
      <c r="C287" s="1" t="n">
        <v>45986</v>
      </c>
      <c r="D287" t="inlineStr">
        <is>
          <t>GOTLANDS LÄN</t>
        </is>
      </c>
      <c r="E287" t="inlineStr">
        <is>
          <t>GOTLAND</t>
        </is>
      </c>
      <c r="G287" t="n">
        <v>5.1</v>
      </c>
      <c r="H287" t="n">
        <v>0</v>
      </c>
      <c r="I287" t="n">
        <v>0</v>
      </c>
      <c r="J287" t="n">
        <v>0</v>
      </c>
      <c r="K287" t="n">
        <v>0</v>
      </c>
      <c r="L287" t="n">
        <v>0</v>
      </c>
      <c r="M287" t="n">
        <v>0</v>
      </c>
      <c r="N287" t="n">
        <v>0</v>
      </c>
      <c r="O287" t="n">
        <v>0</v>
      </c>
      <c r="P287" t="n">
        <v>0</v>
      </c>
      <c r="Q287" t="n">
        <v>0</v>
      </c>
      <c r="R287" s="2" t="inlineStr"/>
    </row>
    <row r="288" ht="15" customHeight="1">
      <c r="A288" t="inlineStr">
        <is>
          <t>A 7026-2023</t>
        </is>
      </c>
      <c r="B288" s="1" t="n">
        <v>44968.30340277778</v>
      </c>
      <c r="C288" s="1" t="n">
        <v>45986</v>
      </c>
      <c r="D288" t="inlineStr">
        <is>
          <t>GOTLANDS LÄN</t>
        </is>
      </c>
      <c r="E288" t="inlineStr">
        <is>
          <t>GOTLAND</t>
        </is>
      </c>
      <c r="G288" t="n">
        <v>2.9</v>
      </c>
      <c r="H288" t="n">
        <v>0</v>
      </c>
      <c r="I288" t="n">
        <v>0</v>
      </c>
      <c r="J288" t="n">
        <v>0</v>
      </c>
      <c r="K288" t="n">
        <v>0</v>
      </c>
      <c r="L288" t="n">
        <v>0</v>
      </c>
      <c r="M288" t="n">
        <v>0</v>
      </c>
      <c r="N288" t="n">
        <v>0</v>
      </c>
      <c r="O288" t="n">
        <v>0</v>
      </c>
      <c r="P288" t="n">
        <v>0</v>
      </c>
      <c r="Q288" t="n">
        <v>0</v>
      </c>
      <c r="R288" s="2" t="inlineStr"/>
    </row>
    <row r="289" ht="15" customHeight="1">
      <c r="A289" t="inlineStr">
        <is>
          <t>A 25796-2025</t>
        </is>
      </c>
      <c r="B289" s="1" t="n">
        <v>45804.39543981481</v>
      </c>
      <c r="C289" s="1" t="n">
        <v>45986</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52892-2021</t>
        </is>
      </c>
      <c r="B290" s="1" t="n">
        <v>44467.49048611111</v>
      </c>
      <c r="C290" s="1" t="n">
        <v>45986</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50928-2025</t>
        </is>
      </c>
      <c r="B291" s="1" t="n">
        <v>45946.67896990741</v>
      </c>
      <c r="C291" s="1" t="n">
        <v>45986</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1351-2025</t>
        </is>
      </c>
      <c r="B292" s="1" t="n">
        <v>45667.62246527777</v>
      </c>
      <c r="C292" s="1" t="n">
        <v>45986</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42608-2025</t>
        </is>
      </c>
      <c r="B293" s="1" t="n">
        <v>45905</v>
      </c>
      <c r="C293" s="1" t="n">
        <v>45986</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49874-2024</t>
        </is>
      </c>
      <c r="B294" s="1" t="n">
        <v>45597.49274305555</v>
      </c>
      <c r="C294" s="1" t="n">
        <v>45986</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16373-2025</t>
        </is>
      </c>
      <c r="B295" s="1" t="n">
        <v>45751</v>
      </c>
      <c r="C295" s="1" t="n">
        <v>45986</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51262-2025</t>
        </is>
      </c>
      <c r="B296" s="1" t="n">
        <v>45949.49872685185</v>
      </c>
      <c r="C296" s="1" t="n">
        <v>45986</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45986</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45986</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26467-2025</t>
        </is>
      </c>
      <c r="B299" s="1" t="n">
        <v>45807.44640046296</v>
      </c>
      <c r="C299" s="1" t="n">
        <v>45986</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51782-2023</t>
        </is>
      </c>
      <c r="B300" s="1" t="n">
        <v>45222.80952546297</v>
      </c>
      <c r="C300" s="1" t="n">
        <v>45986</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60675-2021</t>
        </is>
      </c>
      <c r="B301" s="1" t="n">
        <v>44496.64855324074</v>
      </c>
      <c r="C301" s="1" t="n">
        <v>45986</v>
      </c>
      <c r="D301" t="inlineStr">
        <is>
          <t>GOTLANDS LÄN</t>
        </is>
      </c>
      <c r="E301" t="inlineStr">
        <is>
          <t>GOTLAND</t>
        </is>
      </c>
      <c r="G301" t="n">
        <v>4.6</v>
      </c>
      <c r="H301" t="n">
        <v>0</v>
      </c>
      <c r="I301" t="n">
        <v>0</v>
      </c>
      <c r="J301" t="n">
        <v>0</v>
      </c>
      <c r="K301" t="n">
        <v>0</v>
      </c>
      <c r="L301" t="n">
        <v>0</v>
      </c>
      <c r="M301" t="n">
        <v>0</v>
      </c>
      <c r="N301" t="n">
        <v>0</v>
      </c>
      <c r="O301" t="n">
        <v>0</v>
      </c>
      <c r="P301" t="n">
        <v>0</v>
      </c>
      <c r="Q301" t="n">
        <v>0</v>
      </c>
      <c r="R301" s="2" t="inlineStr"/>
    </row>
    <row r="302" ht="15" customHeight="1">
      <c r="A302" t="inlineStr">
        <is>
          <t>A 5217-2023</t>
        </is>
      </c>
      <c r="B302" s="1" t="n">
        <v>44959.39582175926</v>
      </c>
      <c r="C302" s="1" t="n">
        <v>45986</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14638-2025</t>
        </is>
      </c>
      <c r="B303" s="1" t="n">
        <v>45742</v>
      </c>
      <c r="C303" s="1" t="n">
        <v>45986</v>
      </c>
      <c r="D303" t="inlineStr">
        <is>
          <t>GOTLANDS LÄN</t>
        </is>
      </c>
      <c r="E303" t="inlineStr">
        <is>
          <t>GOTLAND</t>
        </is>
      </c>
      <c r="G303" t="n">
        <v>13.4</v>
      </c>
      <c r="H303" t="n">
        <v>0</v>
      </c>
      <c r="I303" t="n">
        <v>0</v>
      </c>
      <c r="J303" t="n">
        <v>0</v>
      </c>
      <c r="K303" t="n">
        <v>0</v>
      </c>
      <c r="L303" t="n">
        <v>0</v>
      </c>
      <c r="M303" t="n">
        <v>0</v>
      </c>
      <c r="N303" t="n">
        <v>0</v>
      </c>
      <c r="O303" t="n">
        <v>0</v>
      </c>
      <c r="P303" t="n">
        <v>0</v>
      </c>
      <c r="Q303" t="n">
        <v>0</v>
      </c>
      <c r="R303" s="2" t="inlineStr"/>
    </row>
    <row r="304" ht="15" customHeight="1">
      <c r="A304" t="inlineStr">
        <is>
          <t>A 4421-2024</t>
        </is>
      </c>
      <c r="B304" s="1" t="n">
        <v>45327.45173611111</v>
      </c>
      <c r="C304" s="1" t="n">
        <v>45986</v>
      </c>
      <c r="D304" t="inlineStr">
        <is>
          <t>GOTLANDS LÄN</t>
        </is>
      </c>
      <c r="E304" t="inlineStr">
        <is>
          <t>GOTLAND</t>
        </is>
      </c>
      <c r="G304" t="n">
        <v>5.1</v>
      </c>
      <c r="H304" t="n">
        <v>0</v>
      </c>
      <c r="I304" t="n">
        <v>0</v>
      </c>
      <c r="J304" t="n">
        <v>0</v>
      </c>
      <c r="K304" t="n">
        <v>0</v>
      </c>
      <c r="L304" t="n">
        <v>0</v>
      </c>
      <c r="M304" t="n">
        <v>0</v>
      </c>
      <c r="N304" t="n">
        <v>0</v>
      </c>
      <c r="O304" t="n">
        <v>0</v>
      </c>
      <c r="P304" t="n">
        <v>0</v>
      </c>
      <c r="Q304" t="n">
        <v>0</v>
      </c>
      <c r="R304" s="2" t="inlineStr"/>
    </row>
    <row r="305" ht="15" customHeight="1">
      <c r="A305" t="inlineStr">
        <is>
          <t>A 20165-2022</t>
        </is>
      </c>
      <c r="B305" s="1" t="n">
        <v>44698.49854166667</v>
      </c>
      <c r="C305" s="1" t="n">
        <v>45986</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10158-2025</t>
        </is>
      </c>
      <c r="B306" s="1" t="n">
        <v>45719</v>
      </c>
      <c r="C306" s="1" t="n">
        <v>45986</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31264-2021</t>
        </is>
      </c>
      <c r="B307" s="1" t="n">
        <v>44368</v>
      </c>
      <c r="C307" s="1" t="n">
        <v>45986</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52249-2025</t>
        </is>
      </c>
      <c r="B308" s="1" t="n">
        <v>45953.48637731482</v>
      </c>
      <c r="C308" s="1" t="n">
        <v>45986</v>
      </c>
      <c r="D308" t="inlineStr">
        <is>
          <t>GOTLANDS LÄN</t>
        </is>
      </c>
      <c r="E308" t="inlineStr">
        <is>
          <t>GOTLAND</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33876-2024</t>
        </is>
      </c>
      <c r="B309" s="1" t="n">
        <v>45521.87988425926</v>
      </c>
      <c r="C309" s="1" t="n">
        <v>45986</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26660-2025</t>
        </is>
      </c>
      <c r="B310" s="1" t="n">
        <v>45810.39737268518</v>
      </c>
      <c r="C310" s="1" t="n">
        <v>45986</v>
      </c>
      <c r="D310" t="inlineStr">
        <is>
          <t>GOTLANDS LÄN</t>
        </is>
      </c>
      <c r="E310" t="inlineStr">
        <is>
          <t>GOTLAND</t>
        </is>
      </c>
      <c r="G310" t="n">
        <v>1.8</v>
      </c>
      <c r="H310" t="n">
        <v>0</v>
      </c>
      <c r="I310" t="n">
        <v>0</v>
      </c>
      <c r="J310" t="n">
        <v>0</v>
      </c>
      <c r="K310" t="n">
        <v>0</v>
      </c>
      <c r="L310" t="n">
        <v>0</v>
      </c>
      <c r="M310" t="n">
        <v>0</v>
      </c>
      <c r="N310" t="n">
        <v>0</v>
      </c>
      <c r="O310" t="n">
        <v>0</v>
      </c>
      <c r="P310" t="n">
        <v>0</v>
      </c>
      <c r="Q310" t="n">
        <v>0</v>
      </c>
      <c r="R310" s="2" t="inlineStr"/>
    </row>
    <row r="311" ht="15" customHeight="1">
      <c r="A311" t="inlineStr">
        <is>
          <t>A 43223-2023</t>
        </is>
      </c>
      <c r="B311" s="1" t="n">
        <v>45183.45642361111</v>
      </c>
      <c r="C311" s="1" t="n">
        <v>45986</v>
      </c>
      <c r="D311" t="inlineStr">
        <is>
          <t>GOTLANDS LÄN</t>
        </is>
      </c>
      <c r="E311" t="inlineStr">
        <is>
          <t>GOTLAND</t>
        </is>
      </c>
      <c r="G311" t="n">
        <v>1.8</v>
      </c>
      <c r="H311" t="n">
        <v>0</v>
      </c>
      <c r="I311" t="n">
        <v>0</v>
      </c>
      <c r="J311" t="n">
        <v>0</v>
      </c>
      <c r="K311" t="n">
        <v>0</v>
      </c>
      <c r="L311" t="n">
        <v>0</v>
      </c>
      <c r="M311" t="n">
        <v>0</v>
      </c>
      <c r="N311" t="n">
        <v>0</v>
      </c>
      <c r="O311" t="n">
        <v>0</v>
      </c>
      <c r="P311" t="n">
        <v>0</v>
      </c>
      <c r="Q311" t="n">
        <v>0</v>
      </c>
      <c r="R311" s="2" t="inlineStr"/>
    </row>
    <row r="312" ht="15" customHeight="1">
      <c r="A312" t="inlineStr">
        <is>
          <t>A 61962-2024</t>
        </is>
      </c>
      <c r="B312" s="1" t="n">
        <v>45653.54340277778</v>
      </c>
      <c r="C312" s="1" t="n">
        <v>45986</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45986</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27930-2021</t>
        </is>
      </c>
      <c r="B314" s="1" t="n">
        <v>44354</v>
      </c>
      <c r="C314" s="1" t="n">
        <v>45986</v>
      </c>
      <c r="D314" t="inlineStr">
        <is>
          <t>GOTLANDS LÄN</t>
        </is>
      </c>
      <c r="E314" t="inlineStr">
        <is>
          <t>GOTLAND</t>
        </is>
      </c>
      <c r="G314" t="n">
        <v>2.5</v>
      </c>
      <c r="H314" t="n">
        <v>0</v>
      </c>
      <c r="I314" t="n">
        <v>0</v>
      </c>
      <c r="J314" t="n">
        <v>0</v>
      </c>
      <c r="K314" t="n">
        <v>0</v>
      </c>
      <c r="L314" t="n">
        <v>0</v>
      </c>
      <c r="M314" t="n">
        <v>0</v>
      </c>
      <c r="N314" t="n">
        <v>0</v>
      </c>
      <c r="O314" t="n">
        <v>0</v>
      </c>
      <c r="P314" t="n">
        <v>0</v>
      </c>
      <c r="Q314" t="n">
        <v>0</v>
      </c>
      <c r="R314" s="2" t="inlineStr"/>
    </row>
    <row r="315" ht="15" customHeight="1">
      <c r="A315" t="inlineStr">
        <is>
          <t>A 59469-2024</t>
        </is>
      </c>
      <c r="B315" s="1" t="n">
        <v>45638</v>
      </c>
      <c r="C315" s="1" t="n">
        <v>45986</v>
      </c>
      <c r="D315" t="inlineStr">
        <is>
          <t>GOTLANDS LÄN</t>
        </is>
      </c>
      <c r="E315" t="inlineStr">
        <is>
          <t>GOTLAND</t>
        </is>
      </c>
      <c r="G315" t="n">
        <v>0.4</v>
      </c>
      <c r="H315" t="n">
        <v>0</v>
      </c>
      <c r="I315" t="n">
        <v>0</v>
      </c>
      <c r="J315" t="n">
        <v>0</v>
      </c>
      <c r="K315" t="n">
        <v>0</v>
      </c>
      <c r="L315" t="n">
        <v>0</v>
      </c>
      <c r="M315" t="n">
        <v>0</v>
      </c>
      <c r="N315" t="n">
        <v>0</v>
      </c>
      <c r="O315" t="n">
        <v>0</v>
      </c>
      <c r="P315" t="n">
        <v>0</v>
      </c>
      <c r="Q315" t="n">
        <v>0</v>
      </c>
      <c r="R315" s="2" t="inlineStr"/>
    </row>
    <row r="316" ht="15" customHeight="1">
      <c r="A316" t="inlineStr">
        <is>
          <t>A 27355-2025</t>
        </is>
      </c>
      <c r="B316" s="1" t="n">
        <v>45812</v>
      </c>
      <c r="C316" s="1" t="n">
        <v>45986</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27371-2025</t>
        </is>
      </c>
      <c r="B317" s="1" t="n">
        <v>45812</v>
      </c>
      <c r="C317" s="1" t="n">
        <v>45986</v>
      </c>
      <c r="D317" t="inlineStr">
        <is>
          <t>GOTLANDS LÄN</t>
        </is>
      </c>
      <c r="E317" t="inlineStr">
        <is>
          <t>GOTLAND</t>
        </is>
      </c>
      <c r="G317" t="n">
        <v>8</v>
      </c>
      <c r="H317" t="n">
        <v>0</v>
      </c>
      <c r="I317" t="n">
        <v>0</v>
      </c>
      <c r="J317" t="n">
        <v>0</v>
      </c>
      <c r="K317" t="n">
        <v>0</v>
      </c>
      <c r="L317" t="n">
        <v>0</v>
      </c>
      <c r="M317" t="n">
        <v>0</v>
      </c>
      <c r="N317" t="n">
        <v>0</v>
      </c>
      <c r="O317" t="n">
        <v>0</v>
      </c>
      <c r="P317" t="n">
        <v>0</v>
      </c>
      <c r="Q317" t="n">
        <v>0</v>
      </c>
      <c r="R317" s="2" t="inlineStr"/>
    </row>
    <row r="318" ht="15" customHeight="1">
      <c r="A318" t="inlineStr">
        <is>
          <t>A 5751-2024</t>
        </is>
      </c>
      <c r="B318" s="1" t="n">
        <v>45335.32702546296</v>
      </c>
      <c r="C318" s="1" t="n">
        <v>45986</v>
      </c>
      <c r="D318" t="inlineStr">
        <is>
          <t>GOTLANDS LÄN</t>
        </is>
      </c>
      <c r="E318" t="inlineStr">
        <is>
          <t>GOTLAND</t>
        </is>
      </c>
      <c r="G318" t="n">
        <v>4.2</v>
      </c>
      <c r="H318" t="n">
        <v>0</v>
      </c>
      <c r="I318" t="n">
        <v>0</v>
      </c>
      <c r="J318" t="n">
        <v>0</v>
      </c>
      <c r="K318" t="n">
        <v>0</v>
      </c>
      <c r="L318" t="n">
        <v>0</v>
      </c>
      <c r="M318" t="n">
        <v>0</v>
      </c>
      <c r="N318" t="n">
        <v>0</v>
      </c>
      <c r="O318" t="n">
        <v>0</v>
      </c>
      <c r="P318" t="n">
        <v>0</v>
      </c>
      <c r="Q318" t="n">
        <v>0</v>
      </c>
      <c r="R318" s="2" t="inlineStr"/>
    </row>
    <row r="319" ht="15" customHeight="1">
      <c r="A319" t="inlineStr">
        <is>
          <t>A 6696-2023</t>
        </is>
      </c>
      <c r="B319" s="1" t="n">
        <v>44966.66425925926</v>
      </c>
      <c r="C319" s="1" t="n">
        <v>45986</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28480-2023</t>
        </is>
      </c>
      <c r="B320" s="1" t="n">
        <v>45103</v>
      </c>
      <c r="C320" s="1" t="n">
        <v>45986</v>
      </c>
      <c r="D320" t="inlineStr">
        <is>
          <t>GOTLANDS LÄN</t>
        </is>
      </c>
      <c r="E320" t="inlineStr">
        <is>
          <t>GOTLAND</t>
        </is>
      </c>
      <c r="G320" t="n">
        <v>5.7</v>
      </c>
      <c r="H320" t="n">
        <v>0</v>
      </c>
      <c r="I320" t="n">
        <v>0</v>
      </c>
      <c r="J320" t="n">
        <v>0</v>
      </c>
      <c r="K320" t="n">
        <v>0</v>
      </c>
      <c r="L320" t="n">
        <v>0</v>
      </c>
      <c r="M320" t="n">
        <v>0</v>
      </c>
      <c r="N320" t="n">
        <v>0</v>
      </c>
      <c r="O320" t="n">
        <v>0</v>
      </c>
      <c r="P320" t="n">
        <v>0</v>
      </c>
      <c r="Q320" t="n">
        <v>0</v>
      </c>
      <c r="R320" s="2" t="inlineStr"/>
    </row>
    <row r="321" ht="15" customHeight="1">
      <c r="A321" t="inlineStr">
        <is>
          <t>A 28485-2023</t>
        </is>
      </c>
      <c r="B321" s="1" t="n">
        <v>45103.43731481482</v>
      </c>
      <c r="C321" s="1" t="n">
        <v>45986</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4990-2025</t>
        </is>
      </c>
      <c r="B322" s="1" t="n">
        <v>45691</v>
      </c>
      <c r="C322" s="1" t="n">
        <v>45986</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45986</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52637-2025</t>
        </is>
      </c>
      <c r="B324" s="1" t="n">
        <v>45954.75099537037</v>
      </c>
      <c r="C324" s="1" t="n">
        <v>45986</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45986</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38165-2023</t>
        </is>
      </c>
      <c r="B326" s="1" t="n">
        <v>45161</v>
      </c>
      <c r="C326" s="1" t="n">
        <v>45986</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44405-2025</t>
        </is>
      </c>
      <c r="B327" s="1" t="n">
        <v>45916.52405092592</v>
      </c>
      <c r="C327" s="1" t="n">
        <v>45986</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7850-2025</t>
        </is>
      </c>
      <c r="B328" s="1" t="n">
        <v>45706</v>
      </c>
      <c r="C328" s="1" t="n">
        <v>45986</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6739-2025</t>
        </is>
      </c>
      <c r="B329" s="1" t="n">
        <v>45700</v>
      </c>
      <c r="C329" s="1" t="n">
        <v>45986</v>
      </c>
      <c r="D329" t="inlineStr">
        <is>
          <t>GOTLANDS LÄN</t>
        </is>
      </c>
      <c r="E329" t="inlineStr">
        <is>
          <t>GOTLAND</t>
        </is>
      </c>
      <c r="G329" t="n">
        <v>4.5</v>
      </c>
      <c r="H329" t="n">
        <v>0</v>
      </c>
      <c r="I329" t="n">
        <v>0</v>
      </c>
      <c r="J329" t="n">
        <v>0</v>
      </c>
      <c r="K329" t="n">
        <v>0</v>
      </c>
      <c r="L329" t="n">
        <v>0</v>
      </c>
      <c r="M329" t="n">
        <v>0</v>
      </c>
      <c r="N329" t="n">
        <v>0</v>
      </c>
      <c r="O329" t="n">
        <v>0</v>
      </c>
      <c r="P329" t="n">
        <v>0</v>
      </c>
      <c r="Q329" t="n">
        <v>0</v>
      </c>
      <c r="R329" s="2" t="inlineStr"/>
    </row>
    <row r="330" ht="15" customHeight="1">
      <c r="A330" t="inlineStr">
        <is>
          <t>A 53587-2025</t>
        </is>
      </c>
      <c r="B330" s="1" t="n">
        <v>45960.43681712963</v>
      </c>
      <c r="C330" s="1" t="n">
        <v>45986</v>
      </c>
      <c r="D330" t="inlineStr">
        <is>
          <t>GOTLANDS LÄN</t>
        </is>
      </c>
      <c r="E330" t="inlineStr">
        <is>
          <t>GOTLAND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8444-2025</t>
        </is>
      </c>
      <c r="B331" s="1" t="n">
        <v>45709</v>
      </c>
      <c r="C331" s="1" t="n">
        <v>45986</v>
      </c>
      <c r="D331" t="inlineStr">
        <is>
          <t>GOTLANDS LÄN</t>
        </is>
      </c>
      <c r="E331" t="inlineStr">
        <is>
          <t>GOTLAND</t>
        </is>
      </c>
      <c r="G331" t="n">
        <v>5.2</v>
      </c>
      <c r="H331" t="n">
        <v>0</v>
      </c>
      <c r="I331" t="n">
        <v>0</v>
      </c>
      <c r="J331" t="n">
        <v>0</v>
      </c>
      <c r="K331" t="n">
        <v>0</v>
      </c>
      <c r="L331" t="n">
        <v>0</v>
      </c>
      <c r="M331" t="n">
        <v>0</v>
      </c>
      <c r="N331" t="n">
        <v>0</v>
      </c>
      <c r="O331" t="n">
        <v>0</v>
      </c>
      <c r="P331" t="n">
        <v>0</v>
      </c>
      <c r="Q331" t="n">
        <v>0</v>
      </c>
      <c r="R331" s="2" t="inlineStr"/>
    </row>
    <row r="332" ht="15" customHeight="1">
      <c r="A332" t="inlineStr">
        <is>
          <t>A 49693-2023</t>
        </is>
      </c>
      <c r="B332" s="1" t="n">
        <v>45212.38138888889</v>
      </c>
      <c r="C332" s="1" t="n">
        <v>45986</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49697-2023</t>
        </is>
      </c>
      <c r="B333" s="1" t="n">
        <v>45212.38909722222</v>
      </c>
      <c r="C333" s="1" t="n">
        <v>45986</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19905-2025</t>
        </is>
      </c>
      <c r="B334" s="1" t="n">
        <v>45771</v>
      </c>
      <c r="C334" s="1" t="n">
        <v>45986</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34312-2024</t>
        </is>
      </c>
      <c r="B335" s="1" t="n">
        <v>45524.69703703704</v>
      </c>
      <c r="C335" s="1" t="n">
        <v>45986</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53561-2025</t>
        </is>
      </c>
      <c r="B336" s="1" t="n">
        <v>45960.4059375</v>
      </c>
      <c r="C336" s="1" t="n">
        <v>45986</v>
      </c>
      <c r="D336" t="inlineStr">
        <is>
          <t>GOTLANDS LÄN</t>
        </is>
      </c>
      <c r="E336" t="inlineStr">
        <is>
          <t>GOTLAND</t>
        </is>
      </c>
      <c r="F336" t="inlineStr">
        <is>
          <t>Övriga Aktiebolag</t>
        </is>
      </c>
      <c r="G336" t="n">
        <v>2.4</v>
      </c>
      <c r="H336" t="n">
        <v>0</v>
      </c>
      <c r="I336" t="n">
        <v>0</v>
      </c>
      <c r="J336" t="n">
        <v>0</v>
      </c>
      <c r="K336" t="n">
        <v>0</v>
      </c>
      <c r="L336" t="n">
        <v>0</v>
      </c>
      <c r="M336" t="n">
        <v>0</v>
      </c>
      <c r="N336" t="n">
        <v>0</v>
      </c>
      <c r="O336" t="n">
        <v>0</v>
      </c>
      <c r="P336" t="n">
        <v>0</v>
      </c>
      <c r="Q336" t="n">
        <v>0</v>
      </c>
      <c r="R336" s="2" t="inlineStr"/>
    </row>
    <row r="337" ht="15" customHeight="1">
      <c r="A337" t="inlineStr">
        <is>
          <t>A 53569-2025</t>
        </is>
      </c>
      <c r="B337" s="1" t="n">
        <v>45960.41155092593</v>
      </c>
      <c r="C337" s="1" t="n">
        <v>45986</v>
      </c>
      <c r="D337" t="inlineStr">
        <is>
          <t>GOTLANDS LÄN</t>
        </is>
      </c>
      <c r="E337" t="inlineStr">
        <is>
          <t>GOTLAND</t>
        </is>
      </c>
      <c r="F337" t="inlineStr">
        <is>
          <t>Övriga Aktiebolag</t>
        </is>
      </c>
      <c r="G337" t="n">
        <v>11.3</v>
      </c>
      <c r="H337" t="n">
        <v>0</v>
      </c>
      <c r="I337" t="n">
        <v>0</v>
      </c>
      <c r="J337" t="n">
        <v>0</v>
      </c>
      <c r="K337" t="n">
        <v>0</v>
      </c>
      <c r="L337" t="n">
        <v>0</v>
      </c>
      <c r="M337" t="n">
        <v>0</v>
      </c>
      <c r="N337" t="n">
        <v>0</v>
      </c>
      <c r="O337" t="n">
        <v>0</v>
      </c>
      <c r="P337" t="n">
        <v>0</v>
      </c>
      <c r="Q337" t="n">
        <v>0</v>
      </c>
      <c r="R337" s="2" t="inlineStr"/>
    </row>
    <row r="338" ht="15" customHeight="1">
      <c r="A338" t="inlineStr">
        <is>
          <t>A 53577-2025</t>
        </is>
      </c>
      <c r="B338" s="1" t="n">
        <v>45960.42224537037</v>
      </c>
      <c r="C338" s="1" t="n">
        <v>45986</v>
      </c>
      <c r="D338" t="inlineStr">
        <is>
          <t>GOTLANDS LÄN</t>
        </is>
      </c>
      <c r="E338" t="inlineStr">
        <is>
          <t>GOTLAND</t>
        </is>
      </c>
      <c r="F338" t="inlineStr">
        <is>
          <t>Övriga Aktiebolag</t>
        </is>
      </c>
      <c r="G338" t="n">
        <v>3.3</v>
      </c>
      <c r="H338" t="n">
        <v>0</v>
      </c>
      <c r="I338" t="n">
        <v>0</v>
      </c>
      <c r="J338" t="n">
        <v>0</v>
      </c>
      <c r="K338" t="n">
        <v>0</v>
      </c>
      <c r="L338" t="n">
        <v>0</v>
      </c>
      <c r="M338" t="n">
        <v>0</v>
      </c>
      <c r="N338" t="n">
        <v>0</v>
      </c>
      <c r="O338" t="n">
        <v>0</v>
      </c>
      <c r="P338" t="n">
        <v>0</v>
      </c>
      <c r="Q338" t="n">
        <v>0</v>
      </c>
      <c r="R338" s="2" t="inlineStr"/>
    </row>
    <row r="339" ht="15" customHeight="1">
      <c r="A339" t="inlineStr">
        <is>
          <t>A 48503-2023</t>
        </is>
      </c>
      <c r="B339" s="1" t="n">
        <v>45207</v>
      </c>
      <c r="C339" s="1" t="n">
        <v>45986</v>
      </c>
      <c r="D339" t="inlineStr">
        <is>
          <t>GOTLANDS LÄN</t>
        </is>
      </c>
      <c r="E339" t="inlineStr">
        <is>
          <t>GOTLAND</t>
        </is>
      </c>
      <c r="G339" t="n">
        <v>1.6</v>
      </c>
      <c r="H339" t="n">
        <v>0</v>
      </c>
      <c r="I339" t="n">
        <v>0</v>
      </c>
      <c r="J339" t="n">
        <v>0</v>
      </c>
      <c r="K339" t="n">
        <v>0</v>
      </c>
      <c r="L339" t="n">
        <v>0</v>
      </c>
      <c r="M339" t="n">
        <v>0</v>
      </c>
      <c r="N339" t="n">
        <v>0</v>
      </c>
      <c r="O339" t="n">
        <v>0</v>
      </c>
      <c r="P339" t="n">
        <v>0</v>
      </c>
      <c r="Q339" t="n">
        <v>0</v>
      </c>
      <c r="R339" s="2" t="inlineStr"/>
    </row>
    <row r="340" ht="15" customHeight="1">
      <c r="A340" t="inlineStr">
        <is>
          <t>A 24825-2024</t>
        </is>
      </c>
      <c r="B340" s="1" t="n">
        <v>45461</v>
      </c>
      <c r="C340" s="1" t="n">
        <v>45986</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54584-2025</t>
        </is>
      </c>
      <c r="B341" s="1" t="n">
        <v>45965.71788194445</v>
      </c>
      <c r="C341" s="1" t="n">
        <v>45986</v>
      </c>
      <c r="D341" t="inlineStr">
        <is>
          <t>GOTLANDS LÄN</t>
        </is>
      </c>
      <c r="E341" t="inlineStr">
        <is>
          <t>GOTLAND</t>
        </is>
      </c>
      <c r="G341" t="n">
        <v>3.5</v>
      </c>
      <c r="H341" t="n">
        <v>0</v>
      </c>
      <c r="I341" t="n">
        <v>0</v>
      </c>
      <c r="J341" t="n">
        <v>0</v>
      </c>
      <c r="K341" t="n">
        <v>0</v>
      </c>
      <c r="L341" t="n">
        <v>0</v>
      </c>
      <c r="M341" t="n">
        <v>0</v>
      </c>
      <c r="N341" t="n">
        <v>0</v>
      </c>
      <c r="O341" t="n">
        <v>0</v>
      </c>
      <c r="P341" t="n">
        <v>0</v>
      </c>
      <c r="Q341" t="n">
        <v>0</v>
      </c>
      <c r="R341" s="2" t="inlineStr"/>
    </row>
    <row r="342" ht="15" customHeight="1">
      <c r="A342" t="inlineStr">
        <is>
          <t>A 22031-2024</t>
        </is>
      </c>
      <c r="B342" s="1" t="n">
        <v>45443.60075231481</v>
      </c>
      <c r="C342" s="1" t="n">
        <v>45986</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17688-2024</t>
        </is>
      </c>
      <c r="B343" s="1" t="n">
        <v>45418.43575231481</v>
      </c>
      <c r="C343" s="1" t="n">
        <v>45986</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29207-2025</t>
        </is>
      </c>
      <c r="B344" s="1" t="n">
        <v>45823</v>
      </c>
      <c r="C344" s="1" t="n">
        <v>45986</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29196-2025</t>
        </is>
      </c>
      <c r="B345" s="1" t="n">
        <v>45822</v>
      </c>
      <c r="C345" s="1" t="n">
        <v>45986</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27694-2024</t>
        </is>
      </c>
      <c r="B346" s="1" t="n">
        <v>45475</v>
      </c>
      <c r="C346" s="1" t="n">
        <v>45986</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39764-2022</t>
        </is>
      </c>
      <c r="B347" s="1" t="n">
        <v>44819</v>
      </c>
      <c r="C347" s="1" t="n">
        <v>45986</v>
      </c>
      <c r="D347" t="inlineStr">
        <is>
          <t>GOTLANDS LÄN</t>
        </is>
      </c>
      <c r="E347" t="inlineStr">
        <is>
          <t>GOTLAND</t>
        </is>
      </c>
      <c r="F347" t="inlineStr">
        <is>
          <t>Kyrkan</t>
        </is>
      </c>
      <c r="G347" t="n">
        <v>3.7</v>
      </c>
      <c r="H347" t="n">
        <v>0</v>
      </c>
      <c r="I347" t="n">
        <v>0</v>
      </c>
      <c r="J347" t="n">
        <v>0</v>
      </c>
      <c r="K347" t="n">
        <v>0</v>
      </c>
      <c r="L347" t="n">
        <v>0</v>
      </c>
      <c r="M347" t="n">
        <v>0</v>
      </c>
      <c r="N347" t="n">
        <v>0</v>
      </c>
      <c r="O347" t="n">
        <v>0</v>
      </c>
      <c r="P347" t="n">
        <v>0</v>
      </c>
      <c r="Q347" t="n">
        <v>0</v>
      </c>
      <c r="R347" s="2" t="inlineStr"/>
    </row>
    <row r="348" ht="15" customHeight="1">
      <c r="A348" t="inlineStr">
        <is>
          <t>A 6099-2024</t>
        </is>
      </c>
      <c r="B348" s="1" t="n">
        <v>45337</v>
      </c>
      <c r="C348" s="1" t="n">
        <v>45986</v>
      </c>
      <c r="D348" t="inlineStr">
        <is>
          <t>GOTLANDS LÄN</t>
        </is>
      </c>
      <c r="E348" t="inlineStr">
        <is>
          <t>GOTLAND</t>
        </is>
      </c>
      <c r="G348" t="n">
        <v>12.6</v>
      </c>
      <c r="H348" t="n">
        <v>0</v>
      </c>
      <c r="I348" t="n">
        <v>0</v>
      </c>
      <c r="J348" t="n">
        <v>0</v>
      </c>
      <c r="K348" t="n">
        <v>0</v>
      </c>
      <c r="L348" t="n">
        <v>0</v>
      </c>
      <c r="M348" t="n">
        <v>0</v>
      </c>
      <c r="N348" t="n">
        <v>0</v>
      </c>
      <c r="O348" t="n">
        <v>0</v>
      </c>
      <c r="P348" t="n">
        <v>0</v>
      </c>
      <c r="Q348" t="n">
        <v>0</v>
      </c>
      <c r="R348" s="2" t="inlineStr"/>
    </row>
    <row r="349" ht="15" customHeight="1">
      <c r="A349" t="inlineStr">
        <is>
          <t>A 8260-2023</t>
        </is>
      </c>
      <c r="B349" s="1" t="n">
        <v>44974.61608796296</v>
      </c>
      <c r="C349" s="1" t="n">
        <v>45986</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22287-2022</t>
        </is>
      </c>
      <c r="B350" s="1" t="n">
        <v>44712</v>
      </c>
      <c r="C350" s="1" t="n">
        <v>45986</v>
      </c>
      <c r="D350" t="inlineStr">
        <is>
          <t>GOTLANDS LÄN</t>
        </is>
      </c>
      <c r="E350" t="inlineStr">
        <is>
          <t>GOTLAND</t>
        </is>
      </c>
      <c r="G350" t="n">
        <v>6.1</v>
      </c>
      <c r="H350" t="n">
        <v>0</v>
      </c>
      <c r="I350" t="n">
        <v>0</v>
      </c>
      <c r="J350" t="n">
        <v>0</v>
      </c>
      <c r="K350" t="n">
        <v>0</v>
      </c>
      <c r="L350" t="n">
        <v>0</v>
      </c>
      <c r="M350" t="n">
        <v>0</v>
      </c>
      <c r="N350" t="n">
        <v>0</v>
      </c>
      <c r="O350" t="n">
        <v>0</v>
      </c>
      <c r="P350" t="n">
        <v>0</v>
      </c>
      <c r="Q350" t="n">
        <v>0</v>
      </c>
      <c r="R350" s="2" t="inlineStr"/>
    </row>
    <row r="351" ht="15" customHeight="1">
      <c r="A351" t="inlineStr">
        <is>
          <t>A 57534-2022</t>
        </is>
      </c>
      <c r="B351" s="1" t="n">
        <v>44896</v>
      </c>
      <c r="C351" s="1" t="n">
        <v>45986</v>
      </c>
      <c r="D351" t="inlineStr">
        <is>
          <t>GOTLANDS LÄN</t>
        </is>
      </c>
      <c r="E351" t="inlineStr">
        <is>
          <t>GOTLAND</t>
        </is>
      </c>
      <c r="G351" t="n">
        <v>0.6</v>
      </c>
      <c r="H351" t="n">
        <v>0</v>
      </c>
      <c r="I351" t="n">
        <v>0</v>
      </c>
      <c r="J351" t="n">
        <v>0</v>
      </c>
      <c r="K351" t="n">
        <v>0</v>
      </c>
      <c r="L351" t="n">
        <v>0</v>
      </c>
      <c r="M351" t="n">
        <v>0</v>
      </c>
      <c r="N351" t="n">
        <v>0</v>
      </c>
      <c r="O351" t="n">
        <v>0</v>
      </c>
      <c r="P351" t="n">
        <v>0</v>
      </c>
      <c r="Q351" t="n">
        <v>0</v>
      </c>
      <c r="R351" s="2" t="inlineStr"/>
    </row>
    <row r="352" ht="15" customHeight="1">
      <c r="A352" t="inlineStr">
        <is>
          <t>A 30061-2025</t>
        </is>
      </c>
      <c r="B352" s="1" t="n">
        <v>45826.61488425926</v>
      </c>
      <c r="C352" s="1" t="n">
        <v>45986</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26391-2025</t>
        </is>
      </c>
      <c r="B353" s="1" t="n">
        <v>45806</v>
      </c>
      <c r="C353" s="1" t="n">
        <v>45986</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64660-2023</t>
        </is>
      </c>
      <c r="B354" s="1" t="n">
        <v>45281.60122685185</v>
      </c>
      <c r="C354" s="1" t="n">
        <v>45986</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46836-2025</t>
        </is>
      </c>
      <c r="B355" s="1" t="n">
        <v>45928.31511574074</v>
      </c>
      <c r="C355" s="1" t="n">
        <v>45986</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58160-2024</t>
        </is>
      </c>
      <c r="B356" s="1" t="n">
        <v>45632.44927083333</v>
      </c>
      <c r="C356" s="1" t="n">
        <v>45986</v>
      </c>
      <c r="D356" t="inlineStr">
        <is>
          <t>GOTLANDS LÄN</t>
        </is>
      </c>
      <c r="E356" t="inlineStr">
        <is>
          <t>GOTLAND</t>
        </is>
      </c>
      <c r="G356" t="n">
        <v>5.6</v>
      </c>
      <c r="H356" t="n">
        <v>0</v>
      </c>
      <c r="I356" t="n">
        <v>0</v>
      </c>
      <c r="J356" t="n">
        <v>0</v>
      </c>
      <c r="K356" t="n">
        <v>0</v>
      </c>
      <c r="L356" t="n">
        <v>0</v>
      </c>
      <c r="M356" t="n">
        <v>0</v>
      </c>
      <c r="N356" t="n">
        <v>0</v>
      </c>
      <c r="O356" t="n">
        <v>0</v>
      </c>
      <c r="P356" t="n">
        <v>0</v>
      </c>
      <c r="Q356" t="n">
        <v>0</v>
      </c>
      <c r="R356" s="2" t="inlineStr"/>
    </row>
    <row r="357" ht="15" customHeight="1">
      <c r="A357" t="inlineStr">
        <is>
          <t>A 47637-2025</t>
        </is>
      </c>
      <c r="B357" s="1" t="n">
        <v>45931.49753472222</v>
      </c>
      <c r="C357" s="1" t="n">
        <v>45986</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20855-2023</t>
        </is>
      </c>
      <c r="B358" s="1" t="n">
        <v>45058.82172453704</v>
      </c>
      <c r="C358" s="1" t="n">
        <v>45986</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60709-2023</t>
        </is>
      </c>
      <c r="B359" s="1" t="n">
        <v>45260</v>
      </c>
      <c r="C359" s="1" t="n">
        <v>45986</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1000-2024</t>
        </is>
      </c>
      <c r="B360" s="1" t="n">
        <v>45301.63371527778</v>
      </c>
      <c r="C360" s="1" t="n">
        <v>45986</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1010-2024</t>
        </is>
      </c>
      <c r="B361" s="1" t="n">
        <v>45301</v>
      </c>
      <c r="C361" s="1" t="n">
        <v>45986</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65249-2023</t>
        </is>
      </c>
      <c r="B362" s="1" t="n">
        <v>45290</v>
      </c>
      <c r="C362" s="1" t="n">
        <v>45986</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30956-2024</t>
        </is>
      </c>
      <c r="B363" s="1" t="n">
        <v>45499.42527777778</v>
      </c>
      <c r="C363" s="1" t="n">
        <v>45986</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12596-2023</t>
        </is>
      </c>
      <c r="B364" s="1" t="n">
        <v>45000.43310185185</v>
      </c>
      <c r="C364" s="1" t="n">
        <v>45986</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8045-2022</t>
        </is>
      </c>
      <c r="B365" s="1" t="n">
        <v>44609</v>
      </c>
      <c r="C365" s="1" t="n">
        <v>45986</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32378-2025</t>
        </is>
      </c>
      <c r="B366" s="1" t="n">
        <v>45837</v>
      </c>
      <c r="C366" s="1" t="n">
        <v>45986</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999-2024</t>
        </is>
      </c>
      <c r="B367" s="1" t="n">
        <v>45301</v>
      </c>
      <c r="C367" s="1" t="n">
        <v>45986</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65901-2021</t>
        </is>
      </c>
      <c r="B368" s="1" t="n">
        <v>44516</v>
      </c>
      <c r="C368" s="1" t="n">
        <v>45986</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47762-2023</t>
        </is>
      </c>
      <c r="B369" s="1" t="n">
        <v>45203.86256944444</v>
      </c>
      <c r="C369" s="1" t="n">
        <v>45986</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56799-2025</t>
        </is>
      </c>
      <c r="B370" s="1" t="n">
        <v>45978.43392361111</v>
      </c>
      <c r="C370" s="1" t="n">
        <v>45986</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40294-2022</t>
        </is>
      </c>
      <c r="B371" s="1" t="n">
        <v>44821</v>
      </c>
      <c r="C371" s="1" t="n">
        <v>45986</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27602-2023</t>
        </is>
      </c>
      <c r="B372" s="1" t="n">
        <v>45097</v>
      </c>
      <c r="C372" s="1" t="n">
        <v>45986</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58780-2024</t>
        </is>
      </c>
      <c r="B373" s="1" t="n">
        <v>45635.84113425926</v>
      </c>
      <c r="C373" s="1" t="n">
        <v>45986</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12322-2025</t>
        </is>
      </c>
      <c r="B374" s="1" t="n">
        <v>45730</v>
      </c>
      <c r="C374" s="1" t="n">
        <v>45986</v>
      </c>
      <c r="D374" t="inlineStr">
        <is>
          <t>GOTLANDS LÄN</t>
        </is>
      </c>
      <c r="E374" t="inlineStr">
        <is>
          <t>GOTLAND</t>
        </is>
      </c>
      <c r="G374" t="n">
        <v>1.4</v>
      </c>
      <c r="H374" t="n">
        <v>0</v>
      </c>
      <c r="I374" t="n">
        <v>0</v>
      </c>
      <c r="J374" t="n">
        <v>0</v>
      </c>
      <c r="K374" t="n">
        <v>0</v>
      </c>
      <c r="L374" t="n">
        <v>0</v>
      </c>
      <c r="M374" t="n">
        <v>0</v>
      </c>
      <c r="N374" t="n">
        <v>0</v>
      </c>
      <c r="O374" t="n">
        <v>0</v>
      </c>
      <c r="P374" t="n">
        <v>0</v>
      </c>
      <c r="Q374" t="n">
        <v>0</v>
      </c>
      <c r="R374" s="2" t="inlineStr"/>
    </row>
    <row r="375" ht="15" customHeight="1">
      <c r="A375" t="inlineStr">
        <is>
          <t>A 56688-2025</t>
        </is>
      </c>
      <c r="B375" s="1" t="n">
        <v>45975.84331018518</v>
      </c>
      <c r="C375" s="1" t="n">
        <v>45986</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47147-2025</t>
        </is>
      </c>
      <c r="B376" s="1" t="n">
        <v>45929</v>
      </c>
      <c r="C376" s="1" t="n">
        <v>45986</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16109-2025</t>
        </is>
      </c>
      <c r="B377" s="1" t="n">
        <v>45750</v>
      </c>
      <c r="C377" s="1" t="n">
        <v>45986</v>
      </c>
      <c r="D377" t="inlineStr">
        <is>
          <t>GOTLANDS LÄN</t>
        </is>
      </c>
      <c r="E377" t="inlineStr">
        <is>
          <t>GOTLAND</t>
        </is>
      </c>
      <c r="G377" t="n">
        <v>4.9</v>
      </c>
      <c r="H377" t="n">
        <v>0</v>
      </c>
      <c r="I377" t="n">
        <v>0</v>
      </c>
      <c r="J377" t="n">
        <v>0</v>
      </c>
      <c r="K377" t="n">
        <v>0</v>
      </c>
      <c r="L377" t="n">
        <v>0</v>
      </c>
      <c r="M377" t="n">
        <v>0</v>
      </c>
      <c r="N377" t="n">
        <v>0</v>
      </c>
      <c r="O377" t="n">
        <v>0</v>
      </c>
      <c r="P377" t="n">
        <v>0</v>
      </c>
      <c r="Q377" t="n">
        <v>0</v>
      </c>
      <c r="R377" s="2" t="inlineStr"/>
    </row>
    <row r="378" ht="15" customHeight="1">
      <c r="A378" t="inlineStr">
        <is>
          <t>A 32467-2025</t>
        </is>
      </c>
      <c r="B378" s="1" t="n">
        <v>45838.42111111111</v>
      </c>
      <c r="C378" s="1" t="n">
        <v>45986</v>
      </c>
      <c r="D378" t="inlineStr">
        <is>
          <t>GOTLANDS LÄN</t>
        </is>
      </c>
      <c r="E378" t="inlineStr">
        <is>
          <t>GOTLAND</t>
        </is>
      </c>
      <c r="G378" t="n">
        <v>4.3</v>
      </c>
      <c r="H378" t="n">
        <v>0</v>
      </c>
      <c r="I378" t="n">
        <v>0</v>
      </c>
      <c r="J378" t="n">
        <v>0</v>
      </c>
      <c r="K378" t="n">
        <v>0</v>
      </c>
      <c r="L378" t="n">
        <v>0</v>
      </c>
      <c r="M378" t="n">
        <v>0</v>
      </c>
      <c r="N378" t="n">
        <v>0</v>
      </c>
      <c r="O378" t="n">
        <v>0</v>
      </c>
      <c r="P378" t="n">
        <v>0</v>
      </c>
      <c r="Q378" t="n">
        <v>0</v>
      </c>
      <c r="R378" s="2" t="inlineStr"/>
    </row>
    <row r="379" ht="15" customHeight="1">
      <c r="A379" t="inlineStr">
        <is>
          <t>A 24192-2023</t>
        </is>
      </c>
      <c r="B379" s="1" t="n">
        <v>45079</v>
      </c>
      <c r="C379" s="1" t="n">
        <v>45986</v>
      </c>
      <c r="D379" t="inlineStr">
        <is>
          <t>GOTLANDS LÄN</t>
        </is>
      </c>
      <c r="E379" t="inlineStr">
        <is>
          <t>GOTLAND</t>
        </is>
      </c>
      <c r="G379" t="n">
        <v>2.1</v>
      </c>
      <c r="H379" t="n">
        <v>0</v>
      </c>
      <c r="I379" t="n">
        <v>0</v>
      </c>
      <c r="J379" t="n">
        <v>0</v>
      </c>
      <c r="K379" t="n">
        <v>0</v>
      </c>
      <c r="L379" t="n">
        <v>0</v>
      </c>
      <c r="M379" t="n">
        <v>0</v>
      </c>
      <c r="N379" t="n">
        <v>0</v>
      </c>
      <c r="O379" t="n">
        <v>0</v>
      </c>
      <c r="P379" t="n">
        <v>0</v>
      </c>
      <c r="Q379" t="n">
        <v>0</v>
      </c>
      <c r="R379" s="2" t="inlineStr"/>
    </row>
    <row r="380" ht="15" customHeight="1">
      <c r="A380" t="inlineStr">
        <is>
          <t>A 30282-2022</t>
        </is>
      </c>
      <c r="B380" s="1" t="n">
        <v>44760</v>
      </c>
      <c r="C380" s="1" t="n">
        <v>45986</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7835-2024</t>
        </is>
      </c>
      <c r="B381" s="1" t="n">
        <v>45349.83138888889</v>
      </c>
      <c r="C381" s="1" t="n">
        <v>45986</v>
      </c>
      <c r="D381" t="inlineStr">
        <is>
          <t>GOTLANDS LÄN</t>
        </is>
      </c>
      <c r="E381" t="inlineStr">
        <is>
          <t>GOTLAND</t>
        </is>
      </c>
      <c r="G381" t="n">
        <v>3.8</v>
      </c>
      <c r="H381" t="n">
        <v>0</v>
      </c>
      <c r="I381" t="n">
        <v>0</v>
      </c>
      <c r="J381" t="n">
        <v>0</v>
      </c>
      <c r="K381" t="n">
        <v>0</v>
      </c>
      <c r="L381" t="n">
        <v>0</v>
      </c>
      <c r="M381" t="n">
        <v>0</v>
      </c>
      <c r="N381" t="n">
        <v>0</v>
      </c>
      <c r="O381" t="n">
        <v>0</v>
      </c>
      <c r="P381" t="n">
        <v>0</v>
      </c>
      <c r="Q381" t="n">
        <v>0</v>
      </c>
      <c r="R381" s="2" t="inlineStr"/>
    </row>
    <row r="382" ht="15" customHeight="1">
      <c r="A382" t="inlineStr">
        <is>
          <t>A 10650-2022</t>
        </is>
      </c>
      <c r="B382" s="1" t="n">
        <v>44624.57945601852</v>
      </c>
      <c r="C382" s="1" t="n">
        <v>45986</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35550-2025</t>
        </is>
      </c>
      <c r="B383" s="1" t="n">
        <v>45856.49324074074</v>
      </c>
      <c r="C383" s="1" t="n">
        <v>45986</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26810-2021</t>
        </is>
      </c>
      <c r="B384" s="1" t="n">
        <v>44349.55087962963</v>
      </c>
      <c r="C384" s="1" t="n">
        <v>45986</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32379-2025</t>
        </is>
      </c>
      <c r="B385" s="1" t="n">
        <v>45837</v>
      </c>
      <c r="C385" s="1" t="n">
        <v>45986</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28425-2023</t>
        </is>
      </c>
      <c r="B386" s="1" t="n">
        <v>45102</v>
      </c>
      <c r="C386" s="1" t="n">
        <v>45986</v>
      </c>
      <c r="D386" t="inlineStr">
        <is>
          <t>GOTLANDS LÄN</t>
        </is>
      </c>
      <c r="E386" t="inlineStr">
        <is>
          <t>GOTLAND</t>
        </is>
      </c>
      <c r="G386" t="n">
        <v>0.5</v>
      </c>
      <c r="H386" t="n">
        <v>0</v>
      </c>
      <c r="I386" t="n">
        <v>0</v>
      </c>
      <c r="J386" t="n">
        <v>0</v>
      </c>
      <c r="K386" t="n">
        <v>0</v>
      </c>
      <c r="L386" t="n">
        <v>0</v>
      </c>
      <c r="M386" t="n">
        <v>0</v>
      </c>
      <c r="N386" t="n">
        <v>0</v>
      </c>
      <c r="O386" t="n">
        <v>0</v>
      </c>
      <c r="P386" t="n">
        <v>0</v>
      </c>
      <c r="Q386" t="n">
        <v>0</v>
      </c>
      <c r="R386" s="2" t="inlineStr"/>
    </row>
    <row r="387" ht="15" customHeight="1">
      <c r="A387" t="inlineStr">
        <is>
          <t>A 47578-2025</t>
        </is>
      </c>
      <c r="B387" s="1" t="n">
        <v>45931</v>
      </c>
      <c r="C387" s="1" t="n">
        <v>45986</v>
      </c>
      <c r="D387" t="inlineStr">
        <is>
          <t>GOTLANDS LÄN</t>
        </is>
      </c>
      <c r="E387" t="inlineStr">
        <is>
          <t>GOTLAND</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13037-2025</t>
        </is>
      </c>
      <c r="B388" s="1" t="n">
        <v>45734</v>
      </c>
      <c r="C388" s="1" t="n">
        <v>45986</v>
      </c>
      <c r="D388" t="inlineStr">
        <is>
          <t>GOTLANDS LÄN</t>
        </is>
      </c>
      <c r="E388" t="inlineStr">
        <is>
          <t>GOTLAND</t>
        </is>
      </c>
      <c r="G388" t="n">
        <v>9.5</v>
      </c>
      <c r="H388" t="n">
        <v>0</v>
      </c>
      <c r="I388" t="n">
        <v>0</v>
      </c>
      <c r="J388" t="n">
        <v>0</v>
      </c>
      <c r="K388" t="n">
        <v>0</v>
      </c>
      <c r="L388" t="n">
        <v>0</v>
      </c>
      <c r="M388" t="n">
        <v>0</v>
      </c>
      <c r="N388" t="n">
        <v>0</v>
      </c>
      <c r="O388" t="n">
        <v>0</v>
      </c>
      <c r="P388" t="n">
        <v>0</v>
      </c>
      <c r="Q388" t="n">
        <v>0</v>
      </c>
      <c r="R388" s="2" t="inlineStr"/>
    </row>
    <row r="389" ht="15" customHeight="1">
      <c r="A389" t="inlineStr">
        <is>
          <t>A 33011-2025</t>
        </is>
      </c>
      <c r="B389" s="1" t="n">
        <v>45840</v>
      </c>
      <c r="C389" s="1" t="n">
        <v>45986</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49690-2025</t>
        </is>
      </c>
      <c r="B390" s="1" t="n">
        <v>45939.66730324074</v>
      </c>
      <c r="C390" s="1" t="n">
        <v>45986</v>
      </c>
      <c r="D390" t="inlineStr">
        <is>
          <t>GOTLANDS LÄN</t>
        </is>
      </c>
      <c r="E390" t="inlineStr">
        <is>
          <t>GOTLAND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33007-2025</t>
        </is>
      </c>
      <c r="B391" s="1" t="n">
        <v>45840</v>
      </c>
      <c r="C391" s="1" t="n">
        <v>45986</v>
      </c>
      <c r="D391" t="inlineStr">
        <is>
          <t>GOTLANDS LÄN</t>
        </is>
      </c>
      <c r="E391" t="inlineStr">
        <is>
          <t>GOTLAND</t>
        </is>
      </c>
      <c r="G391" t="n">
        <v>4.9</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45986</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43229-2023</t>
        </is>
      </c>
      <c r="B393" s="1" t="n">
        <v>45183.46704861111</v>
      </c>
      <c r="C393" s="1" t="n">
        <v>45986</v>
      </c>
      <c r="D393" t="inlineStr">
        <is>
          <t>GOTLANDS LÄN</t>
        </is>
      </c>
      <c r="E393" t="inlineStr">
        <is>
          <t>GOTLAND</t>
        </is>
      </c>
      <c r="G393" t="n">
        <v>7.1</v>
      </c>
      <c r="H393" t="n">
        <v>0</v>
      </c>
      <c r="I393" t="n">
        <v>0</v>
      </c>
      <c r="J393" t="n">
        <v>0</v>
      </c>
      <c r="K393" t="n">
        <v>0</v>
      </c>
      <c r="L393" t="n">
        <v>0</v>
      </c>
      <c r="M393" t="n">
        <v>0</v>
      </c>
      <c r="N393" t="n">
        <v>0</v>
      </c>
      <c r="O393" t="n">
        <v>0</v>
      </c>
      <c r="P393" t="n">
        <v>0</v>
      </c>
      <c r="Q393" t="n">
        <v>0</v>
      </c>
      <c r="R393" s="2" t="inlineStr"/>
    </row>
    <row r="394" ht="15" customHeight="1">
      <c r="A394" t="inlineStr">
        <is>
          <t>A 41038-2023</t>
        </is>
      </c>
      <c r="B394" s="1" t="n">
        <v>45173.60959490741</v>
      </c>
      <c r="C394" s="1" t="n">
        <v>45986</v>
      </c>
      <c r="D394" t="inlineStr">
        <is>
          <t>GOTLANDS LÄN</t>
        </is>
      </c>
      <c r="E394" t="inlineStr">
        <is>
          <t>GOTLAND</t>
        </is>
      </c>
      <c r="G394" t="n">
        <v>2.7</v>
      </c>
      <c r="H394" t="n">
        <v>0</v>
      </c>
      <c r="I394" t="n">
        <v>0</v>
      </c>
      <c r="J394" t="n">
        <v>0</v>
      </c>
      <c r="K394" t="n">
        <v>0</v>
      </c>
      <c r="L394" t="n">
        <v>0</v>
      </c>
      <c r="M394" t="n">
        <v>0</v>
      </c>
      <c r="N394" t="n">
        <v>0</v>
      </c>
      <c r="O394" t="n">
        <v>0</v>
      </c>
      <c r="P394" t="n">
        <v>0</v>
      </c>
      <c r="Q394" t="n">
        <v>0</v>
      </c>
      <c r="R394" s="2" t="inlineStr"/>
    </row>
    <row r="395" ht="15" customHeight="1">
      <c r="A395" t="inlineStr">
        <is>
          <t>A 49724-2025</t>
        </is>
      </c>
      <c r="B395" s="1" t="n">
        <v>45939.83730324074</v>
      </c>
      <c r="C395" s="1" t="n">
        <v>45986</v>
      </c>
      <c r="D395" t="inlineStr">
        <is>
          <t>GOTLANDS LÄN</t>
        </is>
      </c>
      <c r="E395" t="inlineStr">
        <is>
          <t>GOTLAND</t>
        </is>
      </c>
      <c r="F395" t="inlineStr">
        <is>
          <t>Kyrkan</t>
        </is>
      </c>
      <c r="G395" t="n">
        <v>3.1</v>
      </c>
      <c r="H395" t="n">
        <v>0</v>
      </c>
      <c r="I395" t="n">
        <v>0</v>
      </c>
      <c r="J395" t="n">
        <v>0</v>
      </c>
      <c r="K395" t="n">
        <v>0</v>
      </c>
      <c r="L395" t="n">
        <v>0</v>
      </c>
      <c r="M395" t="n">
        <v>0</v>
      </c>
      <c r="N395" t="n">
        <v>0</v>
      </c>
      <c r="O395" t="n">
        <v>0</v>
      </c>
      <c r="P395" t="n">
        <v>0</v>
      </c>
      <c r="Q395" t="n">
        <v>0</v>
      </c>
      <c r="R395" s="2" t="inlineStr"/>
    </row>
    <row r="396" ht="15" customHeight="1">
      <c r="A396" t="inlineStr">
        <is>
          <t>A 49730-2025</t>
        </is>
      </c>
      <c r="B396" s="1" t="n">
        <v>45939.87613425926</v>
      </c>
      <c r="C396" s="1" t="n">
        <v>45986</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15413-2025</t>
        </is>
      </c>
      <c r="B397" s="1" t="n">
        <v>45747.451875</v>
      </c>
      <c r="C397" s="1" t="n">
        <v>45986</v>
      </c>
      <c r="D397" t="inlineStr">
        <is>
          <t>GOTLANDS LÄN</t>
        </is>
      </c>
      <c r="E397" t="inlineStr">
        <is>
          <t>GOTLAND</t>
        </is>
      </c>
      <c r="G397" t="n">
        <v>0.6</v>
      </c>
      <c r="H397" t="n">
        <v>0</v>
      </c>
      <c r="I397" t="n">
        <v>0</v>
      </c>
      <c r="J397" t="n">
        <v>0</v>
      </c>
      <c r="K397" t="n">
        <v>0</v>
      </c>
      <c r="L397" t="n">
        <v>0</v>
      </c>
      <c r="M397" t="n">
        <v>0</v>
      </c>
      <c r="N397" t="n">
        <v>0</v>
      </c>
      <c r="O397" t="n">
        <v>0</v>
      </c>
      <c r="P397" t="n">
        <v>0</v>
      </c>
      <c r="Q397" t="n">
        <v>0</v>
      </c>
      <c r="R397" s="2" t="inlineStr"/>
    </row>
    <row r="398" ht="15" customHeight="1">
      <c r="A398" t="inlineStr">
        <is>
          <t>A 24966-2023</t>
        </is>
      </c>
      <c r="B398" s="1" t="n">
        <v>45085</v>
      </c>
      <c r="C398" s="1" t="n">
        <v>45986</v>
      </c>
      <c r="D398" t="inlineStr">
        <is>
          <t>GOTLANDS LÄN</t>
        </is>
      </c>
      <c r="E398" t="inlineStr">
        <is>
          <t>GOTLAND</t>
        </is>
      </c>
      <c r="G398" t="n">
        <v>7</v>
      </c>
      <c r="H398" t="n">
        <v>0</v>
      </c>
      <c r="I398" t="n">
        <v>0</v>
      </c>
      <c r="J398" t="n">
        <v>0</v>
      </c>
      <c r="K398" t="n">
        <v>0</v>
      </c>
      <c r="L398" t="n">
        <v>0</v>
      </c>
      <c r="M398" t="n">
        <v>0</v>
      </c>
      <c r="N398" t="n">
        <v>0</v>
      </c>
      <c r="O398" t="n">
        <v>0</v>
      </c>
      <c r="P398" t="n">
        <v>0</v>
      </c>
      <c r="Q398" t="n">
        <v>0</v>
      </c>
      <c r="R398" s="2" t="inlineStr"/>
    </row>
    <row r="399" ht="15" customHeight="1">
      <c r="A399" t="inlineStr">
        <is>
          <t>A 35096-2025</t>
        </is>
      </c>
      <c r="B399" s="1" t="n">
        <v>45852.54356481481</v>
      </c>
      <c r="C399" s="1" t="n">
        <v>45986</v>
      </c>
      <c r="D399" t="inlineStr">
        <is>
          <t>GOTLANDS LÄN</t>
        </is>
      </c>
      <c r="E399" t="inlineStr">
        <is>
          <t>GOTLAND</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57652-2023</t>
        </is>
      </c>
      <c r="B400" s="1" t="n">
        <v>45246</v>
      </c>
      <c r="C400" s="1" t="n">
        <v>45986</v>
      </c>
      <c r="D400" t="inlineStr">
        <is>
          <t>GOTLANDS LÄN</t>
        </is>
      </c>
      <c r="E400" t="inlineStr">
        <is>
          <t>GOTLAND</t>
        </is>
      </c>
      <c r="G400" t="n">
        <v>7.2</v>
      </c>
      <c r="H400" t="n">
        <v>0</v>
      </c>
      <c r="I400" t="n">
        <v>0</v>
      </c>
      <c r="J400" t="n">
        <v>0</v>
      </c>
      <c r="K400" t="n">
        <v>0</v>
      </c>
      <c r="L400" t="n">
        <v>0</v>
      </c>
      <c r="M400" t="n">
        <v>0</v>
      </c>
      <c r="N400" t="n">
        <v>0</v>
      </c>
      <c r="O400" t="n">
        <v>0</v>
      </c>
      <c r="P400" t="n">
        <v>0</v>
      </c>
      <c r="Q400" t="n">
        <v>0</v>
      </c>
      <c r="R400" s="2" t="inlineStr"/>
    </row>
    <row r="401" ht="15" customHeight="1">
      <c r="A401" t="inlineStr">
        <is>
          <t>A 35123-2025</t>
        </is>
      </c>
      <c r="B401" s="1" t="n">
        <v>45852.614375</v>
      </c>
      <c r="C401" s="1" t="n">
        <v>45986</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46189-2022</t>
        </is>
      </c>
      <c r="B402" s="1" t="n">
        <v>44847</v>
      </c>
      <c r="C402" s="1" t="n">
        <v>45986</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57522-2022</t>
        </is>
      </c>
      <c r="B403" s="1" t="n">
        <v>44896</v>
      </c>
      <c r="C403" s="1" t="n">
        <v>45986</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35290-2025</t>
        </is>
      </c>
      <c r="B404" s="1" t="n">
        <v>45854.38502314815</v>
      </c>
      <c r="C404" s="1" t="n">
        <v>45986</v>
      </c>
      <c r="D404" t="inlineStr">
        <is>
          <t>GOTLANDS LÄN</t>
        </is>
      </c>
      <c r="E404" t="inlineStr">
        <is>
          <t>GOTLAND</t>
        </is>
      </c>
      <c r="G404" t="n">
        <v>5.4</v>
      </c>
      <c r="H404" t="n">
        <v>0</v>
      </c>
      <c r="I404" t="n">
        <v>0</v>
      </c>
      <c r="J404" t="n">
        <v>0</v>
      </c>
      <c r="K404" t="n">
        <v>0</v>
      </c>
      <c r="L404" t="n">
        <v>0</v>
      </c>
      <c r="M404" t="n">
        <v>0</v>
      </c>
      <c r="N404" t="n">
        <v>0</v>
      </c>
      <c r="O404" t="n">
        <v>0</v>
      </c>
      <c r="P404" t="n">
        <v>0</v>
      </c>
      <c r="Q404" t="n">
        <v>0</v>
      </c>
      <c r="R404" s="2" t="inlineStr"/>
    </row>
    <row r="405" ht="15" customHeight="1">
      <c r="A405" t="inlineStr">
        <is>
          <t>A 14797-2024</t>
        </is>
      </c>
      <c r="B405" s="1" t="n">
        <v>45397.87030092593</v>
      </c>
      <c r="C405" s="1" t="n">
        <v>45986</v>
      </c>
      <c r="D405" t="inlineStr">
        <is>
          <t>GOTLANDS LÄN</t>
        </is>
      </c>
      <c r="E405" t="inlineStr">
        <is>
          <t>GOTLAND</t>
        </is>
      </c>
      <c r="G405" t="n">
        <v>8.1</v>
      </c>
      <c r="H405" t="n">
        <v>0</v>
      </c>
      <c r="I405" t="n">
        <v>0</v>
      </c>
      <c r="J405" t="n">
        <v>0</v>
      </c>
      <c r="K405" t="n">
        <v>0</v>
      </c>
      <c r="L405" t="n">
        <v>0</v>
      </c>
      <c r="M405" t="n">
        <v>0</v>
      </c>
      <c r="N405" t="n">
        <v>0</v>
      </c>
      <c r="O405" t="n">
        <v>0</v>
      </c>
      <c r="P405" t="n">
        <v>0</v>
      </c>
      <c r="Q405" t="n">
        <v>0</v>
      </c>
      <c r="R405" s="2" t="inlineStr"/>
    </row>
    <row r="406" ht="15" customHeight="1">
      <c r="A406" t="inlineStr">
        <is>
          <t>A 30104-2025</t>
        </is>
      </c>
      <c r="B406" s="1" t="n">
        <v>45826.68806712963</v>
      </c>
      <c r="C406" s="1" t="n">
        <v>45986</v>
      </c>
      <c r="D406" t="inlineStr">
        <is>
          <t>GOTLANDS LÄN</t>
        </is>
      </c>
      <c r="E406" t="inlineStr">
        <is>
          <t>GOTLAND</t>
        </is>
      </c>
      <c r="G406" t="n">
        <v>15.4</v>
      </c>
      <c r="H406" t="n">
        <v>0</v>
      </c>
      <c r="I406" t="n">
        <v>0</v>
      </c>
      <c r="J406" t="n">
        <v>0</v>
      </c>
      <c r="K406" t="n">
        <v>0</v>
      </c>
      <c r="L406" t="n">
        <v>0</v>
      </c>
      <c r="M406" t="n">
        <v>0</v>
      </c>
      <c r="N406" t="n">
        <v>0</v>
      </c>
      <c r="O406" t="n">
        <v>0</v>
      </c>
      <c r="P406" t="n">
        <v>0</v>
      </c>
      <c r="Q406" t="n">
        <v>0</v>
      </c>
      <c r="R406" s="2" t="inlineStr"/>
    </row>
    <row r="407" ht="15" customHeight="1">
      <c r="A407" t="inlineStr">
        <is>
          <t>A 32669-2024</t>
        </is>
      </c>
      <c r="B407" s="1" t="n">
        <v>45514</v>
      </c>
      <c r="C407" s="1" t="n">
        <v>45986</v>
      </c>
      <c r="D407" t="inlineStr">
        <is>
          <t>GOTLANDS LÄN</t>
        </is>
      </c>
      <c r="E407" t="inlineStr">
        <is>
          <t>GOTLAND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45986</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35537-2025</t>
        </is>
      </c>
      <c r="B409" s="1" t="n">
        <v>45856</v>
      </c>
      <c r="C409" s="1" t="n">
        <v>45986</v>
      </c>
      <c r="D409" t="inlineStr">
        <is>
          <t>GOTLANDS LÄN</t>
        </is>
      </c>
      <c r="E409" t="inlineStr">
        <is>
          <t>GOTLAND</t>
        </is>
      </c>
      <c r="G409" t="n">
        <v>16.8</v>
      </c>
      <c r="H409" t="n">
        <v>0</v>
      </c>
      <c r="I409" t="n">
        <v>0</v>
      </c>
      <c r="J409" t="n">
        <v>0</v>
      </c>
      <c r="K409" t="n">
        <v>0</v>
      </c>
      <c r="L409" t="n">
        <v>0</v>
      </c>
      <c r="M409" t="n">
        <v>0</v>
      </c>
      <c r="N409" t="n">
        <v>0</v>
      </c>
      <c r="O409" t="n">
        <v>0</v>
      </c>
      <c r="P409" t="n">
        <v>0</v>
      </c>
      <c r="Q409" t="n">
        <v>0</v>
      </c>
      <c r="R409" s="2" t="inlineStr"/>
    </row>
    <row r="410" ht="15" customHeight="1">
      <c r="A410" t="inlineStr">
        <is>
          <t>A 1394-2023</t>
        </is>
      </c>
      <c r="B410" s="1" t="n">
        <v>44936.72997685185</v>
      </c>
      <c r="C410" s="1" t="n">
        <v>45986</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2676-2023</t>
        </is>
      </c>
      <c r="B411" s="1" t="n">
        <v>44944</v>
      </c>
      <c r="C411" s="1" t="n">
        <v>45986</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4387-2023</t>
        </is>
      </c>
      <c r="B412" s="1" t="n">
        <v>44955.73359953704</v>
      </c>
      <c r="C412" s="1" t="n">
        <v>45986</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49411-2023</t>
        </is>
      </c>
      <c r="B413" s="1" t="n">
        <v>45205</v>
      </c>
      <c r="C413" s="1" t="n">
        <v>45986</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37728-2024</t>
        </is>
      </c>
      <c r="B414" s="1" t="n">
        <v>45541</v>
      </c>
      <c r="C414" s="1" t="n">
        <v>45986</v>
      </c>
      <c r="D414" t="inlineStr">
        <is>
          <t>GOTLANDS LÄN</t>
        </is>
      </c>
      <c r="E414" t="inlineStr">
        <is>
          <t>GOTLAND</t>
        </is>
      </c>
      <c r="G414" t="n">
        <v>0.4</v>
      </c>
      <c r="H414" t="n">
        <v>0</v>
      </c>
      <c r="I414" t="n">
        <v>0</v>
      </c>
      <c r="J414" t="n">
        <v>0</v>
      </c>
      <c r="K414" t="n">
        <v>0</v>
      </c>
      <c r="L414" t="n">
        <v>0</v>
      </c>
      <c r="M414" t="n">
        <v>0</v>
      </c>
      <c r="N414" t="n">
        <v>0</v>
      </c>
      <c r="O414" t="n">
        <v>0</v>
      </c>
      <c r="P414" t="n">
        <v>0</v>
      </c>
      <c r="Q414" t="n">
        <v>0</v>
      </c>
      <c r="R414" s="2" t="inlineStr"/>
    </row>
    <row r="415" ht="15" customHeight="1">
      <c r="A415" t="inlineStr">
        <is>
          <t>A 2241-2025</t>
        </is>
      </c>
      <c r="B415" s="1" t="n">
        <v>45673.48710648148</v>
      </c>
      <c r="C415" s="1" t="n">
        <v>45986</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30488-2025</t>
        </is>
      </c>
      <c r="B416" s="1" t="n">
        <v>45830</v>
      </c>
      <c r="C416" s="1" t="n">
        <v>45986</v>
      </c>
      <c r="D416" t="inlineStr">
        <is>
          <t>GOTLANDS LÄN</t>
        </is>
      </c>
      <c r="E416" t="inlineStr">
        <is>
          <t>GOTLAND</t>
        </is>
      </c>
      <c r="F416" t="inlineStr">
        <is>
          <t>Kyrkan</t>
        </is>
      </c>
      <c r="G416" t="n">
        <v>3.9</v>
      </c>
      <c r="H416" t="n">
        <v>0</v>
      </c>
      <c r="I416" t="n">
        <v>0</v>
      </c>
      <c r="J416" t="n">
        <v>0</v>
      </c>
      <c r="K416" t="n">
        <v>0</v>
      </c>
      <c r="L416" t="n">
        <v>0</v>
      </c>
      <c r="M416" t="n">
        <v>0</v>
      </c>
      <c r="N416" t="n">
        <v>0</v>
      </c>
      <c r="O416" t="n">
        <v>0</v>
      </c>
      <c r="P416" t="n">
        <v>0</v>
      </c>
      <c r="Q416" t="n">
        <v>0</v>
      </c>
      <c r="R416" s="2" t="inlineStr"/>
    </row>
    <row r="417" ht="15" customHeight="1">
      <c r="A417" t="inlineStr">
        <is>
          <t>A 15216-2025</t>
        </is>
      </c>
      <c r="B417" s="1" t="n">
        <v>45744</v>
      </c>
      <c r="C417" s="1" t="n">
        <v>45986</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15001-2025</t>
        </is>
      </c>
      <c r="B418" s="1" t="n">
        <v>45743</v>
      </c>
      <c r="C418" s="1" t="n">
        <v>45986</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43790-2024</t>
        </is>
      </c>
      <c r="B419" s="1" t="n">
        <v>45571</v>
      </c>
      <c r="C419" s="1" t="n">
        <v>45986</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17847-2025</t>
        </is>
      </c>
      <c r="B420" s="1" t="n">
        <v>45758</v>
      </c>
      <c r="C420" s="1" t="n">
        <v>45986</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36319-2025</t>
        </is>
      </c>
      <c r="B421" s="1" t="n">
        <v>45868</v>
      </c>
      <c r="C421" s="1" t="n">
        <v>45986</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18742-2025</t>
        </is>
      </c>
      <c r="B422" s="1" t="n">
        <v>45763</v>
      </c>
      <c r="C422" s="1" t="n">
        <v>45986</v>
      </c>
      <c r="D422" t="inlineStr">
        <is>
          <t>GOTLANDS LÄN</t>
        </is>
      </c>
      <c r="E422" t="inlineStr">
        <is>
          <t>GOTLAND</t>
        </is>
      </c>
      <c r="G422" t="n">
        <v>3.4</v>
      </c>
      <c r="H422" t="n">
        <v>0</v>
      </c>
      <c r="I422" t="n">
        <v>0</v>
      </c>
      <c r="J422" t="n">
        <v>0</v>
      </c>
      <c r="K422" t="n">
        <v>0</v>
      </c>
      <c r="L422" t="n">
        <v>0</v>
      </c>
      <c r="M422" t="n">
        <v>0</v>
      </c>
      <c r="N422" t="n">
        <v>0</v>
      </c>
      <c r="O422" t="n">
        <v>0</v>
      </c>
      <c r="P422" t="n">
        <v>0</v>
      </c>
      <c r="Q422" t="n">
        <v>0</v>
      </c>
      <c r="R422" s="2" t="inlineStr"/>
    </row>
    <row r="423" ht="15" customHeight="1">
      <c r="A423" t="inlineStr">
        <is>
          <t>A 35129-2025</t>
        </is>
      </c>
      <c r="B423" s="1" t="n">
        <v>45852.63224537037</v>
      </c>
      <c r="C423" s="1" t="n">
        <v>45986</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22275-2023</t>
        </is>
      </c>
      <c r="B424" s="1" t="n">
        <v>45070.39875</v>
      </c>
      <c r="C424" s="1" t="n">
        <v>45986</v>
      </c>
      <c r="D424" t="inlineStr">
        <is>
          <t>GOTLANDS LÄN</t>
        </is>
      </c>
      <c r="E424" t="inlineStr">
        <is>
          <t>GOTLAND</t>
        </is>
      </c>
      <c r="G424" t="n">
        <v>7.2</v>
      </c>
      <c r="H424" t="n">
        <v>0</v>
      </c>
      <c r="I424" t="n">
        <v>0</v>
      </c>
      <c r="J424" t="n">
        <v>0</v>
      </c>
      <c r="K424" t="n">
        <v>0</v>
      </c>
      <c r="L424" t="n">
        <v>0</v>
      </c>
      <c r="M424" t="n">
        <v>0</v>
      </c>
      <c r="N424" t="n">
        <v>0</v>
      </c>
      <c r="O424" t="n">
        <v>0</v>
      </c>
      <c r="P424" t="n">
        <v>0</v>
      </c>
      <c r="Q424" t="n">
        <v>0</v>
      </c>
      <c r="R424" s="2" t="inlineStr"/>
    </row>
    <row r="425" ht="15" customHeight="1">
      <c r="A425" t="inlineStr">
        <is>
          <t>A 14635-2023</t>
        </is>
      </c>
      <c r="B425" s="1" t="n">
        <v>45013.69365740741</v>
      </c>
      <c r="C425" s="1" t="n">
        <v>45986</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63763-2023</t>
        </is>
      </c>
      <c r="B426" s="1" t="n">
        <v>45278.33944444444</v>
      </c>
      <c r="C426" s="1" t="n">
        <v>45986</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7635-2025</t>
        </is>
      </c>
      <c r="B427" s="1" t="n">
        <v>45705</v>
      </c>
      <c r="C427" s="1" t="n">
        <v>45986</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7636-2025</t>
        </is>
      </c>
      <c r="B428" s="1" t="n">
        <v>45705.7687962963</v>
      </c>
      <c r="C428" s="1" t="n">
        <v>45986</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7639-2025</t>
        </is>
      </c>
      <c r="B429" s="1" t="n">
        <v>45705.77465277778</v>
      </c>
      <c r="C429" s="1" t="n">
        <v>45986</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61682-2024</t>
        </is>
      </c>
      <c r="B430" s="1" t="n">
        <v>45647.48824074074</v>
      </c>
      <c r="C430" s="1" t="n">
        <v>45986</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15434-2024</t>
        </is>
      </c>
      <c r="B431" s="1" t="n">
        <v>45401.38836805556</v>
      </c>
      <c r="C431" s="1" t="n">
        <v>45986</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7034-2023</t>
        </is>
      </c>
      <c r="B432" s="1" t="n">
        <v>44968.32108796296</v>
      </c>
      <c r="C432" s="1" t="n">
        <v>45986</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7042-2023</t>
        </is>
      </c>
      <c r="B433" s="1" t="n">
        <v>44968</v>
      </c>
      <c r="C433" s="1" t="n">
        <v>45986</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2180-2025</t>
        </is>
      </c>
      <c r="B434" s="1" t="n">
        <v>45673</v>
      </c>
      <c r="C434" s="1" t="n">
        <v>45986</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54074-2022</t>
        </is>
      </c>
      <c r="B435" s="1" t="n">
        <v>44881</v>
      </c>
      <c r="C435" s="1" t="n">
        <v>45986</v>
      </c>
      <c r="D435" t="inlineStr">
        <is>
          <t>GOTLANDS LÄN</t>
        </is>
      </c>
      <c r="E435" t="inlineStr">
        <is>
          <t>GOTLAND</t>
        </is>
      </c>
      <c r="G435" t="n">
        <v>0.9</v>
      </c>
      <c r="H435" t="n">
        <v>0</v>
      </c>
      <c r="I435" t="n">
        <v>0</v>
      </c>
      <c r="J435" t="n">
        <v>0</v>
      </c>
      <c r="K435" t="n">
        <v>0</v>
      </c>
      <c r="L435" t="n">
        <v>0</v>
      </c>
      <c r="M435" t="n">
        <v>0</v>
      </c>
      <c r="N435" t="n">
        <v>0</v>
      </c>
      <c r="O435" t="n">
        <v>0</v>
      </c>
      <c r="P435" t="n">
        <v>0</v>
      </c>
      <c r="Q435" t="n">
        <v>0</v>
      </c>
      <c r="R435" s="2" t="inlineStr"/>
    </row>
    <row r="436" ht="15" customHeight="1">
      <c r="A436" t="inlineStr">
        <is>
          <t>A 61694-2023</t>
        </is>
      </c>
      <c r="B436" s="1" t="n">
        <v>45264</v>
      </c>
      <c r="C436" s="1" t="n">
        <v>45986</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45986</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54268-2022</t>
        </is>
      </c>
      <c r="B438" s="1" t="n">
        <v>44882</v>
      </c>
      <c r="C438" s="1" t="n">
        <v>45986</v>
      </c>
      <c r="D438" t="inlineStr">
        <is>
          <t>GOTLANDS LÄN</t>
        </is>
      </c>
      <c r="E438" t="inlineStr">
        <is>
          <t>GOTLAND</t>
        </is>
      </c>
      <c r="G438" t="n">
        <v>2.7</v>
      </c>
      <c r="H438" t="n">
        <v>0</v>
      </c>
      <c r="I438" t="n">
        <v>0</v>
      </c>
      <c r="J438" t="n">
        <v>0</v>
      </c>
      <c r="K438" t="n">
        <v>0</v>
      </c>
      <c r="L438" t="n">
        <v>0</v>
      </c>
      <c r="M438" t="n">
        <v>0</v>
      </c>
      <c r="N438" t="n">
        <v>0</v>
      </c>
      <c r="O438" t="n">
        <v>0</v>
      </c>
      <c r="P438" t="n">
        <v>0</v>
      </c>
      <c r="Q438" t="n">
        <v>0</v>
      </c>
      <c r="R438" s="2" t="inlineStr"/>
    </row>
    <row r="439" ht="15" customHeight="1">
      <c r="A439" t="inlineStr">
        <is>
          <t>A 30489-2025</t>
        </is>
      </c>
      <c r="B439" s="1" t="n">
        <v>45830</v>
      </c>
      <c r="C439" s="1" t="n">
        <v>45986</v>
      </c>
      <c r="D439" t="inlineStr">
        <is>
          <t>GOTLANDS LÄN</t>
        </is>
      </c>
      <c r="E439" t="inlineStr">
        <is>
          <t>GOTLAND</t>
        </is>
      </c>
      <c r="G439" t="n">
        <v>4.6</v>
      </c>
      <c r="H439" t="n">
        <v>0</v>
      </c>
      <c r="I439" t="n">
        <v>0</v>
      </c>
      <c r="J439" t="n">
        <v>0</v>
      </c>
      <c r="K439" t="n">
        <v>0</v>
      </c>
      <c r="L439" t="n">
        <v>0</v>
      </c>
      <c r="M439" t="n">
        <v>0</v>
      </c>
      <c r="N439" t="n">
        <v>0</v>
      </c>
      <c r="O439" t="n">
        <v>0</v>
      </c>
      <c r="P439" t="n">
        <v>0</v>
      </c>
      <c r="Q439" t="n">
        <v>0</v>
      </c>
      <c r="R439" s="2" t="inlineStr"/>
    </row>
    <row r="440" ht="15" customHeight="1">
      <c r="A440" t="inlineStr">
        <is>
          <t>A 21142-2025</t>
        </is>
      </c>
      <c r="B440" s="1" t="n">
        <v>45779</v>
      </c>
      <c r="C440" s="1" t="n">
        <v>45986</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1446-2025</t>
        </is>
      </c>
      <c r="B441" s="1" t="n">
        <v>45669.86035879629</v>
      </c>
      <c r="C441" s="1" t="n">
        <v>45986</v>
      </c>
      <c r="D441" t="inlineStr">
        <is>
          <t>GOTLANDS LÄN</t>
        </is>
      </c>
      <c r="E441" t="inlineStr">
        <is>
          <t>GOTLAND</t>
        </is>
      </c>
      <c r="G441" t="n">
        <v>3.1</v>
      </c>
      <c r="H441" t="n">
        <v>0</v>
      </c>
      <c r="I441" t="n">
        <v>0</v>
      </c>
      <c r="J441" t="n">
        <v>0</v>
      </c>
      <c r="K441" t="n">
        <v>0</v>
      </c>
      <c r="L441" t="n">
        <v>0</v>
      </c>
      <c r="M441" t="n">
        <v>0</v>
      </c>
      <c r="N441" t="n">
        <v>0</v>
      </c>
      <c r="O441" t="n">
        <v>0</v>
      </c>
      <c r="P441" t="n">
        <v>0</v>
      </c>
      <c r="Q441" t="n">
        <v>0</v>
      </c>
      <c r="R441" s="2" t="inlineStr"/>
    </row>
    <row r="442" ht="15" customHeight="1">
      <c r="A442" t="inlineStr">
        <is>
          <t>A 1462-2025</t>
        </is>
      </c>
      <c r="B442" s="1" t="n">
        <v>45670.36319444444</v>
      </c>
      <c r="C442" s="1" t="n">
        <v>45986</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6108-2025</t>
        </is>
      </c>
      <c r="B443" s="1" t="n">
        <v>45698.29880787037</v>
      </c>
      <c r="C443" s="1" t="n">
        <v>45986</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57685-2022</t>
        </is>
      </c>
      <c r="B444" s="1" t="n">
        <v>44897.4777662037</v>
      </c>
      <c r="C444" s="1" t="n">
        <v>45986</v>
      </c>
      <c r="D444" t="inlineStr">
        <is>
          <t>GOTLANDS LÄN</t>
        </is>
      </c>
      <c r="E444" t="inlineStr">
        <is>
          <t>GOTLAND</t>
        </is>
      </c>
      <c r="G444" t="n">
        <v>3.7</v>
      </c>
      <c r="H444" t="n">
        <v>0</v>
      </c>
      <c r="I444" t="n">
        <v>0</v>
      </c>
      <c r="J444" t="n">
        <v>0</v>
      </c>
      <c r="K444" t="n">
        <v>0</v>
      </c>
      <c r="L444" t="n">
        <v>0</v>
      </c>
      <c r="M444" t="n">
        <v>0</v>
      </c>
      <c r="N444" t="n">
        <v>0</v>
      </c>
      <c r="O444" t="n">
        <v>0</v>
      </c>
      <c r="P444" t="n">
        <v>0</v>
      </c>
      <c r="Q444" t="n">
        <v>0</v>
      </c>
      <c r="R444" s="2" t="inlineStr"/>
    </row>
    <row r="445" ht="15" customHeight="1">
      <c r="A445" t="inlineStr">
        <is>
          <t>A 811-2023</t>
        </is>
      </c>
      <c r="B445" s="1" t="n">
        <v>44931</v>
      </c>
      <c r="C445" s="1" t="n">
        <v>45986</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17343-2025</t>
        </is>
      </c>
      <c r="B446" s="1" t="n">
        <v>45756.6687037037</v>
      </c>
      <c r="C446" s="1" t="n">
        <v>45986</v>
      </c>
      <c r="D446" t="inlineStr">
        <is>
          <t>GOTLANDS LÄN</t>
        </is>
      </c>
      <c r="E446" t="inlineStr">
        <is>
          <t>GOTLAND</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18938-2025</t>
        </is>
      </c>
      <c r="B447" s="1" t="n">
        <v>45764.49172453704</v>
      </c>
      <c r="C447" s="1" t="n">
        <v>45986</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20307-2025</t>
        </is>
      </c>
      <c r="B448" s="1" t="n">
        <v>45774.95546296296</v>
      </c>
      <c r="C448" s="1" t="n">
        <v>45986</v>
      </c>
      <c r="D448" t="inlineStr">
        <is>
          <t>GOTLANDS LÄN</t>
        </is>
      </c>
      <c r="E448" t="inlineStr">
        <is>
          <t>GOTLAND</t>
        </is>
      </c>
      <c r="G448" t="n">
        <v>6.8</v>
      </c>
      <c r="H448" t="n">
        <v>0</v>
      </c>
      <c r="I448" t="n">
        <v>0</v>
      </c>
      <c r="J448" t="n">
        <v>0</v>
      </c>
      <c r="K448" t="n">
        <v>0</v>
      </c>
      <c r="L448" t="n">
        <v>0</v>
      </c>
      <c r="M448" t="n">
        <v>0</v>
      </c>
      <c r="N448" t="n">
        <v>0</v>
      </c>
      <c r="O448" t="n">
        <v>0</v>
      </c>
      <c r="P448" t="n">
        <v>0</v>
      </c>
      <c r="Q448" t="n">
        <v>0</v>
      </c>
      <c r="R448" s="2" t="inlineStr"/>
    </row>
    <row r="449" ht="15" customHeight="1">
      <c r="A449" t="inlineStr">
        <is>
          <t>A 5905-2024</t>
        </is>
      </c>
      <c r="B449" s="1" t="n">
        <v>45335.88993055555</v>
      </c>
      <c r="C449" s="1" t="n">
        <v>45986</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3431-2025</t>
        </is>
      </c>
      <c r="B450" s="1" t="n">
        <v>45680.42935185185</v>
      </c>
      <c r="C450" s="1" t="n">
        <v>45986</v>
      </c>
      <c r="D450" t="inlineStr">
        <is>
          <t>GOTLANDS LÄN</t>
        </is>
      </c>
      <c r="E450" t="inlineStr">
        <is>
          <t>GOTLAND</t>
        </is>
      </c>
      <c r="G450" t="n">
        <v>4.8</v>
      </c>
      <c r="H450" t="n">
        <v>0</v>
      </c>
      <c r="I450" t="n">
        <v>0</v>
      </c>
      <c r="J450" t="n">
        <v>0</v>
      </c>
      <c r="K450" t="n">
        <v>0</v>
      </c>
      <c r="L450" t="n">
        <v>0</v>
      </c>
      <c r="M450" t="n">
        <v>0</v>
      </c>
      <c r="N450" t="n">
        <v>0</v>
      </c>
      <c r="O450" t="n">
        <v>0</v>
      </c>
      <c r="P450" t="n">
        <v>0</v>
      </c>
      <c r="Q450" t="n">
        <v>0</v>
      </c>
      <c r="R450" s="2" t="inlineStr"/>
    </row>
    <row r="451" ht="15" customHeight="1">
      <c r="A451" t="inlineStr">
        <is>
          <t>A 34407-2023</t>
        </is>
      </c>
      <c r="B451" s="1" t="n">
        <v>45132</v>
      </c>
      <c r="C451" s="1" t="n">
        <v>45986</v>
      </c>
      <c r="D451" t="inlineStr">
        <is>
          <t>GOTLANDS LÄN</t>
        </is>
      </c>
      <c r="E451" t="inlineStr">
        <is>
          <t>GOTLAND</t>
        </is>
      </c>
      <c r="G451" t="n">
        <v>4.4</v>
      </c>
      <c r="H451" t="n">
        <v>0</v>
      </c>
      <c r="I451" t="n">
        <v>0</v>
      </c>
      <c r="J451" t="n">
        <v>0</v>
      </c>
      <c r="K451" t="n">
        <v>0</v>
      </c>
      <c r="L451" t="n">
        <v>0</v>
      </c>
      <c r="M451" t="n">
        <v>0</v>
      </c>
      <c r="N451" t="n">
        <v>0</v>
      </c>
      <c r="O451" t="n">
        <v>0</v>
      </c>
      <c r="P451" t="n">
        <v>0</v>
      </c>
      <c r="Q451" t="n">
        <v>0</v>
      </c>
      <c r="R451" s="2" t="inlineStr"/>
    </row>
    <row r="452" ht="15" customHeight="1">
      <c r="A452" t="inlineStr">
        <is>
          <t>A 30892-2024</t>
        </is>
      </c>
      <c r="B452" s="1" t="n">
        <v>45491</v>
      </c>
      <c r="C452" s="1" t="n">
        <v>45986</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45986</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18993-2025</t>
        </is>
      </c>
      <c r="B454" s="1" t="n">
        <v>45764</v>
      </c>
      <c r="C454" s="1" t="n">
        <v>45986</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30135-2025</t>
        </is>
      </c>
      <c r="B455" s="1" t="n">
        <v>45826</v>
      </c>
      <c r="C455" s="1" t="n">
        <v>45986</v>
      </c>
      <c r="D455" t="inlineStr">
        <is>
          <t>GOTLANDS LÄN</t>
        </is>
      </c>
      <c r="E455" t="inlineStr">
        <is>
          <t>GOTLAND</t>
        </is>
      </c>
      <c r="G455" t="n">
        <v>2.7</v>
      </c>
      <c r="H455" t="n">
        <v>0</v>
      </c>
      <c r="I455" t="n">
        <v>0</v>
      </c>
      <c r="J455" t="n">
        <v>0</v>
      </c>
      <c r="K455" t="n">
        <v>0</v>
      </c>
      <c r="L455" t="n">
        <v>0</v>
      </c>
      <c r="M455" t="n">
        <v>0</v>
      </c>
      <c r="N455" t="n">
        <v>0</v>
      </c>
      <c r="O455" t="n">
        <v>0</v>
      </c>
      <c r="P455" t="n">
        <v>0</v>
      </c>
      <c r="Q455" t="n">
        <v>0</v>
      </c>
      <c r="R455" s="2" t="inlineStr"/>
    </row>
    <row r="456" ht="15" customHeight="1">
      <c r="A456" t="inlineStr">
        <is>
          <t>A 7858-2025</t>
        </is>
      </c>
      <c r="B456" s="1" t="n">
        <v>45706.68633101852</v>
      </c>
      <c r="C456" s="1" t="n">
        <v>45986</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46545-2024</t>
        </is>
      </c>
      <c r="B457" s="1" t="n">
        <v>45582.65831018519</v>
      </c>
      <c r="C457" s="1" t="n">
        <v>45986</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999-2023</t>
        </is>
      </c>
      <c r="B458" s="1" t="n">
        <v>44935</v>
      </c>
      <c r="C458" s="1" t="n">
        <v>45986</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1364-2025</t>
        </is>
      </c>
      <c r="B459" s="1" t="n">
        <v>45667.63929398148</v>
      </c>
      <c r="C459" s="1" t="n">
        <v>45986</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2125-2025</t>
        </is>
      </c>
      <c r="B460" s="1" t="n">
        <v>45672.64940972222</v>
      </c>
      <c r="C460" s="1" t="n">
        <v>45986</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12599-2025</t>
        </is>
      </c>
      <c r="B461" s="1" t="n">
        <v>45733.29546296296</v>
      </c>
      <c r="C461" s="1" t="n">
        <v>45986</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14141-2024</t>
        </is>
      </c>
      <c r="B462" s="1" t="n">
        <v>45392.85193287037</v>
      </c>
      <c r="C462" s="1" t="n">
        <v>45986</v>
      </c>
      <c r="D462" t="inlineStr">
        <is>
          <t>GOTLANDS LÄN</t>
        </is>
      </c>
      <c r="E462" t="inlineStr">
        <is>
          <t>GOTLAND</t>
        </is>
      </c>
      <c r="G462" t="n">
        <v>5.3</v>
      </c>
      <c r="H462" t="n">
        <v>0</v>
      </c>
      <c r="I462" t="n">
        <v>0</v>
      </c>
      <c r="J462" t="n">
        <v>0</v>
      </c>
      <c r="K462" t="n">
        <v>0</v>
      </c>
      <c r="L462" t="n">
        <v>0</v>
      </c>
      <c r="M462" t="n">
        <v>0</v>
      </c>
      <c r="N462" t="n">
        <v>0</v>
      </c>
      <c r="O462" t="n">
        <v>0</v>
      </c>
      <c r="P462" t="n">
        <v>0</v>
      </c>
      <c r="Q462" t="n">
        <v>0</v>
      </c>
      <c r="R462" s="2" t="inlineStr"/>
    </row>
    <row r="463" ht="15" customHeight="1">
      <c r="A463" t="inlineStr">
        <is>
          <t>A 12155-2023</t>
        </is>
      </c>
      <c r="B463" s="1" t="n">
        <v>44998.49106481481</v>
      </c>
      <c r="C463" s="1" t="n">
        <v>45986</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2774-2024</t>
        </is>
      </c>
      <c r="B464" s="1" t="n">
        <v>45314.62375</v>
      </c>
      <c r="C464" s="1" t="n">
        <v>45986</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9947-2024</t>
        </is>
      </c>
      <c r="B465" s="1" t="n">
        <v>45363</v>
      </c>
      <c r="C465" s="1" t="n">
        <v>45986</v>
      </c>
      <c r="D465" t="inlineStr">
        <is>
          <t>GOTLANDS LÄN</t>
        </is>
      </c>
      <c r="E465" t="inlineStr">
        <is>
          <t>GOTLAND</t>
        </is>
      </c>
      <c r="G465" t="n">
        <v>2</v>
      </c>
      <c r="H465" t="n">
        <v>0</v>
      </c>
      <c r="I465" t="n">
        <v>0</v>
      </c>
      <c r="J465" t="n">
        <v>0</v>
      </c>
      <c r="K465" t="n">
        <v>0</v>
      </c>
      <c r="L465" t="n">
        <v>0</v>
      </c>
      <c r="M465" t="n">
        <v>0</v>
      </c>
      <c r="N465" t="n">
        <v>0</v>
      </c>
      <c r="O465" t="n">
        <v>0</v>
      </c>
      <c r="P465" t="n">
        <v>0</v>
      </c>
      <c r="Q465" t="n">
        <v>0</v>
      </c>
      <c r="R465" s="2" t="inlineStr"/>
    </row>
    <row r="466" ht="15" customHeight="1">
      <c r="A466" t="inlineStr">
        <is>
          <t>A 42007-2023</t>
        </is>
      </c>
      <c r="B466" s="1" t="n">
        <v>45177</v>
      </c>
      <c r="C466" s="1" t="n">
        <v>45986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45986</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15083-2025</t>
        </is>
      </c>
      <c r="B468" s="1" t="n">
        <v>45743</v>
      </c>
      <c r="C468" s="1" t="n">
        <v>45986</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1066-2024</t>
        </is>
      </c>
      <c r="B469" s="1" t="n">
        <v>45302.285</v>
      </c>
      <c r="C469" s="1" t="n">
        <v>45986</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37202-2024</t>
        </is>
      </c>
      <c r="B470" s="1" t="n">
        <v>45539.67310185185</v>
      </c>
      <c r="C470" s="1" t="n">
        <v>45986</v>
      </c>
      <c r="D470" t="inlineStr">
        <is>
          <t>GOTLANDS LÄN</t>
        </is>
      </c>
      <c r="E470" t="inlineStr">
        <is>
          <t>GOTLAND</t>
        </is>
      </c>
      <c r="G470" t="n">
        <v>0.3</v>
      </c>
      <c r="H470" t="n">
        <v>0</v>
      </c>
      <c r="I470" t="n">
        <v>0</v>
      </c>
      <c r="J470" t="n">
        <v>0</v>
      </c>
      <c r="K470" t="n">
        <v>0</v>
      </c>
      <c r="L470" t="n">
        <v>0</v>
      </c>
      <c r="M470" t="n">
        <v>0</v>
      </c>
      <c r="N470" t="n">
        <v>0</v>
      </c>
      <c r="O470" t="n">
        <v>0</v>
      </c>
      <c r="P470" t="n">
        <v>0</v>
      </c>
      <c r="Q470" t="n">
        <v>0</v>
      </c>
      <c r="R470" s="2" t="inlineStr"/>
    </row>
    <row r="471" ht="15" customHeight="1">
      <c r="A471" t="inlineStr">
        <is>
          <t>A 30815-2023</t>
        </is>
      </c>
      <c r="B471" s="1" t="n">
        <v>45112</v>
      </c>
      <c r="C471" s="1" t="n">
        <v>45986</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46400-2023</t>
        </is>
      </c>
      <c r="B472" s="1" t="n">
        <v>45197.49290509259</v>
      </c>
      <c r="C472" s="1" t="n">
        <v>45986</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10492-2023</t>
        </is>
      </c>
      <c r="B473" s="1" t="n">
        <v>44987</v>
      </c>
      <c r="C473" s="1" t="n">
        <v>45986</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45986</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16501-2023</t>
        </is>
      </c>
      <c r="B475" s="1" t="n">
        <v>45029</v>
      </c>
      <c r="C475" s="1" t="n">
        <v>45986</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45986</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458-2023</t>
        </is>
      </c>
      <c r="B477" s="1" t="n">
        <v>44929</v>
      </c>
      <c r="C477" s="1" t="n">
        <v>45986</v>
      </c>
      <c r="D477" t="inlineStr">
        <is>
          <t>GOTLANDS LÄN</t>
        </is>
      </c>
      <c r="E477" t="inlineStr">
        <is>
          <t>GOTLAND</t>
        </is>
      </c>
      <c r="G477" t="n">
        <v>3.6</v>
      </c>
      <c r="H477" t="n">
        <v>0</v>
      </c>
      <c r="I477" t="n">
        <v>0</v>
      </c>
      <c r="J477" t="n">
        <v>0</v>
      </c>
      <c r="K477" t="n">
        <v>0</v>
      </c>
      <c r="L477" t="n">
        <v>0</v>
      </c>
      <c r="M477" t="n">
        <v>0</v>
      </c>
      <c r="N477" t="n">
        <v>0</v>
      </c>
      <c r="O477" t="n">
        <v>0</v>
      </c>
      <c r="P477" t="n">
        <v>0</v>
      </c>
      <c r="Q477" t="n">
        <v>0</v>
      </c>
      <c r="R477" s="2" t="inlineStr"/>
    </row>
    <row r="478" ht="15" customHeight="1">
      <c r="A478" t="inlineStr">
        <is>
          <t>A 1291-2023</t>
        </is>
      </c>
      <c r="B478" s="1" t="n">
        <v>44936.47561342592</v>
      </c>
      <c r="C478" s="1" t="n">
        <v>45986</v>
      </c>
      <c r="D478" t="inlineStr">
        <is>
          <t>GOTLANDS LÄN</t>
        </is>
      </c>
      <c r="E478" t="inlineStr">
        <is>
          <t>GOTLAND</t>
        </is>
      </c>
      <c r="G478" t="n">
        <v>7.4</v>
      </c>
      <c r="H478" t="n">
        <v>0</v>
      </c>
      <c r="I478" t="n">
        <v>0</v>
      </c>
      <c r="J478" t="n">
        <v>0</v>
      </c>
      <c r="K478" t="n">
        <v>0</v>
      </c>
      <c r="L478" t="n">
        <v>0</v>
      </c>
      <c r="M478" t="n">
        <v>0</v>
      </c>
      <c r="N478" t="n">
        <v>0</v>
      </c>
      <c r="O478" t="n">
        <v>0</v>
      </c>
      <c r="P478" t="n">
        <v>0</v>
      </c>
      <c r="Q478" t="n">
        <v>0</v>
      </c>
      <c r="R478" s="2" t="inlineStr"/>
    </row>
    <row r="479" ht="15" customHeight="1">
      <c r="A479" t="inlineStr">
        <is>
          <t>A 32330-2024</t>
        </is>
      </c>
      <c r="B479" s="1" t="n">
        <v>45512</v>
      </c>
      <c r="C479" s="1" t="n">
        <v>45986</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45986</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14804-2021</t>
        </is>
      </c>
      <c r="B481" s="1" t="n">
        <v>44280</v>
      </c>
      <c r="C481" s="1" t="n">
        <v>45986</v>
      </c>
      <c r="D481" t="inlineStr">
        <is>
          <t>GOTLANDS LÄN</t>
        </is>
      </c>
      <c r="E481" t="inlineStr">
        <is>
          <t>GOTLAND</t>
        </is>
      </c>
      <c r="G481" t="n">
        <v>2.2</v>
      </c>
      <c r="H481" t="n">
        <v>0</v>
      </c>
      <c r="I481" t="n">
        <v>0</v>
      </c>
      <c r="J481" t="n">
        <v>0</v>
      </c>
      <c r="K481" t="n">
        <v>0</v>
      </c>
      <c r="L481" t="n">
        <v>0</v>
      </c>
      <c r="M481" t="n">
        <v>0</v>
      </c>
      <c r="N481" t="n">
        <v>0</v>
      </c>
      <c r="O481" t="n">
        <v>0</v>
      </c>
      <c r="P481" t="n">
        <v>0</v>
      </c>
      <c r="Q481" t="n">
        <v>0</v>
      </c>
      <c r="R481" s="2" t="inlineStr"/>
    </row>
    <row r="482" ht="15" customHeight="1">
      <c r="A482" t="inlineStr">
        <is>
          <t>A 2719-2023</t>
        </is>
      </c>
      <c r="B482" s="1" t="n">
        <v>44944.55361111111</v>
      </c>
      <c r="C482" s="1" t="n">
        <v>45986</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17144-2025</t>
        </is>
      </c>
      <c r="B483" s="1" t="n">
        <v>45755.9499537037</v>
      </c>
      <c r="C483" s="1" t="n">
        <v>45986</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49314-2024</t>
        </is>
      </c>
      <c r="B484" s="1" t="n">
        <v>45595.55893518519</v>
      </c>
      <c r="C484" s="1" t="n">
        <v>45986</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9875-2025</t>
        </is>
      </c>
      <c r="B485" s="1" t="n">
        <v>45716</v>
      </c>
      <c r="C485" s="1" t="n">
        <v>45986</v>
      </c>
      <c r="D485" t="inlineStr">
        <is>
          <t>GOTLANDS LÄN</t>
        </is>
      </c>
      <c r="E485" t="inlineStr">
        <is>
          <t>GOTLAND</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29809-2022</t>
        </is>
      </c>
      <c r="B486" s="1" t="n">
        <v>44755.8713425926</v>
      </c>
      <c r="C486" s="1" t="n">
        <v>45986</v>
      </c>
      <c r="D486" t="inlineStr">
        <is>
          <t>GOTLANDS LÄN</t>
        </is>
      </c>
      <c r="E486" t="inlineStr">
        <is>
          <t>GOTLAND</t>
        </is>
      </c>
      <c r="G486" t="n">
        <v>11.5</v>
      </c>
      <c r="H486" t="n">
        <v>0</v>
      </c>
      <c r="I486" t="n">
        <v>0</v>
      </c>
      <c r="J486" t="n">
        <v>0</v>
      </c>
      <c r="K486" t="n">
        <v>0</v>
      </c>
      <c r="L486" t="n">
        <v>0</v>
      </c>
      <c r="M486" t="n">
        <v>0</v>
      </c>
      <c r="N486" t="n">
        <v>0</v>
      </c>
      <c r="O486" t="n">
        <v>0</v>
      </c>
      <c r="P486" t="n">
        <v>0</v>
      </c>
      <c r="Q486" t="n">
        <v>0</v>
      </c>
      <c r="R486" s="2" t="inlineStr"/>
    </row>
    <row r="487" ht="15" customHeight="1">
      <c r="A487" t="inlineStr">
        <is>
          <t>A 16361-2024</t>
        </is>
      </c>
      <c r="B487" s="1" t="n">
        <v>45407</v>
      </c>
      <c r="C487" s="1" t="n">
        <v>45986</v>
      </c>
      <c r="D487" t="inlineStr">
        <is>
          <t>GOTLANDS LÄN</t>
        </is>
      </c>
      <c r="E487" t="inlineStr">
        <is>
          <t>GOTLAND</t>
        </is>
      </c>
      <c r="G487" t="n">
        <v>6</v>
      </c>
      <c r="H487" t="n">
        <v>0</v>
      </c>
      <c r="I487" t="n">
        <v>0</v>
      </c>
      <c r="J487" t="n">
        <v>0</v>
      </c>
      <c r="K487" t="n">
        <v>0</v>
      </c>
      <c r="L487" t="n">
        <v>0</v>
      </c>
      <c r="M487" t="n">
        <v>0</v>
      </c>
      <c r="N487" t="n">
        <v>0</v>
      </c>
      <c r="O487" t="n">
        <v>0</v>
      </c>
      <c r="P487" t="n">
        <v>0</v>
      </c>
      <c r="Q487" t="n">
        <v>0</v>
      </c>
      <c r="R487" s="2" t="inlineStr"/>
    </row>
    <row r="488" ht="15" customHeight="1">
      <c r="A488" t="inlineStr">
        <is>
          <t>A 43081-2022</t>
        </is>
      </c>
      <c r="B488" s="1" t="n">
        <v>44833</v>
      </c>
      <c r="C488" s="1" t="n">
        <v>45986</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1175-2025</t>
        </is>
      </c>
      <c r="B489" s="1" t="n">
        <v>45667.34449074074</v>
      </c>
      <c r="C489" s="1" t="n">
        <v>45986</v>
      </c>
      <c r="D489" t="inlineStr">
        <is>
          <t>GOTLANDS LÄN</t>
        </is>
      </c>
      <c r="E489" t="inlineStr">
        <is>
          <t>GOTLAND</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42201-2023</t>
        </is>
      </c>
      <c r="B490" s="1" t="n">
        <v>45179</v>
      </c>
      <c r="C490" s="1" t="n">
        <v>45986</v>
      </c>
      <c r="D490" t="inlineStr">
        <is>
          <t>GOTLANDS LÄN</t>
        </is>
      </c>
      <c r="E490" t="inlineStr">
        <is>
          <t>GOTLAND</t>
        </is>
      </c>
      <c r="G490" t="n">
        <v>11.9</v>
      </c>
      <c r="H490" t="n">
        <v>0</v>
      </c>
      <c r="I490" t="n">
        <v>0</v>
      </c>
      <c r="J490" t="n">
        <v>0</v>
      </c>
      <c r="K490" t="n">
        <v>0</v>
      </c>
      <c r="L490" t="n">
        <v>0</v>
      </c>
      <c r="M490" t="n">
        <v>0</v>
      </c>
      <c r="N490" t="n">
        <v>0</v>
      </c>
      <c r="O490" t="n">
        <v>0</v>
      </c>
      <c r="P490" t="n">
        <v>0</v>
      </c>
      <c r="Q490" t="n">
        <v>0</v>
      </c>
      <c r="R490" s="2" t="inlineStr"/>
    </row>
    <row r="491" ht="15" customHeight="1">
      <c r="A491" t="inlineStr">
        <is>
          <t>A 3150-2025</t>
        </is>
      </c>
      <c r="B491" s="1" t="n">
        <v>45679.28974537037</v>
      </c>
      <c r="C491" s="1" t="n">
        <v>45986</v>
      </c>
      <c r="D491" t="inlineStr">
        <is>
          <t>GOTLANDS LÄN</t>
        </is>
      </c>
      <c r="E491" t="inlineStr">
        <is>
          <t>GOTLAND</t>
        </is>
      </c>
      <c r="G491" t="n">
        <v>2.5</v>
      </c>
      <c r="H491" t="n">
        <v>0</v>
      </c>
      <c r="I491" t="n">
        <v>0</v>
      </c>
      <c r="J491" t="n">
        <v>0</v>
      </c>
      <c r="K491" t="n">
        <v>0</v>
      </c>
      <c r="L491" t="n">
        <v>0</v>
      </c>
      <c r="M491" t="n">
        <v>0</v>
      </c>
      <c r="N491" t="n">
        <v>0</v>
      </c>
      <c r="O491" t="n">
        <v>0</v>
      </c>
      <c r="P491" t="n">
        <v>0</v>
      </c>
      <c r="Q491" t="n">
        <v>0</v>
      </c>
      <c r="R491" s="2" t="inlineStr"/>
    </row>
    <row r="492" ht="15" customHeight="1">
      <c r="A492" t="inlineStr">
        <is>
          <t>A 42041-2024</t>
        </is>
      </c>
      <c r="B492" s="1" t="n">
        <v>45561</v>
      </c>
      <c r="C492" s="1" t="n">
        <v>45986</v>
      </c>
      <c r="D492" t="inlineStr">
        <is>
          <t>GOTLANDS LÄN</t>
        </is>
      </c>
      <c r="E492" t="inlineStr">
        <is>
          <t>GOTLAND</t>
        </is>
      </c>
      <c r="G492" t="n">
        <v>3.2</v>
      </c>
      <c r="H492" t="n">
        <v>0</v>
      </c>
      <c r="I492" t="n">
        <v>0</v>
      </c>
      <c r="J492" t="n">
        <v>0</v>
      </c>
      <c r="K492" t="n">
        <v>0</v>
      </c>
      <c r="L492" t="n">
        <v>0</v>
      </c>
      <c r="M492" t="n">
        <v>0</v>
      </c>
      <c r="N492" t="n">
        <v>0</v>
      </c>
      <c r="O492" t="n">
        <v>0</v>
      </c>
      <c r="P492" t="n">
        <v>0</v>
      </c>
      <c r="Q492" t="n">
        <v>0</v>
      </c>
      <c r="R492" s="2" t="inlineStr"/>
    </row>
    <row r="493" ht="15" customHeight="1">
      <c r="A493" t="inlineStr">
        <is>
          <t>A 15436-2025</t>
        </is>
      </c>
      <c r="B493" s="1" t="n">
        <v>45747.47462962963</v>
      </c>
      <c r="C493" s="1" t="n">
        <v>45986</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44705.38832175926</v>
      </c>
      <c r="C494" s="1" t="n">
        <v>45986</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17780-2022</t>
        </is>
      </c>
      <c r="B495" s="1" t="n">
        <v>44682.82622685185</v>
      </c>
      <c r="C495" s="1" t="n">
        <v>45986</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63516-2023</t>
        </is>
      </c>
      <c r="B496" s="1" t="n">
        <v>45274</v>
      </c>
      <c r="C496" s="1" t="n">
        <v>45986</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53935-2024</t>
        </is>
      </c>
      <c r="B497" s="1" t="n">
        <v>45615</v>
      </c>
      <c r="C497" s="1" t="n">
        <v>45986</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69112-2021</t>
        </is>
      </c>
      <c r="B498" s="1" t="n">
        <v>44530</v>
      </c>
      <c r="C498" s="1" t="n">
        <v>45986</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48734-2022</t>
        </is>
      </c>
      <c r="B499" s="1" t="n">
        <v>44855</v>
      </c>
      <c r="C499" s="1" t="n">
        <v>45986</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23516-2023</t>
        </is>
      </c>
      <c r="B500" s="1" t="n">
        <v>45076.93391203704</v>
      </c>
      <c r="C500" s="1" t="n">
        <v>45986</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43231-2023</t>
        </is>
      </c>
      <c r="B501" s="1" t="n">
        <v>45183.47025462963</v>
      </c>
      <c r="C501" s="1" t="n">
        <v>45986</v>
      </c>
      <c r="D501" t="inlineStr">
        <is>
          <t>GOTLANDS LÄN</t>
        </is>
      </c>
      <c r="E501" t="inlineStr">
        <is>
          <t>GOTLAND</t>
        </is>
      </c>
      <c r="G501" t="n">
        <v>3.6</v>
      </c>
      <c r="H501" t="n">
        <v>0</v>
      </c>
      <c r="I501" t="n">
        <v>0</v>
      </c>
      <c r="J501" t="n">
        <v>0</v>
      </c>
      <c r="K501" t="n">
        <v>0</v>
      </c>
      <c r="L501" t="n">
        <v>0</v>
      </c>
      <c r="M501" t="n">
        <v>0</v>
      </c>
      <c r="N501" t="n">
        <v>0</v>
      </c>
      <c r="O501" t="n">
        <v>0</v>
      </c>
      <c r="P501" t="n">
        <v>0</v>
      </c>
      <c r="Q501" t="n">
        <v>0</v>
      </c>
      <c r="R501" s="2" t="inlineStr"/>
    </row>
    <row r="502" ht="15" customHeight="1">
      <c r="A502" t="inlineStr">
        <is>
          <t>A 58230-2024</t>
        </is>
      </c>
      <c r="B502" s="1" t="n">
        <v>45632.51625</v>
      </c>
      <c r="C502" s="1" t="n">
        <v>45986</v>
      </c>
      <c r="D502" t="inlineStr">
        <is>
          <t>GOTLANDS LÄN</t>
        </is>
      </c>
      <c r="E502" t="inlineStr">
        <is>
          <t>GOTLAND</t>
        </is>
      </c>
      <c r="G502" t="n">
        <v>7.3</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45986</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457-2023</t>
        </is>
      </c>
      <c r="B504" s="1" t="n">
        <v>44929.87238425926</v>
      </c>
      <c r="C504" s="1" t="n">
        <v>45986</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459-2023</t>
        </is>
      </c>
      <c r="B505" s="1" t="n">
        <v>44929.87423611111</v>
      </c>
      <c r="C505" s="1" t="n">
        <v>45986</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876-2024</t>
        </is>
      </c>
      <c r="B506" s="1" t="n">
        <v>45301</v>
      </c>
      <c r="C506" s="1" t="n">
        <v>45986</v>
      </c>
      <c r="D506" t="inlineStr">
        <is>
          <t>GOTLANDS LÄN</t>
        </is>
      </c>
      <c r="E506" t="inlineStr">
        <is>
          <t>GOTLAND</t>
        </is>
      </c>
      <c r="G506" t="n">
        <v>5.3</v>
      </c>
      <c r="H506" t="n">
        <v>0</v>
      </c>
      <c r="I506" t="n">
        <v>0</v>
      </c>
      <c r="J506" t="n">
        <v>0</v>
      </c>
      <c r="K506" t="n">
        <v>0</v>
      </c>
      <c r="L506" t="n">
        <v>0</v>
      </c>
      <c r="M506" t="n">
        <v>0</v>
      </c>
      <c r="N506" t="n">
        <v>0</v>
      </c>
      <c r="O506" t="n">
        <v>0</v>
      </c>
      <c r="P506" t="n">
        <v>0</v>
      </c>
      <c r="Q506" t="n">
        <v>0</v>
      </c>
      <c r="R506" s="2" t="inlineStr"/>
    </row>
    <row r="507" ht="15" customHeight="1">
      <c r="A507" t="inlineStr">
        <is>
          <t>A 26891-2024</t>
        </is>
      </c>
      <c r="B507" s="1" t="n">
        <v>45470.65540509259</v>
      </c>
      <c r="C507" s="1" t="n">
        <v>45986</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14536-2021</t>
        </is>
      </c>
      <c r="B508" s="1" t="n">
        <v>44279.66168981481</v>
      </c>
      <c r="C508" s="1" t="n">
        <v>45986</v>
      </c>
      <c r="D508" t="inlineStr">
        <is>
          <t>GOTLANDS LÄN</t>
        </is>
      </c>
      <c r="E508" t="inlineStr">
        <is>
          <t>GOTLAND</t>
        </is>
      </c>
      <c r="G508" t="n">
        <v>8.5</v>
      </c>
      <c r="H508" t="n">
        <v>0</v>
      </c>
      <c r="I508" t="n">
        <v>0</v>
      </c>
      <c r="J508" t="n">
        <v>0</v>
      </c>
      <c r="K508" t="n">
        <v>0</v>
      </c>
      <c r="L508" t="n">
        <v>0</v>
      </c>
      <c r="M508" t="n">
        <v>0</v>
      </c>
      <c r="N508" t="n">
        <v>0</v>
      </c>
      <c r="O508" t="n">
        <v>0</v>
      </c>
      <c r="P508" t="n">
        <v>0</v>
      </c>
      <c r="Q508" t="n">
        <v>0</v>
      </c>
      <c r="R508" s="2" t="inlineStr"/>
    </row>
    <row r="509" ht="15" customHeight="1">
      <c r="A509" t="inlineStr">
        <is>
          <t>A 5923-2023</t>
        </is>
      </c>
      <c r="B509" s="1" t="n">
        <v>44963.69503472222</v>
      </c>
      <c r="C509" s="1" t="n">
        <v>45986</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50482-2024</t>
        </is>
      </c>
      <c r="B510" s="1" t="n">
        <v>45601.48114583334</v>
      </c>
      <c r="C510" s="1" t="n">
        <v>45986</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5943-2024</t>
        </is>
      </c>
      <c r="B511" s="1" t="n">
        <v>45336</v>
      </c>
      <c r="C511" s="1" t="n">
        <v>45986</v>
      </c>
      <c r="D511" t="inlineStr">
        <is>
          <t>GOTLANDS LÄN</t>
        </is>
      </c>
      <c r="E511" t="inlineStr">
        <is>
          <t>GOTLAND</t>
        </is>
      </c>
      <c r="G511" t="n">
        <v>4.3</v>
      </c>
      <c r="H511" t="n">
        <v>0</v>
      </c>
      <c r="I511" t="n">
        <v>0</v>
      </c>
      <c r="J511" t="n">
        <v>0</v>
      </c>
      <c r="K511" t="n">
        <v>0</v>
      </c>
      <c r="L511" t="n">
        <v>0</v>
      </c>
      <c r="M511" t="n">
        <v>0</v>
      </c>
      <c r="N511" t="n">
        <v>0</v>
      </c>
      <c r="O511" t="n">
        <v>0</v>
      </c>
      <c r="P511" t="n">
        <v>0</v>
      </c>
      <c r="Q511" t="n">
        <v>0</v>
      </c>
      <c r="R511" s="2" t="inlineStr"/>
    </row>
    <row r="512" ht="15" customHeight="1">
      <c r="A512" t="inlineStr">
        <is>
          <t>A 38234-2023</t>
        </is>
      </c>
      <c r="B512" s="1" t="n">
        <v>45161.56663194444</v>
      </c>
      <c r="C512" s="1" t="n">
        <v>45986</v>
      </c>
      <c r="D512" t="inlineStr">
        <is>
          <t>GOTLANDS LÄN</t>
        </is>
      </c>
      <c r="E512" t="inlineStr">
        <is>
          <t>GOTLAND</t>
        </is>
      </c>
      <c r="G512" t="n">
        <v>1.3</v>
      </c>
      <c r="H512" t="n">
        <v>0</v>
      </c>
      <c r="I512" t="n">
        <v>0</v>
      </c>
      <c r="J512" t="n">
        <v>0</v>
      </c>
      <c r="K512" t="n">
        <v>0</v>
      </c>
      <c r="L512" t="n">
        <v>0</v>
      </c>
      <c r="M512" t="n">
        <v>0</v>
      </c>
      <c r="N512" t="n">
        <v>0</v>
      </c>
      <c r="O512" t="n">
        <v>0</v>
      </c>
      <c r="P512" t="n">
        <v>0</v>
      </c>
      <c r="Q512" t="n">
        <v>0</v>
      </c>
      <c r="R512" s="2" t="inlineStr"/>
    </row>
    <row r="513" ht="15" customHeight="1">
      <c r="A513" t="inlineStr">
        <is>
          <t>A 1273-2023</t>
        </is>
      </c>
      <c r="B513" s="1" t="n">
        <v>44936</v>
      </c>
      <c r="C513" s="1" t="n">
        <v>45986</v>
      </c>
      <c r="D513" t="inlineStr">
        <is>
          <t>GOTLANDS LÄN</t>
        </is>
      </c>
      <c r="E513" t="inlineStr">
        <is>
          <t>GOTLAND</t>
        </is>
      </c>
      <c r="G513" t="n">
        <v>4.5</v>
      </c>
      <c r="H513" t="n">
        <v>0</v>
      </c>
      <c r="I513" t="n">
        <v>0</v>
      </c>
      <c r="J513" t="n">
        <v>0</v>
      </c>
      <c r="K513" t="n">
        <v>0</v>
      </c>
      <c r="L513" t="n">
        <v>0</v>
      </c>
      <c r="M513" t="n">
        <v>0</v>
      </c>
      <c r="N513" t="n">
        <v>0</v>
      </c>
      <c r="O513" t="n">
        <v>0</v>
      </c>
      <c r="P513" t="n">
        <v>0</v>
      </c>
      <c r="Q513" t="n">
        <v>0</v>
      </c>
      <c r="R513" s="2" t="inlineStr"/>
    </row>
    <row r="514" ht="15" customHeight="1">
      <c r="A514" t="inlineStr">
        <is>
          <t>A 17724-2024</t>
        </is>
      </c>
      <c r="B514" s="1" t="n">
        <v>45418.55096064815</v>
      </c>
      <c r="C514" s="1" t="n">
        <v>45986</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23978-2023</t>
        </is>
      </c>
      <c r="B515" s="1" t="n">
        <v>45078</v>
      </c>
      <c r="C515" s="1" t="n">
        <v>45986</v>
      </c>
      <c r="D515" t="inlineStr">
        <is>
          <t>GOTLANDS LÄN</t>
        </is>
      </c>
      <c r="E515" t="inlineStr">
        <is>
          <t>GOTLAND</t>
        </is>
      </c>
      <c r="F515" t="inlineStr">
        <is>
          <t>Naturvårdsverket</t>
        </is>
      </c>
      <c r="G515" t="n">
        <v>1.7</v>
      </c>
      <c r="H515" t="n">
        <v>0</v>
      </c>
      <c r="I515" t="n">
        <v>0</v>
      </c>
      <c r="J515" t="n">
        <v>0</v>
      </c>
      <c r="K515" t="n">
        <v>0</v>
      </c>
      <c r="L515" t="n">
        <v>0</v>
      </c>
      <c r="M515" t="n">
        <v>0</v>
      </c>
      <c r="N515" t="n">
        <v>0</v>
      </c>
      <c r="O515" t="n">
        <v>0</v>
      </c>
      <c r="P515" t="n">
        <v>0</v>
      </c>
      <c r="Q515" t="n">
        <v>0</v>
      </c>
      <c r="R515" s="2" t="inlineStr"/>
    </row>
    <row r="516" ht="15" customHeight="1">
      <c r="A516" t="inlineStr">
        <is>
          <t>A 49884-2023</t>
        </is>
      </c>
      <c r="B516" s="1" t="n">
        <v>45213</v>
      </c>
      <c r="C516" s="1" t="n">
        <v>45986</v>
      </c>
      <c r="D516" t="inlineStr">
        <is>
          <t>GOTLANDS LÄN</t>
        </is>
      </c>
      <c r="E516" t="inlineStr">
        <is>
          <t>GOTLAND</t>
        </is>
      </c>
      <c r="G516" t="n">
        <v>8.9</v>
      </c>
      <c r="H516" t="n">
        <v>0</v>
      </c>
      <c r="I516" t="n">
        <v>0</v>
      </c>
      <c r="J516" t="n">
        <v>0</v>
      </c>
      <c r="K516" t="n">
        <v>0</v>
      </c>
      <c r="L516" t="n">
        <v>0</v>
      </c>
      <c r="M516" t="n">
        <v>0</v>
      </c>
      <c r="N516" t="n">
        <v>0</v>
      </c>
      <c r="O516" t="n">
        <v>0</v>
      </c>
      <c r="P516" t="n">
        <v>0</v>
      </c>
      <c r="Q516" t="n">
        <v>0</v>
      </c>
      <c r="R516" s="2" t="inlineStr"/>
    </row>
    <row r="517" ht="15" customHeight="1">
      <c r="A517" t="inlineStr">
        <is>
          <t>A 12846-2025</t>
        </is>
      </c>
      <c r="B517" s="1" t="n">
        <v>45733.65049768519</v>
      </c>
      <c r="C517" s="1" t="n">
        <v>45986</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43200-2023</t>
        </is>
      </c>
      <c r="B518" s="1" t="n">
        <v>45183</v>
      </c>
      <c r="C518" s="1" t="n">
        <v>45986</v>
      </c>
      <c r="D518" t="inlineStr">
        <is>
          <t>GOTLANDS LÄN</t>
        </is>
      </c>
      <c r="E518" t="inlineStr">
        <is>
          <t>GOTLAND</t>
        </is>
      </c>
      <c r="G518" t="n">
        <v>0.5</v>
      </c>
      <c r="H518" t="n">
        <v>0</v>
      </c>
      <c r="I518" t="n">
        <v>0</v>
      </c>
      <c r="J518" t="n">
        <v>0</v>
      </c>
      <c r="K518" t="n">
        <v>0</v>
      </c>
      <c r="L518" t="n">
        <v>0</v>
      </c>
      <c r="M518" t="n">
        <v>0</v>
      </c>
      <c r="N518" t="n">
        <v>0</v>
      </c>
      <c r="O518" t="n">
        <v>0</v>
      </c>
      <c r="P518" t="n">
        <v>0</v>
      </c>
      <c r="Q518" t="n">
        <v>0</v>
      </c>
      <c r="R518" s="2" t="inlineStr"/>
    </row>
    <row r="519" ht="15" customHeight="1">
      <c r="A519" t="inlineStr">
        <is>
          <t>A 3935-2025</t>
        </is>
      </c>
      <c r="B519" s="1" t="n">
        <v>45684.46070601852</v>
      </c>
      <c r="C519" s="1" t="n">
        <v>45986</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21792-2024</t>
        </is>
      </c>
      <c r="B520" s="1" t="n">
        <v>45442.64326388889</v>
      </c>
      <c r="C520" s="1" t="n">
        <v>45986</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48843-2024</t>
        </is>
      </c>
      <c r="B521" s="1" t="n">
        <v>45593</v>
      </c>
      <c r="C521" s="1" t="n">
        <v>45986</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10653-2023</t>
        </is>
      </c>
      <c r="B522" s="1" t="n">
        <v>44988.48859953704</v>
      </c>
      <c r="C522" s="1" t="n">
        <v>45986</v>
      </c>
      <c r="D522" t="inlineStr">
        <is>
          <t>GOTLANDS LÄN</t>
        </is>
      </c>
      <c r="E522" t="inlineStr">
        <is>
          <t>GOTLAND</t>
        </is>
      </c>
      <c r="F522" t="inlineStr">
        <is>
          <t>Kyrkan</t>
        </is>
      </c>
      <c r="G522" t="n">
        <v>3</v>
      </c>
      <c r="H522" t="n">
        <v>0</v>
      </c>
      <c r="I522" t="n">
        <v>0</v>
      </c>
      <c r="J522" t="n">
        <v>0</v>
      </c>
      <c r="K522" t="n">
        <v>0</v>
      </c>
      <c r="L522" t="n">
        <v>0</v>
      </c>
      <c r="M522" t="n">
        <v>0</v>
      </c>
      <c r="N522" t="n">
        <v>0</v>
      </c>
      <c r="O522" t="n">
        <v>0</v>
      </c>
      <c r="P522" t="n">
        <v>0</v>
      </c>
      <c r="Q522" t="n">
        <v>0</v>
      </c>
      <c r="R522" s="2" t="inlineStr"/>
    </row>
    <row r="523" ht="15" customHeight="1">
      <c r="A523" t="inlineStr">
        <is>
          <t>A 35512-2023</t>
        </is>
      </c>
      <c r="B523" s="1" t="n">
        <v>45147.25623842593</v>
      </c>
      <c r="C523" s="1" t="n">
        <v>45986</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11874-2024</t>
        </is>
      </c>
      <c r="B524" s="1" t="n">
        <v>45376.46956018519</v>
      </c>
      <c r="C524" s="1" t="n">
        <v>45986</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20225-2025</t>
        </is>
      </c>
      <c r="B525" s="1" t="n">
        <v>45772.65802083333</v>
      </c>
      <c r="C525" s="1" t="n">
        <v>45986</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1677-2023</t>
        </is>
      </c>
      <c r="B526" s="1" t="n">
        <v>44938</v>
      </c>
      <c r="C526" s="1" t="n">
        <v>45986</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64831-2023</t>
        </is>
      </c>
      <c r="B527" s="1" t="n">
        <v>45282.44924768519</v>
      </c>
      <c r="C527" s="1" t="n">
        <v>45986</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8036-2022</t>
        </is>
      </c>
      <c r="B528" s="1" t="n">
        <v>44609.44362268518</v>
      </c>
      <c r="C528" s="1" t="n">
        <v>45986</v>
      </c>
      <c r="D528" t="inlineStr">
        <is>
          <t>GOTLANDS LÄN</t>
        </is>
      </c>
      <c r="E528" t="inlineStr">
        <is>
          <t>GOTLAND</t>
        </is>
      </c>
      <c r="G528" t="n">
        <v>6.1</v>
      </c>
      <c r="H528" t="n">
        <v>0</v>
      </c>
      <c r="I528" t="n">
        <v>0</v>
      </c>
      <c r="J528" t="n">
        <v>0</v>
      </c>
      <c r="K528" t="n">
        <v>0</v>
      </c>
      <c r="L528" t="n">
        <v>0</v>
      </c>
      <c r="M528" t="n">
        <v>0</v>
      </c>
      <c r="N528" t="n">
        <v>0</v>
      </c>
      <c r="O528" t="n">
        <v>0</v>
      </c>
      <c r="P528" t="n">
        <v>0</v>
      </c>
      <c r="Q528" t="n">
        <v>0</v>
      </c>
      <c r="R528" s="2" t="inlineStr"/>
    </row>
    <row r="529" ht="15" customHeight="1">
      <c r="A529" t="inlineStr">
        <is>
          <t>A 46375-2024</t>
        </is>
      </c>
      <c r="B529" s="1" t="n">
        <v>45582</v>
      </c>
      <c r="C529" s="1" t="n">
        <v>45986</v>
      </c>
      <c r="D529" t="inlineStr">
        <is>
          <t>GOTLANDS LÄN</t>
        </is>
      </c>
      <c r="E529" t="inlineStr">
        <is>
          <t>GOTLAND</t>
        </is>
      </c>
      <c r="G529" t="n">
        <v>3</v>
      </c>
      <c r="H529" t="n">
        <v>0</v>
      </c>
      <c r="I529" t="n">
        <v>0</v>
      </c>
      <c r="J529" t="n">
        <v>0</v>
      </c>
      <c r="K529" t="n">
        <v>0</v>
      </c>
      <c r="L529" t="n">
        <v>0</v>
      </c>
      <c r="M529" t="n">
        <v>0</v>
      </c>
      <c r="N529" t="n">
        <v>0</v>
      </c>
      <c r="O529" t="n">
        <v>0</v>
      </c>
      <c r="P529" t="n">
        <v>0</v>
      </c>
      <c r="Q529" t="n">
        <v>0</v>
      </c>
      <c r="R529" s="2" t="inlineStr"/>
    </row>
    <row r="530" ht="15" customHeight="1">
      <c r="A530" t="inlineStr">
        <is>
          <t>A 62915-2021</t>
        </is>
      </c>
      <c r="B530" s="1" t="n">
        <v>44504</v>
      </c>
      <c r="C530" s="1" t="n">
        <v>45986</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7638-2025</t>
        </is>
      </c>
      <c r="B531" s="1" t="n">
        <v>45705.77306712963</v>
      </c>
      <c r="C531" s="1" t="n">
        <v>45986</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4377-2023</t>
        </is>
      </c>
      <c r="B532" s="1" t="n">
        <v>44955.5502662037</v>
      </c>
      <c r="C532" s="1" t="n">
        <v>45986</v>
      </c>
      <c r="D532" t="inlineStr">
        <is>
          <t>GOTLANDS LÄN</t>
        </is>
      </c>
      <c r="E532" t="inlineStr">
        <is>
          <t>GOTLAND</t>
        </is>
      </c>
      <c r="F532" t="inlineStr">
        <is>
          <t>Kyrkan</t>
        </is>
      </c>
      <c r="G532" t="n">
        <v>0.6</v>
      </c>
      <c r="H532" t="n">
        <v>0</v>
      </c>
      <c r="I532" t="n">
        <v>0</v>
      </c>
      <c r="J532" t="n">
        <v>0</v>
      </c>
      <c r="K532" t="n">
        <v>0</v>
      </c>
      <c r="L532" t="n">
        <v>0</v>
      </c>
      <c r="M532" t="n">
        <v>0</v>
      </c>
      <c r="N532" t="n">
        <v>0</v>
      </c>
      <c r="O532" t="n">
        <v>0</v>
      </c>
      <c r="P532" t="n">
        <v>0</v>
      </c>
      <c r="Q532" t="n">
        <v>0</v>
      </c>
      <c r="R532" s="2" t="inlineStr"/>
    </row>
    <row r="533" ht="15" customHeight="1">
      <c r="A533" t="inlineStr">
        <is>
          <t>A 43901-2023</t>
        </is>
      </c>
      <c r="B533" s="1" t="n">
        <v>45187</v>
      </c>
      <c r="C533" s="1" t="n">
        <v>45986</v>
      </c>
      <c r="D533" t="inlineStr">
        <is>
          <t>GOTLANDS LÄN</t>
        </is>
      </c>
      <c r="E533" t="inlineStr">
        <is>
          <t>GOTLAND</t>
        </is>
      </c>
      <c r="G533" t="n">
        <v>5.4</v>
      </c>
      <c r="H533" t="n">
        <v>0</v>
      </c>
      <c r="I533" t="n">
        <v>0</v>
      </c>
      <c r="J533" t="n">
        <v>0</v>
      </c>
      <c r="K533" t="n">
        <v>0</v>
      </c>
      <c r="L533" t="n">
        <v>0</v>
      </c>
      <c r="M533" t="n">
        <v>0</v>
      </c>
      <c r="N533" t="n">
        <v>0</v>
      </c>
      <c r="O533" t="n">
        <v>0</v>
      </c>
      <c r="P533" t="n">
        <v>0</v>
      </c>
      <c r="Q533" t="n">
        <v>0</v>
      </c>
      <c r="R533" s="2" t="inlineStr"/>
    </row>
    <row r="534" ht="15" customHeight="1">
      <c r="A534" t="inlineStr">
        <is>
          <t>A 17532-2024</t>
        </is>
      </c>
      <c r="B534" s="1" t="n">
        <v>45415</v>
      </c>
      <c r="C534" s="1" t="n">
        <v>45986</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45692-2023</t>
        </is>
      </c>
      <c r="B535" s="1" t="n">
        <v>45195</v>
      </c>
      <c r="C535" s="1" t="n">
        <v>45986</v>
      </c>
      <c r="D535" t="inlineStr">
        <is>
          <t>GOTLANDS LÄN</t>
        </is>
      </c>
      <c r="E535" t="inlineStr">
        <is>
          <t>GOTLAND</t>
        </is>
      </c>
      <c r="G535" t="n">
        <v>5.3</v>
      </c>
      <c r="H535" t="n">
        <v>0</v>
      </c>
      <c r="I535" t="n">
        <v>0</v>
      </c>
      <c r="J535" t="n">
        <v>0</v>
      </c>
      <c r="K535" t="n">
        <v>0</v>
      </c>
      <c r="L535" t="n">
        <v>0</v>
      </c>
      <c r="M535" t="n">
        <v>0</v>
      </c>
      <c r="N535" t="n">
        <v>0</v>
      </c>
      <c r="O535" t="n">
        <v>0</v>
      </c>
      <c r="P535" t="n">
        <v>0</v>
      </c>
      <c r="Q535" t="n">
        <v>0</v>
      </c>
      <c r="R535" s="2" t="inlineStr"/>
    </row>
    <row r="536" ht="15" customHeight="1">
      <c r="A536" t="inlineStr">
        <is>
          <t>A 37222-2021</t>
        </is>
      </c>
      <c r="B536" s="1" t="n">
        <v>44396</v>
      </c>
      <c r="C536" s="1" t="n">
        <v>45986</v>
      </c>
      <c r="D536" t="inlineStr">
        <is>
          <t>GOTLANDS LÄN</t>
        </is>
      </c>
      <c r="E536" t="inlineStr">
        <is>
          <t>GOTLAND</t>
        </is>
      </c>
      <c r="G536" t="n">
        <v>3</v>
      </c>
      <c r="H536" t="n">
        <v>0</v>
      </c>
      <c r="I536" t="n">
        <v>0</v>
      </c>
      <c r="J536" t="n">
        <v>0</v>
      </c>
      <c r="K536" t="n">
        <v>0</v>
      </c>
      <c r="L536" t="n">
        <v>0</v>
      </c>
      <c r="M536" t="n">
        <v>0</v>
      </c>
      <c r="N536" t="n">
        <v>0</v>
      </c>
      <c r="O536" t="n">
        <v>0</v>
      </c>
      <c r="P536" t="n">
        <v>0</v>
      </c>
      <c r="Q536" t="n">
        <v>0</v>
      </c>
      <c r="R536" s="2" t="inlineStr"/>
    </row>
    <row r="537" ht="15" customHeight="1">
      <c r="A537" t="inlineStr">
        <is>
          <t>A 46396-2023</t>
        </is>
      </c>
      <c r="B537" s="1" t="n">
        <v>45197</v>
      </c>
      <c r="C537" s="1" t="n">
        <v>45986</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58388-2022</t>
        </is>
      </c>
      <c r="B538" s="1" t="n">
        <v>44894</v>
      </c>
      <c r="C538" s="1" t="n">
        <v>45986</v>
      </c>
      <c r="D538" t="inlineStr">
        <is>
          <t>GOTLANDS LÄN</t>
        </is>
      </c>
      <c r="E538" t="inlineStr">
        <is>
          <t>GOTLAND</t>
        </is>
      </c>
      <c r="F538" t="inlineStr">
        <is>
          <t>Övriga statliga verk och myndigheter</t>
        </is>
      </c>
      <c r="G538" t="n">
        <v>3.1</v>
      </c>
      <c r="H538" t="n">
        <v>0</v>
      </c>
      <c r="I538" t="n">
        <v>0</v>
      </c>
      <c r="J538" t="n">
        <v>0</v>
      </c>
      <c r="K538" t="n">
        <v>0</v>
      </c>
      <c r="L538" t="n">
        <v>0</v>
      </c>
      <c r="M538" t="n">
        <v>0</v>
      </c>
      <c r="N538" t="n">
        <v>0</v>
      </c>
      <c r="O538" t="n">
        <v>0</v>
      </c>
      <c r="P538" t="n">
        <v>0</v>
      </c>
      <c r="Q538" t="n">
        <v>0</v>
      </c>
      <c r="R538" s="2" t="inlineStr"/>
    </row>
    <row r="539" ht="15" customHeight="1">
      <c r="A539" t="inlineStr">
        <is>
          <t>A 53934-2024</t>
        </is>
      </c>
      <c r="B539" s="1" t="n">
        <v>45615</v>
      </c>
      <c r="C539" s="1" t="n">
        <v>45986</v>
      </c>
      <c r="D539" t="inlineStr">
        <is>
          <t>GOTLANDS LÄN</t>
        </is>
      </c>
      <c r="E539" t="inlineStr">
        <is>
          <t>GOTLAND</t>
        </is>
      </c>
      <c r="G539" t="n">
        <v>5</v>
      </c>
      <c r="H539" t="n">
        <v>0</v>
      </c>
      <c r="I539" t="n">
        <v>0</v>
      </c>
      <c r="J539" t="n">
        <v>0</v>
      </c>
      <c r="K539" t="n">
        <v>0</v>
      </c>
      <c r="L539" t="n">
        <v>0</v>
      </c>
      <c r="M539" t="n">
        <v>0</v>
      </c>
      <c r="N539" t="n">
        <v>0</v>
      </c>
      <c r="O539" t="n">
        <v>0</v>
      </c>
      <c r="P539" t="n">
        <v>0</v>
      </c>
      <c r="Q539" t="n">
        <v>0</v>
      </c>
      <c r="R539" s="2" t="inlineStr"/>
    </row>
    <row r="540" ht="15" customHeight="1">
      <c r="A540" t="inlineStr">
        <is>
          <t>A 58132-2023</t>
        </is>
      </c>
      <c r="B540" s="1" t="n">
        <v>45250</v>
      </c>
      <c r="C540" s="1" t="n">
        <v>45986</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22899-2023</t>
        </is>
      </c>
      <c r="B541" s="1" t="n">
        <v>45072</v>
      </c>
      <c r="C541" s="1" t="n">
        <v>45986</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28285-2024</t>
        </is>
      </c>
      <c r="B542" s="1" t="n">
        <v>45477</v>
      </c>
      <c r="C542" s="1" t="n">
        <v>45986</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51963-2024</t>
        </is>
      </c>
      <c r="B543" s="1" t="n">
        <v>45607.64833333333</v>
      </c>
      <c r="C543" s="1" t="n">
        <v>45986</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1734-2025</t>
        </is>
      </c>
      <c r="B544" s="1" t="n">
        <v>45671.3840625</v>
      </c>
      <c r="C544" s="1" t="n">
        <v>45986</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30365-2024</t>
        </is>
      </c>
      <c r="B545" s="1" t="n">
        <v>45491.3716087963</v>
      </c>
      <c r="C545" s="1" t="n">
        <v>45986</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45986</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45986</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581-2023</t>
        </is>
      </c>
      <c r="B548" s="1" t="n">
        <v>44930</v>
      </c>
      <c r="C548" s="1" t="n">
        <v>45986</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10655-2023</t>
        </is>
      </c>
      <c r="B549" s="1" t="n">
        <v>44988.49543981482</v>
      </c>
      <c r="C549" s="1" t="n">
        <v>45986</v>
      </c>
      <c r="D549" t="inlineStr">
        <is>
          <t>GOTLANDS LÄN</t>
        </is>
      </c>
      <c r="E549" t="inlineStr">
        <is>
          <t>GOTLAND</t>
        </is>
      </c>
      <c r="F549" t="inlineStr">
        <is>
          <t>Kyrkan</t>
        </is>
      </c>
      <c r="G549" t="n">
        <v>2</v>
      </c>
      <c r="H549" t="n">
        <v>0</v>
      </c>
      <c r="I549" t="n">
        <v>0</v>
      </c>
      <c r="J549" t="n">
        <v>0</v>
      </c>
      <c r="K549" t="n">
        <v>0</v>
      </c>
      <c r="L549" t="n">
        <v>0</v>
      </c>
      <c r="M549" t="n">
        <v>0</v>
      </c>
      <c r="N549" t="n">
        <v>0</v>
      </c>
      <c r="O549" t="n">
        <v>0</v>
      </c>
      <c r="P549" t="n">
        <v>0</v>
      </c>
      <c r="Q549" t="n">
        <v>0</v>
      </c>
      <c r="R549" s="2" t="inlineStr"/>
    </row>
    <row r="550" ht="15" customHeight="1">
      <c r="A550" t="inlineStr">
        <is>
          <t>A 44649-2021</t>
        </is>
      </c>
      <c r="B550" s="1" t="n">
        <v>44437</v>
      </c>
      <c r="C550" s="1" t="n">
        <v>45986</v>
      </c>
      <c r="D550" t="inlineStr">
        <is>
          <t>GOTLANDS LÄN</t>
        </is>
      </c>
      <c r="E550" t="inlineStr">
        <is>
          <t>GOTLAND</t>
        </is>
      </c>
      <c r="G550" t="n">
        <v>8.1</v>
      </c>
      <c r="H550" t="n">
        <v>0</v>
      </c>
      <c r="I550" t="n">
        <v>0</v>
      </c>
      <c r="J550" t="n">
        <v>0</v>
      </c>
      <c r="K550" t="n">
        <v>0</v>
      </c>
      <c r="L550" t="n">
        <v>0</v>
      </c>
      <c r="M550" t="n">
        <v>0</v>
      </c>
      <c r="N550" t="n">
        <v>0</v>
      </c>
      <c r="O550" t="n">
        <v>0</v>
      </c>
      <c r="P550" t="n">
        <v>0</v>
      </c>
      <c r="Q550" t="n">
        <v>0</v>
      </c>
      <c r="R550" s="2" t="inlineStr"/>
    </row>
    <row r="551" ht="15" customHeight="1">
      <c r="A551" t="inlineStr">
        <is>
          <t>A 8484-2025</t>
        </is>
      </c>
      <c r="B551" s="1" t="n">
        <v>45709</v>
      </c>
      <c r="C551" s="1" t="n">
        <v>45986</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49962-2023</t>
        </is>
      </c>
      <c r="B552" s="1" t="n">
        <v>45215.38775462963</v>
      </c>
      <c r="C552" s="1" t="n">
        <v>45986</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50744-2024</t>
        </is>
      </c>
      <c r="B553" s="1" t="n">
        <v>45602.4187037037</v>
      </c>
      <c r="C553" s="1" t="n">
        <v>45986</v>
      </c>
      <c r="D553" t="inlineStr">
        <is>
          <t>GOTLANDS LÄN</t>
        </is>
      </c>
      <c r="E553" t="inlineStr">
        <is>
          <t>GOTLAND</t>
        </is>
      </c>
      <c r="G553" t="n">
        <v>3.2</v>
      </c>
      <c r="H553" t="n">
        <v>0</v>
      </c>
      <c r="I553" t="n">
        <v>0</v>
      </c>
      <c r="J553" t="n">
        <v>0</v>
      </c>
      <c r="K553" t="n">
        <v>0</v>
      </c>
      <c r="L553" t="n">
        <v>0</v>
      </c>
      <c r="M553" t="n">
        <v>0</v>
      </c>
      <c r="N553" t="n">
        <v>0</v>
      </c>
      <c r="O553" t="n">
        <v>0</v>
      </c>
      <c r="P553" t="n">
        <v>0</v>
      </c>
      <c r="Q553" t="n">
        <v>0</v>
      </c>
      <c r="R553" s="2" t="inlineStr"/>
    </row>
    <row r="554" ht="15" customHeight="1">
      <c r="A554" t="inlineStr">
        <is>
          <t>A 45244-2024</t>
        </is>
      </c>
      <c r="B554" s="1" t="n">
        <v>45576</v>
      </c>
      <c r="C554" s="1" t="n">
        <v>45986</v>
      </c>
      <c r="D554" t="inlineStr">
        <is>
          <t>GOTLANDS LÄN</t>
        </is>
      </c>
      <c r="E554" t="inlineStr">
        <is>
          <t>GOTLAND</t>
        </is>
      </c>
      <c r="G554" t="n">
        <v>2.4</v>
      </c>
      <c r="H554" t="n">
        <v>0</v>
      </c>
      <c r="I554" t="n">
        <v>0</v>
      </c>
      <c r="J554" t="n">
        <v>0</v>
      </c>
      <c r="K554" t="n">
        <v>0</v>
      </c>
      <c r="L554" t="n">
        <v>0</v>
      </c>
      <c r="M554" t="n">
        <v>0</v>
      </c>
      <c r="N554" t="n">
        <v>0</v>
      </c>
      <c r="O554" t="n">
        <v>0</v>
      </c>
      <c r="P554" t="n">
        <v>0</v>
      </c>
      <c r="Q554" t="n">
        <v>0</v>
      </c>
      <c r="R554" s="2" t="inlineStr"/>
    </row>
    <row r="555" ht="15" customHeight="1">
      <c r="A555" t="inlineStr">
        <is>
          <t>A 38787-2023</t>
        </is>
      </c>
      <c r="B555" s="1" t="n">
        <v>45163</v>
      </c>
      <c r="C555" s="1" t="n">
        <v>45986</v>
      </c>
      <c r="D555" t="inlineStr">
        <is>
          <t>GOTLANDS LÄN</t>
        </is>
      </c>
      <c r="E555" t="inlineStr">
        <is>
          <t>GOTLAND</t>
        </is>
      </c>
      <c r="G555" t="n">
        <v>0.4</v>
      </c>
      <c r="H555" t="n">
        <v>0</v>
      </c>
      <c r="I555" t="n">
        <v>0</v>
      </c>
      <c r="J555" t="n">
        <v>0</v>
      </c>
      <c r="K555" t="n">
        <v>0</v>
      </c>
      <c r="L555" t="n">
        <v>0</v>
      </c>
      <c r="M555" t="n">
        <v>0</v>
      </c>
      <c r="N555" t="n">
        <v>0</v>
      </c>
      <c r="O555" t="n">
        <v>0</v>
      </c>
      <c r="P555" t="n">
        <v>0</v>
      </c>
      <c r="Q555" t="n">
        <v>0</v>
      </c>
      <c r="R555" s="2" t="inlineStr"/>
    </row>
    <row r="556" ht="15" customHeight="1">
      <c r="A556" t="inlineStr">
        <is>
          <t>A 2714-2023</t>
        </is>
      </c>
      <c r="B556" s="1" t="n">
        <v>44944.54896990741</v>
      </c>
      <c r="C556" s="1" t="n">
        <v>45986</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22897-2023</t>
        </is>
      </c>
      <c r="B557" s="1" t="n">
        <v>45072.55239583334</v>
      </c>
      <c r="C557" s="1" t="n">
        <v>45986</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4568-2025</t>
        </is>
      </c>
      <c r="B558" s="1" t="n">
        <v>45687</v>
      </c>
      <c r="C558" s="1" t="n">
        <v>45986</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1681-2023</t>
        </is>
      </c>
      <c r="B559" s="1" t="n">
        <v>44938.39715277778</v>
      </c>
      <c r="C559" s="1" t="n">
        <v>45986</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42338-2023</t>
        </is>
      </c>
      <c r="B560" s="1" t="n">
        <v>45180</v>
      </c>
      <c r="C560" s="1" t="n">
        <v>45986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18918-2025</t>
        </is>
      </c>
      <c r="B561" s="1" t="n">
        <v>45764</v>
      </c>
      <c r="C561" s="1" t="n">
        <v>45986</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11013-2024</t>
        </is>
      </c>
      <c r="B562" s="1" t="n">
        <v>45370</v>
      </c>
      <c r="C562" s="1" t="n">
        <v>45986</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45084-2024</t>
        </is>
      </c>
      <c r="B563" s="1" t="n">
        <v>45575</v>
      </c>
      <c r="C563" s="1" t="n">
        <v>45986</v>
      </c>
      <c r="D563" t="inlineStr">
        <is>
          <t>GOTLANDS LÄN</t>
        </is>
      </c>
      <c r="E563" t="inlineStr">
        <is>
          <t>GOTLAND</t>
        </is>
      </c>
      <c r="G563" t="n">
        <v>6.8</v>
      </c>
      <c r="H563" t="n">
        <v>0</v>
      </c>
      <c r="I563" t="n">
        <v>0</v>
      </c>
      <c r="J563" t="n">
        <v>0</v>
      </c>
      <c r="K563" t="n">
        <v>0</v>
      </c>
      <c r="L563" t="n">
        <v>0</v>
      </c>
      <c r="M563" t="n">
        <v>0</v>
      </c>
      <c r="N563" t="n">
        <v>0</v>
      </c>
      <c r="O563" t="n">
        <v>0</v>
      </c>
      <c r="P563" t="n">
        <v>0</v>
      </c>
      <c r="Q563" t="n">
        <v>0</v>
      </c>
      <c r="R563" s="2" t="inlineStr"/>
    </row>
    <row r="564" ht="15" customHeight="1">
      <c r="A564" t="inlineStr">
        <is>
          <t>A 20356-2022</t>
        </is>
      </c>
      <c r="B564" s="1" t="n">
        <v>44699</v>
      </c>
      <c r="C564" s="1" t="n">
        <v>45986</v>
      </c>
      <c r="D564" t="inlineStr">
        <is>
          <t>GOTLANDS LÄN</t>
        </is>
      </c>
      <c r="E564" t="inlineStr">
        <is>
          <t>GOTLAND</t>
        </is>
      </c>
      <c r="F564" t="inlineStr">
        <is>
          <t>Övriga Aktiebolag</t>
        </is>
      </c>
      <c r="G564" t="n">
        <v>4.4</v>
      </c>
      <c r="H564" t="n">
        <v>0</v>
      </c>
      <c r="I564" t="n">
        <v>0</v>
      </c>
      <c r="J564" t="n">
        <v>0</v>
      </c>
      <c r="K564" t="n">
        <v>0</v>
      </c>
      <c r="L564" t="n">
        <v>0</v>
      </c>
      <c r="M564" t="n">
        <v>0</v>
      </c>
      <c r="N564" t="n">
        <v>0</v>
      </c>
      <c r="O564" t="n">
        <v>0</v>
      </c>
      <c r="P564" t="n">
        <v>0</v>
      </c>
      <c r="Q564" t="n">
        <v>0</v>
      </c>
      <c r="R564" s="2" t="inlineStr"/>
    </row>
    <row r="565" ht="15" customHeight="1">
      <c r="A565" t="inlineStr">
        <is>
          <t>A 4868-2024</t>
        </is>
      </c>
      <c r="B565" s="1" t="n">
        <v>45329</v>
      </c>
      <c r="C565" s="1" t="n">
        <v>45986</v>
      </c>
      <c r="D565" t="inlineStr">
        <is>
          <t>GOTLANDS LÄN</t>
        </is>
      </c>
      <c r="E565" t="inlineStr">
        <is>
          <t>GOTLAND</t>
        </is>
      </c>
      <c r="G565" t="n">
        <v>7.1</v>
      </c>
      <c r="H565" t="n">
        <v>0</v>
      </c>
      <c r="I565" t="n">
        <v>0</v>
      </c>
      <c r="J565" t="n">
        <v>0</v>
      </c>
      <c r="K565" t="n">
        <v>0</v>
      </c>
      <c r="L565" t="n">
        <v>0</v>
      </c>
      <c r="M565" t="n">
        <v>0</v>
      </c>
      <c r="N565" t="n">
        <v>0</v>
      </c>
      <c r="O565" t="n">
        <v>0</v>
      </c>
      <c r="P565" t="n">
        <v>0</v>
      </c>
      <c r="Q565" t="n">
        <v>0</v>
      </c>
      <c r="R565" s="2" t="inlineStr"/>
    </row>
    <row r="566" ht="15" customHeight="1">
      <c r="A566" t="inlineStr">
        <is>
          <t>A 9613-2025</t>
        </is>
      </c>
      <c r="B566" s="1" t="n">
        <v>45715</v>
      </c>
      <c r="C566" s="1" t="n">
        <v>45986</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5386-2023</t>
        </is>
      </c>
      <c r="B567" s="1" t="n">
        <v>44959</v>
      </c>
      <c r="C567" s="1" t="n">
        <v>45986</v>
      </c>
      <c r="D567" t="inlineStr">
        <is>
          <t>GOTLANDS LÄN</t>
        </is>
      </c>
      <c r="E567" t="inlineStr">
        <is>
          <t>GOTLAND</t>
        </is>
      </c>
      <c r="G567" t="n">
        <v>5.4</v>
      </c>
      <c r="H567" t="n">
        <v>0</v>
      </c>
      <c r="I567" t="n">
        <v>0</v>
      </c>
      <c r="J567" t="n">
        <v>0</v>
      </c>
      <c r="K567" t="n">
        <v>0</v>
      </c>
      <c r="L567" t="n">
        <v>0</v>
      </c>
      <c r="M567" t="n">
        <v>0</v>
      </c>
      <c r="N567" t="n">
        <v>0</v>
      </c>
      <c r="O567" t="n">
        <v>0</v>
      </c>
      <c r="P567" t="n">
        <v>0</v>
      </c>
      <c r="Q567" t="n">
        <v>0</v>
      </c>
      <c r="R567" s="2" t="inlineStr"/>
    </row>
    <row r="568" ht="15" customHeight="1">
      <c r="A568" t="inlineStr">
        <is>
          <t>A 58211-2024</t>
        </is>
      </c>
      <c r="B568" s="1" t="n">
        <v>45632.49292824074</v>
      </c>
      <c r="C568" s="1" t="n">
        <v>45986</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11634-2024</t>
        </is>
      </c>
      <c r="B569" s="1" t="n">
        <v>45373</v>
      </c>
      <c r="C569" s="1" t="n">
        <v>45986</v>
      </c>
      <c r="D569" t="inlineStr">
        <is>
          <t>GOTLANDS LÄN</t>
        </is>
      </c>
      <c r="E569" t="inlineStr">
        <is>
          <t>GOTLAND</t>
        </is>
      </c>
      <c r="G569" t="n">
        <v>3</v>
      </c>
      <c r="H569" t="n">
        <v>0</v>
      </c>
      <c r="I569" t="n">
        <v>0</v>
      </c>
      <c r="J569" t="n">
        <v>0</v>
      </c>
      <c r="K569" t="n">
        <v>0</v>
      </c>
      <c r="L569" t="n">
        <v>0</v>
      </c>
      <c r="M569" t="n">
        <v>0</v>
      </c>
      <c r="N569" t="n">
        <v>0</v>
      </c>
      <c r="O569" t="n">
        <v>0</v>
      </c>
      <c r="P569" t="n">
        <v>0</v>
      </c>
      <c r="Q569" t="n">
        <v>0</v>
      </c>
      <c r="R569" s="2" t="inlineStr"/>
    </row>
    <row r="570" ht="15" customHeight="1">
      <c r="A570" t="inlineStr">
        <is>
          <t>A 5884-2025</t>
        </is>
      </c>
      <c r="B570" s="1" t="n">
        <v>45695.37482638889</v>
      </c>
      <c r="C570" s="1" t="n">
        <v>45986</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5897-2025</t>
        </is>
      </c>
      <c r="B571" s="1" t="n">
        <v>45695.39273148148</v>
      </c>
      <c r="C571" s="1" t="n">
        <v>45986</v>
      </c>
      <c r="D571" t="inlineStr">
        <is>
          <t>GOTLANDS LÄN</t>
        </is>
      </c>
      <c r="E571" t="inlineStr">
        <is>
          <t>GOTLAND</t>
        </is>
      </c>
      <c r="G571" t="n">
        <v>3.7</v>
      </c>
      <c r="H571" t="n">
        <v>0</v>
      </c>
      <c r="I571" t="n">
        <v>0</v>
      </c>
      <c r="J571" t="n">
        <v>0</v>
      </c>
      <c r="K571" t="n">
        <v>0</v>
      </c>
      <c r="L571" t="n">
        <v>0</v>
      </c>
      <c r="M571" t="n">
        <v>0</v>
      </c>
      <c r="N571" t="n">
        <v>0</v>
      </c>
      <c r="O571" t="n">
        <v>0</v>
      </c>
      <c r="P571" t="n">
        <v>0</v>
      </c>
      <c r="Q571" t="n">
        <v>0</v>
      </c>
      <c r="R571" s="2" t="inlineStr"/>
    </row>
    <row r="572" ht="15" customHeight="1">
      <c r="A572" t="inlineStr">
        <is>
          <t>A 5909-2025</t>
        </is>
      </c>
      <c r="B572" s="1" t="n">
        <v>45695.40634259259</v>
      </c>
      <c r="C572" s="1" t="n">
        <v>45986</v>
      </c>
      <c r="D572" t="inlineStr">
        <is>
          <t>GOTLANDS LÄN</t>
        </is>
      </c>
      <c r="E572" t="inlineStr">
        <is>
          <t>GOTLAND</t>
        </is>
      </c>
      <c r="G572" t="n">
        <v>2.9</v>
      </c>
      <c r="H572" t="n">
        <v>0</v>
      </c>
      <c r="I572" t="n">
        <v>0</v>
      </c>
      <c r="J572" t="n">
        <v>0</v>
      </c>
      <c r="K572" t="n">
        <v>0</v>
      </c>
      <c r="L572" t="n">
        <v>0</v>
      </c>
      <c r="M572" t="n">
        <v>0</v>
      </c>
      <c r="N572" t="n">
        <v>0</v>
      </c>
      <c r="O572" t="n">
        <v>0</v>
      </c>
      <c r="P572" t="n">
        <v>0</v>
      </c>
      <c r="Q572" t="n">
        <v>0</v>
      </c>
      <c r="R572" s="2" t="inlineStr"/>
    </row>
    <row r="573" ht="15" customHeight="1">
      <c r="A573" t="inlineStr">
        <is>
          <t>A 60086-2022</t>
        </is>
      </c>
      <c r="B573" s="1" t="n">
        <v>44909</v>
      </c>
      <c r="C573" s="1" t="n">
        <v>45986</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22704-2023</t>
        </is>
      </c>
      <c r="B574" s="1" t="n">
        <v>45071</v>
      </c>
      <c r="C574" s="1" t="n">
        <v>45986</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25866-2022</t>
        </is>
      </c>
      <c r="B575" s="1" t="n">
        <v>44733</v>
      </c>
      <c r="C575" s="1" t="n">
        <v>45986</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9887-2025</t>
        </is>
      </c>
      <c r="B576" s="1" t="n">
        <v>45716</v>
      </c>
      <c r="C576" s="1" t="n">
        <v>45986</v>
      </c>
      <c r="D576" t="inlineStr">
        <is>
          <t>GOTLANDS LÄN</t>
        </is>
      </c>
      <c r="E576" t="inlineStr">
        <is>
          <t>GOTLAND</t>
        </is>
      </c>
      <c r="G576" t="n">
        <v>7.5</v>
      </c>
      <c r="H576" t="n">
        <v>0</v>
      </c>
      <c r="I576" t="n">
        <v>0</v>
      </c>
      <c r="J576" t="n">
        <v>0</v>
      </c>
      <c r="K576" t="n">
        <v>0</v>
      </c>
      <c r="L576" t="n">
        <v>0</v>
      </c>
      <c r="M576" t="n">
        <v>0</v>
      </c>
      <c r="N576" t="n">
        <v>0</v>
      </c>
      <c r="O576" t="n">
        <v>0</v>
      </c>
      <c r="P576" t="n">
        <v>0</v>
      </c>
      <c r="Q576" t="n">
        <v>0</v>
      </c>
      <c r="R576" s="2" t="inlineStr"/>
    </row>
    <row r="577" ht="15" customHeight="1">
      <c r="A577" t="inlineStr">
        <is>
          <t>A 12209-2024</t>
        </is>
      </c>
      <c r="B577" s="1" t="n">
        <v>45378</v>
      </c>
      <c r="C577" s="1" t="n">
        <v>45986</v>
      </c>
      <c r="D577" t="inlineStr">
        <is>
          <t>GOTLANDS LÄN</t>
        </is>
      </c>
      <c r="E577" t="inlineStr">
        <is>
          <t>GOTLAND</t>
        </is>
      </c>
      <c r="G577" t="n">
        <v>5.3</v>
      </c>
      <c r="H577" t="n">
        <v>0</v>
      </c>
      <c r="I577" t="n">
        <v>0</v>
      </c>
      <c r="J577" t="n">
        <v>0</v>
      </c>
      <c r="K577" t="n">
        <v>0</v>
      </c>
      <c r="L577" t="n">
        <v>0</v>
      </c>
      <c r="M577" t="n">
        <v>0</v>
      </c>
      <c r="N577" t="n">
        <v>0</v>
      </c>
      <c r="O577" t="n">
        <v>0</v>
      </c>
      <c r="P577" t="n">
        <v>0</v>
      </c>
      <c r="Q577" t="n">
        <v>0</v>
      </c>
      <c r="R577" s="2" t="inlineStr"/>
    </row>
    <row r="578" ht="15" customHeight="1">
      <c r="A578" t="inlineStr">
        <is>
          <t>A 12210-2024</t>
        </is>
      </c>
      <c r="B578" s="1" t="n">
        <v>45378</v>
      </c>
      <c r="C578" s="1" t="n">
        <v>45986</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59986-2022</t>
        </is>
      </c>
      <c r="B579" s="1" t="n">
        <v>44909</v>
      </c>
      <c r="C579" s="1" t="n">
        <v>45986</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31802-2024</t>
        </is>
      </c>
      <c r="B580" s="1" t="n">
        <v>45509</v>
      </c>
      <c r="C580" s="1" t="n">
        <v>45986</v>
      </c>
      <c r="D580" t="inlineStr">
        <is>
          <t>GOTLANDS LÄN</t>
        </is>
      </c>
      <c r="E580" t="inlineStr">
        <is>
          <t>GOTLAND</t>
        </is>
      </c>
      <c r="G580" t="n">
        <v>2.8</v>
      </c>
      <c r="H580" t="n">
        <v>0</v>
      </c>
      <c r="I580" t="n">
        <v>0</v>
      </c>
      <c r="J580" t="n">
        <v>0</v>
      </c>
      <c r="K580" t="n">
        <v>0</v>
      </c>
      <c r="L580" t="n">
        <v>0</v>
      </c>
      <c r="M580" t="n">
        <v>0</v>
      </c>
      <c r="N580" t="n">
        <v>0</v>
      </c>
      <c r="O580" t="n">
        <v>0</v>
      </c>
      <c r="P580" t="n">
        <v>0</v>
      </c>
      <c r="Q580" t="n">
        <v>0</v>
      </c>
      <c r="R580" s="2" t="inlineStr"/>
    </row>
    <row r="581" ht="15" customHeight="1">
      <c r="A581" t="inlineStr">
        <is>
          <t>A 20993-2023</t>
        </is>
      </c>
      <c r="B581" s="1" t="n">
        <v>45056</v>
      </c>
      <c r="C581" s="1" t="n">
        <v>45986</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15042-2025</t>
        </is>
      </c>
      <c r="B582" s="1" t="n">
        <v>45743</v>
      </c>
      <c r="C582" s="1" t="n">
        <v>45986</v>
      </c>
      <c r="D582" t="inlineStr">
        <is>
          <t>GOTLANDS LÄN</t>
        </is>
      </c>
      <c r="E582" t="inlineStr">
        <is>
          <t>GOTLAND</t>
        </is>
      </c>
      <c r="G582" t="n">
        <v>8.5</v>
      </c>
      <c r="H582" t="n">
        <v>0</v>
      </c>
      <c r="I582" t="n">
        <v>0</v>
      </c>
      <c r="J582" t="n">
        <v>0</v>
      </c>
      <c r="K582" t="n">
        <v>0</v>
      </c>
      <c r="L582" t="n">
        <v>0</v>
      </c>
      <c r="M582" t="n">
        <v>0</v>
      </c>
      <c r="N582" t="n">
        <v>0</v>
      </c>
      <c r="O582" t="n">
        <v>0</v>
      </c>
      <c r="P582" t="n">
        <v>0</v>
      </c>
      <c r="Q582" t="n">
        <v>0</v>
      </c>
      <c r="R582" s="2" t="inlineStr"/>
    </row>
    <row r="583" ht="15" customHeight="1">
      <c r="A583" t="inlineStr">
        <is>
          <t>A 12327-2025</t>
        </is>
      </c>
      <c r="B583" s="1" t="n">
        <v>45730</v>
      </c>
      <c r="C583" s="1" t="n">
        <v>45986</v>
      </c>
      <c r="D583" t="inlineStr">
        <is>
          <t>GOTLANDS LÄN</t>
        </is>
      </c>
      <c r="E583" t="inlineStr">
        <is>
          <t>GOTLAND</t>
        </is>
      </c>
      <c r="G583" t="n">
        <v>1.8</v>
      </c>
      <c r="H583" t="n">
        <v>0</v>
      </c>
      <c r="I583" t="n">
        <v>0</v>
      </c>
      <c r="J583" t="n">
        <v>0</v>
      </c>
      <c r="K583" t="n">
        <v>0</v>
      </c>
      <c r="L583" t="n">
        <v>0</v>
      </c>
      <c r="M583" t="n">
        <v>0</v>
      </c>
      <c r="N583" t="n">
        <v>0</v>
      </c>
      <c r="O583" t="n">
        <v>0</v>
      </c>
      <c r="P583" t="n">
        <v>0</v>
      </c>
      <c r="Q583" t="n">
        <v>0</v>
      </c>
      <c r="R583" s="2" t="inlineStr"/>
    </row>
    <row r="584" ht="15" customHeight="1">
      <c r="A584" t="inlineStr">
        <is>
          <t>A 4420-2025</t>
        </is>
      </c>
      <c r="B584" s="1" t="n">
        <v>45686.47157407407</v>
      </c>
      <c r="C584" s="1" t="n">
        <v>45986</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14427-2024</t>
        </is>
      </c>
      <c r="B585" s="1" t="n">
        <v>45394</v>
      </c>
      <c r="C585" s="1" t="n">
        <v>45986</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49257-2024</t>
        </is>
      </c>
      <c r="B586" s="1" t="n">
        <v>45595.47627314815</v>
      </c>
      <c r="C586" s="1" t="n">
        <v>45986</v>
      </c>
      <c r="D586" t="inlineStr">
        <is>
          <t>GOTLANDS LÄN</t>
        </is>
      </c>
      <c r="E586" t="inlineStr">
        <is>
          <t>GOTLAND</t>
        </is>
      </c>
      <c r="G586" t="n">
        <v>6.3</v>
      </c>
      <c r="H586" t="n">
        <v>0</v>
      </c>
      <c r="I586" t="n">
        <v>0</v>
      </c>
      <c r="J586" t="n">
        <v>0</v>
      </c>
      <c r="K586" t="n">
        <v>0</v>
      </c>
      <c r="L586" t="n">
        <v>0</v>
      </c>
      <c r="M586" t="n">
        <v>0</v>
      </c>
      <c r="N586" t="n">
        <v>0</v>
      </c>
      <c r="O586" t="n">
        <v>0</v>
      </c>
      <c r="P586" t="n">
        <v>0</v>
      </c>
      <c r="Q586" t="n">
        <v>0</v>
      </c>
      <c r="R586" s="2" t="inlineStr"/>
    </row>
    <row r="587" ht="15" customHeight="1">
      <c r="A587" t="inlineStr">
        <is>
          <t>A 49315-2024</t>
        </is>
      </c>
      <c r="B587" s="1" t="n">
        <v>45595</v>
      </c>
      <c r="C587" s="1" t="n">
        <v>45986</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27596-2023</t>
        </is>
      </c>
      <c r="B588" s="1" t="n">
        <v>45097</v>
      </c>
      <c r="C588" s="1" t="n">
        <v>45986</v>
      </c>
      <c r="D588" t="inlineStr">
        <is>
          <t>GOTLANDS LÄN</t>
        </is>
      </c>
      <c r="E588" t="inlineStr">
        <is>
          <t>GOTLAND</t>
        </is>
      </c>
      <c r="G588" t="n">
        <v>3.6</v>
      </c>
      <c r="H588" t="n">
        <v>0</v>
      </c>
      <c r="I588" t="n">
        <v>0</v>
      </c>
      <c r="J588" t="n">
        <v>0</v>
      </c>
      <c r="K588" t="n">
        <v>0</v>
      </c>
      <c r="L588" t="n">
        <v>0</v>
      </c>
      <c r="M588" t="n">
        <v>0</v>
      </c>
      <c r="N588" t="n">
        <v>0</v>
      </c>
      <c r="O588" t="n">
        <v>0</v>
      </c>
      <c r="P588" t="n">
        <v>0</v>
      </c>
      <c r="Q588" t="n">
        <v>0</v>
      </c>
      <c r="R588" s="2" t="inlineStr"/>
    </row>
    <row r="589" ht="15" customHeight="1">
      <c r="A589" t="inlineStr">
        <is>
          <t>A 56115-2023</t>
        </is>
      </c>
      <c r="B589" s="1" t="n">
        <v>45236</v>
      </c>
      <c r="C589" s="1" t="n">
        <v>45986</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64969-2023</t>
        </is>
      </c>
      <c r="B590" s="1" t="n">
        <v>45284.54009259259</v>
      </c>
      <c r="C590" s="1" t="n">
        <v>45986</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33853-2024</t>
        </is>
      </c>
      <c r="B591" s="1" t="n">
        <v>45520.64298611111</v>
      </c>
      <c r="C591" s="1" t="n">
        <v>45986</v>
      </c>
      <c r="D591" t="inlineStr">
        <is>
          <t>GOTLANDS LÄN</t>
        </is>
      </c>
      <c r="E591" t="inlineStr">
        <is>
          <t>GOTLAND</t>
        </is>
      </c>
      <c r="G591" t="n">
        <v>3.9</v>
      </c>
      <c r="H591" t="n">
        <v>0</v>
      </c>
      <c r="I591" t="n">
        <v>0</v>
      </c>
      <c r="J591" t="n">
        <v>0</v>
      </c>
      <c r="K591" t="n">
        <v>0</v>
      </c>
      <c r="L591" t="n">
        <v>0</v>
      </c>
      <c r="M591" t="n">
        <v>0</v>
      </c>
      <c r="N591" t="n">
        <v>0</v>
      </c>
      <c r="O591" t="n">
        <v>0</v>
      </c>
      <c r="P591" t="n">
        <v>0</v>
      </c>
      <c r="Q591" t="n">
        <v>0</v>
      </c>
      <c r="R591" s="2" t="inlineStr"/>
    </row>
    <row r="592" ht="15" customHeight="1">
      <c r="A592" t="inlineStr">
        <is>
          <t>A 18223-2025</t>
        </is>
      </c>
      <c r="B592" s="1" t="n">
        <v>45761</v>
      </c>
      <c r="C592" s="1" t="n">
        <v>45986</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46949-2024</t>
        </is>
      </c>
      <c r="B593" s="1" t="n">
        <v>45585</v>
      </c>
      <c r="C593" s="1" t="n">
        <v>45986</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24001-2021</t>
        </is>
      </c>
      <c r="B594" s="1" t="n">
        <v>44335</v>
      </c>
      <c r="C594" s="1" t="n">
        <v>45986</v>
      </c>
      <c r="D594" t="inlineStr">
        <is>
          <t>GOTLANDS LÄN</t>
        </is>
      </c>
      <c r="E594" t="inlineStr">
        <is>
          <t>GOTLAND</t>
        </is>
      </c>
      <c r="G594" t="n">
        <v>3.4</v>
      </c>
      <c r="H594" t="n">
        <v>0</v>
      </c>
      <c r="I594" t="n">
        <v>0</v>
      </c>
      <c r="J594" t="n">
        <v>0</v>
      </c>
      <c r="K594" t="n">
        <v>0</v>
      </c>
      <c r="L594" t="n">
        <v>0</v>
      </c>
      <c r="M594" t="n">
        <v>0</v>
      </c>
      <c r="N594" t="n">
        <v>0</v>
      </c>
      <c r="O594" t="n">
        <v>0</v>
      </c>
      <c r="P594" t="n">
        <v>0</v>
      </c>
      <c r="Q594" t="n">
        <v>0</v>
      </c>
      <c r="R594" s="2" t="inlineStr"/>
    </row>
    <row r="595" ht="15" customHeight="1">
      <c r="A595" t="inlineStr">
        <is>
          <t>A 39479-2022</t>
        </is>
      </c>
      <c r="B595" s="1" t="n">
        <v>44818</v>
      </c>
      <c r="C595" s="1" t="n">
        <v>45986</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39496-2022</t>
        </is>
      </c>
      <c r="B596" s="1" t="n">
        <v>44818</v>
      </c>
      <c r="C596" s="1" t="n">
        <v>45986</v>
      </c>
      <c r="D596" t="inlineStr">
        <is>
          <t>GOTLANDS LÄN</t>
        </is>
      </c>
      <c r="E596" t="inlineStr">
        <is>
          <t>GOTLAND</t>
        </is>
      </c>
      <c r="G596" t="n">
        <v>2.4</v>
      </c>
      <c r="H596" t="n">
        <v>0</v>
      </c>
      <c r="I596" t="n">
        <v>0</v>
      </c>
      <c r="J596" t="n">
        <v>0</v>
      </c>
      <c r="K596" t="n">
        <v>0</v>
      </c>
      <c r="L596" t="n">
        <v>0</v>
      </c>
      <c r="M596" t="n">
        <v>0</v>
      </c>
      <c r="N596" t="n">
        <v>0</v>
      </c>
      <c r="O596" t="n">
        <v>0</v>
      </c>
      <c r="P596" t="n">
        <v>0</v>
      </c>
      <c r="Q596" t="n">
        <v>0</v>
      </c>
      <c r="R596" s="2" t="inlineStr"/>
    </row>
    <row r="597" ht="15" customHeight="1">
      <c r="A597" t="inlineStr">
        <is>
          <t>A 46389-2021</t>
        </is>
      </c>
      <c r="B597" s="1" t="n">
        <v>44443</v>
      </c>
      <c r="C597" s="1" t="n">
        <v>45986</v>
      </c>
      <c r="D597" t="inlineStr">
        <is>
          <t>GOTLANDS LÄN</t>
        </is>
      </c>
      <c r="E597" t="inlineStr">
        <is>
          <t>GOTLAND</t>
        </is>
      </c>
      <c r="F597" t="inlineStr">
        <is>
          <t>Kyrkan</t>
        </is>
      </c>
      <c r="G597" t="n">
        <v>2.1</v>
      </c>
      <c r="H597" t="n">
        <v>0</v>
      </c>
      <c r="I597" t="n">
        <v>0</v>
      </c>
      <c r="J597" t="n">
        <v>0</v>
      </c>
      <c r="K597" t="n">
        <v>0</v>
      </c>
      <c r="L597" t="n">
        <v>0</v>
      </c>
      <c r="M597" t="n">
        <v>0</v>
      </c>
      <c r="N597" t="n">
        <v>0</v>
      </c>
      <c r="O597" t="n">
        <v>0</v>
      </c>
      <c r="P597" t="n">
        <v>0</v>
      </c>
      <c r="Q597" t="n">
        <v>0</v>
      </c>
      <c r="R597" s="2" t="inlineStr"/>
    </row>
    <row r="598" ht="15" customHeight="1">
      <c r="A598" t="inlineStr">
        <is>
          <t>A 44949-2023</t>
        </is>
      </c>
      <c r="B598" s="1" t="n">
        <v>45190.69520833333</v>
      </c>
      <c r="C598" s="1" t="n">
        <v>45986</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17682-2024</t>
        </is>
      </c>
      <c r="B599" s="1" t="n">
        <v>45418.42966435185</v>
      </c>
      <c r="C599" s="1" t="n">
        <v>45986</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61897-2024</t>
        </is>
      </c>
      <c r="B600" s="1" t="n">
        <v>45652.75685185185</v>
      </c>
      <c r="C600" s="1" t="n">
        <v>45986</v>
      </c>
      <c r="D600" t="inlineStr">
        <is>
          <t>GOTLANDS LÄN</t>
        </is>
      </c>
      <c r="E600" t="inlineStr">
        <is>
          <t>GOTLAND</t>
        </is>
      </c>
      <c r="G600" t="n">
        <v>6.4</v>
      </c>
      <c r="H600" t="n">
        <v>0</v>
      </c>
      <c r="I600" t="n">
        <v>0</v>
      </c>
      <c r="J600" t="n">
        <v>0</v>
      </c>
      <c r="K600" t="n">
        <v>0</v>
      </c>
      <c r="L600" t="n">
        <v>0</v>
      </c>
      <c r="M600" t="n">
        <v>0</v>
      </c>
      <c r="N600" t="n">
        <v>0</v>
      </c>
      <c r="O600" t="n">
        <v>0</v>
      </c>
      <c r="P600" t="n">
        <v>0</v>
      </c>
      <c r="Q600" t="n">
        <v>0</v>
      </c>
      <c r="R600" s="2" t="inlineStr"/>
    </row>
    <row r="601" ht="15" customHeight="1">
      <c r="A601" t="inlineStr">
        <is>
          <t>A 12032-2025</t>
        </is>
      </c>
      <c r="B601" s="1" t="n">
        <v>45728.64472222222</v>
      </c>
      <c r="C601" s="1" t="n">
        <v>45986</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15595-2024</t>
        </is>
      </c>
      <c r="B602" s="1" t="n">
        <v>45401.81480324074</v>
      </c>
      <c r="C602" s="1" t="n">
        <v>45986</v>
      </c>
      <c r="D602" t="inlineStr">
        <is>
          <t>GOTLANDS LÄN</t>
        </is>
      </c>
      <c r="E602" t="inlineStr">
        <is>
          <t>GOTLAND</t>
        </is>
      </c>
      <c r="G602" t="n">
        <v>6.4</v>
      </c>
      <c r="H602" t="n">
        <v>0</v>
      </c>
      <c r="I602" t="n">
        <v>0</v>
      </c>
      <c r="J602" t="n">
        <v>0</v>
      </c>
      <c r="K602" t="n">
        <v>0</v>
      </c>
      <c r="L602" t="n">
        <v>0</v>
      </c>
      <c r="M602" t="n">
        <v>0</v>
      </c>
      <c r="N602" t="n">
        <v>0</v>
      </c>
      <c r="O602" t="n">
        <v>0</v>
      </c>
      <c r="P602" t="n">
        <v>0</v>
      </c>
      <c r="Q602" t="n">
        <v>0</v>
      </c>
      <c r="R602" s="2" t="inlineStr"/>
    </row>
    <row r="603" ht="15" customHeight="1">
      <c r="A603" t="inlineStr">
        <is>
          <t>A 21164-2024</t>
        </is>
      </c>
      <c r="B603" s="1" t="n">
        <v>45440</v>
      </c>
      <c r="C603" s="1" t="n">
        <v>45986</v>
      </c>
      <c r="D603" t="inlineStr">
        <is>
          <t>GOTLANDS LÄN</t>
        </is>
      </c>
      <c r="E603" t="inlineStr">
        <is>
          <t>GOTLAND</t>
        </is>
      </c>
      <c r="G603" t="n">
        <v>6.3</v>
      </c>
      <c r="H603" t="n">
        <v>0</v>
      </c>
      <c r="I603" t="n">
        <v>0</v>
      </c>
      <c r="J603" t="n">
        <v>0</v>
      </c>
      <c r="K603" t="n">
        <v>0</v>
      </c>
      <c r="L603" t="n">
        <v>0</v>
      </c>
      <c r="M603" t="n">
        <v>0</v>
      </c>
      <c r="N603" t="n">
        <v>0</v>
      </c>
      <c r="O603" t="n">
        <v>0</v>
      </c>
      <c r="P603" t="n">
        <v>0</v>
      </c>
      <c r="Q603" t="n">
        <v>0</v>
      </c>
      <c r="R603" s="2" t="inlineStr"/>
    </row>
    <row r="604" ht="15" customHeight="1">
      <c r="A604" t="inlineStr">
        <is>
          <t>A 17541-2024</t>
        </is>
      </c>
      <c r="B604" s="1" t="n">
        <v>45415</v>
      </c>
      <c r="C604" s="1" t="n">
        <v>45986</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883-2025</t>
        </is>
      </c>
      <c r="B605" s="1" t="n">
        <v>45665</v>
      </c>
      <c r="C605" s="1" t="n">
        <v>45986</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13910-2025</t>
        </is>
      </c>
      <c r="B606" s="1" t="n">
        <v>45737</v>
      </c>
      <c r="C606" s="1" t="n">
        <v>45986</v>
      </c>
      <c r="D606" t="inlineStr">
        <is>
          <t>GOTLANDS LÄN</t>
        </is>
      </c>
      <c r="E606" t="inlineStr">
        <is>
          <t>GOTLAND</t>
        </is>
      </c>
      <c r="F606" t="inlineStr">
        <is>
          <t>Kommuner</t>
        </is>
      </c>
      <c r="G606" t="n">
        <v>3.2</v>
      </c>
      <c r="H606" t="n">
        <v>0</v>
      </c>
      <c r="I606" t="n">
        <v>0</v>
      </c>
      <c r="J606" t="n">
        <v>0</v>
      </c>
      <c r="K606" t="n">
        <v>0</v>
      </c>
      <c r="L606" t="n">
        <v>0</v>
      </c>
      <c r="M606" t="n">
        <v>0</v>
      </c>
      <c r="N606" t="n">
        <v>0</v>
      </c>
      <c r="O606" t="n">
        <v>0</v>
      </c>
      <c r="P606" t="n">
        <v>0</v>
      </c>
      <c r="Q606" t="n">
        <v>0</v>
      </c>
      <c r="R606" s="2" t="inlineStr"/>
    </row>
    <row r="607" ht="15" customHeight="1">
      <c r="A607" t="inlineStr">
        <is>
          <t>A 20794-2025</t>
        </is>
      </c>
      <c r="B607" s="1" t="n">
        <v>45776</v>
      </c>
      <c r="C607" s="1" t="n">
        <v>45986</v>
      </c>
      <c r="D607" t="inlineStr">
        <is>
          <t>GOTLANDS LÄN</t>
        </is>
      </c>
      <c r="E607" t="inlineStr">
        <is>
          <t>GOTLAND</t>
        </is>
      </c>
      <c r="G607" t="n">
        <v>6</v>
      </c>
      <c r="H607" t="n">
        <v>0</v>
      </c>
      <c r="I607" t="n">
        <v>0</v>
      </c>
      <c r="J607" t="n">
        <v>0</v>
      </c>
      <c r="K607" t="n">
        <v>0</v>
      </c>
      <c r="L607" t="n">
        <v>0</v>
      </c>
      <c r="M607" t="n">
        <v>0</v>
      </c>
      <c r="N607" t="n">
        <v>0</v>
      </c>
      <c r="O607" t="n">
        <v>0</v>
      </c>
      <c r="P607" t="n">
        <v>0</v>
      </c>
      <c r="Q607" t="n">
        <v>0</v>
      </c>
      <c r="R607" s="2" t="inlineStr"/>
    </row>
    <row r="608" ht="15" customHeight="1">
      <c r="A608" t="inlineStr">
        <is>
          <t>A 20805-2025</t>
        </is>
      </c>
      <c r="B608" s="1" t="n">
        <v>45776</v>
      </c>
      <c r="C608" s="1" t="n">
        <v>45986</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21389-2025</t>
        </is>
      </c>
      <c r="B609" s="1" t="n">
        <v>45782</v>
      </c>
      <c r="C609" s="1" t="n">
        <v>45986</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c r="A610" t="inlineStr">
        <is>
          <t>A 21651-2025</t>
        </is>
      </c>
      <c r="B610" s="1" t="n">
        <v>45783</v>
      </c>
      <c r="C610" s="1" t="n">
        <v>45986</v>
      </c>
      <c r="D610" t="inlineStr">
        <is>
          <t>GOTLANDS LÄN</t>
        </is>
      </c>
      <c r="E610" t="inlineStr">
        <is>
          <t>GOTLAND</t>
        </is>
      </c>
      <c r="G610" t="n">
        <v>4.2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2025-11-25T10:19:36Z</dcterms:created>
  <dcterms:modified xmlns:dcterms="http://purl.org/dc/terms/" xmlns:xsi="http://www.w3.org/2001/XMLSchema-instance" xsi:type="dcterms:W3CDTF">2025-11-25T10:19:36Z</dcterms:modified>
</cp:coreProperties>
</file>