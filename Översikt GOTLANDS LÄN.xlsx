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46013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46013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46013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46013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46013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46013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46013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46013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46013</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46013</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46013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46013</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46013</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46013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46013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46013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46013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46013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46013</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46013</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46013</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46013</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46013</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46013</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46013</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46013</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46013</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46013</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46013</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46013</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46013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46013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46013</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46013</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46013</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46013</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46013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46013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46013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46013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46013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46013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46013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46013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46013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46013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46013</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46013</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46013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46013</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46013</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46013</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46013</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46013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46013</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46013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46013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46013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46013</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46013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46013</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46013</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46013</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46013</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46013</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46013</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46013</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46013</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46013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46013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46013</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57773-2025</t>
        </is>
      </c>
      <c r="B73" s="1" t="n">
        <v>45981.56349537037</v>
      </c>
      <c r="C73" s="1" t="n">
        <v>46013</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54527-2023</t>
        </is>
      </c>
      <c r="B74" s="1" t="n">
        <v>45233</v>
      </c>
      <c r="C74" s="1" t="n">
        <v>46013</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54527-2023</t>
        </is>
      </c>
      <c r="B75" s="1" t="n">
        <v>45233</v>
      </c>
      <c r="C75" s="1" t="n">
        <v>46013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446-2023</t>
        </is>
      </c>
      <c r="B76" s="1" t="n">
        <v>44929</v>
      </c>
      <c r="C76" s="1" t="n">
        <v>46013</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53584-2025</t>
        </is>
      </c>
      <c r="B77" s="1" t="n">
        <v>45960.43130787037</v>
      </c>
      <c r="C77" s="1" t="n">
        <v>46013</v>
      </c>
      <c r="D77" t="inlineStr">
        <is>
          <t>GOTLANDS LÄN</t>
        </is>
      </c>
      <c r="E77" t="inlineStr">
        <is>
          <t>GOTLAND</t>
        </is>
      </c>
      <c r="F77" t="inlineStr">
        <is>
          <t>Övriga Aktiebolag</t>
        </is>
      </c>
      <c r="G77" t="n">
        <v>18.1</v>
      </c>
      <c r="H77" t="n">
        <v>3</v>
      </c>
      <c r="I77" t="n">
        <v>0</v>
      </c>
      <c r="J77" t="n">
        <v>4</v>
      </c>
      <c r="K77" t="n">
        <v>0</v>
      </c>
      <c r="L77" t="n">
        <v>0</v>
      </c>
      <c r="M77" t="n">
        <v>0</v>
      </c>
      <c r="N77" t="n">
        <v>0</v>
      </c>
      <c r="O77" t="n">
        <v>4</v>
      </c>
      <c r="P77" t="n">
        <v>0</v>
      </c>
      <c r="Q77" t="n">
        <v>6</v>
      </c>
      <c r="R77" s="2" t="inlineStr">
        <is>
          <t>Apollofjäril
Jordtistel
Klasefibbla
Majviva
Gråkråka
Nattviol</t>
        </is>
      </c>
      <c r="S77">
        <f>HYPERLINK("https://klasma.github.io/Logging_0980/artfynd/A 53584-2025 artfynd.xlsx", "A 53584-2025")</f>
        <v/>
      </c>
      <c r="T77">
        <f>HYPERLINK("https://klasma.github.io/Logging_0980/kartor/A 53584-2025 karta.png", "A 53584-2025")</f>
        <v/>
      </c>
      <c r="V77">
        <f>HYPERLINK("https://klasma.github.io/Logging_0980/klagomål/A 53584-2025 FSC-klagomål.docx", "A 53584-2025")</f>
        <v/>
      </c>
      <c r="W77">
        <f>HYPERLINK("https://klasma.github.io/Logging_0980/klagomålsmail/A 53584-2025 FSC-klagomål mail.docx", "A 53584-2025")</f>
        <v/>
      </c>
      <c r="X77">
        <f>HYPERLINK("https://klasma.github.io/Logging_0980/tillsyn/A 53584-2025 tillsynsbegäran.docx", "A 53584-2025")</f>
        <v/>
      </c>
      <c r="Y77">
        <f>HYPERLINK("https://klasma.github.io/Logging_0980/tillsynsmail/A 53584-2025 tillsynsbegäran mail.docx", "A 53584-2025")</f>
        <v/>
      </c>
    </row>
    <row r="78" ht="15" customHeight="1">
      <c r="A78" t="inlineStr">
        <is>
          <t>A 7038-2023</t>
        </is>
      </c>
      <c r="B78" s="1" t="n">
        <v>44968</v>
      </c>
      <c r="C78" s="1" t="n">
        <v>46013</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46013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46013</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46013</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46013</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46013</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46013</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46013</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46013</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46013</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46013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54523-2023</t>
        </is>
      </c>
      <c r="B89" s="1" t="n">
        <v>45233</v>
      </c>
      <c r="C89" s="1" t="n">
        <v>46013</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6159-2023</t>
        </is>
      </c>
      <c r="B90" s="1" t="n">
        <v>44964</v>
      </c>
      <c r="C90" s="1" t="n">
        <v>46013</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5904-2024</t>
        </is>
      </c>
      <c r="B91" s="1" t="n">
        <v>45335</v>
      </c>
      <c r="C91" s="1" t="n">
        <v>46013</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46013</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40099-2025</t>
        </is>
      </c>
      <c r="B93" s="1" t="n">
        <v>45894.48462962963</v>
      </c>
      <c r="C93" s="1" t="n">
        <v>46013</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1971-2023</t>
        </is>
      </c>
      <c r="B94" s="1" t="n">
        <v>44939</v>
      </c>
      <c r="C94" s="1" t="n">
        <v>46013</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20833-2024</t>
        </is>
      </c>
      <c r="B95" s="1" t="n">
        <v>45439</v>
      </c>
      <c r="C95" s="1" t="n">
        <v>46013</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57463-2025</t>
        </is>
      </c>
      <c r="B96" s="1" t="n">
        <v>45980.54174768519</v>
      </c>
      <c r="C96" s="1" t="n">
        <v>46013</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46013</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52309-2025</t>
        </is>
      </c>
      <c r="B98" s="1" t="n">
        <v>45953.64381944444</v>
      </c>
      <c r="C98" s="1" t="n">
        <v>46013</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44933-2022</t>
        </is>
      </c>
      <c r="B99" s="1" t="n">
        <v>44841</v>
      </c>
      <c r="C99" s="1" t="n">
        <v>46013</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46013</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46013</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46013</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46013</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46013</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46013</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46013</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46013</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46013</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46013</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46013</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46013</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20831-2024</t>
        </is>
      </c>
      <c r="B112" s="1" t="n">
        <v>45439</v>
      </c>
      <c r="C112" s="1" t="n">
        <v>46013</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49709-2025</t>
        </is>
      </c>
      <c r="B113" s="1" t="n">
        <v>45939.68228009259</v>
      </c>
      <c r="C113" s="1" t="n">
        <v>46013</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43013-2022</t>
        </is>
      </c>
      <c r="B114" s="1" t="n">
        <v>44833</v>
      </c>
      <c r="C114" s="1" t="n">
        <v>46013</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46013</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46013</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17982-2023</t>
        </is>
      </c>
      <c r="B117" s="1" t="n">
        <v>45040</v>
      </c>
      <c r="C117" s="1" t="n">
        <v>46013</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46013</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46013</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46013</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46013</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46013</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46013</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46013</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46013</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46013</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46013</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46013</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46013</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62760-2025</t>
        </is>
      </c>
      <c r="B130" s="1" t="n">
        <v>46008.59275462963</v>
      </c>
      <c r="C130" s="1" t="n">
        <v>46013</v>
      </c>
      <c r="D130" t="inlineStr">
        <is>
          <t>GOTLANDS LÄN</t>
        </is>
      </c>
      <c r="E130" t="inlineStr">
        <is>
          <t>GOTLAND</t>
        </is>
      </c>
      <c r="F130" t="inlineStr">
        <is>
          <t>Övriga Aktiebolag</t>
        </is>
      </c>
      <c r="G130" t="n">
        <v>4.6</v>
      </c>
      <c r="H130" t="n">
        <v>1</v>
      </c>
      <c r="I130" t="n">
        <v>2</v>
      </c>
      <c r="J130" t="n">
        <v>0</v>
      </c>
      <c r="K130" t="n">
        <v>0</v>
      </c>
      <c r="L130" t="n">
        <v>0</v>
      </c>
      <c r="M130" t="n">
        <v>0</v>
      </c>
      <c r="N130" t="n">
        <v>0</v>
      </c>
      <c r="O130" t="n">
        <v>0</v>
      </c>
      <c r="P130" t="n">
        <v>0</v>
      </c>
      <c r="Q130" t="n">
        <v>2</v>
      </c>
      <c r="R130" s="2" t="inlineStr">
        <is>
          <t>Nästrot
Vårärt</t>
        </is>
      </c>
      <c r="S130">
        <f>HYPERLINK("https://klasma.github.io/Logging_0980/artfynd/A 62760-2025 artfynd.xlsx", "A 62760-2025")</f>
        <v/>
      </c>
      <c r="T130">
        <f>HYPERLINK("https://klasma.github.io/Logging_0980/kartor/A 62760-2025 karta.png", "A 62760-2025")</f>
        <v/>
      </c>
      <c r="V130">
        <f>HYPERLINK("https://klasma.github.io/Logging_0980/klagomål/A 62760-2025 FSC-klagomål.docx", "A 62760-2025")</f>
        <v/>
      </c>
      <c r="W130">
        <f>HYPERLINK("https://klasma.github.io/Logging_0980/klagomålsmail/A 62760-2025 FSC-klagomål mail.docx", "A 62760-2025")</f>
        <v/>
      </c>
      <c r="X130">
        <f>HYPERLINK("https://klasma.github.io/Logging_0980/tillsyn/A 62760-2025 tillsynsbegäran.docx", "A 62760-2025")</f>
        <v/>
      </c>
      <c r="Y130">
        <f>HYPERLINK("https://klasma.github.io/Logging_0980/tillsynsmail/A 62760-2025 tillsynsbegäran mail.docx", "A 62760-2025")</f>
        <v/>
      </c>
    </row>
    <row r="131" ht="15" customHeight="1">
      <c r="A131" t="inlineStr">
        <is>
          <t>A 63162-2025</t>
        </is>
      </c>
      <c r="B131" s="1" t="n">
        <v>46010.37629629629</v>
      </c>
      <c r="C131" s="1" t="n">
        <v>46013</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54357-2024</t>
        </is>
      </c>
      <c r="B132" s="1" t="n">
        <v>45617.40662037037</v>
      </c>
      <c r="C132" s="1" t="n">
        <v>46013</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46013</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46013</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46013</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46013</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46013</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46013</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46013</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24-2021</t>
        </is>
      </c>
      <c r="B140" s="1" t="n">
        <v>44197</v>
      </c>
      <c r="C140" s="1" t="n">
        <v>46013</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46013</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46013</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46013</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46013</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12379-2024</t>
        </is>
      </c>
      <c r="B145" s="1" t="n">
        <v>45379.28155092592</v>
      </c>
      <c r="C145" s="1" t="n">
        <v>46013</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46013</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44304-2021</t>
        </is>
      </c>
      <c r="B147" s="1" t="n">
        <v>44434</v>
      </c>
      <c r="C147" s="1" t="n">
        <v>46013</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25977-2024</t>
        </is>
      </c>
      <c r="B148" s="1" t="n">
        <v>45467.69356481481</v>
      </c>
      <c r="C148" s="1" t="n">
        <v>46013</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26461-2025</t>
        </is>
      </c>
      <c r="B149" s="1" t="n">
        <v>45807.43337962963</v>
      </c>
      <c r="C149" s="1" t="n">
        <v>46013</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39812-2025</t>
        </is>
      </c>
      <c r="B150" s="1" t="n">
        <v>45891</v>
      </c>
      <c r="C150" s="1" t="n">
        <v>46013</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65927-2021</t>
        </is>
      </c>
      <c r="B151" s="1" t="n">
        <v>44516</v>
      </c>
      <c r="C151" s="1" t="n">
        <v>46013</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61796-2022</t>
        </is>
      </c>
      <c r="B152" s="1" t="n">
        <v>44917</v>
      </c>
      <c r="C152" s="1" t="n">
        <v>46013</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35467-2021</t>
        </is>
      </c>
      <c r="B153" s="1" t="n">
        <v>44385</v>
      </c>
      <c r="C153" s="1" t="n">
        <v>46013</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46013</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15637-2024</t>
        </is>
      </c>
      <c r="B155" s="1" t="n">
        <v>45403.6684837963</v>
      </c>
      <c r="C155" s="1" t="n">
        <v>46013</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34141-2024</t>
        </is>
      </c>
      <c r="B156" s="1" t="n">
        <v>45524.36229166666</v>
      </c>
      <c r="C156" s="1" t="n">
        <v>46013</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9862-2024</t>
        </is>
      </c>
      <c r="B157" s="1" t="n">
        <v>45363</v>
      </c>
      <c r="C157" s="1" t="n">
        <v>46013</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2476-2025</t>
        </is>
      </c>
      <c r="B158" s="1" t="n">
        <v>45673</v>
      </c>
      <c r="C158" s="1" t="n">
        <v>46013</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12924-2025</t>
        </is>
      </c>
      <c r="B159" s="1" t="n">
        <v>45734</v>
      </c>
      <c r="C159" s="1" t="n">
        <v>46013</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10995-2023</t>
        </is>
      </c>
      <c r="B160" s="1" t="n">
        <v>44986</v>
      </c>
      <c r="C160" s="1" t="n">
        <v>46013</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49726-2025</t>
        </is>
      </c>
      <c r="B161" s="1" t="n">
        <v>45939.84466435185</v>
      </c>
      <c r="C161" s="1" t="n">
        <v>46013</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20429-2025</t>
        </is>
      </c>
      <c r="B162" s="1" t="n">
        <v>45775.47728009259</v>
      </c>
      <c r="C162" s="1" t="n">
        <v>46013</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13939-2021</t>
        </is>
      </c>
      <c r="B163" s="1" t="n">
        <v>44277</v>
      </c>
      <c r="C163" s="1" t="n">
        <v>46013</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62552-2022</t>
        </is>
      </c>
      <c r="B164" s="1" t="n">
        <v>44924</v>
      </c>
      <c r="C164" s="1" t="n">
        <v>46013</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46013</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44308-2021</t>
        </is>
      </c>
      <c r="B166" s="1" t="n">
        <v>44434</v>
      </c>
      <c r="C166" s="1" t="n">
        <v>46013</v>
      </c>
      <c r="D166" t="inlineStr">
        <is>
          <t>GOTLANDS LÄN</t>
        </is>
      </c>
      <c r="E166" t="inlineStr">
        <is>
          <t>GOTLAND</t>
        </is>
      </c>
      <c r="G166" t="n">
        <v>5.9</v>
      </c>
      <c r="H166" t="n">
        <v>0</v>
      </c>
      <c r="I166" t="n">
        <v>1</v>
      </c>
      <c r="J166" t="n">
        <v>0</v>
      </c>
      <c r="K166" t="n">
        <v>0</v>
      </c>
      <c r="L166" t="n">
        <v>0</v>
      </c>
      <c r="M166" t="n">
        <v>0</v>
      </c>
      <c r="N166" t="n">
        <v>0</v>
      </c>
      <c r="O166" t="n">
        <v>0</v>
      </c>
      <c r="P166" t="n">
        <v>0</v>
      </c>
      <c r="Q166" t="n">
        <v>1</v>
      </c>
      <c r="R166" s="2" t="inlineStr">
        <is>
          <t>Svavelriska</t>
        </is>
      </c>
      <c r="S166">
        <f>HYPERLINK("https://klasma.github.io/Logging_0980/artfynd/A 44308-2021 artfynd.xlsx", "A 44308-2021")</f>
        <v/>
      </c>
      <c r="T166">
        <f>HYPERLINK("https://klasma.github.io/Logging_0980/kartor/A 44308-2021 karta.png", "A 44308-2021")</f>
        <v/>
      </c>
      <c r="V166">
        <f>HYPERLINK("https://klasma.github.io/Logging_0980/klagomål/A 44308-2021 FSC-klagomål.docx", "A 44308-2021")</f>
        <v/>
      </c>
      <c r="W166">
        <f>HYPERLINK("https://klasma.github.io/Logging_0980/klagomålsmail/A 44308-2021 FSC-klagomål mail.docx", "A 44308-2021")</f>
        <v/>
      </c>
      <c r="X166">
        <f>HYPERLINK("https://klasma.github.io/Logging_0980/tillsyn/A 44308-2021 tillsynsbegäran.docx", "A 44308-2021")</f>
        <v/>
      </c>
      <c r="Y166">
        <f>HYPERLINK("https://klasma.github.io/Logging_0980/tillsynsmail/A 44308-2021 tillsynsbegäran mail.docx", "A 44308-2021")</f>
        <v/>
      </c>
    </row>
    <row r="167" ht="15" customHeight="1">
      <c r="A167" t="inlineStr">
        <is>
          <t>A 447-2023</t>
        </is>
      </c>
      <c r="B167" s="1" t="n">
        <v>44929</v>
      </c>
      <c r="C167" s="1" t="n">
        <v>46013</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947-2023</t>
        </is>
      </c>
      <c r="B168" s="1" t="n">
        <v>44934</v>
      </c>
      <c r="C168" s="1" t="n">
        <v>46013</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46013</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46013</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46013</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63149-2025</t>
        </is>
      </c>
      <c r="B172" s="1" t="n">
        <v>46010.35664351852</v>
      </c>
      <c r="C172" s="1" t="n">
        <v>46013</v>
      </c>
      <c r="D172" t="inlineStr">
        <is>
          <t>GOTLANDS LÄN</t>
        </is>
      </c>
      <c r="E172" t="inlineStr">
        <is>
          <t>GOTLAND</t>
        </is>
      </c>
      <c r="G172" t="n">
        <v>4.3</v>
      </c>
      <c r="H172" t="n">
        <v>0</v>
      </c>
      <c r="I172" t="n">
        <v>1</v>
      </c>
      <c r="J172" t="n">
        <v>0</v>
      </c>
      <c r="K172" t="n">
        <v>0</v>
      </c>
      <c r="L172" t="n">
        <v>0</v>
      </c>
      <c r="M172" t="n">
        <v>0</v>
      </c>
      <c r="N172" t="n">
        <v>0</v>
      </c>
      <c r="O172" t="n">
        <v>0</v>
      </c>
      <c r="P172" t="n">
        <v>0</v>
      </c>
      <c r="Q172" t="n">
        <v>1</v>
      </c>
      <c r="R172" s="2" t="inlineStr">
        <is>
          <t>Anisspindling</t>
        </is>
      </c>
      <c r="S172">
        <f>HYPERLINK("https://klasma.github.io/Logging_0980/artfynd/A 63149-2025 artfynd.xlsx", "A 63149-2025")</f>
        <v/>
      </c>
      <c r="T172">
        <f>HYPERLINK("https://klasma.github.io/Logging_0980/kartor/A 63149-2025 karta.png", "A 63149-2025")</f>
        <v/>
      </c>
      <c r="V172">
        <f>HYPERLINK("https://klasma.github.io/Logging_0980/klagomål/A 63149-2025 FSC-klagomål.docx", "A 63149-2025")</f>
        <v/>
      </c>
      <c r="W172">
        <f>HYPERLINK("https://klasma.github.io/Logging_0980/klagomålsmail/A 63149-2025 FSC-klagomål mail.docx", "A 63149-2025")</f>
        <v/>
      </c>
      <c r="X172">
        <f>HYPERLINK("https://klasma.github.io/Logging_0980/tillsyn/A 63149-2025 tillsynsbegäran.docx", "A 63149-2025")</f>
        <v/>
      </c>
      <c r="Y172">
        <f>HYPERLINK("https://klasma.github.io/Logging_0980/tillsynsmail/A 63149-2025 tillsynsbegäran mail.docx", "A 63149-2025")</f>
        <v/>
      </c>
    </row>
    <row r="173" ht="15" customHeight="1">
      <c r="A173" t="inlineStr">
        <is>
          <t>A 27589-2023</t>
        </is>
      </c>
      <c r="B173" s="1" t="n">
        <v>45097</v>
      </c>
      <c r="C173" s="1" t="n">
        <v>46013</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1477-2024</t>
        </is>
      </c>
      <c r="B174" s="1" t="n">
        <v>45305.37987268518</v>
      </c>
      <c r="C174" s="1" t="n">
        <v>46013</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35574-2024</t>
        </is>
      </c>
      <c r="B175" s="1" t="n">
        <v>45531</v>
      </c>
      <c r="C175" s="1" t="n">
        <v>46013</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7637-2025</t>
        </is>
      </c>
      <c r="B176" s="1" t="n">
        <v>45705.77181712963</v>
      </c>
      <c r="C176" s="1" t="n">
        <v>46013</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6303-2024</t>
        </is>
      </c>
      <c r="B177" s="1" t="n">
        <v>45338.35376157407</v>
      </c>
      <c r="C177" s="1" t="n">
        <v>46013</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34809-2024</t>
        </is>
      </c>
      <c r="B178" s="1" t="n">
        <v>45526</v>
      </c>
      <c r="C178" s="1" t="n">
        <v>46013</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61561-2023</t>
        </is>
      </c>
      <c r="B179" s="1" t="n">
        <v>45265</v>
      </c>
      <c r="C179" s="1" t="n">
        <v>46013</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46013</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46013</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46013</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46013</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46013</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46013</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46013</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46013</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46013</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46013</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46013</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46013</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46013</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46013</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46013</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46013</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46013</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46013</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46013</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46013</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46013</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46013</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46013</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46013</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46013</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46013</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46013</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46013</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46013</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46013</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46013</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46013</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46013</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46013</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46013</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46013</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46013</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46013</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46013</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46013</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46013</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46013</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46013</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46013</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46013</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46013</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46013</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46013</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46013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46013</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46013</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46013</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1229-2021</t>
        </is>
      </c>
      <c r="B232" s="1" t="n">
        <v>44208</v>
      </c>
      <c r="C232" s="1" t="n">
        <v>46013</v>
      </c>
      <c r="D232" t="inlineStr">
        <is>
          <t>GOTLANDS LÄN</t>
        </is>
      </c>
      <c r="E232" t="inlineStr">
        <is>
          <t>GOTLAND</t>
        </is>
      </c>
      <c r="G232" t="n">
        <v>5.3</v>
      </c>
      <c r="H232" t="n">
        <v>0</v>
      </c>
      <c r="I232" t="n">
        <v>0</v>
      </c>
      <c r="J232" t="n">
        <v>0</v>
      </c>
      <c r="K232" t="n">
        <v>0</v>
      </c>
      <c r="L232" t="n">
        <v>0</v>
      </c>
      <c r="M232" t="n">
        <v>0</v>
      </c>
      <c r="N232" t="n">
        <v>0</v>
      </c>
      <c r="O232" t="n">
        <v>0</v>
      </c>
      <c r="P232" t="n">
        <v>0</v>
      </c>
      <c r="Q232" t="n">
        <v>0</v>
      </c>
      <c r="R232" s="2" t="inlineStr"/>
    </row>
    <row r="233" ht="15" customHeight="1">
      <c r="A233" t="inlineStr">
        <is>
          <t>A 3271-2021</t>
        </is>
      </c>
      <c r="B233" s="1" t="n">
        <v>44217</v>
      </c>
      <c r="C233" s="1" t="n">
        <v>46013</v>
      </c>
      <c r="D233" t="inlineStr">
        <is>
          <t>GOTLANDS LÄN</t>
        </is>
      </c>
      <c r="E233" t="inlineStr">
        <is>
          <t>GOTLAND</t>
        </is>
      </c>
      <c r="G233" t="n">
        <v>0.7</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46013</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46013</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13498-2022</t>
        </is>
      </c>
      <c r="B236" s="1" t="n">
        <v>44647.78866898148</v>
      </c>
      <c r="C236" s="1" t="n">
        <v>46013</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13500-2022</t>
        </is>
      </c>
      <c r="B237" s="1" t="n">
        <v>44647.79513888889</v>
      </c>
      <c r="C237" s="1" t="n">
        <v>46013</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21507-2021</t>
        </is>
      </c>
      <c r="B238" s="1" t="n">
        <v>44321</v>
      </c>
      <c r="C238" s="1" t="n">
        <v>46013</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46013</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30282-2022</t>
        </is>
      </c>
      <c r="B240" s="1" t="n">
        <v>44760</v>
      </c>
      <c r="C240" s="1" t="n">
        <v>46013</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4868-2024</t>
        </is>
      </c>
      <c r="B241" s="1" t="n">
        <v>45329</v>
      </c>
      <c r="C241" s="1" t="n">
        <v>46013</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46013</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9613-2025</t>
        </is>
      </c>
      <c r="B243" s="1" t="n">
        <v>45715</v>
      </c>
      <c r="C243" s="1" t="n">
        <v>46013</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15595-2024</t>
        </is>
      </c>
      <c r="B244" s="1" t="n">
        <v>45401.81480324074</v>
      </c>
      <c r="C244" s="1" t="n">
        <v>46013</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24966-2023</t>
        </is>
      </c>
      <c r="B245" s="1" t="n">
        <v>45085</v>
      </c>
      <c r="C245" s="1" t="n">
        <v>46013</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46189-2022</t>
        </is>
      </c>
      <c r="B246" s="1" t="n">
        <v>44847</v>
      </c>
      <c r="C246" s="1" t="n">
        <v>46013</v>
      </c>
      <c r="D246" t="inlineStr">
        <is>
          <t>GOTLANDS LÄN</t>
        </is>
      </c>
      <c r="E246" t="inlineStr">
        <is>
          <t>GOTLAND</t>
        </is>
      </c>
      <c r="G246" t="n">
        <v>0.4</v>
      </c>
      <c r="H246" t="n">
        <v>0</v>
      </c>
      <c r="I246" t="n">
        <v>0</v>
      </c>
      <c r="J246" t="n">
        <v>0</v>
      </c>
      <c r="K246" t="n">
        <v>0</v>
      </c>
      <c r="L246" t="n">
        <v>0</v>
      </c>
      <c r="M246" t="n">
        <v>0</v>
      </c>
      <c r="N246" t="n">
        <v>0</v>
      </c>
      <c r="O246" t="n">
        <v>0</v>
      </c>
      <c r="P246" t="n">
        <v>0</v>
      </c>
      <c r="Q246" t="n">
        <v>0</v>
      </c>
      <c r="R246" s="2" t="inlineStr"/>
    </row>
    <row r="247" ht="15" customHeight="1">
      <c r="A247" t="inlineStr">
        <is>
          <t>A 22031-2024</t>
        </is>
      </c>
      <c r="B247" s="1" t="n">
        <v>45443.60075231481</v>
      </c>
      <c r="C247" s="1" t="n">
        <v>46013</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49314-2024</t>
        </is>
      </c>
      <c r="B248" s="1" t="n">
        <v>45595.55893518519</v>
      </c>
      <c r="C248" s="1" t="n">
        <v>46013</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32330-2024</t>
        </is>
      </c>
      <c r="B249" s="1" t="n">
        <v>45512</v>
      </c>
      <c r="C249" s="1" t="n">
        <v>46013</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44919-2022</t>
        </is>
      </c>
      <c r="B250" s="1" t="n">
        <v>44841</v>
      </c>
      <c r="C250" s="1" t="n">
        <v>46013</v>
      </c>
      <c r="D250" t="inlineStr">
        <is>
          <t>GOTLANDS LÄN</t>
        </is>
      </c>
      <c r="E250" t="inlineStr">
        <is>
          <t>GOTLAND</t>
        </is>
      </c>
      <c r="G250" t="n">
        <v>2.2</v>
      </c>
      <c r="H250" t="n">
        <v>0</v>
      </c>
      <c r="I250" t="n">
        <v>0</v>
      </c>
      <c r="J250" t="n">
        <v>0</v>
      </c>
      <c r="K250" t="n">
        <v>0</v>
      </c>
      <c r="L250" t="n">
        <v>0</v>
      </c>
      <c r="M250" t="n">
        <v>0</v>
      </c>
      <c r="N250" t="n">
        <v>0</v>
      </c>
      <c r="O250" t="n">
        <v>0</v>
      </c>
      <c r="P250" t="n">
        <v>0</v>
      </c>
      <c r="Q250" t="n">
        <v>0</v>
      </c>
      <c r="R250" s="2" t="inlineStr"/>
    </row>
    <row r="251" ht="15" customHeight="1">
      <c r="A251" t="inlineStr">
        <is>
          <t>A 65901-2021</t>
        </is>
      </c>
      <c r="B251" s="1" t="n">
        <v>44516</v>
      </c>
      <c r="C251" s="1" t="n">
        <v>46013</v>
      </c>
      <c r="D251" t="inlineStr">
        <is>
          <t>GOTLANDS LÄN</t>
        </is>
      </c>
      <c r="E251" t="inlineStr">
        <is>
          <t>GOTLAND</t>
        </is>
      </c>
      <c r="G251" t="n">
        <v>4.9</v>
      </c>
      <c r="H251" t="n">
        <v>0</v>
      </c>
      <c r="I251" t="n">
        <v>0</v>
      </c>
      <c r="J251" t="n">
        <v>0</v>
      </c>
      <c r="K251" t="n">
        <v>0</v>
      </c>
      <c r="L251" t="n">
        <v>0</v>
      </c>
      <c r="M251" t="n">
        <v>0</v>
      </c>
      <c r="N251" t="n">
        <v>0</v>
      </c>
      <c r="O251" t="n">
        <v>0</v>
      </c>
      <c r="P251" t="n">
        <v>0</v>
      </c>
      <c r="Q251" t="n">
        <v>0</v>
      </c>
      <c r="R251" s="2" t="inlineStr"/>
    </row>
    <row r="252" ht="15" customHeight="1">
      <c r="A252" t="inlineStr">
        <is>
          <t>A 48503-2023</t>
        </is>
      </c>
      <c r="B252" s="1" t="n">
        <v>45207</v>
      </c>
      <c r="C252" s="1" t="n">
        <v>46013</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9947-2024</t>
        </is>
      </c>
      <c r="B253" s="1" t="n">
        <v>45363</v>
      </c>
      <c r="C253" s="1" t="n">
        <v>46013</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46013</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17682-2024</t>
        </is>
      </c>
      <c r="B255" s="1" t="n">
        <v>45418.42966435185</v>
      </c>
      <c r="C255" s="1" t="n">
        <v>46013</v>
      </c>
      <c r="D255" t="inlineStr">
        <is>
          <t>GOTLANDS LÄN</t>
        </is>
      </c>
      <c r="E255" t="inlineStr">
        <is>
          <t>GOTLAND</t>
        </is>
      </c>
      <c r="G255" t="n">
        <v>2.9</v>
      </c>
      <c r="H255" t="n">
        <v>0</v>
      </c>
      <c r="I255" t="n">
        <v>0</v>
      </c>
      <c r="J255" t="n">
        <v>0</v>
      </c>
      <c r="K255" t="n">
        <v>0</v>
      </c>
      <c r="L255" t="n">
        <v>0</v>
      </c>
      <c r="M255" t="n">
        <v>0</v>
      </c>
      <c r="N255" t="n">
        <v>0</v>
      </c>
      <c r="O255" t="n">
        <v>0</v>
      </c>
      <c r="P255" t="n">
        <v>0</v>
      </c>
      <c r="Q255" t="n">
        <v>0</v>
      </c>
      <c r="R255" s="2" t="inlineStr"/>
    </row>
    <row r="256" ht="15" customHeight="1">
      <c r="A256" t="inlineStr">
        <is>
          <t>A 57522-2022</t>
        </is>
      </c>
      <c r="B256" s="1" t="n">
        <v>44896</v>
      </c>
      <c r="C256" s="1" t="n">
        <v>46013</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15073-2025</t>
        </is>
      </c>
      <c r="B257" s="1" t="n">
        <v>45743</v>
      </c>
      <c r="C257" s="1" t="n">
        <v>46013</v>
      </c>
      <c r="D257" t="inlineStr">
        <is>
          <t>GOTLANDS LÄN</t>
        </is>
      </c>
      <c r="E257" t="inlineStr">
        <is>
          <t>GOTLAND</t>
        </is>
      </c>
      <c r="G257" t="n">
        <v>12.1</v>
      </c>
      <c r="H257" t="n">
        <v>0</v>
      </c>
      <c r="I257" t="n">
        <v>0</v>
      </c>
      <c r="J257" t="n">
        <v>0</v>
      </c>
      <c r="K257" t="n">
        <v>0</v>
      </c>
      <c r="L257" t="n">
        <v>0</v>
      </c>
      <c r="M257" t="n">
        <v>0</v>
      </c>
      <c r="N257" t="n">
        <v>0</v>
      </c>
      <c r="O257" t="n">
        <v>0</v>
      </c>
      <c r="P257" t="n">
        <v>0</v>
      </c>
      <c r="Q257" t="n">
        <v>0</v>
      </c>
      <c r="R257" s="2" t="inlineStr"/>
    </row>
    <row r="258" ht="15" customHeight="1">
      <c r="A258" t="inlineStr">
        <is>
          <t>A 44649-2021</t>
        </is>
      </c>
      <c r="B258" s="1" t="n">
        <v>44437</v>
      </c>
      <c r="C258" s="1" t="n">
        <v>46013</v>
      </c>
      <c r="D258" t="inlineStr">
        <is>
          <t>GOTLANDS LÄN</t>
        </is>
      </c>
      <c r="E258" t="inlineStr">
        <is>
          <t>GOTLAND</t>
        </is>
      </c>
      <c r="G258" t="n">
        <v>8.1</v>
      </c>
      <c r="H258" t="n">
        <v>0</v>
      </c>
      <c r="I258" t="n">
        <v>0</v>
      </c>
      <c r="J258" t="n">
        <v>0</v>
      </c>
      <c r="K258" t="n">
        <v>0</v>
      </c>
      <c r="L258" t="n">
        <v>0</v>
      </c>
      <c r="M258" t="n">
        <v>0</v>
      </c>
      <c r="N258" t="n">
        <v>0</v>
      </c>
      <c r="O258" t="n">
        <v>0</v>
      </c>
      <c r="P258" t="n">
        <v>0</v>
      </c>
      <c r="Q258" t="n">
        <v>0</v>
      </c>
      <c r="R258" s="2" t="inlineStr"/>
    </row>
    <row r="259" ht="15" customHeight="1">
      <c r="A259" t="inlineStr">
        <is>
          <t>A 6749-2025</t>
        </is>
      </c>
      <c r="B259" s="1" t="n">
        <v>45700</v>
      </c>
      <c r="C259" s="1" t="n">
        <v>46013</v>
      </c>
      <c r="D259" t="inlineStr">
        <is>
          <t>GOTLANDS LÄN</t>
        </is>
      </c>
      <c r="E259" t="inlineStr">
        <is>
          <t>GOTLAND</t>
        </is>
      </c>
      <c r="G259" t="n">
        <v>4.5</v>
      </c>
      <c r="H259" t="n">
        <v>0</v>
      </c>
      <c r="I259" t="n">
        <v>0</v>
      </c>
      <c r="J259" t="n">
        <v>0</v>
      </c>
      <c r="K259" t="n">
        <v>0</v>
      </c>
      <c r="L259" t="n">
        <v>0</v>
      </c>
      <c r="M259" t="n">
        <v>0</v>
      </c>
      <c r="N259" t="n">
        <v>0</v>
      </c>
      <c r="O259" t="n">
        <v>0</v>
      </c>
      <c r="P259" t="n">
        <v>0</v>
      </c>
      <c r="Q259" t="n">
        <v>0</v>
      </c>
      <c r="R259" s="2" t="inlineStr"/>
    </row>
    <row r="260" ht="15" customHeight="1">
      <c r="A260" t="inlineStr">
        <is>
          <t>A 20356-2022</t>
        </is>
      </c>
      <c r="B260" s="1" t="n">
        <v>44699</v>
      </c>
      <c r="C260" s="1" t="n">
        <v>46013</v>
      </c>
      <c r="D260" t="inlineStr">
        <is>
          <t>GOTLANDS LÄN</t>
        </is>
      </c>
      <c r="E260" t="inlineStr">
        <is>
          <t>GOTLAND</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63516-2023</t>
        </is>
      </c>
      <c r="B261" s="1" t="n">
        <v>45274</v>
      </c>
      <c r="C261" s="1" t="n">
        <v>46013</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23698-2025</t>
        </is>
      </c>
      <c r="B262" s="1" t="n">
        <v>45793</v>
      </c>
      <c r="C262" s="1" t="n">
        <v>46013</v>
      </c>
      <c r="D262" t="inlineStr">
        <is>
          <t>GOTLANDS LÄN</t>
        </is>
      </c>
      <c r="E262" t="inlineStr">
        <is>
          <t>GOTLAND</t>
        </is>
      </c>
      <c r="G262" t="n">
        <v>0.8</v>
      </c>
      <c r="H262" t="n">
        <v>0</v>
      </c>
      <c r="I262" t="n">
        <v>0</v>
      </c>
      <c r="J262" t="n">
        <v>0</v>
      </c>
      <c r="K262" t="n">
        <v>0</v>
      </c>
      <c r="L262" t="n">
        <v>0</v>
      </c>
      <c r="M262" t="n">
        <v>0</v>
      </c>
      <c r="N262" t="n">
        <v>0</v>
      </c>
      <c r="O262" t="n">
        <v>0</v>
      </c>
      <c r="P262" t="n">
        <v>0</v>
      </c>
      <c r="Q262" t="n">
        <v>0</v>
      </c>
      <c r="R262" s="2" t="inlineStr"/>
    </row>
    <row r="263" ht="15" customHeight="1">
      <c r="A263" t="inlineStr">
        <is>
          <t>A 24001-2021</t>
        </is>
      </c>
      <c r="B263" s="1" t="n">
        <v>44335</v>
      </c>
      <c r="C263" s="1" t="n">
        <v>46013</v>
      </c>
      <c r="D263" t="inlineStr">
        <is>
          <t>GOTLANDS LÄN</t>
        </is>
      </c>
      <c r="E263" t="inlineStr">
        <is>
          <t>GOTLAND</t>
        </is>
      </c>
      <c r="G263" t="n">
        <v>3.4</v>
      </c>
      <c r="H263" t="n">
        <v>0</v>
      </c>
      <c r="I263" t="n">
        <v>0</v>
      </c>
      <c r="J263" t="n">
        <v>0</v>
      </c>
      <c r="K263" t="n">
        <v>0</v>
      </c>
      <c r="L263" t="n">
        <v>0</v>
      </c>
      <c r="M263" t="n">
        <v>0</v>
      </c>
      <c r="N263" t="n">
        <v>0</v>
      </c>
      <c r="O263" t="n">
        <v>0</v>
      </c>
      <c r="P263" t="n">
        <v>0</v>
      </c>
      <c r="Q263" t="n">
        <v>0</v>
      </c>
      <c r="R263" s="2" t="inlineStr"/>
    </row>
    <row r="264" ht="15" customHeight="1">
      <c r="A264" t="inlineStr">
        <is>
          <t>A 30365-2024</t>
        </is>
      </c>
      <c r="B264" s="1" t="n">
        <v>45491.3716087963</v>
      </c>
      <c r="C264" s="1" t="n">
        <v>46013</v>
      </c>
      <c r="D264" t="inlineStr">
        <is>
          <t>GOTLANDS LÄN</t>
        </is>
      </c>
      <c r="E264" t="inlineStr">
        <is>
          <t>GOTLAND</t>
        </is>
      </c>
      <c r="G264" t="n">
        <v>0.5</v>
      </c>
      <c r="H264" t="n">
        <v>0</v>
      </c>
      <c r="I264" t="n">
        <v>0</v>
      </c>
      <c r="J264" t="n">
        <v>0</v>
      </c>
      <c r="K264" t="n">
        <v>0</v>
      </c>
      <c r="L264" t="n">
        <v>0</v>
      </c>
      <c r="M264" t="n">
        <v>0</v>
      </c>
      <c r="N264" t="n">
        <v>0</v>
      </c>
      <c r="O264" t="n">
        <v>0</v>
      </c>
      <c r="P264" t="n">
        <v>0</v>
      </c>
      <c r="Q264" t="n">
        <v>0</v>
      </c>
      <c r="R264" s="2" t="inlineStr"/>
    </row>
    <row r="265" ht="15" customHeight="1">
      <c r="A265" t="inlineStr">
        <is>
          <t>A 1681-2023</t>
        </is>
      </c>
      <c r="B265" s="1" t="n">
        <v>44938.39715277778</v>
      </c>
      <c r="C265" s="1" t="n">
        <v>46013</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5462-2025</t>
        </is>
      </c>
      <c r="B266" s="1" t="n">
        <v>45693.29331018519</v>
      </c>
      <c r="C266" s="1" t="n">
        <v>46013</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6099-2024</t>
        </is>
      </c>
      <c r="B267" s="1" t="n">
        <v>45337</v>
      </c>
      <c r="C267" s="1" t="n">
        <v>46013</v>
      </c>
      <c r="D267" t="inlineStr">
        <is>
          <t>GOTLANDS LÄN</t>
        </is>
      </c>
      <c r="E267" t="inlineStr">
        <is>
          <t>GOTLAND</t>
        </is>
      </c>
      <c r="G267" t="n">
        <v>12.6</v>
      </c>
      <c r="H267" t="n">
        <v>0</v>
      </c>
      <c r="I267" t="n">
        <v>0</v>
      </c>
      <c r="J267" t="n">
        <v>0</v>
      </c>
      <c r="K267" t="n">
        <v>0</v>
      </c>
      <c r="L267" t="n">
        <v>0</v>
      </c>
      <c r="M267" t="n">
        <v>0</v>
      </c>
      <c r="N267" t="n">
        <v>0</v>
      </c>
      <c r="O267" t="n">
        <v>0</v>
      </c>
      <c r="P267" t="n">
        <v>0</v>
      </c>
      <c r="Q267" t="n">
        <v>0</v>
      </c>
      <c r="R267" s="2" t="inlineStr"/>
    </row>
    <row r="268" ht="15" customHeight="1">
      <c r="A268" t="inlineStr">
        <is>
          <t>A 18993-2025</t>
        </is>
      </c>
      <c r="B268" s="1" t="n">
        <v>45764</v>
      </c>
      <c r="C268" s="1" t="n">
        <v>46013</v>
      </c>
      <c r="D268" t="inlineStr">
        <is>
          <t>GOTLANDS LÄN</t>
        </is>
      </c>
      <c r="E268" t="inlineStr">
        <is>
          <t>GOTLAND</t>
        </is>
      </c>
      <c r="G268" t="n">
        <v>3</v>
      </c>
      <c r="H268" t="n">
        <v>0</v>
      </c>
      <c r="I268" t="n">
        <v>0</v>
      </c>
      <c r="J268" t="n">
        <v>0</v>
      </c>
      <c r="K268" t="n">
        <v>0</v>
      </c>
      <c r="L268" t="n">
        <v>0</v>
      </c>
      <c r="M268" t="n">
        <v>0</v>
      </c>
      <c r="N268" t="n">
        <v>0</v>
      </c>
      <c r="O268" t="n">
        <v>0</v>
      </c>
      <c r="P268" t="n">
        <v>0</v>
      </c>
      <c r="Q268" t="n">
        <v>0</v>
      </c>
      <c r="R268" s="2" t="inlineStr"/>
    </row>
    <row r="269" ht="15" customHeight="1">
      <c r="A269" t="inlineStr">
        <is>
          <t>A 1273-2023</t>
        </is>
      </c>
      <c r="B269" s="1" t="n">
        <v>44936</v>
      </c>
      <c r="C269" s="1" t="n">
        <v>46013</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25796-2025</t>
        </is>
      </c>
      <c r="B270" s="1" t="n">
        <v>45804.39543981481</v>
      </c>
      <c r="C270" s="1" t="n">
        <v>46013</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58780-2024</t>
        </is>
      </c>
      <c r="B271" s="1" t="n">
        <v>45635.84113425926</v>
      </c>
      <c r="C271" s="1" t="n">
        <v>46013</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30135-2025</t>
        </is>
      </c>
      <c r="B272" s="1" t="n">
        <v>45826</v>
      </c>
      <c r="C272" s="1" t="n">
        <v>46013</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12599-2025</t>
        </is>
      </c>
      <c r="B273" s="1" t="n">
        <v>45733.29546296296</v>
      </c>
      <c r="C273" s="1" t="n">
        <v>46013</v>
      </c>
      <c r="D273" t="inlineStr">
        <is>
          <t>GOTLANDS LÄN</t>
        </is>
      </c>
      <c r="E273" t="inlineStr">
        <is>
          <t>GOTLAND</t>
        </is>
      </c>
      <c r="G273" t="n">
        <v>4.7</v>
      </c>
      <c r="H273" t="n">
        <v>0</v>
      </c>
      <c r="I273" t="n">
        <v>0</v>
      </c>
      <c r="J273" t="n">
        <v>0</v>
      </c>
      <c r="K273" t="n">
        <v>0</v>
      </c>
      <c r="L273" t="n">
        <v>0</v>
      </c>
      <c r="M273" t="n">
        <v>0</v>
      </c>
      <c r="N273" t="n">
        <v>0</v>
      </c>
      <c r="O273" t="n">
        <v>0</v>
      </c>
      <c r="P273" t="n">
        <v>0</v>
      </c>
      <c r="Q273" t="n">
        <v>0</v>
      </c>
      <c r="R273" s="2" t="inlineStr"/>
    </row>
    <row r="274" ht="15" customHeight="1">
      <c r="A274" t="inlineStr">
        <is>
          <t>A 45692-2023</t>
        </is>
      </c>
      <c r="B274" s="1" t="n">
        <v>45195</v>
      </c>
      <c r="C274" s="1" t="n">
        <v>46013</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45852.65206018519</v>
      </c>
      <c r="C275" s="1" t="n">
        <v>46013</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33876-2024</t>
        </is>
      </c>
      <c r="B276" s="1" t="n">
        <v>45521.87988425926</v>
      </c>
      <c r="C276" s="1" t="n">
        <v>46013</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35142-2025</t>
        </is>
      </c>
      <c r="B277" s="1" t="n">
        <v>45852.65532407408</v>
      </c>
      <c r="C277" s="1" t="n">
        <v>46013</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28285-2024</t>
        </is>
      </c>
      <c r="B278" s="1" t="n">
        <v>45477</v>
      </c>
      <c r="C278" s="1" t="n">
        <v>46013</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61100-2022</t>
        </is>
      </c>
      <c r="B279" s="1" t="n">
        <v>44915</v>
      </c>
      <c r="C279" s="1" t="n">
        <v>46013</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61682-2024</t>
        </is>
      </c>
      <c r="B280" s="1" t="n">
        <v>45647.48824074074</v>
      </c>
      <c r="C280" s="1" t="n">
        <v>46013</v>
      </c>
      <c r="D280" t="inlineStr">
        <is>
          <t>GOTLANDS LÄN</t>
        </is>
      </c>
      <c r="E280" t="inlineStr">
        <is>
          <t>GOTLAND</t>
        </is>
      </c>
      <c r="G280" t="n">
        <v>1.9</v>
      </c>
      <c r="H280" t="n">
        <v>0</v>
      </c>
      <c r="I280" t="n">
        <v>0</v>
      </c>
      <c r="J280" t="n">
        <v>0</v>
      </c>
      <c r="K280" t="n">
        <v>0</v>
      </c>
      <c r="L280" t="n">
        <v>0</v>
      </c>
      <c r="M280" t="n">
        <v>0</v>
      </c>
      <c r="N280" t="n">
        <v>0</v>
      </c>
      <c r="O280" t="n">
        <v>0</v>
      </c>
      <c r="P280" t="n">
        <v>0</v>
      </c>
      <c r="Q280" t="n">
        <v>0</v>
      </c>
      <c r="R280" s="2" t="inlineStr"/>
    </row>
    <row r="281" ht="15" customHeight="1">
      <c r="A281" t="inlineStr">
        <is>
          <t>A 26457-2025</t>
        </is>
      </c>
      <c r="B281" s="1" t="n">
        <v>45807.42773148148</v>
      </c>
      <c r="C281" s="1" t="n">
        <v>46013</v>
      </c>
      <c r="D281" t="inlineStr">
        <is>
          <t>GOTLANDS LÄN</t>
        </is>
      </c>
      <c r="E281" t="inlineStr">
        <is>
          <t>GOTLAND</t>
        </is>
      </c>
      <c r="G281" t="n">
        <v>5.7</v>
      </c>
      <c r="H281" t="n">
        <v>0</v>
      </c>
      <c r="I281" t="n">
        <v>0</v>
      </c>
      <c r="J281" t="n">
        <v>0</v>
      </c>
      <c r="K281" t="n">
        <v>0</v>
      </c>
      <c r="L281" t="n">
        <v>0</v>
      </c>
      <c r="M281" t="n">
        <v>0</v>
      </c>
      <c r="N281" t="n">
        <v>0</v>
      </c>
      <c r="O281" t="n">
        <v>0</v>
      </c>
      <c r="P281" t="n">
        <v>0</v>
      </c>
      <c r="Q281" t="n">
        <v>0</v>
      </c>
      <c r="R281" s="2" t="inlineStr"/>
    </row>
    <row r="282" ht="15" customHeight="1">
      <c r="A282" t="inlineStr">
        <is>
          <t>A 26467-2025</t>
        </is>
      </c>
      <c r="B282" s="1" t="n">
        <v>45807.44640046296</v>
      </c>
      <c r="C282" s="1" t="n">
        <v>46013</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39819-2025</t>
        </is>
      </c>
      <c r="B283" s="1" t="n">
        <v>45891.53418981482</v>
      </c>
      <c r="C283" s="1" t="n">
        <v>46013</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26465-2025</t>
        </is>
      </c>
      <c r="B284" s="1" t="n">
        <v>45807.44377314814</v>
      </c>
      <c r="C284" s="1" t="n">
        <v>46013</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39814-2025</t>
        </is>
      </c>
      <c r="B285" s="1" t="n">
        <v>45891.52694444444</v>
      </c>
      <c r="C285" s="1" t="n">
        <v>46013</v>
      </c>
      <c r="D285" t="inlineStr">
        <is>
          <t>GOTLANDS LÄN</t>
        </is>
      </c>
      <c r="E285" t="inlineStr">
        <is>
          <t>GOTLAND</t>
        </is>
      </c>
      <c r="G285" t="n">
        <v>4.5</v>
      </c>
      <c r="H285" t="n">
        <v>0</v>
      </c>
      <c r="I285" t="n">
        <v>0</v>
      </c>
      <c r="J285" t="n">
        <v>0</v>
      </c>
      <c r="K285" t="n">
        <v>0</v>
      </c>
      <c r="L285" t="n">
        <v>0</v>
      </c>
      <c r="M285" t="n">
        <v>0</v>
      </c>
      <c r="N285" t="n">
        <v>0</v>
      </c>
      <c r="O285" t="n">
        <v>0</v>
      </c>
      <c r="P285" t="n">
        <v>0</v>
      </c>
      <c r="Q285" t="n">
        <v>0</v>
      </c>
      <c r="R285" s="2" t="inlineStr"/>
    </row>
    <row r="286" ht="15" customHeight="1">
      <c r="A286" t="inlineStr">
        <is>
          <t>A 39849-2025</t>
        </is>
      </c>
      <c r="B286" s="1" t="n">
        <v>45891.58502314815</v>
      </c>
      <c r="C286" s="1" t="n">
        <v>46013</v>
      </c>
      <c r="D286" t="inlineStr">
        <is>
          <t>GOTLANDS LÄN</t>
        </is>
      </c>
      <c r="E286" t="inlineStr">
        <is>
          <t>GOTLAND</t>
        </is>
      </c>
      <c r="G286" t="n">
        <v>6.1</v>
      </c>
      <c r="H286" t="n">
        <v>0</v>
      </c>
      <c r="I286" t="n">
        <v>0</v>
      </c>
      <c r="J286" t="n">
        <v>0</v>
      </c>
      <c r="K286" t="n">
        <v>0</v>
      </c>
      <c r="L286" t="n">
        <v>0</v>
      </c>
      <c r="M286" t="n">
        <v>0</v>
      </c>
      <c r="N286" t="n">
        <v>0</v>
      </c>
      <c r="O286" t="n">
        <v>0</v>
      </c>
      <c r="P286" t="n">
        <v>0</v>
      </c>
      <c r="Q286" t="n">
        <v>0</v>
      </c>
      <c r="R286" s="2" t="inlineStr"/>
    </row>
    <row r="287" ht="15" customHeight="1">
      <c r="A287" t="inlineStr">
        <is>
          <t>A 26660-2025</t>
        </is>
      </c>
      <c r="B287" s="1" t="n">
        <v>45810.39737268518</v>
      </c>
      <c r="C287" s="1" t="n">
        <v>46013</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39752-2025</t>
        </is>
      </c>
      <c r="B288" s="1" t="n">
        <v>45891</v>
      </c>
      <c r="C288" s="1" t="n">
        <v>46013</v>
      </c>
      <c r="D288" t="inlineStr">
        <is>
          <t>GOTLANDS LÄN</t>
        </is>
      </c>
      <c r="E288" t="inlineStr">
        <is>
          <t>GOTLAND</t>
        </is>
      </c>
      <c r="G288" t="n">
        <v>5.3</v>
      </c>
      <c r="H288" t="n">
        <v>0</v>
      </c>
      <c r="I288" t="n">
        <v>0</v>
      </c>
      <c r="J288" t="n">
        <v>0</v>
      </c>
      <c r="K288" t="n">
        <v>0</v>
      </c>
      <c r="L288" t="n">
        <v>0</v>
      </c>
      <c r="M288" t="n">
        <v>0</v>
      </c>
      <c r="N288" t="n">
        <v>0</v>
      </c>
      <c r="O288" t="n">
        <v>0</v>
      </c>
      <c r="P288" t="n">
        <v>0</v>
      </c>
      <c r="Q288" t="n">
        <v>0</v>
      </c>
      <c r="R288" s="2" t="inlineStr"/>
    </row>
    <row r="289" ht="15" customHeight="1">
      <c r="A289" t="inlineStr">
        <is>
          <t>A 38649-2025</t>
        </is>
      </c>
      <c r="B289" s="1" t="n">
        <v>45884</v>
      </c>
      <c r="C289" s="1" t="n">
        <v>46013</v>
      </c>
      <c r="D289" t="inlineStr">
        <is>
          <t>GOTLANDS LÄN</t>
        </is>
      </c>
      <c r="E289" t="inlineStr">
        <is>
          <t>GOTLAND</t>
        </is>
      </c>
      <c r="G289" t="n">
        <v>1.5</v>
      </c>
      <c r="H289" t="n">
        <v>0</v>
      </c>
      <c r="I289" t="n">
        <v>0</v>
      </c>
      <c r="J289" t="n">
        <v>0</v>
      </c>
      <c r="K289" t="n">
        <v>0</v>
      </c>
      <c r="L289" t="n">
        <v>0</v>
      </c>
      <c r="M289" t="n">
        <v>0</v>
      </c>
      <c r="N289" t="n">
        <v>0</v>
      </c>
      <c r="O289" t="n">
        <v>0</v>
      </c>
      <c r="P289" t="n">
        <v>0</v>
      </c>
      <c r="Q289" t="n">
        <v>0</v>
      </c>
      <c r="R289" s="2" t="inlineStr"/>
    </row>
    <row r="290" ht="15" customHeight="1">
      <c r="A290" t="inlineStr">
        <is>
          <t>A 39816-2025</t>
        </is>
      </c>
      <c r="B290" s="1" t="n">
        <v>45891</v>
      </c>
      <c r="C290" s="1" t="n">
        <v>46013</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40103-2025</t>
        </is>
      </c>
      <c r="B291" s="1" t="n">
        <v>45894.4880324074</v>
      </c>
      <c r="C291" s="1" t="n">
        <v>46013</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40373-2025</t>
        </is>
      </c>
      <c r="B292" s="1" t="n">
        <v>45895.51821759259</v>
      </c>
      <c r="C292" s="1" t="n">
        <v>46013</v>
      </c>
      <c r="D292" t="inlineStr">
        <is>
          <t>GOTLANDS LÄN</t>
        </is>
      </c>
      <c r="E292" t="inlineStr">
        <is>
          <t>GOTLAND</t>
        </is>
      </c>
      <c r="G292" t="n">
        <v>0.6</v>
      </c>
      <c r="H292" t="n">
        <v>0</v>
      </c>
      <c r="I292" t="n">
        <v>0</v>
      </c>
      <c r="J292" t="n">
        <v>0</v>
      </c>
      <c r="K292" t="n">
        <v>0</v>
      </c>
      <c r="L292" t="n">
        <v>0</v>
      </c>
      <c r="M292" t="n">
        <v>0</v>
      </c>
      <c r="N292" t="n">
        <v>0</v>
      </c>
      <c r="O292" t="n">
        <v>0</v>
      </c>
      <c r="P292" t="n">
        <v>0</v>
      </c>
      <c r="Q292" t="n">
        <v>0</v>
      </c>
      <c r="R292" s="2" t="inlineStr"/>
    </row>
    <row r="293" ht="15" customHeight="1">
      <c r="A293" t="inlineStr">
        <is>
          <t>A 40499-2025</t>
        </is>
      </c>
      <c r="B293" s="1" t="n">
        <v>45896.32517361111</v>
      </c>
      <c r="C293" s="1" t="n">
        <v>46013</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40372-2025</t>
        </is>
      </c>
      <c r="B294" s="1" t="n">
        <v>45895.5162037037</v>
      </c>
      <c r="C294" s="1" t="n">
        <v>46013</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58388-2022</t>
        </is>
      </c>
      <c r="B295" s="1" t="n">
        <v>44894</v>
      </c>
      <c r="C295" s="1" t="n">
        <v>46013</v>
      </c>
      <c r="D295" t="inlineStr">
        <is>
          <t>GOTLANDS LÄN</t>
        </is>
      </c>
      <c r="E295" t="inlineStr">
        <is>
          <t>GOTLAND</t>
        </is>
      </c>
      <c r="F295" t="inlineStr">
        <is>
          <t>Övriga statliga verk och myndigheter</t>
        </is>
      </c>
      <c r="G295" t="n">
        <v>3.1</v>
      </c>
      <c r="H295" t="n">
        <v>0</v>
      </c>
      <c r="I295" t="n">
        <v>0</v>
      </c>
      <c r="J295" t="n">
        <v>0</v>
      </c>
      <c r="K295" t="n">
        <v>0</v>
      </c>
      <c r="L295" t="n">
        <v>0</v>
      </c>
      <c r="M295" t="n">
        <v>0</v>
      </c>
      <c r="N295" t="n">
        <v>0</v>
      </c>
      <c r="O295" t="n">
        <v>0</v>
      </c>
      <c r="P295" t="n">
        <v>0</v>
      </c>
      <c r="Q295" t="n">
        <v>0</v>
      </c>
      <c r="R295" s="2" t="inlineStr"/>
    </row>
    <row r="296" ht="15" customHeight="1">
      <c r="A296" t="inlineStr">
        <is>
          <t>A 27371-2025</t>
        </is>
      </c>
      <c r="B296" s="1" t="n">
        <v>45812</v>
      </c>
      <c r="C296" s="1" t="n">
        <v>46013</v>
      </c>
      <c r="D296" t="inlineStr">
        <is>
          <t>GOTLANDS LÄN</t>
        </is>
      </c>
      <c r="E296" t="inlineStr">
        <is>
          <t>GOTLAND</t>
        </is>
      </c>
      <c r="G296" t="n">
        <v>8</v>
      </c>
      <c r="H296" t="n">
        <v>0</v>
      </c>
      <c r="I296" t="n">
        <v>0</v>
      </c>
      <c r="J296" t="n">
        <v>0</v>
      </c>
      <c r="K296" t="n">
        <v>0</v>
      </c>
      <c r="L296" t="n">
        <v>0</v>
      </c>
      <c r="M296" t="n">
        <v>0</v>
      </c>
      <c r="N296" t="n">
        <v>0</v>
      </c>
      <c r="O296" t="n">
        <v>0</v>
      </c>
      <c r="P296" t="n">
        <v>0</v>
      </c>
      <c r="Q296" t="n">
        <v>0</v>
      </c>
      <c r="R296" s="2" t="inlineStr"/>
    </row>
    <row r="297" ht="15" customHeight="1">
      <c r="A297" t="inlineStr">
        <is>
          <t>A 27355-2025</t>
        </is>
      </c>
      <c r="B297" s="1" t="n">
        <v>45812</v>
      </c>
      <c r="C297" s="1" t="n">
        <v>46013</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39278-2025</t>
        </is>
      </c>
      <c r="B298" s="1" t="n">
        <v>45889</v>
      </c>
      <c r="C298" s="1" t="n">
        <v>46013</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6739-2025</t>
        </is>
      </c>
      <c r="B299" s="1" t="n">
        <v>45700</v>
      </c>
      <c r="C299" s="1" t="n">
        <v>46013</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7850-2025</t>
        </is>
      </c>
      <c r="B300" s="1" t="n">
        <v>45706</v>
      </c>
      <c r="C300" s="1" t="n">
        <v>46013</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21792-2024</t>
        </is>
      </c>
      <c r="B301" s="1" t="n">
        <v>45442.64326388889</v>
      </c>
      <c r="C301" s="1" t="n">
        <v>46013</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8444-2025</t>
        </is>
      </c>
      <c r="B302" s="1" t="n">
        <v>45709</v>
      </c>
      <c r="C302" s="1" t="n">
        <v>46013</v>
      </c>
      <c r="D302" t="inlineStr">
        <is>
          <t>GOTLANDS LÄN</t>
        </is>
      </c>
      <c r="E302" t="inlineStr">
        <is>
          <t>GOTLAND</t>
        </is>
      </c>
      <c r="G302" t="n">
        <v>5.2</v>
      </c>
      <c r="H302" t="n">
        <v>0</v>
      </c>
      <c r="I302" t="n">
        <v>0</v>
      </c>
      <c r="J302" t="n">
        <v>0</v>
      </c>
      <c r="K302" t="n">
        <v>0</v>
      </c>
      <c r="L302" t="n">
        <v>0</v>
      </c>
      <c r="M302" t="n">
        <v>0</v>
      </c>
      <c r="N302" t="n">
        <v>0</v>
      </c>
      <c r="O302" t="n">
        <v>0</v>
      </c>
      <c r="P302" t="n">
        <v>0</v>
      </c>
      <c r="Q302" t="n">
        <v>0</v>
      </c>
      <c r="R302" s="2" t="inlineStr"/>
    </row>
    <row r="303" ht="15" customHeight="1">
      <c r="A303" t="inlineStr">
        <is>
          <t>A 41435-2025</t>
        </is>
      </c>
      <c r="B303" s="1" t="n">
        <v>45901.39974537037</v>
      </c>
      <c r="C303" s="1" t="n">
        <v>46013</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17688-2024</t>
        </is>
      </c>
      <c r="B304" s="1" t="n">
        <v>45418.43575231481</v>
      </c>
      <c r="C304" s="1" t="n">
        <v>46013</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7837-2024</t>
        </is>
      </c>
      <c r="B305" s="1" t="n">
        <v>45349.83787037037</v>
      </c>
      <c r="C305" s="1" t="n">
        <v>46013</v>
      </c>
      <c r="D305" t="inlineStr">
        <is>
          <t>GOTLANDS LÄN</t>
        </is>
      </c>
      <c r="E305" t="inlineStr">
        <is>
          <t>GOTLAND</t>
        </is>
      </c>
      <c r="G305" t="n">
        <v>5</v>
      </c>
      <c r="H305" t="n">
        <v>0</v>
      </c>
      <c r="I305" t="n">
        <v>0</v>
      </c>
      <c r="J305" t="n">
        <v>0</v>
      </c>
      <c r="K305" t="n">
        <v>0</v>
      </c>
      <c r="L305" t="n">
        <v>0</v>
      </c>
      <c r="M305" t="n">
        <v>0</v>
      </c>
      <c r="N305" t="n">
        <v>0</v>
      </c>
      <c r="O305" t="n">
        <v>0</v>
      </c>
      <c r="P305" t="n">
        <v>0</v>
      </c>
      <c r="Q305" t="n">
        <v>0</v>
      </c>
      <c r="R305" s="2" t="inlineStr"/>
    </row>
    <row r="306" ht="15" customHeight="1">
      <c r="A306" t="inlineStr">
        <is>
          <t>A 41551-2025</t>
        </is>
      </c>
      <c r="B306" s="1" t="n">
        <v>45901.58854166666</v>
      </c>
      <c r="C306" s="1" t="n">
        <v>46013</v>
      </c>
      <c r="D306" t="inlineStr">
        <is>
          <t>GOTLANDS LÄN</t>
        </is>
      </c>
      <c r="E306" t="inlineStr">
        <is>
          <t>GOTLAND</t>
        </is>
      </c>
      <c r="G306" t="n">
        <v>5.6</v>
      </c>
      <c r="H306" t="n">
        <v>0</v>
      </c>
      <c r="I306" t="n">
        <v>0</v>
      </c>
      <c r="J306" t="n">
        <v>0</v>
      </c>
      <c r="K306" t="n">
        <v>0</v>
      </c>
      <c r="L306" t="n">
        <v>0</v>
      </c>
      <c r="M306" t="n">
        <v>0</v>
      </c>
      <c r="N306" t="n">
        <v>0</v>
      </c>
      <c r="O306" t="n">
        <v>0</v>
      </c>
      <c r="P306" t="n">
        <v>0</v>
      </c>
      <c r="Q306" t="n">
        <v>0</v>
      </c>
      <c r="R306" s="2" t="inlineStr"/>
    </row>
    <row r="307" ht="15" customHeight="1">
      <c r="A307" t="inlineStr">
        <is>
          <t>A 19905-2025</t>
        </is>
      </c>
      <c r="B307" s="1" t="n">
        <v>45771</v>
      </c>
      <c r="C307" s="1" t="n">
        <v>46013</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29196-2025</t>
        </is>
      </c>
      <c r="B308" s="1" t="n">
        <v>45822</v>
      </c>
      <c r="C308" s="1" t="n">
        <v>46013</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4568-2025</t>
        </is>
      </c>
      <c r="B309" s="1" t="n">
        <v>45687</v>
      </c>
      <c r="C309" s="1" t="n">
        <v>46013</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29207-2025</t>
        </is>
      </c>
      <c r="B310" s="1" t="n">
        <v>45823</v>
      </c>
      <c r="C310" s="1" t="n">
        <v>46013</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35512-2023</t>
        </is>
      </c>
      <c r="B311" s="1" t="n">
        <v>45147.25623842593</v>
      </c>
      <c r="C311" s="1" t="n">
        <v>46013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5905-2024</t>
        </is>
      </c>
      <c r="B312" s="1" t="n">
        <v>45335.88993055555</v>
      </c>
      <c r="C312" s="1" t="n">
        <v>46013</v>
      </c>
      <c r="D312" t="inlineStr">
        <is>
          <t>GOTLANDS LÄN</t>
        </is>
      </c>
      <c r="E312" t="inlineStr">
        <is>
          <t>GOTLAND</t>
        </is>
      </c>
      <c r="G312" t="n">
        <v>3</v>
      </c>
      <c r="H312" t="n">
        <v>0</v>
      </c>
      <c r="I312" t="n">
        <v>0</v>
      </c>
      <c r="J312" t="n">
        <v>0</v>
      </c>
      <c r="K312" t="n">
        <v>0</v>
      </c>
      <c r="L312" t="n">
        <v>0</v>
      </c>
      <c r="M312" t="n">
        <v>0</v>
      </c>
      <c r="N312" t="n">
        <v>0</v>
      </c>
      <c r="O312" t="n">
        <v>0</v>
      </c>
      <c r="P312" t="n">
        <v>0</v>
      </c>
      <c r="Q312" t="n">
        <v>0</v>
      </c>
      <c r="R312" s="2" t="inlineStr"/>
    </row>
    <row r="313" ht="15" customHeight="1">
      <c r="A313" t="inlineStr">
        <is>
          <t>A 30061-2025</t>
        </is>
      </c>
      <c r="B313" s="1" t="n">
        <v>45826.61488425926</v>
      </c>
      <c r="C313" s="1" t="n">
        <v>46013</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42608-2025</t>
        </is>
      </c>
      <c r="B314" s="1" t="n">
        <v>45905</v>
      </c>
      <c r="C314" s="1" t="n">
        <v>46013</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58160-2024</t>
        </is>
      </c>
      <c r="B315" s="1" t="n">
        <v>45632.44927083333</v>
      </c>
      <c r="C315" s="1" t="n">
        <v>46013</v>
      </c>
      <c r="D315" t="inlineStr">
        <is>
          <t>GOTLANDS LÄN</t>
        </is>
      </c>
      <c r="E315" t="inlineStr">
        <is>
          <t>GOTLAND</t>
        </is>
      </c>
      <c r="G315" t="n">
        <v>5.6</v>
      </c>
      <c r="H315" t="n">
        <v>0</v>
      </c>
      <c r="I315" t="n">
        <v>0</v>
      </c>
      <c r="J315" t="n">
        <v>0</v>
      </c>
      <c r="K315" t="n">
        <v>0</v>
      </c>
      <c r="L315" t="n">
        <v>0</v>
      </c>
      <c r="M315" t="n">
        <v>0</v>
      </c>
      <c r="N315" t="n">
        <v>0</v>
      </c>
      <c r="O315" t="n">
        <v>0</v>
      </c>
      <c r="P315" t="n">
        <v>0</v>
      </c>
      <c r="Q315" t="n">
        <v>0</v>
      </c>
      <c r="R315" s="2" t="inlineStr"/>
    </row>
    <row r="316" ht="15" customHeight="1">
      <c r="A316" t="inlineStr">
        <is>
          <t>A 1291-2023</t>
        </is>
      </c>
      <c r="B316" s="1" t="n">
        <v>44936.47561342592</v>
      </c>
      <c r="C316" s="1" t="n">
        <v>46013</v>
      </c>
      <c r="D316" t="inlineStr">
        <is>
          <t>GOTLANDS LÄN</t>
        </is>
      </c>
      <c r="E316" t="inlineStr">
        <is>
          <t>GOTLAND</t>
        </is>
      </c>
      <c r="G316" t="n">
        <v>7.4</v>
      </c>
      <c r="H316" t="n">
        <v>0</v>
      </c>
      <c r="I316" t="n">
        <v>0</v>
      </c>
      <c r="J316" t="n">
        <v>0</v>
      </c>
      <c r="K316" t="n">
        <v>0</v>
      </c>
      <c r="L316" t="n">
        <v>0</v>
      </c>
      <c r="M316" t="n">
        <v>0</v>
      </c>
      <c r="N316" t="n">
        <v>0</v>
      </c>
      <c r="O316" t="n">
        <v>0</v>
      </c>
      <c r="P316" t="n">
        <v>0</v>
      </c>
      <c r="Q316" t="n">
        <v>0</v>
      </c>
      <c r="R316" s="2" t="inlineStr"/>
    </row>
    <row r="317" ht="15" customHeight="1">
      <c r="A317" t="inlineStr">
        <is>
          <t>A 16373-2025</t>
        </is>
      </c>
      <c r="B317" s="1" t="n">
        <v>45751</v>
      </c>
      <c r="C317" s="1" t="n">
        <v>46013</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57652-2023</t>
        </is>
      </c>
      <c r="B318" s="1" t="n">
        <v>45246</v>
      </c>
      <c r="C318" s="1" t="n">
        <v>46013</v>
      </c>
      <c r="D318" t="inlineStr">
        <is>
          <t>GOTLANDS LÄN</t>
        </is>
      </c>
      <c r="E318" t="inlineStr">
        <is>
          <t>GOTLAND</t>
        </is>
      </c>
      <c r="G318" t="n">
        <v>7.2</v>
      </c>
      <c r="H318" t="n">
        <v>0</v>
      </c>
      <c r="I318" t="n">
        <v>0</v>
      </c>
      <c r="J318" t="n">
        <v>0</v>
      </c>
      <c r="K318" t="n">
        <v>0</v>
      </c>
      <c r="L318" t="n">
        <v>0</v>
      </c>
      <c r="M318" t="n">
        <v>0</v>
      </c>
      <c r="N318" t="n">
        <v>0</v>
      </c>
      <c r="O318" t="n">
        <v>0</v>
      </c>
      <c r="P318" t="n">
        <v>0</v>
      </c>
      <c r="Q318" t="n">
        <v>0</v>
      </c>
      <c r="R318" s="2" t="inlineStr"/>
    </row>
    <row r="319" ht="15" customHeight="1">
      <c r="A319" t="inlineStr">
        <is>
          <t>A 49315-2024</t>
        </is>
      </c>
      <c r="B319" s="1" t="n">
        <v>45595</v>
      </c>
      <c r="C319" s="1" t="n">
        <v>46013</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45106-2024</t>
        </is>
      </c>
      <c r="B320" s="1" t="n">
        <v>45575</v>
      </c>
      <c r="C320" s="1" t="n">
        <v>46013</v>
      </c>
      <c r="D320" t="inlineStr">
        <is>
          <t>GOTLANDS LÄN</t>
        </is>
      </c>
      <c r="E320" t="inlineStr">
        <is>
          <t>GOTLAND</t>
        </is>
      </c>
      <c r="G320" t="n">
        <v>10</v>
      </c>
      <c r="H320" t="n">
        <v>0</v>
      </c>
      <c r="I320" t="n">
        <v>0</v>
      </c>
      <c r="J320" t="n">
        <v>0</v>
      </c>
      <c r="K320" t="n">
        <v>0</v>
      </c>
      <c r="L320" t="n">
        <v>0</v>
      </c>
      <c r="M320" t="n">
        <v>0</v>
      </c>
      <c r="N320" t="n">
        <v>0</v>
      </c>
      <c r="O320" t="n">
        <v>0</v>
      </c>
      <c r="P320" t="n">
        <v>0</v>
      </c>
      <c r="Q320" t="n">
        <v>0</v>
      </c>
      <c r="R320" s="2" t="inlineStr"/>
    </row>
    <row r="321" ht="15" customHeight="1">
      <c r="A321" t="inlineStr">
        <is>
          <t>A 45112-2024</t>
        </is>
      </c>
      <c r="B321" s="1" t="n">
        <v>45575</v>
      </c>
      <c r="C321" s="1" t="n">
        <v>46013</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10158-2025</t>
        </is>
      </c>
      <c r="B322" s="1" t="n">
        <v>45719</v>
      </c>
      <c r="C322" s="1" t="n">
        <v>46013</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2676-2023</t>
        </is>
      </c>
      <c r="B323" s="1" t="n">
        <v>44944</v>
      </c>
      <c r="C323" s="1" t="n">
        <v>46013</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43911-2025</t>
        </is>
      </c>
      <c r="B324" s="1" t="n">
        <v>45914.3881712963</v>
      </c>
      <c r="C324" s="1" t="n">
        <v>46013</v>
      </c>
      <c r="D324" t="inlineStr">
        <is>
          <t>GOTLANDS LÄN</t>
        </is>
      </c>
      <c r="E324" t="inlineStr">
        <is>
          <t>GOTLAND</t>
        </is>
      </c>
      <c r="G324" t="n">
        <v>1.9</v>
      </c>
      <c r="H324" t="n">
        <v>0</v>
      </c>
      <c r="I324" t="n">
        <v>0</v>
      </c>
      <c r="J324" t="n">
        <v>0</v>
      </c>
      <c r="K324" t="n">
        <v>0</v>
      </c>
      <c r="L324" t="n">
        <v>0</v>
      </c>
      <c r="M324" t="n">
        <v>0</v>
      </c>
      <c r="N324" t="n">
        <v>0</v>
      </c>
      <c r="O324" t="n">
        <v>0</v>
      </c>
      <c r="P324" t="n">
        <v>0</v>
      </c>
      <c r="Q324" t="n">
        <v>0</v>
      </c>
      <c r="R324" s="2" t="inlineStr"/>
    </row>
    <row r="325" ht="15" customHeight="1">
      <c r="A325" t="inlineStr">
        <is>
          <t>A 44410-2025</t>
        </is>
      </c>
      <c r="B325" s="1" t="n">
        <v>45916.53699074074</v>
      </c>
      <c r="C325" s="1" t="n">
        <v>46013</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3150-2025</t>
        </is>
      </c>
      <c r="B326" s="1" t="n">
        <v>45679.28974537037</v>
      </c>
      <c r="C326" s="1" t="n">
        <v>46013</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43951-2025</t>
        </is>
      </c>
      <c r="B327" s="1" t="n">
        <v>45915.38119212963</v>
      </c>
      <c r="C327" s="1" t="n">
        <v>46013</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8484-2025</t>
        </is>
      </c>
      <c r="B328" s="1" t="n">
        <v>45709</v>
      </c>
      <c r="C328" s="1" t="n">
        <v>46013</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7635-2025</t>
        </is>
      </c>
      <c r="B329" s="1" t="n">
        <v>45705</v>
      </c>
      <c r="C329" s="1" t="n">
        <v>46013</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7636-2025</t>
        </is>
      </c>
      <c r="B330" s="1" t="n">
        <v>45705.7687962963</v>
      </c>
      <c r="C330" s="1" t="n">
        <v>46013</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7639-2025</t>
        </is>
      </c>
      <c r="B331" s="1" t="n">
        <v>45705.77465277778</v>
      </c>
      <c r="C331" s="1" t="n">
        <v>46013</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44405-2025</t>
        </is>
      </c>
      <c r="B332" s="1" t="n">
        <v>45916.52405092592</v>
      </c>
      <c r="C332" s="1" t="n">
        <v>46013</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32379-2025</t>
        </is>
      </c>
      <c r="B333" s="1" t="n">
        <v>45837</v>
      </c>
      <c r="C333" s="1" t="n">
        <v>46013</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20356-2022</t>
        </is>
      </c>
      <c r="B334" s="1" t="n">
        <v>44699</v>
      </c>
      <c r="C334" s="1" t="n">
        <v>46013</v>
      </c>
      <c r="D334" t="inlineStr">
        <is>
          <t>GOTLANDS LÄN</t>
        </is>
      </c>
      <c r="E334" t="inlineStr">
        <is>
          <t>GOTLAND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46013</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14141-2024</t>
        </is>
      </c>
      <c r="B336" s="1" t="n">
        <v>45392.85193287037</v>
      </c>
      <c r="C336" s="1" t="n">
        <v>46013</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29809-2022</t>
        </is>
      </c>
      <c r="B337" s="1" t="n">
        <v>44755.8713425926</v>
      </c>
      <c r="C337" s="1" t="n">
        <v>46013</v>
      </c>
      <c r="D337" t="inlineStr">
        <is>
          <t>GOTLANDS LÄN</t>
        </is>
      </c>
      <c r="E337" t="inlineStr">
        <is>
          <t>GOTLAND</t>
        </is>
      </c>
      <c r="G337" t="n">
        <v>11.5</v>
      </c>
      <c r="H337" t="n">
        <v>0</v>
      </c>
      <c r="I337" t="n">
        <v>0</v>
      </c>
      <c r="J337" t="n">
        <v>0</v>
      </c>
      <c r="K337" t="n">
        <v>0</v>
      </c>
      <c r="L337" t="n">
        <v>0</v>
      </c>
      <c r="M337" t="n">
        <v>0</v>
      </c>
      <c r="N337" t="n">
        <v>0</v>
      </c>
      <c r="O337" t="n">
        <v>0</v>
      </c>
      <c r="P337" t="n">
        <v>0</v>
      </c>
      <c r="Q337" t="n">
        <v>0</v>
      </c>
      <c r="R337" s="2" t="inlineStr"/>
    </row>
    <row r="338" ht="15" customHeight="1">
      <c r="A338" t="inlineStr">
        <is>
          <t>A 32467-2025</t>
        </is>
      </c>
      <c r="B338" s="1" t="n">
        <v>45838.42111111111</v>
      </c>
      <c r="C338" s="1" t="n">
        <v>46013</v>
      </c>
      <c r="D338" t="inlineStr">
        <is>
          <t>GOTLANDS LÄN</t>
        </is>
      </c>
      <c r="E338" t="inlineStr">
        <is>
          <t>GOTLAND</t>
        </is>
      </c>
      <c r="G338" t="n">
        <v>4.3</v>
      </c>
      <c r="H338" t="n">
        <v>0</v>
      </c>
      <c r="I338" t="n">
        <v>0</v>
      </c>
      <c r="J338" t="n">
        <v>0</v>
      </c>
      <c r="K338" t="n">
        <v>0</v>
      </c>
      <c r="L338" t="n">
        <v>0</v>
      </c>
      <c r="M338" t="n">
        <v>0</v>
      </c>
      <c r="N338" t="n">
        <v>0</v>
      </c>
      <c r="O338" t="n">
        <v>0</v>
      </c>
      <c r="P338" t="n">
        <v>0</v>
      </c>
      <c r="Q338" t="n">
        <v>0</v>
      </c>
      <c r="R338" s="2" t="inlineStr"/>
    </row>
    <row r="339" ht="15" customHeight="1">
      <c r="A339" t="inlineStr">
        <is>
          <t>A 16109-2025</t>
        </is>
      </c>
      <c r="B339" s="1" t="n">
        <v>45750</v>
      </c>
      <c r="C339" s="1" t="n">
        <v>46013</v>
      </c>
      <c r="D339" t="inlineStr">
        <is>
          <t>GOTLANDS LÄN</t>
        </is>
      </c>
      <c r="E339" t="inlineStr">
        <is>
          <t>GOTLAND</t>
        </is>
      </c>
      <c r="G339" t="n">
        <v>4.9</v>
      </c>
      <c r="H339" t="n">
        <v>0</v>
      </c>
      <c r="I339" t="n">
        <v>0</v>
      </c>
      <c r="J339" t="n">
        <v>0</v>
      </c>
      <c r="K339" t="n">
        <v>0</v>
      </c>
      <c r="L339" t="n">
        <v>0</v>
      </c>
      <c r="M339" t="n">
        <v>0</v>
      </c>
      <c r="N339" t="n">
        <v>0</v>
      </c>
      <c r="O339" t="n">
        <v>0</v>
      </c>
      <c r="P339" t="n">
        <v>0</v>
      </c>
      <c r="Q339" t="n">
        <v>0</v>
      </c>
      <c r="R339" s="2" t="inlineStr"/>
    </row>
    <row r="340" ht="15" customHeight="1">
      <c r="A340" t="inlineStr">
        <is>
          <t>A 33007-2025</t>
        </is>
      </c>
      <c r="B340" s="1" t="n">
        <v>45840</v>
      </c>
      <c r="C340" s="1" t="n">
        <v>46013</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57685-2022</t>
        </is>
      </c>
      <c r="B341" s="1" t="n">
        <v>44897.4777662037</v>
      </c>
      <c r="C341" s="1" t="n">
        <v>46013</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30815-2023</t>
        </is>
      </c>
      <c r="B342" s="1" t="n">
        <v>45112</v>
      </c>
      <c r="C342" s="1" t="n">
        <v>46013</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26391-2025</t>
        </is>
      </c>
      <c r="B343" s="1" t="n">
        <v>45806</v>
      </c>
      <c r="C343" s="1" t="n">
        <v>46013</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7034-2023</t>
        </is>
      </c>
      <c r="B344" s="1" t="n">
        <v>44968.32108796296</v>
      </c>
      <c r="C344" s="1" t="n">
        <v>46013</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7042-2023</t>
        </is>
      </c>
      <c r="B345" s="1" t="n">
        <v>44968</v>
      </c>
      <c r="C345" s="1" t="n">
        <v>46013</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23516-2023</t>
        </is>
      </c>
      <c r="B346" s="1" t="n">
        <v>45076.93391203704</v>
      </c>
      <c r="C346" s="1" t="n">
        <v>46013</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64660-2023</t>
        </is>
      </c>
      <c r="B347" s="1" t="n">
        <v>45281.60122685185</v>
      </c>
      <c r="C347" s="1" t="n">
        <v>46013</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63763-2023</t>
        </is>
      </c>
      <c r="B348" s="1" t="n">
        <v>45278.33944444444</v>
      </c>
      <c r="C348" s="1" t="n">
        <v>46013</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46013</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15413-2025</t>
        </is>
      </c>
      <c r="B350" s="1" t="n">
        <v>45747.451875</v>
      </c>
      <c r="C350" s="1" t="n">
        <v>46013</v>
      </c>
      <c r="D350" t="inlineStr">
        <is>
          <t>GOTLANDS LÄN</t>
        </is>
      </c>
      <c r="E350" t="inlineStr">
        <is>
          <t>GOTLAND</t>
        </is>
      </c>
      <c r="G350" t="n">
        <v>0.6</v>
      </c>
      <c r="H350" t="n">
        <v>0</v>
      </c>
      <c r="I350" t="n">
        <v>0</v>
      </c>
      <c r="J350" t="n">
        <v>0</v>
      </c>
      <c r="K350" t="n">
        <v>0</v>
      </c>
      <c r="L350" t="n">
        <v>0</v>
      </c>
      <c r="M350" t="n">
        <v>0</v>
      </c>
      <c r="N350" t="n">
        <v>0</v>
      </c>
      <c r="O350" t="n">
        <v>0</v>
      </c>
      <c r="P350" t="n">
        <v>0</v>
      </c>
      <c r="Q350" t="n">
        <v>0</v>
      </c>
      <c r="R350" s="2" t="inlineStr"/>
    </row>
    <row r="351" ht="15" customHeight="1">
      <c r="A351" t="inlineStr">
        <is>
          <t>A 35123-2025</t>
        </is>
      </c>
      <c r="B351" s="1" t="n">
        <v>45852.614375</v>
      </c>
      <c r="C351" s="1" t="n">
        <v>46013</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63229-2021</t>
        </is>
      </c>
      <c r="B352" s="1" t="n">
        <v>44508.34518518519</v>
      </c>
      <c r="C352" s="1" t="n">
        <v>46013</v>
      </c>
      <c r="D352" t="inlineStr">
        <is>
          <t>GOTLANDS LÄN</t>
        </is>
      </c>
      <c r="E352" t="inlineStr">
        <is>
          <t>GOTLAND</t>
        </is>
      </c>
      <c r="F352" t="inlineStr">
        <is>
          <t>Kyrkan</t>
        </is>
      </c>
      <c r="G352" t="n">
        <v>3.8</v>
      </c>
      <c r="H352" t="n">
        <v>0</v>
      </c>
      <c r="I352" t="n">
        <v>0</v>
      </c>
      <c r="J352" t="n">
        <v>0</v>
      </c>
      <c r="K352" t="n">
        <v>0</v>
      </c>
      <c r="L352" t="n">
        <v>0</v>
      </c>
      <c r="M352" t="n">
        <v>0</v>
      </c>
      <c r="N352" t="n">
        <v>0</v>
      </c>
      <c r="O352" t="n">
        <v>0</v>
      </c>
      <c r="P352" t="n">
        <v>0</v>
      </c>
      <c r="Q352" t="n">
        <v>0</v>
      </c>
      <c r="R352" s="2" t="inlineStr"/>
    </row>
    <row r="353" ht="15" customHeight="1">
      <c r="A353" t="inlineStr">
        <is>
          <t>A 35096-2025</t>
        </is>
      </c>
      <c r="B353" s="1" t="n">
        <v>45852.54356481481</v>
      </c>
      <c r="C353" s="1" t="n">
        <v>46013</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46375-2024</t>
        </is>
      </c>
      <c r="B354" s="1" t="n">
        <v>45582</v>
      </c>
      <c r="C354" s="1" t="n">
        <v>46013</v>
      </c>
      <c r="D354" t="inlineStr">
        <is>
          <t>GOTLANDS LÄN</t>
        </is>
      </c>
      <c r="E354" t="inlineStr">
        <is>
          <t>GOTLAND</t>
        </is>
      </c>
      <c r="G354" t="n">
        <v>3</v>
      </c>
      <c r="H354" t="n">
        <v>0</v>
      </c>
      <c r="I354" t="n">
        <v>0</v>
      </c>
      <c r="J354" t="n">
        <v>0</v>
      </c>
      <c r="K354" t="n">
        <v>0</v>
      </c>
      <c r="L354" t="n">
        <v>0</v>
      </c>
      <c r="M354" t="n">
        <v>0</v>
      </c>
      <c r="N354" t="n">
        <v>0</v>
      </c>
      <c r="O354" t="n">
        <v>0</v>
      </c>
      <c r="P354" t="n">
        <v>0</v>
      </c>
      <c r="Q354" t="n">
        <v>0</v>
      </c>
      <c r="R354" s="2" t="inlineStr"/>
    </row>
    <row r="355" ht="15" customHeight="1">
      <c r="A355" t="inlineStr">
        <is>
          <t>A 30104-2025</t>
        </is>
      </c>
      <c r="B355" s="1" t="n">
        <v>45826.68806712963</v>
      </c>
      <c r="C355" s="1" t="n">
        <v>46013</v>
      </c>
      <c r="D355" t="inlineStr">
        <is>
          <t>GOTLANDS LÄN</t>
        </is>
      </c>
      <c r="E355" t="inlineStr">
        <is>
          <t>GOTLAND</t>
        </is>
      </c>
      <c r="G355" t="n">
        <v>15.4</v>
      </c>
      <c r="H355" t="n">
        <v>0</v>
      </c>
      <c r="I355" t="n">
        <v>0</v>
      </c>
      <c r="J355" t="n">
        <v>0</v>
      </c>
      <c r="K355" t="n">
        <v>0</v>
      </c>
      <c r="L355" t="n">
        <v>0</v>
      </c>
      <c r="M355" t="n">
        <v>0</v>
      </c>
      <c r="N355" t="n">
        <v>0</v>
      </c>
      <c r="O355" t="n">
        <v>0</v>
      </c>
      <c r="P355" t="n">
        <v>0</v>
      </c>
      <c r="Q355" t="n">
        <v>0</v>
      </c>
      <c r="R355" s="2" t="inlineStr"/>
    </row>
    <row r="356" ht="15" customHeight="1">
      <c r="A356" t="inlineStr">
        <is>
          <t>A 35290-2025</t>
        </is>
      </c>
      <c r="B356" s="1" t="n">
        <v>45854.38502314815</v>
      </c>
      <c r="C356" s="1" t="n">
        <v>46013</v>
      </c>
      <c r="D356" t="inlineStr">
        <is>
          <t>GOTLANDS LÄN</t>
        </is>
      </c>
      <c r="E356" t="inlineStr">
        <is>
          <t>GOTLAND</t>
        </is>
      </c>
      <c r="G356" t="n">
        <v>5.4</v>
      </c>
      <c r="H356" t="n">
        <v>0</v>
      </c>
      <c r="I356" t="n">
        <v>0</v>
      </c>
      <c r="J356" t="n">
        <v>0</v>
      </c>
      <c r="K356" t="n">
        <v>0</v>
      </c>
      <c r="L356" t="n">
        <v>0</v>
      </c>
      <c r="M356" t="n">
        <v>0</v>
      </c>
      <c r="N356" t="n">
        <v>0</v>
      </c>
      <c r="O356" t="n">
        <v>0</v>
      </c>
      <c r="P356" t="n">
        <v>0</v>
      </c>
      <c r="Q356" t="n">
        <v>0</v>
      </c>
      <c r="R356" s="2" t="inlineStr"/>
    </row>
    <row r="357" ht="15" customHeight="1">
      <c r="A357" t="inlineStr">
        <is>
          <t>A 32669-2024</t>
        </is>
      </c>
      <c r="B357" s="1" t="n">
        <v>45514</v>
      </c>
      <c r="C357" s="1" t="n">
        <v>46013</v>
      </c>
      <c r="D357" t="inlineStr">
        <is>
          <t>GOTLANDS LÄN</t>
        </is>
      </c>
      <c r="E357" t="inlineStr">
        <is>
          <t>GOTLAND</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35537-2025</t>
        </is>
      </c>
      <c r="B358" s="1" t="n">
        <v>45856</v>
      </c>
      <c r="C358" s="1" t="n">
        <v>46013</v>
      </c>
      <c r="D358" t="inlineStr">
        <is>
          <t>GOTLANDS LÄN</t>
        </is>
      </c>
      <c r="E358" t="inlineStr">
        <is>
          <t>GOTLAND</t>
        </is>
      </c>
      <c r="G358" t="n">
        <v>16.8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46013</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15216-2025</t>
        </is>
      </c>
      <c r="B360" s="1" t="n">
        <v>45744</v>
      </c>
      <c r="C360" s="1" t="n">
        <v>46013</v>
      </c>
      <c r="D360" t="inlineStr">
        <is>
          <t>GOTLANDS LÄN</t>
        </is>
      </c>
      <c r="E360" t="inlineStr">
        <is>
          <t>GOTLAND</t>
        </is>
      </c>
      <c r="G360" t="n">
        <v>1.2</v>
      </c>
      <c r="H360" t="n">
        <v>0</v>
      </c>
      <c r="I360" t="n">
        <v>0</v>
      </c>
      <c r="J360" t="n">
        <v>0</v>
      </c>
      <c r="K360" t="n">
        <v>0</v>
      </c>
      <c r="L360" t="n">
        <v>0</v>
      </c>
      <c r="M360" t="n">
        <v>0</v>
      </c>
      <c r="N360" t="n">
        <v>0</v>
      </c>
      <c r="O360" t="n">
        <v>0</v>
      </c>
      <c r="P360" t="n">
        <v>0</v>
      </c>
      <c r="Q360" t="n">
        <v>0</v>
      </c>
      <c r="R360" s="2" t="inlineStr"/>
    </row>
    <row r="361" ht="15" customHeight="1">
      <c r="A361" t="inlineStr">
        <is>
          <t>A 1734-2025</t>
        </is>
      </c>
      <c r="B361" s="1" t="n">
        <v>45671.3840625</v>
      </c>
      <c r="C361" s="1" t="n">
        <v>46013</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43790-2024</t>
        </is>
      </c>
      <c r="B362" s="1" t="n">
        <v>45571</v>
      </c>
      <c r="C362" s="1" t="n">
        <v>46013</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15001-2025</t>
        </is>
      </c>
      <c r="B363" s="1" t="n">
        <v>45743</v>
      </c>
      <c r="C363" s="1" t="n">
        <v>46013</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30488-2025</t>
        </is>
      </c>
      <c r="B364" s="1" t="n">
        <v>45830</v>
      </c>
      <c r="C364" s="1" t="n">
        <v>46013</v>
      </c>
      <c r="D364" t="inlineStr">
        <is>
          <t>GOTLANDS LÄN</t>
        </is>
      </c>
      <c r="E364" t="inlineStr">
        <is>
          <t>GOTLAND</t>
        </is>
      </c>
      <c r="F364" t="inlineStr">
        <is>
          <t>Kyrkan</t>
        </is>
      </c>
      <c r="G364" t="n">
        <v>3.9</v>
      </c>
      <c r="H364" t="n">
        <v>0</v>
      </c>
      <c r="I364" t="n">
        <v>0</v>
      </c>
      <c r="J364" t="n">
        <v>0</v>
      </c>
      <c r="K364" t="n">
        <v>0</v>
      </c>
      <c r="L364" t="n">
        <v>0</v>
      </c>
      <c r="M364" t="n">
        <v>0</v>
      </c>
      <c r="N364" t="n">
        <v>0</v>
      </c>
      <c r="O364" t="n">
        <v>0</v>
      </c>
      <c r="P364" t="n">
        <v>0</v>
      </c>
      <c r="Q364" t="n">
        <v>0</v>
      </c>
      <c r="R364" s="2" t="inlineStr"/>
    </row>
    <row r="365" ht="15" customHeight="1">
      <c r="A365" t="inlineStr">
        <is>
          <t>A 17847-2025</t>
        </is>
      </c>
      <c r="B365" s="1" t="n">
        <v>45758</v>
      </c>
      <c r="C365" s="1" t="n">
        <v>46013</v>
      </c>
      <c r="D365" t="inlineStr">
        <is>
          <t>GOTLANDS LÄN</t>
        </is>
      </c>
      <c r="E365" t="inlineStr">
        <is>
          <t>GOTLAND</t>
        </is>
      </c>
      <c r="G365" t="n">
        <v>1.9</v>
      </c>
      <c r="H365" t="n">
        <v>0</v>
      </c>
      <c r="I365" t="n">
        <v>0</v>
      </c>
      <c r="J365" t="n">
        <v>0</v>
      </c>
      <c r="K365" t="n">
        <v>0</v>
      </c>
      <c r="L365" t="n">
        <v>0</v>
      </c>
      <c r="M365" t="n">
        <v>0</v>
      </c>
      <c r="N365" t="n">
        <v>0</v>
      </c>
      <c r="O365" t="n">
        <v>0</v>
      </c>
      <c r="P365" t="n">
        <v>0</v>
      </c>
      <c r="Q365" t="n">
        <v>0</v>
      </c>
      <c r="R365" s="2" t="inlineStr"/>
    </row>
    <row r="366" ht="15" customHeight="1">
      <c r="A366" t="inlineStr">
        <is>
          <t>A 20993-2023</t>
        </is>
      </c>
      <c r="B366" s="1" t="n">
        <v>45056</v>
      </c>
      <c r="C366" s="1" t="n">
        <v>46013</v>
      </c>
      <c r="D366" t="inlineStr">
        <is>
          <t>GOTLANDS LÄN</t>
        </is>
      </c>
      <c r="E366" t="inlineStr">
        <is>
          <t>GOTLAND</t>
        </is>
      </c>
      <c r="G366" t="n">
        <v>7.1</v>
      </c>
      <c r="H366" t="n">
        <v>0</v>
      </c>
      <c r="I366" t="n">
        <v>0</v>
      </c>
      <c r="J366" t="n">
        <v>0</v>
      </c>
      <c r="K366" t="n">
        <v>0</v>
      </c>
      <c r="L366" t="n">
        <v>0</v>
      </c>
      <c r="M366" t="n">
        <v>0</v>
      </c>
      <c r="N366" t="n">
        <v>0</v>
      </c>
      <c r="O366" t="n">
        <v>0</v>
      </c>
      <c r="P366" t="n">
        <v>0</v>
      </c>
      <c r="Q366" t="n">
        <v>0</v>
      </c>
      <c r="R366" s="2" t="inlineStr"/>
    </row>
    <row r="367" ht="15" customHeight="1">
      <c r="A367" t="inlineStr">
        <is>
          <t>A 18742-2025</t>
        </is>
      </c>
      <c r="B367" s="1" t="n">
        <v>45763</v>
      </c>
      <c r="C367" s="1" t="n">
        <v>46013</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36319-2025</t>
        </is>
      </c>
      <c r="B368" s="1" t="n">
        <v>45868</v>
      </c>
      <c r="C368" s="1" t="n">
        <v>46013</v>
      </c>
      <c r="D368" t="inlineStr">
        <is>
          <t>GOTLANDS LÄN</t>
        </is>
      </c>
      <c r="E368" t="inlineStr">
        <is>
          <t>GOTLAND</t>
        </is>
      </c>
      <c r="G368" t="n">
        <v>2.9</v>
      </c>
      <c r="H368" t="n">
        <v>0</v>
      </c>
      <c r="I368" t="n">
        <v>0</v>
      </c>
      <c r="J368" t="n">
        <v>0</v>
      </c>
      <c r="K368" t="n">
        <v>0</v>
      </c>
      <c r="L368" t="n">
        <v>0</v>
      </c>
      <c r="M368" t="n">
        <v>0</v>
      </c>
      <c r="N368" t="n">
        <v>0</v>
      </c>
      <c r="O368" t="n">
        <v>0</v>
      </c>
      <c r="P368" t="n">
        <v>0</v>
      </c>
      <c r="Q368" t="n">
        <v>0</v>
      </c>
      <c r="R368" s="2" t="inlineStr"/>
    </row>
    <row r="369" ht="15" customHeight="1">
      <c r="A369" t="inlineStr">
        <is>
          <t>A 35129-2025</t>
        </is>
      </c>
      <c r="B369" s="1" t="n">
        <v>45852.63224537037</v>
      </c>
      <c r="C369" s="1" t="n">
        <v>46013</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12596-2023</t>
        </is>
      </c>
      <c r="B370" s="1" t="n">
        <v>45000.43310185185</v>
      </c>
      <c r="C370" s="1" t="n">
        <v>46013</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2125-2025</t>
        </is>
      </c>
      <c r="B371" s="1" t="n">
        <v>45672.64940972222</v>
      </c>
      <c r="C371" s="1" t="n">
        <v>46013</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47147-2025</t>
        </is>
      </c>
      <c r="B372" s="1" t="n">
        <v>45929</v>
      </c>
      <c r="C372" s="1" t="n">
        <v>46013</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32378-2025</t>
        </is>
      </c>
      <c r="B373" s="1" t="n">
        <v>45837</v>
      </c>
      <c r="C373" s="1" t="n">
        <v>46013</v>
      </c>
      <c r="D373" t="inlineStr">
        <is>
          <t>GOTLANDS LÄN</t>
        </is>
      </c>
      <c r="E373" t="inlineStr">
        <is>
          <t>GOTLAND</t>
        </is>
      </c>
      <c r="G373" t="n">
        <v>4.1</v>
      </c>
      <c r="H373" t="n">
        <v>0</v>
      </c>
      <c r="I373" t="n">
        <v>0</v>
      </c>
      <c r="J373" t="n">
        <v>0</v>
      </c>
      <c r="K373" t="n">
        <v>0</v>
      </c>
      <c r="L373" t="n">
        <v>0</v>
      </c>
      <c r="M373" t="n">
        <v>0</v>
      </c>
      <c r="N373" t="n">
        <v>0</v>
      </c>
      <c r="O373" t="n">
        <v>0</v>
      </c>
      <c r="P373" t="n">
        <v>0</v>
      </c>
      <c r="Q373" t="n">
        <v>0</v>
      </c>
      <c r="R373" s="2" t="inlineStr"/>
    </row>
    <row r="374" ht="15" customHeight="1">
      <c r="A374" t="inlineStr">
        <is>
          <t>A 12155-2023</t>
        </is>
      </c>
      <c r="B374" s="1" t="n">
        <v>44998.49106481481</v>
      </c>
      <c r="C374" s="1" t="n">
        <v>46013</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457-2023</t>
        </is>
      </c>
      <c r="B375" s="1" t="n">
        <v>44929.87238425926</v>
      </c>
      <c r="C375" s="1" t="n">
        <v>46013</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459-2023</t>
        </is>
      </c>
      <c r="B376" s="1" t="n">
        <v>44929.87423611111</v>
      </c>
      <c r="C376" s="1" t="n">
        <v>46013</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38234-2023</t>
        </is>
      </c>
      <c r="B377" s="1" t="n">
        <v>45161.56663194444</v>
      </c>
      <c r="C377" s="1" t="n">
        <v>46013</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50744-2024</t>
        </is>
      </c>
      <c r="B378" s="1" t="n">
        <v>45602.4187037037</v>
      </c>
      <c r="C378" s="1" t="n">
        <v>46013</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53934-2024</t>
        </is>
      </c>
      <c r="B379" s="1" t="n">
        <v>45615</v>
      </c>
      <c r="C379" s="1" t="n">
        <v>46013</v>
      </c>
      <c r="D379" t="inlineStr">
        <is>
          <t>GOTLANDS LÄN</t>
        </is>
      </c>
      <c r="E379" t="inlineStr">
        <is>
          <t>GOTLAND</t>
        </is>
      </c>
      <c r="G379" t="n">
        <v>5</v>
      </c>
      <c r="H379" t="n">
        <v>0</v>
      </c>
      <c r="I379" t="n">
        <v>0</v>
      </c>
      <c r="J379" t="n">
        <v>0</v>
      </c>
      <c r="K379" t="n">
        <v>0</v>
      </c>
      <c r="L379" t="n">
        <v>0</v>
      </c>
      <c r="M379" t="n">
        <v>0</v>
      </c>
      <c r="N379" t="n">
        <v>0</v>
      </c>
      <c r="O379" t="n">
        <v>0</v>
      </c>
      <c r="P379" t="n">
        <v>0</v>
      </c>
      <c r="Q379" t="n">
        <v>0</v>
      </c>
      <c r="R379" s="2" t="inlineStr"/>
    </row>
    <row r="380" ht="15" customHeight="1">
      <c r="A380" t="inlineStr">
        <is>
          <t>A 35550-2025</t>
        </is>
      </c>
      <c r="B380" s="1" t="n">
        <v>45856.49324074074</v>
      </c>
      <c r="C380" s="1" t="n">
        <v>46013</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56688-2025</t>
        </is>
      </c>
      <c r="B381" s="1" t="n">
        <v>45975.84331018518</v>
      </c>
      <c r="C381" s="1" t="n">
        <v>46013</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47578-2025</t>
        </is>
      </c>
      <c r="B382" s="1" t="n">
        <v>45931</v>
      </c>
      <c r="C382" s="1" t="n">
        <v>46013</v>
      </c>
      <c r="D382" t="inlineStr">
        <is>
          <t>GOTLANDS LÄN</t>
        </is>
      </c>
      <c r="E382" t="inlineStr">
        <is>
          <t>GOTLAND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6108-2025</t>
        </is>
      </c>
      <c r="B383" s="1" t="n">
        <v>45698.29880787037</v>
      </c>
      <c r="C383" s="1" t="n">
        <v>46013</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21142-2025</t>
        </is>
      </c>
      <c r="B384" s="1" t="n">
        <v>45779</v>
      </c>
      <c r="C384" s="1" t="n">
        <v>46013</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17343-2025</t>
        </is>
      </c>
      <c r="B385" s="1" t="n">
        <v>45756.6687037037</v>
      </c>
      <c r="C385" s="1" t="n">
        <v>46013</v>
      </c>
      <c r="D385" t="inlineStr">
        <is>
          <t>GOTLANDS LÄN</t>
        </is>
      </c>
      <c r="E385" t="inlineStr">
        <is>
          <t>GOTLAND</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1446-2025</t>
        </is>
      </c>
      <c r="B386" s="1" t="n">
        <v>45669.86035879629</v>
      </c>
      <c r="C386" s="1" t="n">
        <v>46013</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18938-2025</t>
        </is>
      </c>
      <c r="B387" s="1" t="n">
        <v>45764.49172453704</v>
      </c>
      <c r="C387" s="1" t="n">
        <v>46013</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49724-2025</t>
        </is>
      </c>
      <c r="B388" s="1" t="n">
        <v>45939.83730324074</v>
      </c>
      <c r="C388" s="1" t="n">
        <v>46013</v>
      </c>
      <c r="D388" t="inlineStr">
        <is>
          <t>GOTLANDS LÄN</t>
        </is>
      </c>
      <c r="E388" t="inlineStr">
        <is>
          <t>GOTLAND</t>
        </is>
      </c>
      <c r="F388" t="inlineStr">
        <is>
          <t>Kyrkan</t>
        </is>
      </c>
      <c r="G388" t="n">
        <v>3.1</v>
      </c>
      <c r="H388" t="n">
        <v>0</v>
      </c>
      <c r="I388" t="n">
        <v>0</v>
      </c>
      <c r="J388" t="n">
        <v>0</v>
      </c>
      <c r="K388" t="n">
        <v>0</v>
      </c>
      <c r="L388" t="n">
        <v>0</v>
      </c>
      <c r="M388" t="n">
        <v>0</v>
      </c>
      <c r="N388" t="n">
        <v>0</v>
      </c>
      <c r="O388" t="n">
        <v>0</v>
      </c>
      <c r="P388" t="n">
        <v>0</v>
      </c>
      <c r="Q388" t="n">
        <v>0</v>
      </c>
      <c r="R388" s="2" t="inlineStr"/>
    </row>
    <row r="389" ht="15" customHeight="1">
      <c r="A389" t="inlineStr">
        <is>
          <t>A 49730-2025</t>
        </is>
      </c>
      <c r="B389" s="1" t="n">
        <v>45939.87613425926</v>
      </c>
      <c r="C389" s="1" t="n">
        <v>46013</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30489-2025</t>
        </is>
      </c>
      <c r="B390" s="1" t="n">
        <v>45830</v>
      </c>
      <c r="C390" s="1" t="n">
        <v>46013</v>
      </c>
      <c r="D390" t="inlineStr">
        <is>
          <t>GOTLANDS LÄN</t>
        </is>
      </c>
      <c r="E390" t="inlineStr">
        <is>
          <t>GOTLAND</t>
        </is>
      </c>
      <c r="G390" t="n">
        <v>4.6</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46013</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20307-2025</t>
        </is>
      </c>
      <c r="B392" s="1" t="n">
        <v>45774.95546296296</v>
      </c>
      <c r="C392" s="1" t="n">
        <v>46013</v>
      </c>
      <c r="D392" t="inlineStr">
        <is>
          <t>GOTLANDS LÄN</t>
        </is>
      </c>
      <c r="E392" t="inlineStr">
        <is>
          <t>GOTLAND</t>
        </is>
      </c>
      <c r="G392" t="n">
        <v>6.8</v>
      </c>
      <c r="H392" t="n">
        <v>0</v>
      </c>
      <c r="I392" t="n">
        <v>0</v>
      </c>
      <c r="J392" t="n">
        <v>0</v>
      </c>
      <c r="K392" t="n">
        <v>0</v>
      </c>
      <c r="L392" t="n">
        <v>0</v>
      </c>
      <c r="M392" t="n">
        <v>0</v>
      </c>
      <c r="N392" t="n">
        <v>0</v>
      </c>
      <c r="O392" t="n">
        <v>0</v>
      </c>
      <c r="P392" t="n">
        <v>0</v>
      </c>
      <c r="Q392" t="n">
        <v>0</v>
      </c>
      <c r="R392" s="2" t="inlineStr"/>
    </row>
    <row r="393" ht="15" customHeight="1">
      <c r="A393" t="inlineStr">
        <is>
          <t>A 43901-2023</t>
        </is>
      </c>
      <c r="B393" s="1" t="n">
        <v>45187</v>
      </c>
      <c r="C393" s="1" t="n">
        <v>46013</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49690-2025</t>
        </is>
      </c>
      <c r="B394" s="1" t="n">
        <v>45939.66730324074</v>
      </c>
      <c r="C394" s="1" t="n">
        <v>46013</v>
      </c>
      <c r="D394" t="inlineStr">
        <is>
          <t>GOTLANDS LÄN</t>
        </is>
      </c>
      <c r="E394" t="inlineStr">
        <is>
          <t>GOTLAND</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10746-2025</t>
        </is>
      </c>
      <c r="B395" s="1" t="n">
        <v>45722.42766203704</v>
      </c>
      <c r="C395" s="1" t="n">
        <v>46013</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33011-2025</t>
        </is>
      </c>
      <c r="B396" s="1" t="n">
        <v>45840</v>
      </c>
      <c r="C396" s="1" t="n">
        <v>46013</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16501-2023</t>
        </is>
      </c>
      <c r="B397" s="1" t="n">
        <v>45029</v>
      </c>
      <c r="C397" s="1" t="n">
        <v>46013</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46013</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50421-2025</t>
        </is>
      </c>
      <c r="B399" s="1" t="n">
        <v>45944.66049768519</v>
      </c>
      <c r="C399" s="1" t="n">
        <v>46013</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27930-2021</t>
        </is>
      </c>
      <c r="B400" s="1" t="n">
        <v>44354</v>
      </c>
      <c r="C400" s="1" t="n">
        <v>46013</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61962-2024</t>
        </is>
      </c>
      <c r="B401" s="1" t="n">
        <v>45653.54340277778</v>
      </c>
      <c r="C401" s="1" t="n">
        <v>46013</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46013</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10492-2023</t>
        </is>
      </c>
      <c r="B403" s="1" t="n">
        <v>44987</v>
      </c>
      <c r="C403" s="1" t="n">
        <v>46013</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50928-2025</t>
        </is>
      </c>
      <c r="B404" s="1" t="n">
        <v>45946.67896990741</v>
      </c>
      <c r="C404" s="1" t="n">
        <v>46013</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5909-2025</t>
        </is>
      </c>
      <c r="B405" s="1" t="n">
        <v>45695.40634259259</v>
      </c>
      <c r="C405" s="1" t="n">
        <v>46013</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10653-2023</t>
        </is>
      </c>
      <c r="B406" s="1" t="n">
        <v>44988.48859953704</v>
      </c>
      <c r="C406" s="1" t="n">
        <v>46013</v>
      </c>
      <c r="D406" t="inlineStr">
        <is>
          <t>GOTLANDS LÄN</t>
        </is>
      </c>
      <c r="E406" t="inlineStr">
        <is>
          <t>GOTLAND</t>
        </is>
      </c>
      <c r="F406" t="inlineStr">
        <is>
          <t>Kyrkan</t>
        </is>
      </c>
      <c r="G406" t="n">
        <v>3</v>
      </c>
      <c r="H406" t="n">
        <v>0</v>
      </c>
      <c r="I406" t="n">
        <v>0</v>
      </c>
      <c r="J406" t="n">
        <v>0</v>
      </c>
      <c r="K406" t="n">
        <v>0</v>
      </c>
      <c r="L406" t="n">
        <v>0</v>
      </c>
      <c r="M406" t="n">
        <v>0</v>
      </c>
      <c r="N406" t="n">
        <v>0</v>
      </c>
      <c r="O406" t="n">
        <v>0</v>
      </c>
      <c r="P406" t="n">
        <v>0</v>
      </c>
      <c r="Q406" t="n">
        <v>0</v>
      </c>
      <c r="R406" s="2" t="inlineStr"/>
    </row>
    <row r="407" ht="15" customHeight="1">
      <c r="A407" t="inlineStr">
        <is>
          <t>A 59197-2025</t>
        </is>
      </c>
      <c r="B407" s="1" t="n">
        <v>45988.59846064815</v>
      </c>
      <c r="C407" s="1" t="n">
        <v>46013</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4990-2025</t>
        </is>
      </c>
      <c r="B408" s="1" t="n">
        <v>45691</v>
      </c>
      <c r="C408" s="1" t="n">
        <v>46013</v>
      </c>
      <c r="D408" t="inlineStr">
        <is>
          <t>GOTLANDS LÄN</t>
        </is>
      </c>
      <c r="E408" t="inlineStr">
        <is>
          <t>GOTLAND</t>
        </is>
      </c>
      <c r="G408" t="n">
        <v>7.7</v>
      </c>
      <c r="H408" t="n">
        <v>0</v>
      </c>
      <c r="I408" t="n">
        <v>0</v>
      </c>
      <c r="J408" t="n">
        <v>0</v>
      </c>
      <c r="K408" t="n">
        <v>0</v>
      </c>
      <c r="L408" t="n">
        <v>0</v>
      </c>
      <c r="M408" t="n">
        <v>0</v>
      </c>
      <c r="N408" t="n">
        <v>0</v>
      </c>
      <c r="O408" t="n">
        <v>0</v>
      </c>
      <c r="P408" t="n">
        <v>0</v>
      </c>
      <c r="Q408" t="n">
        <v>0</v>
      </c>
      <c r="R408" s="2" t="inlineStr"/>
    </row>
    <row r="409" ht="15" customHeight="1">
      <c r="A409" t="inlineStr">
        <is>
          <t>A 43081-2022</t>
        </is>
      </c>
      <c r="B409" s="1" t="n">
        <v>44833</v>
      </c>
      <c r="C409" s="1" t="n">
        <v>46013</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46013</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5884-2025</t>
        </is>
      </c>
      <c r="B411" s="1" t="n">
        <v>45695.37482638889</v>
      </c>
      <c r="C411" s="1" t="n">
        <v>46013</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5897-2025</t>
        </is>
      </c>
      <c r="B412" s="1" t="n">
        <v>45695.39273148148</v>
      </c>
      <c r="C412" s="1" t="n">
        <v>46013</v>
      </c>
      <c r="D412" t="inlineStr">
        <is>
          <t>GOTLANDS LÄN</t>
        </is>
      </c>
      <c r="E412" t="inlineStr">
        <is>
          <t>GOTLAND</t>
        </is>
      </c>
      <c r="G412" t="n">
        <v>3.7</v>
      </c>
      <c r="H412" t="n">
        <v>0</v>
      </c>
      <c r="I412" t="n">
        <v>0</v>
      </c>
      <c r="J412" t="n">
        <v>0</v>
      </c>
      <c r="K412" t="n">
        <v>0</v>
      </c>
      <c r="L412" t="n">
        <v>0</v>
      </c>
      <c r="M412" t="n">
        <v>0</v>
      </c>
      <c r="N412" t="n">
        <v>0</v>
      </c>
      <c r="O412" t="n">
        <v>0</v>
      </c>
      <c r="P412" t="n">
        <v>0</v>
      </c>
      <c r="Q412" t="n">
        <v>0</v>
      </c>
      <c r="R412" s="2" t="inlineStr"/>
    </row>
    <row r="413" ht="15" customHeight="1">
      <c r="A413" t="inlineStr">
        <is>
          <t>A 49693-2023</t>
        </is>
      </c>
      <c r="B413" s="1" t="n">
        <v>45212.38138888889</v>
      </c>
      <c r="C413" s="1" t="n">
        <v>46013</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49697-2023</t>
        </is>
      </c>
      <c r="B414" s="1" t="n">
        <v>45212.38909722222</v>
      </c>
      <c r="C414" s="1" t="n">
        <v>46013</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51262-2025</t>
        </is>
      </c>
      <c r="B415" s="1" t="n">
        <v>45949.49872685185</v>
      </c>
      <c r="C415" s="1" t="n">
        <v>46013</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17901-2023</t>
        </is>
      </c>
      <c r="B416" s="1" t="n">
        <v>45039</v>
      </c>
      <c r="C416" s="1" t="n">
        <v>46013</v>
      </c>
      <c r="D416" t="inlineStr">
        <is>
          <t>GOTLANDS LÄN</t>
        </is>
      </c>
      <c r="E416" t="inlineStr">
        <is>
          <t>GOTLAND</t>
        </is>
      </c>
      <c r="F416" t="inlineStr">
        <is>
          <t>Kyrkan</t>
        </is>
      </c>
      <c r="G416" t="n">
        <v>0.6</v>
      </c>
      <c r="H416" t="n">
        <v>0</v>
      </c>
      <c r="I416" t="n">
        <v>0</v>
      </c>
      <c r="J416" t="n">
        <v>0</v>
      </c>
      <c r="K416" t="n">
        <v>0</v>
      </c>
      <c r="L416" t="n">
        <v>0</v>
      </c>
      <c r="M416" t="n">
        <v>0</v>
      </c>
      <c r="N416" t="n">
        <v>0</v>
      </c>
      <c r="O416" t="n">
        <v>0</v>
      </c>
      <c r="P416" t="n">
        <v>0</v>
      </c>
      <c r="Q416" t="n">
        <v>0</v>
      </c>
      <c r="R416" s="2" t="inlineStr"/>
    </row>
    <row r="417" ht="15" customHeight="1">
      <c r="A417" t="inlineStr">
        <is>
          <t>A 52892-2021</t>
        </is>
      </c>
      <c r="B417" s="1" t="n">
        <v>44467.49048611111</v>
      </c>
      <c r="C417" s="1" t="n">
        <v>46013</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46396-2023</t>
        </is>
      </c>
      <c r="B418" s="1" t="n">
        <v>45197</v>
      </c>
      <c r="C418" s="1" t="n">
        <v>46013</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52249-2025</t>
        </is>
      </c>
      <c r="B419" s="1" t="n">
        <v>45953.48637731482</v>
      </c>
      <c r="C419" s="1" t="n">
        <v>46013</v>
      </c>
      <c r="D419" t="inlineStr">
        <is>
          <t>GOTLANDS LÄN</t>
        </is>
      </c>
      <c r="E419" t="inlineStr">
        <is>
          <t>GOTLAND</t>
        </is>
      </c>
      <c r="F419" t="inlineStr">
        <is>
          <t>Övriga Aktiebolag</t>
        </is>
      </c>
      <c r="G419" t="n">
        <v>1</v>
      </c>
      <c r="H419" t="n">
        <v>0</v>
      </c>
      <c r="I419" t="n">
        <v>0</v>
      </c>
      <c r="J419" t="n">
        <v>0</v>
      </c>
      <c r="K419" t="n">
        <v>0</v>
      </c>
      <c r="L419" t="n">
        <v>0</v>
      </c>
      <c r="M419" t="n">
        <v>0</v>
      </c>
      <c r="N419" t="n">
        <v>0</v>
      </c>
      <c r="O419" t="n">
        <v>0</v>
      </c>
      <c r="P419" t="n">
        <v>0</v>
      </c>
      <c r="Q419" t="n">
        <v>0</v>
      </c>
      <c r="R419" s="2" t="inlineStr"/>
    </row>
    <row r="420" ht="15" customHeight="1">
      <c r="A420" t="inlineStr">
        <is>
          <t>A 17724-2024</t>
        </is>
      </c>
      <c r="B420" s="1" t="n">
        <v>45418.55096064815</v>
      </c>
      <c r="C420" s="1" t="n">
        <v>46013</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34312-2024</t>
        </is>
      </c>
      <c r="B421" s="1" t="n">
        <v>45524.69703703704</v>
      </c>
      <c r="C421" s="1" t="n">
        <v>46013</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46013</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52637-2025</t>
        </is>
      </c>
      <c r="B423" s="1" t="n">
        <v>45954.75099537037</v>
      </c>
      <c r="C423" s="1" t="n">
        <v>46013</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7638-2025</t>
        </is>
      </c>
      <c r="B424" s="1" t="n">
        <v>45705.77306712963</v>
      </c>
      <c r="C424" s="1" t="n">
        <v>46013</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50482-2024</t>
        </is>
      </c>
      <c r="B425" s="1" t="n">
        <v>45601.48114583334</v>
      </c>
      <c r="C425" s="1" t="n">
        <v>46013</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1394-2023</t>
        </is>
      </c>
      <c r="B426" s="1" t="n">
        <v>44936.72997685185</v>
      </c>
      <c r="C426" s="1" t="n">
        <v>46013</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58230-2024</t>
        </is>
      </c>
      <c r="B427" s="1" t="n">
        <v>45632.51625</v>
      </c>
      <c r="C427" s="1" t="n">
        <v>46013</v>
      </c>
      <c r="D427" t="inlineStr">
        <is>
          <t>GOTLANDS LÄN</t>
        </is>
      </c>
      <c r="E427" t="inlineStr">
        <is>
          <t>GOTLAND</t>
        </is>
      </c>
      <c r="G427" t="n">
        <v>7.3</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45670.36319444444</v>
      </c>
      <c r="C428" s="1" t="n">
        <v>46013</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25129-2023</t>
        </is>
      </c>
      <c r="B429" s="1" t="n">
        <v>45086.44261574074</v>
      </c>
      <c r="C429" s="1" t="n">
        <v>46013</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24192-2023</t>
        </is>
      </c>
      <c r="B430" s="1" t="n">
        <v>45079</v>
      </c>
      <c r="C430" s="1" t="n">
        <v>46013</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53569-2025</t>
        </is>
      </c>
      <c r="B431" s="1" t="n">
        <v>45960.41155092593</v>
      </c>
      <c r="C431" s="1" t="n">
        <v>46013</v>
      </c>
      <c r="D431" t="inlineStr">
        <is>
          <t>GOTLANDS LÄN</t>
        </is>
      </c>
      <c r="E431" t="inlineStr">
        <is>
          <t>GOTLAND</t>
        </is>
      </c>
      <c r="F431" t="inlineStr">
        <is>
          <t>Övriga Aktiebolag</t>
        </is>
      </c>
      <c r="G431" t="n">
        <v>11.3</v>
      </c>
      <c r="H431" t="n">
        <v>0</v>
      </c>
      <c r="I431" t="n">
        <v>0</v>
      </c>
      <c r="J431" t="n">
        <v>0</v>
      </c>
      <c r="K431" t="n">
        <v>0</v>
      </c>
      <c r="L431" t="n">
        <v>0</v>
      </c>
      <c r="M431" t="n">
        <v>0</v>
      </c>
      <c r="N431" t="n">
        <v>0</v>
      </c>
      <c r="O431" t="n">
        <v>0</v>
      </c>
      <c r="P431" t="n">
        <v>0</v>
      </c>
      <c r="Q431" t="n">
        <v>0</v>
      </c>
      <c r="R431" s="2" t="inlineStr"/>
    </row>
    <row r="432" ht="15" customHeight="1">
      <c r="A432" t="inlineStr">
        <is>
          <t>A 53577-2025</t>
        </is>
      </c>
      <c r="B432" s="1" t="n">
        <v>45960.42224537037</v>
      </c>
      <c r="C432" s="1" t="n">
        <v>46013</v>
      </c>
      <c r="D432" t="inlineStr">
        <is>
          <t>GOTLANDS LÄN</t>
        </is>
      </c>
      <c r="E432" t="inlineStr">
        <is>
          <t>GOTLAND</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53587-2025</t>
        </is>
      </c>
      <c r="B433" s="1" t="n">
        <v>45960.43681712963</v>
      </c>
      <c r="C433" s="1" t="n">
        <v>46013</v>
      </c>
      <c r="D433" t="inlineStr">
        <is>
          <t>GOTLANDS LÄN</t>
        </is>
      </c>
      <c r="E433" t="inlineStr">
        <is>
          <t>GOTLAND</t>
        </is>
      </c>
      <c r="F433" t="inlineStr">
        <is>
          <t>Övriga Aktiebolag</t>
        </is>
      </c>
      <c r="G433" t="n">
        <v>1.7</v>
      </c>
      <c r="H433" t="n">
        <v>0</v>
      </c>
      <c r="I433" t="n">
        <v>0</v>
      </c>
      <c r="J433" t="n">
        <v>0</v>
      </c>
      <c r="K433" t="n">
        <v>0</v>
      </c>
      <c r="L433" t="n">
        <v>0</v>
      </c>
      <c r="M433" t="n">
        <v>0</v>
      </c>
      <c r="N433" t="n">
        <v>0</v>
      </c>
      <c r="O433" t="n">
        <v>0</v>
      </c>
      <c r="P433" t="n">
        <v>0</v>
      </c>
      <c r="Q433" t="n">
        <v>0</v>
      </c>
      <c r="R433" s="2" t="inlineStr"/>
    </row>
    <row r="434" ht="15" customHeight="1">
      <c r="A434" t="inlineStr">
        <is>
          <t>A 5386-2023</t>
        </is>
      </c>
      <c r="B434" s="1" t="n">
        <v>44959</v>
      </c>
      <c r="C434" s="1" t="n">
        <v>46013</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7026-2023</t>
        </is>
      </c>
      <c r="B435" s="1" t="n">
        <v>44968.30340277778</v>
      </c>
      <c r="C435" s="1" t="n">
        <v>46013</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20855-2023</t>
        </is>
      </c>
      <c r="B436" s="1" t="n">
        <v>45058.82172453704</v>
      </c>
      <c r="C436" s="1" t="n">
        <v>46013</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1000-2024</t>
        </is>
      </c>
      <c r="B437" s="1" t="n">
        <v>45301.63371527778</v>
      </c>
      <c r="C437" s="1" t="n">
        <v>46013</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1010-2024</t>
        </is>
      </c>
      <c r="B438" s="1" t="n">
        <v>45301</v>
      </c>
      <c r="C438" s="1" t="n">
        <v>46013</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62066-2025</t>
        </is>
      </c>
      <c r="B439" s="1" t="n">
        <v>46006.34738425926</v>
      </c>
      <c r="C439" s="1" t="n">
        <v>46013</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53561-2025</t>
        </is>
      </c>
      <c r="B440" s="1" t="n">
        <v>45960.4059375</v>
      </c>
      <c r="C440" s="1" t="n">
        <v>46013</v>
      </c>
      <c r="D440" t="inlineStr">
        <is>
          <t>GOTLANDS LÄN</t>
        </is>
      </c>
      <c r="E440" t="inlineStr">
        <is>
          <t>GOTLAND</t>
        </is>
      </c>
      <c r="F440" t="inlineStr">
        <is>
          <t>Övriga Aktiebolag</t>
        </is>
      </c>
      <c r="G440" t="n">
        <v>2.4</v>
      </c>
      <c r="H440" t="n">
        <v>0</v>
      </c>
      <c r="I440" t="n">
        <v>0</v>
      </c>
      <c r="J440" t="n">
        <v>0</v>
      </c>
      <c r="K440" t="n">
        <v>0</v>
      </c>
      <c r="L440" t="n">
        <v>0</v>
      </c>
      <c r="M440" t="n">
        <v>0</v>
      </c>
      <c r="N440" t="n">
        <v>0</v>
      </c>
      <c r="O440" t="n">
        <v>0</v>
      </c>
      <c r="P440" t="n">
        <v>0</v>
      </c>
      <c r="Q440" t="n">
        <v>0</v>
      </c>
      <c r="R440" s="2" t="inlineStr"/>
    </row>
    <row r="441" ht="15" customHeight="1">
      <c r="A441" t="inlineStr">
        <is>
          <t>A 56799-2025</t>
        </is>
      </c>
      <c r="B441" s="1" t="n">
        <v>45978.43392361111</v>
      </c>
      <c r="C441" s="1" t="n">
        <v>46013</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60384-2025</t>
        </is>
      </c>
      <c r="B442" s="1" t="n">
        <v>45995.37947916667</v>
      </c>
      <c r="C442" s="1" t="n">
        <v>46013</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47762-2023</t>
        </is>
      </c>
      <c r="B443" s="1" t="n">
        <v>45203.86256944444</v>
      </c>
      <c r="C443" s="1" t="n">
        <v>46013</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62103-2025</t>
        </is>
      </c>
      <c r="B444" s="1" t="n">
        <v>46006.41638888889</v>
      </c>
      <c r="C444" s="1" t="n">
        <v>46013</v>
      </c>
      <c r="D444" t="inlineStr">
        <is>
          <t>GOTLANDS LÄN</t>
        </is>
      </c>
      <c r="E444" t="inlineStr">
        <is>
          <t>GOTLAND</t>
        </is>
      </c>
      <c r="F444" t="inlineStr">
        <is>
          <t>Övriga Aktiebolag</t>
        </is>
      </c>
      <c r="G444" t="n">
        <v>1.7</v>
      </c>
      <c r="H444" t="n">
        <v>0</v>
      </c>
      <c r="I444" t="n">
        <v>0</v>
      </c>
      <c r="J444" t="n">
        <v>0</v>
      </c>
      <c r="K444" t="n">
        <v>0</v>
      </c>
      <c r="L444" t="n">
        <v>0</v>
      </c>
      <c r="M444" t="n">
        <v>0</v>
      </c>
      <c r="N444" t="n">
        <v>0</v>
      </c>
      <c r="O444" t="n">
        <v>0</v>
      </c>
      <c r="P444" t="n">
        <v>0</v>
      </c>
      <c r="Q444" t="n">
        <v>0</v>
      </c>
      <c r="R444" s="2" t="inlineStr"/>
    </row>
    <row r="445" ht="15" customHeight="1">
      <c r="A445" t="inlineStr">
        <is>
          <t>A 46545-2024</t>
        </is>
      </c>
      <c r="B445" s="1" t="n">
        <v>45582.65831018519</v>
      </c>
      <c r="C445" s="1" t="n">
        <v>46013</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60086-2022</t>
        </is>
      </c>
      <c r="B446" s="1" t="n">
        <v>44909</v>
      </c>
      <c r="C446" s="1" t="n">
        <v>46013</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28480-2023</t>
        </is>
      </c>
      <c r="B447" s="1" t="n">
        <v>45103</v>
      </c>
      <c r="C447" s="1" t="n">
        <v>46013</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28485-2023</t>
        </is>
      </c>
      <c r="B448" s="1" t="n">
        <v>45103.43731481482</v>
      </c>
      <c r="C448" s="1" t="n">
        <v>46013</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62674-2025</t>
        </is>
      </c>
      <c r="B449" s="1" t="n">
        <v>46008.44890046296</v>
      </c>
      <c r="C449" s="1" t="n">
        <v>46013</v>
      </c>
      <c r="D449" t="inlineStr">
        <is>
          <t>GOTLANDS LÄN</t>
        </is>
      </c>
      <c r="E449" t="inlineStr">
        <is>
          <t>GOTLAND</t>
        </is>
      </c>
      <c r="G449" t="n">
        <v>5</v>
      </c>
      <c r="H449" t="n">
        <v>0</v>
      </c>
      <c r="I449" t="n">
        <v>0</v>
      </c>
      <c r="J449" t="n">
        <v>0</v>
      </c>
      <c r="K449" t="n">
        <v>0</v>
      </c>
      <c r="L449" t="n">
        <v>0</v>
      </c>
      <c r="M449" t="n">
        <v>0</v>
      </c>
      <c r="N449" t="n">
        <v>0</v>
      </c>
      <c r="O449" t="n">
        <v>0</v>
      </c>
      <c r="P449" t="n">
        <v>0</v>
      </c>
      <c r="Q449" t="n">
        <v>0</v>
      </c>
      <c r="R449" s="2" t="inlineStr"/>
    </row>
    <row r="450" ht="15" customHeight="1">
      <c r="A450" t="inlineStr">
        <is>
          <t>A 62751-2025</t>
        </is>
      </c>
      <c r="B450" s="1" t="n">
        <v>46008.58076388889</v>
      </c>
      <c r="C450" s="1" t="n">
        <v>46013</v>
      </c>
      <c r="D450" t="inlineStr">
        <is>
          <t>GOTLANDS LÄN</t>
        </is>
      </c>
      <c r="E450" t="inlineStr">
        <is>
          <t>GOTLAND</t>
        </is>
      </c>
      <c r="F450" t="inlineStr">
        <is>
          <t>Övriga Aktiebolag</t>
        </is>
      </c>
      <c r="G450" t="n">
        <v>7.8</v>
      </c>
      <c r="H450" t="n">
        <v>0</v>
      </c>
      <c r="I450" t="n">
        <v>0</v>
      </c>
      <c r="J450" t="n">
        <v>0</v>
      </c>
      <c r="K450" t="n">
        <v>0</v>
      </c>
      <c r="L450" t="n">
        <v>0</v>
      </c>
      <c r="M450" t="n">
        <v>0</v>
      </c>
      <c r="N450" t="n">
        <v>0</v>
      </c>
      <c r="O450" t="n">
        <v>0</v>
      </c>
      <c r="P450" t="n">
        <v>0</v>
      </c>
      <c r="Q450" t="n">
        <v>0</v>
      </c>
      <c r="R450" s="2" t="inlineStr"/>
    </row>
    <row r="451" ht="15" customHeight="1">
      <c r="A451" t="inlineStr">
        <is>
          <t>A 62915-2021</t>
        </is>
      </c>
      <c r="B451" s="1" t="n">
        <v>44504</v>
      </c>
      <c r="C451" s="1" t="n">
        <v>46013</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62754-2025</t>
        </is>
      </c>
      <c r="B452" s="1" t="n">
        <v>46008.58765046296</v>
      </c>
      <c r="C452" s="1" t="n">
        <v>46013</v>
      </c>
      <c r="D452" t="inlineStr">
        <is>
          <t>GOTLANDS LÄN</t>
        </is>
      </c>
      <c r="E452" t="inlineStr">
        <is>
          <t>GOTLAND</t>
        </is>
      </c>
      <c r="F452" t="inlineStr">
        <is>
          <t>Övriga Aktiebolag</t>
        </is>
      </c>
      <c r="G452" t="n">
        <v>2.9</v>
      </c>
      <c r="H452" t="n">
        <v>0</v>
      </c>
      <c r="I452" t="n">
        <v>0</v>
      </c>
      <c r="J452" t="n">
        <v>0</v>
      </c>
      <c r="K452" t="n">
        <v>0</v>
      </c>
      <c r="L452" t="n">
        <v>0</v>
      </c>
      <c r="M452" t="n">
        <v>0</v>
      </c>
      <c r="N452" t="n">
        <v>0</v>
      </c>
      <c r="O452" t="n">
        <v>0</v>
      </c>
      <c r="P452" t="n">
        <v>0</v>
      </c>
      <c r="Q452" t="n">
        <v>0</v>
      </c>
      <c r="R452" s="2" t="inlineStr"/>
    </row>
    <row r="453" ht="15" customHeight="1">
      <c r="A453" t="inlineStr">
        <is>
          <t>A 44949-2023</t>
        </is>
      </c>
      <c r="B453" s="1" t="n">
        <v>45190.69520833333</v>
      </c>
      <c r="C453" s="1" t="n">
        <v>46013</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37222-2021</t>
        </is>
      </c>
      <c r="B454" s="1" t="n">
        <v>44396</v>
      </c>
      <c r="C454" s="1" t="n">
        <v>46013</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54584-2025</t>
        </is>
      </c>
      <c r="B455" s="1" t="n">
        <v>45965.71788194445</v>
      </c>
      <c r="C455" s="1" t="n">
        <v>46013</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62836-2025</t>
        </is>
      </c>
      <c r="B456" s="1" t="n">
        <v>46008.68261574074</v>
      </c>
      <c r="C456" s="1" t="n">
        <v>46013</v>
      </c>
      <c r="D456" t="inlineStr">
        <is>
          <t>GOTLANDS LÄN</t>
        </is>
      </c>
      <c r="E456" t="inlineStr">
        <is>
          <t>GOTLAND</t>
        </is>
      </c>
      <c r="G456" t="n">
        <v>6.5</v>
      </c>
      <c r="H456" t="n">
        <v>0</v>
      </c>
      <c r="I456" t="n">
        <v>0</v>
      </c>
      <c r="J456" t="n">
        <v>0</v>
      </c>
      <c r="K456" t="n">
        <v>0</v>
      </c>
      <c r="L456" t="n">
        <v>0</v>
      </c>
      <c r="M456" t="n">
        <v>0</v>
      </c>
      <c r="N456" t="n">
        <v>0</v>
      </c>
      <c r="O456" t="n">
        <v>0</v>
      </c>
      <c r="P456" t="n">
        <v>0</v>
      </c>
      <c r="Q456" t="n">
        <v>0</v>
      </c>
      <c r="R456" s="2" t="inlineStr"/>
    </row>
    <row r="457" ht="15" customHeight="1">
      <c r="A457" t="inlineStr">
        <is>
          <t>A 61080-2025</t>
        </is>
      </c>
      <c r="B457" s="1" t="n">
        <v>46000</v>
      </c>
      <c r="C457" s="1" t="n">
        <v>46013</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3964-2024</t>
        </is>
      </c>
      <c r="B458" s="1" t="n">
        <v>45322</v>
      </c>
      <c r="C458" s="1" t="n">
        <v>46013</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61078-2025</t>
        </is>
      </c>
      <c r="B459" s="1" t="n">
        <v>46000</v>
      </c>
      <c r="C459" s="1" t="n">
        <v>46013</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45084-2024</t>
        </is>
      </c>
      <c r="B460" s="1" t="n">
        <v>45575</v>
      </c>
      <c r="C460" s="1" t="n">
        <v>46013</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63000-2025</t>
        </is>
      </c>
      <c r="B461" s="1" t="n">
        <v>46009.56434027778</v>
      </c>
      <c r="C461" s="1" t="n">
        <v>46013</v>
      </c>
      <c r="D461" t="inlineStr">
        <is>
          <t>GOTLANDS LÄN</t>
        </is>
      </c>
      <c r="E461" t="inlineStr">
        <is>
          <t>GOTLAND</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63152-2025</t>
        </is>
      </c>
      <c r="B462" s="1" t="n">
        <v>46010.35789351852</v>
      </c>
      <c r="C462" s="1" t="n">
        <v>46013</v>
      </c>
      <c r="D462" t="inlineStr">
        <is>
          <t>GOTLANDS LÄN</t>
        </is>
      </c>
      <c r="E462" t="inlineStr">
        <is>
          <t>GOTLAND</t>
        </is>
      </c>
      <c r="G462" t="n">
        <v>1.5</v>
      </c>
      <c r="H462" t="n">
        <v>0</v>
      </c>
      <c r="I462" t="n">
        <v>0</v>
      </c>
      <c r="J462" t="n">
        <v>0</v>
      </c>
      <c r="K462" t="n">
        <v>0</v>
      </c>
      <c r="L462" t="n">
        <v>0</v>
      </c>
      <c r="M462" t="n">
        <v>0</v>
      </c>
      <c r="N462" t="n">
        <v>0</v>
      </c>
      <c r="O462" t="n">
        <v>0</v>
      </c>
      <c r="P462" t="n">
        <v>0</v>
      </c>
      <c r="Q462" t="n">
        <v>0</v>
      </c>
      <c r="R462" s="2" t="inlineStr"/>
    </row>
    <row r="463" ht="15" customHeight="1">
      <c r="A463" t="inlineStr">
        <is>
          <t>A 63002-2025</t>
        </is>
      </c>
      <c r="B463" s="1" t="n">
        <v>46009.56564814815</v>
      </c>
      <c r="C463" s="1" t="n">
        <v>46013</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63105-2025</t>
        </is>
      </c>
      <c r="B464" s="1" t="n">
        <v>46009.70571759259</v>
      </c>
      <c r="C464" s="1" t="n">
        <v>46013</v>
      </c>
      <c r="D464" t="inlineStr">
        <is>
          <t>GOTLANDS LÄN</t>
        </is>
      </c>
      <c r="E464" t="inlineStr">
        <is>
          <t>GOTLAND</t>
        </is>
      </c>
      <c r="G464" t="n">
        <v>2.6</v>
      </c>
      <c r="H464" t="n">
        <v>0</v>
      </c>
      <c r="I464" t="n">
        <v>0</v>
      </c>
      <c r="J464" t="n">
        <v>0</v>
      </c>
      <c r="K464" t="n">
        <v>0</v>
      </c>
      <c r="L464" t="n">
        <v>0</v>
      </c>
      <c r="M464" t="n">
        <v>0</v>
      </c>
      <c r="N464" t="n">
        <v>0</v>
      </c>
      <c r="O464" t="n">
        <v>0</v>
      </c>
      <c r="P464" t="n">
        <v>0</v>
      </c>
      <c r="Q464" t="n">
        <v>0</v>
      </c>
      <c r="R464" s="2" t="inlineStr"/>
    </row>
    <row r="465" ht="15" customHeight="1">
      <c r="A465" t="inlineStr">
        <is>
          <t>A 5217-2023</t>
        </is>
      </c>
      <c r="B465" s="1" t="n">
        <v>44959.39582175926</v>
      </c>
      <c r="C465" s="1" t="n">
        <v>46013</v>
      </c>
      <c r="D465" t="inlineStr">
        <is>
          <t>GOTLANDS LÄN</t>
        </is>
      </c>
      <c r="E465" t="inlineStr">
        <is>
          <t>GOTLAND</t>
        </is>
      </c>
      <c r="G465" t="n">
        <v>1.9</v>
      </c>
      <c r="H465" t="n">
        <v>0</v>
      </c>
      <c r="I465" t="n">
        <v>0</v>
      </c>
      <c r="J465" t="n">
        <v>0</v>
      </c>
      <c r="K465" t="n">
        <v>0</v>
      </c>
      <c r="L465" t="n">
        <v>0</v>
      </c>
      <c r="M465" t="n">
        <v>0</v>
      </c>
      <c r="N465" t="n">
        <v>0</v>
      </c>
      <c r="O465" t="n">
        <v>0</v>
      </c>
      <c r="P465" t="n">
        <v>0</v>
      </c>
      <c r="Q465" t="n">
        <v>0</v>
      </c>
      <c r="R465" s="2" t="inlineStr"/>
    </row>
    <row r="466" ht="15" customHeight="1">
      <c r="A466" t="inlineStr">
        <is>
          <t>A 1677-2023</t>
        </is>
      </c>
      <c r="B466" s="1" t="n">
        <v>44938</v>
      </c>
      <c r="C466" s="1" t="n">
        <v>46013</v>
      </c>
      <c r="D466" t="inlineStr">
        <is>
          <t>GOTLANDS LÄN</t>
        </is>
      </c>
      <c r="E466" t="inlineStr">
        <is>
          <t>GOTLAND</t>
        </is>
      </c>
      <c r="G466" t="n">
        <v>1.6</v>
      </c>
      <c r="H466" t="n">
        <v>0</v>
      </c>
      <c r="I466" t="n">
        <v>0</v>
      </c>
      <c r="J466" t="n">
        <v>0</v>
      </c>
      <c r="K466" t="n">
        <v>0</v>
      </c>
      <c r="L466" t="n">
        <v>0</v>
      </c>
      <c r="M466" t="n">
        <v>0</v>
      </c>
      <c r="N466" t="n">
        <v>0</v>
      </c>
      <c r="O466" t="n">
        <v>0</v>
      </c>
      <c r="P466" t="n">
        <v>0</v>
      </c>
      <c r="Q466" t="n">
        <v>0</v>
      </c>
      <c r="R466" s="2" t="inlineStr"/>
    </row>
    <row r="467" ht="15" customHeight="1">
      <c r="A467" t="inlineStr">
        <is>
          <t>A 45244-2024</t>
        </is>
      </c>
      <c r="B467" s="1" t="n">
        <v>45576</v>
      </c>
      <c r="C467" s="1" t="n">
        <v>46013</v>
      </c>
      <c r="D467" t="inlineStr">
        <is>
          <t>GOTLANDS LÄN</t>
        </is>
      </c>
      <c r="E467" t="inlineStr">
        <is>
          <t>GOTLAND</t>
        </is>
      </c>
      <c r="G467" t="n">
        <v>2.4</v>
      </c>
      <c r="H467" t="n">
        <v>0</v>
      </c>
      <c r="I467" t="n">
        <v>0</v>
      </c>
      <c r="J467" t="n">
        <v>0</v>
      </c>
      <c r="K467" t="n">
        <v>0</v>
      </c>
      <c r="L467" t="n">
        <v>0</v>
      </c>
      <c r="M467" t="n">
        <v>0</v>
      </c>
      <c r="N467" t="n">
        <v>0</v>
      </c>
      <c r="O467" t="n">
        <v>0</v>
      </c>
      <c r="P467" t="n">
        <v>0</v>
      </c>
      <c r="Q467" t="n">
        <v>0</v>
      </c>
      <c r="R467" s="2" t="inlineStr"/>
    </row>
    <row r="468" ht="15" customHeight="1">
      <c r="A468" t="inlineStr">
        <is>
          <t>A 8260-2023</t>
        </is>
      </c>
      <c r="B468" s="1" t="n">
        <v>44974.61608796296</v>
      </c>
      <c r="C468" s="1" t="n">
        <v>46013</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64969-2023</t>
        </is>
      </c>
      <c r="B469" s="1" t="n">
        <v>45284.54009259259</v>
      </c>
      <c r="C469" s="1" t="n">
        <v>46013</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48843-2024</t>
        </is>
      </c>
      <c r="B470" s="1" t="n">
        <v>45593</v>
      </c>
      <c r="C470" s="1" t="n">
        <v>46013</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17541-2024</t>
        </is>
      </c>
      <c r="B471" s="1" t="n">
        <v>45415</v>
      </c>
      <c r="C471" s="1" t="n">
        <v>46013</v>
      </c>
      <c r="D471" t="inlineStr">
        <is>
          <t>GOTLANDS LÄN</t>
        </is>
      </c>
      <c r="E471" t="inlineStr">
        <is>
          <t>GOTLAND</t>
        </is>
      </c>
      <c r="G471" t="n">
        <v>2.6</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46013</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15434-2024</t>
        </is>
      </c>
      <c r="B473" s="1" t="n">
        <v>45401.38836805556</v>
      </c>
      <c r="C473" s="1" t="n">
        <v>46013</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5943-2024</t>
        </is>
      </c>
      <c r="B474" s="1" t="n">
        <v>45336</v>
      </c>
      <c r="C474" s="1" t="n">
        <v>46013</v>
      </c>
      <c r="D474" t="inlineStr">
        <is>
          <t>GOTLANDS LÄN</t>
        </is>
      </c>
      <c r="E474" t="inlineStr">
        <is>
          <t>GOTLAND</t>
        </is>
      </c>
      <c r="G474" t="n">
        <v>4.3</v>
      </c>
      <c r="H474" t="n">
        <v>0</v>
      </c>
      <c r="I474" t="n">
        <v>0</v>
      </c>
      <c r="J474" t="n">
        <v>0</v>
      </c>
      <c r="K474" t="n">
        <v>0</v>
      </c>
      <c r="L474" t="n">
        <v>0</v>
      </c>
      <c r="M474" t="n">
        <v>0</v>
      </c>
      <c r="N474" t="n">
        <v>0</v>
      </c>
      <c r="O474" t="n">
        <v>0</v>
      </c>
      <c r="P474" t="n">
        <v>0</v>
      </c>
      <c r="Q474" t="n">
        <v>0</v>
      </c>
      <c r="R474" s="2" t="inlineStr"/>
    </row>
    <row r="475" ht="15" customHeight="1">
      <c r="A475" t="inlineStr">
        <is>
          <t>A 54073-2022</t>
        </is>
      </c>
      <c r="B475" s="1" t="n">
        <v>44881.50380787037</v>
      </c>
      <c r="C475" s="1" t="n">
        <v>46013</v>
      </c>
      <c r="D475" t="inlineStr">
        <is>
          <t>GOTLANDS LÄN</t>
        </is>
      </c>
      <c r="E475" t="inlineStr">
        <is>
          <t>GOTLAND</t>
        </is>
      </c>
      <c r="G475" t="n">
        <v>3.8</v>
      </c>
      <c r="H475" t="n">
        <v>0</v>
      </c>
      <c r="I475" t="n">
        <v>0</v>
      </c>
      <c r="J475" t="n">
        <v>0</v>
      </c>
      <c r="K475" t="n">
        <v>0</v>
      </c>
      <c r="L475" t="n">
        <v>0</v>
      </c>
      <c r="M475" t="n">
        <v>0</v>
      </c>
      <c r="N475" t="n">
        <v>0</v>
      </c>
      <c r="O475" t="n">
        <v>0</v>
      </c>
      <c r="P475" t="n">
        <v>0</v>
      </c>
      <c r="Q475" t="n">
        <v>0</v>
      </c>
      <c r="R475" s="2" t="inlineStr"/>
    </row>
    <row r="476" ht="15" customHeight="1">
      <c r="A476" t="inlineStr">
        <is>
          <t>A 16361-2024</t>
        </is>
      </c>
      <c r="B476" s="1" t="n">
        <v>45407</v>
      </c>
      <c r="C476" s="1" t="n">
        <v>46013</v>
      </c>
      <c r="D476" t="inlineStr">
        <is>
          <t>GOTLANDS LÄN</t>
        </is>
      </c>
      <c r="E476" t="inlineStr">
        <is>
          <t>GOTLAND</t>
        </is>
      </c>
      <c r="G476" t="n">
        <v>6</v>
      </c>
      <c r="H476" t="n">
        <v>0</v>
      </c>
      <c r="I476" t="n">
        <v>0</v>
      </c>
      <c r="J476" t="n">
        <v>0</v>
      </c>
      <c r="K476" t="n">
        <v>0</v>
      </c>
      <c r="L476" t="n">
        <v>0</v>
      </c>
      <c r="M476" t="n">
        <v>0</v>
      </c>
      <c r="N476" t="n">
        <v>0</v>
      </c>
      <c r="O476" t="n">
        <v>0</v>
      </c>
      <c r="P476" t="n">
        <v>0</v>
      </c>
      <c r="Q476" t="n">
        <v>0</v>
      </c>
      <c r="R476" s="2" t="inlineStr"/>
    </row>
    <row r="477" ht="15" customHeight="1">
      <c r="A477" t="inlineStr">
        <is>
          <t>A 41038-2023</t>
        </is>
      </c>
      <c r="B477" s="1" t="n">
        <v>45173.60959490741</v>
      </c>
      <c r="C477" s="1" t="n">
        <v>46013</v>
      </c>
      <c r="D477" t="inlineStr">
        <is>
          <t>GOTLANDS LÄN</t>
        </is>
      </c>
      <c r="E477" t="inlineStr">
        <is>
          <t>GOTLAND</t>
        </is>
      </c>
      <c r="G477" t="n">
        <v>2.7</v>
      </c>
      <c r="H477" t="n">
        <v>0</v>
      </c>
      <c r="I477" t="n">
        <v>0</v>
      </c>
      <c r="J477" t="n">
        <v>0</v>
      </c>
      <c r="K477" t="n">
        <v>0</v>
      </c>
      <c r="L477" t="n">
        <v>0</v>
      </c>
      <c r="M477" t="n">
        <v>0</v>
      </c>
      <c r="N477" t="n">
        <v>0</v>
      </c>
      <c r="O477" t="n">
        <v>0</v>
      </c>
      <c r="P477" t="n">
        <v>0</v>
      </c>
      <c r="Q477" t="n">
        <v>0</v>
      </c>
      <c r="R477" s="2" t="inlineStr"/>
    </row>
    <row r="478" ht="15" customHeight="1">
      <c r="A478" t="inlineStr">
        <is>
          <t>A 14427-2024</t>
        </is>
      </c>
      <c r="B478" s="1" t="n">
        <v>45394</v>
      </c>
      <c r="C478" s="1" t="n">
        <v>46013</v>
      </c>
      <c r="D478" t="inlineStr">
        <is>
          <t>GOTLANDS LÄN</t>
        </is>
      </c>
      <c r="E478" t="inlineStr">
        <is>
          <t>GOTLAND</t>
        </is>
      </c>
      <c r="G478" t="n">
        <v>1.3</v>
      </c>
      <c r="H478" t="n">
        <v>0</v>
      </c>
      <c r="I478" t="n">
        <v>0</v>
      </c>
      <c r="J478" t="n">
        <v>0</v>
      </c>
      <c r="K478" t="n">
        <v>0</v>
      </c>
      <c r="L478" t="n">
        <v>0</v>
      </c>
      <c r="M478" t="n">
        <v>0</v>
      </c>
      <c r="N478" t="n">
        <v>0</v>
      </c>
      <c r="O478" t="n">
        <v>0</v>
      </c>
      <c r="P478" t="n">
        <v>0</v>
      </c>
      <c r="Q478" t="n">
        <v>0</v>
      </c>
      <c r="R478" s="2" t="inlineStr"/>
    </row>
    <row r="479" ht="15" customHeight="1">
      <c r="A479" t="inlineStr">
        <is>
          <t>A 31802-2024</t>
        </is>
      </c>
      <c r="B479" s="1" t="n">
        <v>45509</v>
      </c>
      <c r="C479" s="1" t="n">
        <v>46013</v>
      </c>
      <c r="D479" t="inlineStr">
        <is>
          <t>GOTLANDS LÄN</t>
        </is>
      </c>
      <c r="E479" t="inlineStr">
        <is>
          <t>GOTLAND</t>
        </is>
      </c>
      <c r="G479" t="n">
        <v>2.8</v>
      </c>
      <c r="H479" t="n">
        <v>0</v>
      </c>
      <c r="I479" t="n">
        <v>0</v>
      </c>
      <c r="J479" t="n">
        <v>0</v>
      </c>
      <c r="K479" t="n">
        <v>0</v>
      </c>
      <c r="L479" t="n">
        <v>0</v>
      </c>
      <c r="M479" t="n">
        <v>0</v>
      </c>
      <c r="N479" t="n">
        <v>0</v>
      </c>
      <c r="O479" t="n">
        <v>0</v>
      </c>
      <c r="P479" t="n">
        <v>0</v>
      </c>
      <c r="Q479" t="n">
        <v>0</v>
      </c>
      <c r="R479" s="2" t="inlineStr"/>
    </row>
    <row r="480" ht="15" customHeight="1">
      <c r="A480" t="inlineStr">
        <is>
          <t>A 8036-2022</t>
        </is>
      </c>
      <c r="B480" s="1" t="n">
        <v>44609.44362268518</v>
      </c>
      <c r="C480" s="1" t="n">
        <v>46013</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12846-2025</t>
        </is>
      </c>
      <c r="B481" s="1" t="n">
        <v>45733.65049768519</v>
      </c>
      <c r="C481" s="1" t="n">
        <v>46013</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46949-2024</t>
        </is>
      </c>
      <c r="B482" s="1" t="n">
        <v>45585</v>
      </c>
      <c r="C482" s="1" t="n">
        <v>46013</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10650-2022</t>
        </is>
      </c>
      <c r="B483" s="1" t="n">
        <v>44624.57945601852</v>
      </c>
      <c r="C483" s="1" t="n">
        <v>46013</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11634-2024</t>
        </is>
      </c>
      <c r="B484" s="1" t="n">
        <v>45373</v>
      </c>
      <c r="C484" s="1" t="n">
        <v>46013</v>
      </c>
      <c r="D484" t="inlineStr">
        <is>
          <t>GOTLANDS LÄN</t>
        </is>
      </c>
      <c r="E484" t="inlineStr">
        <is>
          <t>GOTLAND</t>
        </is>
      </c>
      <c r="G484" t="n">
        <v>3</v>
      </c>
      <c r="H484" t="n">
        <v>0</v>
      </c>
      <c r="I484" t="n">
        <v>0</v>
      </c>
      <c r="J484" t="n">
        <v>0</v>
      </c>
      <c r="K484" t="n">
        <v>0</v>
      </c>
      <c r="L484" t="n">
        <v>0</v>
      </c>
      <c r="M484" t="n">
        <v>0</v>
      </c>
      <c r="N484" t="n">
        <v>0</v>
      </c>
      <c r="O484" t="n">
        <v>0</v>
      </c>
      <c r="P484" t="n">
        <v>0</v>
      </c>
      <c r="Q484" t="n">
        <v>0</v>
      </c>
      <c r="R484" s="2" t="inlineStr"/>
    </row>
    <row r="485" ht="15" customHeight="1">
      <c r="A485" t="inlineStr">
        <is>
          <t>A 1351-2025</t>
        </is>
      </c>
      <c r="B485" s="1" t="n">
        <v>45667.62246527777</v>
      </c>
      <c r="C485" s="1" t="n">
        <v>46013</v>
      </c>
      <c r="D485" t="inlineStr">
        <is>
          <t>GOTLANDS LÄN</t>
        </is>
      </c>
      <c r="E485" t="inlineStr">
        <is>
          <t>GOTLAND</t>
        </is>
      </c>
      <c r="G485" t="n">
        <v>1.3</v>
      </c>
      <c r="H485" t="n">
        <v>0</v>
      </c>
      <c r="I485" t="n">
        <v>0</v>
      </c>
      <c r="J485" t="n">
        <v>0</v>
      </c>
      <c r="K485" t="n">
        <v>0</v>
      </c>
      <c r="L485" t="n">
        <v>0</v>
      </c>
      <c r="M485" t="n">
        <v>0</v>
      </c>
      <c r="N485" t="n">
        <v>0</v>
      </c>
      <c r="O485" t="n">
        <v>0</v>
      </c>
      <c r="P485" t="n">
        <v>0</v>
      </c>
      <c r="Q485" t="n">
        <v>0</v>
      </c>
      <c r="R485" s="2" t="inlineStr"/>
    </row>
    <row r="486" ht="15" customHeight="1">
      <c r="A486" t="inlineStr">
        <is>
          <t>A 39496-2022</t>
        </is>
      </c>
      <c r="B486" s="1" t="n">
        <v>44818</v>
      </c>
      <c r="C486" s="1" t="n">
        <v>46013</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49874-2024</t>
        </is>
      </c>
      <c r="B487" s="1" t="n">
        <v>45597.49274305555</v>
      </c>
      <c r="C487" s="1" t="n">
        <v>46013</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42201-2023</t>
        </is>
      </c>
      <c r="B488" s="1" t="n">
        <v>45179</v>
      </c>
      <c r="C488" s="1" t="n">
        <v>46013</v>
      </c>
      <c r="D488" t="inlineStr">
        <is>
          <t>GOTLANDS LÄN</t>
        </is>
      </c>
      <c r="E488" t="inlineStr">
        <is>
          <t>GOTLAND</t>
        </is>
      </c>
      <c r="G488" t="n">
        <v>11.9</v>
      </c>
      <c r="H488" t="n">
        <v>0</v>
      </c>
      <c r="I488" t="n">
        <v>0</v>
      </c>
      <c r="J488" t="n">
        <v>0</v>
      </c>
      <c r="K488" t="n">
        <v>0</v>
      </c>
      <c r="L488" t="n">
        <v>0</v>
      </c>
      <c r="M488" t="n">
        <v>0</v>
      </c>
      <c r="N488" t="n">
        <v>0</v>
      </c>
      <c r="O488" t="n">
        <v>0</v>
      </c>
      <c r="P488" t="n">
        <v>0</v>
      </c>
      <c r="Q488" t="n">
        <v>0</v>
      </c>
      <c r="R488" s="2" t="inlineStr"/>
    </row>
    <row r="489" ht="15" customHeight="1">
      <c r="A489" t="inlineStr">
        <is>
          <t>A 46400-2023</t>
        </is>
      </c>
      <c r="B489" s="1" t="n">
        <v>45197.49290509259</v>
      </c>
      <c r="C489" s="1" t="n">
        <v>46013</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9875-2025</t>
        </is>
      </c>
      <c r="B490" s="1" t="n">
        <v>45716</v>
      </c>
      <c r="C490" s="1" t="n">
        <v>46013</v>
      </c>
      <c r="D490" t="inlineStr">
        <is>
          <t>GOTLANDS LÄN</t>
        </is>
      </c>
      <c r="E490" t="inlineStr">
        <is>
          <t>GOTLAND</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21164-2024</t>
        </is>
      </c>
      <c r="B491" s="1" t="n">
        <v>45440</v>
      </c>
      <c r="C491" s="1" t="n">
        <v>46013</v>
      </c>
      <c r="D491" t="inlineStr">
        <is>
          <t>GOTLANDS LÄN</t>
        </is>
      </c>
      <c r="E491" t="inlineStr">
        <is>
          <t>GOTLAND</t>
        </is>
      </c>
      <c r="G491" t="n">
        <v>6.3</v>
      </c>
      <c r="H491" t="n">
        <v>0</v>
      </c>
      <c r="I491" t="n">
        <v>0</v>
      </c>
      <c r="J491" t="n">
        <v>0</v>
      </c>
      <c r="K491" t="n">
        <v>0</v>
      </c>
      <c r="L491" t="n">
        <v>0</v>
      </c>
      <c r="M491" t="n">
        <v>0</v>
      </c>
      <c r="N491" t="n">
        <v>0</v>
      </c>
      <c r="O491" t="n">
        <v>0</v>
      </c>
      <c r="P491" t="n">
        <v>0</v>
      </c>
      <c r="Q491" t="n">
        <v>0</v>
      </c>
      <c r="R491" s="2" t="inlineStr"/>
    </row>
    <row r="492" ht="15" customHeight="1">
      <c r="A492" t="inlineStr">
        <is>
          <t>A 8045-2022</t>
        </is>
      </c>
      <c r="B492" s="1" t="n">
        <v>44609</v>
      </c>
      <c r="C492" s="1" t="n">
        <v>46013</v>
      </c>
      <c r="D492" t="inlineStr">
        <is>
          <t>GOTLANDS LÄN</t>
        </is>
      </c>
      <c r="E492" t="inlineStr">
        <is>
          <t>GOTLAND</t>
        </is>
      </c>
      <c r="G492" t="n">
        <v>7</v>
      </c>
      <c r="H492" t="n">
        <v>0</v>
      </c>
      <c r="I492" t="n">
        <v>0</v>
      </c>
      <c r="J492" t="n">
        <v>0</v>
      </c>
      <c r="K492" t="n">
        <v>0</v>
      </c>
      <c r="L492" t="n">
        <v>0</v>
      </c>
      <c r="M492" t="n">
        <v>0</v>
      </c>
      <c r="N492" t="n">
        <v>0</v>
      </c>
      <c r="O492" t="n">
        <v>0</v>
      </c>
      <c r="P492" t="n">
        <v>0</v>
      </c>
      <c r="Q492" t="n">
        <v>0</v>
      </c>
      <c r="R492" s="2" t="inlineStr"/>
    </row>
    <row r="493" ht="15" customHeight="1">
      <c r="A493" t="inlineStr">
        <is>
          <t>A 22897-2023</t>
        </is>
      </c>
      <c r="B493" s="1" t="n">
        <v>45072.55239583334</v>
      </c>
      <c r="C493" s="1" t="n">
        <v>46013</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61897-2024</t>
        </is>
      </c>
      <c r="B494" s="1" t="n">
        <v>45652.75685185185</v>
      </c>
      <c r="C494" s="1" t="n">
        <v>46013</v>
      </c>
      <c r="D494" t="inlineStr">
        <is>
          <t>GOTLANDS LÄN</t>
        </is>
      </c>
      <c r="E494" t="inlineStr">
        <is>
          <t>GOTLAND</t>
        </is>
      </c>
      <c r="G494" t="n">
        <v>6.4</v>
      </c>
      <c r="H494" t="n">
        <v>0</v>
      </c>
      <c r="I494" t="n">
        <v>0</v>
      </c>
      <c r="J494" t="n">
        <v>0</v>
      </c>
      <c r="K494" t="n">
        <v>0</v>
      </c>
      <c r="L494" t="n">
        <v>0</v>
      </c>
      <c r="M494" t="n">
        <v>0</v>
      </c>
      <c r="N494" t="n">
        <v>0</v>
      </c>
      <c r="O494" t="n">
        <v>0</v>
      </c>
      <c r="P494" t="n">
        <v>0</v>
      </c>
      <c r="Q494" t="n">
        <v>0</v>
      </c>
      <c r="R494" s="2" t="inlineStr"/>
    </row>
    <row r="495" ht="15" customHeight="1">
      <c r="A495" t="inlineStr">
        <is>
          <t>A 49962-2023</t>
        </is>
      </c>
      <c r="B495" s="1" t="n">
        <v>45215.38775462963</v>
      </c>
      <c r="C495" s="1" t="n">
        <v>46013</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20165-2022</t>
        </is>
      </c>
      <c r="B496" s="1" t="n">
        <v>44698.49854166667</v>
      </c>
      <c r="C496" s="1" t="n">
        <v>46013</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46013</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12032-2025</t>
        </is>
      </c>
      <c r="B498" s="1" t="n">
        <v>45728.64472222222</v>
      </c>
      <c r="C498" s="1" t="n">
        <v>46013</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38787-2023</t>
        </is>
      </c>
      <c r="B499" s="1" t="n">
        <v>45163</v>
      </c>
      <c r="C499" s="1" t="n">
        <v>46013</v>
      </c>
      <c r="D499" t="inlineStr">
        <is>
          <t>GOTLANDS LÄN</t>
        </is>
      </c>
      <c r="E499" t="inlineStr">
        <is>
          <t>GOTLAND</t>
        </is>
      </c>
      <c r="G499" t="n">
        <v>0.4</v>
      </c>
      <c r="H499" t="n">
        <v>0</v>
      </c>
      <c r="I499" t="n">
        <v>0</v>
      </c>
      <c r="J499" t="n">
        <v>0</v>
      </c>
      <c r="K499" t="n">
        <v>0</v>
      </c>
      <c r="L499" t="n">
        <v>0</v>
      </c>
      <c r="M499" t="n">
        <v>0</v>
      </c>
      <c r="N499" t="n">
        <v>0</v>
      </c>
      <c r="O499" t="n">
        <v>0</v>
      </c>
      <c r="P499" t="n">
        <v>0</v>
      </c>
      <c r="Q499" t="n">
        <v>0</v>
      </c>
      <c r="R499" s="2" t="inlineStr"/>
    </row>
    <row r="500" ht="15" customHeight="1">
      <c r="A500" t="inlineStr">
        <is>
          <t>A 43231-2023</t>
        </is>
      </c>
      <c r="B500" s="1" t="n">
        <v>45183.47025462963</v>
      </c>
      <c r="C500" s="1" t="n">
        <v>46013</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17532-2024</t>
        </is>
      </c>
      <c r="B501" s="1" t="n">
        <v>45415</v>
      </c>
      <c r="C501" s="1" t="n">
        <v>46013</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3935-2025</t>
        </is>
      </c>
      <c r="B502" s="1" t="n">
        <v>45684.46070601852</v>
      </c>
      <c r="C502" s="1" t="n">
        <v>46013</v>
      </c>
      <c r="D502" t="inlineStr">
        <is>
          <t>GOTLANDS LÄN</t>
        </is>
      </c>
      <c r="E502" t="inlineStr">
        <is>
          <t>GOTLAND</t>
        </is>
      </c>
      <c r="G502" t="n">
        <v>2.6</v>
      </c>
      <c r="H502" t="n">
        <v>0</v>
      </c>
      <c r="I502" t="n">
        <v>0</v>
      </c>
      <c r="J502" t="n">
        <v>0</v>
      </c>
      <c r="K502" t="n">
        <v>0</v>
      </c>
      <c r="L502" t="n">
        <v>0</v>
      </c>
      <c r="M502" t="n">
        <v>0</v>
      </c>
      <c r="N502" t="n">
        <v>0</v>
      </c>
      <c r="O502" t="n">
        <v>0</v>
      </c>
      <c r="P502" t="n">
        <v>0</v>
      </c>
      <c r="Q502" t="n">
        <v>0</v>
      </c>
      <c r="R502" s="2" t="inlineStr"/>
    </row>
    <row r="503" ht="15" customHeight="1">
      <c r="A503" t="inlineStr">
        <is>
          <t>A 20225-2025</t>
        </is>
      </c>
      <c r="B503" s="1" t="n">
        <v>45772.65802083333</v>
      </c>
      <c r="C503" s="1" t="n">
        <v>46013</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883-2025</t>
        </is>
      </c>
      <c r="B504" s="1" t="n">
        <v>45665</v>
      </c>
      <c r="C504" s="1" t="n">
        <v>46013</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1066-2024</t>
        </is>
      </c>
      <c r="B505" s="1" t="n">
        <v>45302.285</v>
      </c>
      <c r="C505" s="1" t="n">
        <v>46013</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17144-2025</t>
        </is>
      </c>
      <c r="B506" s="1" t="n">
        <v>45755.9499537037</v>
      </c>
      <c r="C506" s="1" t="n">
        <v>46013</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56009-2024</t>
        </is>
      </c>
      <c r="B507" s="1" t="n">
        <v>45623.80864583333</v>
      </c>
      <c r="C507" s="1" t="n">
        <v>46013</v>
      </c>
      <c r="D507" t="inlineStr">
        <is>
          <t>GOTLANDS LÄN</t>
        </is>
      </c>
      <c r="E507" t="inlineStr">
        <is>
          <t>GOTLAND</t>
        </is>
      </c>
      <c r="G507" t="n">
        <v>2.8</v>
      </c>
      <c r="H507" t="n">
        <v>0</v>
      </c>
      <c r="I507" t="n">
        <v>0</v>
      </c>
      <c r="J507" t="n">
        <v>0</v>
      </c>
      <c r="K507" t="n">
        <v>0</v>
      </c>
      <c r="L507" t="n">
        <v>0</v>
      </c>
      <c r="M507" t="n">
        <v>0</v>
      </c>
      <c r="N507" t="n">
        <v>0</v>
      </c>
      <c r="O507" t="n">
        <v>0</v>
      </c>
      <c r="P507" t="n">
        <v>0</v>
      </c>
      <c r="Q507" t="n">
        <v>0</v>
      </c>
      <c r="R507" s="2" t="inlineStr"/>
    </row>
    <row r="508" ht="15" customHeight="1">
      <c r="A508" t="inlineStr">
        <is>
          <t>A 42338-2023</t>
        </is>
      </c>
      <c r="B508" s="1" t="n">
        <v>45180</v>
      </c>
      <c r="C508" s="1" t="n">
        <v>46013</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581-2023</t>
        </is>
      </c>
      <c r="B509" s="1" t="n">
        <v>44930</v>
      </c>
      <c r="C509" s="1" t="n">
        <v>46013</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61386-2023</t>
        </is>
      </c>
      <c r="B510" s="1" t="n">
        <v>45264</v>
      </c>
      <c r="C510" s="1" t="n">
        <v>46013</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873-2024</t>
        </is>
      </c>
      <c r="B511" s="1" t="n">
        <v>45301</v>
      </c>
      <c r="C511" s="1" t="n">
        <v>46013</v>
      </c>
      <c r="D511" t="inlineStr">
        <is>
          <t>GOTLANDS LÄN</t>
        </is>
      </c>
      <c r="E511" t="inlineStr">
        <is>
          <t>GOTLAND</t>
        </is>
      </c>
      <c r="G511" t="n">
        <v>2.7</v>
      </c>
      <c r="H511" t="n">
        <v>0</v>
      </c>
      <c r="I511" t="n">
        <v>0</v>
      </c>
      <c r="J511" t="n">
        <v>0</v>
      </c>
      <c r="K511" t="n">
        <v>0</v>
      </c>
      <c r="L511" t="n">
        <v>0</v>
      </c>
      <c r="M511" t="n">
        <v>0</v>
      </c>
      <c r="N511" t="n">
        <v>0</v>
      </c>
      <c r="O511" t="n">
        <v>0</v>
      </c>
      <c r="P511" t="n">
        <v>0</v>
      </c>
      <c r="Q511" t="n">
        <v>0</v>
      </c>
      <c r="R511" s="2" t="inlineStr"/>
    </row>
    <row r="512" ht="15" customHeight="1">
      <c r="A512" t="inlineStr">
        <is>
          <t>A 49411-2023</t>
        </is>
      </c>
      <c r="B512" s="1" t="n">
        <v>45205</v>
      </c>
      <c r="C512" s="1" t="n">
        <v>46013</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22275-2023</t>
        </is>
      </c>
      <c r="B513" s="1" t="n">
        <v>45070.39875</v>
      </c>
      <c r="C513" s="1" t="n">
        <v>46013</v>
      </c>
      <c r="D513" t="inlineStr">
        <is>
          <t>GOTLANDS LÄN</t>
        </is>
      </c>
      <c r="E513" t="inlineStr">
        <is>
          <t>GOTLAND</t>
        </is>
      </c>
      <c r="G513" t="n">
        <v>7.2</v>
      </c>
      <c r="H513" t="n">
        <v>0</v>
      </c>
      <c r="I513" t="n">
        <v>0</v>
      </c>
      <c r="J513" t="n">
        <v>0</v>
      </c>
      <c r="K513" t="n">
        <v>0</v>
      </c>
      <c r="L513" t="n">
        <v>0</v>
      </c>
      <c r="M513" t="n">
        <v>0</v>
      </c>
      <c r="N513" t="n">
        <v>0</v>
      </c>
      <c r="O513" t="n">
        <v>0</v>
      </c>
      <c r="P513" t="n">
        <v>0</v>
      </c>
      <c r="Q513" t="n">
        <v>0</v>
      </c>
      <c r="R513" s="2" t="inlineStr"/>
    </row>
    <row r="514" ht="15" customHeight="1">
      <c r="A514" t="inlineStr">
        <is>
          <t>A 12322-2025</t>
        </is>
      </c>
      <c r="B514" s="1" t="n">
        <v>45730</v>
      </c>
      <c r="C514" s="1" t="n">
        <v>46013</v>
      </c>
      <c r="D514" t="inlineStr">
        <is>
          <t>GOTLANDS LÄN</t>
        </is>
      </c>
      <c r="E514" t="inlineStr">
        <is>
          <t>GOTLAND</t>
        </is>
      </c>
      <c r="G514" t="n">
        <v>1.4</v>
      </c>
      <c r="H514" t="n">
        <v>0</v>
      </c>
      <c r="I514" t="n">
        <v>0</v>
      </c>
      <c r="J514" t="n">
        <v>0</v>
      </c>
      <c r="K514" t="n">
        <v>0</v>
      </c>
      <c r="L514" t="n">
        <v>0</v>
      </c>
      <c r="M514" t="n">
        <v>0</v>
      </c>
      <c r="N514" t="n">
        <v>0</v>
      </c>
      <c r="O514" t="n">
        <v>0</v>
      </c>
      <c r="P514" t="n">
        <v>0</v>
      </c>
      <c r="Q514" t="n">
        <v>0</v>
      </c>
      <c r="R514" s="2" t="inlineStr"/>
    </row>
    <row r="515" ht="15" customHeight="1">
      <c r="A515" t="inlineStr">
        <is>
          <t>A 14797-2024</t>
        </is>
      </c>
      <c r="B515" s="1" t="n">
        <v>45397.87030092593</v>
      </c>
      <c r="C515" s="1" t="n">
        <v>46013</v>
      </c>
      <c r="D515" t="inlineStr">
        <is>
          <t>GOTLANDS LÄN</t>
        </is>
      </c>
      <c r="E515" t="inlineStr">
        <is>
          <t>GOTLAND</t>
        </is>
      </c>
      <c r="G515" t="n">
        <v>8.1</v>
      </c>
      <c r="H515" t="n">
        <v>0</v>
      </c>
      <c r="I515" t="n">
        <v>0</v>
      </c>
      <c r="J515" t="n">
        <v>0</v>
      </c>
      <c r="K515" t="n">
        <v>0</v>
      </c>
      <c r="L515" t="n">
        <v>0</v>
      </c>
      <c r="M515" t="n">
        <v>0</v>
      </c>
      <c r="N515" t="n">
        <v>0</v>
      </c>
      <c r="O515" t="n">
        <v>0</v>
      </c>
      <c r="P515" t="n">
        <v>0</v>
      </c>
      <c r="Q515" t="n">
        <v>0</v>
      </c>
      <c r="R515" s="2" t="inlineStr"/>
    </row>
    <row r="516" ht="15" customHeight="1">
      <c r="A516" t="inlineStr">
        <is>
          <t>A 999-2024</t>
        </is>
      </c>
      <c r="B516" s="1" t="n">
        <v>45301</v>
      </c>
      <c r="C516" s="1" t="n">
        <v>46013</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61596-2023</t>
        </is>
      </c>
      <c r="B517" s="1" t="n">
        <v>45265</v>
      </c>
      <c r="C517" s="1" t="n">
        <v>46013</v>
      </c>
      <c r="D517" t="inlineStr">
        <is>
          <t>GOTLANDS LÄN</t>
        </is>
      </c>
      <c r="E517" t="inlineStr">
        <is>
          <t>GOTLAND</t>
        </is>
      </c>
      <c r="G517" t="n">
        <v>1.7</v>
      </c>
      <c r="H517" t="n">
        <v>0</v>
      </c>
      <c r="I517" t="n">
        <v>0</v>
      </c>
      <c r="J517" t="n">
        <v>0</v>
      </c>
      <c r="K517" t="n">
        <v>0</v>
      </c>
      <c r="L517" t="n">
        <v>0</v>
      </c>
      <c r="M517" t="n">
        <v>0</v>
      </c>
      <c r="N517" t="n">
        <v>0</v>
      </c>
      <c r="O517" t="n">
        <v>0</v>
      </c>
      <c r="P517" t="n">
        <v>0</v>
      </c>
      <c r="Q517" t="n">
        <v>0</v>
      </c>
      <c r="R517" s="2" t="inlineStr"/>
    </row>
    <row r="518" ht="15" customHeight="1">
      <c r="A518" t="inlineStr">
        <is>
          <t>A 14638-2025</t>
        </is>
      </c>
      <c r="B518" s="1" t="n">
        <v>45742</v>
      </c>
      <c r="C518" s="1" t="n">
        <v>46013</v>
      </c>
      <c r="D518" t="inlineStr">
        <is>
          <t>GOTLANDS LÄN</t>
        </is>
      </c>
      <c r="E518" t="inlineStr">
        <is>
          <t>GOTLAND</t>
        </is>
      </c>
      <c r="G518" t="n">
        <v>13.4</v>
      </c>
      <c r="H518" t="n">
        <v>0</v>
      </c>
      <c r="I518" t="n">
        <v>0</v>
      </c>
      <c r="J518" t="n">
        <v>0</v>
      </c>
      <c r="K518" t="n">
        <v>0</v>
      </c>
      <c r="L518" t="n">
        <v>0</v>
      </c>
      <c r="M518" t="n">
        <v>0</v>
      </c>
      <c r="N518" t="n">
        <v>0</v>
      </c>
      <c r="O518" t="n">
        <v>0</v>
      </c>
      <c r="P518" t="n">
        <v>0</v>
      </c>
      <c r="Q518" t="n">
        <v>0</v>
      </c>
      <c r="R518" s="2" t="inlineStr"/>
    </row>
    <row r="519" ht="15" customHeight="1">
      <c r="A519" t="inlineStr">
        <is>
          <t>A 60675-2021</t>
        </is>
      </c>
      <c r="B519" s="1" t="n">
        <v>44496.64855324074</v>
      </c>
      <c r="C519" s="1" t="n">
        <v>46013</v>
      </c>
      <c r="D519" t="inlineStr">
        <is>
          <t>GOTLANDS LÄN</t>
        </is>
      </c>
      <c r="E519" t="inlineStr">
        <is>
          <t>GOTLAND</t>
        </is>
      </c>
      <c r="G519" t="n">
        <v>4.6</v>
      </c>
      <c r="H519" t="n">
        <v>0</v>
      </c>
      <c r="I519" t="n">
        <v>0</v>
      </c>
      <c r="J519" t="n">
        <v>0</v>
      </c>
      <c r="K519" t="n">
        <v>0</v>
      </c>
      <c r="L519" t="n">
        <v>0</v>
      </c>
      <c r="M519" t="n">
        <v>0</v>
      </c>
      <c r="N519" t="n">
        <v>0</v>
      </c>
      <c r="O519" t="n">
        <v>0</v>
      </c>
      <c r="P519" t="n">
        <v>0</v>
      </c>
      <c r="Q519" t="n">
        <v>0</v>
      </c>
      <c r="R519" s="2" t="inlineStr"/>
    </row>
    <row r="520" ht="15" customHeight="1">
      <c r="A520" t="inlineStr">
        <is>
          <t>A 37728-2024</t>
        </is>
      </c>
      <c r="B520" s="1" t="n">
        <v>45541</v>
      </c>
      <c r="C520" s="1" t="n">
        <v>46013</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22287-2022</t>
        </is>
      </c>
      <c r="B521" s="1" t="n">
        <v>44712</v>
      </c>
      <c r="C521" s="1" t="n">
        <v>46013</v>
      </c>
      <c r="D521" t="inlineStr">
        <is>
          <t>GOTLANDS LÄN</t>
        </is>
      </c>
      <c r="E521" t="inlineStr">
        <is>
          <t>GOTLAND</t>
        </is>
      </c>
      <c r="G521" t="n">
        <v>6.1</v>
      </c>
      <c r="H521" t="n">
        <v>0</v>
      </c>
      <c r="I521" t="n">
        <v>0</v>
      </c>
      <c r="J521" t="n">
        <v>0</v>
      </c>
      <c r="K521" t="n">
        <v>0</v>
      </c>
      <c r="L521" t="n">
        <v>0</v>
      </c>
      <c r="M521" t="n">
        <v>0</v>
      </c>
      <c r="N521" t="n">
        <v>0</v>
      </c>
      <c r="O521" t="n">
        <v>0</v>
      </c>
      <c r="P521" t="n">
        <v>0</v>
      </c>
      <c r="Q521" t="n">
        <v>0</v>
      </c>
      <c r="R521" s="2" t="inlineStr"/>
    </row>
    <row r="522" ht="15" customHeight="1">
      <c r="A522" t="inlineStr">
        <is>
          <t>A 54074-2022</t>
        </is>
      </c>
      <c r="B522" s="1" t="n">
        <v>44881</v>
      </c>
      <c r="C522" s="1" t="n">
        <v>46013</v>
      </c>
      <c r="D522" t="inlineStr">
        <is>
          <t>GOTLANDS LÄN</t>
        </is>
      </c>
      <c r="E522" t="inlineStr">
        <is>
          <t>GOTLAND</t>
        </is>
      </c>
      <c r="G522" t="n">
        <v>0.9</v>
      </c>
      <c r="H522" t="n">
        <v>0</v>
      </c>
      <c r="I522" t="n">
        <v>0</v>
      </c>
      <c r="J522" t="n">
        <v>0</v>
      </c>
      <c r="K522" t="n">
        <v>0</v>
      </c>
      <c r="L522" t="n">
        <v>0</v>
      </c>
      <c r="M522" t="n">
        <v>0</v>
      </c>
      <c r="N522" t="n">
        <v>0</v>
      </c>
      <c r="O522" t="n">
        <v>0</v>
      </c>
      <c r="P522" t="n">
        <v>0</v>
      </c>
      <c r="Q522" t="n">
        <v>0</v>
      </c>
      <c r="R522" s="2" t="inlineStr"/>
    </row>
    <row r="523" ht="15" customHeight="1">
      <c r="A523" t="inlineStr">
        <is>
          <t>A 65249-2023</t>
        </is>
      </c>
      <c r="B523" s="1" t="n">
        <v>45290</v>
      </c>
      <c r="C523" s="1" t="n">
        <v>46013</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13910-2025</t>
        </is>
      </c>
      <c r="B524" s="1" t="n">
        <v>45737</v>
      </c>
      <c r="C524" s="1" t="n">
        <v>46013</v>
      </c>
      <c r="D524" t="inlineStr">
        <is>
          <t>GOTLANDS LÄN</t>
        </is>
      </c>
      <c r="E524" t="inlineStr">
        <is>
          <t>GOTLAND</t>
        </is>
      </c>
      <c r="F524" t="inlineStr">
        <is>
          <t>Kommuner</t>
        </is>
      </c>
      <c r="G524" t="n">
        <v>3.2</v>
      </c>
      <c r="H524" t="n">
        <v>0</v>
      </c>
      <c r="I524" t="n">
        <v>0</v>
      </c>
      <c r="J524" t="n">
        <v>0</v>
      </c>
      <c r="K524" t="n">
        <v>0</v>
      </c>
      <c r="L524" t="n">
        <v>0</v>
      </c>
      <c r="M524" t="n">
        <v>0</v>
      </c>
      <c r="N524" t="n">
        <v>0</v>
      </c>
      <c r="O524" t="n">
        <v>0</v>
      </c>
      <c r="P524" t="n">
        <v>0</v>
      </c>
      <c r="Q524" t="n">
        <v>0</v>
      </c>
      <c r="R524" s="2" t="inlineStr"/>
    </row>
    <row r="525" ht="15" customHeight="1">
      <c r="A525" t="inlineStr">
        <is>
          <t>A 17780-2022</t>
        </is>
      </c>
      <c r="B525" s="1" t="n">
        <v>44682.82622685185</v>
      </c>
      <c r="C525" s="1" t="n">
        <v>46013</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59986-2022</t>
        </is>
      </c>
      <c r="B526" s="1" t="n">
        <v>44909</v>
      </c>
      <c r="C526" s="1" t="n">
        <v>46013</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14536-2021</t>
        </is>
      </c>
      <c r="B527" s="1" t="n">
        <v>44279.66168981481</v>
      </c>
      <c r="C527" s="1" t="n">
        <v>46013</v>
      </c>
      <c r="D527" t="inlineStr">
        <is>
          <t>GOTLANDS LÄN</t>
        </is>
      </c>
      <c r="E527" t="inlineStr">
        <is>
          <t>GOTLAND</t>
        </is>
      </c>
      <c r="G527" t="n">
        <v>8.5</v>
      </c>
      <c r="H527" t="n">
        <v>0</v>
      </c>
      <c r="I527" t="n">
        <v>0</v>
      </c>
      <c r="J527" t="n">
        <v>0</v>
      </c>
      <c r="K527" t="n">
        <v>0</v>
      </c>
      <c r="L527" t="n">
        <v>0</v>
      </c>
      <c r="M527" t="n">
        <v>0</v>
      </c>
      <c r="N527" t="n">
        <v>0</v>
      </c>
      <c r="O527" t="n">
        <v>0</v>
      </c>
      <c r="P527" t="n">
        <v>0</v>
      </c>
      <c r="Q527" t="n">
        <v>0</v>
      </c>
      <c r="R527" s="2" t="inlineStr"/>
    </row>
    <row r="528" ht="15" customHeight="1">
      <c r="A528" t="inlineStr">
        <is>
          <t>A 11874-2024</t>
        </is>
      </c>
      <c r="B528" s="1" t="n">
        <v>45376.46956018519</v>
      </c>
      <c r="C528" s="1" t="n">
        <v>46013</v>
      </c>
      <c r="D528" t="inlineStr">
        <is>
          <t>GOTLANDS LÄN</t>
        </is>
      </c>
      <c r="E528" t="inlineStr">
        <is>
          <t>GOTLAND</t>
        </is>
      </c>
      <c r="G528" t="n">
        <v>0.8</v>
      </c>
      <c r="H528" t="n">
        <v>0</v>
      </c>
      <c r="I528" t="n">
        <v>0</v>
      </c>
      <c r="J528" t="n">
        <v>0</v>
      </c>
      <c r="K528" t="n">
        <v>0</v>
      </c>
      <c r="L528" t="n">
        <v>0</v>
      </c>
      <c r="M528" t="n">
        <v>0</v>
      </c>
      <c r="N528" t="n">
        <v>0</v>
      </c>
      <c r="O528" t="n">
        <v>0</v>
      </c>
      <c r="P528" t="n">
        <v>0</v>
      </c>
      <c r="Q528" t="n">
        <v>0</v>
      </c>
      <c r="R528" s="2" t="inlineStr"/>
    </row>
    <row r="529" ht="15" customHeight="1">
      <c r="A529" t="inlineStr">
        <is>
          <t>A 42041-2024</t>
        </is>
      </c>
      <c r="B529" s="1" t="n">
        <v>45561</v>
      </c>
      <c r="C529" s="1" t="n">
        <v>46013</v>
      </c>
      <c r="D529" t="inlineStr">
        <is>
          <t>GOTLANDS LÄN</t>
        </is>
      </c>
      <c r="E529" t="inlineStr">
        <is>
          <t>GOTLAND</t>
        </is>
      </c>
      <c r="G529" t="n">
        <v>3.2</v>
      </c>
      <c r="H529" t="n">
        <v>0</v>
      </c>
      <c r="I529" t="n">
        <v>0</v>
      </c>
      <c r="J529" t="n">
        <v>0</v>
      </c>
      <c r="K529" t="n">
        <v>0</v>
      </c>
      <c r="L529" t="n">
        <v>0</v>
      </c>
      <c r="M529" t="n">
        <v>0</v>
      </c>
      <c r="N529" t="n">
        <v>0</v>
      </c>
      <c r="O529" t="n">
        <v>0</v>
      </c>
      <c r="P529" t="n">
        <v>0</v>
      </c>
      <c r="Q529" t="n">
        <v>0</v>
      </c>
      <c r="R529" s="2" t="inlineStr"/>
    </row>
    <row r="530" ht="15" customHeight="1">
      <c r="A530" t="inlineStr">
        <is>
          <t>A 61694-2023</t>
        </is>
      </c>
      <c r="B530" s="1" t="n">
        <v>45264</v>
      </c>
      <c r="C530" s="1" t="n">
        <v>46013</v>
      </c>
      <c r="D530" t="inlineStr">
        <is>
          <t>GOTLANDS LÄN</t>
        </is>
      </c>
      <c r="E530" t="inlineStr">
        <is>
          <t>GOTLAND</t>
        </is>
      </c>
      <c r="G530" t="n">
        <v>4.6</v>
      </c>
      <c r="H530" t="n">
        <v>0</v>
      </c>
      <c r="I530" t="n">
        <v>0</v>
      </c>
      <c r="J530" t="n">
        <v>0</v>
      </c>
      <c r="K530" t="n">
        <v>0</v>
      </c>
      <c r="L530" t="n">
        <v>0</v>
      </c>
      <c r="M530" t="n">
        <v>0</v>
      </c>
      <c r="N530" t="n">
        <v>0</v>
      </c>
      <c r="O530" t="n">
        <v>0</v>
      </c>
      <c r="P530" t="n">
        <v>0</v>
      </c>
      <c r="Q530" t="n">
        <v>0</v>
      </c>
      <c r="R530" s="2" t="inlineStr"/>
    </row>
    <row r="531" ht="15" customHeight="1">
      <c r="A531" t="inlineStr">
        <is>
          <t>A 64555-2023</t>
        </is>
      </c>
      <c r="B531" s="1" t="n">
        <v>45281</v>
      </c>
      <c r="C531" s="1" t="n">
        <v>46013</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64831-2023</t>
        </is>
      </c>
      <c r="B532" s="1" t="n">
        <v>45282.44924768519</v>
      </c>
      <c r="C532" s="1" t="n">
        <v>46013</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14804-2021</t>
        </is>
      </c>
      <c r="B533" s="1" t="n">
        <v>44280</v>
      </c>
      <c r="C533" s="1" t="n">
        <v>46013</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999-2023</t>
        </is>
      </c>
      <c r="B534" s="1" t="n">
        <v>44935</v>
      </c>
      <c r="C534" s="1" t="n">
        <v>46013</v>
      </c>
      <c r="D534" t="inlineStr">
        <is>
          <t>GOTLANDS LÄN</t>
        </is>
      </c>
      <c r="E534" t="inlineStr">
        <is>
          <t>GOTLAND</t>
        </is>
      </c>
      <c r="G534" t="n">
        <v>4.7</v>
      </c>
      <c r="H534" t="n">
        <v>0</v>
      </c>
      <c r="I534" t="n">
        <v>0</v>
      </c>
      <c r="J534" t="n">
        <v>0</v>
      </c>
      <c r="K534" t="n">
        <v>0</v>
      </c>
      <c r="L534" t="n">
        <v>0</v>
      </c>
      <c r="M534" t="n">
        <v>0</v>
      </c>
      <c r="N534" t="n">
        <v>0</v>
      </c>
      <c r="O534" t="n">
        <v>0</v>
      </c>
      <c r="P534" t="n">
        <v>0</v>
      </c>
      <c r="Q534" t="n">
        <v>0</v>
      </c>
      <c r="R534" s="2" t="inlineStr"/>
    </row>
    <row r="535" ht="15" customHeight="1">
      <c r="A535" t="inlineStr">
        <is>
          <t>A 27602-2023</t>
        </is>
      </c>
      <c r="B535" s="1" t="n">
        <v>45097</v>
      </c>
      <c r="C535" s="1" t="n">
        <v>46013</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4377-2023</t>
        </is>
      </c>
      <c r="B536" s="1" t="n">
        <v>44955.5502662037</v>
      </c>
      <c r="C536" s="1" t="n">
        <v>46013</v>
      </c>
      <c r="D536" t="inlineStr">
        <is>
          <t>GOTLANDS LÄN</t>
        </is>
      </c>
      <c r="E536" t="inlineStr">
        <is>
          <t>GOTLAND</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4387-2023</t>
        </is>
      </c>
      <c r="B537" s="1" t="n">
        <v>44955.73359953704</v>
      </c>
      <c r="C537" s="1" t="n">
        <v>46013</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39479-2022</t>
        </is>
      </c>
      <c r="B538" s="1" t="n">
        <v>44818</v>
      </c>
      <c r="C538" s="1" t="n">
        <v>46013</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51963-2024</t>
        </is>
      </c>
      <c r="B539" s="1" t="n">
        <v>45607.64833333333</v>
      </c>
      <c r="C539" s="1" t="n">
        <v>46013</v>
      </c>
      <c r="D539" t="inlineStr">
        <is>
          <t>GOTLANDS LÄN</t>
        </is>
      </c>
      <c r="E539" t="inlineStr">
        <is>
          <t>GOTLAND</t>
        </is>
      </c>
      <c r="G539" t="n">
        <v>2.4</v>
      </c>
      <c r="H539" t="n">
        <v>0</v>
      </c>
      <c r="I539" t="n">
        <v>0</v>
      </c>
      <c r="J539" t="n">
        <v>0</v>
      </c>
      <c r="K539" t="n">
        <v>0</v>
      </c>
      <c r="L539" t="n">
        <v>0</v>
      </c>
      <c r="M539" t="n">
        <v>0</v>
      </c>
      <c r="N539" t="n">
        <v>0</v>
      </c>
      <c r="O539" t="n">
        <v>0</v>
      </c>
      <c r="P539" t="n">
        <v>0</v>
      </c>
      <c r="Q539" t="n">
        <v>0</v>
      </c>
      <c r="R539" s="2" t="inlineStr"/>
    </row>
    <row r="540" ht="15" customHeight="1">
      <c r="A540" t="inlineStr">
        <is>
          <t>A 811-2023</t>
        </is>
      </c>
      <c r="B540" s="1" t="n">
        <v>44931</v>
      </c>
      <c r="C540" s="1" t="n">
        <v>46013</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46389-2021</t>
        </is>
      </c>
      <c r="B541" s="1" t="n">
        <v>44443</v>
      </c>
      <c r="C541" s="1" t="n">
        <v>46013</v>
      </c>
      <c r="D541" t="inlineStr">
        <is>
          <t>GOTLANDS LÄN</t>
        </is>
      </c>
      <c r="E541" t="inlineStr">
        <is>
          <t>GOTLAND</t>
        </is>
      </c>
      <c r="F541" t="inlineStr">
        <is>
          <t>Kyrkan</t>
        </is>
      </c>
      <c r="G541" t="n">
        <v>2.1</v>
      </c>
      <c r="H541" t="n">
        <v>0</v>
      </c>
      <c r="I541" t="n">
        <v>0</v>
      </c>
      <c r="J541" t="n">
        <v>0</v>
      </c>
      <c r="K541" t="n">
        <v>0</v>
      </c>
      <c r="L541" t="n">
        <v>0</v>
      </c>
      <c r="M541" t="n">
        <v>0</v>
      </c>
      <c r="N541" t="n">
        <v>0</v>
      </c>
      <c r="O541" t="n">
        <v>0</v>
      </c>
      <c r="P541" t="n">
        <v>0</v>
      </c>
      <c r="Q541" t="n">
        <v>0</v>
      </c>
      <c r="R541" s="2" t="inlineStr"/>
    </row>
    <row r="542" ht="15" customHeight="1">
      <c r="A542" t="inlineStr">
        <is>
          <t>A 26810-2021</t>
        </is>
      </c>
      <c r="B542" s="1" t="n">
        <v>44349.55087962963</v>
      </c>
      <c r="C542" s="1" t="n">
        <v>46013</v>
      </c>
      <c r="D542" t="inlineStr">
        <is>
          <t>GOTLANDS LÄN</t>
        </is>
      </c>
      <c r="E542" t="inlineStr">
        <is>
          <t>GOTLAND</t>
        </is>
      </c>
      <c r="G542" t="n">
        <v>3.5</v>
      </c>
      <c r="H542" t="n">
        <v>0</v>
      </c>
      <c r="I542" t="n">
        <v>0</v>
      </c>
      <c r="J542" t="n">
        <v>0</v>
      </c>
      <c r="K542" t="n">
        <v>0</v>
      </c>
      <c r="L542" t="n">
        <v>0</v>
      </c>
      <c r="M542" t="n">
        <v>0</v>
      </c>
      <c r="N542" t="n">
        <v>0</v>
      </c>
      <c r="O542" t="n">
        <v>0</v>
      </c>
      <c r="P542" t="n">
        <v>0</v>
      </c>
      <c r="Q542" t="n">
        <v>0</v>
      </c>
      <c r="R542" s="2" t="inlineStr"/>
    </row>
    <row r="543" ht="15" customHeight="1">
      <c r="A543" t="inlineStr">
        <is>
          <t>A 5923-2023</t>
        </is>
      </c>
      <c r="B543" s="1" t="n">
        <v>44963.69503472222</v>
      </c>
      <c r="C543" s="1" t="n">
        <v>46013</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33853-2024</t>
        </is>
      </c>
      <c r="B544" s="1" t="n">
        <v>45520.64298611111</v>
      </c>
      <c r="C544" s="1" t="n">
        <v>46013</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18918-2025</t>
        </is>
      </c>
      <c r="B545" s="1" t="n">
        <v>45764</v>
      </c>
      <c r="C545" s="1" t="n">
        <v>46013</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46013</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10655-2023</t>
        </is>
      </c>
      <c r="B547" s="1" t="n">
        <v>44988.49543981482</v>
      </c>
      <c r="C547" s="1" t="n">
        <v>46013</v>
      </c>
      <c r="D547" t="inlineStr">
        <is>
          <t>GOTLANDS LÄN</t>
        </is>
      </c>
      <c r="E547" t="inlineStr">
        <is>
          <t>GOTLAND</t>
        </is>
      </c>
      <c r="F547" t="inlineStr">
        <is>
          <t>Kyrkan</t>
        </is>
      </c>
      <c r="G547" t="n">
        <v>2</v>
      </c>
      <c r="H547" t="n">
        <v>0</v>
      </c>
      <c r="I547" t="n">
        <v>0</v>
      </c>
      <c r="J547" t="n">
        <v>0</v>
      </c>
      <c r="K547" t="n">
        <v>0</v>
      </c>
      <c r="L547" t="n">
        <v>0</v>
      </c>
      <c r="M547" t="n">
        <v>0</v>
      </c>
      <c r="N547" t="n">
        <v>0</v>
      </c>
      <c r="O547" t="n">
        <v>0</v>
      </c>
      <c r="P547" t="n">
        <v>0</v>
      </c>
      <c r="Q547" t="n">
        <v>0</v>
      </c>
      <c r="R547" s="2" t="inlineStr"/>
    </row>
    <row r="548" ht="15" customHeight="1">
      <c r="A548" t="inlineStr">
        <is>
          <t>A 2719-2023</t>
        </is>
      </c>
      <c r="B548" s="1" t="n">
        <v>44944.55361111111</v>
      </c>
      <c r="C548" s="1" t="n">
        <v>46013</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26891-2024</t>
        </is>
      </c>
      <c r="B549" s="1" t="n">
        <v>45470.65540509259</v>
      </c>
      <c r="C549" s="1" t="n">
        <v>46013</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42007-2023</t>
        </is>
      </c>
      <c r="B550" s="1" t="n">
        <v>45177</v>
      </c>
      <c r="C550" s="1" t="n">
        <v>46013</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9887-2025</t>
        </is>
      </c>
      <c r="B551" s="1" t="n">
        <v>45716</v>
      </c>
      <c r="C551" s="1" t="n">
        <v>46013</v>
      </c>
      <c r="D551" t="inlineStr">
        <is>
          <t>GOTLANDS LÄN</t>
        </is>
      </c>
      <c r="E551" t="inlineStr">
        <is>
          <t>GOTLAND</t>
        </is>
      </c>
      <c r="G551" t="n">
        <v>7.5</v>
      </c>
      <c r="H551" t="n">
        <v>0</v>
      </c>
      <c r="I551" t="n">
        <v>0</v>
      </c>
      <c r="J551" t="n">
        <v>0</v>
      </c>
      <c r="K551" t="n">
        <v>0</v>
      </c>
      <c r="L551" t="n">
        <v>0</v>
      </c>
      <c r="M551" t="n">
        <v>0</v>
      </c>
      <c r="N551" t="n">
        <v>0</v>
      </c>
      <c r="O551" t="n">
        <v>0</v>
      </c>
      <c r="P551" t="n">
        <v>0</v>
      </c>
      <c r="Q551" t="n">
        <v>0</v>
      </c>
      <c r="R551" s="2" t="inlineStr"/>
    </row>
    <row r="552" ht="15" customHeight="1">
      <c r="A552" t="inlineStr">
        <is>
          <t>A 38165-2023</t>
        </is>
      </c>
      <c r="B552" s="1" t="n">
        <v>45161</v>
      </c>
      <c r="C552" s="1" t="n">
        <v>46013</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27596-2023</t>
        </is>
      </c>
      <c r="B553" s="1" t="n">
        <v>45097</v>
      </c>
      <c r="C553" s="1" t="n">
        <v>46013</v>
      </c>
      <c r="D553" t="inlineStr">
        <is>
          <t>GOTLANDS LÄN</t>
        </is>
      </c>
      <c r="E553" t="inlineStr">
        <is>
          <t>GOTLAND</t>
        </is>
      </c>
      <c r="G553" t="n">
        <v>3.6</v>
      </c>
      <c r="H553" t="n">
        <v>0</v>
      </c>
      <c r="I553" t="n">
        <v>0</v>
      </c>
      <c r="J553" t="n">
        <v>0</v>
      </c>
      <c r="K553" t="n">
        <v>0</v>
      </c>
      <c r="L553" t="n">
        <v>0</v>
      </c>
      <c r="M553" t="n">
        <v>0</v>
      </c>
      <c r="N553" t="n">
        <v>0</v>
      </c>
      <c r="O553" t="n">
        <v>0</v>
      </c>
      <c r="P553" t="n">
        <v>0</v>
      </c>
      <c r="Q553" t="n">
        <v>0</v>
      </c>
      <c r="R553" s="2" t="inlineStr"/>
    </row>
    <row r="554" ht="15" customHeight="1">
      <c r="A554" t="inlineStr">
        <is>
          <t>A 24825-2024</t>
        </is>
      </c>
      <c r="B554" s="1" t="n">
        <v>45461</v>
      </c>
      <c r="C554" s="1" t="n">
        <v>46013</v>
      </c>
      <c r="D554" t="inlineStr">
        <is>
          <t>GOTLANDS LÄN</t>
        </is>
      </c>
      <c r="E554" t="inlineStr">
        <is>
          <t>GOTLAND</t>
        </is>
      </c>
      <c r="G554" t="n">
        <v>1.3</v>
      </c>
      <c r="H554" t="n">
        <v>0</v>
      </c>
      <c r="I554" t="n">
        <v>0</v>
      </c>
      <c r="J554" t="n">
        <v>0</v>
      </c>
      <c r="K554" t="n">
        <v>0</v>
      </c>
      <c r="L554" t="n">
        <v>0</v>
      </c>
      <c r="M554" t="n">
        <v>0</v>
      </c>
      <c r="N554" t="n">
        <v>0</v>
      </c>
      <c r="O554" t="n">
        <v>0</v>
      </c>
      <c r="P554" t="n">
        <v>0</v>
      </c>
      <c r="Q554" t="n">
        <v>0</v>
      </c>
      <c r="R554" s="2" t="inlineStr"/>
    </row>
    <row r="555" ht="15" customHeight="1">
      <c r="A555" t="inlineStr">
        <is>
          <t>A 6696-2023</t>
        </is>
      </c>
      <c r="B555" s="1" t="n">
        <v>44966.66425925926</v>
      </c>
      <c r="C555" s="1" t="n">
        <v>46013</v>
      </c>
      <c r="D555" t="inlineStr">
        <is>
          <t>GOTLANDS LÄN</t>
        </is>
      </c>
      <c r="E555" t="inlineStr">
        <is>
          <t>GOTLAND</t>
        </is>
      </c>
      <c r="G555" t="n">
        <v>1.5</v>
      </c>
      <c r="H555" t="n">
        <v>0</v>
      </c>
      <c r="I555" t="n">
        <v>0</v>
      </c>
      <c r="J555" t="n">
        <v>0</v>
      </c>
      <c r="K555" t="n">
        <v>0</v>
      </c>
      <c r="L555" t="n">
        <v>0</v>
      </c>
      <c r="M555" t="n">
        <v>0</v>
      </c>
      <c r="N555" t="n">
        <v>0</v>
      </c>
      <c r="O555" t="n">
        <v>0</v>
      </c>
      <c r="P555" t="n">
        <v>0</v>
      </c>
      <c r="Q555" t="n">
        <v>0</v>
      </c>
      <c r="R555" s="2" t="inlineStr"/>
    </row>
    <row r="556" ht="15" customHeight="1">
      <c r="A556" t="inlineStr">
        <is>
          <t>A 21247-2022</t>
        </is>
      </c>
      <c r="B556" s="1" t="n">
        <v>44705.38832175926</v>
      </c>
      <c r="C556" s="1" t="n">
        <v>46013</v>
      </c>
      <c r="D556" t="inlineStr">
        <is>
          <t>GOTLANDS LÄN</t>
        </is>
      </c>
      <c r="E556" t="inlineStr">
        <is>
          <t>GOTLAND</t>
        </is>
      </c>
      <c r="G556" t="n">
        <v>16.2</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44929.87122685185</v>
      </c>
      <c r="C557" s="1" t="n">
        <v>46013</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2714-2023</t>
        </is>
      </c>
      <c r="B558" s="1" t="n">
        <v>44944.54896990741</v>
      </c>
      <c r="C558" s="1" t="n">
        <v>46013</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4421-2024</t>
        </is>
      </c>
      <c r="B559" s="1" t="n">
        <v>45327.45173611111</v>
      </c>
      <c r="C559" s="1" t="n">
        <v>46013</v>
      </c>
      <c r="D559" t="inlineStr">
        <is>
          <t>GOTLANDS LÄN</t>
        </is>
      </c>
      <c r="E559" t="inlineStr">
        <is>
          <t>GOTLAND</t>
        </is>
      </c>
      <c r="G559" t="n">
        <v>5.1</v>
      </c>
      <c r="H559" t="n">
        <v>0</v>
      </c>
      <c r="I559" t="n">
        <v>0</v>
      </c>
      <c r="J559" t="n">
        <v>0</v>
      </c>
      <c r="K559" t="n">
        <v>0</v>
      </c>
      <c r="L559" t="n">
        <v>0</v>
      </c>
      <c r="M559" t="n">
        <v>0</v>
      </c>
      <c r="N559" t="n">
        <v>0</v>
      </c>
      <c r="O559" t="n">
        <v>0</v>
      </c>
      <c r="P559" t="n">
        <v>0</v>
      </c>
      <c r="Q559" t="n">
        <v>0</v>
      </c>
      <c r="R559" s="2" t="inlineStr"/>
    </row>
    <row r="560" ht="15" customHeight="1">
      <c r="A560" t="inlineStr">
        <is>
          <t>A 51782-2023</t>
        </is>
      </c>
      <c r="B560" s="1" t="n">
        <v>45222.80952546297</v>
      </c>
      <c r="C560" s="1" t="n">
        <v>46013</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54268-2022</t>
        </is>
      </c>
      <c r="B561" s="1" t="n">
        <v>44882</v>
      </c>
      <c r="C561" s="1" t="n">
        <v>46013</v>
      </c>
      <c r="D561" t="inlineStr">
        <is>
          <t>GOTLANDS LÄN</t>
        </is>
      </c>
      <c r="E561" t="inlineStr">
        <is>
          <t>GOTLAND</t>
        </is>
      </c>
      <c r="G561" t="n">
        <v>2.7</v>
      </c>
      <c r="H561" t="n">
        <v>0</v>
      </c>
      <c r="I561" t="n">
        <v>0</v>
      </c>
      <c r="J561" t="n">
        <v>0</v>
      </c>
      <c r="K561" t="n">
        <v>0</v>
      </c>
      <c r="L561" t="n">
        <v>0</v>
      </c>
      <c r="M561" t="n">
        <v>0</v>
      </c>
      <c r="N561" t="n">
        <v>0</v>
      </c>
      <c r="O561" t="n">
        <v>0</v>
      </c>
      <c r="P561" t="n">
        <v>0</v>
      </c>
      <c r="Q561" t="n">
        <v>0</v>
      </c>
      <c r="R561" s="2" t="inlineStr"/>
    </row>
    <row r="562" ht="15" customHeight="1">
      <c r="A562" t="inlineStr">
        <is>
          <t>A 57534-2022</t>
        </is>
      </c>
      <c r="B562" s="1" t="n">
        <v>44896</v>
      </c>
      <c r="C562" s="1" t="n">
        <v>46013</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25866-2022</t>
        </is>
      </c>
      <c r="B563" s="1" t="n">
        <v>44733</v>
      </c>
      <c r="C563" s="1" t="n">
        <v>46013</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43229-2023</t>
        </is>
      </c>
      <c r="B564" s="1" t="n">
        <v>45183.46704861111</v>
      </c>
      <c r="C564" s="1" t="n">
        <v>46013</v>
      </c>
      <c r="D564" t="inlineStr">
        <is>
          <t>GOTLANDS LÄN</t>
        </is>
      </c>
      <c r="E564" t="inlineStr">
        <is>
          <t>GOTLAND</t>
        </is>
      </c>
      <c r="G564" t="n">
        <v>7.1</v>
      </c>
      <c r="H564" t="n">
        <v>0</v>
      </c>
      <c r="I564" t="n">
        <v>0</v>
      </c>
      <c r="J564" t="n">
        <v>0</v>
      </c>
      <c r="K564" t="n">
        <v>0</v>
      </c>
      <c r="L564" t="n">
        <v>0</v>
      </c>
      <c r="M564" t="n">
        <v>0</v>
      </c>
      <c r="N564" t="n">
        <v>0</v>
      </c>
      <c r="O564" t="n">
        <v>0</v>
      </c>
      <c r="P564" t="n">
        <v>0</v>
      </c>
      <c r="Q564" t="n">
        <v>0</v>
      </c>
      <c r="R564" s="2" t="inlineStr"/>
    </row>
    <row r="565" ht="15" customHeight="1">
      <c r="A565" t="inlineStr">
        <is>
          <t>A 1175-2025</t>
        </is>
      </c>
      <c r="B565" s="1" t="n">
        <v>45667.34449074074</v>
      </c>
      <c r="C565" s="1" t="n">
        <v>46013</v>
      </c>
      <c r="D565" t="inlineStr">
        <is>
          <t>GOTLANDS LÄN</t>
        </is>
      </c>
      <c r="E565" t="inlineStr">
        <is>
          <t>GOTLAND</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27095-2022</t>
        </is>
      </c>
      <c r="B566" s="1" t="n">
        <v>44741</v>
      </c>
      <c r="C566" s="1" t="n">
        <v>46013</v>
      </c>
      <c r="D566" t="inlineStr">
        <is>
          <t>GOTLANDS LÄN</t>
        </is>
      </c>
      <c r="E566" t="inlineStr">
        <is>
          <t>GOTLAND</t>
        </is>
      </c>
      <c r="F566" t="inlineStr">
        <is>
          <t>Övriga Aktiebolag</t>
        </is>
      </c>
      <c r="G566" t="n">
        <v>2.9</v>
      </c>
      <c r="H566" t="n">
        <v>0</v>
      </c>
      <c r="I566" t="n">
        <v>0</v>
      </c>
      <c r="J566" t="n">
        <v>0</v>
      </c>
      <c r="K566" t="n">
        <v>0</v>
      </c>
      <c r="L566" t="n">
        <v>0</v>
      </c>
      <c r="M566" t="n">
        <v>0</v>
      </c>
      <c r="N566" t="n">
        <v>0</v>
      </c>
      <c r="O566" t="n">
        <v>0</v>
      </c>
      <c r="P566" t="n">
        <v>0</v>
      </c>
      <c r="Q566" t="n">
        <v>0</v>
      </c>
      <c r="R566" s="2" t="inlineStr"/>
    </row>
    <row r="567" ht="15" customHeight="1">
      <c r="A567" t="inlineStr">
        <is>
          <t>A 22899-2023</t>
        </is>
      </c>
      <c r="B567" s="1" t="n">
        <v>45072</v>
      </c>
      <c r="C567" s="1" t="n">
        <v>46013</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23978-2023</t>
        </is>
      </c>
      <c r="B568" s="1" t="n">
        <v>45078</v>
      </c>
      <c r="C568" s="1" t="n">
        <v>46013</v>
      </c>
      <c r="D568" t="inlineStr">
        <is>
          <t>GOTLANDS LÄN</t>
        </is>
      </c>
      <c r="E568" t="inlineStr">
        <is>
          <t>GOTLAND</t>
        </is>
      </c>
      <c r="F568" t="inlineStr">
        <is>
          <t>Naturvårdsverket</t>
        </is>
      </c>
      <c r="G568" t="n">
        <v>1.7</v>
      </c>
      <c r="H568" t="n">
        <v>0</v>
      </c>
      <c r="I568" t="n">
        <v>0</v>
      </c>
      <c r="J568" t="n">
        <v>0</v>
      </c>
      <c r="K568" t="n">
        <v>0</v>
      </c>
      <c r="L568" t="n">
        <v>0</v>
      </c>
      <c r="M568" t="n">
        <v>0</v>
      </c>
      <c r="N568" t="n">
        <v>0</v>
      </c>
      <c r="O568" t="n">
        <v>0</v>
      </c>
      <c r="P568" t="n">
        <v>0</v>
      </c>
      <c r="Q568" t="n">
        <v>0</v>
      </c>
      <c r="R568" s="2" t="inlineStr"/>
    </row>
    <row r="569" ht="15" customHeight="1">
      <c r="A569" t="inlineStr">
        <is>
          <t>A 34407-2023</t>
        </is>
      </c>
      <c r="B569" s="1" t="n">
        <v>45132</v>
      </c>
      <c r="C569" s="1" t="n">
        <v>46013</v>
      </c>
      <c r="D569" t="inlineStr">
        <is>
          <t>GOTLANDS LÄN</t>
        </is>
      </c>
      <c r="E569" t="inlineStr">
        <is>
          <t>GOTLAND</t>
        </is>
      </c>
      <c r="G569" t="n">
        <v>4.4</v>
      </c>
      <c r="H569" t="n">
        <v>0</v>
      </c>
      <c r="I569" t="n">
        <v>0</v>
      </c>
      <c r="J569" t="n">
        <v>0</v>
      </c>
      <c r="K569" t="n">
        <v>0</v>
      </c>
      <c r="L569" t="n">
        <v>0</v>
      </c>
      <c r="M569" t="n">
        <v>0</v>
      </c>
      <c r="N569" t="n">
        <v>0</v>
      </c>
      <c r="O569" t="n">
        <v>0</v>
      </c>
      <c r="P569" t="n">
        <v>0</v>
      </c>
      <c r="Q569" t="n">
        <v>0</v>
      </c>
      <c r="R569" s="2" t="inlineStr"/>
    </row>
    <row r="570" ht="15" customHeight="1">
      <c r="A570" t="inlineStr">
        <is>
          <t>A 11013-2024</t>
        </is>
      </c>
      <c r="B570" s="1" t="n">
        <v>45370</v>
      </c>
      <c r="C570" s="1" t="n">
        <v>46013</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27694-2024</t>
        </is>
      </c>
      <c r="B571" s="1" t="n">
        <v>45475</v>
      </c>
      <c r="C571" s="1" t="n">
        <v>46013</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15083-2025</t>
        </is>
      </c>
      <c r="B572" s="1" t="n">
        <v>45743</v>
      </c>
      <c r="C572" s="1" t="n">
        <v>46013</v>
      </c>
      <c r="D572" t="inlineStr">
        <is>
          <t>GOTLANDS LÄN</t>
        </is>
      </c>
      <c r="E572" t="inlineStr">
        <is>
          <t>GOTLAND</t>
        </is>
      </c>
      <c r="G572" t="n">
        <v>2.3</v>
      </c>
      <c r="H572" t="n">
        <v>0</v>
      </c>
      <c r="I572" t="n">
        <v>0</v>
      </c>
      <c r="J572" t="n">
        <v>0</v>
      </c>
      <c r="K572" t="n">
        <v>0</v>
      </c>
      <c r="L572" t="n">
        <v>0</v>
      </c>
      <c r="M572" t="n">
        <v>0</v>
      </c>
      <c r="N572" t="n">
        <v>0</v>
      </c>
      <c r="O572" t="n">
        <v>0</v>
      </c>
      <c r="P572" t="n">
        <v>0</v>
      </c>
      <c r="Q572" t="n">
        <v>0</v>
      </c>
      <c r="R572" s="2" t="inlineStr"/>
    </row>
    <row r="573" ht="15" customHeight="1">
      <c r="A573" t="inlineStr">
        <is>
          <t>A 13037-2025</t>
        </is>
      </c>
      <c r="B573" s="1" t="n">
        <v>45734</v>
      </c>
      <c r="C573" s="1" t="n">
        <v>46013</v>
      </c>
      <c r="D573" t="inlineStr">
        <is>
          <t>GOTLANDS LÄN</t>
        </is>
      </c>
      <c r="E573" t="inlineStr">
        <is>
          <t>GOTLAND</t>
        </is>
      </c>
      <c r="G573" t="n">
        <v>9.5</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46013</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44228-2022</t>
        </is>
      </c>
      <c r="B575" s="1" t="n">
        <v>44839.51599537037</v>
      </c>
      <c r="C575" s="1" t="n">
        <v>46013</v>
      </c>
      <c r="D575" t="inlineStr">
        <is>
          <t>GOTLANDS LÄN</t>
        </is>
      </c>
      <c r="E575" t="inlineStr">
        <is>
          <t>GOTLAND</t>
        </is>
      </c>
      <c r="G575" t="n">
        <v>2.1</v>
      </c>
      <c r="H575" t="n">
        <v>0</v>
      </c>
      <c r="I575" t="n">
        <v>0</v>
      </c>
      <c r="J575" t="n">
        <v>0</v>
      </c>
      <c r="K575" t="n">
        <v>0</v>
      </c>
      <c r="L575" t="n">
        <v>0</v>
      </c>
      <c r="M575" t="n">
        <v>0</v>
      </c>
      <c r="N575" t="n">
        <v>0</v>
      </c>
      <c r="O575" t="n">
        <v>0</v>
      </c>
      <c r="P575" t="n">
        <v>0</v>
      </c>
      <c r="Q575" t="n">
        <v>0</v>
      </c>
      <c r="R575" s="2" t="inlineStr"/>
    </row>
    <row r="576" ht="15" customHeight="1">
      <c r="A576" t="inlineStr">
        <is>
          <t>A 58132-2023</t>
        </is>
      </c>
      <c r="B576" s="1" t="n">
        <v>45250</v>
      </c>
      <c r="C576" s="1" t="n">
        <v>46013</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49884-2023</t>
        </is>
      </c>
      <c r="B577" s="1" t="n">
        <v>45213</v>
      </c>
      <c r="C577" s="1" t="n">
        <v>46013</v>
      </c>
      <c r="D577" t="inlineStr">
        <is>
          <t>GOTLANDS LÄN</t>
        </is>
      </c>
      <c r="E577" t="inlineStr">
        <is>
          <t>GOTLAND</t>
        </is>
      </c>
      <c r="G577" t="n">
        <v>8.9</v>
      </c>
      <c r="H577" t="n">
        <v>0</v>
      </c>
      <c r="I577" t="n">
        <v>0</v>
      </c>
      <c r="J577" t="n">
        <v>0</v>
      </c>
      <c r="K577" t="n">
        <v>0</v>
      </c>
      <c r="L577" t="n">
        <v>0</v>
      </c>
      <c r="M577" t="n">
        <v>0</v>
      </c>
      <c r="N577" t="n">
        <v>0</v>
      </c>
      <c r="O577" t="n">
        <v>0</v>
      </c>
      <c r="P577" t="n">
        <v>0</v>
      </c>
      <c r="Q577" t="n">
        <v>0</v>
      </c>
      <c r="R577" s="2" t="inlineStr"/>
    </row>
    <row r="578" ht="15" customHeight="1">
      <c r="A578" t="inlineStr">
        <is>
          <t>A 876-2024</t>
        </is>
      </c>
      <c r="B578" s="1" t="n">
        <v>45301</v>
      </c>
      <c r="C578" s="1" t="n">
        <v>46013</v>
      </c>
      <c r="D578" t="inlineStr">
        <is>
          <t>GOTLANDS LÄN</t>
        </is>
      </c>
      <c r="E578" t="inlineStr">
        <is>
          <t>GOTLAND</t>
        </is>
      </c>
      <c r="G578" t="n">
        <v>5.3</v>
      </c>
      <c r="H578" t="n">
        <v>0</v>
      </c>
      <c r="I578" t="n">
        <v>0</v>
      </c>
      <c r="J578" t="n">
        <v>0</v>
      </c>
      <c r="K578" t="n">
        <v>0</v>
      </c>
      <c r="L578" t="n">
        <v>0</v>
      </c>
      <c r="M578" t="n">
        <v>0</v>
      </c>
      <c r="N578" t="n">
        <v>0</v>
      </c>
      <c r="O578" t="n">
        <v>0</v>
      </c>
      <c r="P578" t="n">
        <v>0</v>
      </c>
      <c r="Q578" t="n">
        <v>0</v>
      </c>
      <c r="R578" s="2" t="inlineStr"/>
    </row>
    <row r="579" ht="15" customHeight="1">
      <c r="A579" t="inlineStr">
        <is>
          <t>A 22704-2023</t>
        </is>
      </c>
      <c r="B579" s="1" t="n">
        <v>45071</v>
      </c>
      <c r="C579" s="1" t="n">
        <v>46013</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28425-2023</t>
        </is>
      </c>
      <c r="B580" s="1" t="n">
        <v>45102</v>
      </c>
      <c r="C580" s="1" t="n">
        <v>46013</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58476-2022</t>
        </is>
      </c>
      <c r="B581" s="1" t="n">
        <v>44902</v>
      </c>
      <c r="C581" s="1" t="n">
        <v>46013</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43200-2023</t>
        </is>
      </c>
      <c r="B582" s="1" t="n">
        <v>45183</v>
      </c>
      <c r="C582" s="1" t="n">
        <v>46013</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43223-2023</t>
        </is>
      </c>
      <c r="B583" s="1" t="n">
        <v>45183.45642361111</v>
      </c>
      <c r="C583" s="1" t="n">
        <v>46013</v>
      </c>
      <c r="D583" t="inlineStr">
        <is>
          <t>GOTLANDS LÄN</t>
        </is>
      </c>
      <c r="E583" t="inlineStr">
        <is>
          <t>GOTLAND</t>
        </is>
      </c>
      <c r="G583" t="n">
        <v>1.8</v>
      </c>
      <c r="H583" t="n">
        <v>0</v>
      </c>
      <c r="I583" t="n">
        <v>0</v>
      </c>
      <c r="J583" t="n">
        <v>0</v>
      </c>
      <c r="K583" t="n">
        <v>0</v>
      </c>
      <c r="L583" t="n">
        <v>0</v>
      </c>
      <c r="M583" t="n">
        <v>0</v>
      </c>
      <c r="N583" t="n">
        <v>0</v>
      </c>
      <c r="O583" t="n">
        <v>0</v>
      </c>
      <c r="P583" t="n">
        <v>0</v>
      </c>
      <c r="Q583" t="n">
        <v>0</v>
      </c>
      <c r="R583" s="2" t="inlineStr"/>
    </row>
    <row r="584" ht="15" customHeight="1">
      <c r="A584" t="inlineStr">
        <is>
          <t>A 12327-2025</t>
        </is>
      </c>
      <c r="B584" s="1" t="n">
        <v>45730</v>
      </c>
      <c r="C584" s="1" t="n">
        <v>46013</v>
      </c>
      <c r="D584" t="inlineStr">
        <is>
          <t>GOTLANDS LÄN</t>
        </is>
      </c>
      <c r="E584" t="inlineStr">
        <is>
          <t>GOTLAND</t>
        </is>
      </c>
      <c r="G584" t="n">
        <v>1.8</v>
      </c>
      <c r="H584" t="n">
        <v>0</v>
      </c>
      <c r="I584" t="n">
        <v>0</v>
      </c>
      <c r="J584" t="n">
        <v>0</v>
      </c>
      <c r="K584" t="n">
        <v>0</v>
      </c>
      <c r="L584" t="n">
        <v>0</v>
      </c>
      <c r="M584" t="n">
        <v>0</v>
      </c>
      <c r="N584" t="n">
        <v>0</v>
      </c>
      <c r="O584" t="n">
        <v>0</v>
      </c>
      <c r="P584" t="n">
        <v>0</v>
      </c>
      <c r="Q584" t="n">
        <v>0</v>
      </c>
      <c r="R584" s="2" t="inlineStr"/>
    </row>
    <row r="585" ht="15" customHeight="1">
      <c r="A585" t="inlineStr">
        <is>
          <t>A 3431-2025</t>
        </is>
      </c>
      <c r="B585" s="1" t="n">
        <v>45680.42935185185</v>
      </c>
      <c r="C585" s="1" t="n">
        <v>46013</v>
      </c>
      <c r="D585" t="inlineStr">
        <is>
          <t>GOTLANDS LÄN</t>
        </is>
      </c>
      <c r="E585" t="inlineStr">
        <is>
          <t>GOTLAND</t>
        </is>
      </c>
      <c r="G585" t="n">
        <v>4.8</v>
      </c>
      <c r="H585" t="n">
        <v>0</v>
      </c>
      <c r="I585" t="n">
        <v>0</v>
      </c>
      <c r="J585" t="n">
        <v>0</v>
      </c>
      <c r="K585" t="n">
        <v>0</v>
      </c>
      <c r="L585" t="n">
        <v>0</v>
      </c>
      <c r="M585" t="n">
        <v>0</v>
      </c>
      <c r="N585" t="n">
        <v>0</v>
      </c>
      <c r="O585" t="n">
        <v>0</v>
      </c>
      <c r="P585" t="n">
        <v>0</v>
      </c>
      <c r="Q585" t="n">
        <v>0</v>
      </c>
      <c r="R585" s="2" t="inlineStr"/>
    </row>
    <row r="586" ht="15" customHeight="1">
      <c r="A586" t="inlineStr">
        <is>
          <t>A 12209-2024</t>
        </is>
      </c>
      <c r="B586" s="1" t="n">
        <v>45378</v>
      </c>
      <c r="C586" s="1" t="n">
        <v>46013</v>
      </c>
      <c r="D586" t="inlineStr">
        <is>
          <t>GOTLANDS LÄN</t>
        </is>
      </c>
      <c r="E586" t="inlineStr">
        <is>
          <t>GOTLAND</t>
        </is>
      </c>
      <c r="G586" t="n">
        <v>5.3</v>
      </c>
      <c r="H586" t="n">
        <v>0</v>
      </c>
      <c r="I586" t="n">
        <v>0</v>
      </c>
      <c r="J586" t="n">
        <v>0</v>
      </c>
      <c r="K586" t="n">
        <v>0</v>
      </c>
      <c r="L586" t="n">
        <v>0</v>
      </c>
      <c r="M586" t="n">
        <v>0</v>
      </c>
      <c r="N586" t="n">
        <v>0</v>
      </c>
      <c r="O586" t="n">
        <v>0</v>
      </c>
      <c r="P586" t="n">
        <v>0</v>
      </c>
      <c r="Q586" t="n">
        <v>0</v>
      </c>
      <c r="R586" s="2" t="inlineStr"/>
    </row>
    <row r="587" ht="15" customHeight="1">
      <c r="A587" t="inlineStr">
        <is>
          <t>A 12210-2024</t>
        </is>
      </c>
      <c r="B587" s="1" t="n">
        <v>45378</v>
      </c>
      <c r="C587" s="1" t="n">
        <v>46013</v>
      </c>
      <c r="D587" t="inlineStr">
        <is>
          <t>GOTLANDS LÄN</t>
        </is>
      </c>
      <c r="E587" t="inlineStr">
        <is>
          <t>GOTLAND</t>
        </is>
      </c>
      <c r="G587" t="n">
        <v>4.1</v>
      </c>
      <c r="H587" t="n">
        <v>0</v>
      </c>
      <c r="I587" t="n">
        <v>0</v>
      </c>
      <c r="J587" t="n">
        <v>0</v>
      </c>
      <c r="K587" t="n">
        <v>0</v>
      </c>
      <c r="L587" t="n">
        <v>0</v>
      </c>
      <c r="M587" t="n">
        <v>0</v>
      </c>
      <c r="N587" t="n">
        <v>0</v>
      </c>
      <c r="O587" t="n">
        <v>0</v>
      </c>
      <c r="P587" t="n">
        <v>0</v>
      </c>
      <c r="Q587" t="n">
        <v>0</v>
      </c>
      <c r="R587" s="2" t="inlineStr"/>
    </row>
    <row r="588" ht="15" customHeight="1">
      <c r="A588" t="inlineStr">
        <is>
          <t>A 1364-2025</t>
        </is>
      </c>
      <c r="B588" s="1" t="n">
        <v>45667.63929398148</v>
      </c>
      <c r="C588" s="1" t="n">
        <v>46013</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15042-2025</t>
        </is>
      </c>
      <c r="B589" s="1" t="n">
        <v>45743</v>
      </c>
      <c r="C589" s="1" t="n">
        <v>46013</v>
      </c>
      <c r="D589" t="inlineStr">
        <is>
          <t>GOTLANDS LÄN</t>
        </is>
      </c>
      <c r="E589" t="inlineStr">
        <is>
          <t>GOTLAND</t>
        </is>
      </c>
      <c r="G589" t="n">
        <v>8.5</v>
      </c>
      <c r="H589" t="n">
        <v>0</v>
      </c>
      <c r="I589" t="n">
        <v>0</v>
      </c>
      <c r="J589" t="n">
        <v>0</v>
      </c>
      <c r="K589" t="n">
        <v>0</v>
      </c>
      <c r="L589" t="n">
        <v>0</v>
      </c>
      <c r="M589" t="n">
        <v>0</v>
      </c>
      <c r="N589" t="n">
        <v>0</v>
      </c>
      <c r="O589" t="n">
        <v>0</v>
      </c>
      <c r="P589" t="n">
        <v>0</v>
      </c>
      <c r="Q589" t="n">
        <v>0</v>
      </c>
      <c r="R589" s="2" t="inlineStr"/>
    </row>
    <row r="590" ht="15" customHeight="1">
      <c r="A590" t="inlineStr">
        <is>
          <t>A 2180-2025</t>
        </is>
      </c>
      <c r="B590" s="1" t="n">
        <v>45673</v>
      </c>
      <c r="C590" s="1" t="n">
        <v>46013</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15436-2025</t>
        </is>
      </c>
      <c r="B591" s="1" t="n">
        <v>45747.47462962963</v>
      </c>
      <c r="C591" s="1" t="n">
        <v>46013</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49257-2024</t>
        </is>
      </c>
      <c r="B592" s="1" t="n">
        <v>45595.47627314815</v>
      </c>
      <c r="C592" s="1" t="n">
        <v>46013</v>
      </c>
      <c r="D592" t="inlineStr">
        <is>
          <t>GOTLANDS LÄN</t>
        </is>
      </c>
      <c r="E592" t="inlineStr">
        <is>
          <t>GOTLAND</t>
        </is>
      </c>
      <c r="G592" t="n">
        <v>6.3</v>
      </c>
      <c r="H592" t="n">
        <v>0</v>
      </c>
      <c r="I592" t="n">
        <v>0</v>
      </c>
      <c r="J592" t="n">
        <v>0</v>
      </c>
      <c r="K592" t="n">
        <v>0</v>
      </c>
      <c r="L592" t="n">
        <v>0</v>
      </c>
      <c r="M592" t="n">
        <v>0</v>
      </c>
      <c r="N592" t="n">
        <v>0</v>
      </c>
      <c r="O592" t="n">
        <v>0</v>
      </c>
      <c r="P592" t="n">
        <v>0</v>
      </c>
      <c r="Q592" t="n">
        <v>0</v>
      </c>
      <c r="R592" s="2" t="inlineStr"/>
    </row>
    <row r="593" ht="15" customHeight="1">
      <c r="A593" t="inlineStr">
        <is>
          <t>A 37202-2024</t>
        </is>
      </c>
      <c r="B593" s="1" t="n">
        <v>45539.67310185185</v>
      </c>
      <c r="C593" s="1" t="n">
        <v>46013</v>
      </c>
      <c r="D593" t="inlineStr">
        <is>
          <t>GOTLANDS LÄN</t>
        </is>
      </c>
      <c r="E593" t="inlineStr">
        <is>
          <t>GOTLAND</t>
        </is>
      </c>
      <c r="G593" t="n">
        <v>0.3</v>
      </c>
      <c r="H593" t="n">
        <v>0</v>
      </c>
      <c r="I593" t="n">
        <v>0</v>
      </c>
      <c r="J593" t="n">
        <v>0</v>
      </c>
      <c r="K593" t="n">
        <v>0</v>
      </c>
      <c r="L593" t="n">
        <v>0</v>
      </c>
      <c r="M593" t="n">
        <v>0</v>
      </c>
      <c r="N593" t="n">
        <v>0</v>
      </c>
      <c r="O593" t="n">
        <v>0</v>
      </c>
      <c r="P593" t="n">
        <v>0</v>
      </c>
      <c r="Q593" t="n">
        <v>0</v>
      </c>
      <c r="R593" s="2" t="inlineStr"/>
    </row>
    <row r="594" ht="15" customHeight="1">
      <c r="A594" t="inlineStr">
        <is>
          <t>A 56115-2023</t>
        </is>
      </c>
      <c r="B594" s="1" t="n">
        <v>45236</v>
      </c>
      <c r="C594" s="1" t="n">
        <v>46013</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2774-2024</t>
        </is>
      </c>
      <c r="B595" s="1" t="n">
        <v>45314.62375</v>
      </c>
      <c r="C595" s="1" t="n">
        <v>46013</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60709-2023</t>
        </is>
      </c>
      <c r="B596" s="1" t="n">
        <v>45260</v>
      </c>
      <c r="C596" s="1" t="n">
        <v>46013</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64208-2021</t>
        </is>
      </c>
      <c r="B597" s="1" t="n">
        <v>44510</v>
      </c>
      <c r="C597" s="1" t="n">
        <v>46013</v>
      </c>
      <c r="D597" t="inlineStr">
        <is>
          <t>GOTLANDS LÄN</t>
        </is>
      </c>
      <c r="E597" t="inlineStr">
        <is>
          <t>GOTLAND</t>
        </is>
      </c>
      <c r="G597" t="n">
        <v>4.7</v>
      </c>
      <c r="H597" t="n">
        <v>0</v>
      </c>
      <c r="I597" t="n">
        <v>0</v>
      </c>
      <c r="J597" t="n">
        <v>0</v>
      </c>
      <c r="K597" t="n">
        <v>0</v>
      </c>
      <c r="L597" t="n">
        <v>0</v>
      </c>
      <c r="M597" t="n">
        <v>0</v>
      </c>
      <c r="N597" t="n">
        <v>0</v>
      </c>
      <c r="O597" t="n">
        <v>0</v>
      </c>
      <c r="P597" t="n">
        <v>0</v>
      </c>
      <c r="Q597" t="n">
        <v>0</v>
      </c>
      <c r="R597" s="2" t="inlineStr"/>
    </row>
    <row r="598" ht="15" customHeight="1">
      <c r="A598" t="inlineStr">
        <is>
          <t>A 39764-2022</t>
        </is>
      </c>
      <c r="B598" s="1" t="n">
        <v>44819</v>
      </c>
      <c r="C598" s="1" t="n">
        <v>46013</v>
      </c>
      <c r="D598" t="inlineStr">
        <is>
          <t>GOTLANDS LÄN</t>
        </is>
      </c>
      <c r="E598" t="inlineStr">
        <is>
          <t>GOTLAND</t>
        </is>
      </c>
      <c r="F598" t="inlineStr">
        <is>
          <t>Kyrkan</t>
        </is>
      </c>
      <c r="G598" t="n">
        <v>3.7</v>
      </c>
      <c r="H598" t="n">
        <v>0</v>
      </c>
      <c r="I598" t="n">
        <v>0</v>
      </c>
      <c r="J598" t="n">
        <v>0</v>
      </c>
      <c r="K598" t="n">
        <v>0</v>
      </c>
      <c r="L598" t="n">
        <v>0</v>
      </c>
      <c r="M598" t="n">
        <v>0</v>
      </c>
      <c r="N598" t="n">
        <v>0</v>
      </c>
      <c r="O598" t="n">
        <v>0</v>
      </c>
      <c r="P598" t="n">
        <v>0</v>
      </c>
      <c r="Q598" t="n">
        <v>0</v>
      </c>
      <c r="R598" s="2" t="inlineStr"/>
    </row>
    <row r="599" ht="15" customHeight="1">
      <c r="A599" t="inlineStr">
        <is>
          <t>A 58211-2024</t>
        </is>
      </c>
      <c r="B599" s="1" t="n">
        <v>45632.49292824074</v>
      </c>
      <c r="C599" s="1" t="n">
        <v>46013</v>
      </c>
      <c r="D599" t="inlineStr">
        <is>
          <t>GOTLANDS LÄN</t>
        </is>
      </c>
      <c r="E599" t="inlineStr">
        <is>
          <t>GOTLAND</t>
        </is>
      </c>
      <c r="G599" t="n">
        <v>5.4</v>
      </c>
      <c r="H599" t="n">
        <v>0</v>
      </c>
      <c r="I599" t="n">
        <v>0</v>
      </c>
      <c r="J599" t="n">
        <v>0</v>
      </c>
      <c r="K599" t="n">
        <v>0</v>
      </c>
      <c r="L599" t="n">
        <v>0</v>
      </c>
      <c r="M599" t="n">
        <v>0</v>
      </c>
      <c r="N599" t="n">
        <v>0</v>
      </c>
      <c r="O599" t="n">
        <v>0</v>
      </c>
      <c r="P599" t="n">
        <v>0</v>
      </c>
      <c r="Q599" t="n">
        <v>0</v>
      </c>
      <c r="R599" s="2" t="inlineStr"/>
    </row>
    <row r="600" ht="15" customHeight="1">
      <c r="A600" t="inlineStr">
        <is>
          <t>A 30956-2024</t>
        </is>
      </c>
      <c r="B600" s="1" t="n">
        <v>45499.42527777778</v>
      </c>
      <c r="C600" s="1" t="n">
        <v>46013</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30892-2024</t>
        </is>
      </c>
      <c r="B601" s="1" t="n">
        <v>45491</v>
      </c>
      <c r="C601" s="1" t="n">
        <v>46013</v>
      </c>
      <c r="D601" t="inlineStr">
        <is>
          <t>GOTLANDS LÄN</t>
        </is>
      </c>
      <c r="E601" t="inlineStr">
        <is>
          <t>GOTLAND</t>
        </is>
      </c>
      <c r="G601" t="n">
        <v>6.1</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45013.69365740741</v>
      </c>
      <c r="C602" s="1" t="n">
        <v>46013</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59469-2024</t>
        </is>
      </c>
      <c r="B603" s="1" t="n">
        <v>45638</v>
      </c>
      <c r="C603" s="1" t="n">
        <v>46013</v>
      </c>
      <c r="D603" t="inlineStr">
        <is>
          <t>GOTLANDS LÄN</t>
        </is>
      </c>
      <c r="E603" t="inlineStr">
        <is>
          <t>GOTLAND</t>
        </is>
      </c>
      <c r="G603" t="n">
        <v>0.4</v>
      </c>
      <c r="H603" t="n">
        <v>0</v>
      </c>
      <c r="I603" t="n">
        <v>0</v>
      </c>
      <c r="J603" t="n">
        <v>0</v>
      </c>
      <c r="K603" t="n">
        <v>0</v>
      </c>
      <c r="L603" t="n">
        <v>0</v>
      </c>
      <c r="M603" t="n">
        <v>0</v>
      </c>
      <c r="N603" t="n">
        <v>0</v>
      </c>
      <c r="O603" t="n">
        <v>0</v>
      </c>
      <c r="P603" t="n">
        <v>0</v>
      </c>
      <c r="Q603" t="n">
        <v>0</v>
      </c>
      <c r="R603" s="2" t="inlineStr"/>
    </row>
    <row r="604" ht="15" customHeight="1">
      <c r="A604" t="inlineStr">
        <is>
          <t>A 7858-2025</t>
        </is>
      </c>
      <c r="B604" s="1" t="n">
        <v>45706.68633101852</v>
      </c>
      <c r="C604" s="1" t="n">
        <v>46013</v>
      </c>
      <c r="D604" t="inlineStr">
        <is>
          <t>GOTLANDS LÄN</t>
        </is>
      </c>
      <c r="E604" t="inlineStr">
        <is>
          <t>GOTLAND</t>
        </is>
      </c>
      <c r="G604" t="n">
        <v>3</v>
      </c>
      <c r="H604" t="n">
        <v>0</v>
      </c>
      <c r="I604" t="n">
        <v>0</v>
      </c>
      <c r="J604" t="n">
        <v>0</v>
      </c>
      <c r="K604" t="n">
        <v>0</v>
      </c>
      <c r="L604" t="n">
        <v>0</v>
      </c>
      <c r="M604" t="n">
        <v>0</v>
      </c>
      <c r="N604" t="n">
        <v>0</v>
      </c>
      <c r="O604" t="n">
        <v>0</v>
      </c>
      <c r="P604" t="n">
        <v>0</v>
      </c>
      <c r="Q604" t="n">
        <v>0</v>
      </c>
      <c r="R604" s="2" t="inlineStr"/>
    </row>
    <row r="605" ht="15" customHeight="1">
      <c r="A605" t="inlineStr">
        <is>
          <t>A 53935-2024</t>
        </is>
      </c>
      <c r="B605" s="1" t="n">
        <v>45615</v>
      </c>
      <c r="C605" s="1" t="n">
        <v>46013</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18223-2025</t>
        </is>
      </c>
      <c r="B606" s="1" t="n">
        <v>45761</v>
      </c>
      <c r="C606" s="1" t="n">
        <v>46013</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4420-2025</t>
        </is>
      </c>
      <c r="B607" s="1" t="n">
        <v>45686.47157407407</v>
      </c>
      <c r="C607" s="1" t="n">
        <v>46013</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5891-2025</t>
        </is>
      </c>
      <c r="B608" s="1" t="n">
        <v>45695.38327546296</v>
      </c>
      <c r="C608" s="1" t="n">
        <v>46013</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7835-2024</t>
        </is>
      </c>
      <c r="B609" s="1" t="n">
        <v>45349.83138888889</v>
      </c>
      <c r="C609" s="1" t="n">
        <v>46013</v>
      </c>
      <c r="D609" t="inlineStr">
        <is>
          <t>GOTLANDS LÄN</t>
        </is>
      </c>
      <c r="E609" t="inlineStr">
        <is>
          <t>GOTLAND</t>
        </is>
      </c>
      <c r="G609" t="n">
        <v>3.8</v>
      </c>
      <c r="H609" t="n">
        <v>0</v>
      </c>
      <c r="I609" t="n">
        <v>0</v>
      </c>
      <c r="J609" t="n">
        <v>0</v>
      </c>
      <c r="K609" t="n">
        <v>0</v>
      </c>
      <c r="L609" t="n">
        <v>0</v>
      </c>
      <c r="M609" t="n">
        <v>0</v>
      </c>
      <c r="N609" t="n">
        <v>0</v>
      </c>
      <c r="O609" t="n">
        <v>0</v>
      </c>
      <c r="P609" t="n">
        <v>0</v>
      </c>
      <c r="Q609" t="n">
        <v>0</v>
      </c>
      <c r="R609" s="2" t="inlineStr"/>
    </row>
    <row r="610" ht="15" customHeight="1">
      <c r="A610" t="inlineStr">
        <is>
          <t>A 20794-2025</t>
        </is>
      </c>
      <c r="B610" s="1" t="n">
        <v>45776</v>
      </c>
      <c r="C610" s="1" t="n">
        <v>46013</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20805-2025</t>
        </is>
      </c>
      <c r="B611" s="1" t="n">
        <v>45776</v>
      </c>
      <c r="C611" s="1" t="n">
        <v>46013</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21389-2025</t>
        </is>
      </c>
      <c r="B612" s="1" t="n">
        <v>45782</v>
      </c>
      <c r="C612" s="1" t="n">
        <v>46013</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21651-2025</t>
        </is>
      </c>
      <c r="B613" s="1" t="n">
        <v>45783</v>
      </c>
      <c r="C613" s="1" t="n">
        <v>46013</v>
      </c>
      <c r="D613" t="inlineStr">
        <is>
          <t>GOTLANDS LÄN</t>
        </is>
      </c>
      <c r="E613" t="inlineStr">
        <is>
          <t>GOTLAND</t>
        </is>
      </c>
      <c r="G613" t="n">
        <v>4.2</v>
      </c>
      <c r="H613" t="n">
        <v>0</v>
      </c>
      <c r="I613" t="n">
        <v>0</v>
      </c>
      <c r="J613" t="n">
        <v>0</v>
      </c>
      <c r="K613" t="n">
        <v>0</v>
      </c>
      <c r="L613" t="n">
        <v>0</v>
      </c>
      <c r="M613" t="n">
        <v>0</v>
      </c>
      <c r="N613" t="n">
        <v>0</v>
      </c>
      <c r="O613" t="n">
        <v>0</v>
      </c>
      <c r="P613" t="n">
        <v>0</v>
      </c>
      <c r="Q613" t="n">
        <v>0</v>
      </c>
      <c r="R613" s="2" t="inlineStr"/>
    </row>
    <row r="614" ht="15" customHeight="1">
      <c r="A614" t="inlineStr">
        <is>
          <t>A 57356-2023</t>
        </is>
      </c>
      <c r="B614" s="1" t="n">
        <v>45240</v>
      </c>
      <c r="C614" s="1" t="n">
        <v>46013</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10656-2024</t>
        </is>
      </c>
      <c r="B615" s="1" t="n">
        <v>45368</v>
      </c>
      <c r="C615" s="1" t="n">
        <v>46013</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28506-2023</t>
        </is>
      </c>
      <c r="B616" s="1" t="n">
        <v>45103</v>
      </c>
      <c r="C616" s="1" t="n">
        <v>46013</v>
      </c>
      <c r="D616" t="inlineStr">
        <is>
          <t>GOTLANDS LÄN</t>
        </is>
      </c>
      <c r="E616" t="inlineStr">
        <is>
          <t>GOTLAND</t>
        </is>
      </c>
      <c r="G616" t="n">
        <v>3.2</v>
      </c>
      <c r="H616" t="n">
        <v>0</v>
      </c>
      <c r="I616" t="n">
        <v>0</v>
      </c>
      <c r="J616" t="n">
        <v>0</v>
      </c>
      <c r="K616" t="n">
        <v>0</v>
      </c>
      <c r="L616" t="n">
        <v>0</v>
      </c>
      <c r="M616" t="n">
        <v>0</v>
      </c>
      <c r="N616" t="n">
        <v>0</v>
      </c>
      <c r="O616" t="n">
        <v>0</v>
      </c>
      <c r="P616" t="n">
        <v>0</v>
      </c>
      <c r="Q616" t="n">
        <v>0</v>
      </c>
      <c r="R616" s="2" t="inlineStr"/>
    </row>
    <row r="617" ht="15" customHeight="1">
      <c r="A617" t="inlineStr">
        <is>
          <t>A 21420-2024</t>
        </is>
      </c>
      <c r="B617" s="1" t="n">
        <v>45441.38293981482</v>
      </c>
      <c r="C617" s="1" t="n">
        <v>46013</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23188-2025</t>
        </is>
      </c>
      <c r="B618" s="1" t="n">
        <v>45791</v>
      </c>
      <c r="C618" s="1" t="n">
        <v>46013</v>
      </c>
      <c r="D618" t="inlineStr">
        <is>
          <t>GOTLANDS LÄN</t>
        </is>
      </c>
      <c r="E618" t="inlineStr">
        <is>
          <t>GOTLAND</t>
        </is>
      </c>
      <c r="G618" t="n">
        <v>6.2</v>
      </c>
      <c r="H618" t="n">
        <v>0</v>
      </c>
      <c r="I618" t="n">
        <v>0</v>
      </c>
      <c r="J618" t="n">
        <v>0</v>
      </c>
      <c r="K618" t="n">
        <v>0</v>
      </c>
      <c r="L618" t="n">
        <v>0</v>
      </c>
      <c r="M618" t="n">
        <v>0</v>
      </c>
      <c r="N618" t="n">
        <v>0</v>
      </c>
      <c r="O618" t="n">
        <v>0</v>
      </c>
      <c r="P618" t="n">
        <v>0</v>
      </c>
      <c r="Q618" t="n">
        <v>0</v>
      </c>
      <c r="R618" s="2" t="inlineStr"/>
    </row>
    <row r="619" ht="15" customHeight="1">
      <c r="A619" t="inlineStr">
        <is>
          <t>A 23473-2025</t>
        </is>
      </c>
      <c r="B619" s="1" t="n">
        <v>45792</v>
      </c>
      <c r="C619" s="1" t="n">
        <v>46013</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c r="A620" t="inlineStr">
        <is>
          <t>A 23856-2025</t>
        </is>
      </c>
      <c r="B620" s="1" t="n">
        <v>45793</v>
      </c>
      <c r="C620" s="1" t="n">
        <v>46013</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2025-12-22T10:30:28Z</dcterms:created>
  <dcterms:modified xmlns:dcterms="http://purl.org/dc/terms/" xmlns:xsi="http://www.w3.org/2001/XMLSchema-instance" xsi:type="dcterms:W3CDTF">2025-12-22T10:30:29Z</dcterms:modified>
</cp:coreProperties>
</file>