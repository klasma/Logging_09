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45577</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45577</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45577</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45577</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45577</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45577</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45577</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45577</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45577</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45577</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45577</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45577</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45577</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45577</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45577</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45577</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45577</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45577</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45577</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45577</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45577</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45577</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45577</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45577</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45577</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45577</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45577</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45577</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45577</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45577</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45577</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45577</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45577</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45577</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45577</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45577</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45577</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45577</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45577</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45577</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45577</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45577</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45577</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45577</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45577</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45577</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45577</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45577</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45577</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45577</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45577</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45577</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45577</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45577</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45577</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45577</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45577</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45577</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45577</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45577</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45577</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45577</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45577</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45577</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45577</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45577</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45577</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45577</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45577</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45248-2024</t>
        </is>
      </c>
      <c r="B73" s="1" t="n">
        <v>45576</v>
      </c>
      <c r="C73" s="1" t="n">
        <v>45577</v>
      </c>
      <c r="D73" t="inlineStr">
        <is>
          <t>GOTLANDS LÄN</t>
        </is>
      </c>
      <c r="E73" t="inlineStr">
        <is>
          <t>GOTLAND</t>
        </is>
      </c>
      <c r="G73" t="n">
        <v>9.4</v>
      </c>
      <c r="H73" t="n">
        <v>0</v>
      </c>
      <c r="I73" t="n">
        <v>3</v>
      </c>
      <c r="J73" t="n">
        <v>1</v>
      </c>
      <c r="K73" t="n">
        <v>0</v>
      </c>
      <c r="L73" t="n">
        <v>1</v>
      </c>
      <c r="M73" t="n">
        <v>1</v>
      </c>
      <c r="N73" t="n">
        <v>0</v>
      </c>
      <c r="O73" t="n">
        <v>3</v>
      </c>
      <c r="P73" t="n">
        <v>2</v>
      </c>
      <c r="Q73" t="n">
        <v>6</v>
      </c>
      <c r="R73" s="2" t="inlineStr">
        <is>
          <t>Lundalm
Ask
Oxtungssvamp
Myskmadra
Stinkbrosking
Underviol</t>
        </is>
      </c>
      <c r="S73">
        <f>HYPERLINK("https://klasma.github.io/Logging_0980/artfynd/A 45248-2024 artfynd.xlsx", "A 45248-2024")</f>
        <v/>
      </c>
      <c r="T73">
        <f>HYPERLINK("https://klasma.github.io/Logging_0980/kartor/A 45248-2024 karta.png", "A 45248-2024")</f>
        <v/>
      </c>
      <c r="V73">
        <f>HYPERLINK("https://klasma.github.io/Logging_0980/klagomål/A 45248-2024 FSC-klagomål.docx", "A 45248-2024")</f>
        <v/>
      </c>
      <c r="W73">
        <f>HYPERLINK("https://klasma.github.io/Logging_0980/klagomålsmail/A 45248-2024 FSC-klagomål mail.docx", "A 45248-2024")</f>
        <v/>
      </c>
      <c r="X73">
        <f>HYPERLINK("https://klasma.github.io/Logging_0980/tillsyn/A 45248-2024 tillsynsbegäran.docx", "A 45248-2024")</f>
        <v/>
      </c>
      <c r="Y73">
        <f>HYPERLINK("https://klasma.github.io/Logging_0980/tillsynsmail/A 45248-2024 tillsynsbegäran mail.docx", "A 45248-2024")</f>
        <v/>
      </c>
    </row>
    <row r="74" ht="15" customHeight="1">
      <c r="A74" t="inlineStr">
        <is>
          <t>A 32960-2019</t>
        </is>
      </c>
      <c r="B74" s="1" t="n">
        <v>43648</v>
      </c>
      <c r="C74" s="1" t="n">
        <v>45577</v>
      </c>
      <c r="D74" t="inlineStr">
        <is>
          <t>GOTLANDS LÄN</t>
        </is>
      </c>
      <c r="E74" t="inlineStr">
        <is>
          <t>GOTLAND</t>
        </is>
      </c>
      <c r="G74" t="n">
        <v>10.9</v>
      </c>
      <c r="H74" t="n">
        <v>4</v>
      </c>
      <c r="I74" t="n">
        <v>3</v>
      </c>
      <c r="J74" t="n">
        <v>1</v>
      </c>
      <c r="K74" t="n">
        <v>0</v>
      </c>
      <c r="L74" t="n">
        <v>0</v>
      </c>
      <c r="M74" t="n">
        <v>0</v>
      </c>
      <c r="N74" t="n">
        <v>0</v>
      </c>
      <c r="O74" t="n">
        <v>1</v>
      </c>
      <c r="P74" t="n">
        <v>0</v>
      </c>
      <c r="Q74" t="n">
        <v>5</v>
      </c>
      <c r="R74" s="2" t="inlineStr">
        <is>
          <t>Grönsångare
Kalktallört
Nästrot
Vit skogslilja
Fläcknycklar</t>
        </is>
      </c>
      <c r="S74">
        <f>HYPERLINK("https://klasma.github.io/Logging_0980/artfynd/A 32960-2019 artfynd.xlsx", "A 32960-2019")</f>
        <v/>
      </c>
      <c r="T74">
        <f>HYPERLINK("https://klasma.github.io/Logging_0980/kartor/A 32960-2019 karta.png", "A 32960-2019")</f>
        <v/>
      </c>
      <c r="V74">
        <f>HYPERLINK("https://klasma.github.io/Logging_0980/klagomål/A 32960-2019 FSC-klagomål.docx", "A 32960-2019")</f>
        <v/>
      </c>
      <c r="W74">
        <f>HYPERLINK("https://klasma.github.io/Logging_0980/klagomålsmail/A 32960-2019 FSC-klagomål mail.docx", "A 32960-2019")</f>
        <v/>
      </c>
      <c r="X74">
        <f>HYPERLINK("https://klasma.github.io/Logging_0980/tillsyn/A 32960-2019 tillsynsbegäran.docx", "A 32960-2019")</f>
        <v/>
      </c>
      <c r="Y74">
        <f>HYPERLINK("https://klasma.github.io/Logging_0980/tillsynsmail/A 32960-2019 tillsynsbegäran mail.docx", "A 32960-2019")</f>
        <v/>
      </c>
      <c r="Z74">
        <f>HYPERLINK("https://klasma.github.io/Logging_0980/fåglar/A 32960-2019 prioriterade fågelarter.docx", "A 32960-2019")</f>
        <v/>
      </c>
    </row>
    <row r="75" ht="15" customHeight="1">
      <c r="A75" t="inlineStr">
        <is>
          <t>A 38183-2019</t>
        </is>
      </c>
      <c r="B75" s="1" t="n">
        <v>43684</v>
      </c>
      <c r="C75" s="1" t="n">
        <v>45577</v>
      </c>
      <c r="D75" t="inlineStr">
        <is>
          <t>GOTLANDS LÄN</t>
        </is>
      </c>
      <c r="E75" t="inlineStr">
        <is>
          <t>GOTLAND</t>
        </is>
      </c>
      <c r="G75" t="n">
        <v>2.1</v>
      </c>
      <c r="H75" t="n">
        <v>0</v>
      </c>
      <c r="I75" t="n">
        <v>2</v>
      </c>
      <c r="J75" t="n">
        <v>0</v>
      </c>
      <c r="K75" t="n">
        <v>3</v>
      </c>
      <c r="L75" t="n">
        <v>0</v>
      </c>
      <c r="M75" t="n">
        <v>0</v>
      </c>
      <c r="N75" t="n">
        <v>0</v>
      </c>
      <c r="O75" t="n">
        <v>3</v>
      </c>
      <c r="P75" t="n">
        <v>3</v>
      </c>
      <c r="Q75" t="n">
        <v>5</v>
      </c>
      <c r="R75" s="2" t="inlineStr">
        <is>
          <t>Bullspindling
Gulsträngad fagerspindling
Skogskorn
Anisspindling
Myskmadra</t>
        </is>
      </c>
      <c r="S75">
        <f>HYPERLINK("https://klasma.github.io/Logging_0980/artfynd/A 38183-2019 artfynd.xlsx", "A 38183-2019")</f>
        <v/>
      </c>
      <c r="T75">
        <f>HYPERLINK("https://klasma.github.io/Logging_0980/kartor/A 38183-2019 karta.png", "A 38183-2019")</f>
        <v/>
      </c>
      <c r="V75">
        <f>HYPERLINK("https://klasma.github.io/Logging_0980/klagomål/A 38183-2019 FSC-klagomål.docx", "A 38183-2019")</f>
        <v/>
      </c>
      <c r="W75">
        <f>HYPERLINK("https://klasma.github.io/Logging_0980/klagomålsmail/A 38183-2019 FSC-klagomål mail.docx", "A 38183-2019")</f>
        <v/>
      </c>
      <c r="X75">
        <f>HYPERLINK("https://klasma.github.io/Logging_0980/tillsyn/A 38183-2019 tillsynsbegäran.docx", "A 38183-2019")</f>
        <v/>
      </c>
      <c r="Y75">
        <f>HYPERLINK("https://klasma.github.io/Logging_0980/tillsynsmail/A 38183-2019 tillsynsbegäran mail.docx", "A 38183-2019")</f>
        <v/>
      </c>
    </row>
    <row r="76" ht="15" customHeight="1">
      <c r="A76" t="inlineStr">
        <is>
          <t>A 62991-2019</t>
        </is>
      </c>
      <c r="B76" s="1" t="n">
        <v>43790</v>
      </c>
      <c r="C76" s="1" t="n">
        <v>45577</v>
      </c>
      <c r="D76" t="inlineStr">
        <is>
          <t>GOTLANDS LÄN</t>
        </is>
      </c>
      <c r="E76" t="inlineStr">
        <is>
          <t>GOTLAND</t>
        </is>
      </c>
      <c r="G76" t="n">
        <v>3.9</v>
      </c>
      <c r="H76" t="n">
        <v>0</v>
      </c>
      <c r="I76" t="n">
        <v>2</v>
      </c>
      <c r="J76" t="n">
        <v>3</v>
      </c>
      <c r="K76" t="n">
        <v>0</v>
      </c>
      <c r="L76" t="n">
        <v>0</v>
      </c>
      <c r="M76" t="n">
        <v>0</v>
      </c>
      <c r="N76" t="n">
        <v>0</v>
      </c>
      <c r="O76" t="n">
        <v>3</v>
      </c>
      <c r="P76" t="n">
        <v>0</v>
      </c>
      <c r="Q76" t="n">
        <v>5</v>
      </c>
      <c r="R76" s="2" t="inlineStr">
        <is>
          <t>Reliktbock
Smedbock
Tallticka
Blodticka
Mindre märgborre</t>
        </is>
      </c>
      <c r="S76">
        <f>HYPERLINK("https://klasma.github.io/Logging_0980/artfynd/A 62991-2019 artfynd.xlsx", "A 62991-2019")</f>
        <v/>
      </c>
      <c r="T76">
        <f>HYPERLINK("https://klasma.github.io/Logging_0980/kartor/A 62991-2019 karta.png", "A 62991-2019")</f>
        <v/>
      </c>
      <c r="V76">
        <f>HYPERLINK("https://klasma.github.io/Logging_0980/klagomål/A 62991-2019 FSC-klagomål.docx", "A 62991-2019")</f>
        <v/>
      </c>
      <c r="W76">
        <f>HYPERLINK("https://klasma.github.io/Logging_0980/klagomålsmail/A 62991-2019 FSC-klagomål mail.docx", "A 62991-2019")</f>
        <v/>
      </c>
      <c r="X76">
        <f>HYPERLINK("https://klasma.github.io/Logging_0980/tillsyn/A 62991-2019 tillsynsbegäran.docx", "A 62991-2019")</f>
        <v/>
      </c>
      <c r="Y76">
        <f>HYPERLINK("https://klasma.github.io/Logging_0980/tillsynsmail/A 62991-2019 tillsynsbegäran mail.docx", "A 62991-2019")</f>
        <v/>
      </c>
    </row>
    <row r="77" ht="15" customHeight="1">
      <c r="A77" t="inlineStr">
        <is>
          <t>A 7648-2020</t>
        </is>
      </c>
      <c r="B77" s="1" t="n">
        <v>43872</v>
      </c>
      <c r="C77" s="1" t="n">
        <v>45577</v>
      </c>
      <c r="D77" t="inlineStr">
        <is>
          <t>GOTLANDS LÄN</t>
        </is>
      </c>
      <c r="E77" t="inlineStr">
        <is>
          <t>GOTLAND</t>
        </is>
      </c>
      <c r="F77" t="inlineStr">
        <is>
          <t>Kyrkan</t>
        </is>
      </c>
      <c r="G77" t="n">
        <v>4.2</v>
      </c>
      <c r="H77" t="n">
        <v>0</v>
      </c>
      <c r="I77" t="n">
        <v>3</v>
      </c>
      <c r="J77" t="n">
        <v>1</v>
      </c>
      <c r="K77" t="n">
        <v>0</v>
      </c>
      <c r="L77" t="n">
        <v>1</v>
      </c>
      <c r="M77" t="n">
        <v>0</v>
      </c>
      <c r="N77" t="n">
        <v>0</v>
      </c>
      <c r="O77" t="n">
        <v>2</v>
      </c>
      <c r="P77" t="n">
        <v>1</v>
      </c>
      <c r="Q77" t="n">
        <v>5</v>
      </c>
      <c r="R77" s="2" t="inlineStr">
        <is>
          <t>Ädellav
Orangepudrad klotterlav
Kornig nållav
Rikfruktig blemlav
Slät lönnlav</t>
        </is>
      </c>
      <c r="S77">
        <f>HYPERLINK("https://klasma.github.io/Logging_0980/artfynd/A 7648-2020 artfynd.xlsx", "A 7648-2020")</f>
        <v/>
      </c>
      <c r="T77">
        <f>HYPERLINK("https://klasma.github.io/Logging_0980/kartor/A 7648-2020 karta.png", "A 7648-2020")</f>
        <v/>
      </c>
      <c r="V77">
        <f>HYPERLINK("https://klasma.github.io/Logging_0980/klagomål/A 7648-2020 FSC-klagomål.docx", "A 7648-2020")</f>
        <v/>
      </c>
      <c r="W77">
        <f>HYPERLINK("https://klasma.github.io/Logging_0980/klagomålsmail/A 7648-2020 FSC-klagomål mail.docx", "A 7648-2020")</f>
        <v/>
      </c>
      <c r="X77">
        <f>HYPERLINK("https://klasma.github.io/Logging_0980/tillsyn/A 7648-2020 tillsynsbegäran.docx", "A 7648-2020")</f>
        <v/>
      </c>
      <c r="Y77">
        <f>HYPERLINK("https://klasma.github.io/Logging_0980/tillsynsmail/A 7648-2020 tillsynsbegäran mail.docx", "A 7648-2020")</f>
        <v/>
      </c>
    </row>
    <row r="78" ht="15" customHeight="1">
      <c r="A78" t="inlineStr">
        <is>
          <t>A 22317-2022</t>
        </is>
      </c>
      <c r="B78" s="1" t="n">
        <v>44712</v>
      </c>
      <c r="C78" s="1" t="n">
        <v>45577</v>
      </c>
      <c r="D78" t="inlineStr">
        <is>
          <t>GOTLANDS LÄN</t>
        </is>
      </c>
      <c r="E78" t="inlineStr">
        <is>
          <t>GOTLAND</t>
        </is>
      </c>
      <c r="G78" t="n">
        <v>2</v>
      </c>
      <c r="H78" t="n">
        <v>0</v>
      </c>
      <c r="I78" t="n">
        <v>4</v>
      </c>
      <c r="J78" t="n">
        <v>1</v>
      </c>
      <c r="K78" t="n">
        <v>0</v>
      </c>
      <c r="L78" t="n">
        <v>0</v>
      </c>
      <c r="M78" t="n">
        <v>0</v>
      </c>
      <c r="N78" t="n">
        <v>0</v>
      </c>
      <c r="O78" t="n">
        <v>1</v>
      </c>
      <c r="P78" t="n">
        <v>0</v>
      </c>
      <c r="Q78" t="n">
        <v>5</v>
      </c>
      <c r="R78" s="2" t="inlineStr">
        <is>
          <t>Odörspindling
Anisspindling
Blå slemspindling
Kattfotslav
Svavelriska</t>
        </is>
      </c>
      <c r="S78">
        <f>HYPERLINK("https://klasma.github.io/Logging_0980/artfynd/A 22317-2022 artfynd.xlsx", "A 22317-2022")</f>
        <v/>
      </c>
      <c r="T78">
        <f>HYPERLINK("https://klasma.github.io/Logging_0980/kartor/A 22317-2022 karta.png", "A 22317-2022")</f>
        <v/>
      </c>
      <c r="V78">
        <f>HYPERLINK("https://klasma.github.io/Logging_0980/klagomål/A 22317-2022 FSC-klagomål.docx", "A 22317-2022")</f>
        <v/>
      </c>
      <c r="W78">
        <f>HYPERLINK("https://klasma.github.io/Logging_0980/klagomålsmail/A 22317-2022 FSC-klagomål mail.docx", "A 22317-2022")</f>
        <v/>
      </c>
      <c r="X78">
        <f>HYPERLINK("https://klasma.github.io/Logging_0980/tillsyn/A 22317-2022 tillsynsbegäran.docx", "A 22317-2022")</f>
        <v/>
      </c>
      <c r="Y78">
        <f>HYPERLINK("https://klasma.github.io/Logging_0980/tillsynsmail/A 22317-2022 tillsynsbegäran mail.docx", "A 22317-2022")</f>
        <v/>
      </c>
    </row>
    <row r="79" ht="15" customHeight="1">
      <c r="A79" t="inlineStr">
        <is>
          <t>A 39471-2022</t>
        </is>
      </c>
      <c r="B79" s="1" t="n">
        <v>44818</v>
      </c>
      <c r="C79" s="1" t="n">
        <v>45577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Anisspindling
Blå slemspindling
Svavelriska</t>
        </is>
      </c>
      <c r="S79">
        <f>HYPERLINK("https://klasma.github.io/Logging_0980/artfynd/A 39471-2022 artfynd.xlsx", "A 39471-2022")</f>
        <v/>
      </c>
      <c r="T79">
        <f>HYPERLINK("https://klasma.github.io/Logging_0980/kartor/A 39471-2022 karta.png", "A 39471-2022")</f>
        <v/>
      </c>
      <c r="V79">
        <f>HYPERLINK("https://klasma.github.io/Logging_0980/klagomål/A 39471-2022 FSC-klagomål.docx", "A 39471-2022")</f>
        <v/>
      </c>
      <c r="W79">
        <f>HYPERLINK("https://klasma.github.io/Logging_0980/klagomålsmail/A 39471-2022 FSC-klagomål mail.docx", "A 39471-2022")</f>
        <v/>
      </c>
      <c r="X79">
        <f>HYPERLINK("https://klasma.github.io/Logging_0980/tillsyn/A 39471-2022 tillsynsbegäran.docx", "A 39471-2022")</f>
        <v/>
      </c>
      <c r="Y79">
        <f>HYPERLINK("https://klasma.github.io/Logging_0980/tillsynsmail/A 39471-2022 tillsynsbegäran mail.docx", "A 39471-2022")</f>
        <v/>
      </c>
    </row>
    <row r="80" ht="15" customHeight="1">
      <c r="A80" t="inlineStr">
        <is>
          <t>A 43074-2022</t>
        </is>
      </c>
      <c r="B80" s="1" t="n">
        <v>44833</v>
      </c>
      <c r="C80" s="1" t="n">
        <v>45577</v>
      </c>
      <c r="D80" t="inlineStr">
        <is>
          <t>GOTLANDS LÄN</t>
        </is>
      </c>
      <c r="E80" t="inlineStr">
        <is>
          <t>GOTLAND</t>
        </is>
      </c>
      <c r="G80" t="n">
        <v>10.6</v>
      </c>
      <c r="H80" t="n">
        <v>3</v>
      </c>
      <c r="I80" t="n">
        <v>1</v>
      </c>
      <c r="J80" t="n">
        <v>3</v>
      </c>
      <c r="K80" t="n">
        <v>1</v>
      </c>
      <c r="L80" t="n">
        <v>0</v>
      </c>
      <c r="M80" t="n">
        <v>0</v>
      </c>
      <c r="N80" t="n">
        <v>0</v>
      </c>
      <c r="O80" t="n">
        <v>4</v>
      </c>
      <c r="P80" t="n">
        <v>1</v>
      </c>
      <c r="Q80" t="n">
        <v>5</v>
      </c>
      <c r="R80" s="2" t="inlineStr">
        <is>
          <t>Väddnätfjäril
Gulsparv
Rödvingetrast
Skugglosta
Strävlosta</t>
        </is>
      </c>
      <c r="S80">
        <f>HYPERLINK("https://klasma.github.io/Logging_0980/artfynd/A 43074-2022 artfynd.xlsx", "A 43074-2022")</f>
        <v/>
      </c>
      <c r="T80">
        <f>HYPERLINK("https://klasma.github.io/Logging_0980/kartor/A 43074-2022 karta.png", "A 43074-2022")</f>
        <v/>
      </c>
      <c r="V80">
        <f>HYPERLINK("https://klasma.github.io/Logging_0980/klagomål/A 43074-2022 FSC-klagomål.docx", "A 43074-2022")</f>
        <v/>
      </c>
      <c r="W80">
        <f>HYPERLINK("https://klasma.github.io/Logging_0980/klagomålsmail/A 43074-2022 FSC-klagomål mail.docx", "A 43074-2022")</f>
        <v/>
      </c>
      <c r="X80">
        <f>HYPERLINK("https://klasma.github.io/Logging_0980/tillsyn/A 43074-2022 tillsynsbegäran.docx", "A 43074-2022")</f>
        <v/>
      </c>
      <c r="Y80">
        <f>HYPERLINK("https://klasma.github.io/Logging_0980/tillsynsmail/A 43074-2022 tillsynsbegäran mail.docx", "A 43074-2022")</f>
        <v/>
      </c>
      <c r="Z80">
        <f>HYPERLINK("https://klasma.github.io/Logging_0980/fåglar/A 43074-2022 prioriterade fågelarter.docx", "A 43074-2022")</f>
        <v/>
      </c>
    </row>
    <row r="81" ht="15" customHeight="1">
      <c r="A81" t="inlineStr">
        <is>
          <t>A 44944-2022</t>
        </is>
      </c>
      <c r="B81" s="1" t="n">
        <v>44841</v>
      </c>
      <c r="C81" s="1" t="n">
        <v>45577</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Gulfotad 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54055-2022</t>
        </is>
      </c>
      <c r="B82" s="1" t="n">
        <v>44881</v>
      </c>
      <c r="C82" s="1" t="n">
        <v>45577</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39425-2023</t>
        </is>
      </c>
      <c r="B83" s="1" t="n">
        <v>45166</v>
      </c>
      <c r="C83" s="1" t="n">
        <v>45577</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48749-2023</t>
        </is>
      </c>
      <c r="B84" s="1" t="n">
        <v>45208</v>
      </c>
      <c r="C84" s="1" t="n">
        <v>45577</v>
      </c>
      <c r="D84" t="inlineStr">
        <is>
          <t>GOTLANDS LÄN</t>
        </is>
      </c>
      <c r="E84" t="inlineStr">
        <is>
          <t>GOTLAND</t>
        </is>
      </c>
      <c r="G84" t="n">
        <v>6.8</v>
      </c>
      <c r="H84" t="n">
        <v>2</v>
      </c>
      <c r="I84" t="n">
        <v>2</v>
      </c>
      <c r="J84" t="n">
        <v>2</v>
      </c>
      <c r="K84" t="n">
        <v>1</v>
      </c>
      <c r="L84" t="n">
        <v>0</v>
      </c>
      <c r="M84" t="n">
        <v>0</v>
      </c>
      <c r="N84" t="n">
        <v>0</v>
      </c>
      <c r="O84" t="n">
        <v>3</v>
      </c>
      <c r="P84" t="n">
        <v>1</v>
      </c>
      <c r="Q84" t="n">
        <v>5</v>
      </c>
      <c r="R84" s="2" t="inlineStr">
        <is>
          <t>Garderönn
Axveronika
Backtimjan
Murgröna
Skogsknipprot</t>
        </is>
      </c>
      <c r="S84">
        <f>HYPERLINK("https://klasma.github.io/Logging_0980/artfynd/A 48749-2023 artfynd.xlsx", "A 48749-2023")</f>
        <v/>
      </c>
      <c r="T84">
        <f>HYPERLINK("https://klasma.github.io/Logging_0980/kartor/A 48749-2023 karta.png", "A 48749-2023")</f>
        <v/>
      </c>
      <c r="V84">
        <f>HYPERLINK("https://klasma.github.io/Logging_0980/klagomål/A 48749-2023 FSC-klagomål.docx", "A 48749-2023")</f>
        <v/>
      </c>
      <c r="W84">
        <f>HYPERLINK("https://klasma.github.io/Logging_0980/klagomålsmail/A 48749-2023 FSC-klagomål mail.docx", "A 48749-2023")</f>
        <v/>
      </c>
      <c r="X84">
        <f>HYPERLINK("https://klasma.github.io/Logging_0980/tillsyn/A 48749-2023 tillsynsbegäran.docx", "A 48749-2023")</f>
        <v/>
      </c>
      <c r="Y84">
        <f>HYPERLINK("https://klasma.github.io/Logging_0980/tillsynsmail/A 48749-2023 tillsynsbegäran mail.docx", "A 48749-2023")</f>
        <v/>
      </c>
    </row>
    <row r="85" ht="15" customHeight="1">
      <c r="A85" t="inlineStr">
        <is>
          <t>A 32300-2024</t>
        </is>
      </c>
      <c r="B85" s="1" t="n">
        <v>45512</v>
      </c>
      <c r="C85" s="1" t="n">
        <v>45577</v>
      </c>
      <c r="D85" t="inlineStr">
        <is>
          <t>GOTLANDS LÄN</t>
        </is>
      </c>
      <c r="E85" t="inlineStr">
        <is>
          <t>GOTLAND</t>
        </is>
      </c>
      <c r="G85" t="n">
        <v>5.3</v>
      </c>
      <c r="H85" t="n">
        <v>3</v>
      </c>
      <c r="I85" t="n">
        <v>4</v>
      </c>
      <c r="J85" t="n">
        <v>0</v>
      </c>
      <c r="K85" t="n">
        <v>1</v>
      </c>
      <c r="L85" t="n">
        <v>0</v>
      </c>
      <c r="M85" t="n">
        <v>0</v>
      </c>
      <c r="N85" t="n">
        <v>0</v>
      </c>
      <c r="O85" t="n">
        <v>1</v>
      </c>
      <c r="P85" t="n">
        <v>1</v>
      </c>
      <c r="Q85" t="n">
        <v>5</v>
      </c>
      <c r="R85" s="2" t="inlineStr">
        <is>
          <t>Vit taggsvamp
Blå slemspindling
Flugblomster
Purpurknipprot
Tvåblad</t>
        </is>
      </c>
      <c r="S85">
        <f>HYPERLINK("https://klasma.github.io/Logging_0980/artfynd/A 32300-2024 artfynd.xlsx", "A 32300-2024")</f>
        <v/>
      </c>
      <c r="T85">
        <f>HYPERLINK("https://klasma.github.io/Logging_0980/kartor/A 32300-2024 karta.png", "A 32300-2024")</f>
        <v/>
      </c>
      <c r="V85">
        <f>HYPERLINK("https://klasma.github.io/Logging_0980/klagomål/A 32300-2024 FSC-klagomål.docx", "A 32300-2024")</f>
        <v/>
      </c>
      <c r="W85">
        <f>HYPERLINK("https://klasma.github.io/Logging_0980/klagomålsmail/A 32300-2024 FSC-klagomål mail.docx", "A 32300-2024")</f>
        <v/>
      </c>
      <c r="X85">
        <f>HYPERLINK("https://klasma.github.io/Logging_0980/tillsyn/A 32300-2024 tillsynsbegäran.docx", "A 32300-2024")</f>
        <v/>
      </c>
      <c r="Y85">
        <f>HYPERLINK("https://klasma.github.io/Logging_0980/tillsynsmail/A 32300-2024 tillsynsbegäran mail.docx", "A 32300-2024")</f>
        <v/>
      </c>
    </row>
    <row r="86" ht="15" customHeight="1">
      <c r="A86" t="inlineStr">
        <is>
          <t>A 34584-2024</t>
        </is>
      </c>
      <c r="B86" s="1" t="n">
        <v>45526</v>
      </c>
      <c r="C86" s="1" t="n">
        <v>45577</v>
      </c>
      <c r="D86" t="inlineStr">
        <is>
          <t>GOTLANDS LÄN</t>
        </is>
      </c>
      <c r="E86" t="inlineStr">
        <is>
          <t>GOTLAND</t>
        </is>
      </c>
      <c r="G86" t="n">
        <v>3.4</v>
      </c>
      <c r="H86" t="n">
        <v>3</v>
      </c>
      <c r="I86" t="n">
        <v>1</v>
      </c>
      <c r="J86" t="n">
        <v>3</v>
      </c>
      <c r="K86" t="n">
        <v>1</v>
      </c>
      <c r="L86" t="n">
        <v>0</v>
      </c>
      <c r="M86" t="n">
        <v>0</v>
      </c>
      <c r="N86" t="n">
        <v>0</v>
      </c>
      <c r="O86" t="n">
        <v>4</v>
      </c>
      <c r="P86" t="n">
        <v>1</v>
      </c>
      <c r="Q86" t="n">
        <v>5</v>
      </c>
      <c r="R86" s="2" t="inlineStr">
        <is>
          <t>Garderönn
Dårgräsfjäril
Spillkråka
Svinrot
Blåmossa</t>
        </is>
      </c>
      <c r="S86">
        <f>HYPERLINK("https://klasma.github.io/Logging_0980/artfynd/A 34584-2024 artfynd.xlsx", "A 34584-2024")</f>
        <v/>
      </c>
      <c r="T86">
        <f>HYPERLINK("https://klasma.github.io/Logging_0980/kartor/A 34584-2024 karta.png", "A 34584-2024")</f>
        <v/>
      </c>
      <c r="V86">
        <f>HYPERLINK("https://klasma.github.io/Logging_0980/klagomål/A 34584-2024 FSC-klagomål.docx", "A 34584-2024")</f>
        <v/>
      </c>
      <c r="W86">
        <f>HYPERLINK("https://klasma.github.io/Logging_0980/klagomålsmail/A 34584-2024 FSC-klagomål mail.docx", "A 34584-2024")</f>
        <v/>
      </c>
      <c r="X86">
        <f>HYPERLINK("https://klasma.github.io/Logging_0980/tillsyn/A 34584-2024 tillsynsbegäran.docx", "A 34584-2024")</f>
        <v/>
      </c>
      <c r="Y86">
        <f>HYPERLINK("https://klasma.github.io/Logging_0980/tillsynsmail/A 34584-2024 tillsynsbegäran mail.docx", "A 34584-2024")</f>
        <v/>
      </c>
      <c r="Z86">
        <f>HYPERLINK("https://klasma.github.io/Logging_0980/fåglar/A 34584-2024 prioriterade fågelarter.docx", "A 34584-2024")</f>
        <v/>
      </c>
    </row>
    <row r="87" ht="15" customHeight="1">
      <c r="A87" t="inlineStr">
        <is>
          <t>A 42936-2024</t>
        </is>
      </c>
      <c r="B87" s="1" t="n">
        <v>45567</v>
      </c>
      <c r="C87" s="1" t="n">
        <v>45577</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21537-2019</t>
        </is>
      </c>
      <c r="B88" s="1" t="n">
        <v>43580</v>
      </c>
      <c r="C88" s="1" t="n">
        <v>45577</v>
      </c>
      <c r="D88" t="inlineStr">
        <is>
          <t>GOTLANDS LÄN</t>
        </is>
      </c>
      <c r="E88" t="inlineStr">
        <is>
          <t>GOTLAND</t>
        </is>
      </c>
      <c r="G88" t="n">
        <v>5.3</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21537-2019 artfynd.xlsx", "A 21537-2019")</f>
        <v/>
      </c>
      <c r="T88">
        <f>HYPERLINK("https://klasma.github.io/Logging_0980/kartor/A 21537-2019 karta.png", "A 21537-2019")</f>
        <v/>
      </c>
      <c r="V88">
        <f>HYPERLINK("https://klasma.github.io/Logging_0980/klagomål/A 21537-2019 FSC-klagomål.docx", "A 21537-2019")</f>
        <v/>
      </c>
      <c r="W88">
        <f>HYPERLINK("https://klasma.github.io/Logging_0980/klagomålsmail/A 21537-2019 FSC-klagomål mail.docx", "A 21537-2019")</f>
        <v/>
      </c>
      <c r="X88">
        <f>HYPERLINK("https://klasma.github.io/Logging_0980/tillsyn/A 21537-2019 tillsynsbegäran.docx", "A 21537-2019")</f>
        <v/>
      </c>
      <c r="Y88">
        <f>HYPERLINK("https://klasma.github.io/Logging_0980/tillsynsmail/A 21537-2019 tillsynsbegäran mail.docx", "A 21537-2019")</f>
        <v/>
      </c>
    </row>
    <row r="89" ht="15" customHeight="1">
      <c r="A89" t="inlineStr">
        <is>
          <t>A 39839-2019</t>
        </is>
      </c>
      <c r="B89" s="1" t="n">
        <v>43689</v>
      </c>
      <c r="C89" s="1" t="n">
        <v>45577</v>
      </c>
      <c r="D89" t="inlineStr">
        <is>
          <t>GOTLANDS LÄN</t>
        </is>
      </c>
      <c r="E89" t="inlineStr">
        <is>
          <t>GOTLAND</t>
        </is>
      </c>
      <c r="G89" t="n">
        <v>18.9</v>
      </c>
      <c r="H89" t="n">
        <v>1</v>
      </c>
      <c r="I89" t="n">
        <v>1</v>
      </c>
      <c r="J89" t="n">
        <v>3</v>
      </c>
      <c r="K89" t="n">
        <v>0</v>
      </c>
      <c r="L89" t="n">
        <v>0</v>
      </c>
      <c r="M89" t="n">
        <v>0</v>
      </c>
      <c r="N89" t="n">
        <v>0</v>
      </c>
      <c r="O89" t="n">
        <v>3</v>
      </c>
      <c r="P89" t="n">
        <v>0</v>
      </c>
      <c r="Q89" t="n">
        <v>4</v>
      </c>
      <c r="R89" s="2" t="inlineStr">
        <is>
          <t>Apollofjäril
Hårig blombock
Sexfläckig bastardsvärmare
Åttafläckig praktbagge</t>
        </is>
      </c>
      <c r="S89">
        <f>HYPERLINK("https://klasma.github.io/Logging_0980/artfynd/A 39839-2019 artfynd.xlsx", "A 39839-2019")</f>
        <v/>
      </c>
      <c r="T89">
        <f>HYPERLINK("https://klasma.github.io/Logging_0980/kartor/A 39839-2019 karta.png", "A 39839-2019")</f>
        <v/>
      </c>
      <c r="V89">
        <f>HYPERLINK("https://klasma.github.io/Logging_0980/klagomål/A 39839-2019 FSC-klagomål.docx", "A 39839-2019")</f>
        <v/>
      </c>
      <c r="W89">
        <f>HYPERLINK("https://klasma.github.io/Logging_0980/klagomålsmail/A 39839-2019 FSC-klagomål mail.docx", "A 39839-2019")</f>
        <v/>
      </c>
      <c r="X89">
        <f>HYPERLINK("https://klasma.github.io/Logging_0980/tillsyn/A 39839-2019 tillsynsbegäran.docx", "A 39839-2019")</f>
        <v/>
      </c>
      <c r="Y89">
        <f>HYPERLINK("https://klasma.github.io/Logging_0980/tillsynsmail/A 39839-2019 tillsynsbegäran mail.docx", "A 39839-2019")</f>
        <v/>
      </c>
    </row>
    <row r="90" ht="15" customHeight="1">
      <c r="A90" t="inlineStr">
        <is>
          <t>A 64378-2020</t>
        </is>
      </c>
      <c r="B90" s="1" t="n">
        <v>44168</v>
      </c>
      <c r="C90" s="1" t="n">
        <v>45577</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2223-2021</t>
        </is>
      </c>
      <c r="B91" s="1" t="n">
        <v>44211</v>
      </c>
      <c r="C91" s="1" t="n">
        <v>45577</v>
      </c>
      <c r="D91" t="inlineStr">
        <is>
          <t>GOTLANDS LÄN</t>
        </is>
      </c>
      <c r="E91" t="inlineStr">
        <is>
          <t>GOTLAND</t>
        </is>
      </c>
      <c r="G91" t="n">
        <v>2.2</v>
      </c>
      <c r="H91" t="n">
        <v>2</v>
      </c>
      <c r="I91" t="n">
        <v>4</v>
      </c>
      <c r="J91" t="n">
        <v>0</v>
      </c>
      <c r="K91" t="n">
        <v>0</v>
      </c>
      <c r="L91" t="n">
        <v>0</v>
      </c>
      <c r="M91" t="n">
        <v>0</v>
      </c>
      <c r="N91" t="n">
        <v>0</v>
      </c>
      <c r="O91" t="n">
        <v>0</v>
      </c>
      <c r="P91" t="n">
        <v>0</v>
      </c>
      <c r="Q91" t="n">
        <v>4</v>
      </c>
      <c r="R91" s="2" t="inlineStr">
        <is>
          <t>Blåmossa
Granbarkgnagare
Nästrot
Tvåblad</t>
        </is>
      </c>
      <c r="S91">
        <f>HYPERLINK("https://klasma.github.io/Logging_0980/artfynd/A 2223-2021 artfynd.xlsx", "A 2223-2021")</f>
        <v/>
      </c>
      <c r="T91">
        <f>HYPERLINK("https://klasma.github.io/Logging_0980/kartor/A 2223-2021 karta.png", "A 2223-2021")</f>
        <v/>
      </c>
      <c r="V91">
        <f>HYPERLINK("https://klasma.github.io/Logging_0980/klagomål/A 2223-2021 FSC-klagomål.docx", "A 2223-2021")</f>
        <v/>
      </c>
      <c r="W91">
        <f>HYPERLINK("https://klasma.github.io/Logging_0980/klagomålsmail/A 2223-2021 FSC-klagomål mail.docx", "A 2223-2021")</f>
        <v/>
      </c>
      <c r="X91">
        <f>HYPERLINK("https://klasma.github.io/Logging_0980/tillsyn/A 2223-2021 tillsynsbegäran.docx", "A 2223-2021")</f>
        <v/>
      </c>
      <c r="Y91">
        <f>HYPERLINK("https://klasma.github.io/Logging_0980/tillsynsmail/A 2223-2021 tillsynsbegäran mail.docx", "A 2223-2021")</f>
        <v/>
      </c>
    </row>
    <row r="92" ht="15" customHeight="1">
      <c r="A92" t="inlineStr">
        <is>
          <t>A 29331-2021</t>
        </is>
      </c>
      <c r="B92" s="1" t="n">
        <v>44361</v>
      </c>
      <c r="C92" s="1" t="n">
        <v>45577</v>
      </c>
      <c r="D92" t="inlineStr">
        <is>
          <t>GOTLANDS LÄN</t>
        </is>
      </c>
      <c r="E92" t="inlineStr">
        <is>
          <t>GOTLAND</t>
        </is>
      </c>
      <c r="G92" t="n">
        <v>3.7</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29331-2021 artfynd.xlsx", "A 29331-2021")</f>
        <v/>
      </c>
      <c r="T92">
        <f>HYPERLINK("https://klasma.github.io/Logging_0980/kartor/A 29331-2021 karta.png", "A 29331-2021")</f>
        <v/>
      </c>
      <c r="V92">
        <f>HYPERLINK("https://klasma.github.io/Logging_0980/klagomål/A 29331-2021 FSC-klagomål.docx", "A 29331-2021")</f>
        <v/>
      </c>
      <c r="W92">
        <f>HYPERLINK("https://klasma.github.io/Logging_0980/klagomålsmail/A 29331-2021 FSC-klagomål mail.docx", "A 29331-2021")</f>
        <v/>
      </c>
      <c r="X92">
        <f>HYPERLINK("https://klasma.github.io/Logging_0980/tillsyn/A 29331-2021 tillsynsbegäran.docx", "A 29331-2021")</f>
        <v/>
      </c>
      <c r="Y92">
        <f>HYPERLINK("https://klasma.github.io/Logging_0980/tillsynsmail/A 29331-2021 tillsynsbegäran mail.docx", "A 29331-2021")</f>
        <v/>
      </c>
    </row>
    <row r="93" ht="15" customHeight="1">
      <c r="A93" t="inlineStr">
        <is>
          <t>A 44933-2022</t>
        </is>
      </c>
      <c r="B93" s="1" t="n">
        <v>44841</v>
      </c>
      <c r="C93" s="1" t="n">
        <v>45577</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47526-2022</t>
        </is>
      </c>
      <c r="B94" s="1" t="n">
        <v>44853</v>
      </c>
      <c r="C94" s="1" t="n">
        <v>45577</v>
      </c>
      <c r="D94" t="inlineStr">
        <is>
          <t>GOTLANDS LÄN</t>
        </is>
      </c>
      <c r="E94" t="inlineStr">
        <is>
          <t>GOTLAND</t>
        </is>
      </c>
      <c r="G94" t="n">
        <v>9.800000000000001</v>
      </c>
      <c r="H94" t="n">
        <v>3</v>
      </c>
      <c r="I94" t="n">
        <v>0</v>
      </c>
      <c r="J94" t="n">
        <v>2</v>
      </c>
      <c r="K94" t="n">
        <v>0</v>
      </c>
      <c r="L94" t="n">
        <v>0</v>
      </c>
      <c r="M94" t="n">
        <v>0</v>
      </c>
      <c r="N94" t="n">
        <v>0</v>
      </c>
      <c r="O94" t="n">
        <v>2</v>
      </c>
      <c r="P94" t="n">
        <v>0</v>
      </c>
      <c r="Q94" t="n">
        <v>4</v>
      </c>
      <c r="R94" s="2" t="inlineStr">
        <is>
          <t>Dårgräsfjäril
Svinrot
Sankt pers nycklar
Blåsippa</t>
        </is>
      </c>
      <c r="S94">
        <f>HYPERLINK("https://klasma.github.io/Logging_0980/artfynd/A 47526-2022 artfynd.xlsx", "A 47526-2022")</f>
        <v/>
      </c>
      <c r="T94">
        <f>HYPERLINK("https://klasma.github.io/Logging_0980/kartor/A 47526-2022 karta.png", "A 47526-2022")</f>
        <v/>
      </c>
      <c r="V94">
        <f>HYPERLINK("https://klasma.github.io/Logging_0980/klagomål/A 47526-2022 FSC-klagomål.docx", "A 47526-2022")</f>
        <v/>
      </c>
      <c r="W94">
        <f>HYPERLINK("https://klasma.github.io/Logging_0980/klagomålsmail/A 47526-2022 FSC-klagomål mail.docx", "A 47526-2022")</f>
        <v/>
      </c>
      <c r="X94">
        <f>HYPERLINK("https://klasma.github.io/Logging_0980/tillsyn/A 47526-2022 tillsynsbegäran.docx", "A 47526-2022")</f>
        <v/>
      </c>
      <c r="Y94">
        <f>HYPERLINK("https://klasma.github.io/Logging_0980/tillsynsmail/A 47526-2022 tillsynsbegäran mail.docx", "A 47526-2022")</f>
        <v/>
      </c>
    </row>
    <row r="95" ht="15" customHeight="1">
      <c r="A95" t="inlineStr">
        <is>
          <t>A 186-2023</t>
        </is>
      </c>
      <c r="B95" s="1" t="n">
        <v>44928</v>
      </c>
      <c r="C95" s="1" t="n">
        <v>45577</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445-2023</t>
        </is>
      </c>
      <c r="B96" s="1" t="n">
        <v>44929</v>
      </c>
      <c r="C96" s="1" t="n">
        <v>45577</v>
      </c>
      <c r="D96" t="inlineStr">
        <is>
          <t>GOTLANDS LÄN</t>
        </is>
      </c>
      <c r="E96" t="inlineStr">
        <is>
          <t>GOTLAND</t>
        </is>
      </c>
      <c r="G96" t="n">
        <v>4.9</v>
      </c>
      <c r="H96" t="n">
        <v>0</v>
      </c>
      <c r="I96" t="n">
        <v>1</v>
      </c>
      <c r="J96" t="n">
        <v>1</v>
      </c>
      <c r="K96" t="n">
        <v>2</v>
      </c>
      <c r="L96" t="n">
        <v>0</v>
      </c>
      <c r="M96" t="n">
        <v>0</v>
      </c>
      <c r="N96" t="n">
        <v>0</v>
      </c>
      <c r="O96" t="n">
        <v>3</v>
      </c>
      <c r="P96" t="n">
        <v>2</v>
      </c>
      <c r="Q96" t="n">
        <v>4</v>
      </c>
      <c r="R96" s="2" t="inlineStr">
        <is>
          <t>Granrotspindling
Taggfingersvamp
Jordtistel
Rödgul trumpetsvamp</t>
        </is>
      </c>
      <c r="S96">
        <f>HYPERLINK("https://klasma.github.io/Logging_0980/artfynd/A 445-2023 artfynd.xlsx", "A 445-2023")</f>
        <v/>
      </c>
      <c r="T96">
        <f>HYPERLINK("https://klasma.github.io/Logging_0980/kartor/A 445-2023 karta.png", "A 445-2023")</f>
        <v/>
      </c>
      <c r="V96">
        <f>HYPERLINK("https://klasma.github.io/Logging_0980/klagomål/A 445-2023 FSC-klagomål.docx", "A 445-2023")</f>
        <v/>
      </c>
      <c r="W96">
        <f>HYPERLINK("https://klasma.github.io/Logging_0980/klagomålsmail/A 445-2023 FSC-klagomål mail.docx", "A 445-2023")</f>
        <v/>
      </c>
      <c r="X96">
        <f>HYPERLINK("https://klasma.github.io/Logging_0980/tillsyn/A 445-2023 tillsynsbegäran.docx", "A 445-2023")</f>
        <v/>
      </c>
      <c r="Y96">
        <f>HYPERLINK("https://klasma.github.io/Logging_0980/tillsynsmail/A 445-2023 tillsynsbegäran mail.docx", "A 445-2023")</f>
        <v/>
      </c>
    </row>
    <row r="97" ht="15" customHeight="1">
      <c r="A97" t="inlineStr">
        <is>
          <t>A 584-2023</t>
        </is>
      </c>
      <c r="B97" s="1" t="n">
        <v>44930</v>
      </c>
      <c r="C97" s="1" t="n">
        <v>45577</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45577</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45577</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45577</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45577</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45577</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45577</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45577</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45577</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45577</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45577</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45577</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45577</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45577</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45577</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45577</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45577</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45577</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45577</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45577</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45577</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45577</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45577</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45577</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45577</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45577</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45577</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45577</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45577</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45577</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45577</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45577</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45577</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45577</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45577</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45577</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45577</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45577</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45577</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45577</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45577</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45577</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45577</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45577</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45577</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45577</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45577</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45577</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45577</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45577</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45577</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45577</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45577</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45577</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45577</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45577</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45577</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45577</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45577</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45577</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45577</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45577</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45577</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45577</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45577</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45577</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45577</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45577</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45577</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45577</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45577</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45577</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45577</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45577</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45577</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45577</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45577</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45577</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45577</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45577</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45577</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45577</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45577</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45577</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45577</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45577</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45577</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45577</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45577</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45577</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45577</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45577</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45577</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45577</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45577</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45577</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45577</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45577</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45577</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45577</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45577</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45577</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45577</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45577</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45577</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45577</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45577</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45577</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45577</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45577</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45577</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45577</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45577</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45577</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45577</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45577</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45577</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45577</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45577</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45577</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45577</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45577</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45577</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45577</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45577</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45577</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45577</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45577</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45577</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45577</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45577</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45577</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45577</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45577</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45577</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45577</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45577</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45577</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45577</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45577</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45577</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45577</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45577</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45577</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45577</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45577</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45577</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45577</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45577</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45577</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45577</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45577</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45577</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45577</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45577</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45577</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45577</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45577</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45577</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45577</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45577</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45577</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45577</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45577</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45577</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45577</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45577</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45577</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45577</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45577</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45577</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45577</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45577</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45577</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45577</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45577</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45577</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45577</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45577</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45577</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45577</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45577</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45577</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45577</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45577</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45577</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45577</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45577</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45577</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45577</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45577</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45577</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45577</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45577</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45577</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45577</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45577</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45577</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45577</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45577</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45577</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45577</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45577</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45577</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45577</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45577</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45577</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45577</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45577</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45577</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45577</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45577</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45577</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45577</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45577</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45577</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45577</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45577</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45577</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45577</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45577</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45577</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45577</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45577</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45577</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45577</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45577</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45577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45577</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45577</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45577</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45577</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45577</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45577</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45577</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45577</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45577</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45577</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45577</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45577</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45577</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45577</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45577</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45577</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45577</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45577</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45577</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45577</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45577</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45577</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45577</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45577</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45577</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45577</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45577</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45577</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45577</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45577</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45577</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45577</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45577</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45577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45577</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45577</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45577</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45577</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45577</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45577</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45577</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45577</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45577</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45577</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45577</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45577</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45577</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45577</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45577</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45577</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45577</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45577</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45577</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45577</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45577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45577</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45577</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45577</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45577</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45577</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45577</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45577</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45577</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45577</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45577</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45577</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45577</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45577</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45577</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45577</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45577</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45577</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45577</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45577</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45577</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45577</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45577</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45577</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45577</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45577</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45577</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45577</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45577</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45577</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45577</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45577</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45577</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45577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45577</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45577</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45577</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45577</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45577</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45577</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45577</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45577</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45577</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45577</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45577</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45577</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45577</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45577</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45577</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45577</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45577</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45577</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45577</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45577</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45577</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45577</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45577</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45577</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45577</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45577</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45577</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45577</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45577</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45577</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45577</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45577</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45577</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45577</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45577</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45577</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45577</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45577</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45577</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45577</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45577</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45577</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45577</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45577</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45577</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45577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45577</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45577</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45577</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45577</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45577</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45577</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45577</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45577</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45577</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45577</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45577</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45577</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45577</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45577</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45577</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45577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45577</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45577</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45577</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45577</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45577</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45577</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45577</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45577</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45577</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45577</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45577</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45577</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45577</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45577</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45577</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45577</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45577</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45577</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45577</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45577</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45577</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45577</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45577</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45577</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45577</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45577</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45577</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45577</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45577</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45577</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45577</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45577</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45577</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45577</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45577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45577</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45577</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45577</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45577</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45577</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45577</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45577</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45577</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45577</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45577</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45577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45577</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45577</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45577</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45577</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45577</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45577</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45577</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45577</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45577</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45577</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45577</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45577</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45577</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45577</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45577</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45577</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45577</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45577</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45577</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45577</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45577</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45577</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45577</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45577</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45577</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45577</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45577</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45577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45577</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45577</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45577</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45577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45577</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45577</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45577</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45577</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45577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45577</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45577</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45577</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45577</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45577</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45577</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45577</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45577</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45577</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45577</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45577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45577</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45577</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45577</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45577</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45577</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45577</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45577</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45577</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45577</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45577</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45577</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45577</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45577</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45577</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45577</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45577</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45577</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45577</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45577</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45577</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45577</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45577</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45577</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45577</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45577</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45577</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45577</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45577</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45577</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45577</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45577</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45577</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45577</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45577</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45577</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45577</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45577</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45577</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45577</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45577</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45577</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45577</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45577</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45577</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45577</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45577</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45577</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45577</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45577</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45577</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45577</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45577</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45577</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45577</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45577</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45577</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45577</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45577</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45577</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45577</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45577</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45577</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45577</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45577</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45577</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45577</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45577</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45577</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45577</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45577</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45577</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45577</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45577</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45577</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45577</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45577</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45577</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45577</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45577</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45577</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45577</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45577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45577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45577</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45577</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45577</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45577</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45577</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45577</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45577</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45577</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45577</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45577</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45577</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45577</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45577</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45577</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45577</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45577</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45577</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45577</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45577</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45577</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45577</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45577</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45577</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45577</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45577</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45577</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45577</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45577</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45577</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45577</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45577</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45577</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45577</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45577</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45577</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45577</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45577</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45577</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45577</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45577</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45577</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45577</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45577</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45577</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45577</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45577</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45577</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45577</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45577</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45577</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45577</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45577</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45577</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45577</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45577</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45577</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45577</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45577</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45577</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45577</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45577</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45577</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45577</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45577</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45577</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45577</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45577</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45577</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45577</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45577</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45577</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45577</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45577</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45577</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45577</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45577</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45577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45577</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45577</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45577</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45577</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45577</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45577</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45577</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45577</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45577</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45577</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45577</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45577</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45577</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45577</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45577</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45577</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45577</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45577</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45577</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45577</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45577</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45577</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45577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45577</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45577</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45577</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45577</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45577</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45577</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45577</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45577</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45577</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45577</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45577</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45577</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45577</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45577</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45577</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45577</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45577</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45577</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45577</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45577</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45577</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45577</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45577</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45577</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45577</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45577</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45577</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45577</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45577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45577</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45577</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45577</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45577</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45577</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45577</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45577</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45577</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45577</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45577</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45577</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45577</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45577</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45577</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45577</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45577</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45577</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45577</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45577</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45577</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45577</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45577</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45577</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45577</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45577</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45577</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45577</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45577</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45577</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45577</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45577</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45577</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45577</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45577</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45577</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45577</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45577</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45577</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45577</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45577</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45577</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45577</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45577</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45577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45577</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45577</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45577</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45577</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45577</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45577</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45577</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45577</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45577</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45577</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45577</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45577</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45577</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45577</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45577</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45577</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45577</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45577</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45577</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45577</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45577</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45577</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45577</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45577</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45577</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45577</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45577</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45577</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45577</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45577</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45577</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45577</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45577</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45577</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45577</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45577</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45577</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45577</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45577</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45577</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45577</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45577</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45577</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45577</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45577</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45577</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45577</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45577</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45577</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45577</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45577</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45577</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45577</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45577</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45577</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45577</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45577</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45577</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45577</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45577</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45577</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45577</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45577</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45577</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45577</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45577</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45577</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45577</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45577</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45577</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43788-2024</t>
        </is>
      </c>
      <c r="B895" s="1" t="n">
        <v>45571</v>
      </c>
      <c r="C895" s="1" t="n">
        <v>45577</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45577</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45577</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45577</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45577</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45577</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45577</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45577</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45577</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45071-2024</t>
        </is>
      </c>
      <c r="B904" s="1" t="n">
        <v>45575</v>
      </c>
      <c r="C904" s="1" t="n">
        <v>45577</v>
      </c>
      <c r="D904" t="inlineStr">
        <is>
          <t>GOTLANDS LÄN</t>
        </is>
      </c>
      <c r="E904" t="inlineStr">
        <is>
          <t>GOTLAND</t>
        </is>
      </c>
      <c r="G904" t="n">
        <v>7.9</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45577</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45577</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2024-10-12T13:09:37Z</dcterms:created>
  <dcterms:modified xmlns:dcterms="http://purl.org/dc/terms/" xmlns:xsi="http://www.w3.org/2001/XMLSchema-instance" xsi:type="dcterms:W3CDTF">2024-10-12T13:09:38Z</dcterms:modified>
</cp:coreProperties>
</file>