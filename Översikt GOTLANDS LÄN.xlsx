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46143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46143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46143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46143</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46143</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46143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46143</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46143</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46143</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46143</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46143</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46143</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46143</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46143</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46143</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46143</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46143</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46143</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46143</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46143</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46143</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46143</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46143</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46143</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44928-2022</t>
        </is>
      </c>
      <c r="B31" s="1" t="n">
        <v>44841</v>
      </c>
      <c r="C31" s="1" t="n">
        <v>46143</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46143</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46143</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46143</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46143</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46143</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46143</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46143</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46143</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46143</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46143</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52223-2025</t>
        </is>
      </c>
      <c r="B42" s="1" t="n">
        <v>45953.44509259259</v>
      </c>
      <c r="C42" s="1" t="n">
        <v>46143</v>
      </c>
      <c r="D42" t="inlineStr">
        <is>
          <t>GOTLANDS LÄN</t>
        </is>
      </c>
      <c r="E42" t="inlineStr">
        <is>
          <t>GOTLAND</t>
        </is>
      </c>
      <c r="F42" t="inlineStr">
        <is>
          <t>Övriga Aktiebolag</t>
        </is>
      </c>
      <c r="G42" t="n">
        <v>5.8</v>
      </c>
      <c r="H42" t="n">
        <v>5</v>
      </c>
      <c r="I42" t="n">
        <v>3</v>
      </c>
      <c r="J42" t="n">
        <v>5</v>
      </c>
      <c r="K42" t="n">
        <v>0</v>
      </c>
      <c r="L42" t="n">
        <v>0</v>
      </c>
      <c r="M42" t="n">
        <v>0</v>
      </c>
      <c r="N42" t="n">
        <v>0</v>
      </c>
      <c r="O42" t="n">
        <v>5</v>
      </c>
      <c r="P42" t="n">
        <v>0</v>
      </c>
      <c r="Q42" t="n">
        <v>11</v>
      </c>
      <c r="R42" s="2" t="inlineStr">
        <is>
          <t>Axveronika
Backtimjan
Solvända
Spillkråka
Ängsstarr
Anisspindling
Murgröna
Skogsknipprot
Brudsporre
Kärrknipprot
Ängsnycklar</t>
        </is>
      </c>
      <c r="S42">
        <f>HYPERLINK("https://klasma.github.io/Logging_0980/artfynd/A 52223-2025 artfynd.xlsx", "A 52223-2025")</f>
        <v/>
      </c>
      <c r="T42">
        <f>HYPERLINK("https://klasma.github.io/Logging_0980/kartor/A 52223-2025 karta.png", "A 52223-2025")</f>
        <v/>
      </c>
      <c r="V42">
        <f>HYPERLINK("https://klasma.github.io/Logging_0980/klagomål/A 52223-2025 FSC-klagomål.docx", "A 52223-2025")</f>
        <v/>
      </c>
      <c r="W42">
        <f>HYPERLINK("https://klasma.github.io/Logging_0980/klagomålsmail/A 52223-2025 FSC-klagomål mail.docx", "A 52223-2025")</f>
        <v/>
      </c>
      <c r="X42">
        <f>HYPERLINK("https://klasma.github.io/Logging_0980/tillsyn/A 52223-2025 tillsynsbegäran.docx", "A 52223-2025")</f>
        <v/>
      </c>
      <c r="Y42">
        <f>HYPERLINK("https://klasma.github.io/Logging_0980/tillsynsmail/A 52223-2025 tillsynsbegäran mail.docx", "A 52223-2025")</f>
        <v/>
      </c>
      <c r="Z42">
        <f>HYPERLINK("https://klasma.github.io/Logging_0980/fåglar/A 52223-2025 prioriterade fågelarter.docx", "A 52223-2025")</f>
        <v/>
      </c>
    </row>
    <row r="43" ht="15" customHeight="1">
      <c r="A43" t="inlineStr">
        <is>
          <t>A 6052-2024</t>
        </is>
      </c>
      <c r="B43" s="1" t="n">
        <v>45336</v>
      </c>
      <c r="C43" s="1" t="n">
        <v>46143</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10274-2026</t>
        </is>
      </c>
      <c r="B44" s="1" t="n">
        <v>46076.58261574074</v>
      </c>
      <c r="C44" s="1" t="n">
        <v>46143</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46143</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46143</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46143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46143</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45248-2024</t>
        </is>
      </c>
      <c r="B49" s="1" t="n">
        <v>45576</v>
      </c>
      <c r="C49" s="1" t="n">
        <v>46143</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46143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27280-2023</t>
        </is>
      </c>
      <c r="B51" s="1" t="n">
        <v>45096</v>
      </c>
      <c r="C51" s="1" t="n">
        <v>46143</v>
      </c>
      <c r="D51" t="inlineStr">
        <is>
          <t>GOTLANDS LÄN</t>
        </is>
      </c>
      <c r="E51" t="inlineStr">
        <is>
          <t>GOTLAND</t>
        </is>
      </c>
      <c r="G51" t="n">
        <v>2.7</v>
      </c>
      <c r="H51" t="n">
        <v>10</v>
      </c>
      <c r="I51" t="n">
        <v>2</v>
      </c>
      <c r="J51" t="n">
        <v>3</v>
      </c>
      <c r="K51" t="n">
        <v>1</v>
      </c>
      <c r="L51" t="n">
        <v>0</v>
      </c>
      <c r="M51" t="n">
        <v>0</v>
      </c>
      <c r="N51" t="n">
        <v>0</v>
      </c>
      <c r="O51" t="n">
        <v>4</v>
      </c>
      <c r="P51" t="n">
        <v>1</v>
      </c>
      <c r="Q51" t="n">
        <v>10</v>
      </c>
      <c r="R51" s="2" t="inlineStr">
        <is>
          <t>Stare
Björktrast
Mindre hackspett
Spillkråka
Skogsknipprot
Tvåblad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33153-2024</t>
        </is>
      </c>
      <c r="B52" s="1" t="n">
        <v>45518</v>
      </c>
      <c r="C52" s="1" t="n">
        <v>46143</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46143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46143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46143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21467-2024</t>
        </is>
      </c>
      <c r="B56" s="1" t="n">
        <v>45441</v>
      </c>
      <c r="C56" s="1" t="n">
        <v>46143</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2649-2023</t>
        </is>
      </c>
      <c r="B57" s="1" t="n">
        <v>44943</v>
      </c>
      <c r="C57" s="1" t="n">
        <v>46143</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27168-2022</t>
        </is>
      </c>
      <c r="B58" s="1" t="n">
        <v>44741</v>
      </c>
      <c r="C58" s="1" t="n">
        <v>46143</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7039-2023</t>
        </is>
      </c>
      <c r="B59" s="1" t="n">
        <v>44968</v>
      </c>
      <c r="C59" s="1" t="n">
        <v>46143</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46143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46143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46143</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46143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46143</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46143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46143</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46143</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46143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46143</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46143</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46143</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46143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53584-2025</t>
        </is>
      </c>
      <c r="B73" s="1" t="n">
        <v>45960.43130787037</v>
      </c>
      <c r="C73" s="1" t="n">
        <v>46143</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46143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57773-2025</t>
        </is>
      </c>
      <c r="B75" s="1" t="n">
        <v>45981.56349537037</v>
      </c>
      <c r="C75" s="1" t="n">
        <v>46143</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46143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46143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46143</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52245-2025</t>
        </is>
      </c>
      <c r="B79" s="1" t="n">
        <v>45953.47115740741</v>
      </c>
      <c r="C79" s="1" t="n">
        <v>46143</v>
      </c>
      <c r="D79" t="inlineStr">
        <is>
          <t>GOTLANDS LÄN</t>
        </is>
      </c>
      <c r="E79" t="inlineStr">
        <is>
          <t>GOTLAND</t>
        </is>
      </c>
      <c r="F79" t="inlineStr">
        <is>
          <t>Övriga Aktiebolag</t>
        </is>
      </c>
      <c r="G79" t="n">
        <v>10.1</v>
      </c>
      <c r="H79" t="n">
        <v>0</v>
      </c>
      <c r="I79" t="n">
        <v>3</v>
      </c>
      <c r="J79" t="n">
        <v>1</v>
      </c>
      <c r="K79" t="n">
        <v>1</v>
      </c>
      <c r="L79" t="n">
        <v>0</v>
      </c>
      <c r="M79" t="n">
        <v>0</v>
      </c>
      <c r="N79" t="n">
        <v>0</v>
      </c>
      <c r="O79" t="n">
        <v>2</v>
      </c>
      <c r="P79" t="n">
        <v>1</v>
      </c>
      <c r="Q79" t="n">
        <v>5</v>
      </c>
      <c r="R79" s="2" t="inlineStr">
        <is>
          <t>Källnate
Jordtistel
Olivspindling
Rödgul trumpetsvamp
Underviol</t>
        </is>
      </c>
      <c r="S79">
        <f>HYPERLINK("https://klasma.github.io/Logging_0980/artfynd/A 52245-2025 artfynd.xlsx", "A 52245-2025")</f>
        <v/>
      </c>
      <c r="T79">
        <f>HYPERLINK("https://klasma.github.io/Logging_0980/kartor/A 52245-2025 karta.png", "A 52245-2025")</f>
        <v/>
      </c>
      <c r="V79">
        <f>HYPERLINK("https://klasma.github.io/Logging_0980/klagomål/A 52245-2025 FSC-klagomål.docx", "A 52245-2025")</f>
        <v/>
      </c>
      <c r="W79">
        <f>HYPERLINK("https://klasma.github.io/Logging_0980/klagomålsmail/A 52245-2025 FSC-klagomål mail.docx", "A 52245-2025")</f>
        <v/>
      </c>
      <c r="X79">
        <f>HYPERLINK("https://klasma.github.io/Logging_0980/tillsyn/A 52245-2025 tillsynsbegäran.docx", "A 52245-2025")</f>
        <v/>
      </c>
      <c r="Y79">
        <f>HYPERLINK("https://klasma.github.io/Logging_0980/tillsynsmail/A 52245-2025 tillsynsbegäran mail.docx", "A 52245-2025")</f>
        <v/>
      </c>
    </row>
    <row r="80" ht="15" customHeight="1">
      <c r="A80" t="inlineStr">
        <is>
          <t>A 32326-2024</t>
        </is>
      </c>
      <c r="B80" s="1" t="n">
        <v>45512</v>
      </c>
      <c r="C80" s="1" t="n">
        <v>46143</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46143</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6839-2026</t>
        </is>
      </c>
      <c r="B82" s="1" t="n">
        <v>46057.41193287037</v>
      </c>
      <c r="C82" s="1" t="n">
        <v>46143</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46143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46143</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42936-2024</t>
        </is>
      </c>
      <c r="B85" s="1" t="n">
        <v>45567</v>
      </c>
      <c r="C85" s="1" t="n">
        <v>46143</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46143</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29331-2021</t>
        </is>
      </c>
      <c r="B87" s="1" t="n">
        <v>44361</v>
      </c>
      <c r="C87" s="1" t="n">
        <v>46143</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40099-2025</t>
        </is>
      </c>
      <c r="B88" s="1" t="n">
        <v>45894.48462962963</v>
      </c>
      <c r="C88" s="1" t="n">
        <v>46143</v>
      </c>
      <c r="D88" t="inlineStr">
        <is>
          <t>GOTLANDS LÄN</t>
        </is>
      </c>
      <c r="E88" t="inlineStr">
        <is>
          <t>GOTLAND</t>
        </is>
      </c>
      <c r="G88" t="n">
        <v>6.5</v>
      </c>
      <c r="H88" t="n">
        <v>0</v>
      </c>
      <c r="I88" t="n">
        <v>3</v>
      </c>
      <c r="J88" t="n">
        <v>0</v>
      </c>
      <c r="K88" t="n">
        <v>1</v>
      </c>
      <c r="L88" t="n">
        <v>0</v>
      </c>
      <c r="M88" t="n">
        <v>0</v>
      </c>
      <c r="N88" t="n">
        <v>0</v>
      </c>
      <c r="O88" t="n">
        <v>1</v>
      </c>
      <c r="P88" t="n">
        <v>1</v>
      </c>
      <c r="Q88" t="n">
        <v>4</v>
      </c>
      <c r="R88" s="2" t="inlineStr">
        <is>
          <t>Mörkfjällig olivspindling
Fjällig taggsvamp s.str.
Olivspindling
Svavelriska</t>
        </is>
      </c>
      <c r="S88">
        <f>HYPERLINK("https://klasma.github.io/Logging_0980/artfynd/A 40099-2025 artfynd.xlsx", "A 40099-2025")</f>
        <v/>
      </c>
      <c r="T88">
        <f>HYPERLINK("https://klasma.github.io/Logging_0980/kartor/A 40099-2025 karta.png", "A 40099-2025")</f>
        <v/>
      </c>
      <c r="V88">
        <f>HYPERLINK("https://klasma.github.io/Logging_0980/klagomål/A 40099-2025 FSC-klagomål.docx", "A 40099-2025")</f>
        <v/>
      </c>
      <c r="W88">
        <f>HYPERLINK("https://klasma.github.io/Logging_0980/klagomålsmail/A 40099-2025 FSC-klagomål mail.docx", "A 40099-2025")</f>
        <v/>
      </c>
      <c r="X88">
        <f>HYPERLINK("https://klasma.github.io/Logging_0980/tillsyn/A 40099-2025 tillsynsbegäran.docx", "A 40099-2025")</f>
        <v/>
      </c>
      <c r="Y88">
        <f>HYPERLINK("https://klasma.github.io/Logging_0980/tillsynsmail/A 40099-2025 tillsynsbegäran mail.docx", "A 40099-2025")</f>
        <v/>
      </c>
    </row>
    <row r="89" ht="15" customHeight="1">
      <c r="A89" t="inlineStr">
        <is>
          <t>A 56717-2024</t>
        </is>
      </c>
      <c r="B89" s="1" t="n">
        <v>45628.3166550926</v>
      </c>
      <c r="C89" s="1" t="n">
        <v>46143</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52250-2025</t>
        </is>
      </c>
      <c r="B90" s="1" t="n">
        <v>45953.48998842593</v>
      </c>
      <c r="C90" s="1" t="n">
        <v>46143</v>
      </c>
      <c r="D90" t="inlineStr">
        <is>
          <t>GOTLANDS LÄN</t>
        </is>
      </c>
      <c r="E90" t="inlineStr">
        <is>
          <t>GOTLAND</t>
        </is>
      </c>
      <c r="F90" t="inlineStr">
        <is>
          <t>Övriga Aktiebolag</t>
        </is>
      </c>
      <c r="G90" t="n">
        <v>1.2</v>
      </c>
      <c r="H90" t="n">
        <v>2</v>
      </c>
      <c r="I90" t="n">
        <v>1</v>
      </c>
      <c r="J90" t="n">
        <v>2</v>
      </c>
      <c r="K90" t="n">
        <v>0</v>
      </c>
      <c r="L90" t="n">
        <v>0</v>
      </c>
      <c r="M90" t="n">
        <v>0</v>
      </c>
      <c r="N90" t="n">
        <v>0</v>
      </c>
      <c r="O90" t="n">
        <v>2</v>
      </c>
      <c r="P90" t="n">
        <v>0</v>
      </c>
      <c r="Q90" t="n">
        <v>4</v>
      </c>
      <c r="R90" s="2" t="inlineStr">
        <is>
          <t>Backtimjan
Spillkråka
Anisspindling
Nattviol</t>
        </is>
      </c>
      <c r="S90">
        <f>HYPERLINK("https://klasma.github.io/Logging_0980/artfynd/A 52250-2025 artfynd.xlsx", "A 52250-2025")</f>
        <v/>
      </c>
      <c r="T90">
        <f>HYPERLINK("https://klasma.github.io/Logging_0980/kartor/A 52250-2025 karta.png", "A 52250-2025")</f>
        <v/>
      </c>
      <c r="V90">
        <f>HYPERLINK("https://klasma.github.io/Logging_0980/klagomål/A 52250-2025 FSC-klagomål.docx", "A 52250-2025")</f>
        <v/>
      </c>
      <c r="W90">
        <f>HYPERLINK("https://klasma.github.io/Logging_0980/klagomålsmail/A 52250-2025 FSC-klagomål mail.docx", "A 52250-2025")</f>
        <v/>
      </c>
      <c r="X90">
        <f>HYPERLINK("https://klasma.github.io/Logging_0980/tillsyn/A 52250-2025 tillsynsbegäran.docx", "A 52250-2025")</f>
        <v/>
      </c>
      <c r="Y90">
        <f>HYPERLINK("https://klasma.github.io/Logging_0980/tillsynsmail/A 52250-2025 tillsynsbegäran mail.docx", "A 52250-2025")</f>
        <v/>
      </c>
      <c r="Z90">
        <f>HYPERLINK("https://klasma.github.io/Logging_0980/fåglar/A 52250-2025 prioriterade fågelarter.docx", "A 52250-2025")</f>
        <v/>
      </c>
    </row>
    <row r="91" ht="15" customHeight="1">
      <c r="A91" t="inlineStr">
        <is>
          <t>A 20833-2024</t>
        </is>
      </c>
      <c r="B91" s="1" t="n">
        <v>45439</v>
      </c>
      <c r="C91" s="1" t="n">
        <v>46143</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2485-2025</t>
        </is>
      </c>
      <c r="B92" s="1" t="n">
        <v>45673</v>
      </c>
      <c r="C92" s="1" t="n">
        <v>46143</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6836-2026</t>
        </is>
      </c>
      <c r="B93" s="1" t="n">
        <v>46057.40902777778</v>
      </c>
      <c r="C93" s="1" t="n">
        <v>46143</v>
      </c>
      <c r="D93" t="inlineStr">
        <is>
          <t>GOTLANDS LÄN</t>
        </is>
      </c>
      <c r="E93" t="inlineStr">
        <is>
          <t>GOTLAND</t>
        </is>
      </c>
      <c r="G93" t="n">
        <v>3.8</v>
      </c>
      <c r="H93" t="n">
        <v>1</v>
      </c>
      <c r="I93" t="n">
        <v>3</v>
      </c>
      <c r="J93" t="n">
        <v>0</v>
      </c>
      <c r="K93" t="n">
        <v>1</v>
      </c>
      <c r="L93" t="n">
        <v>0</v>
      </c>
      <c r="M93" t="n">
        <v>0</v>
      </c>
      <c r="N93" t="n">
        <v>0</v>
      </c>
      <c r="O93" t="n">
        <v>1</v>
      </c>
      <c r="P93" t="n">
        <v>1</v>
      </c>
      <c r="Q93" t="n">
        <v>4</v>
      </c>
      <c r="R93" s="2" t="inlineStr">
        <is>
          <t>Knärot
Fransig jordstjärna
Rödgul trumpetsvamp
Svavelriska</t>
        </is>
      </c>
      <c r="S93">
        <f>HYPERLINK("https://klasma.github.io/Logging_0980/artfynd/A 6836-2026 artfynd.xlsx", "A 6836-2026")</f>
        <v/>
      </c>
      <c r="T93">
        <f>HYPERLINK("https://klasma.github.io/Logging_0980/kartor/A 6836-2026 karta.png", "A 6836-2026")</f>
        <v/>
      </c>
      <c r="U93">
        <f>HYPERLINK("https://klasma.github.io/Logging_0980/knärot/A 6836-2026 karta knärot.png", "A 6836-2026")</f>
        <v/>
      </c>
      <c r="V93">
        <f>HYPERLINK("https://klasma.github.io/Logging_0980/klagomål/A 6836-2026 FSC-klagomål.docx", "A 6836-2026")</f>
        <v/>
      </c>
      <c r="W93">
        <f>HYPERLINK("https://klasma.github.io/Logging_0980/klagomålsmail/A 6836-2026 FSC-klagomål mail.docx", "A 6836-2026")</f>
        <v/>
      </c>
      <c r="X93">
        <f>HYPERLINK("https://klasma.github.io/Logging_0980/tillsyn/A 6836-2026 tillsynsbegäran.docx", "A 6836-2026")</f>
        <v/>
      </c>
      <c r="Y93">
        <f>HYPERLINK("https://klasma.github.io/Logging_0980/tillsynsmail/A 6836-2026 tillsynsbegäran mail.docx", "A 6836-2026")</f>
        <v/>
      </c>
    </row>
    <row r="94" ht="15" customHeight="1">
      <c r="A94" t="inlineStr">
        <is>
          <t>A 5904-2024</t>
        </is>
      </c>
      <c r="B94" s="1" t="n">
        <v>45335</v>
      </c>
      <c r="C94" s="1" t="n">
        <v>46143</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6159-2023</t>
        </is>
      </c>
      <c r="B95" s="1" t="n">
        <v>44964</v>
      </c>
      <c r="C95" s="1" t="n">
        <v>46143</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46143</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54523-2023</t>
        </is>
      </c>
      <c r="B97" s="1" t="n">
        <v>45233</v>
      </c>
      <c r="C97" s="1" t="n">
        <v>46143</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1971-2023</t>
        </is>
      </c>
      <c r="B98" s="1" t="n">
        <v>44939</v>
      </c>
      <c r="C98" s="1" t="n">
        <v>46143</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186-2023</t>
        </is>
      </c>
      <c r="B99" s="1" t="n">
        <v>44928</v>
      </c>
      <c r="C99" s="1" t="n">
        <v>46143</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57463-2025</t>
        </is>
      </c>
      <c r="B100" s="1" t="n">
        <v>45980.54174768519</v>
      </c>
      <c r="C100" s="1" t="n">
        <v>46143</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13203-2026</t>
        </is>
      </c>
      <c r="B101" s="1" t="n">
        <v>46093</v>
      </c>
      <c r="C101" s="1" t="n">
        <v>46143</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8265-2023</t>
        </is>
      </c>
      <c r="B102" s="1" t="n">
        <v>44974</v>
      </c>
      <c r="C102" s="1" t="n">
        <v>46143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46143</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46143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46143</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46143</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46143</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13499-2022</t>
        </is>
      </c>
      <c r="B109" s="1" t="n">
        <v>44647.79203703703</v>
      </c>
      <c r="C109" s="1" t="n">
        <v>46143</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46143</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30490-2025</t>
        </is>
      </c>
      <c r="B111" s="1" t="n">
        <v>45830</v>
      </c>
      <c r="C111" s="1" t="n">
        <v>46143</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48126-2022</t>
        </is>
      </c>
      <c r="B112" s="1" t="n">
        <v>44857</v>
      </c>
      <c r="C112" s="1" t="n">
        <v>46143</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55334-2024</t>
        </is>
      </c>
      <c r="B113" s="1" t="n">
        <v>45621</v>
      </c>
      <c r="C113" s="1" t="n">
        <v>46143</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46143</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20831-2024</t>
        </is>
      </c>
      <c r="B115" s="1" t="n">
        <v>45439</v>
      </c>
      <c r="C115" s="1" t="n">
        <v>46143</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17975-2024</t>
        </is>
      </c>
      <c r="B116" s="1" t="n">
        <v>45419.85546296297</v>
      </c>
      <c r="C116" s="1" t="n">
        <v>46143</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46143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1520-2026</t>
        </is>
      </c>
      <c r="B118" s="1" t="n">
        <v>46034.35891203704</v>
      </c>
      <c r="C118" s="1" t="n">
        <v>46143</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53552-2021</t>
        </is>
      </c>
      <c r="B119" s="1" t="n">
        <v>44468</v>
      </c>
      <c r="C119" s="1" t="n">
        <v>46143</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12315-2024</t>
        </is>
      </c>
      <c r="B120" s="1" t="n">
        <v>45378.6434837963</v>
      </c>
      <c r="C120" s="1" t="n">
        <v>46143</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29870-2021</t>
        </is>
      </c>
      <c r="B121" s="1" t="n">
        <v>44362</v>
      </c>
      <c r="C121" s="1" t="n">
        <v>46143</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46143</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46143</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46143</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46143</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46143</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46143</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20429-2025</t>
        </is>
      </c>
      <c r="B128" s="1" t="n">
        <v>45775.47728009259</v>
      </c>
      <c r="C128" s="1" t="n">
        <v>46143</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12914-2025</t>
        </is>
      </c>
      <c r="B129" s="1" t="n">
        <v>45733</v>
      </c>
      <c r="C129" s="1" t="n">
        <v>46143</v>
      </c>
      <c r="D129" t="inlineStr">
        <is>
          <t>GOTLANDS LÄN</t>
        </is>
      </c>
      <c r="E129" t="inlineStr">
        <is>
          <t>GOTLAND</t>
        </is>
      </c>
      <c r="G129" t="n">
        <v>24.8</v>
      </c>
      <c r="H129" t="n">
        <v>2</v>
      </c>
      <c r="I129" t="n">
        <v>1</v>
      </c>
      <c r="J129" t="n">
        <v>0</v>
      </c>
      <c r="K129" t="n">
        <v>0</v>
      </c>
      <c r="L129" t="n">
        <v>0</v>
      </c>
      <c r="M129" t="n">
        <v>0</v>
      </c>
      <c r="N129" t="n">
        <v>0</v>
      </c>
      <c r="O129" t="n">
        <v>0</v>
      </c>
      <c r="P129" t="n">
        <v>0</v>
      </c>
      <c r="Q129" t="n">
        <v>2</v>
      </c>
      <c r="R129" s="2" t="inlineStr">
        <is>
          <t>Purpurknipprot
Brudsporre</t>
        </is>
      </c>
      <c r="S129">
        <f>HYPERLINK("https://klasma.github.io/Logging_0980/artfynd/A 12914-2025 artfynd.xlsx", "A 12914-2025")</f>
        <v/>
      </c>
      <c r="T129">
        <f>HYPERLINK("https://klasma.github.io/Logging_0980/kartor/A 12914-2025 karta.png", "A 12914-2025")</f>
        <v/>
      </c>
      <c r="V129">
        <f>HYPERLINK("https://klasma.github.io/Logging_0980/klagomål/A 12914-2025 FSC-klagomål.docx", "A 12914-2025")</f>
        <v/>
      </c>
      <c r="W129">
        <f>HYPERLINK("https://klasma.github.io/Logging_0980/klagomålsmail/A 12914-2025 FSC-klagomål mail.docx", "A 12914-2025")</f>
        <v/>
      </c>
      <c r="X129">
        <f>HYPERLINK("https://klasma.github.io/Logging_0980/tillsyn/A 12914-2025 tillsynsbegäran.docx", "A 12914-2025")</f>
        <v/>
      </c>
      <c r="Y129">
        <f>HYPERLINK("https://klasma.github.io/Logging_0980/tillsynsmail/A 12914-2025 tillsynsbegäran mail.docx", "A 12914-2025")</f>
        <v/>
      </c>
    </row>
    <row r="130" ht="15" customHeight="1">
      <c r="A130" t="inlineStr">
        <is>
          <t>A 54357-2024</t>
        </is>
      </c>
      <c r="B130" s="1" t="n">
        <v>45617.40662037037</v>
      </c>
      <c r="C130" s="1" t="n">
        <v>46143</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63162-2025</t>
        </is>
      </c>
      <c r="B131" s="1" t="n">
        <v>46010.37629629629</v>
      </c>
      <c r="C131" s="1" t="n">
        <v>46143</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20838-2024</t>
        </is>
      </c>
      <c r="B132" s="1" t="n">
        <v>45439</v>
      </c>
      <c r="C132" s="1" t="n">
        <v>46143</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62760-2025</t>
        </is>
      </c>
      <c r="B133" s="1" t="n">
        <v>46008</v>
      </c>
      <c r="C133" s="1" t="n">
        <v>46143</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16997-2026</t>
        </is>
      </c>
      <c r="B134" s="1" t="n">
        <v>46114.42539351852</v>
      </c>
      <c r="C134" s="1" t="n">
        <v>46143</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26077-2024</t>
        </is>
      </c>
      <c r="B135" s="1" t="n">
        <v>45467</v>
      </c>
      <c r="C135" s="1" t="n">
        <v>46143</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43219-2023</t>
        </is>
      </c>
      <c r="B136" s="1" t="n">
        <v>45183</v>
      </c>
      <c r="C136" s="1" t="n">
        <v>46143</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46143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46143</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46143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22883-2024</t>
        </is>
      </c>
      <c r="B140" s="1" t="n">
        <v>45448.66368055555</v>
      </c>
      <c r="C140" s="1" t="n">
        <v>46143</v>
      </c>
      <c r="D140" t="inlineStr">
        <is>
          <t>GOTLANDS LÄN</t>
        </is>
      </c>
      <c r="E140" t="inlineStr">
        <is>
          <t>GOTLAND</t>
        </is>
      </c>
      <c r="G140" t="n">
        <v>0.5</v>
      </c>
      <c r="H140" t="n">
        <v>0</v>
      </c>
      <c r="I140" t="n">
        <v>0</v>
      </c>
      <c r="J140" t="n">
        <v>0</v>
      </c>
      <c r="K140" t="n">
        <v>1</v>
      </c>
      <c r="L140" t="n">
        <v>0</v>
      </c>
      <c r="M140" t="n">
        <v>0</v>
      </c>
      <c r="N140" t="n">
        <v>0</v>
      </c>
      <c r="O140" t="n">
        <v>1</v>
      </c>
      <c r="P140" t="n">
        <v>1</v>
      </c>
      <c r="Q140" t="n">
        <v>1</v>
      </c>
      <c r="R140" s="2" t="inlineStr">
        <is>
          <t>Gotlandsmåra</t>
        </is>
      </c>
      <c r="S140">
        <f>HYPERLINK("https://klasma.github.io/Logging_0980/artfynd/A 22883-2024 artfynd.xlsx", "A 22883-2024")</f>
        <v/>
      </c>
      <c r="T140">
        <f>HYPERLINK("https://klasma.github.io/Logging_0980/kartor/A 22883-2024 karta.png", "A 22883-2024")</f>
        <v/>
      </c>
      <c r="V140">
        <f>HYPERLINK("https://klasma.github.io/Logging_0980/klagomål/A 22883-2024 FSC-klagomål.docx", "A 22883-2024")</f>
        <v/>
      </c>
      <c r="W140">
        <f>HYPERLINK("https://klasma.github.io/Logging_0980/klagomålsmail/A 22883-2024 FSC-klagomål mail.docx", "A 22883-2024")</f>
        <v/>
      </c>
      <c r="X140">
        <f>HYPERLINK("https://klasma.github.io/Logging_0980/tillsyn/A 22883-2024 tillsynsbegäran.docx", "A 22883-2024")</f>
        <v/>
      </c>
      <c r="Y140">
        <f>HYPERLINK("https://klasma.github.io/Logging_0980/tillsynsmail/A 22883-2024 tillsynsbegäran mail.docx", "A 22883-2024")</f>
        <v/>
      </c>
    </row>
    <row r="141" ht="15" customHeight="1">
      <c r="A141" t="inlineStr">
        <is>
          <t>A 24245-2022</t>
        </is>
      </c>
      <c r="B141" s="1" t="n">
        <v>44725</v>
      </c>
      <c r="C141" s="1" t="n">
        <v>46143</v>
      </c>
      <c r="D141" t="inlineStr">
        <is>
          <t>GOTLANDS LÄN</t>
        </is>
      </c>
      <c r="E141" t="inlineStr">
        <is>
          <t>GOTLAND</t>
        </is>
      </c>
      <c r="G141" t="n">
        <v>4.9</v>
      </c>
      <c r="H141" t="n">
        <v>0</v>
      </c>
      <c r="I141" t="n">
        <v>0</v>
      </c>
      <c r="J141" t="n">
        <v>0</v>
      </c>
      <c r="K141" t="n">
        <v>0</v>
      </c>
      <c r="L141" t="n">
        <v>1</v>
      </c>
      <c r="M141" t="n">
        <v>0</v>
      </c>
      <c r="N141" t="n">
        <v>0</v>
      </c>
      <c r="O141" t="n">
        <v>1</v>
      </c>
      <c r="P141" t="n">
        <v>1</v>
      </c>
      <c r="Q141" t="n">
        <v>1</v>
      </c>
      <c r="R141" s="2" t="inlineStr">
        <is>
          <t>Slät taggsvamp</t>
        </is>
      </c>
      <c r="S141">
        <f>HYPERLINK("https://klasma.github.io/Logging_0980/artfynd/A 24245-2022 artfynd.xlsx", "A 24245-2022")</f>
        <v/>
      </c>
      <c r="T141">
        <f>HYPERLINK("https://klasma.github.io/Logging_0980/kartor/A 24245-2022 karta.png", "A 24245-2022")</f>
        <v/>
      </c>
      <c r="V141">
        <f>HYPERLINK("https://klasma.github.io/Logging_0980/klagomål/A 24245-2022 FSC-klagomål.docx", "A 24245-2022")</f>
        <v/>
      </c>
      <c r="W141">
        <f>HYPERLINK("https://klasma.github.io/Logging_0980/klagomålsmail/A 24245-2022 FSC-klagomål mail.docx", "A 24245-2022")</f>
        <v/>
      </c>
      <c r="X141">
        <f>HYPERLINK("https://klasma.github.io/Logging_0980/tillsyn/A 24245-2022 tillsynsbegäran.docx", "A 24245-2022")</f>
        <v/>
      </c>
      <c r="Y141">
        <f>HYPERLINK("https://klasma.github.io/Logging_0980/tillsynsmail/A 24245-2022 tillsynsbegäran mail.docx", "A 24245-2022")</f>
        <v/>
      </c>
    </row>
    <row r="142" ht="15" customHeight="1">
      <c r="A142" t="inlineStr">
        <is>
          <t>A 44308-2021</t>
        </is>
      </c>
      <c r="B142" s="1" t="n">
        <v>44434</v>
      </c>
      <c r="C142" s="1" t="n">
        <v>46143</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46527-2023</t>
        </is>
      </c>
      <c r="B143" s="1" t="n">
        <v>45197</v>
      </c>
      <c r="C143" s="1" t="n">
        <v>46143</v>
      </c>
      <c r="D143" t="inlineStr">
        <is>
          <t>GOTLANDS LÄN</t>
        </is>
      </c>
      <c r="E143" t="inlineStr">
        <is>
          <t>GOTLAND</t>
        </is>
      </c>
      <c r="G143" t="n">
        <v>0.9</v>
      </c>
      <c r="H143" t="n">
        <v>0</v>
      </c>
      <c r="I143" t="n">
        <v>0</v>
      </c>
      <c r="J143" t="n">
        <v>1</v>
      </c>
      <c r="K143" t="n">
        <v>0</v>
      </c>
      <c r="L143" t="n">
        <v>0</v>
      </c>
      <c r="M143" t="n">
        <v>0</v>
      </c>
      <c r="N143" t="n">
        <v>0</v>
      </c>
      <c r="O143" t="n">
        <v>1</v>
      </c>
      <c r="P143" t="n">
        <v>0</v>
      </c>
      <c r="Q143" t="n">
        <v>1</v>
      </c>
      <c r="R143" s="2" t="inlineStr">
        <is>
          <t>Guldgräshoppa</t>
        </is>
      </c>
      <c r="S143">
        <f>HYPERLINK("https://klasma.github.io/Logging_0980/artfynd/A 46527-2023 artfynd.xlsx", "A 46527-2023")</f>
        <v/>
      </c>
      <c r="T143">
        <f>HYPERLINK("https://klasma.github.io/Logging_0980/kartor/A 46527-2023 karta.png", "A 46527-2023")</f>
        <v/>
      </c>
      <c r="V143">
        <f>HYPERLINK("https://klasma.github.io/Logging_0980/klagomål/A 46527-2023 FSC-klagomål.docx", "A 46527-2023")</f>
        <v/>
      </c>
      <c r="W143">
        <f>HYPERLINK("https://klasma.github.io/Logging_0980/klagomålsmail/A 46527-2023 FSC-klagomål mail.docx", "A 46527-2023")</f>
        <v/>
      </c>
      <c r="X143">
        <f>HYPERLINK("https://klasma.github.io/Logging_0980/tillsyn/A 46527-2023 tillsynsbegäran.docx", "A 46527-2023")</f>
        <v/>
      </c>
      <c r="Y143">
        <f>HYPERLINK("https://klasma.github.io/Logging_0980/tillsynsmail/A 46527-2023 tillsynsbegäran mail.docx", "A 46527-2023")</f>
        <v/>
      </c>
    </row>
    <row r="144" ht="15" customHeight="1">
      <c r="A144" t="inlineStr">
        <is>
          <t>A 39812-2025</t>
        </is>
      </c>
      <c r="B144" s="1" t="n">
        <v>45891</v>
      </c>
      <c r="C144" s="1" t="n">
        <v>46143</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26461-2025</t>
        </is>
      </c>
      <c r="B145" s="1" t="n">
        <v>45807.43337962963</v>
      </c>
      <c r="C145" s="1" t="n">
        <v>46143</v>
      </c>
      <c r="D145" t="inlineStr">
        <is>
          <t>GOTLANDS LÄN</t>
        </is>
      </c>
      <c r="E145" t="inlineStr">
        <is>
          <t>GOTLAND</t>
        </is>
      </c>
      <c r="G145" t="n">
        <v>4.1</v>
      </c>
      <c r="H145" t="n">
        <v>0</v>
      </c>
      <c r="I145" t="n">
        <v>0</v>
      </c>
      <c r="J145" t="n">
        <v>0</v>
      </c>
      <c r="K145" t="n">
        <v>1</v>
      </c>
      <c r="L145" t="n">
        <v>0</v>
      </c>
      <c r="M145" t="n">
        <v>0</v>
      </c>
      <c r="N145" t="n">
        <v>0</v>
      </c>
      <c r="O145" t="n">
        <v>1</v>
      </c>
      <c r="P145" t="n">
        <v>1</v>
      </c>
      <c r="Q145" t="n">
        <v>1</v>
      </c>
      <c r="R145" s="2" t="inlineStr">
        <is>
          <t>Gotlandsmåra</t>
        </is>
      </c>
      <c r="S145">
        <f>HYPERLINK("https://klasma.github.io/Logging_0980/artfynd/A 26461-2025 artfynd.xlsx", "A 26461-2025")</f>
        <v/>
      </c>
      <c r="T145">
        <f>HYPERLINK("https://klasma.github.io/Logging_0980/kartor/A 26461-2025 karta.png", "A 26461-2025")</f>
        <v/>
      </c>
      <c r="V145">
        <f>HYPERLINK("https://klasma.github.io/Logging_0980/klagomål/A 26461-2025 FSC-klagomål.docx", "A 26461-2025")</f>
        <v/>
      </c>
      <c r="W145">
        <f>HYPERLINK("https://klasma.github.io/Logging_0980/klagomålsmail/A 26461-2025 FSC-klagomål mail.docx", "A 26461-2025")</f>
        <v/>
      </c>
      <c r="X145">
        <f>HYPERLINK("https://klasma.github.io/Logging_0980/tillsyn/A 26461-2025 tillsynsbegäran.docx", "A 26461-2025")</f>
        <v/>
      </c>
      <c r="Y145">
        <f>HYPERLINK("https://klasma.github.io/Logging_0980/tillsynsmail/A 26461-2025 tillsynsbegäran mail.docx", "A 26461-2025")</f>
        <v/>
      </c>
    </row>
    <row r="146" ht="15" customHeight="1">
      <c r="A146" t="inlineStr">
        <is>
          <t>A 6303-2024</t>
        </is>
      </c>
      <c r="B146" s="1" t="n">
        <v>45338.35376157407</v>
      </c>
      <c r="C146" s="1" t="n">
        <v>46143</v>
      </c>
      <c r="D146" t="inlineStr">
        <is>
          <t>GOTLANDS LÄN</t>
        </is>
      </c>
      <c r="E146" t="inlineStr">
        <is>
          <t>GOTLAND</t>
        </is>
      </c>
      <c r="G146" t="n">
        <v>0.6</v>
      </c>
      <c r="H146" t="n">
        <v>0</v>
      </c>
      <c r="I146" t="n">
        <v>1</v>
      </c>
      <c r="J146" t="n">
        <v>0</v>
      </c>
      <c r="K146" t="n">
        <v>0</v>
      </c>
      <c r="L146" t="n">
        <v>0</v>
      </c>
      <c r="M146" t="n">
        <v>0</v>
      </c>
      <c r="N146" t="n">
        <v>0</v>
      </c>
      <c r="O146" t="n">
        <v>0</v>
      </c>
      <c r="P146" t="n">
        <v>0</v>
      </c>
      <c r="Q146" t="n">
        <v>1</v>
      </c>
      <c r="R146" s="2" t="inlineStr">
        <is>
          <t>Strävlosta</t>
        </is>
      </c>
      <c r="S146">
        <f>HYPERLINK("https://klasma.github.io/Logging_0980/artfynd/A 6303-2024 artfynd.xlsx", "A 6303-2024")</f>
        <v/>
      </c>
      <c r="T146">
        <f>HYPERLINK("https://klasma.github.io/Logging_0980/kartor/A 6303-2024 karta.png", "A 6303-2024")</f>
        <v/>
      </c>
      <c r="V146">
        <f>HYPERLINK("https://klasma.github.io/Logging_0980/klagomål/A 6303-2024 FSC-klagomål.docx", "A 6303-2024")</f>
        <v/>
      </c>
      <c r="W146">
        <f>HYPERLINK("https://klasma.github.io/Logging_0980/klagomålsmail/A 6303-2024 FSC-klagomål mail.docx", "A 6303-2024")</f>
        <v/>
      </c>
      <c r="X146">
        <f>HYPERLINK("https://klasma.github.io/Logging_0980/tillsyn/A 6303-2024 tillsynsbegäran.docx", "A 6303-2024")</f>
        <v/>
      </c>
      <c r="Y146">
        <f>HYPERLINK("https://klasma.github.io/Logging_0980/tillsynsmail/A 6303-2024 tillsynsbegäran mail.docx", "A 6303-2024")</f>
        <v/>
      </c>
    </row>
    <row r="147" ht="15" customHeight="1">
      <c r="A147" t="inlineStr">
        <is>
          <t>A 35467-2021</t>
        </is>
      </c>
      <c r="B147" s="1" t="n">
        <v>44385</v>
      </c>
      <c r="C147" s="1" t="n">
        <v>46143</v>
      </c>
      <c r="D147" t="inlineStr">
        <is>
          <t>GOTLANDS LÄN</t>
        </is>
      </c>
      <c r="E147" t="inlineStr">
        <is>
          <t>GOTLAND</t>
        </is>
      </c>
      <c r="G147" t="n">
        <v>12.7</v>
      </c>
      <c r="H147" t="n">
        <v>0</v>
      </c>
      <c r="I147" t="n">
        <v>0</v>
      </c>
      <c r="J147" t="n">
        <v>1</v>
      </c>
      <c r="K147" t="n">
        <v>0</v>
      </c>
      <c r="L147" t="n">
        <v>0</v>
      </c>
      <c r="M147" t="n">
        <v>0</v>
      </c>
      <c r="N147" t="n">
        <v>0</v>
      </c>
      <c r="O147" t="n">
        <v>1</v>
      </c>
      <c r="P147" t="n">
        <v>0</v>
      </c>
      <c r="Q147" t="n">
        <v>1</v>
      </c>
      <c r="R147" s="2" t="inlineStr">
        <is>
          <t>Loppstarr</t>
        </is>
      </c>
      <c r="S147">
        <f>HYPERLINK("https://klasma.github.io/Logging_0980/artfynd/A 35467-2021 artfynd.xlsx", "A 35467-2021")</f>
        <v/>
      </c>
      <c r="T147">
        <f>HYPERLINK("https://klasma.github.io/Logging_0980/kartor/A 35467-2021 karta.png", "A 35467-2021")</f>
        <v/>
      </c>
      <c r="V147">
        <f>HYPERLINK("https://klasma.github.io/Logging_0980/klagomål/A 35467-2021 FSC-klagomål.docx", "A 35467-2021")</f>
        <v/>
      </c>
      <c r="W147">
        <f>HYPERLINK("https://klasma.github.io/Logging_0980/klagomålsmail/A 35467-2021 FSC-klagomål mail.docx", "A 35467-2021")</f>
        <v/>
      </c>
      <c r="X147">
        <f>HYPERLINK("https://klasma.github.io/Logging_0980/tillsyn/A 35467-2021 tillsynsbegäran.docx", "A 35467-2021")</f>
        <v/>
      </c>
      <c r="Y147">
        <f>HYPERLINK("https://klasma.github.io/Logging_0980/tillsynsmail/A 35467-2021 tillsynsbegäran mail.docx", "A 35467-2021")</f>
        <v/>
      </c>
    </row>
    <row r="148" ht="15" customHeight="1">
      <c r="A148" t="inlineStr">
        <is>
          <t>A 62552-2022</t>
        </is>
      </c>
      <c r="B148" s="1" t="n">
        <v>44924</v>
      </c>
      <c r="C148" s="1" t="n">
        <v>46143</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44619-2025</t>
        </is>
      </c>
      <c r="B149" s="1" t="n">
        <v>45917</v>
      </c>
      <c r="C149" s="1" t="n">
        <v>46143</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25977-2024</t>
        </is>
      </c>
      <c r="B150" s="1" t="n">
        <v>45467.69356481481</v>
      </c>
      <c r="C150" s="1" t="n">
        <v>46143</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27589-2023</t>
        </is>
      </c>
      <c r="B151" s="1" t="n">
        <v>45097</v>
      </c>
      <c r="C151" s="1" t="n">
        <v>46143</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9862-2024</t>
        </is>
      </c>
      <c r="B152" s="1" t="n">
        <v>45363</v>
      </c>
      <c r="C152" s="1" t="n">
        <v>46143</v>
      </c>
      <c r="D152" t="inlineStr">
        <is>
          <t>GOTLANDS LÄN</t>
        </is>
      </c>
      <c r="E152" t="inlineStr">
        <is>
          <t>GOTLAND</t>
        </is>
      </c>
      <c r="G152" t="n">
        <v>3.5</v>
      </c>
      <c r="H152" t="n">
        <v>1</v>
      </c>
      <c r="I152" t="n">
        <v>0</v>
      </c>
      <c r="J152" t="n">
        <v>0</v>
      </c>
      <c r="K152" t="n">
        <v>0</v>
      </c>
      <c r="L152" t="n">
        <v>0</v>
      </c>
      <c r="M152" t="n">
        <v>0</v>
      </c>
      <c r="N152" t="n">
        <v>0</v>
      </c>
      <c r="O152" t="n">
        <v>0</v>
      </c>
      <c r="P152" t="n">
        <v>0</v>
      </c>
      <c r="Q152" t="n">
        <v>1</v>
      </c>
      <c r="R152" s="2" t="inlineStr">
        <is>
          <t>Nattviol</t>
        </is>
      </c>
      <c r="S152">
        <f>HYPERLINK("https://klasma.github.io/Logging_0980/artfynd/A 9862-2024 artfynd.xlsx", "A 9862-2024")</f>
        <v/>
      </c>
      <c r="T152">
        <f>HYPERLINK("https://klasma.github.io/Logging_0980/kartor/A 9862-2024 karta.png", "A 9862-2024")</f>
        <v/>
      </c>
      <c r="V152">
        <f>HYPERLINK("https://klasma.github.io/Logging_0980/klagomål/A 9862-2024 FSC-klagomål.docx", "A 9862-2024")</f>
        <v/>
      </c>
      <c r="W152">
        <f>HYPERLINK("https://klasma.github.io/Logging_0980/klagomålsmail/A 9862-2024 FSC-klagomål mail.docx", "A 9862-2024")</f>
        <v/>
      </c>
      <c r="X152">
        <f>HYPERLINK("https://klasma.github.io/Logging_0980/tillsyn/A 9862-2024 tillsynsbegäran.docx", "A 9862-2024")</f>
        <v/>
      </c>
      <c r="Y152">
        <f>HYPERLINK("https://klasma.github.io/Logging_0980/tillsynsmail/A 9862-2024 tillsynsbegäran mail.docx", "A 9862-2024")</f>
        <v/>
      </c>
    </row>
    <row r="153" ht="15" customHeight="1">
      <c r="A153" t="inlineStr">
        <is>
          <t>A 34141-2024</t>
        </is>
      </c>
      <c r="B153" s="1" t="n">
        <v>45524.36229166666</v>
      </c>
      <c r="C153" s="1" t="n">
        <v>46143</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65927-2021</t>
        </is>
      </c>
      <c r="B154" s="1" t="n">
        <v>44516</v>
      </c>
      <c r="C154" s="1" t="n">
        <v>46143</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947-2023</t>
        </is>
      </c>
      <c r="B155" s="1" t="n">
        <v>44934</v>
      </c>
      <c r="C155" s="1" t="n">
        <v>46143</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49726-2025</t>
        </is>
      </c>
      <c r="B156" s="1" t="n">
        <v>45939.84466435185</v>
      </c>
      <c r="C156" s="1" t="n">
        <v>46143</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61561-2023</t>
        </is>
      </c>
      <c r="B157" s="1" t="n">
        <v>45265</v>
      </c>
      <c r="C157" s="1" t="n">
        <v>46143</v>
      </c>
      <c r="D157" t="inlineStr">
        <is>
          <t>GOTLANDS LÄN</t>
        </is>
      </c>
      <c r="E157" t="inlineStr">
        <is>
          <t>GOTLAND</t>
        </is>
      </c>
      <c r="G157" t="n">
        <v>7.4</v>
      </c>
      <c r="H157" t="n">
        <v>0</v>
      </c>
      <c r="I157" t="n">
        <v>0</v>
      </c>
      <c r="J157" t="n">
        <v>1</v>
      </c>
      <c r="K157" t="n">
        <v>0</v>
      </c>
      <c r="L157" t="n">
        <v>0</v>
      </c>
      <c r="M157" t="n">
        <v>0</v>
      </c>
      <c r="N157" t="n">
        <v>0</v>
      </c>
      <c r="O157" t="n">
        <v>1</v>
      </c>
      <c r="P157" t="n">
        <v>0</v>
      </c>
      <c r="Q157" t="n">
        <v>1</v>
      </c>
      <c r="R157" s="2" t="inlineStr">
        <is>
          <t>Loppstarr</t>
        </is>
      </c>
      <c r="S157">
        <f>HYPERLINK("https://klasma.github.io/Logging_0980/artfynd/A 61561-2023 artfynd.xlsx", "A 61561-2023")</f>
        <v/>
      </c>
      <c r="T157">
        <f>HYPERLINK("https://klasma.github.io/Logging_0980/kartor/A 61561-2023 karta.png", "A 61561-2023")</f>
        <v/>
      </c>
      <c r="V157">
        <f>HYPERLINK("https://klasma.github.io/Logging_0980/klagomål/A 61561-2023 FSC-klagomål.docx", "A 61561-2023")</f>
        <v/>
      </c>
      <c r="W157">
        <f>HYPERLINK("https://klasma.github.io/Logging_0980/klagomålsmail/A 61561-2023 FSC-klagomål mail.docx", "A 61561-2023")</f>
        <v/>
      </c>
      <c r="X157">
        <f>HYPERLINK("https://klasma.github.io/Logging_0980/tillsyn/A 61561-2023 tillsynsbegäran.docx", "A 61561-2023")</f>
        <v/>
      </c>
      <c r="Y157">
        <f>HYPERLINK("https://klasma.github.io/Logging_0980/tillsynsmail/A 61561-2023 tillsynsbegäran mail.docx", "A 61561-2023")</f>
        <v/>
      </c>
    </row>
    <row r="158" ht="15" customHeight="1">
      <c r="A158" t="inlineStr">
        <is>
          <t>A 12924-2025</t>
        </is>
      </c>
      <c r="B158" s="1" t="n">
        <v>45734</v>
      </c>
      <c r="C158" s="1" t="n">
        <v>46143</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12324-2025</t>
        </is>
      </c>
      <c r="B159" s="1" t="n">
        <v>45730</v>
      </c>
      <c r="C159" s="1" t="n">
        <v>46143</v>
      </c>
      <c r="D159" t="inlineStr">
        <is>
          <t>GOTLANDS LÄN</t>
        </is>
      </c>
      <c r="E159" t="inlineStr">
        <is>
          <t>GOTLAND</t>
        </is>
      </c>
      <c r="G159" t="n">
        <v>5</v>
      </c>
      <c r="H159" t="n">
        <v>0</v>
      </c>
      <c r="I159" t="n">
        <v>0</v>
      </c>
      <c r="J159" t="n">
        <v>0</v>
      </c>
      <c r="K159" t="n">
        <v>1</v>
      </c>
      <c r="L159" t="n">
        <v>0</v>
      </c>
      <c r="M159" t="n">
        <v>0</v>
      </c>
      <c r="N159" t="n">
        <v>0</v>
      </c>
      <c r="O159" t="n">
        <v>1</v>
      </c>
      <c r="P159" t="n">
        <v>1</v>
      </c>
      <c r="Q159" t="n">
        <v>1</v>
      </c>
      <c r="R159" s="2" t="inlineStr">
        <is>
          <t>Sommarklynne</t>
        </is>
      </c>
      <c r="S159">
        <f>HYPERLINK("https://klasma.github.io/Logging_0980/artfynd/A 12324-2025 artfynd.xlsx", "A 12324-2025")</f>
        <v/>
      </c>
      <c r="T159">
        <f>HYPERLINK("https://klasma.github.io/Logging_0980/kartor/A 12324-2025 karta.png", "A 12324-2025")</f>
        <v/>
      </c>
      <c r="V159">
        <f>HYPERLINK("https://klasma.github.io/Logging_0980/klagomål/A 12324-2025 FSC-klagomål.docx", "A 12324-2025")</f>
        <v/>
      </c>
      <c r="W159">
        <f>HYPERLINK("https://klasma.github.io/Logging_0980/klagomålsmail/A 12324-2025 FSC-klagomål mail.docx", "A 12324-2025")</f>
        <v/>
      </c>
      <c r="X159">
        <f>HYPERLINK("https://klasma.github.io/Logging_0980/tillsyn/A 12324-2025 tillsynsbegäran.docx", "A 12324-2025")</f>
        <v/>
      </c>
      <c r="Y159">
        <f>HYPERLINK("https://klasma.github.io/Logging_0980/tillsynsmail/A 12324-2025 tillsynsbegäran mail.docx", "A 12324-2025")</f>
        <v/>
      </c>
    </row>
    <row r="160" ht="15" customHeight="1">
      <c r="A160" t="inlineStr">
        <is>
          <t>A 2476-2025</t>
        </is>
      </c>
      <c r="B160" s="1" t="n">
        <v>45673</v>
      </c>
      <c r="C160" s="1" t="n">
        <v>46143</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44304-2021</t>
        </is>
      </c>
      <c r="B161" s="1" t="n">
        <v>44434</v>
      </c>
      <c r="C161" s="1" t="n">
        <v>46143</v>
      </c>
      <c r="D161" t="inlineStr">
        <is>
          <t>GOTLANDS LÄN</t>
        </is>
      </c>
      <c r="E161" t="inlineStr">
        <is>
          <t>GOTLAND</t>
        </is>
      </c>
      <c r="G161" t="n">
        <v>5.8</v>
      </c>
      <c r="H161" t="n">
        <v>0</v>
      </c>
      <c r="I161" t="n">
        <v>0</v>
      </c>
      <c r="J161" t="n">
        <v>1</v>
      </c>
      <c r="K161" t="n">
        <v>0</v>
      </c>
      <c r="L161" t="n">
        <v>0</v>
      </c>
      <c r="M161" t="n">
        <v>0</v>
      </c>
      <c r="N161" t="n">
        <v>0</v>
      </c>
      <c r="O161" t="n">
        <v>1</v>
      </c>
      <c r="P161" t="n">
        <v>0</v>
      </c>
      <c r="Q161" t="n">
        <v>1</v>
      </c>
      <c r="R161" s="2" t="inlineStr">
        <is>
          <t>Svinrot</t>
        </is>
      </c>
      <c r="S161">
        <f>HYPERLINK("https://klasma.github.io/Logging_0980/artfynd/A 44304-2021 artfynd.xlsx", "A 44304-2021")</f>
        <v/>
      </c>
      <c r="T161">
        <f>HYPERLINK("https://klasma.github.io/Logging_0980/kartor/A 44304-2021 karta.png", "A 44304-2021")</f>
        <v/>
      </c>
      <c r="V161">
        <f>HYPERLINK("https://klasma.github.io/Logging_0980/klagomål/A 44304-2021 FSC-klagomål.docx", "A 44304-2021")</f>
        <v/>
      </c>
      <c r="W161">
        <f>HYPERLINK("https://klasma.github.io/Logging_0980/klagomålsmail/A 44304-2021 FSC-klagomål mail.docx", "A 44304-2021")</f>
        <v/>
      </c>
      <c r="X161">
        <f>HYPERLINK("https://klasma.github.io/Logging_0980/tillsyn/A 44304-2021 tillsynsbegäran.docx", "A 44304-2021")</f>
        <v/>
      </c>
      <c r="Y161">
        <f>HYPERLINK("https://klasma.github.io/Logging_0980/tillsynsmail/A 44304-2021 tillsynsbegäran mail.docx", "A 44304-2021")</f>
        <v/>
      </c>
    </row>
    <row r="162" ht="15" customHeight="1">
      <c r="A162" t="inlineStr">
        <is>
          <t>A 447-2023</t>
        </is>
      </c>
      <c r="B162" s="1" t="n">
        <v>44929</v>
      </c>
      <c r="C162" s="1" t="n">
        <v>46143</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10013-2026</t>
        </is>
      </c>
      <c r="B163" s="1" t="n">
        <v>46073</v>
      </c>
      <c r="C163" s="1" t="n">
        <v>46143</v>
      </c>
      <c r="D163" t="inlineStr">
        <is>
          <t>GOTLANDS LÄN</t>
        </is>
      </c>
      <c r="E163" t="inlineStr">
        <is>
          <t>GOTLAND</t>
        </is>
      </c>
      <c r="G163" t="n">
        <v>10.5</v>
      </c>
      <c r="H163" t="n">
        <v>0</v>
      </c>
      <c r="I163" t="n">
        <v>0</v>
      </c>
      <c r="J163" t="n">
        <v>0</v>
      </c>
      <c r="K163" t="n">
        <v>1</v>
      </c>
      <c r="L163" t="n">
        <v>0</v>
      </c>
      <c r="M163" t="n">
        <v>0</v>
      </c>
      <c r="N163" t="n">
        <v>0</v>
      </c>
      <c r="O163" t="n">
        <v>1</v>
      </c>
      <c r="P163" t="n">
        <v>1</v>
      </c>
      <c r="Q163" t="n">
        <v>1</v>
      </c>
      <c r="R163" s="2" t="inlineStr">
        <is>
          <t>Skogskorn</t>
        </is>
      </c>
      <c r="S163">
        <f>HYPERLINK("https://klasma.github.io/Logging_0980/artfynd/A 10013-2026 artfynd.xlsx", "A 10013-2026")</f>
        <v/>
      </c>
      <c r="T163">
        <f>HYPERLINK("https://klasma.github.io/Logging_0980/kartor/A 10013-2026 karta.png", "A 10013-2026")</f>
        <v/>
      </c>
      <c r="V163">
        <f>HYPERLINK("https://klasma.github.io/Logging_0980/klagomål/A 10013-2026 FSC-klagomål.docx", "A 10013-2026")</f>
        <v/>
      </c>
      <c r="W163">
        <f>HYPERLINK("https://klasma.github.io/Logging_0980/klagomålsmail/A 10013-2026 FSC-klagomål mail.docx", "A 10013-2026")</f>
        <v/>
      </c>
      <c r="X163">
        <f>HYPERLINK("https://klasma.github.io/Logging_0980/tillsyn/A 10013-2026 tillsynsbegäran.docx", "A 10013-2026")</f>
        <v/>
      </c>
      <c r="Y163">
        <f>HYPERLINK("https://klasma.github.io/Logging_0980/tillsynsmail/A 10013-2026 tillsynsbegäran mail.docx", "A 10013-2026")</f>
        <v/>
      </c>
    </row>
    <row r="164" ht="15" customHeight="1">
      <c r="A164" t="inlineStr">
        <is>
          <t>A 34809-2024</t>
        </is>
      </c>
      <c r="B164" s="1" t="n">
        <v>45526</v>
      </c>
      <c r="C164" s="1" t="n">
        <v>46143</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63149-2025</t>
        </is>
      </c>
      <c r="B165" s="1" t="n">
        <v>46010</v>
      </c>
      <c r="C165" s="1" t="n">
        <v>46143</v>
      </c>
      <c r="D165" t="inlineStr">
        <is>
          <t>GOTLANDS LÄN</t>
        </is>
      </c>
      <c r="E165" t="inlineStr">
        <is>
          <t>GOTLAND</t>
        </is>
      </c>
      <c r="G165" t="n">
        <v>4.3</v>
      </c>
      <c r="H165" t="n">
        <v>0</v>
      </c>
      <c r="I165" t="n">
        <v>1</v>
      </c>
      <c r="J165" t="n">
        <v>0</v>
      </c>
      <c r="K165" t="n">
        <v>0</v>
      </c>
      <c r="L165" t="n">
        <v>0</v>
      </c>
      <c r="M165" t="n">
        <v>0</v>
      </c>
      <c r="N165" t="n">
        <v>0</v>
      </c>
      <c r="O165" t="n">
        <v>0</v>
      </c>
      <c r="P165" t="n">
        <v>0</v>
      </c>
      <c r="Q165" t="n">
        <v>1</v>
      </c>
      <c r="R165" s="2" t="inlineStr">
        <is>
          <t>Anisspindling</t>
        </is>
      </c>
      <c r="S165">
        <f>HYPERLINK("https://klasma.github.io/Logging_0980/artfynd/A 63149-2025 artfynd.xlsx", "A 63149-2025")</f>
        <v/>
      </c>
      <c r="T165">
        <f>HYPERLINK("https://klasma.github.io/Logging_0980/kartor/A 63149-2025 karta.png", "A 63149-2025")</f>
        <v/>
      </c>
      <c r="V165">
        <f>HYPERLINK("https://klasma.github.io/Logging_0980/klagomål/A 63149-2025 FSC-klagomål.docx", "A 63149-2025")</f>
        <v/>
      </c>
      <c r="W165">
        <f>HYPERLINK("https://klasma.github.io/Logging_0980/klagomålsmail/A 63149-2025 FSC-klagomål mail.docx", "A 63149-2025")</f>
        <v/>
      </c>
      <c r="X165">
        <f>HYPERLINK("https://klasma.github.io/Logging_0980/tillsyn/A 63149-2025 tillsynsbegäran.docx", "A 63149-2025")</f>
        <v/>
      </c>
      <c r="Y165">
        <f>HYPERLINK("https://klasma.github.io/Logging_0980/tillsynsmail/A 63149-2025 tillsynsbegäran mail.docx", "A 63149-2025")</f>
        <v/>
      </c>
    </row>
    <row r="166" ht="15" customHeight="1">
      <c r="A166" t="inlineStr">
        <is>
          <t>A 17854-2026</t>
        </is>
      </c>
      <c r="B166" s="1" t="n">
        <v>46121</v>
      </c>
      <c r="C166" s="1" t="n">
        <v>46143</v>
      </c>
      <c r="D166" t="inlineStr">
        <is>
          <t>GOTLANDS LÄN</t>
        </is>
      </c>
      <c r="E166" t="inlineStr">
        <is>
          <t>GOTLAND</t>
        </is>
      </c>
      <c r="G166" t="n">
        <v>6.6</v>
      </c>
      <c r="H166" t="n">
        <v>0</v>
      </c>
      <c r="I166" t="n">
        <v>1</v>
      </c>
      <c r="J166" t="n">
        <v>0</v>
      </c>
      <c r="K166" t="n">
        <v>0</v>
      </c>
      <c r="L166" t="n">
        <v>0</v>
      </c>
      <c r="M166" t="n">
        <v>0</v>
      </c>
      <c r="N166" t="n">
        <v>0</v>
      </c>
      <c r="O166" t="n">
        <v>0</v>
      </c>
      <c r="P166" t="n">
        <v>0</v>
      </c>
      <c r="Q166" t="n">
        <v>1</v>
      </c>
      <c r="R166" s="2" t="inlineStr">
        <is>
          <t>Blå slemspindling</t>
        </is>
      </c>
      <c r="S166">
        <f>HYPERLINK("https://klasma.github.io/Logging_0980/artfynd/A 17854-2026 artfynd.xlsx", "A 17854-2026")</f>
        <v/>
      </c>
      <c r="T166">
        <f>HYPERLINK("https://klasma.github.io/Logging_0980/kartor/A 17854-2026 karta.png", "A 17854-2026")</f>
        <v/>
      </c>
      <c r="V166">
        <f>HYPERLINK("https://klasma.github.io/Logging_0980/klagomål/A 17854-2026 FSC-klagomål.docx", "A 17854-2026")</f>
        <v/>
      </c>
      <c r="W166">
        <f>HYPERLINK("https://klasma.github.io/Logging_0980/klagomålsmail/A 17854-2026 FSC-klagomål mail.docx", "A 17854-2026")</f>
        <v/>
      </c>
      <c r="X166">
        <f>HYPERLINK("https://klasma.github.io/Logging_0980/tillsyn/A 17854-2026 tillsynsbegäran.docx", "A 17854-2026")</f>
        <v/>
      </c>
      <c r="Y166">
        <f>HYPERLINK("https://klasma.github.io/Logging_0980/tillsynsmail/A 17854-2026 tillsynsbegäran mail.docx", "A 17854-2026")</f>
        <v/>
      </c>
    </row>
    <row r="167" ht="15" customHeight="1">
      <c r="A167" t="inlineStr">
        <is>
          <t>A 11708-2026</t>
        </is>
      </c>
      <c r="B167" s="1" t="n">
        <v>46084</v>
      </c>
      <c r="C167" s="1" t="n">
        <v>46143</v>
      </c>
      <c r="D167" t="inlineStr">
        <is>
          <t>GOTLANDS LÄN</t>
        </is>
      </c>
      <c r="E167" t="inlineStr">
        <is>
          <t>GOTLAND</t>
        </is>
      </c>
      <c r="G167" t="n">
        <v>8.4</v>
      </c>
      <c r="H167" t="n">
        <v>1</v>
      </c>
      <c r="I167" t="n">
        <v>0</v>
      </c>
      <c r="J167" t="n">
        <v>1</v>
      </c>
      <c r="K167" t="n">
        <v>0</v>
      </c>
      <c r="L167" t="n">
        <v>0</v>
      </c>
      <c r="M167" t="n">
        <v>0</v>
      </c>
      <c r="N167" t="n">
        <v>0</v>
      </c>
      <c r="O167" t="n">
        <v>1</v>
      </c>
      <c r="P167" t="n">
        <v>0</v>
      </c>
      <c r="Q167" t="n">
        <v>1</v>
      </c>
      <c r="R167" s="2" t="inlineStr">
        <is>
          <t>Bredarun</t>
        </is>
      </c>
      <c r="S167">
        <f>HYPERLINK("https://klasma.github.io/Logging_0980/artfynd/A 11708-2026 artfynd.xlsx", "A 11708-2026")</f>
        <v/>
      </c>
      <c r="T167">
        <f>HYPERLINK("https://klasma.github.io/Logging_0980/kartor/A 11708-2026 karta.png", "A 11708-2026")</f>
        <v/>
      </c>
      <c r="V167">
        <f>HYPERLINK("https://klasma.github.io/Logging_0980/klagomål/A 11708-2026 FSC-klagomål.docx", "A 11708-2026")</f>
        <v/>
      </c>
      <c r="W167">
        <f>HYPERLINK("https://klasma.github.io/Logging_0980/klagomålsmail/A 11708-2026 FSC-klagomål mail.docx", "A 11708-2026")</f>
        <v/>
      </c>
      <c r="X167">
        <f>HYPERLINK("https://klasma.github.io/Logging_0980/tillsyn/A 11708-2026 tillsynsbegäran.docx", "A 11708-2026")</f>
        <v/>
      </c>
      <c r="Y167">
        <f>HYPERLINK("https://klasma.github.io/Logging_0980/tillsynsmail/A 11708-2026 tillsynsbegäran mail.docx", "A 11708-2026")</f>
        <v/>
      </c>
    </row>
    <row r="168" ht="15" customHeight="1">
      <c r="A168" t="inlineStr">
        <is>
          <t>A 49304-2024</t>
        </is>
      </c>
      <c r="B168" s="1" t="n">
        <v>45595.54996527778</v>
      </c>
      <c r="C168" s="1" t="n">
        <v>46143</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18036-2026</t>
        </is>
      </c>
      <c r="B169" s="1" t="n">
        <v>46125.39576388889</v>
      </c>
      <c r="C169" s="1" t="n">
        <v>46143</v>
      </c>
      <c r="D169" t="inlineStr">
        <is>
          <t>GOTLANDS LÄN</t>
        </is>
      </c>
      <c r="E169" t="inlineStr">
        <is>
          <t>GOTLAND</t>
        </is>
      </c>
      <c r="G169" t="n">
        <v>1.8</v>
      </c>
      <c r="H169" t="n">
        <v>0</v>
      </c>
      <c r="I169" t="n">
        <v>0</v>
      </c>
      <c r="J169" t="n">
        <v>1</v>
      </c>
      <c r="K169" t="n">
        <v>0</v>
      </c>
      <c r="L169" t="n">
        <v>0</v>
      </c>
      <c r="M169" t="n">
        <v>0</v>
      </c>
      <c r="N169" t="n">
        <v>0</v>
      </c>
      <c r="O169" t="n">
        <v>1</v>
      </c>
      <c r="P169" t="n">
        <v>0</v>
      </c>
      <c r="Q169" t="n">
        <v>1</v>
      </c>
      <c r="R169" s="2" t="inlineStr">
        <is>
          <t>Sommarfibbla</t>
        </is>
      </c>
      <c r="S169">
        <f>HYPERLINK("https://klasma.github.io/Logging_0980/artfynd/A 18036-2026 artfynd.xlsx", "A 18036-2026")</f>
        <v/>
      </c>
      <c r="T169">
        <f>HYPERLINK("https://klasma.github.io/Logging_0980/kartor/A 18036-2026 karta.png", "A 18036-2026")</f>
        <v/>
      </c>
      <c r="V169">
        <f>HYPERLINK("https://klasma.github.io/Logging_0980/klagomål/A 18036-2026 FSC-klagomål.docx", "A 18036-2026")</f>
        <v/>
      </c>
      <c r="W169">
        <f>HYPERLINK("https://klasma.github.io/Logging_0980/klagomålsmail/A 18036-2026 FSC-klagomål mail.docx", "A 18036-2026")</f>
        <v/>
      </c>
      <c r="X169">
        <f>HYPERLINK("https://klasma.github.io/Logging_0980/tillsyn/A 18036-2026 tillsynsbegäran.docx", "A 18036-2026")</f>
        <v/>
      </c>
      <c r="Y169">
        <f>HYPERLINK("https://klasma.github.io/Logging_0980/tillsynsmail/A 18036-2026 tillsynsbegäran mail.docx", "A 18036-2026")</f>
        <v/>
      </c>
    </row>
    <row r="170" ht="15" customHeight="1">
      <c r="A170" t="inlineStr">
        <is>
          <t>A 22782-2023</t>
        </is>
      </c>
      <c r="B170" s="1" t="n">
        <v>45072</v>
      </c>
      <c r="C170" s="1" t="n">
        <v>46143</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46143</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13482-2026</t>
        </is>
      </c>
      <c r="B172" s="1" t="n">
        <v>46094</v>
      </c>
      <c r="C172" s="1" t="n">
        <v>46143</v>
      </c>
      <c r="D172" t="inlineStr">
        <is>
          <t>GOTLANDS LÄN</t>
        </is>
      </c>
      <c r="E172" t="inlineStr">
        <is>
          <t>GOTLAND</t>
        </is>
      </c>
      <c r="G172" t="n">
        <v>1.7</v>
      </c>
      <c r="H172" t="n">
        <v>1</v>
      </c>
      <c r="I172" t="n">
        <v>0</v>
      </c>
      <c r="J172" t="n">
        <v>1</v>
      </c>
      <c r="K172" t="n">
        <v>0</v>
      </c>
      <c r="L172" t="n">
        <v>0</v>
      </c>
      <c r="M172" t="n">
        <v>0</v>
      </c>
      <c r="N172" t="n">
        <v>0</v>
      </c>
      <c r="O172" t="n">
        <v>1</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1477-2024</t>
        </is>
      </c>
      <c r="B173" s="1" t="n">
        <v>45305.37987268518</v>
      </c>
      <c r="C173" s="1" t="n">
        <v>46143</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7637-2025</t>
        </is>
      </c>
      <c r="B174" s="1" t="n">
        <v>45705.77181712963</v>
      </c>
      <c r="C174" s="1" t="n">
        <v>46143</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61796-2022</t>
        </is>
      </c>
      <c r="B175" s="1" t="n">
        <v>44917</v>
      </c>
      <c r="C175" s="1" t="n">
        <v>46143</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46143</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46143</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46143</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46143</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46143</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46143</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46143</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46143</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46143</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46143</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46143</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36313-2021</t>
        </is>
      </c>
      <c r="B187" s="1" t="n">
        <v>44390</v>
      </c>
      <c r="C187" s="1" t="n">
        <v>46143</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46143</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46143</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46143</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46143</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46143</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46143</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46143</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46143</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46143</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46143</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46143</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46143</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46143</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46143</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46143</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46143</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46143</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46143</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46143</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71010-2021</t>
        </is>
      </c>
      <c r="B208" s="1" t="n">
        <v>44538.63775462963</v>
      </c>
      <c r="C208" s="1" t="n">
        <v>46143</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22495-2022</t>
        </is>
      </c>
      <c r="B209" s="1" t="n">
        <v>44713.6452199074</v>
      </c>
      <c r="C209" s="1" t="n">
        <v>46143</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46143</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46143</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46143</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46143</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23910-2021</t>
        </is>
      </c>
      <c r="B214" s="1" t="n">
        <v>44335</v>
      </c>
      <c r="C214" s="1" t="n">
        <v>46143</v>
      </c>
      <c r="D214" t="inlineStr">
        <is>
          <t>GOTLANDS LÄN</t>
        </is>
      </c>
      <c r="E214" t="inlineStr">
        <is>
          <t>GOTLAND</t>
        </is>
      </c>
      <c r="G214" t="n">
        <v>1.5</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46143</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46143</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46143</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46143</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46143</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46143</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46143</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17901-2023</t>
        </is>
      </c>
      <c r="B222" s="1" t="n">
        <v>45039</v>
      </c>
      <c r="C222" s="1" t="n">
        <v>46143</v>
      </c>
      <c r="D222" t="inlineStr">
        <is>
          <t>GOTLANDS LÄN</t>
        </is>
      </c>
      <c r="E222" t="inlineStr">
        <is>
          <t>GOTLAND</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46143</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58476-2022</t>
        </is>
      </c>
      <c r="B224" s="1" t="n">
        <v>44902</v>
      </c>
      <c r="C224" s="1" t="n">
        <v>46143</v>
      </c>
      <c r="D224" t="inlineStr">
        <is>
          <t>GOTLANDS LÄN</t>
        </is>
      </c>
      <c r="E224" t="inlineStr">
        <is>
          <t>GOTLAND</t>
        </is>
      </c>
      <c r="G224" t="n">
        <v>0.9</v>
      </c>
      <c r="H224" t="n">
        <v>0</v>
      </c>
      <c r="I224" t="n">
        <v>0</v>
      </c>
      <c r="J224" t="n">
        <v>0</v>
      </c>
      <c r="K224" t="n">
        <v>0</v>
      </c>
      <c r="L224" t="n">
        <v>0</v>
      </c>
      <c r="M224" t="n">
        <v>0</v>
      </c>
      <c r="N224" t="n">
        <v>0</v>
      </c>
      <c r="O224" t="n">
        <v>0</v>
      </c>
      <c r="P224" t="n">
        <v>0</v>
      </c>
      <c r="Q224" t="n">
        <v>0</v>
      </c>
      <c r="R224" s="2" t="inlineStr"/>
    </row>
    <row r="225" ht="15" customHeight="1">
      <c r="A225" t="inlineStr">
        <is>
          <t>A 61596-2023</t>
        </is>
      </c>
      <c r="B225" s="1" t="n">
        <v>45265</v>
      </c>
      <c r="C225" s="1" t="n">
        <v>46143</v>
      </c>
      <c r="D225" t="inlineStr">
        <is>
          <t>GOTLANDS LÄN</t>
        </is>
      </c>
      <c r="E225" t="inlineStr">
        <is>
          <t>GOTLAND</t>
        </is>
      </c>
      <c r="G225" t="n">
        <v>1.7</v>
      </c>
      <c r="H225" t="n">
        <v>0</v>
      </c>
      <c r="I225" t="n">
        <v>0</v>
      </c>
      <c r="J225" t="n">
        <v>0</v>
      </c>
      <c r="K225" t="n">
        <v>0</v>
      </c>
      <c r="L225" t="n">
        <v>0</v>
      </c>
      <c r="M225" t="n">
        <v>0</v>
      </c>
      <c r="N225" t="n">
        <v>0</v>
      </c>
      <c r="O225" t="n">
        <v>0</v>
      </c>
      <c r="P225" t="n">
        <v>0</v>
      </c>
      <c r="Q225" t="n">
        <v>0</v>
      </c>
      <c r="R225" s="2" t="inlineStr"/>
    </row>
    <row r="226" ht="15" customHeight="1">
      <c r="A226" t="inlineStr">
        <is>
          <t>A 873-2024</t>
        </is>
      </c>
      <c r="B226" s="1" t="n">
        <v>45301</v>
      </c>
      <c r="C226" s="1" t="n">
        <v>46143</v>
      </c>
      <c r="D226" t="inlineStr">
        <is>
          <t>GOTLANDS LÄN</t>
        </is>
      </c>
      <c r="E226" t="inlineStr">
        <is>
          <t>GOTLAND</t>
        </is>
      </c>
      <c r="G226" t="n">
        <v>2.7</v>
      </c>
      <c r="H226" t="n">
        <v>0</v>
      </c>
      <c r="I226" t="n">
        <v>0</v>
      </c>
      <c r="J226" t="n">
        <v>0</v>
      </c>
      <c r="K226" t="n">
        <v>0</v>
      </c>
      <c r="L226" t="n">
        <v>0</v>
      </c>
      <c r="M226" t="n">
        <v>0</v>
      </c>
      <c r="N226" t="n">
        <v>0</v>
      </c>
      <c r="O226" t="n">
        <v>0</v>
      </c>
      <c r="P226" t="n">
        <v>0</v>
      </c>
      <c r="Q226" t="n">
        <v>0</v>
      </c>
      <c r="R226" s="2" t="inlineStr"/>
    </row>
    <row r="227" ht="15" customHeight="1">
      <c r="A227" t="inlineStr">
        <is>
          <t>A 44228-2022</t>
        </is>
      </c>
      <c r="B227" s="1" t="n">
        <v>44839.51599537037</v>
      </c>
      <c r="C227" s="1" t="n">
        <v>46143</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63229-2021</t>
        </is>
      </c>
      <c r="B228" s="1" t="n">
        <v>44508.34518518519</v>
      </c>
      <c r="C228" s="1" t="n">
        <v>46143</v>
      </c>
      <c r="D228" t="inlineStr">
        <is>
          <t>GOTLANDS LÄN</t>
        </is>
      </c>
      <c r="E228" t="inlineStr">
        <is>
          <t>GOTLAND</t>
        </is>
      </c>
      <c r="F228" t="inlineStr">
        <is>
          <t>Kyrkan</t>
        </is>
      </c>
      <c r="G228" t="n">
        <v>3.8</v>
      </c>
      <c r="H228" t="n">
        <v>0</v>
      </c>
      <c r="I228" t="n">
        <v>0</v>
      </c>
      <c r="J228" t="n">
        <v>0</v>
      </c>
      <c r="K228" t="n">
        <v>0</v>
      </c>
      <c r="L228" t="n">
        <v>0</v>
      </c>
      <c r="M228" t="n">
        <v>0</v>
      </c>
      <c r="N228" t="n">
        <v>0</v>
      </c>
      <c r="O228" t="n">
        <v>0</v>
      </c>
      <c r="P228" t="n">
        <v>0</v>
      </c>
      <c r="Q228" t="n">
        <v>0</v>
      </c>
      <c r="R228" s="2" t="inlineStr"/>
    </row>
    <row r="229" ht="15" customHeight="1">
      <c r="A229" t="inlineStr">
        <is>
          <t>A 61386-2023</t>
        </is>
      </c>
      <c r="B229" s="1" t="n">
        <v>45264</v>
      </c>
      <c r="C229" s="1" t="n">
        <v>46143</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27593-2023</t>
        </is>
      </c>
      <c r="B230" s="1" t="n">
        <v>45097</v>
      </c>
      <c r="C230" s="1" t="n">
        <v>46143</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25129-2023</t>
        </is>
      </c>
      <c r="B231" s="1" t="n">
        <v>45086.44261574074</v>
      </c>
      <c r="C231" s="1" t="n">
        <v>46143</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56009-2024</t>
        </is>
      </c>
      <c r="B232" s="1" t="n">
        <v>45623.80864583333</v>
      </c>
      <c r="C232" s="1" t="n">
        <v>46143</v>
      </c>
      <c r="D232" t="inlineStr">
        <is>
          <t>GOTLANDS LÄN</t>
        </is>
      </c>
      <c r="E232" t="inlineStr">
        <is>
          <t>GOTLAND</t>
        </is>
      </c>
      <c r="G232" t="n">
        <v>2.8</v>
      </c>
      <c r="H232" t="n">
        <v>0</v>
      </c>
      <c r="I232" t="n">
        <v>0</v>
      </c>
      <c r="J232" t="n">
        <v>0</v>
      </c>
      <c r="K232" t="n">
        <v>0</v>
      </c>
      <c r="L232" t="n">
        <v>0</v>
      </c>
      <c r="M232" t="n">
        <v>0</v>
      </c>
      <c r="N232" t="n">
        <v>0</v>
      </c>
      <c r="O232" t="n">
        <v>0</v>
      </c>
      <c r="P232" t="n">
        <v>0</v>
      </c>
      <c r="Q232" t="n">
        <v>0</v>
      </c>
      <c r="R232" s="2" t="inlineStr"/>
    </row>
    <row r="233" ht="15" customHeight="1">
      <c r="A233" t="inlineStr">
        <is>
          <t>A 45106-2024</t>
        </is>
      </c>
      <c r="B233" s="1" t="n">
        <v>45575</v>
      </c>
      <c r="C233" s="1" t="n">
        <v>46143</v>
      </c>
      <c r="D233" t="inlineStr">
        <is>
          <t>GOTLANDS LÄN</t>
        </is>
      </c>
      <c r="E233" t="inlineStr">
        <is>
          <t>GOTLAND</t>
        </is>
      </c>
      <c r="G233" t="n">
        <v>10</v>
      </c>
      <c r="H233" t="n">
        <v>0</v>
      </c>
      <c r="I233" t="n">
        <v>0</v>
      </c>
      <c r="J233" t="n">
        <v>0</v>
      </c>
      <c r="K233" t="n">
        <v>0</v>
      </c>
      <c r="L233" t="n">
        <v>0</v>
      </c>
      <c r="M233" t="n">
        <v>0</v>
      </c>
      <c r="N233" t="n">
        <v>0</v>
      </c>
      <c r="O233" t="n">
        <v>0</v>
      </c>
      <c r="P233" t="n">
        <v>0</v>
      </c>
      <c r="Q233" t="n">
        <v>0</v>
      </c>
      <c r="R233" s="2" t="inlineStr"/>
    </row>
    <row r="234" ht="15" customHeight="1">
      <c r="A234" t="inlineStr">
        <is>
          <t>A 45112-2024</t>
        </is>
      </c>
      <c r="B234" s="1" t="n">
        <v>45575</v>
      </c>
      <c r="C234" s="1" t="n">
        <v>46143</v>
      </c>
      <c r="D234" t="inlineStr">
        <is>
          <t>GOTLANDS LÄN</t>
        </is>
      </c>
      <c r="E234" t="inlineStr">
        <is>
          <t>GOTLAND</t>
        </is>
      </c>
      <c r="G234" t="n">
        <v>5.1</v>
      </c>
      <c r="H234" t="n">
        <v>0</v>
      </c>
      <c r="I234" t="n">
        <v>0</v>
      </c>
      <c r="J234" t="n">
        <v>0</v>
      </c>
      <c r="K234" t="n">
        <v>0</v>
      </c>
      <c r="L234" t="n">
        <v>0</v>
      </c>
      <c r="M234" t="n">
        <v>0</v>
      </c>
      <c r="N234" t="n">
        <v>0</v>
      </c>
      <c r="O234" t="n">
        <v>0</v>
      </c>
      <c r="P234" t="n">
        <v>0</v>
      </c>
      <c r="Q234" t="n">
        <v>0</v>
      </c>
      <c r="R234" s="2" t="inlineStr"/>
    </row>
    <row r="235" ht="15" customHeight="1">
      <c r="A235" t="inlineStr">
        <is>
          <t>A 54073-2022</t>
        </is>
      </c>
      <c r="B235" s="1" t="n">
        <v>44881.50380787037</v>
      </c>
      <c r="C235" s="1" t="n">
        <v>46143</v>
      </c>
      <c r="D235" t="inlineStr">
        <is>
          <t>GOTLANDS LÄN</t>
        </is>
      </c>
      <c r="E235" t="inlineStr">
        <is>
          <t>GOTLAND</t>
        </is>
      </c>
      <c r="G235" t="n">
        <v>3.8</v>
      </c>
      <c r="H235" t="n">
        <v>0</v>
      </c>
      <c r="I235" t="n">
        <v>0</v>
      </c>
      <c r="J235" t="n">
        <v>0</v>
      </c>
      <c r="K235" t="n">
        <v>0</v>
      </c>
      <c r="L235" t="n">
        <v>0</v>
      </c>
      <c r="M235" t="n">
        <v>0</v>
      </c>
      <c r="N235" t="n">
        <v>0</v>
      </c>
      <c r="O235" t="n">
        <v>0</v>
      </c>
      <c r="P235" t="n">
        <v>0</v>
      </c>
      <c r="Q235" t="n">
        <v>0</v>
      </c>
      <c r="R235" s="2" t="inlineStr"/>
    </row>
    <row r="236" ht="15" customHeight="1">
      <c r="A236" t="inlineStr">
        <is>
          <t>A 3964-2024</t>
        </is>
      </c>
      <c r="B236" s="1" t="n">
        <v>45322</v>
      </c>
      <c r="C236" s="1" t="n">
        <v>46143</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7026-2023</t>
        </is>
      </c>
      <c r="B237" s="1" t="n">
        <v>44968.30340277778</v>
      </c>
      <c r="C237" s="1" t="n">
        <v>46143</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52892-2021</t>
        </is>
      </c>
      <c r="B238" s="1" t="n">
        <v>44467.49048611111</v>
      </c>
      <c r="C238" s="1" t="n">
        <v>46143</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49874-2024</t>
        </is>
      </c>
      <c r="B239" s="1" t="n">
        <v>45597.49274305555</v>
      </c>
      <c r="C239" s="1" t="n">
        <v>46143</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1351-2025</t>
        </is>
      </c>
      <c r="B240" s="1" t="n">
        <v>45667.62246527777</v>
      </c>
      <c r="C240" s="1" t="n">
        <v>46143</v>
      </c>
      <c r="D240" t="inlineStr">
        <is>
          <t>GOTLANDS LÄN</t>
        </is>
      </c>
      <c r="E240" t="inlineStr">
        <is>
          <t>GOTLAND</t>
        </is>
      </c>
      <c r="G240" t="n">
        <v>1.3</v>
      </c>
      <c r="H240" t="n">
        <v>0</v>
      </c>
      <c r="I240" t="n">
        <v>0</v>
      </c>
      <c r="J240" t="n">
        <v>0</v>
      </c>
      <c r="K240" t="n">
        <v>0</v>
      </c>
      <c r="L240" t="n">
        <v>0</v>
      </c>
      <c r="M240" t="n">
        <v>0</v>
      </c>
      <c r="N240" t="n">
        <v>0</v>
      </c>
      <c r="O240" t="n">
        <v>0</v>
      </c>
      <c r="P240" t="n">
        <v>0</v>
      </c>
      <c r="Q240" t="n">
        <v>0</v>
      </c>
      <c r="R240" s="2" t="inlineStr"/>
    </row>
    <row r="241" ht="15" customHeight="1">
      <c r="A241" t="inlineStr">
        <is>
          <t>A 51782-2023</t>
        </is>
      </c>
      <c r="B241" s="1" t="n">
        <v>45222.80952546297</v>
      </c>
      <c r="C241" s="1" t="n">
        <v>46143</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44496.64855324074</v>
      </c>
      <c r="C242" s="1" t="n">
        <v>46143</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23856-2025</t>
        </is>
      </c>
      <c r="B243" s="1" t="n">
        <v>45793</v>
      </c>
      <c r="C243" s="1" t="n">
        <v>46143</v>
      </c>
      <c r="D243" t="inlineStr">
        <is>
          <t>GOTLANDS LÄN</t>
        </is>
      </c>
      <c r="E243" t="inlineStr">
        <is>
          <t>GOTLAND</t>
        </is>
      </c>
      <c r="G243" t="n">
        <v>4.4</v>
      </c>
      <c r="H243" t="n">
        <v>0</v>
      </c>
      <c r="I243" t="n">
        <v>0</v>
      </c>
      <c r="J243" t="n">
        <v>0</v>
      </c>
      <c r="K243" t="n">
        <v>0</v>
      </c>
      <c r="L243" t="n">
        <v>0</v>
      </c>
      <c r="M243" t="n">
        <v>0</v>
      </c>
      <c r="N243" t="n">
        <v>0</v>
      </c>
      <c r="O243" t="n">
        <v>0</v>
      </c>
      <c r="P243" t="n">
        <v>0</v>
      </c>
      <c r="Q243" t="n">
        <v>0</v>
      </c>
      <c r="R243" s="2" t="inlineStr"/>
    </row>
    <row r="244" ht="15" customHeight="1">
      <c r="A244" t="inlineStr">
        <is>
          <t>A 23473-2025</t>
        </is>
      </c>
      <c r="B244" s="1" t="n">
        <v>45792</v>
      </c>
      <c r="C244" s="1" t="n">
        <v>46143</v>
      </c>
      <c r="D244" t="inlineStr">
        <is>
          <t>GOTLANDS LÄN</t>
        </is>
      </c>
      <c r="E244" t="inlineStr">
        <is>
          <t>GOTLAND</t>
        </is>
      </c>
      <c r="G244" t="n">
        <v>3.6</v>
      </c>
      <c r="H244" t="n">
        <v>0</v>
      </c>
      <c r="I244" t="n">
        <v>0</v>
      </c>
      <c r="J244" t="n">
        <v>0</v>
      </c>
      <c r="K244" t="n">
        <v>0</v>
      </c>
      <c r="L244" t="n">
        <v>0</v>
      </c>
      <c r="M244" t="n">
        <v>0</v>
      </c>
      <c r="N244" t="n">
        <v>0</v>
      </c>
      <c r="O244" t="n">
        <v>0</v>
      </c>
      <c r="P244" t="n">
        <v>0</v>
      </c>
      <c r="Q244" t="n">
        <v>0</v>
      </c>
      <c r="R244" s="2" t="inlineStr"/>
    </row>
    <row r="245" ht="15" customHeight="1">
      <c r="A245" t="inlineStr">
        <is>
          <t>A 5217-2023</t>
        </is>
      </c>
      <c r="B245" s="1" t="n">
        <v>44959.39582175926</v>
      </c>
      <c r="C245" s="1" t="n">
        <v>46143</v>
      </c>
      <c r="D245" t="inlineStr">
        <is>
          <t>GOTLANDS LÄN</t>
        </is>
      </c>
      <c r="E245" t="inlineStr">
        <is>
          <t>GOTLAND</t>
        </is>
      </c>
      <c r="G245" t="n">
        <v>1.9</v>
      </c>
      <c r="H245" t="n">
        <v>0</v>
      </c>
      <c r="I245" t="n">
        <v>0</v>
      </c>
      <c r="J245" t="n">
        <v>0</v>
      </c>
      <c r="K245" t="n">
        <v>0</v>
      </c>
      <c r="L245" t="n">
        <v>0</v>
      </c>
      <c r="M245" t="n">
        <v>0</v>
      </c>
      <c r="N245" t="n">
        <v>0</v>
      </c>
      <c r="O245" t="n">
        <v>0</v>
      </c>
      <c r="P245" t="n">
        <v>0</v>
      </c>
      <c r="Q245" t="n">
        <v>0</v>
      </c>
      <c r="R245" s="2" t="inlineStr"/>
    </row>
    <row r="246" ht="15" customHeight="1">
      <c r="A246" t="inlineStr">
        <is>
          <t>A 23698-2025</t>
        </is>
      </c>
      <c r="B246" s="1" t="n">
        <v>45793</v>
      </c>
      <c r="C246" s="1" t="n">
        <v>46143</v>
      </c>
      <c r="D246" t="inlineStr">
        <is>
          <t>GOTLANDS LÄN</t>
        </is>
      </c>
      <c r="E246" t="inlineStr">
        <is>
          <t>GOTLAND</t>
        </is>
      </c>
      <c r="G246" t="n">
        <v>0.8</v>
      </c>
      <c r="H246" t="n">
        <v>0</v>
      </c>
      <c r="I246" t="n">
        <v>0</v>
      </c>
      <c r="J246" t="n">
        <v>0</v>
      </c>
      <c r="K246" t="n">
        <v>0</v>
      </c>
      <c r="L246" t="n">
        <v>0</v>
      </c>
      <c r="M246" t="n">
        <v>0</v>
      </c>
      <c r="N246" t="n">
        <v>0</v>
      </c>
      <c r="O246" t="n">
        <v>0</v>
      </c>
      <c r="P246" t="n">
        <v>0</v>
      </c>
      <c r="Q246" t="n">
        <v>0</v>
      </c>
      <c r="R246" s="2" t="inlineStr"/>
    </row>
    <row r="247" ht="15" customHeight="1">
      <c r="A247" t="inlineStr">
        <is>
          <t>A 14638-2025</t>
        </is>
      </c>
      <c r="B247" s="1" t="n">
        <v>45742</v>
      </c>
      <c r="C247" s="1" t="n">
        <v>46143</v>
      </c>
      <c r="D247" t="inlineStr">
        <is>
          <t>GOTLANDS LÄN</t>
        </is>
      </c>
      <c r="E247" t="inlineStr">
        <is>
          <t>GOTLAND</t>
        </is>
      </c>
      <c r="G247" t="n">
        <v>13.4</v>
      </c>
      <c r="H247" t="n">
        <v>0</v>
      </c>
      <c r="I247" t="n">
        <v>0</v>
      </c>
      <c r="J247" t="n">
        <v>0</v>
      </c>
      <c r="K247" t="n">
        <v>0</v>
      </c>
      <c r="L247" t="n">
        <v>0</v>
      </c>
      <c r="M247" t="n">
        <v>0</v>
      </c>
      <c r="N247" t="n">
        <v>0</v>
      </c>
      <c r="O247" t="n">
        <v>0</v>
      </c>
      <c r="P247" t="n">
        <v>0</v>
      </c>
      <c r="Q247" t="n">
        <v>0</v>
      </c>
      <c r="R247" s="2" t="inlineStr"/>
    </row>
    <row r="248" ht="15" customHeight="1">
      <c r="A248" t="inlineStr">
        <is>
          <t>A 15073-2025</t>
        </is>
      </c>
      <c r="B248" s="1" t="n">
        <v>45743</v>
      </c>
      <c r="C248" s="1" t="n">
        <v>46143</v>
      </c>
      <c r="D248" t="inlineStr">
        <is>
          <t>GOTLANDS LÄN</t>
        </is>
      </c>
      <c r="E248" t="inlineStr">
        <is>
          <t>GOTLAND</t>
        </is>
      </c>
      <c r="G248" t="n">
        <v>12.1</v>
      </c>
      <c r="H248" t="n">
        <v>0</v>
      </c>
      <c r="I248" t="n">
        <v>0</v>
      </c>
      <c r="J248" t="n">
        <v>0</v>
      </c>
      <c r="K248" t="n">
        <v>0</v>
      </c>
      <c r="L248" t="n">
        <v>0</v>
      </c>
      <c r="M248" t="n">
        <v>0</v>
      </c>
      <c r="N248" t="n">
        <v>0</v>
      </c>
      <c r="O248" t="n">
        <v>0</v>
      </c>
      <c r="P248" t="n">
        <v>0</v>
      </c>
      <c r="Q248" t="n">
        <v>0</v>
      </c>
      <c r="R248" s="2" t="inlineStr"/>
    </row>
    <row r="249" ht="15" customHeight="1">
      <c r="A249" t="inlineStr">
        <is>
          <t>A 4421-2024</t>
        </is>
      </c>
      <c r="B249" s="1" t="n">
        <v>45327.45173611111</v>
      </c>
      <c r="C249" s="1" t="n">
        <v>46143</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38649-2025</t>
        </is>
      </c>
      <c r="B250" s="1" t="n">
        <v>45884</v>
      </c>
      <c r="C250" s="1" t="n">
        <v>46143</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20356-2022</t>
        </is>
      </c>
      <c r="B251" s="1" t="n">
        <v>44699</v>
      </c>
      <c r="C251" s="1" t="n">
        <v>46143</v>
      </c>
      <c r="D251" t="inlineStr">
        <is>
          <t>GOTLANDS LÄN</t>
        </is>
      </c>
      <c r="E251" t="inlineStr">
        <is>
          <t>GOTLAND</t>
        </is>
      </c>
      <c r="F251" t="inlineStr">
        <is>
          <t>Övriga Aktiebolag</t>
        </is>
      </c>
      <c r="G251" t="n">
        <v>4.4</v>
      </c>
      <c r="H251" t="n">
        <v>0</v>
      </c>
      <c r="I251" t="n">
        <v>0</v>
      </c>
      <c r="J251" t="n">
        <v>0</v>
      </c>
      <c r="K251" t="n">
        <v>0</v>
      </c>
      <c r="L251" t="n">
        <v>0</v>
      </c>
      <c r="M251" t="n">
        <v>0</v>
      </c>
      <c r="N251" t="n">
        <v>0</v>
      </c>
      <c r="O251" t="n">
        <v>0</v>
      </c>
      <c r="P251" t="n">
        <v>0</v>
      </c>
      <c r="Q251" t="n">
        <v>0</v>
      </c>
      <c r="R251" s="2" t="inlineStr"/>
    </row>
    <row r="252" ht="15" customHeight="1">
      <c r="A252" t="inlineStr">
        <is>
          <t>A 20165-2022</t>
        </is>
      </c>
      <c r="B252" s="1" t="n">
        <v>44698.49854166667</v>
      </c>
      <c r="C252" s="1" t="n">
        <v>46143</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6749-2025</t>
        </is>
      </c>
      <c r="B253" s="1" t="n">
        <v>45700</v>
      </c>
      <c r="C253" s="1" t="n">
        <v>46143</v>
      </c>
      <c r="D253" t="inlineStr">
        <is>
          <t>GOTLANDS LÄN</t>
        </is>
      </c>
      <c r="E253" t="inlineStr">
        <is>
          <t>GOTLAND</t>
        </is>
      </c>
      <c r="G253" t="n">
        <v>4.5</v>
      </c>
      <c r="H253" t="n">
        <v>0</v>
      </c>
      <c r="I253" t="n">
        <v>0</v>
      </c>
      <c r="J253" t="n">
        <v>0</v>
      </c>
      <c r="K253" t="n">
        <v>0</v>
      </c>
      <c r="L253" t="n">
        <v>0</v>
      </c>
      <c r="M253" t="n">
        <v>0</v>
      </c>
      <c r="N253" t="n">
        <v>0</v>
      </c>
      <c r="O253" t="n">
        <v>0</v>
      </c>
      <c r="P253" t="n">
        <v>0</v>
      </c>
      <c r="Q253" t="n">
        <v>0</v>
      </c>
      <c r="R253" s="2" t="inlineStr"/>
    </row>
    <row r="254" ht="15" customHeight="1">
      <c r="A254" t="inlineStr">
        <is>
          <t>A 31264-2021</t>
        </is>
      </c>
      <c r="B254" s="1" t="n">
        <v>44368</v>
      </c>
      <c r="C254" s="1" t="n">
        <v>46143</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33876-2024</t>
        </is>
      </c>
      <c r="B255" s="1" t="n">
        <v>45521.87988425926</v>
      </c>
      <c r="C255" s="1" t="n">
        <v>46143</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5462-2025</t>
        </is>
      </c>
      <c r="B256" s="1" t="n">
        <v>45693.29331018519</v>
      </c>
      <c r="C256" s="1" t="n">
        <v>46143</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35142-2025</t>
        </is>
      </c>
      <c r="B257" s="1" t="n">
        <v>45852.65532407408</v>
      </c>
      <c r="C257" s="1" t="n">
        <v>46143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43223-2023</t>
        </is>
      </c>
      <c r="B258" s="1" t="n">
        <v>45183.45642361111</v>
      </c>
      <c r="C258" s="1" t="n">
        <v>46143</v>
      </c>
      <c r="D258" t="inlineStr">
        <is>
          <t>GOTLANDS LÄN</t>
        </is>
      </c>
      <c r="E258" t="inlineStr">
        <is>
          <t>GOTLAND</t>
        </is>
      </c>
      <c r="G258" t="n">
        <v>1.8</v>
      </c>
      <c r="H258" t="n">
        <v>0</v>
      </c>
      <c r="I258" t="n">
        <v>0</v>
      </c>
      <c r="J258" t="n">
        <v>0</v>
      </c>
      <c r="K258" t="n">
        <v>0</v>
      </c>
      <c r="L258" t="n">
        <v>0</v>
      </c>
      <c r="M258" t="n">
        <v>0</v>
      </c>
      <c r="N258" t="n">
        <v>0</v>
      </c>
      <c r="O258" t="n">
        <v>0</v>
      </c>
      <c r="P258" t="n">
        <v>0</v>
      </c>
      <c r="Q258" t="n">
        <v>0</v>
      </c>
      <c r="R258" s="2" t="inlineStr"/>
    </row>
    <row r="259" ht="15" customHeight="1">
      <c r="A259" t="inlineStr">
        <is>
          <t>A 61962-2024</t>
        </is>
      </c>
      <c r="B259" s="1" t="n">
        <v>45653.54340277778</v>
      </c>
      <c r="C259" s="1" t="n">
        <v>46143</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61078-2025</t>
        </is>
      </c>
      <c r="B260" s="1" t="n">
        <v>46000</v>
      </c>
      <c r="C260" s="1" t="n">
        <v>46143</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46143</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27930-2021</t>
        </is>
      </c>
      <c r="B262" s="1" t="n">
        <v>44354</v>
      </c>
      <c r="C262" s="1" t="n">
        <v>46143</v>
      </c>
      <c r="D262" t="inlineStr">
        <is>
          <t>GOTLANDS LÄN</t>
        </is>
      </c>
      <c r="E262" t="inlineStr">
        <is>
          <t>GOTLAND</t>
        </is>
      </c>
      <c r="G262" t="n">
        <v>2.5</v>
      </c>
      <c r="H262" t="n">
        <v>0</v>
      </c>
      <c r="I262" t="n">
        <v>0</v>
      </c>
      <c r="J262" t="n">
        <v>0</v>
      </c>
      <c r="K262" t="n">
        <v>0</v>
      </c>
      <c r="L262" t="n">
        <v>0</v>
      </c>
      <c r="M262" t="n">
        <v>0</v>
      </c>
      <c r="N262" t="n">
        <v>0</v>
      </c>
      <c r="O262" t="n">
        <v>0</v>
      </c>
      <c r="P262" t="n">
        <v>0</v>
      </c>
      <c r="Q262" t="n">
        <v>0</v>
      </c>
      <c r="R262" s="2" t="inlineStr"/>
    </row>
    <row r="263" ht="15" customHeight="1">
      <c r="A263" t="inlineStr">
        <is>
          <t>A 59469-2024</t>
        </is>
      </c>
      <c r="B263" s="1" t="n">
        <v>45638</v>
      </c>
      <c r="C263" s="1" t="n">
        <v>46143</v>
      </c>
      <c r="D263" t="inlineStr">
        <is>
          <t>GOTLANDS LÄN</t>
        </is>
      </c>
      <c r="E263" t="inlineStr">
        <is>
          <t>GOTLAND</t>
        </is>
      </c>
      <c r="G263" t="n">
        <v>0.4</v>
      </c>
      <c r="H263" t="n">
        <v>0</v>
      </c>
      <c r="I263" t="n">
        <v>0</v>
      </c>
      <c r="J263" t="n">
        <v>0</v>
      </c>
      <c r="K263" t="n">
        <v>0</v>
      </c>
      <c r="L263" t="n">
        <v>0</v>
      </c>
      <c r="M263" t="n">
        <v>0</v>
      </c>
      <c r="N263" t="n">
        <v>0</v>
      </c>
      <c r="O263" t="n">
        <v>0</v>
      </c>
      <c r="P263" t="n">
        <v>0</v>
      </c>
      <c r="Q263" t="n">
        <v>0</v>
      </c>
      <c r="R263" s="2" t="inlineStr"/>
    </row>
    <row r="264" ht="15" customHeight="1">
      <c r="A264" t="inlineStr">
        <is>
          <t>A 36-2026</t>
        </is>
      </c>
      <c r="B264" s="1" t="n">
        <v>46024.38886574074</v>
      </c>
      <c r="C264" s="1" t="n">
        <v>46143</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46143</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6696-2023</t>
        </is>
      </c>
      <c r="B266" s="1" t="n">
        <v>44966.66425925926</v>
      </c>
      <c r="C266" s="1" t="n">
        <v>46143</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28480-2023</t>
        </is>
      </c>
      <c r="B267" s="1" t="n">
        <v>45103</v>
      </c>
      <c r="C267" s="1" t="n">
        <v>46143</v>
      </c>
      <c r="D267" t="inlineStr">
        <is>
          <t>GOTLANDS LÄN</t>
        </is>
      </c>
      <c r="E267" t="inlineStr">
        <is>
          <t>GOTLAND</t>
        </is>
      </c>
      <c r="G267" t="n">
        <v>5.7</v>
      </c>
      <c r="H267" t="n">
        <v>0</v>
      </c>
      <c r="I267" t="n">
        <v>0</v>
      </c>
      <c r="J267" t="n">
        <v>0</v>
      </c>
      <c r="K267" t="n">
        <v>0</v>
      </c>
      <c r="L267" t="n">
        <v>0</v>
      </c>
      <c r="M267" t="n">
        <v>0</v>
      </c>
      <c r="N267" t="n">
        <v>0</v>
      </c>
      <c r="O267" t="n">
        <v>0</v>
      </c>
      <c r="P267" t="n">
        <v>0</v>
      </c>
      <c r="Q267" t="n">
        <v>0</v>
      </c>
      <c r="R267" s="2" t="inlineStr"/>
    </row>
    <row r="268" ht="15" customHeight="1">
      <c r="A268" t="inlineStr">
        <is>
          <t>A 28485-2023</t>
        </is>
      </c>
      <c r="B268" s="1" t="n">
        <v>45103.43731481482</v>
      </c>
      <c r="C268" s="1" t="n">
        <v>46143</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4990-2025</t>
        </is>
      </c>
      <c r="B269" s="1" t="n">
        <v>45691</v>
      </c>
      <c r="C269" s="1" t="n">
        <v>46143</v>
      </c>
      <c r="D269" t="inlineStr">
        <is>
          <t>GOTLANDS LÄN</t>
        </is>
      </c>
      <c r="E269" t="inlineStr">
        <is>
          <t>GOTLAND</t>
        </is>
      </c>
      <c r="G269" t="n">
        <v>7.7</v>
      </c>
      <c r="H269" t="n">
        <v>0</v>
      </c>
      <c r="I269" t="n">
        <v>0</v>
      </c>
      <c r="J269" t="n">
        <v>0</v>
      </c>
      <c r="K269" t="n">
        <v>0</v>
      </c>
      <c r="L269" t="n">
        <v>0</v>
      </c>
      <c r="M269" t="n">
        <v>0</v>
      </c>
      <c r="N269" t="n">
        <v>0</v>
      </c>
      <c r="O269" t="n">
        <v>0</v>
      </c>
      <c r="P269" t="n">
        <v>0</v>
      </c>
      <c r="Q269" t="n">
        <v>0</v>
      </c>
      <c r="R269" s="2" t="inlineStr"/>
    </row>
    <row r="270" ht="15" customHeight="1">
      <c r="A270" t="inlineStr">
        <is>
          <t>A 25796-2025</t>
        </is>
      </c>
      <c r="B270" s="1" t="n">
        <v>45804.39543981481</v>
      </c>
      <c r="C270" s="1" t="n">
        <v>46143</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39849-2025</t>
        </is>
      </c>
      <c r="B271" s="1" t="n">
        <v>45891.58502314815</v>
      </c>
      <c r="C271" s="1" t="n">
        <v>46143</v>
      </c>
      <c r="D271" t="inlineStr">
        <is>
          <t>GOTLANDS LÄN</t>
        </is>
      </c>
      <c r="E271" t="inlineStr">
        <is>
          <t>GOTLAND</t>
        </is>
      </c>
      <c r="G271" t="n">
        <v>6.1</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46143</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38165-2023</t>
        </is>
      </c>
      <c r="B273" s="1" t="n">
        <v>45161</v>
      </c>
      <c r="C273" s="1" t="n">
        <v>46143</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39819-2025</t>
        </is>
      </c>
      <c r="B274" s="1" t="n">
        <v>45891.53418981482</v>
      </c>
      <c r="C274" s="1" t="n">
        <v>46143</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62674-2025</t>
        </is>
      </c>
      <c r="B275" s="1" t="n">
        <v>46008</v>
      </c>
      <c r="C275" s="1" t="n">
        <v>46143</v>
      </c>
      <c r="D275" t="inlineStr">
        <is>
          <t>GOTLANDS LÄN</t>
        </is>
      </c>
      <c r="E275" t="inlineStr">
        <is>
          <t>GOTLAND</t>
        </is>
      </c>
      <c r="G275" t="n">
        <v>5</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46143</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39816-2025</t>
        </is>
      </c>
      <c r="B277" s="1" t="n">
        <v>45891</v>
      </c>
      <c r="C277" s="1" t="n">
        <v>46143</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46143</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26465-2025</t>
        </is>
      </c>
      <c r="B279" s="1" t="n">
        <v>45807.44377314814</v>
      </c>
      <c r="C279" s="1" t="n">
        <v>46143</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26457-2025</t>
        </is>
      </c>
      <c r="B280" s="1" t="n">
        <v>45807.42773148148</v>
      </c>
      <c r="C280" s="1" t="n">
        <v>46143</v>
      </c>
      <c r="D280" t="inlineStr">
        <is>
          <t>GOTLANDS LÄN</t>
        </is>
      </c>
      <c r="E280" t="inlineStr">
        <is>
          <t>GOTLAND</t>
        </is>
      </c>
      <c r="G280" t="n">
        <v>5.7</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46143</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46143</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40103-2025</t>
        </is>
      </c>
      <c r="B283" s="1" t="n">
        <v>45894.4880324074</v>
      </c>
      <c r="C283" s="1" t="n">
        <v>46143</v>
      </c>
      <c r="D283" t="inlineStr">
        <is>
          <t>GOTLANDS LÄN</t>
        </is>
      </c>
      <c r="E283" t="inlineStr">
        <is>
          <t>GOTLAND</t>
        </is>
      </c>
      <c r="G283" t="n">
        <v>0.9</v>
      </c>
      <c r="H283" t="n">
        <v>0</v>
      </c>
      <c r="I283" t="n">
        <v>0</v>
      </c>
      <c r="J283" t="n">
        <v>0</v>
      </c>
      <c r="K283" t="n">
        <v>0</v>
      </c>
      <c r="L283" t="n">
        <v>0</v>
      </c>
      <c r="M283" t="n">
        <v>0</v>
      </c>
      <c r="N283" t="n">
        <v>0</v>
      </c>
      <c r="O283" t="n">
        <v>0</v>
      </c>
      <c r="P283" t="n">
        <v>0</v>
      </c>
      <c r="Q283" t="n">
        <v>0</v>
      </c>
      <c r="R283" s="2" t="inlineStr"/>
    </row>
    <row r="284" ht="15" customHeight="1">
      <c r="A284" t="inlineStr">
        <is>
          <t>A 26660-2025</t>
        </is>
      </c>
      <c r="B284" s="1" t="n">
        <v>45810.39737268518</v>
      </c>
      <c r="C284" s="1" t="n">
        <v>46143</v>
      </c>
      <c r="D284" t="inlineStr">
        <is>
          <t>GOTLANDS LÄN</t>
        </is>
      </c>
      <c r="E284" t="inlineStr">
        <is>
          <t>GOTLAND</t>
        </is>
      </c>
      <c r="G284" t="n">
        <v>1.8</v>
      </c>
      <c r="H284" t="n">
        <v>0</v>
      </c>
      <c r="I284" t="n">
        <v>0</v>
      </c>
      <c r="J284" t="n">
        <v>0</v>
      </c>
      <c r="K284" t="n">
        <v>0</v>
      </c>
      <c r="L284" t="n">
        <v>0</v>
      </c>
      <c r="M284" t="n">
        <v>0</v>
      </c>
      <c r="N284" t="n">
        <v>0</v>
      </c>
      <c r="O284" t="n">
        <v>0</v>
      </c>
      <c r="P284" t="n">
        <v>0</v>
      </c>
      <c r="Q284" t="n">
        <v>0</v>
      </c>
      <c r="R284" s="2" t="inlineStr"/>
    </row>
    <row r="285" ht="15" customHeight="1">
      <c r="A285" t="inlineStr">
        <is>
          <t>A 1355-2026</t>
        </is>
      </c>
      <c r="B285" s="1" t="n">
        <v>46031.59909722222</v>
      </c>
      <c r="C285" s="1" t="n">
        <v>46143</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27355-2025</t>
        </is>
      </c>
      <c r="B286" s="1" t="n">
        <v>45812</v>
      </c>
      <c r="C286" s="1" t="n">
        <v>46143</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40499-2025</t>
        </is>
      </c>
      <c r="B287" s="1" t="n">
        <v>45896.32517361111</v>
      </c>
      <c r="C287" s="1" t="n">
        <v>46143</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49693-2023</t>
        </is>
      </c>
      <c r="B288" s="1" t="n">
        <v>45212.38138888889</v>
      </c>
      <c r="C288" s="1" t="n">
        <v>46143</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49697-2023</t>
        </is>
      </c>
      <c r="B289" s="1" t="n">
        <v>45212.38909722222</v>
      </c>
      <c r="C289" s="1" t="n">
        <v>46143</v>
      </c>
      <c r="D289" t="inlineStr">
        <is>
          <t>GOTLANDS LÄN</t>
        </is>
      </c>
      <c r="E289" t="inlineStr">
        <is>
          <t>GOTLAND</t>
        </is>
      </c>
      <c r="G289" t="n">
        <v>4.4</v>
      </c>
      <c r="H289" t="n">
        <v>0</v>
      </c>
      <c r="I289" t="n">
        <v>0</v>
      </c>
      <c r="J289" t="n">
        <v>0</v>
      </c>
      <c r="K289" t="n">
        <v>0</v>
      </c>
      <c r="L289" t="n">
        <v>0</v>
      </c>
      <c r="M289" t="n">
        <v>0</v>
      </c>
      <c r="N289" t="n">
        <v>0</v>
      </c>
      <c r="O289" t="n">
        <v>0</v>
      </c>
      <c r="P289" t="n">
        <v>0</v>
      </c>
      <c r="Q289" t="n">
        <v>0</v>
      </c>
      <c r="R289" s="2" t="inlineStr"/>
    </row>
    <row r="290" ht="15" customHeight="1">
      <c r="A290" t="inlineStr">
        <is>
          <t>A 27371-2025</t>
        </is>
      </c>
      <c r="B290" s="1" t="n">
        <v>45812</v>
      </c>
      <c r="C290" s="1" t="n">
        <v>46143</v>
      </c>
      <c r="D290" t="inlineStr">
        <is>
          <t>GOTLANDS LÄN</t>
        </is>
      </c>
      <c r="E290" t="inlineStr">
        <is>
          <t>GOTLAND</t>
        </is>
      </c>
      <c r="G290" t="n">
        <v>8</v>
      </c>
      <c r="H290" t="n">
        <v>0</v>
      </c>
      <c r="I290" t="n">
        <v>0</v>
      </c>
      <c r="J290" t="n">
        <v>0</v>
      </c>
      <c r="K290" t="n">
        <v>0</v>
      </c>
      <c r="L290" t="n">
        <v>0</v>
      </c>
      <c r="M290" t="n">
        <v>0</v>
      </c>
      <c r="N290" t="n">
        <v>0</v>
      </c>
      <c r="O290" t="n">
        <v>0</v>
      </c>
      <c r="P290" t="n">
        <v>0</v>
      </c>
      <c r="Q290" t="n">
        <v>0</v>
      </c>
      <c r="R290" s="2" t="inlineStr"/>
    </row>
    <row r="291" ht="15" customHeight="1">
      <c r="A291" t="inlineStr">
        <is>
          <t>A 34312-2024</t>
        </is>
      </c>
      <c r="B291" s="1" t="n">
        <v>45524.69703703704</v>
      </c>
      <c r="C291" s="1" t="n">
        <v>46143</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46143</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48503-2023</t>
        </is>
      </c>
      <c r="B293" s="1" t="n">
        <v>45207</v>
      </c>
      <c r="C293" s="1" t="n">
        <v>46143</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1898-2026</t>
        </is>
      </c>
      <c r="B294" s="1" t="n">
        <v>46035.52024305556</v>
      </c>
      <c r="C294" s="1" t="n">
        <v>46143</v>
      </c>
      <c r="D294" t="inlineStr">
        <is>
          <t>GOTLANDS LÄN</t>
        </is>
      </c>
      <c r="E294" t="inlineStr">
        <is>
          <t>GOTLAND</t>
        </is>
      </c>
      <c r="G294" t="n">
        <v>3.7</v>
      </c>
      <c r="H294" t="n">
        <v>0</v>
      </c>
      <c r="I294" t="n">
        <v>0</v>
      </c>
      <c r="J294" t="n">
        <v>0</v>
      </c>
      <c r="K294" t="n">
        <v>0</v>
      </c>
      <c r="L294" t="n">
        <v>0</v>
      </c>
      <c r="M294" t="n">
        <v>0</v>
      </c>
      <c r="N294" t="n">
        <v>0</v>
      </c>
      <c r="O294" t="n">
        <v>0</v>
      </c>
      <c r="P294" t="n">
        <v>0</v>
      </c>
      <c r="Q294" t="n">
        <v>0</v>
      </c>
      <c r="R294" s="2" t="inlineStr"/>
    </row>
    <row r="295" ht="15" customHeight="1">
      <c r="A295" t="inlineStr">
        <is>
          <t>A 39278-2025</t>
        </is>
      </c>
      <c r="B295" s="1" t="n">
        <v>45889</v>
      </c>
      <c r="C295" s="1" t="n">
        <v>46143</v>
      </c>
      <c r="D295" t="inlineStr">
        <is>
          <t>GOTLANDS LÄN</t>
        </is>
      </c>
      <c r="E295" t="inlineStr">
        <is>
          <t>GOTLAND</t>
        </is>
      </c>
      <c r="G295" t="n">
        <v>3.7</v>
      </c>
      <c r="H295" t="n">
        <v>0</v>
      </c>
      <c r="I295" t="n">
        <v>0</v>
      </c>
      <c r="J295" t="n">
        <v>0</v>
      </c>
      <c r="K295" t="n">
        <v>0</v>
      </c>
      <c r="L295" t="n">
        <v>0</v>
      </c>
      <c r="M295" t="n">
        <v>0</v>
      </c>
      <c r="N295" t="n">
        <v>0</v>
      </c>
      <c r="O295" t="n">
        <v>0</v>
      </c>
      <c r="P295" t="n">
        <v>0</v>
      </c>
      <c r="Q295" t="n">
        <v>0</v>
      </c>
      <c r="R295" s="2" t="inlineStr"/>
    </row>
    <row r="296" ht="15" customHeight="1">
      <c r="A296" t="inlineStr">
        <is>
          <t>A 41435-2025</t>
        </is>
      </c>
      <c r="B296" s="1" t="n">
        <v>45901.39974537037</v>
      </c>
      <c r="C296" s="1" t="n">
        <v>46143</v>
      </c>
      <c r="D296" t="inlineStr">
        <is>
          <t>GOTLANDS LÄN</t>
        </is>
      </c>
      <c r="E296" t="inlineStr">
        <is>
          <t>GOTLAND</t>
        </is>
      </c>
      <c r="G296" t="n">
        <v>4.9</v>
      </c>
      <c r="H296" t="n">
        <v>0</v>
      </c>
      <c r="I296" t="n">
        <v>0</v>
      </c>
      <c r="J296" t="n">
        <v>0</v>
      </c>
      <c r="K296" t="n">
        <v>0</v>
      </c>
      <c r="L296" t="n">
        <v>0</v>
      </c>
      <c r="M296" t="n">
        <v>0</v>
      </c>
      <c r="N296" t="n">
        <v>0</v>
      </c>
      <c r="O296" t="n">
        <v>0</v>
      </c>
      <c r="P296" t="n">
        <v>0</v>
      </c>
      <c r="Q296" t="n">
        <v>0</v>
      </c>
      <c r="R296" s="2" t="inlineStr"/>
    </row>
    <row r="297" ht="15" customHeight="1">
      <c r="A297" t="inlineStr">
        <is>
          <t>A 24825-2024</t>
        </is>
      </c>
      <c r="B297" s="1" t="n">
        <v>45461</v>
      </c>
      <c r="C297" s="1" t="n">
        <v>46143</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7850-2025</t>
        </is>
      </c>
      <c r="B298" s="1" t="n">
        <v>45706</v>
      </c>
      <c r="C298" s="1" t="n">
        <v>46143</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6739-2025</t>
        </is>
      </c>
      <c r="B299" s="1" t="n">
        <v>45700</v>
      </c>
      <c r="C299" s="1" t="n">
        <v>46143</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22031-2024</t>
        </is>
      </c>
      <c r="B300" s="1" t="n">
        <v>45443.60075231481</v>
      </c>
      <c r="C300" s="1" t="n">
        <v>46143</v>
      </c>
      <c r="D300" t="inlineStr">
        <is>
          <t>GOTLANDS LÄN</t>
        </is>
      </c>
      <c r="E300" t="inlineStr">
        <is>
          <t>GOTLAND</t>
        </is>
      </c>
      <c r="G300" t="n">
        <v>2.3</v>
      </c>
      <c r="H300" t="n">
        <v>0</v>
      </c>
      <c r="I300" t="n">
        <v>0</v>
      </c>
      <c r="J300" t="n">
        <v>0</v>
      </c>
      <c r="K300" t="n">
        <v>0</v>
      </c>
      <c r="L300" t="n">
        <v>0</v>
      </c>
      <c r="M300" t="n">
        <v>0</v>
      </c>
      <c r="N300" t="n">
        <v>0</v>
      </c>
      <c r="O300" t="n">
        <v>0</v>
      </c>
      <c r="P300" t="n">
        <v>0</v>
      </c>
      <c r="Q300" t="n">
        <v>0</v>
      </c>
      <c r="R300" s="2" t="inlineStr"/>
    </row>
    <row r="301" ht="15" customHeight="1">
      <c r="A301" t="inlineStr">
        <is>
          <t>A 17688-2024</t>
        </is>
      </c>
      <c r="B301" s="1" t="n">
        <v>45418.43575231481</v>
      </c>
      <c r="C301" s="1" t="n">
        <v>46143</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8444-2025</t>
        </is>
      </c>
      <c r="B302" s="1" t="n">
        <v>45709</v>
      </c>
      <c r="C302" s="1" t="n">
        <v>46143</v>
      </c>
      <c r="D302" t="inlineStr">
        <is>
          <t>GOTLANDS LÄN</t>
        </is>
      </c>
      <c r="E302" t="inlineStr">
        <is>
          <t>GOTLAND</t>
        </is>
      </c>
      <c r="G302" t="n">
        <v>5.2</v>
      </c>
      <c r="H302" t="n">
        <v>0</v>
      </c>
      <c r="I302" t="n">
        <v>0</v>
      </c>
      <c r="J302" t="n">
        <v>0</v>
      </c>
      <c r="K302" t="n">
        <v>0</v>
      </c>
      <c r="L302" t="n">
        <v>0</v>
      </c>
      <c r="M302" t="n">
        <v>0</v>
      </c>
      <c r="N302" t="n">
        <v>0</v>
      </c>
      <c r="O302" t="n">
        <v>0</v>
      </c>
      <c r="P302" t="n">
        <v>0</v>
      </c>
      <c r="Q302" t="n">
        <v>0</v>
      </c>
      <c r="R302" s="2" t="inlineStr"/>
    </row>
    <row r="303" ht="15" customHeight="1">
      <c r="A303" t="inlineStr">
        <is>
          <t>A 19905-2025</t>
        </is>
      </c>
      <c r="B303" s="1" t="n">
        <v>45771</v>
      </c>
      <c r="C303" s="1" t="n">
        <v>46143</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42608-2025</t>
        </is>
      </c>
      <c r="B304" s="1" t="n">
        <v>45905</v>
      </c>
      <c r="C304" s="1" t="n">
        <v>46143</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27694-2024</t>
        </is>
      </c>
      <c r="B305" s="1" t="n">
        <v>45475</v>
      </c>
      <c r="C305" s="1" t="n">
        <v>46143</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46143</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39764-2022</t>
        </is>
      </c>
      <c r="B307" s="1" t="n">
        <v>44819</v>
      </c>
      <c r="C307" s="1" t="n">
        <v>46143</v>
      </c>
      <c r="D307" t="inlineStr">
        <is>
          <t>GOTLANDS LÄN</t>
        </is>
      </c>
      <c r="E307" t="inlineStr">
        <is>
          <t>GOTLAND</t>
        </is>
      </c>
      <c r="F307" t="inlineStr">
        <is>
          <t>Kyrkan</t>
        </is>
      </c>
      <c r="G307" t="n">
        <v>3.7</v>
      </c>
      <c r="H307" t="n">
        <v>0</v>
      </c>
      <c r="I307" t="n">
        <v>0</v>
      </c>
      <c r="J307" t="n">
        <v>0</v>
      </c>
      <c r="K307" t="n">
        <v>0</v>
      </c>
      <c r="L307" t="n">
        <v>0</v>
      </c>
      <c r="M307" t="n">
        <v>0</v>
      </c>
      <c r="N307" t="n">
        <v>0</v>
      </c>
      <c r="O307" t="n">
        <v>0</v>
      </c>
      <c r="P307" t="n">
        <v>0</v>
      </c>
      <c r="Q307" t="n">
        <v>0</v>
      </c>
      <c r="R307" s="2" t="inlineStr"/>
    </row>
    <row r="308" ht="15" customHeight="1">
      <c r="A308" t="inlineStr">
        <is>
          <t>A 29207-2025</t>
        </is>
      </c>
      <c r="B308" s="1" t="n">
        <v>45823</v>
      </c>
      <c r="C308" s="1" t="n">
        <v>46143</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29196-2025</t>
        </is>
      </c>
      <c r="B309" s="1" t="n">
        <v>45822</v>
      </c>
      <c r="C309" s="1" t="n">
        <v>46143</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6099-2024</t>
        </is>
      </c>
      <c r="B310" s="1" t="n">
        <v>45337</v>
      </c>
      <c r="C310" s="1" t="n">
        <v>46143</v>
      </c>
      <c r="D310" t="inlineStr">
        <is>
          <t>GOTLANDS LÄN</t>
        </is>
      </c>
      <c r="E310" t="inlineStr">
        <is>
          <t>GOTLAND</t>
        </is>
      </c>
      <c r="G310" t="n">
        <v>12.6</v>
      </c>
      <c r="H310" t="n">
        <v>0</v>
      </c>
      <c r="I310" t="n">
        <v>0</v>
      </c>
      <c r="J310" t="n">
        <v>0</v>
      </c>
      <c r="K310" t="n">
        <v>0</v>
      </c>
      <c r="L310" t="n">
        <v>0</v>
      </c>
      <c r="M310" t="n">
        <v>0</v>
      </c>
      <c r="N310" t="n">
        <v>0</v>
      </c>
      <c r="O310" t="n">
        <v>0</v>
      </c>
      <c r="P310" t="n">
        <v>0</v>
      </c>
      <c r="Q310" t="n">
        <v>0</v>
      </c>
      <c r="R310" s="2" t="inlineStr"/>
    </row>
    <row r="311" ht="15" customHeight="1">
      <c r="A311" t="inlineStr">
        <is>
          <t>A 8260-2023</t>
        </is>
      </c>
      <c r="B311" s="1" t="n">
        <v>44974.61608796296</v>
      </c>
      <c r="C311" s="1" t="n">
        <v>46143</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22287-2022</t>
        </is>
      </c>
      <c r="B312" s="1" t="n">
        <v>44712</v>
      </c>
      <c r="C312" s="1" t="n">
        <v>46143</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57534-2022</t>
        </is>
      </c>
      <c r="B313" s="1" t="n">
        <v>44896</v>
      </c>
      <c r="C313" s="1" t="n">
        <v>46143</v>
      </c>
      <c r="D313" t="inlineStr">
        <is>
          <t>GOTLANDS LÄN</t>
        </is>
      </c>
      <c r="E313" t="inlineStr">
        <is>
          <t>GOTLAND</t>
        </is>
      </c>
      <c r="G313" t="n">
        <v>0.6</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46143</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10158-2025</t>
        </is>
      </c>
      <c r="B315" s="1" t="n">
        <v>45719</v>
      </c>
      <c r="C315" s="1" t="n">
        <v>46143</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43911-2025</t>
        </is>
      </c>
      <c r="B316" s="1" t="n">
        <v>45914.3881712963</v>
      </c>
      <c r="C316" s="1" t="n">
        <v>46143</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58160-2024</t>
        </is>
      </c>
      <c r="B317" s="1" t="n">
        <v>45632.44927083333</v>
      </c>
      <c r="C317" s="1" t="n">
        <v>46143</v>
      </c>
      <c r="D317" t="inlineStr">
        <is>
          <t>GOTLANDS LÄN</t>
        </is>
      </c>
      <c r="E317" t="inlineStr">
        <is>
          <t>GOTLAND</t>
        </is>
      </c>
      <c r="G317" t="n">
        <v>5.6</v>
      </c>
      <c r="H317" t="n">
        <v>0</v>
      </c>
      <c r="I317" t="n">
        <v>0</v>
      </c>
      <c r="J317" t="n">
        <v>0</v>
      </c>
      <c r="K317" t="n">
        <v>0</v>
      </c>
      <c r="L317" t="n">
        <v>0</v>
      </c>
      <c r="M317" t="n">
        <v>0</v>
      </c>
      <c r="N317" t="n">
        <v>0</v>
      </c>
      <c r="O317" t="n">
        <v>0</v>
      </c>
      <c r="P317" t="n">
        <v>0</v>
      </c>
      <c r="Q317" t="n">
        <v>0</v>
      </c>
      <c r="R317" s="2" t="inlineStr"/>
    </row>
    <row r="318" ht="15" customHeight="1">
      <c r="A318" t="inlineStr">
        <is>
          <t>A 43951-2025</t>
        </is>
      </c>
      <c r="B318" s="1" t="n">
        <v>45915.38119212963</v>
      </c>
      <c r="C318" s="1" t="n">
        <v>46143</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64660-2023</t>
        </is>
      </c>
      <c r="B319" s="1" t="n">
        <v>45281.60122685185</v>
      </c>
      <c r="C319" s="1" t="n">
        <v>46143</v>
      </c>
      <c r="D319" t="inlineStr">
        <is>
          <t>GOTLANDS LÄN</t>
        </is>
      </c>
      <c r="E319" t="inlineStr">
        <is>
          <t>GOTLAND</t>
        </is>
      </c>
      <c r="G319" t="n">
        <v>6.3</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46143</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2415-2026</t>
        </is>
      </c>
      <c r="B321" s="1" t="n">
        <v>46036.76203703704</v>
      </c>
      <c r="C321" s="1" t="n">
        <v>46143</v>
      </c>
      <c r="D321" t="inlineStr">
        <is>
          <t>GOTLANDS LÄN</t>
        </is>
      </c>
      <c r="E321" t="inlineStr">
        <is>
          <t>GOTLAND</t>
        </is>
      </c>
      <c r="G321" t="n">
        <v>6.9</v>
      </c>
      <c r="H321" t="n">
        <v>0</v>
      </c>
      <c r="I321" t="n">
        <v>0</v>
      </c>
      <c r="J321" t="n">
        <v>0</v>
      </c>
      <c r="K321" t="n">
        <v>0</v>
      </c>
      <c r="L321" t="n">
        <v>0</v>
      </c>
      <c r="M321" t="n">
        <v>0</v>
      </c>
      <c r="N321" t="n">
        <v>0</v>
      </c>
      <c r="O321" t="n">
        <v>0</v>
      </c>
      <c r="P321" t="n">
        <v>0</v>
      </c>
      <c r="Q321" t="n">
        <v>0</v>
      </c>
      <c r="R321" s="2" t="inlineStr"/>
    </row>
    <row r="322" ht="15" customHeight="1">
      <c r="A322" t="inlineStr">
        <is>
          <t>A 44405-2025</t>
        </is>
      </c>
      <c r="B322" s="1" t="n">
        <v>45916.52405092592</v>
      </c>
      <c r="C322" s="1" t="n">
        <v>46143</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16109-2025</t>
        </is>
      </c>
      <c r="B323" s="1" t="n">
        <v>45750</v>
      </c>
      <c r="C323" s="1" t="n">
        <v>46143</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20855-2023</t>
        </is>
      </c>
      <c r="B324" s="1" t="n">
        <v>45058.82172453704</v>
      </c>
      <c r="C324" s="1" t="n">
        <v>46143</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32467-2025</t>
        </is>
      </c>
      <c r="B325" s="1" t="n">
        <v>45838.42111111111</v>
      </c>
      <c r="C325" s="1" t="n">
        <v>46143</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60709-2023</t>
        </is>
      </c>
      <c r="B326" s="1" t="n">
        <v>45260</v>
      </c>
      <c r="C326" s="1" t="n">
        <v>46143</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1000-2024</t>
        </is>
      </c>
      <c r="B327" s="1" t="n">
        <v>45301.63371527778</v>
      </c>
      <c r="C327" s="1" t="n">
        <v>46143</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1010-2024</t>
        </is>
      </c>
      <c r="B328" s="1" t="n">
        <v>45301</v>
      </c>
      <c r="C328" s="1" t="n">
        <v>46143</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32379-2025</t>
        </is>
      </c>
      <c r="B329" s="1" t="n">
        <v>45837</v>
      </c>
      <c r="C329" s="1" t="n">
        <v>46143</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65249-2023</t>
        </is>
      </c>
      <c r="B330" s="1" t="n">
        <v>45290</v>
      </c>
      <c r="C330" s="1" t="n">
        <v>46143</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3253-2026</t>
        </is>
      </c>
      <c r="B331" s="1" t="n">
        <v>46041.58902777778</v>
      </c>
      <c r="C331" s="1" t="n">
        <v>46143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33007-2025</t>
        </is>
      </c>
      <c r="B332" s="1" t="n">
        <v>45840</v>
      </c>
      <c r="C332" s="1" t="n">
        <v>46143</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30956-2024</t>
        </is>
      </c>
      <c r="B333" s="1" t="n">
        <v>45499.42527777778</v>
      </c>
      <c r="C333" s="1" t="n">
        <v>46143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12596-2023</t>
        </is>
      </c>
      <c r="B334" s="1" t="n">
        <v>45000.43310185185</v>
      </c>
      <c r="C334" s="1" t="n">
        <v>46143</v>
      </c>
      <c r="D334" t="inlineStr">
        <is>
          <t>GOTLANDS LÄN</t>
        </is>
      </c>
      <c r="E334" t="inlineStr">
        <is>
          <t>GOTLAND</t>
        </is>
      </c>
      <c r="G334" t="n">
        <v>4.1</v>
      </c>
      <c r="H334" t="n">
        <v>0</v>
      </c>
      <c r="I334" t="n">
        <v>0</v>
      </c>
      <c r="J334" t="n">
        <v>0</v>
      </c>
      <c r="K334" t="n">
        <v>0</v>
      </c>
      <c r="L334" t="n">
        <v>0</v>
      </c>
      <c r="M334" t="n">
        <v>0</v>
      </c>
      <c r="N334" t="n">
        <v>0</v>
      </c>
      <c r="O334" t="n">
        <v>0</v>
      </c>
      <c r="P334" t="n">
        <v>0</v>
      </c>
      <c r="Q334" t="n">
        <v>0</v>
      </c>
      <c r="R334" s="2" t="inlineStr"/>
    </row>
    <row r="335" ht="15" customHeight="1">
      <c r="A335" t="inlineStr">
        <is>
          <t>A 26391-2025</t>
        </is>
      </c>
      <c r="B335" s="1" t="n">
        <v>45806</v>
      </c>
      <c r="C335" s="1" t="n">
        <v>46143</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8045-2022</t>
        </is>
      </c>
      <c r="B336" s="1" t="n">
        <v>44609</v>
      </c>
      <c r="C336" s="1" t="n">
        <v>46143</v>
      </c>
      <c r="D336" t="inlineStr">
        <is>
          <t>GOTLANDS LÄN</t>
        </is>
      </c>
      <c r="E336" t="inlineStr">
        <is>
          <t>GOTLAND</t>
        </is>
      </c>
      <c r="G336" t="n">
        <v>7</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46143</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47637-2025</t>
        </is>
      </c>
      <c r="B338" s="1" t="n">
        <v>45931.49753472222</v>
      </c>
      <c r="C338" s="1" t="n">
        <v>46143</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999-2024</t>
        </is>
      </c>
      <c r="B339" s="1" t="n">
        <v>45301</v>
      </c>
      <c r="C339" s="1" t="n">
        <v>46143</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65901-2021</t>
        </is>
      </c>
      <c r="B340" s="1" t="n">
        <v>44516</v>
      </c>
      <c r="C340" s="1" t="n">
        <v>46143</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47762-2023</t>
        </is>
      </c>
      <c r="B341" s="1" t="n">
        <v>45203.86256944444</v>
      </c>
      <c r="C341" s="1" t="n">
        <v>46143</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40294-2022</t>
        </is>
      </c>
      <c r="B342" s="1" t="n">
        <v>44821</v>
      </c>
      <c r="C342" s="1" t="n">
        <v>46143</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27602-2023</t>
        </is>
      </c>
      <c r="B343" s="1" t="n">
        <v>45097</v>
      </c>
      <c r="C343" s="1" t="n">
        <v>46143</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15413-2025</t>
        </is>
      </c>
      <c r="B344" s="1" t="n">
        <v>45747.451875</v>
      </c>
      <c r="C344" s="1" t="n">
        <v>46143</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58780-2024</t>
        </is>
      </c>
      <c r="B345" s="1" t="n">
        <v>45635.84113425926</v>
      </c>
      <c r="C345" s="1" t="n">
        <v>46143</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12322-2025</t>
        </is>
      </c>
      <c r="B346" s="1" t="n">
        <v>45730</v>
      </c>
      <c r="C346" s="1" t="n">
        <v>46143</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35096-2025</t>
        </is>
      </c>
      <c r="B347" s="1" t="n">
        <v>45852.54356481481</v>
      </c>
      <c r="C347" s="1" t="n">
        <v>46143</v>
      </c>
      <c r="D347" t="inlineStr">
        <is>
          <t>GOTLANDS LÄN</t>
        </is>
      </c>
      <c r="E347" t="inlineStr">
        <is>
          <t>GOTLAND</t>
        </is>
      </c>
      <c r="F347" t="inlineStr">
        <is>
          <t>Kyrkan</t>
        </is>
      </c>
      <c r="G347" t="n">
        <v>1</v>
      </c>
      <c r="H347" t="n">
        <v>0</v>
      </c>
      <c r="I347" t="n">
        <v>0</v>
      </c>
      <c r="J347" t="n">
        <v>0</v>
      </c>
      <c r="K347" t="n">
        <v>0</v>
      </c>
      <c r="L347" t="n">
        <v>0</v>
      </c>
      <c r="M347" t="n">
        <v>0</v>
      </c>
      <c r="N347" t="n">
        <v>0</v>
      </c>
      <c r="O347" t="n">
        <v>0</v>
      </c>
      <c r="P347" t="n">
        <v>0</v>
      </c>
      <c r="Q347" t="n">
        <v>0</v>
      </c>
      <c r="R347" s="2" t="inlineStr"/>
    </row>
    <row r="348" ht="15" customHeight="1">
      <c r="A348" t="inlineStr">
        <is>
          <t>A 32378-2025</t>
        </is>
      </c>
      <c r="B348" s="1" t="n">
        <v>45837</v>
      </c>
      <c r="C348" s="1" t="n">
        <v>46143</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35123-2025</t>
        </is>
      </c>
      <c r="B349" s="1" t="n">
        <v>45852.614375</v>
      </c>
      <c r="C349" s="1" t="n">
        <v>46143</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24192-2023</t>
        </is>
      </c>
      <c r="B350" s="1" t="n">
        <v>45079</v>
      </c>
      <c r="C350" s="1" t="n">
        <v>46143</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30282-2022</t>
        </is>
      </c>
      <c r="B351" s="1" t="n">
        <v>44760</v>
      </c>
      <c r="C351" s="1" t="n">
        <v>46143</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35290-2025</t>
        </is>
      </c>
      <c r="B352" s="1" t="n">
        <v>45854.38502314815</v>
      </c>
      <c r="C352" s="1" t="n">
        <v>46143</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7835-2024</t>
        </is>
      </c>
      <c r="B353" s="1" t="n">
        <v>45349.83138888889</v>
      </c>
      <c r="C353" s="1" t="n">
        <v>46143</v>
      </c>
      <c r="D353" t="inlineStr">
        <is>
          <t>GOTLANDS LÄN</t>
        </is>
      </c>
      <c r="E353" t="inlineStr">
        <is>
          <t>GOTLAND</t>
        </is>
      </c>
      <c r="G353" t="n">
        <v>3.8</v>
      </c>
      <c r="H353" t="n">
        <v>0</v>
      </c>
      <c r="I353" t="n">
        <v>0</v>
      </c>
      <c r="J353" t="n">
        <v>0</v>
      </c>
      <c r="K353" t="n">
        <v>0</v>
      </c>
      <c r="L353" t="n">
        <v>0</v>
      </c>
      <c r="M353" t="n">
        <v>0</v>
      </c>
      <c r="N353" t="n">
        <v>0</v>
      </c>
      <c r="O353" t="n">
        <v>0</v>
      </c>
      <c r="P353" t="n">
        <v>0</v>
      </c>
      <c r="Q353" t="n">
        <v>0</v>
      </c>
      <c r="R353" s="2" t="inlineStr"/>
    </row>
    <row r="354" ht="15" customHeight="1">
      <c r="A354" t="inlineStr">
        <is>
          <t>A 30104-2025</t>
        </is>
      </c>
      <c r="B354" s="1" t="n">
        <v>45826.68806712963</v>
      </c>
      <c r="C354" s="1" t="n">
        <v>46143</v>
      </c>
      <c r="D354" t="inlineStr">
        <is>
          <t>GOTLANDS LÄN</t>
        </is>
      </c>
      <c r="E354" t="inlineStr">
        <is>
          <t>GOTLAND</t>
        </is>
      </c>
      <c r="G354" t="n">
        <v>15.4</v>
      </c>
      <c r="H354" t="n">
        <v>0</v>
      </c>
      <c r="I354" t="n">
        <v>0</v>
      </c>
      <c r="J354" t="n">
        <v>0</v>
      </c>
      <c r="K354" t="n">
        <v>0</v>
      </c>
      <c r="L354" t="n">
        <v>0</v>
      </c>
      <c r="M354" t="n">
        <v>0</v>
      </c>
      <c r="N354" t="n">
        <v>0</v>
      </c>
      <c r="O354" t="n">
        <v>0</v>
      </c>
      <c r="P354" t="n">
        <v>0</v>
      </c>
      <c r="Q354" t="n">
        <v>0</v>
      </c>
      <c r="R354" s="2" t="inlineStr"/>
    </row>
    <row r="355" ht="15" customHeight="1">
      <c r="A355" t="inlineStr">
        <is>
          <t>A 10650-2022</t>
        </is>
      </c>
      <c r="B355" s="1" t="n">
        <v>44624.57945601852</v>
      </c>
      <c r="C355" s="1" t="n">
        <v>46143</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46143</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35550-2025</t>
        </is>
      </c>
      <c r="B357" s="1" t="n">
        <v>45856.49324074074</v>
      </c>
      <c r="C357" s="1" t="n">
        <v>46143</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26810-2021</t>
        </is>
      </c>
      <c r="B358" s="1" t="n">
        <v>44349.55087962963</v>
      </c>
      <c r="C358" s="1" t="n">
        <v>46143</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35537-2025</t>
        </is>
      </c>
      <c r="B359" s="1" t="n">
        <v>45856</v>
      </c>
      <c r="C359" s="1" t="n">
        <v>46143</v>
      </c>
      <c r="D359" t="inlineStr">
        <is>
          <t>GOTLANDS LÄN</t>
        </is>
      </c>
      <c r="E359" t="inlineStr">
        <is>
          <t>GOTLAND</t>
        </is>
      </c>
      <c r="G359" t="n">
        <v>16.8</v>
      </c>
      <c r="H359" t="n">
        <v>0</v>
      </c>
      <c r="I359" t="n">
        <v>0</v>
      </c>
      <c r="J359" t="n">
        <v>0</v>
      </c>
      <c r="K359" t="n">
        <v>0</v>
      </c>
      <c r="L359" t="n">
        <v>0</v>
      </c>
      <c r="M359" t="n">
        <v>0</v>
      </c>
      <c r="N359" t="n">
        <v>0</v>
      </c>
      <c r="O359" t="n">
        <v>0</v>
      </c>
      <c r="P359" t="n">
        <v>0</v>
      </c>
      <c r="Q359" t="n">
        <v>0</v>
      </c>
      <c r="R359" s="2" t="inlineStr"/>
    </row>
    <row r="360" ht="15" customHeight="1">
      <c r="A360" t="inlineStr">
        <is>
          <t>A 47578-2025</t>
        </is>
      </c>
      <c r="B360" s="1" t="n">
        <v>45931</v>
      </c>
      <c r="C360" s="1" t="n">
        <v>46143</v>
      </c>
      <c r="D360" t="inlineStr">
        <is>
          <t>GOTLANDS LÄN</t>
        </is>
      </c>
      <c r="E360" t="inlineStr">
        <is>
          <t>GOTLAND</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33011-2025</t>
        </is>
      </c>
      <c r="B361" s="1" t="n">
        <v>45840</v>
      </c>
      <c r="C361" s="1" t="n">
        <v>46143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1839-2026</t>
        </is>
      </c>
      <c r="B362" s="1" t="n">
        <v>46035.3942824074</v>
      </c>
      <c r="C362" s="1" t="n">
        <v>46143</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4639-2026</t>
        </is>
      </c>
      <c r="B363" s="1" t="n">
        <v>46048.39880787037</v>
      </c>
      <c r="C363" s="1" t="n">
        <v>46143</v>
      </c>
      <c r="D363" t="inlineStr">
        <is>
          <t>GOTLANDS LÄN</t>
        </is>
      </c>
      <c r="E363" t="inlineStr">
        <is>
          <t>GOTLAND</t>
        </is>
      </c>
      <c r="G363" t="n">
        <v>0.8</v>
      </c>
      <c r="H363" t="n">
        <v>0</v>
      </c>
      <c r="I363" t="n">
        <v>0</v>
      </c>
      <c r="J363" t="n">
        <v>0</v>
      </c>
      <c r="K363" t="n">
        <v>0</v>
      </c>
      <c r="L363" t="n">
        <v>0</v>
      </c>
      <c r="M363" t="n">
        <v>0</v>
      </c>
      <c r="N363" t="n">
        <v>0</v>
      </c>
      <c r="O363" t="n">
        <v>0</v>
      </c>
      <c r="P363" t="n">
        <v>0</v>
      </c>
      <c r="Q363" t="n">
        <v>0</v>
      </c>
      <c r="R363" s="2" t="inlineStr"/>
    </row>
    <row r="364" ht="15" customHeight="1">
      <c r="A364" t="inlineStr">
        <is>
          <t>A 49690-2025</t>
        </is>
      </c>
      <c r="B364" s="1" t="n">
        <v>45939.66730324074</v>
      </c>
      <c r="C364" s="1" t="n">
        <v>46143</v>
      </c>
      <c r="D364" t="inlineStr">
        <is>
          <t>GOTLANDS LÄN</t>
        </is>
      </c>
      <c r="E364" t="inlineStr">
        <is>
          <t>GOTLAND</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4662-2026</t>
        </is>
      </c>
      <c r="B365" s="1" t="n">
        <v>46048.40949074074</v>
      </c>
      <c r="C365" s="1" t="n">
        <v>46143</v>
      </c>
      <c r="D365" t="inlineStr">
        <is>
          <t>GOTLANDS LÄN</t>
        </is>
      </c>
      <c r="E365" t="inlineStr">
        <is>
          <t>GOTLAND</t>
        </is>
      </c>
      <c r="G365" t="n">
        <v>7.6</v>
      </c>
      <c r="H365" t="n">
        <v>0</v>
      </c>
      <c r="I365" t="n">
        <v>0</v>
      </c>
      <c r="J365" t="n">
        <v>0</v>
      </c>
      <c r="K365" t="n">
        <v>0</v>
      </c>
      <c r="L365" t="n">
        <v>0</v>
      </c>
      <c r="M365" t="n">
        <v>0</v>
      </c>
      <c r="N365" t="n">
        <v>0</v>
      </c>
      <c r="O365" t="n">
        <v>0</v>
      </c>
      <c r="P365" t="n">
        <v>0</v>
      </c>
      <c r="Q365" t="n">
        <v>0</v>
      </c>
      <c r="R365" s="2" t="inlineStr"/>
    </row>
    <row r="366" ht="15" customHeight="1">
      <c r="A366" t="inlineStr">
        <is>
          <t>A 28425-2023</t>
        </is>
      </c>
      <c r="B366" s="1" t="n">
        <v>45102</v>
      </c>
      <c r="C366" s="1" t="n">
        <v>46143</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4646-2026</t>
        </is>
      </c>
      <c r="B367" s="1" t="n">
        <v>46048.40357638889</v>
      </c>
      <c r="C367" s="1" t="n">
        <v>46143</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13037-2025</t>
        </is>
      </c>
      <c r="B368" s="1" t="n">
        <v>45734</v>
      </c>
      <c r="C368" s="1" t="n">
        <v>46143</v>
      </c>
      <c r="D368" t="inlineStr">
        <is>
          <t>GOTLANDS LÄN</t>
        </is>
      </c>
      <c r="E368" t="inlineStr">
        <is>
          <t>GOTLAND</t>
        </is>
      </c>
      <c r="G368" t="n">
        <v>9.5</v>
      </c>
      <c r="H368" t="n">
        <v>0</v>
      </c>
      <c r="I368" t="n">
        <v>0</v>
      </c>
      <c r="J368" t="n">
        <v>0</v>
      </c>
      <c r="K368" t="n">
        <v>0</v>
      </c>
      <c r="L368" t="n">
        <v>0</v>
      </c>
      <c r="M368" t="n">
        <v>0</v>
      </c>
      <c r="N368" t="n">
        <v>0</v>
      </c>
      <c r="O368" t="n">
        <v>0</v>
      </c>
      <c r="P368" t="n">
        <v>0</v>
      </c>
      <c r="Q368" t="n">
        <v>0</v>
      </c>
      <c r="R368" s="2" t="inlineStr"/>
    </row>
    <row r="369" ht="15" customHeight="1">
      <c r="A369" t="inlineStr">
        <is>
          <t>A 4634-2026</t>
        </is>
      </c>
      <c r="B369" s="1" t="n">
        <v>46048.39304398148</v>
      </c>
      <c r="C369" s="1" t="n">
        <v>46143</v>
      </c>
      <c r="D369" t="inlineStr">
        <is>
          <t>GOTLANDS LÄN</t>
        </is>
      </c>
      <c r="E369" t="inlineStr">
        <is>
          <t>GOTLAND</t>
        </is>
      </c>
      <c r="G369" t="n">
        <v>7.8</v>
      </c>
      <c r="H369" t="n">
        <v>0</v>
      </c>
      <c r="I369" t="n">
        <v>0</v>
      </c>
      <c r="J369" t="n">
        <v>0</v>
      </c>
      <c r="K369" t="n">
        <v>0</v>
      </c>
      <c r="L369" t="n">
        <v>0</v>
      </c>
      <c r="M369" t="n">
        <v>0</v>
      </c>
      <c r="N369" t="n">
        <v>0</v>
      </c>
      <c r="O369" t="n">
        <v>0</v>
      </c>
      <c r="P369" t="n">
        <v>0</v>
      </c>
      <c r="Q369" t="n">
        <v>0</v>
      </c>
      <c r="R369" s="2" t="inlineStr"/>
    </row>
    <row r="370" ht="15" customHeight="1">
      <c r="A370" t="inlineStr">
        <is>
          <t>A 30488-2025</t>
        </is>
      </c>
      <c r="B370" s="1" t="n">
        <v>45830</v>
      </c>
      <c r="C370" s="1" t="n">
        <v>46143</v>
      </c>
      <c r="D370" t="inlineStr">
        <is>
          <t>GOTLANDS LÄN</t>
        </is>
      </c>
      <c r="E370" t="inlineStr">
        <is>
          <t>GOTLAND</t>
        </is>
      </c>
      <c r="F370" t="inlineStr">
        <is>
          <t>Kyrkan</t>
        </is>
      </c>
      <c r="G370" t="n">
        <v>3.9</v>
      </c>
      <c r="H370" t="n">
        <v>0</v>
      </c>
      <c r="I370" t="n">
        <v>0</v>
      </c>
      <c r="J370" t="n">
        <v>0</v>
      </c>
      <c r="K370" t="n">
        <v>0</v>
      </c>
      <c r="L370" t="n">
        <v>0</v>
      </c>
      <c r="M370" t="n">
        <v>0</v>
      </c>
      <c r="N370" t="n">
        <v>0</v>
      </c>
      <c r="O370" t="n">
        <v>0</v>
      </c>
      <c r="P370" t="n">
        <v>0</v>
      </c>
      <c r="Q370" t="n">
        <v>0</v>
      </c>
      <c r="R370" s="2" t="inlineStr"/>
    </row>
    <row r="371" ht="15" customHeight="1">
      <c r="A371" t="inlineStr">
        <is>
          <t>A 15216-2025</t>
        </is>
      </c>
      <c r="B371" s="1" t="n">
        <v>45744</v>
      </c>
      <c r="C371" s="1" t="n">
        <v>46143</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4670-2026</t>
        </is>
      </c>
      <c r="B372" s="1" t="n">
        <v>46048.41733796296</v>
      </c>
      <c r="C372" s="1" t="n">
        <v>46143</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15001-2025</t>
        </is>
      </c>
      <c r="B373" s="1" t="n">
        <v>45743</v>
      </c>
      <c r="C373" s="1" t="n">
        <v>46143</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43790-2024</t>
        </is>
      </c>
      <c r="B374" s="1" t="n">
        <v>45571</v>
      </c>
      <c r="C374" s="1" t="n">
        <v>46143</v>
      </c>
      <c r="D374" t="inlineStr">
        <is>
          <t>GOTLANDS LÄN</t>
        </is>
      </c>
      <c r="E374" t="inlineStr">
        <is>
          <t>GOTLAND</t>
        </is>
      </c>
      <c r="G374" t="n">
        <v>3.5</v>
      </c>
      <c r="H374" t="n">
        <v>0</v>
      </c>
      <c r="I374" t="n">
        <v>0</v>
      </c>
      <c r="J374" t="n">
        <v>0</v>
      </c>
      <c r="K374" t="n">
        <v>0</v>
      </c>
      <c r="L374" t="n">
        <v>0</v>
      </c>
      <c r="M374" t="n">
        <v>0</v>
      </c>
      <c r="N374" t="n">
        <v>0</v>
      </c>
      <c r="O374" t="n">
        <v>0</v>
      </c>
      <c r="P374" t="n">
        <v>0</v>
      </c>
      <c r="Q374" t="n">
        <v>0</v>
      </c>
      <c r="R374" s="2" t="inlineStr"/>
    </row>
    <row r="375" ht="15" customHeight="1">
      <c r="A375" t="inlineStr">
        <is>
          <t>A 17847-2025</t>
        </is>
      </c>
      <c r="B375" s="1" t="n">
        <v>45758</v>
      </c>
      <c r="C375" s="1" t="n">
        <v>46143</v>
      </c>
      <c r="D375" t="inlineStr">
        <is>
          <t>GOTLANDS LÄN</t>
        </is>
      </c>
      <c r="E375" t="inlineStr">
        <is>
          <t>GOTLAND</t>
        </is>
      </c>
      <c r="G375" t="n">
        <v>1.9</v>
      </c>
      <c r="H375" t="n">
        <v>0</v>
      </c>
      <c r="I375" t="n">
        <v>0</v>
      </c>
      <c r="J375" t="n">
        <v>0</v>
      </c>
      <c r="K375" t="n">
        <v>0</v>
      </c>
      <c r="L375" t="n">
        <v>0</v>
      </c>
      <c r="M375" t="n">
        <v>0</v>
      </c>
      <c r="N375" t="n">
        <v>0</v>
      </c>
      <c r="O375" t="n">
        <v>0</v>
      </c>
      <c r="P375" t="n">
        <v>0</v>
      </c>
      <c r="Q375" t="n">
        <v>0</v>
      </c>
      <c r="R375" s="2" t="inlineStr"/>
    </row>
    <row r="376" ht="15" customHeight="1">
      <c r="A376" t="inlineStr">
        <is>
          <t>A 49724-2025</t>
        </is>
      </c>
      <c r="B376" s="1" t="n">
        <v>45939.83730324074</v>
      </c>
      <c r="C376" s="1" t="n">
        <v>46143</v>
      </c>
      <c r="D376" t="inlineStr">
        <is>
          <t>GOTLANDS LÄN</t>
        </is>
      </c>
      <c r="E376" t="inlineStr">
        <is>
          <t>GOTLAND</t>
        </is>
      </c>
      <c r="F376" t="inlineStr">
        <is>
          <t>Kyrkan</t>
        </is>
      </c>
      <c r="G376" t="n">
        <v>3.1</v>
      </c>
      <c r="H376" t="n">
        <v>0</v>
      </c>
      <c r="I376" t="n">
        <v>0</v>
      </c>
      <c r="J376" t="n">
        <v>0</v>
      </c>
      <c r="K376" t="n">
        <v>0</v>
      </c>
      <c r="L376" t="n">
        <v>0</v>
      </c>
      <c r="M376" t="n">
        <v>0</v>
      </c>
      <c r="N376" t="n">
        <v>0</v>
      </c>
      <c r="O376" t="n">
        <v>0</v>
      </c>
      <c r="P376" t="n">
        <v>0</v>
      </c>
      <c r="Q376" t="n">
        <v>0</v>
      </c>
      <c r="R376" s="2" t="inlineStr"/>
    </row>
    <row r="377" ht="15" customHeight="1">
      <c r="A377" t="inlineStr">
        <is>
          <t>A 49730-2025</t>
        </is>
      </c>
      <c r="B377" s="1" t="n">
        <v>45939.87613425926</v>
      </c>
      <c r="C377" s="1" t="n">
        <v>46143</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18742-2025</t>
        </is>
      </c>
      <c r="B378" s="1" t="n">
        <v>45763</v>
      </c>
      <c r="C378" s="1" t="n">
        <v>46143</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35129-2025</t>
        </is>
      </c>
      <c r="B379" s="1" t="n">
        <v>45852.63224537037</v>
      </c>
      <c r="C379" s="1" t="n">
        <v>46143</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50421-2025</t>
        </is>
      </c>
      <c r="B380" s="1" t="n">
        <v>45944.66049768519</v>
      </c>
      <c r="C380" s="1" t="n">
        <v>46143</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10746-2025</t>
        </is>
      </c>
      <c r="B381" s="1" t="n">
        <v>45722.42766203704</v>
      </c>
      <c r="C381" s="1" t="n">
        <v>46143</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50431-2025</t>
        </is>
      </c>
      <c r="B382" s="1" t="n">
        <v>45944.68453703704</v>
      </c>
      <c r="C382" s="1" t="n">
        <v>46143</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50928-2025</t>
        </is>
      </c>
      <c r="B383" s="1" t="n">
        <v>45946.67896990741</v>
      </c>
      <c r="C383" s="1" t="n">
        <v>46143</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46143</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43229-2023</t>
        </is>
      </c>
      <c r="B385" s="1" t="n">
        <v>45183.46704861111</v>
      </c>
      <c r="C385" s="1" t="n">
        <v>46143</v>
      </c>
      <c r="D385" t="inlineStr">
        <is>
          <t>GOTLANDS LÄN</t>
        </is>
      </c>
      <c r="E385" t="inlineStr">
        <is>
          <t>GOTLAND</t>
        </is>
      </c>
      <c r="G385" t="n">
        <v>7.1</v>
      </c>
      <c r="H385" t="n">
        <v>0</v>
      </c>
      <c r="I385" t="n">
        <v>0</v>
      </c>
      <c r="J385" t="n">
        <v>0</v>
      </c>
      <c r="K385" t="n">
        <v>0</v>
      </c>
      <c r="L385" t="n">
        <v>0</v>
      </c>
      <c r="M385" t="n">
        <v>0</v>
      </c>
      <c r="N385" t="n">
        <v>0</v>
      </c>
      <c r="O385" t="n">
        <v>0</v>
      </c>
      <c r="P385" t="n">
        <v>0</v>
      </c>
      <c r="Q385" t="n">
        <v>0</v>
      </c>
      <c r="R385" s="2" t="inlineStr"/>
    </row>
    <row r="386" ht="15" customHeight="1">
      <c r="A386" t="inlineStr">
        <is>
          <t>A 41038-2023</t>
        </is>
      </c>
      <c r="B386" s="1" t="n">
        <v>45173.60959490741</v>
      </c>
      <c r="C386" s="1" t="n">
        <v>46143</v>
      </c>
      <c r="D386" t="inlineStr">
        <is>
          <t>GOTLANDS LÄN</t>
        </is>
      </c>
      <c r="E386" t="inlineStr">
        <is>
          <t>GOTLAND</t>
        </is>
      </c>
      <c r="G386" t="n">
        <v>2.7</v>
      </c>
      <c r="H386" t="n">
        <v>0</v>
      </c>
      <c r="I386" t="n">
        <v>0</v>
      </c>
      <c r="J386" t="n">
        <v>0</v>
      </c>
      <c r="K386" t="n">
        <v>0</v>
      </c>
      <c r="L386" t="n">
        <v>0</v>
      </c>
      <c r="M386" t="n">
        <v>0</v>
      </c>
      <c r="N386" t="n">
        <v>0</v>
      </c>
      <c r="O386" t="n">
        <v>0</v>
      </c>
      <c r="P386" t="n">
        <v>0</v>
      </c>
      <c r="Q386" t="n">
        <v>0</v>
      </c>
      <c r="R386" s="2" t="inlineStr"/>
    </row>
    <row r="387" ht="15" customHeight="1">
      <c r="A387" t="inlineStr">
        <is>
          <t>A 30489-2025</t>
        </is>
      </c>
      <c r="B387" s="1" t="n">
        <v>45830</v>
      </c>
      <c r="C387" s="1" t="n">
        <v>46143</v>
      </c>
      <c r="D387" t="inlineStr">
        <is>
          <t>GOTLANDS LÄN</t>
        </is>
      </c>
      <c r="E387" t="inlineStr">
        <is>
          <t>GOTLAND</t>
        </is>
      </c>
      <c r="G387" t="n">
        <v>4.6</v>
      </c>
      <c r="H387" t="n">
        <v>0</v>
      </c>
      <c r="I387" t="n">
        <v>0</v>
      </c>
      <c r="J387" t="n">
        <v>0</v>
      </c>
      <c r="K387" t="n">
        <v>0</v>
      </c>
      <c r="L387" t="n">
        <v>0</v>
      </c>
      <c r="M387" t="n">
        <v>0</v>
      </c>
      <c r="N387" t="n">
        <v>0</v>
      </c>
      <c r="O387" t="n">
        <v>0</v>
      </c>
      <c r="P387" t="n">
        <v>0</v>
      </c>
      <c r="Q387" t="n">
        <v>0</v>
      </c>
      <c r="R387" s="2" t="inlineStr"/>
    </row>
    <row r="388" ht="15" customHeight="1">
      <c r="A388" t="inlineStr">
        <is>
          <t>A 21142-2025</t>
        </is>
      </c>
      <c r="B388" s="1" t="n">
        <v>45779</v>
      </c>
      <c r="C388" s="1" t="n">
        <v>46143</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6108-2025</t>
        </is>
      </c>
      <c r="B389" s="1" t="n">
        <v>45698.29880787037</v>
      </c>
      <c r="C389" s="1" t="n">
        <v>46143</v>
      </c>
      <c r="D389" t="inlineStr">
        <is>
          <t>GOTLANDS LÄN</t>
        </is>
      </c>
      <c r="E389" t="inlineStr">
        <is>
          <t>GOTLAND</t>
        </is>
      </c>
      <c r="G389" t="n">
        <v>2.8</v>
      </c>
      <c r="H389" t="n">
        <v>0</v>
      </c>
      <c r="I389" t="n">
        <v>0</v>
      </c>
      <c r="J389" t="n">
        <v>0</v>
      </c>
      <c r="K389" t="n">
        <v>0</v>
      </c>
      <c r="L389" t="n">
        <v>0</v>
      </c>
      <c r="M389" t="n">
        <v>0</v>
      </c>
      <c r="N389" t="n">
        <v>0</v>
      </c>
      <c r="O389" t="n">
        <v>0</v>
      </c>
      <c r="P389" t="n">
        <v>0</v>
      </c>
      <c r="Q389" t="n">
        <v>0</v>
      </c>
      <c r="R389" s="2" t="inlineStr"/>
    </row>
    <row r="390" ht="15" customHeight="1">
      <c r="A390" t="inlineStr">
        <is>
          <t>A 17343-2025</t>
        </is>
      </c>
      <c r="B390" s="1" t="n">
        <v>45756.6687037037</v>
      </c>
      <c r="C390" s="1" t="n">
        <v>46143</v>
      </c>
      <c r="D390" t="inlineStr">
        <is>
          <t>GOTLANDS LÄN</t>
        </is>
      </c>
      <c r="E390" t="inlineStr">
        <is>
          <t>GOTLAND</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18938-2025</t>
        </is>
      </c>
      <c r="B391" s="1" t="n">
        <v>45764.49172453704</v>
      </c>
      <c r="C391" s="1" t="n">
        <v>46143</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20307-2025</t>
        </is>
      </c>
      <c r="B392" s="1" t="n">
        <v>45774.95546296296</v>
      </c>
      <c r="C392" s="1" t="n">
        <v>46143</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52249-2025</t>
        </is>
      </c>
      <c r="B393" s="1" t="n">
        <v>45953.48637731482</v>
      </c>
      <c r="C393" s="1" t="n">
        <v>46143</v>
      </c>
      <c r="D393" t="inlineStr">
        <is>
          <t>GOTLANDS LÄN</t>
        </is>
      </c>
      <c r="E393" t="inlineStr">
        <is>
          <t>GOTLAND</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24966-2023</t>
        </is>
      </c>
      <c r="B394" s="1" t="n">
        <v>45085</v>
      </c>
      <c r="C394" s="1" t="n">
        <v>46143</v>
      </c>
      <c r="D394" t="inlineStr">
        <is>
          <t>GOTLANDS LÄN</t>
        </is>
      </c>
      <c r="E394" t="inlineStr">
        <is>
          <t>GOTLAND</t>
        </is>
      </c>
      <c r="G394" t="n">
        <v>7</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46143</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57652-2023</t>
        </is>
      </c>
      <c r="B396" s="1" t="n">
        <v>45246</v>
      </c>
      <c r="C396" s="1" t="n">
        <v>46143</v>
      </c>
      <c r="D396" t="inlineStr">
        <is>
          <t>GOTLANDS LÄN</t>
        </is>
      </c>
      <c r="E396" t="inlineStr">
        <is>
          <t>GOTLAND</t>
        </is>
      </c>
      <c r="G396" t="n">
        <v>7.2</v>
      </c>
      <c r="H396" t="n">
        <v>0</v>
      </c>
      <c r="I396" t="n">
        <v>0</v>
      </c>
      <c r="J396" t="n">
        <v>0</v>
      </c>
      <c r="K396" t="n">
        <v>0</v>
      </c>
      <c r="L396" t="n">
        <v>0</v>
      </c>
      <c r="M396" t="n">
        <v>0</v>
      </c>
      <c r="N396" t="n">
        <v>0</v>
      </c>
      <c r="O396" t="n">
        <v>0</v>
      </c>
      <c r="P396" t="n">
        <v>0</v>
      </c>
      <c r="Q396" t="n">
        <v>0</v>
      </c>
      <c r="R396" s="2" t="inlineStr"/>
    </row>
    <row r="397" ht="15" customHeight="1">
      <c r="A397" t="inlineStr">
        <is>
          <t>A 46189-2022</t>
        </is>
      </c>
      <c r="B397" s="1" t="n">
        <v>44847</v>
      </c>
      <c r="C397" s="1" t="n">
        <v>46143</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57522-2022</t>
        </is>
      </c>
      <c r="B398" s="1" t="n">
        <v>44896</v>
      </c>
      <c r="C398" s="1" t="n">
        <v>46143</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46143</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30135-2025</t>
        </is>
      </c>
      <c r="B400" s="1" t="n">
        <v>45826</v>
      </c>
      <c r="C400" s="1" t="n">
        <v>46143</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14797-2024</t>
        </is>
      </c>
      <c r="B401" s="1" t="n">
        <v>45397.87030092593</v>
      </c>
      <c r="C401" s="1" t="n">
        <v>46143</v>
      </c>
      <c r="D401" t="inlineStr">
        <is>
          <t>GOTLANDS LÄN</t>
        </is>
      </c>
      <c r="E401" t="inlineStr">
        <is>
          <t>GOTLAND</t>
        </is>
      </c>
      <c r="G401" t="n">
        <v>8.1</v>
      </c>
      <c r="H401" t="n">
        <v>0</v>
      </c>
      <c r="I401" t="n">
        <v>0</v>
      </c>
      <c r="J401" t="n">
        <v>0</v>
      </c>
      <c r="K401" t="n">
        <v>0</v>
      </c>
      <c r="L401" t="n">
        <v>0</v>
      </c>
      <c r="M401" t="n">
        <v>0</v>
      </c>
      <c r="N401" t="n">
        <v>0</v>
      </c>
      <c r="O401" t="n">
        <v>0</v>
      </c>
      <c r="P401" t="n">
        <v>0</v>
      </c>
      <c r="Q401" t="n">
        <v>0</v>
      </c>
      <c r="R401" s="2" t="inlineStr"/>
    </row>
    <row r="402" ht="15" customHeight="1">
      <c r="A402" t="inlineStr">
        <is>
          <t>A 1854-2026</t>
        </is>
      </c>
      <c r="B402" s="1" t="n">
        <v>46035.4171875</v>
      </c>
      <c r="C402" s="1" t="n">
        <v>46143</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7837-2024</t>
        </is>
      </c>
      <c r="B403" s="1" t="n">
        <v>45349.83787037037</v>
      </c>
      <c r="C403" s="1" t="n">
        <v>46143</v>
      </c>
      <c r="D403" t="inlineStr">
        <is>
          <t>GOTLANDS LÄN</t>
        </is>
      </c>
      <c r="E403" t="inlineStr">
        <is>
          <t>GOTLAND</t>
        </is>
      </c>
      <c r="G403" t="n">
        <v>5</v>
      </c>
      <c r="H403" t="n">
        <v>0</v>
      </c>
      <c r="I403" t="n">
        <v>0</v>
      </c>
      <c r="J403" t="n">
        <v>0</v>
      </c>
      <c r="K403" t="n">
        <v>0</v>
      </c>
      <c r="L403" t="n">
        <v>0</v>
      </c>
      <c r="M403" t="n">
        <v>0</v>
      </c>
      <c r="N403" t="n">
        <v>0</v>
      </c>
      <c r="O403" t="n">
        <v>0</v>
      </c>
      <c r="P403" t="n">
        <v>0</v>
      </c>
      <c r="Q403" t="n">
        <v>0</v>
      </c>
      <c r="R403" s="2" t="inlineStr"/>
    </row>
    <row r="404" ht="15" customHeight="1">
      <c r="A404" t="inlineStr">
        <is>
          <t>A 12599-2025</t>
        </is>
      </c>
      <c r="B404" s="1" t="n">
        <v>45733.29546296296</v>
      </c>
      <c r="C404" s="1" t="n">
        <v>46143</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6207-2026</t>
        </is>
      </c>
      <c r="B405" s="1" t="n">
        <v>46055.42083333333</v>
      </c>
      <c r="C405" s="1" t="n">
        <v>46143</v>
      </c>
      <c r="D405" t="inlineStr">
        <is>
          <t>GOTLANDS LÄN</t>
        </is>
      </c>
      <c r="E405" t="inlineStr">
        <is>
          <t>GOTLAND</t>
        </is>
      </c>
      <c r="G405" t="n">
        <v>7.6</v>
      </c>
      <c r="H405" t="n">
        <v>0</v>
      </c>
      <c r="I405" t="n">
        <v>0</v>
      </c>
      <c r="J405" t="n">
        <v>0</v>
      </c>
      <c r="K405" t="n">
        <v>0</v>
      </c>
      <c r="L405" t="n">
        <v>0</v>
      </c>
      <c r="M405" t="n">
        <v>0</v>
      </c>
      <c r="N405" t="n">
        <v>0</v>
      </c>
      <c r="O405" t="n">
        <v>0</v>
      </c>
      <c r="P405" t="n">
        <v>0</v>
      </c>
      <c r="Q405" t="n">
        <v>0</v>
      </c>
      <c r="R405" s="2" t="inlineStr"/>
    </row>
    <row r="406" ht="15" customHeight="1">
      <c r="A406" t="inlineStr">
        <is>
          <t>A 6218-2026</t>
        </is>
      </c>
      <c r="B406" s="1" t="n">
        <v>46055.42859953704</v>
      </c>
      <c r="C406" s="1" t="n">
        <v>46143</v>
      </c>
      <c r="D406" t="inlineStr">
        <is>
          <t>GOTLANDS LÄN</t>
        </is>
      </c>
      <c r="E406" t="inlineStr">
        <is>
          <t>GOTLAND</t>
        </is>
      </c>
      <c r="G406" t="n">
        <v>4.3</v>
      </c>
      <c r="H406" t="n">
        <v>0</v>
      </c>
      <c r="I406" t="n">
        <v>0</v>
      </c>
      <c r="J406" t="n">
        <v>0</v>
      </c>
      <c r="K406" t="n">
        <v>0</v>
      </c>
      <c r="L406" t="n">
        <v>0</v>
      </c>
      <c r="M406" t="n">
        <v>0</v>
      </c>
      <c r="N406" t="n">
        <v>0</v>
      </c>
      <c r="O406" t="n">
        <v>0</v>
      </c>
      <c r="P406" t="n">
        <v>0</v>
      </c>
      <c r="Q406" t="n">
        <v>0</v>
      </c>
      <c r="R406" s="2" t="inlineStr"/>
    </row>
    <row r="407" ht="15" customHeight="1">
      <c r="A407" t="inlineStr">
        <is>
          <t>A 6959-2026</t>
        </is>
      </c>
      <c r="B407" s="1" t="n">
        <v>46057.580625</v>
      </c>
      <c r="C407" s="1" t="n">
        <v>46143</v>
      </c>
      <c r="D407" t="inlineStr">
        <is>
          <t>GOTLANDS LÄN</t>
        </is>
      </c>
      <c r="E407" t="inlineStr">
        <is>
          <t>GOTLAND</t>
        </is>
      </c>
      <c r="F407" t="inlineStr">
        <is>
          <t>Kyrkan</t>
        </is>
      </c>
      <c r="G407" t="n">
        <v>1.2</v>
      </c>
      <c r="H407" t="n">
        <v>0</v>
      </c>
      <c r="I407" t="n">
        <v>0</v>
      </c>
      <c r="J407" t="n">
        <v>0</v>
      </c>
      <c r="K407" t="n">
        <v>0</v>
      </c>
      <c r="L407" t="n">
        <v>0</v>
      </c>
      <c r="M407" t="n">
        <v>0</v>
      </c>
      <c r="N407" t="n">
        <v>0</v>
      </c>
      <c r="O407" t="n">
        <v>0</v>
      </c>
      <c r="P407" t="n">
        <v>0</v>
      </c>
      <c r="Q407" t="n">
        <v>0</v>
      </c>
      <c r="R407" s="2" t="inlineStr"/>
    </row>
    <row r="408" ht="15" customHeight="1">
      <c r="A408" t="inlineStr">
        <is>
          <t>A 6960-2026</t>
        </is>
      </c>
      <c r="B408" s="1" t="n">
        <v>46057.58105324074</v>
      </c>
      <c r="C408" s="1" t="n">
        <v>46143</v>
      </c>
      <c r="D408" t="inlineStr">
        <is>
          <t>GOTLANDS LÄN</t>
        </is>
      </c>
      <c r="E408" t="inlineStr">
        <is>
          <t>GOTLAND</t>
        </is>
      </c>
      <c r="F408" t="inlineStr">
        <is>
          <t>Kyrkan</t>
        </is>
      </c>
      <c r="G408" t="n">
        <v>2.4</v>
      </c>
      <c r="H408" t="n">
        <v>0</v>
      </c>
      <c r="I408" t="n">
        <v>0</v>
      </c>
      <c r="J408" t="n">
        <v>0</v>
      </c>
      <c r="K408" t="n">
        <v>0</v>
      </c>
      <c r="L408" t="n">
        <v>0</v>
      </c>
      <c r="M408" t="n">
        <v>0</v>
      </c>
      <c r="N408" t="n">
        <v>0</v>
      </c>
      <c r="O408" t="n">
        <v>0</v>
      </c>
      <c r="P408" t="n">
        <v>0</v>
      </c>
      <c r="Q408" t="n">
        <v>0</v>
      </c>
      <c r="R408" s="2" t="inlineStr"/>
    </row>
    <row r="409" ht="15" customHeight="1">
      <c r="A409" t="inlineStr">
        <is>
          <t>A 53577-2025</t>
        </is>
      </c>
      <c r="B409" s="1" t="n">
        <v>45960.42224537037</v>
      </c>
      <c r="C409" s="1" t="n">
        <v>46143</v>
      </c>
      <c r="D409" t="inlineStr">
        <is>
          <t>GOTLANDS LÄN</t>
        </is>
      </c>
      <c r="E409" t="inlineStr">
        <is>
          <t>GOTLAND</t>
        </is>
      </c>
      <c r="F409" t="inlineStr">
        <is>
          <t>Övriga Aktiebolag</t>
        </is>
      </c>
      <c r="G409" t="n">
        <v>3.3</v>
      </c>
      <c r="H409" t="n">
        <v>0</v>
      </c>
      <c r="I409" t="n">
        <v>0</v>
      </c>
      <c r="J409" t="n">
        <v>0</v>
      </c>
      <c r="K409" t="n">
        <v>0</v>
      </c>
      <c r="L409" t="n">
        <v>0</v>
      </c>
      <c r="M409" t="n">
        <v>0</v>
      </c>
      <c r="N409" t="n">
        <v>0</v>
      </c>
      <c r="O409" t="n">
        <v>0</v>
      </c>
      <c r="P409" t="n">
        <v>0</v>
      </c>
      <c r="Q409" t="n">
        <v>0</v>
      </c>
      <c r="R409" s="2" t="inlineStr"/>
    </row>
    <row r="410" ht="15" customHeight="1">
      <c r="A410" t="inlineStr">
        <is>
          <t>A 1394-2023</t>
        </is>
      </c>
      <c r="B410" s="1" t="n">
        <v>44936.72997685185</v>
      </c>
      <c r="C410" s="1" t="n">
        <v>46143</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2676-2023</t>
        </is>
      </c>
      <c r="B411" s="1" t="n">
        <v>44944</v>
      </c>
      <c r="C411" s="1" t="n">
        <v>46143</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4387-2023</t>
        </is>
      </c>
      <c r="B412" s="1" t="n">
        <v>44955.73359953704</v>
      </c>
      <c r="C412" s="1" t="n">
        <v>46143</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53569-2025</t>
        </is>
      </c>
      <c r="B413" s="1" t="n">
        <v>45960.41155092593</v>
      </c>
      <c r="C413" s="1" t="n">
        <v>46143</v>
      </c>
      <c r="D413" t="inlineStr">
        <is>
          <t>GOTLANDS LÄN</t>
        </is>
      </c>
      <c r="E413" t="inlineStr">
        <is>
          <t>GOTLAND</t>
        </is>
      </c>
      <c r="F413" t="inlineStr">
        <is>
          <t>Övriga Aktiebolag</t>
        </is>
      </c>
      <c r="G413" t="n">
        <v>11.3</v>
      </c>
      <c r="H413" t="n">
        <v>0</v>
      </c>
      <c r="I413" t="n">
        <v>0</v>
      </c>
      <c r="J413" t="n">
        <v>0</v>
      </c>
      <c r="K413" t="n">
        <v>0</v>
      </c>
      <c r="L413" t="n">
        <v>0</v>
      </c>
      <c r="M413" t="n">
        <v>0</v>
      </c>
      <c r="N413" t="n">
        <v>0</v>
      </c>
      <c r="O413" t="n">
        <v>0</v>
      </c>
      <c r="P413" t="n">
        <v>0</v>
      </c>
      <c r="Q413" t="n">
        <v>0</v>
      </c>
      <c r="R413" s="2" t="inlineStr"/>
    </row>
    <row r="414" ht="15" customHeight="1">
      <c r="A414" t="inlineStr">
        <is>
          <t>A 7627-2026</t>
        </is>
      </c>
      <c r="B414" s="1" t="n">
        <v>46062.35465277778</v>
      </c>
      <c r="C414" s="1" t="n">
        <v>46143</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46143</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46143</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63105-2025</t>
        </is>
      </c>
      <c r="B417" s="1" t="n">
        <v>46009</v>
      </c>
      <c r="C417" s="1" t="n">
        <v>46143</v>
      </c>
      <c r="D417" t="inlineStr">
        <is>
          <t>GOTLANDS LÄN</t>
        </is>
      </c>
      <c r="E417" t="inlineStr">
        <is>
          <t>GOTLAND</t>
        </is>
      </c>
      <c r="G417" t="n">
        <v>2.6</v>
      </c>
      <c r="H417" t="n">
        <v>0</v>
      </c>
      <c r="I417" t="n">
        <v>0</v>
      </c>
      <c r="J417" t="n">
        <v>0</v>
      </c>
      <c r="K417" t="n">
        <v>0</v>
      </c>
      <c r="L417" t="n">
        <v>0</v>
      </c>
      <c r="M417" t="n">
        <v>0</v>
      </c>
      <c r="N417" t="n">
        <v>0</v>
      </c>
      <c r="O417" t="n">
        <v>0</v>
      </c>
      <c r="P417" t="n">
        <v>0</v>
      </c>
      <c r="Q417" t="n">
        <v>0</v>
      </c>
      <c r="R417" s="2" t="inlineStr"/>
    </row>
    <row r="418" ht="15" customHeight="1">
      <c r="A418" t="inlineStr">
        <is>
          <t>A 14840-2026</t>
        </is>
      </c>
      <c r="B418" s="1" t="n">
        <v>46104.39498842593</v>
      </c>
      <c r="C418" s="1" t="n">
        <v>46143</v>
      </c>
      <c r="D418" t="inlineStr">
        <is>
          <t>GOTLANDS LÄN</t>
        </is>
      </c>
      <c r="E418" t="inlineStr">
        <is>
          <t>GOTLAND</t>
        </is>
      </c>
      <c r="G418" t="n">
        <v>2.5</v>
      </c>
      <c r="H418" t="n">
        <v>0</v>
      </c>
      <c r="I418" t="n">
        <v>0</v>
      </c>
      <c r="J418" t="n">
        <v>0</v>
      </c>
      <c r="K418" t="n">
        <v>0</v>
      </c>
      <c r="L418" t="n">
        <v>0</v>
      </c>
      <c r="M418" t="n">
        <v>0</v>
      </c>
      <c r="N418" t="n">
        <v>0</v>
      </c>
      <c r="O418" t="n">
        <v>0</v>
      </c>
      <c r="P418" t="n">
        <v>0</v>
      </c>
      <c r="Q418" t="n">
        <v>0</v>
      </c>
      <c r="R418" s="2" t="inlineStr"/>
    </row>
    <row r="419" ht="15" customHeight="1">
      <c r="A419" t="inlineStr">
        <is>
          <t>A 2241-2025</t>
        </is>
      </c>
      <c r="B419" s="1" t="n">
        <v>45673.48710648148</v>
      </c>
      <c r="C419" s="1" t="n">
        <v>46143</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46143</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14635-2023</t>
        </is>
      </c>
      <c r="B421" s="1" t="n">
        <v>45013.69365740741</v>
      </c>
      <c r="C421" s="1" t="n">
        <v>46143</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63763-2023</t>
        </is>
      </c>
      <c r="B422" s="1" t="n">
        <v>45278.33944444444</v>
      </c>
      <c r="C422" s="1" t="n">
        <v>46143</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46143</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46143</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46143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7625-2026</t>
        </is>
      </c>
      <c r="B426" s="1" t="n">
        <v>46062.35135416667</v>
      </c>
      <c r="C426" s="1" t="n">
        <v>46143</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61682-2024</t>
        </is>
      </c>
      <c r="B427" s="1" t="n">
        <v>45647.48824074074</v>
      </c>
      <c r="C427" s="1" t="n">
        <v>46143</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15434-2024</t>
        </is>
      </c>
      <c r="B428" s="1" t="n">
        <v>45401.38836805556</v>
      </c>
      <c r="C428" s="1" t="n">
        <v>46143</v>
      </c>
      <c r="D428" t="inlineStr">
        <is>
          <t>GOTLANDS LÄN</t>
        </is>
      </c>
      <c r="E428" t="inlineStr">
        <is>
          <t>GOTLAND</t>
        </is>
      </c>
      <c r="G428" t="n">
        <v>2.5</v>
      </c>
      <c r="H428" t="n">
        <v>0</v>
      </c>
      <c r="I428" t="n">
        <v>0</v>
      </c>
      <c r="J428" t="n">
        <v>0</v>
      </c>
      <c r="K428" t="n">
        <v>0</v>
      </c>
      <c r="L428" t="n">
        <v>0</v>
      </c>
      <c r="M428" t="n">
        <v>0</v>
      </c>
      <c r="N428" t="n">
        <v>0</v>
      </c>
      <c r="O428" t="n">
        <v>0</v>
      </c>
      <c r="P428" t="n">
        <v>0</v>
      </c>
      <c r="Q428" t="n">
        <v>0</v>
      </c>
      <c r="R428" s="2" t="inlineStr"/>
    </row>
    <row r="429" ht="15" customHeight="1">
      <c r="A429" t="inlineStr">
        <is>
          <t>A 2135-2026</t>
        </is>
      </c>
      <c r="B429" s="1" t="n">
        <v>46036</v>
      </c>
      <c r="C429" s="1" t="n">
        <v>46143</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7034-2023</t>
        </is>
      </c>
      <c r="B430" s="1" t="n">
        <v>44968.32108796296</v>
      </c>
      <c r="C430" s="1" t="n">
        <v>46143</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7042-2023</t>
        </is>
      </c>
      <c r="B431" s="1" t="n">
        <v>44968</v>
      </c>
      <c r="C431" s="1" t="n">
        <v>46143</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2180-2025</t>
        </is>
      </c>
      <c r="B432" s="1" t="n">
        <v>45673</v>
      </c>
      <c r="C432" s="1" t="n">
        <v>46143</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2134-2026</t>
        </is>
      </c>
      <c r="B433" s="1" t="n">
        <v>46036</v>
      </c>
      <c r="C433" s="1" t="n">
        <v>46143</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54074-2022</t>
        </is>
      </c>
      <c r="B434" s="1" t="n">
        <v>44881</v>
      </c>
      <c r="C434" s="1" t="n">
        <v>46143</v>
      </c>
      <c r="D434" t="inlineStr">
        <is>
          <t>GOTLANDS LÄN</t>
        </is>
      </c>
      <c r="E434" t="inlineStr">
        <is>
          <t>GOTLAND</t>
        </is>
      </c>
      <c r="G434" t="n">
        <v>0.9</v>
      </c>
      <c r="H434" t="n">
        <v>0</v>
      </c>
      <c r="I434" t="n">
        <v>0</v>
      </c>
      <c r="J434" t="n">
        <v>0</v>
      </c>
      <c r="K434" t="n">
        <v>0</v>
      </c>
      <c r="L434" t="n">
        <v>0</v>
      </c>
      <c r="M434" t="n">
        <v>0</v>
      </c>
      <c r="N434" t="n">
        <v>0</v>
      </c>
      <c r="O434" t="n">
        <v>0</v>
      </c>
      <c r="P434" t="n">
        <v>0</v>
      </c>
      <c r="Q434" t="n">
        <v>0</v>
      </c>
      <c r="R434" s="2" t="inlineStr"/>
    </row>
    <row r="435" ht="15" customHeight="1">
      <c r="A435" t="inlineStr">
        <is>
          <t>A 61694-2023</t>
        </is>
      </c>
      <c r="B435" s="1" t="n">
        <v>45264</v>
      </c>
      <c r="C435" s="1" t="n">
        <v>46143</v>
      </c>
      <c r="D435" t="inlineStr">
        <is>
          <t>GOTLANDS LÄN</t>
        </is>
      </c>
      <c r="E435" t="inlineStr">
        <is>
          <t>GOTLAND</t>
        </is>
      </c>
      <c r="G435" t="n">
        <v>4.6</v>
      </c>
      <c r="H435" t="n">
        <v>0</v>
      </c>
      <c r="I435" t="n">
        <v>0</v>
      </c>
      <c r="J435" t="n">
        <v>0</v>
      </c>
      <c r="K435" t="n">
        <v>0</v>
      </c>
      <c r="L435" t="n">
        <v>0</v>
      </c>
      <c r="M435" t="n">
        <v>0</v>
      </c>
      <c r="N435" t="n">
        <v>0</v>
      </c>
      <c r="O435" t="n">
        <v>0</v>
      </c>
      <c r="P435" t="n">
        <v>0</v>
      </c>
      <c r="Q435" t="n">
        <v>0</v>
      </c>
      <c r="R435" s="2" t="inlineStr"/>
    </row>
    <row r="436" ht="15" customHeight="1">
      <c r="A436" t="inlineStr">
        <is>
          <t>A 64208-2021</t>
        </is>
      </c>
      <c r="B436" s="1" t="n">
        <v>44510</v>
      </c>
      <c r="C436" s="1" t="n">
        <v>46143</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54268-2022</t>
        </is>
      </c>
      <c r="B437" s="1" t="n">
        <v>44882</v>
      </c>
      <c r="C437" s="1" t="n">
        <v>46143</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1446-2025</t>
        </is>
      </c>
      <c r="B438" s="1" t="n">
        <v>45669.86035879629</v>
      </c>
      <c r="C438" s="1" t="n">
        <v>46143</v>
      </c>
      <c r="D438" t="inlineStr">
        <is>
          <t>GOTLANDS LÄN</t>
        </is>
      </c>
      <c r="E438" t="inlineStr">
        <is>
          <t>GOTLAND</t>
        </is>
      </c>
      <c r="G438" t="n">
        <v>3.1</v>
      </c>
      <c r="H438" t="n">
        <v>0</v>
      </c>
      <c r="I438" t="n">
        <v>0</v>
      </c>
      <c r="J438" t="n">
        <v>0</v>
      </c>
      <c r="K438" t="n">
        <v>0</v>
      </c>
      <c r="L438" t="n">
        <v>0</v>
      </c>
      <c r="M438" t="n">
        <v>0</v>
      </c>
      <c r="N438" t="n">
        <v>0</v>
      </c>
      <c r="O438" t="n">
        <v>0</v>
      </c>
      <c r="P438" t="n">
        <v>0</v>
      </c>
      <c r="Q438" t="n">
        <v>0</v>
      </c>
      <c r="R438" s="2" t="inlineStr"/>
    </row>
    <row r="439" ht="15" customHeight="1">
      <c r="A439" t="inlineStr">
        <is>
          <t>A 1462-2025</t>
        </is>
      </c>
      <c r="B439" s="1" t="n">
        <v>45670.36319444444</v>
      </c>
      <c r="C439" s="1" t="n">
        <v>46143</v>
      </c>
      <c r="D439" t="inlineStr">
        <is>
          <t>GOTLANDS LÄN</t>
        </is>
      </c>
      <c r="E439" t="inlineStr">
        <is>
          <t>GOTLAND</t>
        </is>
      </c>
      <c r="G439" t="n">
        <v>2.8</v>
      </c>
      <c r="H439" t="n">
        <v>0</v>
      </c>
      <c r="I439" t="n">
        <v>0</v>
      </c>
      <c r="J439" t="n">
        <v>0</v>
      </c>
      <c r="K439" t="n">
        <v>0</v>
      </c>
      <c r="L439" t="n">
        <v>0</v>
      </c>
      <c r="M439" t="n">
        <v>0</v>
      </c>
      <c r="N439" t="n">
        <v>0</v>
      </c>
      <c r="O439" t="n">
        <v>0</v>
      </c>
      <c r="P439" t="n">
        <v>0</v>
      </c>
      <c r="Q439" t="n">
        <v>0</v>
      </c>
      <c r="R439" s="2" t="inlineStr"/>
    </row>
    <row r="440" ht="15" customHeight="1">
      <c r="A440" t="inlineStr">
        <is>
          <t>A 56688-2025</t>
        </is>
      </c>
      <c r="B440" s="1" t="n">
        <v>45975.84331018518</v>
      </c>
      <c r="C440" s="1" t="n">
        <v>46143</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57685-2022</t>
        </is>
      </c>
      <c r="B441" s="1" t="n">
        <v>44897.4777662037</v>
      </c>
      <c r="C441" s="1" t="n">
        <v>46143</v>
      </c>
      <c r="D441" t="inlineStr">
        <is>
          <t>GOTLANDS LÄN</t>
        </is>
      </c>
      <c r="E441" t="inlineStr">
        <is>
          <t>GOTLAND</t>
        </is>
      </c>
      <c r="G441" t="n">
        <v>3.7</v>
      </c>
      <c r="H441" t="n">
        <v>0</v>
      </c>
      <c r="I441" t="n">
        <v>0</v>
      </c>
      <c r="J441" t="n">
        <v>0</v>
      </c>
      <c r="K441" t="n">
        <v>0</v>
      </c>
      <c r="L441" t="n">
        <v>0</v>
      </c>
      <c r="M441" t="n">
        <v>0</v>
      </c>
      <c r="N441" t="n">
        <v>0</v>
      </c>
      <c r="O441" t="n">
        <v>0</v>
      </c>
      <c r="P441" t="n">
        <v>0</v>
      </c>
      <c r="Q441" t="n">
        <v>0</v>
      </c>
      <c r="R441" s="2" t="inlineStr"/>
    </row>
    <row r="442" ht="15" customHeight="1">
      <c r="A442" t="inlineStr">
        <is>
          <t>A 811-2023</t>
        </is>
      </c>
      <c r="B442" s="1" t="n">
        <v>44931</v>
      </c>
      <c r="C442" s="1" t="n">
        <v>46143</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56799-2025</t>
        </is>
      </c>
      <c r="B443" s="1" t="n">
        <v>45978.43392361111</v>
      </c>
      <c r="C443" s="1" t="n">
        <v>46143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5905-2024</t>
        </is>
      </c>
      <c r="B444" s="1" t="n">
        <v>45335.88993055555</v>
      </c>
      <c r="C444" s="1" t="n">
        <v>46143</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3431-2025</t>
        </is>
      </c>
      <c r="B445" s="1" t="n">
        <v>45680.42935185185</v>
      </c>
      <c r="C445" s="1" t="n">
        <v>46143</v>
      </c>
      <c r="D445" t="inlineStr">
        <is>
          <t>GOTLANDS LÄN</t>
        </is>
      </c>
      <c r="E445" t="inlineStr">
        <is>
          <t>GOTLAND</t>
        </is>
      </c>
      <c r="G445" t="n">
        <v>4.8</v>
      </c>
      <c r="H445" t="n">
        <v>0</v>
      </c>
      <c r="I445" t="n">
        <v>0</v>
      </c>
      <c r="J445" t="n">
        <v>0</v>
      </c>
      <c r="K445" t="n">
        <v>0</v>
      </c>
      <c r="L445" t="n">
        <v>0</v>
      </c>
      <c r="M445" t="n">
        <v>0</v>
      </c>
      <c r="N445" t="n">
        <v>0</v>
      </c>
      <c r="O445" t="n">
        <v>0</v>
      </c>
      <c r="P445" t="n">
        <v>0</v>
      </c>
      <c r="Q445" t="n">
        <v>0</v>
      </c>
      <c r="R445" s="2" t="inlineStr"/>
    </row>
    <row r="446" ht="15" customHeight="1">
      <c r="A446" t="inlineStr">
        <is>
          <t>A 34407-2023</t>
        </is>
      </c>
      <c r="B446" s="1" t="n">
        <v>45132</v>
      </c>
      <c r="C446" s="1" t="n">
        <v>46143</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30892-2024</t>
        </is>
      </c>
      <c r="B447" s="1" t="n">
        <v>45491</v>
      </c>
      <c r="C447" s="1" t="n">
        <v>46143</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32958-2021</t>
        </is>
      </c>
      <c r="B448" s="1" t="n">
        <v>44376</v>
      </c>
      <c r="C448" s="1" t="n">
        <v>46143</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7858-2025</t>
        </is>
      </c>
      <c r="B449" s="1" t="n">
        <v>45706.68633101852</v>
      </c>
      <c r="C449" s="1" t="n">
        <v>46143</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46545-2024</t>
        </is>
      </c>
      <c r="B450" s="1" t="n">
        <v>45582.65831018519</v>
      </c>
      <c r="C450" s="1" t="n">
        <v>46143</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999-2023</t>
        </is>
      </c>
      <c r="B451" s="1" t="n">
        <v>44935</v>
      </c>
      <c r="C451" s="1" t="n">
        <v>46143</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1364-2025</t>
        </is>
      </c>
      <c r="B452" s="1" t="n">
        <v>45667.63929398148</v>
      </c>
      <c r="C452" s="1" t="n">
        <v>46143</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2125-2025</t>
        </is>
      </c>
      <c r="B453" s="1" t="n">
        <v>45672.64940972222</v>
      </c>
      <c r="C453" s="1" t="n">
        <v>46143</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14141-2024</t>
        </is>
      </c>
      <c r="B454" s="1" t="n">
        <v>45392.85193287037</v>
      </c>
      <c r="C454" s="1" t="n">
        <v>46143</v>
      </c>
      <c r="D454" t="inlineStr">
        <is>
          <t>GOTLANDS LÄN</t>
        </is>
      </c>
      <c r="E454" t="inlineStr">
        <is>
          <t>GOTLAND</t>
        </is>
      </c>
      <c r="G454" t="n">
        <v>5.3</v>
      </c>
      <c r="H454" t="n">
        <v>0</v>
      </c>
      <c r="I454" t="n">
        <v>0</v>
      </c>
      <c r="J454" t="n">
        <v>0</v>
      </c>
      <c r="K454" t="n">
        <v>0</v>
      </c>
      <c r="L454" t="n">
        <v>0</v>
      </c>
      <c r="M454" t="n">
        <v>0</v>
      </c>
      <c r="N454" t="n">
        <v>0</v>
      </c>
      <c r="O454" t="n">
        <v>0</v>
      </c>
      <c r="P454" t="n">
        <v>0</v>
      </c>
      <c r="Q454" t="n">
        <v>0</v>
      </c>
      <c r="R454" s="2" t="inlineStr"/>
    </row>
    <row r="455" ht="15" customHeight="1">
      <c r="A455" t="inlineStr">
        <is>
          <t>A 12155-2023</t>
        </is>
      </c>
      <c r="B455" s="1" t="n">
        <v>44998.49106481481</v>
      </c>
      <c r="C455" s="1" t="n">
        <v>46143</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59197-2025</t>
        </is>
      </c>
      <c r="B456" s="1" t="n">
        <v>45988.59846064815</v>
      </c>
      <c r="C456" s="1" t="n">
        <v>46143</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2774-2024</t>
        </is>
      </c>
      <c r="B457" s="1" t="n">
        <v>45314.62375</v>
      </c>
      <c r="C457" s="1" t="n">
        <v>46143</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36319-2025</t>
        </is>
      </c>
      <c r="B458" s="1" t="n">
        <v>45868</v>
      </c>
      <c r="C458" s="1" t="n">
        <v>46143</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9947-2024</t>
        </is>
      </c>
      <c r="B459" s="1" t="n">
        <v>45363</v>
      </c>
      <c r="C459" s="1" t="n">
        <v>46143</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42007-2023</t>
        </is>
      </c>
      <c r="B460" s="1" t="n">
        <v>45177</v>
      </c>
      <c r="C460" s="1" t="n">
        <v>46143</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53561-2025</t>
        </is>
      </c>
      <c r="B461" s="1" t="n">
        <v>45960.4059375</v>
      </c>
      <c r="C461" s="1" t="n">
        <v>46143</v>
      </c>
      <c r="D461" t="inlineStr">
        <is>
          <t>GOTLANDS LÄN</t>
        </is>
      </c>
      <c r="E461" t="inlineStr">
        <is>
          <t>GOTLAND</t>
        </is>
      </c>
      <c r="F461" t="inlineStr">
        <is>
          <t>Övriga Aktiebolag</t>
        </is>
      </c>
      <c r="G461" t="n">
        <v>2.4</v>
      </c>
      <c r="H461" t="n">
        <v>0</v>
      </c>
      <c r="I461" t="n">
        <v>0</v>
      </c>
      <c r="J461" t="n">
        <v>0</v>
      </c>
      <c r="K461" t="n">
        <v>0</v>
      </c>
      <c r="L461" t="n">
        <v>0</v>
      </c>
      <c r="M461" t="n">
        <v>0</v>
      </c>
      <c r="N461" t="n">
        <v>0</v>
      </c>
      <c r="O461" t="n">
        <v>0</v>
      </c>
      <c r="P461" t="n">
        <v>0</v>
      </c>
      <c r="Q461" t="n">
        <v>0</v>
      </c>
      <c r="R461" s="2" t="inlineStr"/>
    </row>
    <row r="462" ht="15" customHeight="1">
      <c r="A462" t="inlineStr">
        <is>
          <t>A 53587-2025</t>
        </is>
      </c>
      <c r="B462" s="1" t="n">
        <v>45960.43681712963</v>
      </c>
      <c r="C462" s="1" t="n">
        <v>46143</v>
      </c>
      <c r="D462" t="inlineStr">
        <is>
          <t>GOTLANDS LÄN</t>
        </is>
      </c>
      <c r="E462" t="inlineStr">
        <is>
          <t>GOTLAND</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15083-2025</t>
        </is>
      </c>
      <c r="B463" s="1" t="n">
        <v>45743</v>
      </c>
      <c r="C463" s="1" t="n">
        <v>46143</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9540-2026</t>
        </is>
      </c>
      <c r="B464" s="1" t="n">
        <v>46071.61961805556</v>
      </c>
      <c r="C464" s="1" t="n">
        <v>46143</v>
      </c>
      <c r="D464" t="inlineStr">
        <is>
          <t>GOTLANDS LÄN</t>
        </is>
      </c>
      <c r="E464" t="inlineStr">
        <is>
          <t>GOTLAND</t>
        </is>
      </c>
      <c r="G464" t="n">
        <v>2.8</v>
      </c>
      <c r="H464" t="n">
        <v>0</v>
      </c>
      <c r="I464" t="n">
        <v>0</v>
      </c>
      <c r="J464" t="n">
        <v>0</v>
      </c>
      <c r="K464" t="n">
        <v>0</v>
      </c>
      <c r="L464" t="n">
        <v>0</v>
      </c>
      <c r="M464" t="n">
        <v>0</v>
      </c>
      <c r="N464" t="n">
        <v>0</v>
      </c>
      <c r="O464" t="n">
        <v>0</v>
      </c>
      <c r="P464" t="n">
        <v>0</v>
      </c>
      <c r="Q464" t="n">
        <v>0</v>
      </c>
      <c r="R464" s="2" t="inlineStr"/>
    </row>
    <row r="465" ht="15" customHeight="1">
      <c r="A465" t="inlineStr">
        <is>
          <t>A 1066-2024</t>
        </is>
      </c>
      <c r="B465" s="1" t="n">
        <v>45302.285</v>
      </c>
      <c r="C465" s="1" t="n">
        <v>46143</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37202-2024</t>
        </is>
      </c>
      <c r="B466" s="1" t="n">
        <v>45539.67310185185</v>
      </c>
      <c r="C466" s="1" t="n">
        <v>46143</v>
      </c>
      <c r="D466" t="inlineStr">
        <is>
          <t>GOTLANDS LÄN</t>
        </is>
      </c>
      <c r="E466" t="inlineStr">
        <is>
          <t>GOTLAND</t>
        </is>
      </c>
      <c r="G466" t="n">
        <v>0.3</v>
      </c>
      <c r="H466" t="n">
        <v>0</v>
      </c>
      <c r="I466" t="n">
        <v>0</v>
      </c>
      <c r="J466" t="n">
        <v>0</v>
      </c>
      <c r="K466" t="n">
        <v>0</v>
      </c>
      <c r="L466" t="n">
        <v>0</v>
      </c>
      <c r="M466" t="n">
        <v>0</v>
      </c>
      <c r="N466" t="n">
        <v>0</v>
      </c>
      <c r="O466" t="n">
        <v>0</v>
      </c>
      <c r="P466" t="n">
        <v>0</v>
      </c>
      <c r="Q466" t="n">
        <v>0</v>
      </c>
      <c r="R466" s="2" t="inlineStr"/>
    </row>
    <row r="467" ht="15" customHeight="1">
      <c r="A467" t="inlineStr">
        <is>
          <t>A 9521-2026</t>
        </is>
      </c>
      <c r="B467" s="1" t="n">
        <v>46071.59969907408</v>
      </c>
      <c r="C467" s="1" t="n">
        <v>46143</v>
      </c>
      <c r="D467" t="inlineStr">
        <is>
          <t>GOTLANDS LÄN</t>
        </is>
      </c>
      <c r="E467" t="inlineStr">
        <is>
          <t>GOTLAND</t>
        </is>
      </c>
      <c r="G467" t="n">
        <v>3.9</v>
      </c>
      <c r="H467" t="n">
        <v>0</v>
      </c>
      <c r="I467" t="n">
        <v>0</v>
      </c>
      <c r="J467" t="n">
        <v>0</v>
      </c>
      <c r="K467" t="n">
        <v>0</v>
      </c>
      <c r="L467" t="n">
        <v>0</v>
      </c>
      <c r="M467" t="n">
        <v>0</v>
      </c>
      <c r="N467" t="n">
        <v>0</v>
      </c>
      <c r="O467" t="n">
        <v>0</v>
      </c>
      <c r="P467" t="n">
        <v>0</v>
      </c>
      <c r="Q467" t="n">
        <v>0</v>
      </c>
      <c r="R467" s="2" t="inlineStr"/>
    </row>
    <row r="468" ht="15" customHeight="1">
      <c r="A468" t="inlineStr">
        <is>
          <t>A 9524-2026</t>
        </is>
      </c>
      <c r="B468" s="1" t="n">
        <v>46071.60108796296</v>
      </c>
      <c r="C468" s="1" t="n">
        <v>46143</v>
      </c>
      <c r="D468" t="inlineStr">
        <is>
          <t>GOTLANDS LÄN</t>
        </is>
      </c>
      <c r="E468" t="inlineStr">
        <is>
          <t>GOTLAND</t>
        </is>
      </c>
      <c r="G468" t="n">
        <v>2.5</v>
      </c>
      <c r="H468" t="n">
        <v>0</v>
      </c>
      <c r="I468" t="n">
        <v>0</v>
      </c>
      <c r="J468" t="n">
        <v>0</v>
      </c>
      <c r="K468" t="n">
        <v>0</v>
      </c>
      <c r="L468" t="n">
        <v>0</v>
      </c>
      <c r="M468" t="n">
        <v>0</v>
      </c>
      <c r="N468" t="n">
        <v>0</v>
      </c>
      <c r="O468" t="n">
        <v>0</v>
      </c>
      <c r="P468" t="n">
        <v>0</v>
      </c>
      <c r="Q468" t="n">
        <v>0</v>
      </c>
      <c r="R468" s="2" t="inlineStr"/>
    </row>
    <row r="469" ht="15" customHeight="1">
      <c r="A469" t="inlineStr">
        <is>
          <t>A 9543-2026</t>
        </is>
      </c>
      <c r="B469" s="1" t="n">
        <v>46071.62486111111</v>
      </c>
      <c r="C469" s="1" t="n">
        <v>46143</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62066-2025</t>
        </is>
      </c>
      <c r="B470" s="1" t="n">
        <v>46006.34738425926</v>
      </c>
      <c r="C470" s="1" t="n">
        <v>46143</v>
      </c>
      <c r="D470" t="inlineStr">
        <is>
          <t>GOTLANDS LÄN</t>
        </is>
      </c>
      <c r="E470" t="inlineStr">
        <is>
          <t>GOTLAND</t>
        </is>
      </c>
      <c r="G470" t="n">
        <v>1.7</v>
      </c>
      <c r="H470" t="n">
        <v>0</v>
      </c>
      <c r="I470" t="n">
        <v>0</v>
      </c>
      <c r="J470" t="n">
        <v>0</v>
      </c>
      <c r="K470" t="n">
        <v>0</v>
      </c>
      <c r="L470" t="n">
        <v>0</v>
      </c>
      <c r="M470" t="n">
        <v>0</v>
      </c>
      <c r="N470" t="n">
        <v>0</v>
      </c>
      <c r="O470" t="n">
        <v>0</v>
      </c>
      <c r="P470" t="n">
        <v>0</v>
      </c>
      <c r="Q470" t="n">
        <v>0</v>
      </c>
      <c r="R470" s="2" t="inlineStr"/>
    </row>
    <row r="471" ht="15" customHeight="1">
      <c r="A471" t="inlineStr">
        <is>
          <t>A 62103-2025</t>
        </is>
      </c>
      <c r="B471" s="1" t="n">
        <v>46006</v>
      </c>
      <c r="C471" s="1" t="n">
        <v>46143</v>
      </c>
      <c r="D471" t="inlineStr">
        <is>
          <t>GOTLANDS LÄN</t>
        </is>
      </c>
      <c r="E471" t="inlineStr">
        <is>
          <t>GOTLAND</t>
        </is>
      </c>
      <c r="F471" t="inlineStr">
        <is>
          <t>Övriga Aktiebolag</t>
        </is>
      </c>
      <c r="G471" t="n">
        <v>1.7</v>
      </c>
      <c r="H471" t="n">
        <v>0</v>
      </c>
      <c r="I471" t="n">
        <v>0</v>
      </c>
      <c r="J471" t="n">
        <v>0</v>
      </c>
      <c r="K471" t="n">
        <v>0</v>
      </c>
      <c r="L471" t="n">
        <v>0</v>
      </c>
      <c r="M471" t="n">
        <v>0</v>
      </c>
      <c r="N471" t="n">
        <v>0</v>
      </c>
      <c r="O471" t="n">
        <v>0</v>
      </c>
      <c r="P471" t="n">
        <v>0</v>
      </c>
      <c r="Q471" t="n">
        <v>0</v>
      </c>
      <c r="R471" s="2" t="inlineStr"/>
    </row>
    <row r="472" ht="15" customHeight="1">
      <c r="A472" t="inlineStr">
        <is>
          <t>A 9504-2026</t>
        </is>
      </c>
      <c r="B472" s="1" t="n">
        <v>46071.57730324074</v>
      </c>
      <c r="C472" s="1" t="n">
        <v>46143</v>
      </c>
      <c r="D472" t="inlineStr">
        <is>
          <t>GOTLANDS LÄN</t>
        </is>
      </c>
      <c r="E472" t="inlineStr">
        <is>
          <t>GOTLAND</t>
        </is>
      </c>
      <c r="G472" t="n">
        <v>0.6</v>
      </c>
      <c r="H472" t="n">
        <v>0</v>
      </c>
      <c r="I472" t="n">
        <v>0</v>
      </c>
      <c r="J472" t="n">
        <v>0</v>
      </c>
      <c r="K472" t="n">
        <v>0</v>
      </c>
      <c r="L472" t="n">
        <v>0</v>
      </c>
      <c r="M472" t="n">
        <v>0</v>
      </c>
      <c r="N472" t="n">
        <v>0</v>
      </c>
      <c r="O472" t="n">
        <v>0</v>
      </c>
      <c r="P472" t="n">
        <v>0</v>
      </c>
      <c r="Q472" t="n">
        <v>0</v>
      </c>
      <c r="R472" s="2" t="inlineStr"/>
    </row>
    <row r="473" ht="15" customHeight="1">
      <c r="A473" t="inlineStr">
        <is>
          <t>A 9518-2026</t>
        </is>
      </c>
      <c r="B473" s="1" t="n">
        <v>46071.59653935185</v>
      </c>
      <c r="C473" s="1" t="n">
        <v>46143</v>
      </c>
      <c r="D473" t="inlineStr">
        <is>
          <t>GOTLANDS LÄN</t>
        </is>
      </c>
      <c r="E473" t="inlineStr">
        <is>
          <t>GOTLAND</t>
        </is>
      </c>
      <c r="G473" t="n">
        <v>6.2</v>
      </c>
      <c r="H473" t="n">
        <v>0</v>
      </c>
      <c r="I473" t="n">
        <v>0</v>
      </c>
      <c r="J473" t="n">
        <v>0</v>
      </c>
      <c r="K473" t="n">
        <v>0</v>
      </c>
      <c r="L473" t="n">
        <v>0</v>
      </c>
      <c r="M473" t="n">
        <v>0</v>
      </c>
      <c r="N473" t="n">
        <v>0</v>
      </c>
      <c r="O473" t="n">
        <v>0</v>
      </c>
      <c r="P473" t="n">
        <v>0</v>
      </c>
      <c r="Q473" t="n">
        <v>0</v>
      </c>
      <c r="R473" s="2" t="inlineStr"/>
    </row>
    <row r="474" ht="15" customHeight="1">
      <c r="A474" t="inlineStr">
        <is>
          <t>A 9519-2026</t>
        </is>
      </c>
      <c r="B474" s="1" t="n">
        <v>46071.59820601852</v>
      </c>
      <c r="C474" s="1" t="n">
        <v>46143</v>
      </c>
      <c r="D474" t="inlineStr">
        <is>
          <t>GOTLANDS LÄN</t>
        </is>
      </c>
      <c r="E474" t="inlineStr">
        <is>
          <t>GOTLAND</t>
        </is>
      </c>
      <c r="G474" t="n">
        <v>4</v>
      </c>
      <c r="H474" t="n">
        <v>0</v>
      </c>
      <c r="I474" t="n">
        <v>0</v>
      </c>
      <c r="J474" t="n">
        <v>0</v>
      </c>
      <c r="K474" t="n">
        <v>0</v>
      </c>
      <c r="L474" t="n">
        <v>0</v>
      </c>
      <c r="M474" t="n">
        <v>0</v>
      </c>
      <c r="N474" t="n">
        <v>0</v>
      </c>
      <c r="O474" t="n">
        <v>0</v>
      </c>
      <c r="P474" t="n">
        <v>0</v>
      </c>
      <c r="Q474" t="n">
        <v>0</v>
      </c>
      <c r="R474" s="2" t="inlineStr"/>
    </row>
    <row r="475" ht="15" customHeight="1">
      <c r="A475" t="inlineStr">
        <is>
          <t>A 30815-2023</t>
        </is>
      </c>
      <c r="B475" s="1" t="n">
        <v>45112</v>
      </c>
      <c r="C475" s="1" t="n">
        <v>46143</v>
      </c>
      <c r="D475" t="inlineStr">
        <is>
          <t>GOTLANDS LÄN</t>
        </is>
      </c>
      <c r="E475" t="inlineStr">
        <is>
          <t>GOTLAND</t>
        </is>
      </c>
      <c r="G475" t="n">
        <v>6</v>
      </c>
      <c r="H475" t="n">
        <v>0</v>
      </c>
      <c r="I475" t="n">
        <v>0</v>
      </c>
      <c r="J475" t="n">
        <v>0</v>
      </c>
      <c r="K475" t="n">
        <v>0</v>
      </c>
      <c r="L475" t="n">
        <v>0</v>
      </c>
      <c r="M475" t="n">
        <v>0</v>
      </c>
      <c r="N475" t="n">
        <v>0</v>
      </c>
      <c r="O475" t="n">
        <v>0</v>
      </c>
      <c r="P475" t="n">
        <v>0</v>
      </c>
      <c r="Q475" t="n">
        <v>0</v>
      </c>
      <c r="R475" s="2" t="inlineStr"/>
    </row>
    <row r="476" ht="15" customHeight="1">
      <c r="A476" t="inlineStr">
        <is>
          <t>A 46400-2023</t>
        </is>
      </c>
      <c r="B476" s="1" t="n">
        <v>45197.49290509259</v>
      </c>
      <c r="C476" s="1" t="n">
        <v>46143</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10492-2023</t>
        </is>
      </c>
      <c r="B477" s="1" t="n">
        <v>44987</v>
      </c>
      <c r="C477" s="1" t="n">
        <v>46143</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63002-2025</t>
        </is>
      </c>
      <c r="B478" s="1" t="n">
        <v>46009.56564814815</v>
      </c>
      <c r="C478" s="1" t="n">
        <v>46143</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9901-2026</t>
        </is>
      </c>
      <c r="B479" s="1" t="n">
        <v>46073.40391203704</v>
      </c>
      <c r="C479" s="1" t="n">
        <v>46143</v>
      </c>
      <c r="D479" t="inlineStr">
        <is>
          <t>GOTLANDS LÄN</t>
        </is>
      </c>
      <c r="E479" t="inlineStr">
        <is>
          <t>GOTLAND</t>
        </is>
      </c>
      <c r="F479" t="inlineStr">
        <is>
          <t>Kyrkan</t>
        </is>
      </c>
      <c r="G479" t="n">
        <v>0.9</v>
      </c>
      <c r="H479" t="n">
        <v>0</v>
      </c>
      <c r="I479" t="n">
        <v>0</v>
      </c>
      <c r="J479" t="n">
        <v>0</v>
      </c>
      <c r="K479" t="n">
        <v>0</v>
      </c>
      <c r="L479" t="n">
        <v>0</v>
      </c>
      <c r="M479" t="n">
        <v>0</v>
      </c>
      <c r="N479" t="n">
        <v>0</v>
      </c>
      <c r="O479" t="n">
        <v>0</v>
      </c>
      <c r="P479" t="n">
        <v>0</v>
      </c>
      <c r="Q479" t="n">
        <v>0</v>
      </c>
      <c r="R479" s="2" t="inlineStr"/>
    </row>
    <row r="480" ht="15" customHeight="1">
      <c r="A480" t="inlineStr">
        <is>
          <t>A 17000-2026</t>
        </is>
      </c>
      <c r="B480" s="1" t="n">
        <v>46114.42690972222</v>
      </c>
      <c r="C480" s="1" t="n">
        <v>46143</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44919-2022</t>
        </is>
      </c>
      <c r="B481" s="1" t="n">
        <v>44841</v>
      </c>
      <c r="C481" s="1" t="n">
        <v>46143</v>
      </c>
      <c r="D481" t="inlineStr">
        <is>
          <t>GOTLANDS LÄN</t>
        </is>
      </c>
      <c r="E481" t="inlineStr">
        <is>
          <t>GOTLAND</t>
        </is>
      </c>
      <c r="G481" t="n">
        <v>2.2</v>
      </c>
      <c r="H481" t="n">
        <v>0</v>
      </c>
      <c r="I481" t="n">
        <v>0</v>
      </c>
      <c r="J481" t="n">
        <v>0</v>
      </c>
      <c r="K481" t="n">
        <v>0</v>
      </c>
      <c r="L481" t="n">
        <v>0</v>
      </c>
      <c r="M481" t="n">
        <v>0</v>
      </c>
      <c r="N481" t="n">
        <v>0</v>
      </c>
      <c r="O481" t="n">
        <v>0</v>
      </c>
      <c r="P481" t="n">
        <v>0</v>
      </c>
      <c r="Q481" t="n">
        <v>0</v>
      </c>
      <c r="R481" s="2" t="inlineStr"/>
    </row>
    <row r="482" ht="15" customHeight="1">
      <c r="A482" t="inlineStr">
        <is>
          <t>A 16501-2023</t>
        </is>
      </c>
      <c r="B482" s="1" t="n">
        <v>45029</v>
      </c>
      <c r="C482" s="1" t="n">
        <v>46143</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27095-2022</t>
        </is>
      </c>
      <c r="B483" s="1" t="n">
        <v>44741</v>
      </c>
      <c r="C483" s="1" t="n">
        <v>46143</v>
      </c>
      <c r="D483" t="inlineStr">
        <is>
          <t>GOTLANDS LÄN</t>
        </is>
      </c>
      <c r="E483" t="inlineStr">
        <is>
          <t>GOTLAND</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458-2023</t>
        </is>
      </c>
      <c r="B484" s="1" t="n">
        <v>44929</v>
      </c>
      <c r="C484" s="1" t="n">
        <v>46143</v>
      </c>
      <c r="D484" t="inlineStr">
        <is>
          <t>GOTLANDS LÄN</t>
        </is>
      </c>
      <c r="E484" t="inlineStr">
        <is>
          <t>GOTLAND</t>
        </is>
      </c>
      <c r="G484" t="n">
        <v>3.6</v>
      </c>
      <c r="H484" t="n">
        <v>0</v>
      </c>
      <c r="I484" t="n">
        <v>0</v>
      </c>
      <c r="J484" t="n">
        <v>0</v>
      </c>
      <c r="K484" t="n">
        <v>0</v>
      </c>
      <c r="L484" t="n">
        <v>0</v>
      </c>
      <c r="M484" t="n">
        <v>0</v>
      </c>
      <c r="N484" t="n">
        <v>0</v>
      </c>
      <c r="O484" t="n">
        <v>0</v>
      </c>
      <c r="P484" t="n">
        <v>0</v>
      </c>
      <c r="Q484" t="n">
        <v>0</v>
      </c>
      <c r="R484" s="2" t="inlineStr"/>
    </row>
    <row r="485" ht="15" customHeight="1">
      <c r="A485" t="inlineStr">
        <is>
          <t>A 1291-2023</t>
        </is>
      </c>
      <c r="B485" s="1" t="n">
        <v>44936.47561342592</v>
      </c>
      <c r="C485" s="1" t="n">
        <v>46143</v>
      </c>
      <c r="D485" t="inlineStr">
        <is>
          <t>GOTLANDS LÄN</t>
        </is>
      </c>
      <c r="E485" t="inlineStr">
        <is>
          <t>GOTLAND</t>
        </is>
      </c>
      <c r="G485" t="n">
        <v>7.4</v>
      </c>
      <c r="H485" t="n">
        <v>0</v>
      </c>
      <c r="I485" t="n">
        <v>0</v>
      </c>
      <c r="J485" t="n">
        <v>0</v>
      </c>
      <c r="K485" t="n">
        <v>0</v>
      </c>
      <c r="L485" t="n">
        <v>0</v>
      </c>
      <c r="M485" t="n">
        <v>0</v>
      </c>
      <c r="N485" t="n">
        <v>0</v>
      </c>
      <c r="O485" t="n">
        <v>0</v>
      </c>
      <c r="P485" t="n">
        <v>0</v>
      </c>
      <c r="Q485" t="n">
        <v>0</v>
      </c>
      <c r="R485" s="2" t="inlineStr"/>
    </row>
    <row r="486" ht="15" customHeight="1">
      <c r="A486" t="inlineStr">
        <is>
          <t>A 16993-2026</t>
        </is>
      </c>
      <c r="B486" s="1" t="n">
        <v>46114.41918981481</v>
      </c>
      <c r="C486" s="1" t="n">
        <v>46143</v>
      </c>
      <c r="D486" t="inlineStr">
        <is>
          <t>GOTLANDS LÄN</t>
        </is>
      </c>
      <c r="E486" t="inlineStr">
        <is>
          <t>GOTLAND</t>
        </is>
      </c>
      <c r="G486" t="n">
        <v>3</v>
      </c>
      <c r="H486" t="n">
        <v>0</v>
      </c>
      <c r="I486" t="n">
        <v>0</v>
      </c>
      <c r="J486" t="n">
        <v>0</v>
      </c>
      <c r="K486" t="n">
        <v>0</v>
      </c>
      <c r="L486" t="n">
        <v>0</v>
      </c>
      <c r="M486" t="n">
        <v>0</v>
      </c>
      <c r="N486" t="n">
        <v>0</v>
      </c>
      <c r="O486" t="n">
        <v>0</v>
      </c>
      <c r="P486" t="n">
        <v>0</v>
      </c>
      <c r="Q486" t="n">
        <v>0</v>
      </c>
      <c r="R486" s="2" t="inlineStr"/>
    </row>
    <row r="487" ht="15" customHeight="1">
      <c r="A487" t="inlineStr">
        <is>
          <t>A 32330-2024</t>
        </is>
      </c>
      <c r="B487" s="1" t="n">
        <v>45512</v>
      </c>
      <c r="C487" s="1" t="n">
        <v>46143</v>
      </c>
      <c r="D487" t="inlineStr">
        <is>
          <t>GOTLANDS LÄN</t>
        </is>
      </c>
      <c r="E487" t="inlineStr">
        <is>
          <t>GOTLAND</t>
        </is>
      </c>
      <c r="G487" t="n">
        <v>2.6</v>
      </c>
      <c r="H487" t="n">
        <v>0</v>
      </c>
      <c r="I487" t="n">
        <v>0</v>
      </c>
      <c r="J487" t="n">
        <v>0</v>
      </c>
      <c r="K487" t="n">
        <v>0</v>
      </c>
      <c r="L487" t="n">
        <v>0</v>
      </c>
      <c r="M487" t="n">
        <v>0</v>
      </c>
      <c r="N487" t="n">
        <v>0</v>
      </c>
      <c r="O487" t="n">
        <v>0</v>
      </c>
      <c r="P487" t="n">
        <v>0</v>
      </c>
      <c r="Q487" t="n">
        <v>0</v>
      </c>
      <c r="R487" s="2" t="inlineStr"/>
    </row>
    <row r="488" ht="15" customHeight="1">
      <c r="A488" t="inlineStr">
        <is>
          <t>A 10284-2026</t>
        </is>
      </c>
      <c r="B488" s="1" t="n">
        <v>46076</v>
      </c>
      <c r="C488" s="1" t="n">
        <v>46143</v>
      </c>
      <c r="D488" t="inlineStr">
        <is>
          <t>GOTLANDS LÄN</t>
        </is>
      </c>
      <c r="E488" t="inlineStr">
        <is>
          <t>GOTLAND</t>
        </is>
      </c>
      <c r="G488" t="n">
        <v>5.2</v>
      </c>
      <c r="H488" t="n">
        <v>0</v>
      </c>
      <c r="I488" t="n">
        <v>0</v>
      </c>
      <c r="J488" t="n">
        <v>0</v>
      </c>
      <c r="K488" t="n">
        <v>0</v>
      </c>
      <c r="L488" t="n">
        <v>0</v>
      </c>
      <c r="M488" t="n">
        <v>0</v>
      </c>
      <c r="N488" t="n">
        <v>0</v>
      </c>
      <c r="O488" t="n">
        <v>0</v>
      </c>
      <c r="P488" t="n">
        <v>0</v>
      </c>
      <c r="Q488" t="n">
        <v>0</v>
      </c>
      <c r="R488" s="2" t="inlineStr"/>
    </row>
    <row r="489" ht="15" customHeight="1">
      <c r="A489" t="inlineStr">
        <is>
          <t>A 5891-2025</t>
        </is>
      </c>
      <c r="B489" s="1" t="n">
        <v>45695.38327546296</v>
      </c>
      <c r="C489" s="1" t="n">
        <v>46143</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63152-2025</t>
        </is>
      </c>
      <c r="B490" s="1" t="n">
        <v>46010</v>
      </c>
      <c r="C490" s="1" t="n">
        <v>46143</v>
      </c>
      <c r="D490" t="inlineStr">
        <is>
          <t>GOTLANDS LÄN</t>
        </is>
      </c>
      <c r="E490" t="inlineStr">
        <is>
          <t>GOTLAND</t>
        </is>
      </c>
      <c r="G490" t="n">
        <v>1.5</v>
      </c>
      <c r="H490" t="n">
        <v>0</v>
      </c>
      <c r="I490" t="n">
        <v>0</v>
      </c>
      <c r="J490" t="n">
        <v>0</v>
      </c>
      <c r="K490" t="n">
        <v>0</v>
      </c>
      <c r="L490" t="n">
        <v>0</v>
      </c>
      <c r="M490" t="n">
        <v>0</v>
      </c>
      <c r="N490" t="n">
        <v>0</v>
      </c>
      <c r="O490" t="n">
        <v>0</v>
      </c>
      <c r="P490" t="n">
        <v>0</v>
      </c>
      <c r="Q490" t="n">
        <v>0</v>
      </c>
      <c r="R490" s="2" t="inlineStr"/>
    </row>
    <row r="491" ht="15" customHeight="1">
      <c r="A491" t="inlineStr">
        <is>
          <t>A 10486-2026</t>
        </is>
      </c>
      <c r="B491" s="1" t="n">
        <v>46077.51425925926</v>
      </c>
      <c r="C491" s="1" t="n">
        <v>46143</v>
      </c>
      <c r="D491" t="inlineStr">
        <is>
          <t>GOTLANDS LÄN</t>
        </is>
      </c>
      <c r="E491" t="inlineStr">
        <is>
          <t>GOTLAND</t>
        </is>
      </c>
      <c r="G491" t="n">
        <v>3.5</v>
      </c>
      <c r="H491" t="n">
        <v>0</v>
      </c>
      <c r="I491" t="n">
        <v>0</v>
      </c>
      <c r="J491" t="n">
        <v>0</v>
      </c>
      <c r="K491" t="n">
        <v>0</v>
      </c>
      <c r="L491" t="n">
        <v>0</v>
      </c>
      <c r="M491" t="n">
        <v>0</v>
      </c>
      <c r="N491" t="n">
        <v>0</v>
      </c>
      <c r="O491" t="n">
        <v>0</v>
      </c>
      <c r="P491" t="n">
        <v>0</v>
      </c>
      <c r="Q491" t="n">
        <v>0</v>
      </c>
      <c r="R491" s="2" t="inlineStr"/>
    </row>
    <row r="492" ht="15" customHeight="1">
      <c r="A492" t="inlineStr">
        <is>
          <t>A 60384-2025</t>
        </is>
      </c>
      <c r="B492" s="1" t="n">
        <v>45995</v>
      </c>
      <c r="C492" s="1" t="n">
        <v>46143</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2719-2023</t>
        </is>
      </c>
      <c r="B493" s="1" t="n">
        <v>44944.55361111111</v>
      </c>
      <c r="C493" s="1" t="n">
        <v>46143</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17144-2025</t>
        </is>
      </c>
      <c r="B494" s="1" t="n">
        <v>45755.9499537037</v>
      </c>
      <c r="C494" s="1" t="n">
        <v>46143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17328-2026</t>
        </is>
      </c>
      <c r="B495" s="1" t="n">
        <v>46119.61216435185</v>
      </c>
      <c r="C495" s="1" t="n">
        <v>46143</v>
      </c>
      <c r="D495" t="inlineStr">
        <is>
          <t>GOTLANDS LÄN</t>
        </is>
      </c>
      <c r="E495" t="inlineStr">
        <is>
          <t>GOTLAND</t>
        </is>
      </c>
      <c r="F495" t="inlineStr">
        <is>
          <t>Kyrkan</t>
        </is>
      </c>
      <c r="G495" t="n">
        <v>4</v>
      </c>
      <c r="H495" t="n">
        <v>0</v>
      </c>
      <c r="I495" t="n">
        <v>0</v>
      </c>
      <c r="J495" t="n">
        <v>0</v>
      </c>
      <c r="K495" t="n">
        <v>0</v>
      </c>
      <c r="L495" t="n">
        <v>0</v>
      </c>
      <c r="M495" t="n">
        <v>0</v>
      </c>
      <c r="N495" t="n">
        <v>0</v>
      </c>
      <c r="O495" t="n">
        <v>0</v>
      </c>
      <c r="P495" t="n">
        <v>0</v>
      </c>
      <c r="Q495" t="n">
        <v>0</v>
      </c>
      <c r="R495" s="2" t="inlineStr"/>
    </row>
    <row r="496" ht="15" customHeight="1">
      <c r="A496" t="inlineStr">
        <is>
          <t>A 17935-2026</t>
        </is>
      </c>
      <c r="B496" s="1" t="n">
        <v>46122</v>
      </c>
      <c r="C496" s="1" t="n">
        <v>46143</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17943-2026</t>
        </is>
      </c>
      <c r="B497" s="1" t="n">
        <v>46122</v>
      </c>
      <c r="C497" s="1" t="n">
        <v>46143</v>
      </c>
      <c r="D497" t="inlineStr">
        <is>
          <t>GOTLANDS LÄN</t>
        </is>
      </c>
      <c r="E497" t="inlineStr">
        <is>
          <t>GOTLAND</t>
        </is>
      </c>
      <c r="G497" t="n">
        <v>2.8</v>
      </c>
      <c r="H497" t="n">
        <v>0</v>
      </c>
      <c r="I497" t="n">
        <v>0</v>
      </c>
      <c r="J497" t="n">
        <v>0</v>
      </c>
      <c r="K497" t="n">
        <v>0</v>
      </c>
      <c r="L497" t="n">
        <v>0</v>
      </c>
      <c r="M497" t="n">
        <v>0</v>
      </c>
      <c r="N497" t="n">
        <v>0</v>
      </c>
      <c r="O497" t="n">
        <v>0</v>
      </c>
      <c r="P497" t="n">
        <v>0</v>
      </c>
      <c r="Q497" t="n">
        <v>0</v>
      </c>
      <c r="R497" s="2" t="inlineStr"/>
    </row>
    <row r="498" ht="15" customHeight="1">
      <c r="A498" t="inlineStr">
        <is>
          <t>A 54584-2025</t>
        </is>
      </c>
      <c r="B498" s="1" t="n">
        <v>45965.71788194445</v>
      </c>
      <c r="C498" s="1" t="n">
        <v>46143</v>
      </c>
      <c r="D498" t="inlineStr">
        <is>
          <t>GOTLANDS LÄN</t>
        </is>
      </c>
      <c r="E498" t="inlineStr">
        <is>
          <t>GOTLAND</t>
        </is>
      </c>
      <c r="G498" t="n">
        <v>3.5</v>
      </c>
      <c r="H498" t="n">
        <v>0</v>
      </c>
      <c r="I498" t="n">
        <v>0</v>
      </c>
      <c r="J498" t="n">
        <v>0</v>
      </c>
      <c r="K498" t="n">
        <v>0</v>
      </c>
      <c r="L498" t="n">
        <v>0</v>
      </c>
      <c r="M498" t="n">
        <v>0</v>
      </c>
      <c r="N498" t="n">
        <v>0</v>
      </c>
      <c r="O498" t="n">
        <v>0</v>
      </c>
      <c r="P498" t="n">
        <v>0</v>
      </c>
      <c r="Q498" t="n">
        <v>0</v>
      </c>
      <c r="R498" s="2" t="inlineStr"/>
    </row>
    <row r="499" ht="15" customHeight="1">
      <c r="A499" t="inlineStr">
        <is>
          <t>A 49314-2024</t>
        </is>
      </c>
      <c r="B499" s="1" t="n">
        <v>45595.55893518519</v>
      </c>
      <c r="C499" s="1" t="n">
        <v>46143</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9875-2025</t>
        </is>
      </c>
      <c r="B500" s="1" t="n">
        <v>45716</v>
      </c>
      <c r="C500" s="1" t="n">
        <v>46143</v>
      </c>
      <c r="D500" t="inlineStr">
        <is>
          <t>GOTLANDS LÄN</t>
        </is>
      </c>
      <c r="E500" t="inlineStr">
        <is>
          <t>GOTLAND</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11424-2026</t>
        </is>
      </c>
      <c r="B501" s="1" t="n">
        <v>46083.48068287037</v>
      </c>
      <c r="C501" s="1" t="n">
        <v>46143</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44755.8713425926</v>
      </c>
      <c r="C502" s="1" t="n">
        <v>46143</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3067-2026</t>
        </is>
      </c>
      <c r="B503" s="1" t="n">
        <v>46040.59025462963</v>
      </c>
      <c r="C503" s="1" t="n">
        <v>46143</v>
      </c>
      <c r="D503" t="inlineStr">
        <is>
          <t>GOTLANDS LÄN</t>
        </is>
      </c>
      <c r="E503" t="inlineStr">
        <is>
          <t>GOTLAND</t>
        </is>
      </c>
      <c r="G503" t="n">
        <v>7.8</v>
      </c>
      <c r="H503" t="n">
        <v>0</v>
      </c>
      <c r="I503" t="n">
        <v>0</v>
      </c>
      <c r="J503" t="n">
        <v>0</v>
      </c>
      <c r="K503" t="n">
        <v>0</v>
      </c>
      <c r="L503" t="n">
        <v>0</v>
      </c>
      <c r="M503" t="n">
        <v>0</v>
      </c>
      <c r="N503" t="n">
        <v>0</v>
      </c>
      <c r="O503" t="n">
        <v>0</v>
      </c>
      <c r="P503" t="n">
        <v>0</v>
      </c>
      <c r="Q503" t="n">
        <v>0</v>
      </c>
      <c r="R503" s="2" t="inlineStr"/>
    </row>
    <row r="504" ht="15" customHeight="1">
      <c r="A504" t="inlineStr">
        <is>
          <t>A 11414-2026</t>
        </is>
      </c>
      <c r="B504" s="1" t="n">
        <v>46083.46336805556</v>
      </c>
      <c r="C504" s="1" t="n">
        <v>46143</v>
      </c>
      <c r="D504" t="inlineStr">
        <is>
          <t>GOTLANDS LÄN</t>
        </is>
      </c>
      <c r="E504" t="inlineStr">
        <is>
          <t>GOTLAND</t>
        </is>
      </c>
      <c r="G504" t="n">
        <v>4.9</v>
      </c>
      <c r="H504" t="n">
        <v>0</v>
      </c>
      <c r="I504" t="n">
        <v>0</v>
      </c>
      <c r="J504" t="n">
        <v>0</v>
      </c>
      <c r="K504" t="n">
        <v>0</v>
      </c>
      <c r="L504" t="n">
        <v>0</v>
      </c>
      <c r="M504" t="n">
        <v>0</v>
      </c>
      <c r="N504" t="n">
        <v>0</v>
      </c>
      <c r="O504" t="n">
        <v>0</v>
      </c>
      <c r="P504" t="n">
        <v>0</v>
      </c>
      <c r="Q504" t="n">
        <v>0</v>
      </c>
      <c r="R504" s="2" t="inlineStr"/>
    </row>
    <row r="505" ht="15" customHeight="1">
      <c r="A505" t="inlineStr">
        <is>
          <t>A 16361-2024</t>
        </is>
      </c>
      <c r="B505" s="1" t="n">
        <v>45407</v>
      </c>
      <c r="C505" s="1" t="n">
        <v>46143</v>
      </c>
      <c r="D505" t="inlineStr">
        <is>
          <t>GOTLANDS LÄN</t>
        </is>
      </c>
      <c r="E505" t="inlineStr">
        <is>
          <t>GOTLAND</t>
        </is>
      </c>
      <c r="G505" t="n">
        <v>6</v>
      </c>
      <c r="H505" t="n">
        <v>0</v>
      </c>
      <c r="I505" t="n">
        <v>0</v>
      </c>
      <c r="J505" t="n">
        <v>0</v>
      </c>
      <c r="K505" t="n">
        <v>0</v>
      </c>
      <c r="L505" t="n">
        <v>0</v>
      </c>
      <c r="M505" t="n">
        <v>0</v>
      </c>
      <c r="N505" t="n">
        <v>0</v>
      </c>
      <c r="O505" t="n">
        <v>0</v>
      </c>
      <c r="P505" t="n">
        <v>0</v>
      </c>
      <c r="Q505" t="n">
        <v>0</v>
      </c>
      <c r="R505" s="2" t="inlineStr"/>
    </row>
    <row r="506" ht="15" customHeight="1">
      <c r="A506" t="inlineStr">
        <is>
          <t>A 12135-2026</t>
        </is>
      </c>
      <c r="B506" s="1" t="n">
        <v>46086</v>
      </c>
      <c r="C506" s="1" t="n">
        <v>46143</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43081-2022</t>
        </is>
      </c>
      <c r="B507" s="1" t="n">
        <v>44833</v>
      </c>
      <c r="C507" s="1" t="n">
        <v>46143</v>
      </c>
      <c r="D507" t="inlineStr">
        <is>
          <t>GOTLANDS LÄN</t>
        </is>
      </c>
      <c r="E507" t="inlineStr">
        <is>
          <t>GOTLAND</t>
        </is>
      </c>
      <c r="G507" t="n">
        <v>6.8</v>
      </c>
      <c r="H507" t="n">
        <v>0</v>
      </c>
      <c r="I507" t="n">
        <v>0</v>
      </c>
      <c r="J507" t="n">
        <v>0</v>
      </c>
      <c r="K507" t="n">
        <v>0</v>
      </c>
      <c r="L507" t="n">
        <v>0</v>
      </c>
      <c r="M507" t="n">
        <v>0</v>
      </c>
      <c r="N507" t="n">
        <v>0</v>
      </c>
      <c r="O507" t="n">
        <v>0</v>
      </c>
      <c r="P507" t="n">
        <v>0</v>
      </c>
      <c r="Q507" t="n">
        <v>0</v>
      </c>
      <c r="R507" s="2" t="inlineStr"/>
    </row>
    <row r="508" ht="15" customHeight="1">
      <c r="A508" t="inlineStr">
        <is>
          <t>A 11982-2026</t>
        </is>
      </c>
      <c r="B508" s="1" t="n">
        <v>46085.6434375</v>
      </c>
      <c r="C508" s="1" t="n">
        <v>46143</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18804-2026</t>
        </is>
      </c>
      <c r="B509" s="1" t="n">
        <v>46128.62366898148</v>
      </c>
      <c r="C509" s="1" t="n">
        <v>46143</v>
      </c>
      <c r="D509" t="inlineStr">
        <is>
          <t>GOTLANDS LÄN</t>
        </is>
      </c>
      <c r="E509" t="inlineStr">
        <is>
          <t>GOTLAND</t>
        </is>
      </c>
      <c r="F509" t="inlineStr">
        <is>
          <t>Kyrkan</t>
        </is>
      </c>
      <c r="G509" t="n">
        <v>2.6</v>
      </c>
      <c r="H509" t="n">
        <v>0</v>
      </c>
      <c r="I509" t="n">
        <v>0</v>
      </c>
      <c r="J509" t="n">
        <v>0</v>
      </c>
      <c r="K509" t="n">
        <v>0</v>
      </c>
      <c r="L509" t="n">
        <v>0</v>
      </c>
      <c r="M509" t="n">
        <v>0</v>
      </c>
      <c r="N509" t="n">
        <v>0</v>
      </c>
      <c r="O509" t="n">
        <v>0</v>
      </c>
      <c r="P509" t="n">
        <v>0</v>
      </c>
      <c r="Q509" t="n">
        <v>0</v>
      </c>
      <c r="R509" s="2" t="inlineStr"/>
    </row>
    <row r="510" ht="15" customHeight="1">
      <c r="A510" t="inlineStr">
        <is>
          <t>A 1175-2025</t>
        </is>
      </c>
      <c r="B510" s="1" t="n">
        <v>45667.34449074074</v>
      </c>
      <c r="C510" s="1" t="n">
        <v>46143</v>
      </c>
      <c r="D510" t="inlineStr">
        <is>
          <t>GOTLANDS LÄN</t>
        </is>
      </c>
      <c r="E510" t="inlineStr">
        <is>
          <t>GOTLAND</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3150-2025</t>
        </is>
      </c>
      <c r="B511" s="1" t="n">
        <v>45679.28974537037</v>
      </c>
      <c r="C511" s="1" t="n">
        <v>46143</v>
      </c>
      <c r="D511" t="inlineStr">
        <is>
          <t>GOTLANDS LÄN</t>
        </is>
      </c>
      <c r="E511" t="inlineStr">
        <is>
          <t>GOTLAND</t>
        </is>
      </c>
      <c r="G511" t="n">
        <v>2.5</v>
      </c>
      <c r="H511" t="n">
        <v>0</v>
      </c>
      <c r="I511" t="n">
        <v>0</v>
      </c>
      <c r="J511" t="n">
        <v>0</v>
      </c>
      <c r="K511" t="n">
        <v>0</v>
      </c>
      <c r="L511" t="n">
        <v>0</v>
      </c>
      <c r="M511" t="n">
        <v>0</v>
      </c>
      <c r="N511" t="n">
        <v>0</v>
      </c>
      <c r="O511" t="n">
        <v>0</v>
      </c>
      <c r="P511" t="n">
        <v>0</v>
      </c>
      <c r="Q511" t="n">
        <v>0</v>
      </c>
      <c r="R511" s="2" t="inlineStr"/>
    </row>
    <row r="512" ht="15" customHeight="1">
      <c r="A512" t="inlineStr">
        <is>
          <t>A 42041-2024</t>
        </is>
      </c>
      <c r="B512" s="1" t="n">
        <v>45561</v>
      </c>
      <c r="C512" s="1" t="n">
        <v>46143</v>
      </c>
      <c r="D512" t="inlineStr">
        <is>
          <t>GOTLANDS LÄN</t>
        </is>
      </c>
      <c r="E512" t="inlineStr">
        <is>
          <t>GOTLAND</t>
        </is>
      </c>
      <c r="G512" t="n">
        <v>3.2</v>
      </c>
      <c r="H512" t="n">
        <v>0</v>
      </c>
      <c r="I512" t="n">
        <v>0</v>
      </c>
      <c r="J512" t="n">
        <v>0</v>
      </c>
      <c r="K512" t="n">
        <v>0</v>
      </c>
      <c r="L512" t="n">
        <v>0</v>
      </c>
      <c r="M512" t="n">
        <v>0</v>
      </c>
      <c r="N512" t="n">
        <v>0</v>
      </c>
      <c r="O512" t="n">
        <v>0</v>
      </c>
      <c r="P512" t="n">
        <v>0</v>
      </c>
      <c r="Q512" t="n">
        <v>0</v>
      </c>
      <c r="R512" s="2" t="inlineStr"/>
    </row>
    <row r="513" ht="15" customHeight="1">
      <c r="A513" t="inlineStr">
        <is>
          <t>A 42201-2023</t>
        </is>
      </c>
      <c r="B513" s="1" t="n">
        <v>45179</v>
      </c>
      <c r="C513" s="1" t="n">
        <v>46143</v>
      </c>
      <c r="D513" t="inlineStr">
        <is>
          <t>GOTLANDS LÄN</t>
        </is>
      </c>
      <c r="E513" t="inlineStr">
        <is>
          <t>GOTLAND</t>
        </is>
      </c>
      <c r="G513" t="n">
        <v>11.9</v>
      </c>
      <c r="H513" t="n">
        <v>0</v>
      </c>
      <c r="I513" t="n">
        <v>0</v>
      </c>
      <c r="J513" t="n">
        <v>0</v>
      </c>
      <c r="K513" t="n">
        <v>0</v>
      </c>
      <c r="L513" t="n">
        <v>0</v>
      </c>
      <c r="M513" t="n">
        <v>0</v>
      </c>
      <c r="N513" t="n">
        <v>0</v>
      </c>
      <c r="O513" t="n">
        <v>0</v>
      </c>
      <c r="P513" t="n">
        <v>0</v>
      </c>
      <c r="Q513" t="n">
        <v>0</v>
      </c>
      <c r="R513" s="2" t="inlineStr"/>
    </row>
    <row r="514" ht="15" customHeight="1">
      <c r="A514" t="inlineStr">
        <is>
          <t>A 15436-2025</t>
        </is>
      </c>
      <c r="B514" s="1" t="n">
        <v>45747.47462962963</v>
      </c>
      <c r="C514" s="1" t="n">
        <v>46143</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19322-2026</t>
        </is>
      </c>
      <c r="B515" s="1" t="n">
        <v>46129</v>
      </c>
      <c r="C515" s="1" t="n">
        <v>46143</v>
      </c>
      <c r="D515" t="inlineStr">
        <is>
          <t>GOTLANDS LÄN</t>
        </is>
      </c>
      <c r="E515" t="inlineStr">
        <is>
          <t>GOTLAND</t>
        </is>
      </c>
      <c r="G515" t="n">
        <v>1</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46143</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17780-2022</t>
        </is>
      </c>
      <c r="B517" s="1" t="n">
        <v>44682.82622685185</v>
      </c>
      <c r="C517" s="1" t="n">
        <v>46143</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63516-2023</t>
        </is>
      </c>
      <c r="B518" s="1" t="n">
        <v>45274</v>
      </c>
      <c r="C518" s="1" t="n">
        <v>46143</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5863-2026</t>
        </is>
      </c>
      <c r="B519" s="1" t="n">
        <v>46052</v>
      </c>
      <c r="C519" s="1" t="n">
        <v>46143</v>
      </c>
      <c r="D519" t="inlineStr">
        <is>
          <t>GOTLANDS LÄN</t>
        </is>
      </c>
      <c r="E519" t="inlineStr">
        <is>
          <t>GOTLAND</t>
        </is>
      </c>
      <c r="G519" t="n">
        <v>1.8</v>
      </c>
      <c r="H519" t="n">
        <v>0</v>
      </c>
      <c r="I519" t="n">
        <v>0</v>
      </c>
      <c r="J519" t="n">
        <v>0</v>
      </c>
      <c r="K519" t="n">
        <v>0</v>
      </c>
      <c r="L519" t="n">
        <v>0</v>
      </c>
      <c r="M519" t="n">
        <v>0</v>
      </c>
      <c r="N519" t="n">
        <v>0</v>
      </c>
      <c r="O519" t="n">
        <v>0</v>
      </c>
      <c r="P519" t="n">
        <v>0</v>
      </c>
      <c r="Q519" t="n">
        <v>0</v>
      </c>
      <c r="R519" s="2" t="inlineStr"/>
    </row>
    <row r="520" ht="15" customHeight="1">
      <c r="A520" t="inlineStr">
        <is>
          <t>A 53935-2024</t>
        </is>
      </c>
      <c r="B520" s="1" t="n">
        <v>45615</v>
      </c>
      <c r="C520" s="1" t="n">
        <v>46143</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69112-2021</t>
        </is>
      </c>
      <c r="B521" s="1" t="n">
        <v>44530</v>
      </c>
      <c r="C521" s="1" t="n">
        <v>46143</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48734-2022</t>
        </is>
      </c>
      <c r="B522" s="1" t="n">
        <v>44855</v>
      </c>
      <c r="C522" s="1" t="n">
        <v>46143</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63000-2025</t>
        </is>
      </c>
      <c r="B523" s="1" t="n">
        <v>46009</v>
      </c>
      <c r="C523" s="1" t="n">
        <v>46143</v>
      </c>
      <c r="D523" t="inlineStr">
        <is>
          <t>GOTLANDS LÄN</t>
        </is>
      </c>
      <c r="E523" t="inlineStr">
        <is>
          <t>GOTLAND</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23516-2023</t>
        </is>
      </c>
      <c r="B524" s="1" t="n">
        <v>45076.93391203704</v>
      </c>
      <c r="C524" s="1" t="n">
        <v>46143</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43231-2023</t>
        </is>
      </c>
      <c r="B525" s="1" t="n">
        <v>45183.47025462963</v>
      </c>
      <c r="C525" s="1" t="n">
        <v>46143</v>
      </c>
      <c r="D525" t="inlineStr">
        <is>
          <t>GOTLANDS LÄN</t>
        </is>
      </c>
      <c r="E525" t="inlineStr">
        <is>
          <t>GOTLAND</t>
        </is>
      </c>
      <c r="G525" t="n">
        <v>3.6</v>
      </c>
      <c r="H525" t="n">
        <v>0</v>
      </c>
      <c r="I525" t="n">
        <v>0</v>
      </c>
      <c r="J525" t="n">
        <v>0</v>
      </c>
      <c r="K525" t="n">
        <v>0</v>
      </c>
      <c r="L525" t="n">
        <v>0</v>
      </c>
      <c r="M525" t="n">
        <v>0</v>
      </c>
      <c r="N525" t="n">
        <v>0</v>
      </c>
      <c r="O525" t="n">
        <v>0</v>
      </c>
      <c r="P525" t="n">
        <v>0</v>
      </c>
      <c r="Q525" t="n">
        <v>0</v>
      </c>
      <c r="R525" s="2" t="inlineStr"/>
    </row>
    <row r="526" ht="15" customHeight="1">
      <c r="A526" t="inlineStr">
        <is>
          <t>A 62836-2025</t>
        </is>
      </c>
      <c r="B526" s="1" t="n">
        <v>46008</v>
      </c>
      <c r="C526" s="1" t="n">
        <v>46143</v>
      </c>
      <c r="D526" t="inlineStr">
        <is>
          <t>GOTLANDS LÄN</t>
        </is>
      </c>
      <c r="E526" t="inlineStr">
        <is>
          <t>GOTLAND</t>
        </is>
      </c>
      <c r="G526" t="n">
        <v>6.5</v>
      </c>
      <c r="H526" t="n">
        <v>0</v>
      </c>
      <c r="I526" t="n">
        <v>0</v>
      </c>
      <c r="J526" t="n">
        <v>0</v>
      </c>
      <c r="K526" t="n">
        <v>0</v>
      </c>
      <c r="L526" t="n">
        <v>0</v>
      </c>
      <c r="M526" t="n">
        <v>0</v>
      </c>
      <c r="N526" t="n">
        <v>0</v>
      </c>
      <c r="O526" t="n">
        <v>0</v>
      </c>
      <c r="P526" t="n">
        <v>0</v>
      </c>
      <c r="Q526" t="n">
        <v>0</v>
      </c>
      <c r="R526" s="2" t="inlineStr"/>
    </row>
    <row r="527" ht="15" customHeight="1">
      <c r="A527" t="inlineStr">
        <is>
          <t>A 58230-2024</t>
        </is>
      </c>
      <c r="B527" s="1" t="n">
        <v>45632.51625</v>
      </c>
      <c r="C527" s="1" t="n">
        <v>46143</v>
      </c>
      <c r="D527" t="inlineStr">
        <is>
          <t>GOTLANDS LÄN</t>
        </is>
      </c>
      <c r="E527" t="inlineStr">
        <is>
          <t>GOTLAND</t>
        </is>
      </c>
      <c r="G527" t="n">
        <v>7.3</v>
      </c>
      <c r="H527" t="n">
        <v>0</v>
      </c>
      <c r="I527" t="n">
        <v>0</v>
      </c>
      <c r="J527" t="n">
        <v>0</v>
      </c>
      <c r="K527" t="n">
        <v>0</v>
      </c>
      <c r="L527" t="n">
        <v>0</v>
      </c>
      <c r="M527" t="n">
        <v>0</v>
      </c>
      <c r="N527" t="n">
        <v>0</v>
      </c>
      <c r="O527" t="n">
        <v>0</v>
      </c>
      <c r="P527" t="n">
        <v>0</v>
      </c>
      <c r="Q527" t="n">
        <v>0</v>
      </c>
      <c r="R527" s="2" t="inlineStr"/>
    </row>
    <row r="528" ht="15" customHeight="1">
      <c r="A528" t="inlineStr">
        <is>
          <t>A 64555-2023</t>
        </is>
      </c>
      <c r="B528" s="1" t="n">
        <v>45281</v>
      </c>
      <c r="C528" s="1" t="n">
        <v>46143</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44929.87238425926</v>
      </c>
      <c r="C529" s="1" t="n">
        <v>46143</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459-2023</t>
        </is>
      </c>
      <c r="B530" s="1" t="n">
        <v>44929.87423611111</v>
      </c>
      <c r="C530" s="1" t="n">
        <v>46143</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62751-2025</t>
        </is>
      </c>
      <c r="B531" s="1" t="n">
        <v>46008</v>
      </c>
      <c r="C531" s="1" t="n">
        <v>46143</v>
      </c>
      <c r="D531" t="inlineStr">
        <is>
          <t>GOTLANDS LÄN</t>
        </is>
      </c>
      <c r="E531" t="inlineStr">
        <is>
          <t>GOTLAND</t>
        </is>
      </c>
      <c r="F531" t="inlineStr">
        <is>
          <t>Övriga Aktiebolag</t>
        </is>
      </c>
      <c r="G531" t="n">
        <v>7.8</v>
      </c>
      <c r="H531" t="n">
        <v>0</v>
      </c>
      <c r="I531" t="n">
        <v>0</v>
      </c>
      <c r="J531" t="n">
        <v>0</v>
      </c>
      <c r="K531" t="n">
        <v>0</v>
      </c>
      <c r="L531" t="n">
        <v>0</v>
      </c>
      <c r="M531" t="n">
        <v>0</v>
      </c>
      <c r="N531" t="n">
        <v>0</v>
      </c>
      <c r="O531" t="n">
        <v>0</v>
      </c>
      <c r="P531" t="n">
        <v>0</v>
      </c>
      <c r="Q531" t="n">
        <v>0</v>
      </c>
      <c r="R531" s="2" t="inlineStr"/>
    </row>
    <row r="532" ht="15" customHeight="1">
      <c r="A532" t="inlineStr">
        <is>
          <t>A 62754-2025</t>
        </is>
      </c>
      <c r="B532" s="1" t="n">
        <v>46008</v>
      </c>
      <c r="C532" s="1" t="n">
        <v>46143</v>
      </c>
      <c r="D532" t="inlineStr">
        <is>
          <t>GOTLANDS LÄN</t>
        </is>
      </c>
      <c r="E532" t="inlineStr">
        <is>
          <t>GOTLAND</t>
        </is>
      </c>
      <c r="F532" t="inlineStr">
        <is>
          <t>Övriga Aktiebolag</t>
        </is>
      </c>
      <c r="G532" t="n">
        <v>2.9</v>
      </c>
      <c r="H532" t="n">
        <v>0</v>
      </c>
      <c r="I532" t="n">
        <v>0</v>
      </c>
      <c r="J532" t="n">
        <v>0</v>
      </c>
      <c r="K532" t="n">
        <v>0</v>
      </c>
      <c r="L532" t="n">
        <v>0</v>
      </c>
      <c r="M532" t="n">
        <v>0</v>
      </c>
      <c r="N532" t="n">
        <v>0</v>
      </c>
      <c r="O532" t="n">
        <v>0</v>
      </c>
      <c r="P532" t="n">
        <v>0</v>
      </c>
      <c r="Q532" t="n">
        <v>0</v>
      </c>
      <c r="R532" s="2" t="inlineStr"/>
    </row>
    <row r="533" ht="15" customHeight="1">
      <c r="A533" t="inlineStr">
        <is>
          <t>A 876-2024</t>
        </is>
      </c>
      <c r="B533" s="1" t="n">
        <v>45301</v>
      </c>
      <c r="C533" s="1" t="n">
        <v>46143</v>
      </c>
      <c r="D533" t="inlineStr">
        <is>
          <t>GOTLANDS LÄN</t>
        </is>
      </c>
      <c r="E533" t="inlineStr">
        <is>
          <t>GOTLAND</t>
        </is>
      </c>
      <c r="G533" t="n">
        <v>5.3</v>
      </c>
      <c r="H533" t="n">
        <v>0</v>
      </c>
      <c r="I533" t="n">
        <v>0</v>
      </c>
      <c r="J533" t="n">
        <v>0</v>
      </c>
      <c r="K533" t="n">
        <v>0</v>
      </c>
      <c r="L533" t="n">
        <v>0</v>
      </c>
      <c r="M533" t="n">
        <v>0</v>
      </c>
      <c r="N533" t="n">
        <v>0</v>
      </c>
      <c r="O533" t="n">
        <v>0</v>
      </c>
      <c r="P533" t="n">
        <v>0</v>
      </c>
      <c r="Q533" t="n">
        <v>0</v>
      </c>
      <c r="R533" s="2" t="inlineStr"/>
    </row>
    <row r="534" ht="15" customHeight="1">
      <c r="A534" t="inlineStr">
        <is>
          <t>A 13486-2026</t>
        </is>
      </c>
      <c r="B534" s="1" t="n">
        <v>46094</v>
      </c>
      <c r="C534" s="1" t="n">
        <v>46143</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26891-2024</t>
        </is>
      </c>
      <c r="B535" s="1" t="n">
        <v>45470.65540509259</v>
      </c>
      <c r="C535" s="1" t="n">
        <v>46143</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5923-2023</t>
        </is>
      </c>
      <c r="B536" s="1" t="n">
        <v>44963.69503472222</v>
      </c>
      <c r="C536" s="1" t="n">
        <v>46143</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50482-2024</t>
        </is>
      </c>
      <c r="B537" s="1" t="n">
        <v>45601.48114583334</v>
      </c>
      <c r="C537" s="1" t="n">
        <v>46143</v>
      </c>
      <c r="D537" t="inlineStr">
        <is>
          <t>GOTLANDS LÄN</t>
        </is>
      </c>
      <c r="E537" t="inlineStr">
        <is>
          <t>GOTLAND</t>
        </is>
      </c>
      <c r="G537" t="n">
        <v>2.3</v>
      </c>
      <c r="H537" t="n">
        <v>0</v>
      </c>
      <c r="I537" t="n">
        <v>0</v>
      </c>
      <c r="J537" t="n">
        <v>0</v>
      </c>
      <c r="K537" t="n">
        <v>0</v>
      </c>
      <c r="L537" t="n">
        <v>0</v>
      </c>
      <c r="M537" t="n">
        <v>0</v>
      </c>
      <c r="N537" t="n">
        <v>0</v>
      </c>
      <c r="O537" t="n">
        <v>0</v>
      </c>
      <c r="P537" t="n">
        <v>0</v>
      </c>
      <c r="Q537" t="n">
        <v>0</v>
      </c>
      <c r="R537" s="2" t="inlineStr"/>
    </row>
    <row r="538" ht="15" customHeight="1">
      <c r="A538" t="inlineStr">
        <is>
          <t>A 5943-2024</t>
        </is>
      </c>
      <c r="B538" s="1" t="n">
        <v>45336</v>
      </c>
      <c r="C538" s="1" t="n">
        <v>46143</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38234-2023</t>
        </is>
      </c>
      <c r="B539" s="1" t="n">
        <v>45161.56663194444</v>
      </c>
      <c r="C539" s="1" t="n">
        <v>46143</v>
      </c>
      <c r="D539" t="inlineStr">
        <is>
          <t>GOTLANDS LÄN</t>
        </is>
      </c>
      <c r="E539" t="inlineStr">
        <is>
          <t>GOTLAND</t>
        </is>
      </c>
      <c r="G539" t="n">
        <v>1.3</v>
      </c>
      <c r="H539" t="n">
        <v>0</v>
      </c>
      <c r="I539" t="n">
        <v>0</v>
      </c>
      <c r="J539" t="n">
        <v>0</v>
      </c>
      <c r="K539" t="n">
        <v>0</v>
      </c>
      <c r="L539" t="n">
        <v>0</v>
      </c>
      <c r="M539" t="n">
        <v>0</v>
      </c>
      <c r="N539" t="n">
        <v>0</v>
      </c>
      <c r="O539" t="n">
        <v>0</v>
      </c>
      <c r="P539" t="n">
        <v>0</v>
      </c>
      <c r="Q539" t="n">
        <v>0</v>
      </c>
      <c r="R539" s="2" t="inlineStr"/>
    </row>
    <row r="540" ht="15" customHeight="1">
      <c r="A540" t="inlineStr">
        <is>
          <t>A 1273-2023</t>
        </is>
      </c>
      <c r="B540" s="1" t="n">
        <v>44936</v>
      </c>
      <c r="C540" s="1" t="n">
        <v>46143</v>
      </c>
      <c r="D540" t="inlineStr">
        <is>
          <t>GOTLANDS LÄN</t>
        </is>
      </c>
      <c r="E540" t="inlineStr">
        <is>
          <t>GOTLAND</t>
        </is>
      </c>
      <c r="G540" t="n">
        <v>4.5</v>
      </c>
      <c r="H540" t="n">
        <v>0</v>
      </c>
      <c r="I540" t="n">
        <v>0</v>
      </c>
      <c r="J540" t="n">
        <v>0</v>
      </c>
      <c r="K540" t="n">
        <v>0</v>
      </c>
      <c r="L540" t="n">
        <v>0</v>
      </c>
      <c r="M540" t="n">
        <v>0</v>
      </c>
      <c r="N540" t="n">
        <v>0</v>
      </c>
      <c r="O540" t="n">
        <v>0</v>
      </c>
      <c r="P540" t="n">
        <v>0</v>
      </c>
      <c r="Q540" t="n">
        <v>0</v>
      </c>
      <c r="R540" s="2" t="inlineStr"/>
    </row>
    <row r="541" ht="15" customHeight="1">
      <c r="A541" t="inlineStr">
        <is>
          <t>A 17724-2024</t>
        </is>
      </c>
      <c r="B541" s="1" t="n">
        <v>45418.55096064815</v>
      </c>
      <c r="C541" s="1" t="n">
        <v>46143</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23978-2023</t>
        </is>
      </c>
      <c r="B542" s="1" t="n">
        <v>45078</v>
      </c>
      <c r="C542" s="1" t="n">
        <v>46143</v>
      </c>
      <c r="D542" t="inlineStr">
        <is>
          <t>GOTLANDS LÄN</t>
        </is>
      </c>
      <c r="E542" t="inlineStr">
        <is>
          <t>GOTLAND</t>
        </is>
      </c>
      <c r="F542" t="inlineStr">
        <is>
          <t>Naturvårdsverket</t>
        </is>
      </c>
      <c r="G542" t="n">
        <v>1.7</v>
      </c>
      <c r="H542" t="n">
        <v>0</v>
      </c>
      <c r="I542" t="n">
        <v>0</v>
      </c>
      <c r="J542" t="n">
        <v>0</v>
      </c>
      <c r="K542" t="n">
        <v>0</v>
      </c>
      <c r="L542" t="n">
        <v>0</v>
      </c>
      <c r="M542" t="n">
        <v>0</v>
      </c>
      <c r="N542" t="n">
        <v>0</v>
      </c>
      <c r="O542" t="n">
        <v>0</v>
      </c>
      <c r="P542" t="n">
        <v>0</v>
      </c>
      <c r="Q542" t="n">
        <v>0</v>
      </c>
      <c r="R542" s="2" t="inlineStr"/>
    </row>
    <row r="543" ht="15" customHeight="1">
      <c r="A543" t="inlineStr">
        <is>
          <t>A 49884-2023</t>
        </is>
      </c>
      <c r="B543" s="1" t="n">
        <v>45213</v>
      </c>
      <c r="C543" s="1" t="n">
        <v>46143</v>
      </c>
      <c r="D543" t="inlineStr">
        <is>
          <t>GOTLANDS LÄN</t>
        </is>
      </c>
      <c r="E543" t="inlineStr">
        <is>
          <t>GOTLAND</t>
        </is>
      </c>
      <c r="G543" t="n">
        <v>8.9</v>
      </c>
      <c r="H543" t="n">
        <v>0</v>
      </c>
      <c r="I543" t="n">
        <v>0</v>
      </c>
      <c r="J543" t="n">
        <v>0</v>
      </c>
      <c r="K543" t="n">
        <v>0</v>
      </c>
      <c r="L543" t="n">
        <v>0</v>
      </c>
      <c r="M543" t="n">
        <v>0</v>
      </c>
      <c r="N543" t="n">
        <v>0</v>
      </c>
      <c r="O543" t="n">
        <v>0</v>
      </c>
      <c r="P543" t="n">
        <v>0</v>
      </c>
      <c r="Q543" t="n">
        <v>0</v>
      </c>
      <c r="R543" s="2" t="inlineStr"/>
    </row>
    <row r="544" ht="15" customHeight="1">
      <c r="A544" t="inlineStr">
        <is>
          <t>A 12846-2025</t>
        </is>
      </c>
      <c r="B544" s="1" t="n">
        <v>45733.65049768519</v>
      </c>
      <c r="C544" s="1" t="n">
        <v>46143</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43200-2023</t>
        </is>
      </c>
      <c r="B545" s="1" t="n">
        <v>45183</v>
      </c>
      <c r="C545" s="1" t="n">
        <v>46143</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3935-2025</t>
        </is>
      </c>
      <c r="B546" s="1" t="n">
        <v>45684.46070601852</v>
      </c>
      <c r="C546" s="1" t="n">
        <v>46143</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21792-2024</t>
        </is>
      </c>
      <c r="B547" s="1" t="n">
        <v>45442.64326388889</v>
      </c>
      <c r="C547" s="1" t="n">
        <v>46143</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48843-2024</t>
        </is>
      </c>
      <c r="B548" s="1" t="n">
        <v>45593</v>
      </c>
      <c r="C548" s="1" t="n">
        <v>46143</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10653-2023</t>
        </is>
      </c>
      <c r="B549" s="1" t="n">
        <v>44988.48859953704</v>
      </c>
      <c r="C549" s="1" t="n">
        <v>46143</v>
      </c>
      <c r="D549" t="inlineStr">
        <is>
          <t>GOTLANDS LÄN</t>
        </is>
      </c>
      <c r="E549" t="inlineStr">
        <is>
          <t>GOTLAND</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35512-2023</t>
        </is>
      </c>
      <c r="B550" s="1" t="n">
        <v>45147.25623842593</v>
      </c>
      <c r="C550" s="1" t="n">
        <v>46143</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11874-2024</t>
        </is>
      </c>
      <c r="B551" s="1" t="n">
        <v>45376.46956018519</v>
      </c>
      <c r="C551" s="1" t="n">
        <v>46143</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20225-2025</t>
        </is>
      </c>
      <c r="B552" s="1" t="n">
        <v>45772.65802083333</v>
      </c>
      <c r="C552" s="1" t="n">
        <v>46143</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1677-2023</t>
        </is>
      </c>
      <c r="B553" s="1" t="n">
        <v>44938</v>
      </c>
      <c r="C553" s="1" t="n">
        <v>46143</v>
      </c>
      <c r="D553" t="inlineStr">
        <is>
          <t>GOTLANDS LÄN</t>
        </is>
      </c>
      <c r="E553" t="inlineStr">
        <is>
          <t>GOTLAND</t>
        </is>
      </c>
      <c r="G553" t="n">
        <v>1.6</v>
      </c>
      <c r="H553" t="n">
        <v>0</v>
      </c>
      <c r="I553" t="n">
        <v>0</v>
      </c>
      <c r="J553" t="n">
        <v>0</v>
      </c>
      <c r="K553" t="n">
        <v>0</v>
      </c>
      <c r="L553" t="n">
        <v>0</v>
      </c>
      <c r="M553" t="n">
        <v>0</v>
      </c>
      <c r="N553" t="n">
        <v>0</v>
      </c>
      <c r="O553" t="n">
        <v>0</v>
      </c>
      <c r="P553" t="n">
        <v>0</v>
      </c>
      <c r="Q553" t="n">
        <v>0</v>
      </c>
      <c r="R553" s="2" t="inlineStr"/>
    </row>
    <row r="554" ht="15" customHeight="1">
      <c r="A554" t="inlineStr">
        <is>
          <t>A 64831-2023</t>
        </is>
      </c>
      <c r="B554" s="1" t="n">
        <v>45282.44924768519</v>
      </c>
      <c r="C554" s="1" t="n">
        <v>46143</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8036-2022</t>
        </is>
      </c>
      <c r="B555" s="1" t="n">
        <v>44609.44362268518</v>
      </c>
      <c r="C555" s="1" t="n">
        <v>46143</v>
      </c>
      <c r="D555" t="inlineStr">
        <is>
          <t>GOTLANDS LÄN</t>
        </is>
      </c>
      <c r="E555" t="inlineStr">
        <is>
          <t>GOTLAND</t>
        </is>
      </c>
      <c r="G555" t="n">
        <v>6.1</v>
      </c>
      <c r="H555" t="n">
        <v>0</v>
      </c>
      <c r="I555" t="n">
        <v>0</v>
      </c>
      <c r="J555" t="n">
        <v>0</v>
      </c>
      <c r="K555" t="n">
        <v>0</v>
      </c>
      <c r="L555" t="n">
        <v>0</v>
      </c>
      <c r="M555" t="n">
        <v>0</v>
      </c>
      <c r="N555" t="n">
        <v>0</v>
      </c>
      <c r="O555" t="n">
        <v>0</v>
      </c>
      <c r="P555" t="n">
        <v>0</v>
      </c>
      <c r="Q555" t="n">
        <v>0</v>
      </c>
      <c r="R555" s="2" t="inlineStr"/>
    </row>
    <row r="556" ht="15" customHeight="1">
      <c r="A556" t="inlineStr">
        <is>
          <t>A 46375-2024</t>
        </is>
      </c>
      <c r="B556" s="1" t="n">
        <v>45582</v>
      </c>
      <c r="C556" s="1" t="n">
        <v>46143</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62915-2021</t>
        </is>
      </c>
      <c r="B557" s="1" t="n">
        <v>44504</v>
      </c>
      <c r="C557" s="1" t="n">
        <v>46143</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7638-2025</t>
        </is>
      </c>
      <c r="B558" s="1" t="n">
        <v>45705.77306712963</v>
      </c>
      <c r="C558" s="1" t="n">
        <v>46143</v>
      </c>
      <c r="D558" t="inlineStr">
        <is>
          <t>GOTLANDS LÄN</t>
        </is>
      </c>
      <c r="E558" t="inlineStr">
        <is>
          <t>GOTLAND</t>
        </is>
      </c>
      <c r="G558" t="n">
        <v>2.2</v>
      </c>
      <c r="H558" t="n">
        <v>0</v>
      </c>
      <c r="I558" t="n">
        <v>0</v>
      </c>
      <c r="J558" t="n">
        <v>0</v>
      </c>
      <c r="K558" t="n">
        <v>0</v>
      </c>
      <c r="L558" t="n">
        <v>0</v>
      </c>
      <c r="M558" t="n">
        <v>0</v>
      </c>
      <c r="N558" t="n">
        <v>0</v>
      </c>
      <c r="O558" t="n">
        <v>0</v>
      </c>
      <c r="P558" t="n">
        <v>0</v>
      </c>
      <c r="Q558" t="n">
        <v>0</v>
      </c>
      <c r="R558" s="2" t="inlineStr"/>
    </row>
    <row r="559" ht="15" customHeight="1">
      <c r="A559" t="inlineStr">
        <is>
          <t>A 4377-2023</t>
        </is>
      </c>
      <c r="B559" s="1" t="n">
        <v>44955.5502662037</v>
      </c>
      <c r="C559" s="1" t="n">
        <v>46143</v>
      </c>
      <c r="D559" t="inlineStr">
        <is>
          <t>GOTLANDS LÄN</t>
        </is>
      </c>
      <c r="E559" t="inlineStr">
        <is>
          <t>GOTLAND</t>
        </is>
      </c>
      <c r="F559" t="inlineStr">
        <is>
          <t>Kyrkan</t>
        </is>
      </c>
      <c r="G559" t="n">
        <v>0.6</v>
      </c>
      <c r="H559" t="n">
        <v>0</v>
      </c>
      <c r="I559" t="n">
        <v>0</v>
      </c>
      <c r="J559" t="n">
        <v>0</v>
      </c>
      <c r="K559" t="n">
        <v>0</v>
      </c>
      <c r="L559" t="n">
        <v>0</v>
      </c>
      <c r="M559" t="n">
        <v>0</v>
      </c>
      <c r="N559" t="n">
        <v>0</v>
      </c>
      <c r="O559" t="n">
        <v>0</v>
      </c>
      <c r="P559" t="n">
        <v>0</v>
      </c>
      <c r="Q559" t="n">
        <v>0</v>
      </c>
      <c r="R559" s="2" t="inlineStr"/>
    </row>
    <row r="560" ht="15" customHeight="1">
      <c r="A560" t="inlineStr">
        <is>
          <t>A 43901-2023</t>
        </is>
      </c>
      <c r="B560" s="1" t="n">
        <v>45187</v>
      </c>
      <c r="C560" s="1" t="n">
        <v>46143</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17532-2024</t>
        </is>
      </c>
      <c r="B561" s="1" t="n">
        <v>45415</v>
      </c>
      <c r="C561" s="1" t="n">
        <v>46143</v>
      </c>
      <c r="D561" t="inlineStr">
        <is>
          <t>GOTLANDS LÄN</t>
        </is>
      </c>
      <c r="E561" t="inlineStr">
        <is>
          <t>GOTLAND</t>
        </is>
      </c>
      <c r="G561" t="n">
        <v>4.3</v>
      </c>
      <c r="H561" t="n">
        <v>0</v>
      </c>
      <c r="I561" t="n">
        <v>0</v>
      </c>
      <c r="J561" t="n">
        <v>0</v>
      </c>
      <c r="K561" t="n">
        <v>0</v>
      </c>
      <c r="L561" t="n">
        <v>0</v>
      </c>
      <c r="M561" t="n">
        <v>0</v>
      </c>
      <c r="N561" t="n">
        <v>0</v>
      </c>
      <c r="O561" t="n">
        <v>0</v>
      </c>
      <c r="P561" t="n">
        <v>0</v>
      </c>
      <c r="Q561" t="n">
        <v>0</v>
      </c>
      <c r="R561" s="2" t="inlineStr"/>
    </row>
    <row r="562" ht="15" customHeight="1">
      <c r="A562" t="inlineStr">
        <is>
          <t>A 45692-2023</t>
        </is>
      </c>
      <c r="B562" s="1" t="n">
        <v>45195</v>
      </c>
      <c r="C562" s="1" t="n">
        <v>46143</v>
      </c>
      <c r="D562" t="inlineStr">
        <is>
          <t>GOTLANDS LÄN</t>
        </is>
      </c>
      <c r="E562" t="inlineStr">
        <is>
          <t>GOTLAND</t>
        </is>
      </c>
      <c r="G562" t="n">
        <v>5.3</v>
      </c>
      <c r="H562" t="n">
        <v>0</v>
      </c>
      <c r="I562" t="n">
        <v>0</v>
      </c>
      <c r="J562" t="n">
        <v>0</v>
      </c>
      <c r="K562" t="n">
        <v>0</v>
      </c>
      <c r="L562" t="n">
        <v>0</v>
      </c>
      <c r="M562" t="n">
        <v>0</v>
      </c>
      <c r="N562" t="n">
        <v>0</v>
      </c>
      <c r="O562" t="n">
        <v>0</v>
      </c>
      <c r="P562" t="n">
        <v>0</v>
      </c>
      <c r="Q562" t="n">
        <v>0</v>
      </c>
      <c r="R562" s="2" t="inlineStr"/>
    </row>
    <row r="563" ht="15" customHeight="1">
      <c r="A563" t="inlineStr">
        <is>
          <t>A 37222-2021</t>
        </is>
      </c>
      <c r="B563" s="1" t="n">
        <v>44396</v>
      </c>
      <c r="C563" s="1" t="n">
        <v>46143</v>
      </c>
      <c r="D563" t="inlineStr">
        <is>
          <t>GOTLANDS LÄN</t>
        </is>
      </c>
      <c r="E563" t="inlineStr">
        <is>
          <t>GOTLAND</t>
        </is>
      </c>
      <c r="G563" t="n">
        <v>3</v>
      </c>
      <c r="H563" t="n">
        <v>0</v>
      </c>
      <c r="I563" t="n">
        <v>0</v>
      </c>
      <c r="J563" t="n">
        <v>0</v>
      </c>
      <c r="K563" t="n">
        <v>0</v>
      </c>
      <c r="L563" t="n">
        <v>0</v>
      </c>
      <c r="M563" t="n">
        <v>0</v>
      </c>
      <c r="N563" t="n">
        <v>0</v>
      </c>
      <c r="O563" t="n">
        <v>0</v>
      </c>
      <c r="P563" t="n">
        <v>0</v>
      </c>
      <c r="Q563" t="n">
        <v>0</v>
      </c>
      <c r="R563" s="2" t="inlineStr"/>
    </row>
    <row r="564" ht="15" customHeight="1">
      <c r="A564" t="inlineStr">
        <is>
          <t>A 46396-2023</t>
        </is>
      </c>
      <c r="B564" s="1" t="n">
        <v>45197</v>
      </c>
      <c r="C564" s="1" t="n">
        <v>46143</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58388-2022</t>
        </is>
      </c>
      <c r="B565" s="1" t="n">
        <v>44894</v>
      </c>
      <c r="C565" s="1" t="n">
        <v>46143</v>
      </c>
      <c r="D565" t="inlineStr">
        <is>
          <t>GOTLANDS LÄN</t>
        </is>
      </c>
      <c r="E565" t="inlineStr">
        <is>
          <t>GOTLAND</t>
        </is>
      </c>
      <c r="F565" t="inlineStr">
        <is>
          <t>Övriga statliga verk och myndigheter</t>
        </is>
      </c>
      <c r="G565" t="n">
        <v>3.1</v>
      </c>
      <c r="H565" t="n">
        <v>0</v>
      </c>
      <c r="I565" t="n">
        <v>0</v>
      </c>
      <c r="J565" t="n">
        <v>0</v>
      </c>
      <c r="K565" t="n">
        <v>0</v>
      </c>
      <c r="L565" t="n">
        <v>0</v>
      </c>
      <c r="M565" t="n">
        <v>0</v>
      </c>
      <c r="N565" t="n">
        <v>0</v>
      </c>
      <c r="O565" t="n">
        <v>0</v>
      </c>
      <c r="P565" t="n">
        <v>0</v>
      </c>
      <c r="Q565" t="n">
        <v>0</v>
      </c>
      <c r="R565" s="2" t="inlineStr"/>
    </row>
    <row r="566" ht="15" customHeight="1">
      <c r="A566" t="inlineStr">
        <is>
          <t>A 53934-2024</t>
        </is>
      </c>
      <c r="B566" s="1" t="n">
        <v>45615</v>
      </c>
      <c r="C566" s="1" t="n">
        <v>46143</v>
      </c>
      <c r="D566" t="inlineStr">
        <is>
          <t>GOTLANDS LÄN</t>
        </is>
      </c>
      <c r="E566" t="inlineStr">
        <is>
          <t>GOTLAND</t>
        </is>
      </c>
      <c r="G566" t="n">
        <v>5</v>
      </c>
      <c r="H566" t="n">
        <v>0</v>
      </c>
      <c r="I566" t="n">
        <v>0</v>
      </c>
      <c r="J566" t="n">
        <v>0</v>
      </c>
      <c r="K566" t="n">
        <v>0</v>
      </c>
      <c r="L566" t="n">
        <v>0</v>
      </c>
      <c r="M566" t="n">
        <v>0</v>
      </c>
      <c r="N566" t="n">
        <v>0</v>
      </c>
      <c r="O566" t="n">
        <v>0</v>
      </c>
      <c r="P566" t="n">
        <v>0</v>
      </c>
      <c r="Q566" t="n">
        <v>0</v>
      </c>
      <c r="R566" s="2" t="inlineStr"/>
    </row>
    <row r="567" ht="15" customHeight="1">
      <c r="A567" t="inlineStr">
        <is>
          <t>A 58132-2023</t>
        </is>
      </c>
      <c r="B567" s="1" t="n">
        <v>45250</v>
      </c>
      <c r="C567" s="1" t="n">
        <v>46143</v>
      </c>
      <c r="D567" t="inlineStr">
        <is>
          <t>GOTLANDS LÄN</t>
        </is>
      </c>
      <c r="E567" t="inlineStr">
        <is>
          <t>GOTLAND</t>
        </is>
      </c>
      <c r="G567" t="n">
        <v>3.1</v>
      </c>
      <c r="H567" t="n">
        <v>0</v>
      </c>
      <c r="I567" t="n">
        <v>0</v>
      </c>
      <c r="J567" t="n">
        <v>0</v>
      </c>
      <c r="K567" t="n">
        <v>0</v>
      </c>
      <c r="L567" t="n">
        <v>0</v>
      </c>
      <c r="M567" t="n">
        <v>0</v>
      </c>
      <c r="N567" t="n">
        <v>0</v>
      </c>
      <c r="O567" t="n">
        <v>0</v>
      </c>
      <c r="P567" t="n">
        <v>0</v>
      </c>
      <c r="Q567" t="n">
        <v>0</v>
      </c>
      <c r="R567" s="2" t="inlineStr"/>
    </row>
    <row r="568" ht="15" customHeight="1">
      <c r="A568" t="inlineStr">
        <is>
          <t>A 22899-2023</t>
        </is>
      </c>
      <c r="B568" s="1" t="n">
        <v>45072</v>
      </c>
      <c r="C568" s="1" t="n">
        <v>46143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28285-2024</t>
        </is>
      </c>
      <c r="B569" s="1" t="n">
        <v>45477</v>
      </c>
      <c r="C569" s="1" t="n">
        <v>46143</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51963-2024</t>
        </is>
      </c>
      <c r="B570" s="1" t="n">
        <v>45607.64833333333</v>
      </c>
      <c r="C570" s="1" t="n">
        <v>46143</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1734-2025</t>
        </is>
      </c>
      <c r="B571" s="1" t="n">
        <v>45671.3840625</v>
      </c>
      <c r="C571" s="1" t="n">
        <v>46143</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30365-2024</t>
        </is>
      </c>
      <c r="B572" s="1" t="n">
        <v>45491.3716087963</v>
      </c>
      <c r="C572" s="1" t="n">
        <v>46143</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46143</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61100-2022</t>
        </is>
      </c>
      <c r="B574" s="1" t="n">
        <v>44915</v>
      </c>
      <c r="C574" s="1" t="n">
        <v>46143</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46143</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10655-2023</t>
        </is>
      </c>
      <c r="B576" s="1" t="n">
        <v>44988.49543981482</v>
      </c>
      <c r="C576" s="1" t="n">
        <v>46143</v>
      </c>
      <c r="D576" t="inlineStr">
        <is>
          <t>GOTLANDS LÄN</t>
        </is>
      </c>
      <c r="E576" t="inlineStr">
        <is>
          <t>GOTLAND</t>
        </is>
      </c>
      <c r="F576" t="inlineStr">
        <is>
          <t>Kyrkan</t>
        </is>
      </c>
      <c r="G576" t="n">
        <v>2</v>
      </c>
      <c r="H576" t="n">
        <v>0</v>
      </c>
      <c r="I576" t="n">
        <v>0</v>
      </c>
      <c r="J576" t="n">
        <v>0</v>
      </c>
      <c r="K576" t="n">
        <v>0</v>
      </c>
      <c r="L576" t="n">
        <v>0</v>
      </c>
      <c r="M576" t="n">
        <v>0</v>
      </c>
      <c r="N576" t="n">
        <v>0</v>
      </c>
      <c r="O576" t="n">
        <v>0</v>
      </c>
      <c r="P576" t="n">
        <v>0</v>
      </c>
      <c r="Q576" t="n">
        <v>0</v>
      </c>
      <c r="R576" s="2" t="inlineStr"/>
    </row>
    <row r="577" ht="15" customHeight="1">
      <c r="A577" t="inlineStr">
        <is>
          <t>A 44649-2021</t>
        </is>
      </c>
      <c r="B577" s="1" t="n">
        <v>44437</v>
      </c>
      <c r="C577" s="1" t="n">
        <v>46143</v>
      </c>
      <c r="D577" t="inlineStr">
        <is>
          <t>GOTLANDS LÄN</t>
        </is>
      </c>
      <c r="E577" t="inlineStr">
        <is>
          <t>GOTLAND</t>
        </is>
      </c>
      <c r="G577" t="n">
        <v>8.1</v>
      </c>
      <c r="H577" t="n">
        <v>0</v>
      </c>
      <c r="I577" t="n">
        <v>0</v>
      </c>
      <c r="J577" t="n">
        <v>0</v>
      </c>
      <c r="K577" t="n">
        <v>0</v>
      </c>
      <c r="L577" t="n">
        <v>0</v>
      </c>
      <c r="M577" t="n">
        <v>0</v>
      </c>
      <c r="N577" t="n">
        <v>0</v>
      </c>
      <c r="O577" t="n">
        <v>0</v>
      </c>
      <c r="P577" t="n">
        <v>0</v>
      </c>
      <c r="Q577" t="n">
        <v>0</v>
      </c>
      <c r="R577" s="2" t="inlineStr"/>
    </row>
    <row r="578" ht="15" customHeight="1">
      <c r="A578" t="inlineStr">
        <is>
          <t>A 8484-2025</t>
        </is>
      </c>
      <c r="B578" s="1" t="n">
        <v>45709</v>
      </c>
      <c r="C578" s="1" t="n">
        <v>46143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49962-2023</t>
        </is>
      </c>
      <c r="B579" s="1" t="n">
        <v>45215.38775462963</v>
      </c>
      <c r="C579" s="1" t="n">
        <v>46143</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50744-2024</t>
        </is>
      </c>
      <c r="B580" s="1" t="n">
        <v>45602.4187037037</v>
      </c>
      <c r="C580" s="1" t="n">
        <v>46143</v>
      </c>
      <c r="D580" t="inlineStr">
        <is>
          <t>GOTLANDS LÄN</t>
        </is>
      </c>
      <c r="E580" t="inlineStr">
        <is>
          <t>GOTLAND</t>
        </is>
      </c>
      <c r="G580" t="n">
        <v>3.2</v>
      </c>
      <c r="H580" t="n">
        <v>0</v>
      </c>
      <c r="I580" t="n">
        <v>0</v>
      </c>
      <c r="J580" t="n">
        <v>0</v>
      </c>
      <c r="K580" t="n">
        <v>0</v>
      </c>
      <c r="L580" t="n">
        <v>0</v>
      </c>
      <c r="M580" t="n">
        <v>0</v>
      </c>
      <c r="N580" t="n">
        <v>0</v>
      </c>
      <c r="O580" t="n">
        <v>0</v>
      </c>
      <c r="P580" t="n">
        <v>0</v>
      </c>
      <c r="Q580" t="n">
        <v>0</v>
      </c>
      <c r="R580" s="2" t="inlineStr"/>
    </row>
    <row r="581" ht="15" customHeight="1">
      <c r="A581" t="inlineStr">
        <is>
          <t>A 45244-2024</t>
        </is>
      </c>
      <c r="B581" s="1" t="n">
        <v>45576</v>
      </c>
      <c r="C581" s="1" t="n">
        <v>46143</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38787-2023</t>
        </is>
      </c>
      <c r="B582" s="1" t="n">
        <v>45163</v>
      </c>
      <c r="C582" s="1" t="n">
        <v>46143</v>
      </c>
      <c r="D582" t="inlineStr">
        <is>
          <t>GOTLANDS LÄN</t>
        </is>
      </c>
      <c r="E582" t="inlineStr">
        <is>
          <t>GOTLAND</t>
        </is>
      </c>
      <c r="G582" t="n">
        <v>0.4</v>
      </c>
      <c r="H582" t="n">
        <v>0</v>
      </c>
      <c r="I582" t="n">
        <v>0</v>
      </c>
      <c r="J582" t="n">
        <v>0</v>
      </c>
      <c r="K582" t="n">
        <v>0</v>
      </c>
      <c r="L582" t="n">
        <v>0</v>
      </c>
      <c r="M582" t="n">
        <v>0</v>
      </c>
      <c r="N582" t="n">
        <v>0</v>
      </c>
      <c r="O582" t="n">
        <v>0</v>
      </c>
      <c r="P582" t="n">
        <v>0</v>
      </c>
      <c r="Q582" t="n">
        <v>0</v>
      </c>
      <c r="R582" s="2" t="inlineStr"/>
    </row>
    <row r="583" ht="15" customHeight="1">
      <c r="A583" t="inlineStr">
        <is>
          <t>A 2714-2023</t>
        </is>
      </c>
      <c r="B583" s="1" t="n">
        <v>44944.54896990741</v>
      </c>
      <c r="C583" s="1" t="n">
        <v>46143</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22897-2023</t>
        </is>
      </c>
      <c r="B584" s="1" t="n">
        <v>45072.55239583334</v>
      </c>
      <c r="C584" s="1" t="n">
        <v>46143</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4568-2025</t>
        </is>
      </c>
      <c r="B585" s="1" t="n">
        <v>45687</v>
      </c>
      <c r="C585" s="1" t="n">
        <v>46143</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44938.39715277778</v>
      </c>
      <c r="C586" s="1" t="n">
        <v>46143</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42338-2023</t>
        </is>
      </c>
      <c r="B587" s="1" t="n">
        <v>45180</v>
      </c>
      <c r="C587" s="1" t="n">
        <v>46143</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18918-2025</t>
        </is>
      </c>
      <c r="B588" s="1" t="n">
        <v>45764</v>
      </c>
      <c r="C588" s="1" t="n">
        <v>46143</v>
      </c>
      <c r="D588" t="inlineStr">
        <is>
          <t>GOTLANDS LÄN</t>
        </is>
      </c>
      <c r="E588" t="inlineStr">
        <is>
          <t>GOTLAND</t>
        </is>
      </c>
      <c r="G588" t="n">
        <v>1.7</v>
      </c>
      <c r="H588" t="n">
        <v>0</v>
      </c>
      <c r="I588" t="n">
        <v>0</v>
      </c>
      <c r="J588" t="n">
        <v>0</v>
      </c>
      <c r="K588" t="n">
        <v>0</v>
      </c>
      <c r="L588" t="n">
        <v>0</v>
      </c>
      <c r="M588" t="n">
        <v>0</v>
      </c>
      <c r="N588" t="n">
        <v>0</v>
      </c>
      <c r="O588" t="n">
        <v>0</v>
      </c>
      <c r="P588" t="n">
        <v>0</v>
      </c>
      <c r="Q588" t="n">
        <v>0</v>
      </c>
      <c r="R588" s="2" t="inlineStr"/>
    </row>
    <row r="589" ht="15" customHeight="1">
      <c r="A589" t="inlineStr">
        <is>
          <t>A 11013-2024</t>
        </is>
      </c>
      <c r="B589" s="1" t="n">
        <v>45370</v>
      </c>
      <c r="C589" s="1" t="n">
        <v>46143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45084-2024</t>
        </is>
      </c>
      <c r="B590" s="1" t="n">
        <v>45575</v>
      </c>
      <c r="C590" s="1" t="n">
        <v>46143</v>
      </c>
      <c r="D590" t="inlineStr">
        <is>
          <t>GOTLANDS LÄN</t>
        </is>
      </c>
      <c r="E590" t="inlineStr">
        <is>
          <t>GOTLAND</t>
        </is>
      </c>
      <c r="G590" t="n">
        <v>6.8</v>
      </c>
      <c r="H590" t="n">
        <v>0</v>
      </c>
      <c r="I590" t="n">
        <v>0</v>
      </c>
      <c r="J590" t="n">
        <v>0</v>
      </c>
      <c r="K590" t="n">
        <v>0</v>
      </c>
      <c r="L590" t="n">
        <v>0</v>
      </c>
      <c r="M590" t="n">
        <v>0</v>
      </c>
      <c r="N590" t="n">
        <v>0</v>
      </c>
      <c r="O590" t="n">
        <v>0</v>
      </c>
      <c r="P590" t="n">
        <v>0</v>
      </c>
      <c r="Q590" t="n">
        <v>0</v>
      </c>
      <c r="R590" s="2" t="inlineStr"/>
    </row>
    <row r="591" ht="15" customHeight="1">
      <c r="A591" t="inlineStr">
        <is>
          <t>A 20356-2022</t>
        </is>
      </c>
      <c r="B591" s="1" t="n">
        <v>44699</v>
      </c>
      <c r="C591" s="1" t="n">
        <v>46143</v>
      </c>
      <c r="D591" t="inlineStr">
        <is>
          <t>GOTLANDS LÄN</t>
        </is>
      </c>
      <c r="E591" t="inlineStr">
        <is>
          <t>GOTLAND</t>
        </is>
      </c>
      <c r="F591" t="inlineStr">
        <is>
          <t>Övriga Aktiebolag</t>
        </is>
      </c>
      <c r="G591" t="n">
        <v>4.4</v>
      </c>
      <c r="H591" t="n">
        <v>0</v>
      </c>
      <c r="I591" t="n">
        <v>0</v>
      </c>
      <c r="J591" t="n">
        <v>0</v>
      </c>
      <c r="K591" t="n">
        <v>0</v>
      </c>
      <c r="L591" t="n">
        <v>0</v>
      </c>
      <c r="M591" t="n">
        <v>0</v>
      </c>
      <c r="N591" t="n">
        <v>0</v>
      </c>
      <c r="O591" t="n">
        <v>0</v>
      </c>
      <c r="P591" t="n">
        <v>0</v>
      </c>
      <c r="Q591" t="n">
        <v>0</v>
      </c>
      <c r="R591" s="2" t="inlineStr"/>
    </row>
    <row r="592" ht="15" customHeight="1">
      <c r="A592" t="inlineStr">
        <is>
          <t>A 4868-2024</t>
        </is>
      </c>
      <c r="B592" s="1" t="n">
        <v>45329</v>
      </c>
      <c r="C592" s="1" t="n">
        <v>46143</v>
      </c>
      <c r="D592" t="inlineStr">
        <is>
          <t>GOTLANDS LÄN</t>
        </is>
      </c>
      <c r="E592" t="inlineStr">
        <is>
          <t>GOTLAND</t>
        </is>
      </c>
      <c r="G592" t="n">
        <v>7.1</v>
      </c>
      <c r="H592" t="n">
        <v>0</v>
      </c>
      <c r="I592" t="n">
        <v>0</v>
      </c>
      <c r="J592" t="n">
        <v>0</v>
      </c>
      <c r="K592" t="n">
        <v>0</v>
      </c>
      <c r="L592" t="n">
        <v>0</v>
      </c>
      <c r="M592" t="n">
        <v>0</v>
      </c>
      <c r="N592" t="n">
        <v>0</v>
      </c>
      <c r="O592" t="n">
        <v>0</v>
      </c>
      <c r="P592" t="n">
        <v>0</v>
      </c>
      <c r="Q592" t="n">
        <v>0</v>
      </c>
      <c r="R592" s="2" t="inlineStr"/>
    </row>
    <row r="593" ht="15" customHeight="1">
      <c r="A593" t="inlineStr">
        <is>
          <t>A 9613-2025</t>
        </is>
      </c>
      <c r="B593" s="1" t="n">
        <v>45715</v>
      </c>
      <c r="C593" s="1" t="n">
        <v>46143</v>
      </c>
      <c r="D593" t="inlineStr">
        <is>
          <t>GOTLANDS LÄN</t>
        </is>
      </c>
      <c r="E593" t="inlineStr">
        <is>
          <t>GOTLAND</t>
        </is>
      </c>
      <c r="G593" t="n">
        <v>3.5</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46143</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58211-2024</t>
        </is>
      </c>
      <c r="B595" s="1" t="n">
        <v>45632.49292824074</v>
      </c>
      <c r="C595" s="1" t="n">
        <v>46143</v>
      </c>
      <c r="D595" t="inlineStr">
        <is>
          <t>GOTLANDS LÄN</t>
        </is>
      </c>
      <c r="E595" t="inlineStr">
        <is>
          <t>GOTLAND</t>
        </is>
      </c>
      <c r="G595" t="n">
        <v>5.4</v>
      </c>
      <c r="H595" t="n">
        <v>0</v>
      </c>
      <c r="I595" t="n">
        <v>0</v>
      </c>
      <c r="J595" t="n">
        <v>0</v>
      </c>
      <c r="K595" t="n">
        <v>0</v>
      </c>
      <c r="L595" t="n">
        <v>0</v>
      </c>
      <c r="M595" t="n">
        <v>0</v>
      </c>
      <c r="N595" t="n">
        <v>0</v>
      </c>
      <c r="O595" t="n">
        <v>0</v>
      </c>
      <c r="P595" t="n">
        <v>0</v>
      </c>
      <c r="Q595" t="n">
        <v>0</v>
      </c>
      <c r="R595" s="2" t="inlineStr"/>
    </row>
    <row r="596" ht="15" customHeight="1">
      <c r="A596" t="inlineStr">
        <is>
          <t>A 11634-2024</t>
        </is>
      </c>
      <c r="B596" s="1" t="n">
        <v>45373</v>
      </c>
      <c r="C596" s="1" t="n">
        <v>46143</v>
      </c>
      <c r="D596" t="inlineStr">
        <is>
          <t>GOTLANDS LÄN</t>
        </is>
      </c>
      <c r="E596" t="inlineStr">
        <is>
          <t>GOTLAND</t>
        </is>
      </c>
      <c r="G596" t="n">
        <v>3</v>
      </c>
      <c r="H596" t="n">
        <v>0</v>
      </c>
      <c r="I596" t="n">
        <v>0</v>
      </c>
      <c r="J596" t="n">
        <v>0</v>
      </c>
      <c r="K596" t="n">
        <v>0</v>
      </c>
      <c r="L596" t="n">
        <v>0</v>
      </c>
      <c r="M596" t="n">
        <v>0</v>
      </c>
      <c r="N596" t="n">
        <v>0</v>
      </c>
      <c r="O596" t="n">
        <v>0</v>
      </c>
      <c r="P596" t="n">
        <v>0</v>
      </c>
      <c r="Q596" t="n">
        <v>0</v>
      </c>
      <c r="R596" s="2" t="inlineStr"/>
    </row>
    <row r="597" ht="15" customHeight="1">
      <c r="A597" t="inlineStr">
        <is>
          <t>A 5884-2025</t>
        </is>
      </c>
      <c r="B597" s="1" t="n">
        <v>45695.37482638889</v>
      </c>
      <c r="C597" s="1" t="n">
        <v>46143</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5897-2025</t>
        </is>
      </c>
      <c r="B598" s="1" t="n">
        <v>45695.39273148148</v>
      </c>
      <c r="C598" s="1" t="n">
        <v>46143</v>
      </c>
      <c r="D598" t="inlineStr">
        <is>
          <t>GOTLANDS LÄN</t>
        </is>
      </c>
      <c r="E598" t="inlineStr">
        <is>
          <t>GOTLAND</t>
        </is>
      </c>
      <c r="G598" t="n">
        <v>3.7</v>
      </c>
      <c r="H598" t="n">
        <v>0</v>
      </c>
      <c r="I598" t="n">
        <v>0</v>
      </c>
      <c r="J598" t="n">
        <v>0</v>
      </c>
      <c r="K598" t="n">
        <v>0</v>
      </c>
      <c r="L598" t="n">
        <v>0</v>
      </c>
      <c r="M598" t="n">
        <v>0</v>
      </c>
      <c r="N598" t="n">
        <v>0</v>
      </c>
      <c r="O598" t="n">
        <v>0</v>
      </c>
      <c r="P598" t="n">
        <v>0</v>
      </c>
      <c r="Q598" t="n">
        <v>0</v>
      </c>
      <c r="R598" s="2" t="inlineStr"/>
    </row>
    <row r="599" ht="15" customHeight="1">
      <c r="A599" t="inlineStr">
        <is>
          <t>A 5909-2025</t>
        </is>
      </c>
      <c r="B599" s="1" t="n">
        <v>45695.40634259259</v>
      </c>
      <c r="C599" s="1" t="n">
        <v>46143</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60086-2022</t>
        </is>
      </c>
      <c r="B600" s="1" t="n">
        <v>44909</v>
      </c>
      <c r="C600" s="1" t="n">
        <v>46143</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22704-2023</t>
        </is>
      </c>
      <c r="B601" s="1" t="n">
        <v>45071</v>
      </c>
      <c r="C601" s="1" t="n">
        <v>46143</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25866-2022</t>
        </is>
      </c>
      <c r="B602" s="1" t="n">
        <v>44733</v>
      </c>
      <c r="C602" s="1" t="n">
        <v>46143</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9887-2025</t>
        </is>
      </c>
      <c r="B603" s="1" t="n">
        <v>45716</v>
      </c>
      <c r="C603" s="1" t="n">
        <v>46143</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12209-2024</t>
        </is>
      </c>
      <c r="B604" s="1" t="n">
        <v>45378</v>
      </c>
      <c r="C604" s="1" t="n">
        <v>46143</v>
      </c>
      <c r="D604" t="inlineStr">
        <is>
          <t>GOTLANDS LÄN</t>
        </is>
      </c>
      <c r="E604" t="inlineStr">
        <is>
          <t>GOTLAND</t>
        </is>
      </c>
      <c r="G604" t="n">
        <v>5.3</v>
      </c>
      <c r="H604" t="n">
        <v>0</v>
      </c>
      <c r="I604" t="n">
        <v>0</v>
      </c>
      <c r="J604" t="n">
        <v>0</v>
      </c>
      <c r="K604" t="n">
        <v>0</v>
      </c>
      <c r="L604" t="n">
        <v>0</v>
      </c>
      <c r="M604" t="n">
        <v>0</v>
      </c>
      <c r="N604" t="n">
        <v>0</v>
      </c>
      <c r="O604" t="n">
        <v>0</v>
      </c>
      <c r="P604" t="n">
        <v>0</v>
      </c>
      <c r="Q604" t="n">
        <v>0</v>
      </c>
      <c r="R604" s="2" t="inlineStr"/>
    </row>
    <row r="605" ht="15" customHeight="1">
      <c r="A605" t="inlineStr">
        <is>
          <t>A 12210-2024</t>
        </is>
      </c>
      <c r="B605" s="1" t="n">
        <v>45378</v>
      </c>
      <c r="C605" s="1" t="n">
        <v>46143</v>
      </c>
      <c r="D605" t="inlineStr">
        <is>
          <t>GOTLANDS LÄN</t>
        </is>
      </c>
      <c r="E605" t="inlineStr">
        <is>
          <t>GOTLAND</t>
        </is>
      </c>
      <c r="G605" t="n">
        <v>4.1</v>
      </c>
      <c r="H605" t="n">
        <v>0</v>
      </c>
      <c r="I605" t="n">
        <v>0</v>
      </c>
      <c r="J605" t="n">
        <v>0</v>
      </c>
      <c r="K605" t="n">
        <v>0</v>
      </c>
      <c r="L605" t="n">
        <v>0</v>
      </c>
      <c r="M605" t="n">
        <v>0</v>
      </c>
      <c r="N605" t="n">
        <v>0</v>
      </c>
      <c r="O605" t="n">
        <v>0</v>
      </c>
      <c r="P605" t="n">
        <v>0</v>
      </c>
      <c r="Q605" t="n">
        <v>0</v>
      </c>
      <c r="R605" s="2" t="inlineStr"/>
    </row>
    <row r="606" ht="15" customHeight="1">
      <c r="A606" t="inlineStr">
        <is>
          <t>A 59986-2022</t>
        </is>
      </c>
      <c r="B606" s="1" t="n">
        <v>44909</v>
      </c>
      <c r="C606" s="1" t="n">
        <v>46143</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31802-2024</t>
        </is>
      </c>
      <c r="B607" s="1" t="n">
        <v>45509</v>
      </c>
      <c r="C607" s="1" t="n">
        <v>46143</v>
      </c>
      <c r="D607" t="inlineStr">
        <is>
          <t>GOTLANDS LÄN</t>
        </is>
      </c>
      <c r="E607" t="inlineStr">
        <is>
          <t>GOTLAND</t>
        </is>
      </c>
      <c r="G607" t="n">
        <v>2.8</v>
      </c>
      <c r="H607" t="n">
        <v>0</v>
      </c>
      <c r="I607" t="n">
        <v>0</v>
      </c>
      <c r="J607" t="n">
        <v>0</v>
      </c>
      <c r="K607" t="n">
        <v>0</v>
      </c>
      <c r="L607" t="n">
        <v>0</v>
      </c>
      <c r="M607" t="n">
        <v>0</v>
      </c>
      <c r="N607" t="n">
        <v>0</v>
      </c>
      <c r="O607" t="n">
        <v>0</v>
      </c>
      <c r="P607" t="n">
        <v>0</v>
      </c>
      <c r="Q607" t="n">
        <v>0</v>
      </c>
      <c r="R607" s="2" t="inlineStr"/>
    </row>
    <row r="608" ht="15" customHeight="1">
      <c r="A608" t="inlineStr">
        <is>
          <t>A 20993-2023</t>
        </is>
      </c>
      <c r="B608" s="1" t="n">
        <v>45056</v>
      </c>
      <c r="C608" s="1" t="n">
        <v>46143</v>
      </c>
      <c r="D608" t="inlineStr">
        <is>
          <t>GOTLANDS LÄN</t>
        </is>
      </c>
      <c r="E608" t="inlineStr">
        <is>
          <t>GOTLAND</t>
        </is>
      </c>
      <c r="G608" t="n">
        <v>7.1</v>
      </c>
      <c r="H608" t="n">
        <v>0</v>
      </c>
      <c r="I608" t="n">
        <v>0</v>
      </c>
      <c r="J608" t="n">
        <v>0</v>
      </c>
      <c r="K608" t="n">
        <v>0</v>
      </c>
      <c r="L608" t="n">
        <v>0</v>
      </c>
      <c r="M608" t="n">
        <v>0</v>
      </c>
      <c r="N608" t="n">
        <v>0</v>
      </c>
      <c r="O608" t="n">
        <v>0</v>
      </c>
      <c r="P608" t="n">
        <v>0</v>
      </c>
      <c r="Q608" t="n">
        <v>0</v>
      </c>
      <c r="R608" s="2" t="inlineStr"/>
    </row>
    <row r="609" ht="15" customHeight="1">
      <c r="A609" t="inlineStr">
        <is>
          <t>A 15042-2025</t>
        </is>
      </c>
      <c r="B609" s="1" t="n">
        <v>45743</v>
      </c>
      <c r="C609" s="1" t="n">
        <v>46143</v>
      </c>
      <c r="D609" t="inlineStr">
        <is>
          <t>GOTLANDS LÄN</t>
        </is>
      </c>
      <c r="E609" t="inlineStr">
        <is>
          <t>GOTLAND</t>
        </is>
      </c>
      <c r="G609" t="n">
        <v>8.5</v>
      </c>
      <c r="H609" t="n">
        <v>0</v>
      </c>
      <c r="I609" t="n">
        <v>0</v>
      </c>
      <c r="J609" t="n">
        <v>0</v>
      </c>
      <c r="K609" t="n">
        <v>0</v>
      </c>
      <c r="L609" t="n">
        <v>0</v>
      </c>
      <c r="M609" t="n">
        <v>0</v>
      </c>
      <c r="N609" t="n">
        <v>0</v>
      </c>
      <c r="O609" t="n">
        <v>0</v>
      </c>
      <c r="P609" t="n">
        <v>0</v>
      </c>
      <c r="Q609" t="n">
        <v>0</v>
      </c>
      <c r="R609" s="2" t="inlineStr"/>
    </row>
    <row r="610" ht="15" customHeight="1">
      <c r="A610" t="inlineStr">
        <is>
          <t>A 12327-2025</t>
        </is>
      </c>
      <c r="B610" s="1" t="n">
        <v>45730</v>
      </c>
      <c r="C610" s="1" t="n">
        <v>46143</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4420-2025</t>
        </is>
      </c>
      <c r="B611" s="1" t="n">
        <v>45686.47157407407</v>
      </c>
      <c r="C611" s="1" t="n">
        <v>46143</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14427-2024</t>
        </is>
      </c>
      <c r="B612" s="1" t="n">
        <v>45394</v>
      </c>
      <c r="C612" s="1" t="n">
        <v>46143</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49257-2024</t>
        </is>
      </c>
      <c r="B613" s="1" t="n">
        <v>45595.47627314815</v>
      </c>
      <c r="C613" s="1" t="n">
        <v>46143</v>
      </c>
      <c r="D613" t="inlineStr">
        <is>
          <t>GOTLANDS LÄN</t>
        </is>
      </c>
      <c r="E613" t="inlineStr">
        <is>
          <t>GOTLAND</t>
        </is>
      </c>
      <c r="G613" t="n">
        <v>6.3</v>
      </c>
      <c r="H613" t="n">
        <v>0</v>
      </c>
      <c r="I613" t="n">
        <v>0</v>
      </c>
      <c r="J613" t="n">
        <v>0</v>
      </c>
      <c r="K613" t="n">
        <v>0</v>
      </c>
      <c r="L613" t="n">
        <v>0</v>
      </c>
      <c r="M613" t="n">
        <v>0</v>
      </c>
      <c r="N613" t="n">
        <v>0</v>
      </c>
      <c r="O613" t="n">
        <v>0</v>
      </c>
      <c r="P613" t="n">
        <v>0</v>
      </c>
      <c r="Q613" t="n">
        <v>0</v>
      </c>
      <c r="R613" s="2" t="inlineStr"/>
    </row>
    <row r="614" ht="15" customHeight="1">
      <c r="A614" t="inlineStr">
        <is>
          <t>A 49315-2024</t>
        </is>
      </c>
      <c r="B614" s="1" t="n">
        <v>45595</v>
      </c>
      <c r="C614" s="1" t="n">
        <v>46143</v>
      </c>
      <c r="D614" t="inlineStr">
        <is>
          <t>GOTLANDS LÄN</t>
        </is>
      </c>
      <c r="E614" t="inlineStr">
        <is>
          <t>GOTLAND</t>
        </is>
      </c>
      <c r="G614" t="n">
        <v>1.5</v>
      </c>
      <c r="H614" t="n">
        <v>0</v>
      </c>
      <c r="I614" t="n">
        <v>0</v>
      </c>
      <c r="J614" t="n">
        <v>0</v>
      </c>
      <c r="K614" t="n">
        <v>0</v>
      </c>
      <c r="L614" t="n">
        <v>0</v>
      </c>
      <c r="M614" t="n">
        <v>0</v>
      </c>
      <c r="N614" t="n">
        <v>0</v>
      </c>
      <c r="O614" t="n">
        <v>0</v>
      </c>
      <c r="P614" t="n">
        <v>0</v>
      </c>
      <c r="Q614" t="n">
        <v>0</v>
      </c>
      <c r="R614" s="2" t="inlineStr"/>
    </row>
    <row r="615" ht="15" customHeight="1">
      <c r="A615" t="inlineStr">
        <is>
          <t>A 27596-2023</t>
        </is>
      </c>
      <c r="B615" s="1" t="n">
        <v>45097</v>
      </c>
      <c r="C615" s="1" t="n">
        <v>46143</v>
      </c>
      <c r="D615" t="inlineStr">
        <is>
          <t>GOTLANDS LÄN</t>
        </is>
      </c>
      <c r="E615" t="inlineStr">
        <is>
          <t>GOTLAND</t>
        </is>
      </c>
      <c r="G615" t="n">
        <v>3.6</v>
      </c>
      <c r="H615" t="n">
        <v>0</v>
      </c>
      <c r="I615" t="n">
        <v>0</v>
      </c>
      <c r="J615" t="n">
        <v>0</v>
      </c>
      <c r="K615" t="n">
        <v>0</v>
      </c>
      <c r="L615" t="n">
        <v>0</v>
      </c>
      <c r="M615" t="n">
        <v>0</v>
      </c>
      <c r="N615" t="n">
        <v>0</v>
      </c>
      <c r="O615" t="n">
        <v>0</v>
      </c>
      <c r="P615" t="n">
        <v>0</v>
      </c>
      <c r="Q615" t="n">
        <v>0</v>
      </c>
      <c r="R615" s="2" t="inlineStr"/>
    </row>
    <row r="616" ht="15" customHeight="1">
      <c r="A616" t="inlineStr">
        <is>
          <t>A 56115-2023</t>
        </is>
      </c>
      <c r="B616" s="1" t="n">
        <v>45236</v>
      </c>
      <c r="C616" s="1" t="n">
        <v>46143</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64969-2023</t>
        </is>
      </c>
      <c r="B617" s="1" t="n">
        <v>45284.54009259259</v>
      </c>
      <c r="C617" s="1" t="n">
        <v>46143</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33853-2024</t>
        </is>
      </c>
      <c r="B618" s="1" t="n">
        <v>45520.64298611111</v>
      </c>
      <c r="C618" s="1" t="n">
        <v>46143</v>
      </c>
      <c r="D618" t="inlineStr">
        <is>
          <t>GOTLANDS LÄN</t>
        </is>
      </c>
      <c r="E618" t="inlineStr">
        <is>
          <t>GOTLAND</t>
        </is>
      </c>
      <c r="G618" t="n">
        <v>3.9</v>
      </c>
      <c r="H618" t="n">
        <v>0</v>
      </c>
      <c r="I618" t="n">
        <v>0</v>
      </c>
      <c r="J618" t="n">
        <v>0</v>
      </c>
      <c r="K618" t="n">
        <v>0</v>
      </c>
      <c r="L618" t="n">
        <v>0</v>
      </c>
      <c r="M618" t="n">
        <v>0</v>
      </c>
      <c r="N618" t="n">
        <v>0</v>
      </c>
      <c r="O618" t="n">
        <v>0</v>
      </c>
      <c r="P618" t="n">
        <v>0</v>
      </c>
      <c r="Q618" t="n">
        <v>0</v>
      </c>
      <c r="R618" s="2" t="inlineStr"/>
    </row>
    <row r="619" ht="15" customHeight="1">
      <c r="A619" t="inlineStr">
        <is>
          <t>A 18223-2025</t>
        </is>
      </c>
      <c r="B619" s="1" t="n">
        <v>45761</v>
      </c>
      <c r="C619" s="1" t="n">
        <v>46143</v>
      </c>
      <c r="D619" t="inlineStr">
        <is>
          <t>GOTLANDS LÄN</t>
        </is>
      </c>
      <c r="E619" t="inlineStr">
        <is>
          <t>GOTLAND</t>
        </is>
      </c>
      <c r="G619" t="n">
        <v>0.7</v>
      </c>
      <c r="H619" t="n">
        <v>0</v>
      </c>
      <c r="I619" t="n">
        <v>0</v>
      </c>
      <c r="J619" t="n">
        <v>0</v>
      </c>
      <c r="K619" t="n">
        <v>0</v>
      </c>
      <c r="L619" t="n">
        <v>0</v>
      </c>
      <c r="M619" t="n">
        <v>0</v>
      </c>
      <c r="N619" t="n">
        <v>0</v>
      </c>
      <c r="O619" t="n">
        <v>0</v>
      </c>
      <c r="P619" t="n">
        <v>0</v>
      </c>
      <c r="Q619" t="n">
        <v>0</v>
      </c>
      <c r="R619" s="2" t="inlineStr"/>
    </row>
    <row r="620" ht="15" customHeight="1">
      <c r="A620" t="inlineStr">
        <is>
          <t>A 46949-2024</t>
        </is>
      </c>
      <c r="B620" s="1" t="n">
        <v>45585</v>
      </c>
      <c r="C620" s="1" t="n">
        <v>46143</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24001-2021</t>
        </is>
      </c>
      <c r="B621" s="1" t="n">
        <v>44335</v>
      </c>
      <c r="C621" s="1" t="n">
        <v>46143</v>
      </c>
      <c r="D621" t="inlineStr">
        <is>
          <t>GOTLANDS LÄN</t>
        </is>
      </c>
      <c r="E621" t="inlineStr">
        <is>
          <t>GOTLAND</t>
        </is>
      </c>
      <c r="G621" t="n">
        <v>3.4</v>
      </c>
      <c r="H621" t="n">
        <v>0</v>
      </c>
      <c r="I621" t="n">
        <v>0</v>
      </c>
      <c r="J621" t="n">
        <v>0</v>
      </c>
      <c r="K621" t="n">
        <v>0</v>
      </c>
      <c r="L621" t="n">
        <v>0</v>
      </c>
      <c r="M621" t="n">
        <v>0</v>
      </c>
      <c r="N621" t="n">
        <v>0</v>
      </c>
      <c r="O621" t="n">
        <v>0</v>
      </c>
      <c r="P621" t="n">
        <v>0</v>
      </c>
      <c r="Q621" t="n">
        <v>0</v>
      </c>
      <c r="R621" s="2" t="inlineStr"/>
    </row>
    <row r="622" ht="15" customHeight="1">
      <c r="A622" t="inlineStr">
        <is>
          <t>A 39479-2022</t>
        </is>
      </c>
      <c r="B622" s="1" t="n">
        <v>44818</v>
      </c>
      <c r="C622" s="1" t="n">
        <v>46143</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39496-2022</t>
        </is>
      </c>
      <c r="B623" s="1" t="n">
        <v>44818</v>
      </c>
      <c r="C623" s="1" t="n">
        <v>46143</v>
      </c>
      <c r="D623" t="inlineStr">
        <is>
          <t>GOTLANDS LÄN</t>
        </is>
      </c>
      <c r="E623" t="inlineStr">
        <is>
          <t>GOTLAND</t>
        </is>
      </c>
      <c r="G623" t="n">
        <v>2.4</v>
      </c>
      <c r="H623" t="n">
        <v>0</v>
      </c>
      <c r="I623" t="n">
        <v>0</v>
      </c>
      <c r="J623" t="n">
        <v>0</v>
      </c>
      <c r="K623" t="n">
        <v>0</v>
      </c>
      <c r="L623" t="n">
        <v>0</v>
      </c>
      <c r="M623" t="n">
        <v>0</v>
      </c>
      <c r="N623" t="n">
        <v>0</v>
      </c>
      <c r="O623" t="n">
        <v>0</v>
      </c>
      <c r="P623" t="n">
        <v>0</v>
      </c>
      <c r="Q623" t="n">
        <v>0</v>
      </c>
      <c r="R623" s="2" t="inlineStr"/>
    </row>
    <row r="624" ht="15" customHeight="1">
      <c r="A624" t="inlineStr">
        <is>
          <t>A 46389-2021</t>
        </is>
      </c>
      <c r="B624" s="1" t="n">
        <v>44443</v>
      </c>
      <c r="C624" s="1" t="n">
        <v>46143</v>
      </c>
      <c r="D624" t="inlineStr">
        <is>
          <t>GOTLANDS LÄN</t>
        </is>
      </c>
      <c r="E624" t="inlineStr">
        <is>
          <t>GOTLAND</t>
        </is>
      </c>
      <c r="F624" t="inlineStr">
        <is>
          <t>Kyrkan</t>
        </is>
      </c>
      <c r="G624" t="n">
        <v>2.1</v>
      </c>
      <c r="H624" t="n">
        <v>0</v>
      </c>
      <c r="I624" t="n">
        <v>0</v>
      </c>
      <c r="J624" t="n">
        <v>0</v>
      </c>
      <c r="K624" t="n">
        <v>0</v>
      </c>
      <c r="L624" t="n">
        <v>0</v>
      </c>
      <c r="M624" t="n">
        <v>0</v>
      </c>
      <c r="N624" t="n">
        <v>0</v>
      </c>
      <c r="O624" t="n">
        <v>0</v>
      </c>
      <c r="P624" t="n">
        <v>0</v>
      </c>
      <c r="Q624" t="n">
        <v>0</v>
      </c>
      <c r="R624" s="2" t="inlineStr"/>
    </row>
    <row r="625" ht="15" customHeight="1">
      <c r="A625" t="inlineStr">
        <is>
          <t>A 44949-2023</t>
        </is>
      </c>
      <c r="B625" s="1" t="n">
        <v>45190.69520833333</v>
      </c>
      <c r="C625" s="1" t="n">
        <v>46143</v>
      </c>
      <c r="D625" t="inlineStr">
        <is>
          <t>GOTLANDS LÄN</t>
        </is>
      </c>
      <c r="E625" t="inlineStr">
        <is>
          <t>GOTLAND</t>
        </is>
      </c>
      <c r="G625" t="n">
        <v>1.4</v>
      </c>
      <c r="H625" t="n">
        <v>0</v>
      </c>
      <c r="I625" t="n">
        <v>0</v>
      </c>
      <c r="J625" t="n">
        <v>0</v>
      </c>
      <c r="K625" t="n">
        <v>0</v>
      </c>
      <c r="L625" t="n">
        <v>0</v>
      </c>
      <c r="M625" t="n">
        <v>0</v>
      </c>
      <c r="N625" t="n">
        <v>0</v>
      </c>
      <c r="O625" t="n">
        <v>0</v>
      </c>
      <c r="P625" t="n">
        <v>0</v>
      </c>
      <c r="Q625" t="n">
        <v>0</v>
      </c>
      <c r="R625" s="2" t="inlineStr"/>
    </row>
    <row r="626" ht="15" customHeight="1">
      <c r="A626" t="inlineStr">
        <is>
          <t>A 17682-2024</t>
        </is>
      </c>
      <c r="B626" s="1" t="n">
        <v>45418.42966435185</v>
      </c>
      <c r="C626" s="1" t="n">
        <v>46143</v>
      </c>
      <c r="D626" t="inlineStr">
        <is>
          <t>GOTLANDS LÄN</t>
        </is>
      </c>
      <c r="E626" t="inlineStr">
        <is>
          <t>GOTLAND</t>
        </is>
      </c>
      <c r="G626" t="n">
        <v>2.9</v>
      </c>
      <c r="H626" t="n">
        <v>0</v>
      </c>
      <c r="I626" t="n">
        <v>0</v>
      </c>
      <c r="J626" t="n">
        <v>0</v>
      </c>
      <c r="K626" t="n">
        <v>0</v>
      </c>
      <c r="L626" t="n">
        <v>0</v>
      </c>
      <c r="M626" t="n">
        <v>0</v>
      </c>
      <c r="N626" t="n">
        <v>0</v>
      </c>
      <c r="O626" t="n">
        <v>0</v>
      </c>
      <c r="P626" t="n">
        <v>0</v>
      </c>
      <c r="Q626" t="n">
        <v>0</v>
      </c>
      <c r="R626" s="2" t="inlineStr"/>
    </row>
    <row r="627" ht="15" customHeight="1">
      <c r="A627" t="inlineStr">
        <is>
          <t>A 61897-2024</t>
        </is>
      </c>
      <c r="B627" s="1" t="n">
        <v>45652.75685185185</v>
      </c>
      <c r="C627" s="1" t="n">
        <v>46143</v>
      </c>
      <c r="D627" t="inlineStr">
        <is>
          <t>GOTLANDS LÄN</t>
        </is>
      </c>
      <c r="E627" t="inlineStr">
        <is>
          <t>GOTLAND</t>
        </is>
      </c>
      <c r="G627" t="n">
        <v>6.4</v>
      </c>
      <c r="H627" t="n">
        <v>0</v>
      </c>
      <c r="I627" t="n">
        <v>0</v>
      </c>
      <c r="J627" t="n">
        <v>0</v>
      </c>
      <c r="K627" t="n">
        <v>0</v>
      </c>
      <c r="L627" t="n">
        <v>0</v>
      </c>
      <c r="M627" t="n">
        <v>0</v>
      </c>
      <c r="N627" t="n">
        <v>0</v>
      </c>
      <c r="O627" t="n">
        <v>0</v>
      </c>
      <c r="P627" t="n">
        <v>0</v>
      </c>
      <c r="Q627" t="n">
        <v>0</v>
      </c>
      <c r="R627" s="2" t="inlineStr"/>
    </row>
    <row r="628" ht="15" customHeight="1">
      <c r="A628" t="inlineStr">
        <is>
          <t>A 12032-2025</t>
        </is>
      </c>
      <c r="B628" s="1" t="n">
        <v>45728.64472222222</v>
      </c>
      <c r="C628" s="1" t="n">
        <v>46143</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15595-2024</t>
        </is>
      </c>
      <c r="B629" s="1" t="n">
        <v>45401.81480324074</v>
      </c>
      <c r="C629" s="1" t="n">
        <v>46143</v>
      </c>
      <c r="D629" t="inlineStr">
        <is>
          <t>GOTLANDS LÄN</t>
        </is>
      </c>
      <c r="E629" t="inlineStr">
        <is>
          <t>GOTLAND</t>
        </is>
      </c>
      <c r="G629" t="n">
        <v>6.4</v>
      </c>
      <c r="H629" t="n">
        <v>0</v>
      </c>
      <c r="I629" t="n">
        <v>0</v>
      </c>
      <c r="J629" t="n">
        <v>0</v>
      </c>
      <c r="K629" t="n">
        <v>0</v>
      </c>
      <c r="L629" t="n">
        <v>0</v>
      </c>
      <c r="M629" t="n">
        <v>0</v>
      </c>
      <c r="N629" t="n">
        <v>0</v>
      </c>
      <c r="O629" t="n">
        <v>0</v>
      </c>
      <c r="P629" t="n">
        <v>0</v>
      </c>
      <c r="Q629" t="n">
        <v>0</v>
      </c>
      <c r="R629" s="2" t="inlineStr"/>
    </row>
    <row r="630" ht="15" customHeight="1">
      <c r="A630" t="inlineStr">
        <is>
          <t>A 21164-2024</t>
        </is>
      </c>
      <c r="B630" s="1" t="n">
        <v>45440</v>
      </c>
      <c r="C630" s="1" t="n">
        <v>46143</v>
      </c>
      <c r="D630" t="inlineStr">
        <is>
          <t>GOTLANDS LÄN</t>
        </is>
      </c>
      <c r="E630" t="inlineStr">
        <is>
          <t>GOTLAND</t>
        </is>
      </c>
      <c r="G630" t="n">
        <v>6.3</v>
      </c>
      <c r="H630" t="n">
        <v>0</v>
      </c>
      <c r="I630" t="n">
        <v>0</v>
      </c>
      <c r="J630" t="n">
        <v>0</v>
      </c>
      <c r="K630" t="n">
        <v>0</v>
      </c>
      <c r="L630" t="n">
        <v>0</v>
      </c>
      <c r="M630" t="n">
        <v>0</v>
      </c>
      <c r="N630" t="n">
        <v>0</v>
      </c>
      <c r="O630" t="n">
        <v>0</v>
      </c>
      <c r="P630" t="n">
        <v>0</v>
      </c>
      <c r="Q630" t="n">
        <v>0</v>
      </c>
      <c r="R630" s="2" t="inlineStr"/>
    </row>
    <row r="631" ht="15" customHeight="1">
      <c r="A631" t="inlineStr">
        <is>
          <t>A 17541-2024</t>
        </is>
      </c>
      <c r="B631" s="1" t="n">
        <v>45415</v>
      </c>
      <c r="C631" s="1" t="n">
        <v>46143</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883-2025</t>
        </is>
      </c>
      <c r="B632" s="1" t="n">
        <v>45665</v>
      </c>
      <c r="C632" s="1" t="n">
        <v>46143</v>
      </c>
      <c r="D632" t="inlineStr">
        <is>
          <t>GOTLANDS LÄN</t>
        </is>
      </c>
      <c r="E632" t="inlineStr">
        <is>
          <t>GOTLAND</t>
        </is>
      </c>
      <c r="G632" t="n">
        <v>1.3</v>
      </c>
      <c r="H632" t="n">
        <v>0</v>
      </c>
      <c r="I632" t="n">
        <v>0</v>
      </c>
      <c r="J632" t="n">
        <v>0</v>
      </c>
      <c r="K632" t="n">
        <v>0</v>
      </c>
      <c r="L632" t="n">
        <v>0</v>
      </c>
      <c r="M632" t="n">
        <v>0</v>
      </c>
      <c r="N632" t="n">
        <v>0</v>
      </c>
      <c r="O632" t="n">
        <v>0</v>
      </c>
      <c r="P632" t="n">
        <v>0</v>
      </c>
      <c r="Q632" t="n">
        <v>0</v>
      </c>
      <c r="R632" s="2" t="inlineStr"/>
    </row>
    <row r="633" ht="15" customHeight="1">
      <c r="A633" t="inlineStr">
        <is>
          <t>A 13910-2025</t>
        </is>
      </c>
      <c r="B633" s="1" t="n">
        <v>45737</v>
      </c>
      <c r="C633" s="1" t="n">
        <v>46143</v>
      </c>
      <c r="D633" t="inlineStr">
        <is>
          <t>GOTLANDS LÄN</t>
        </is>
      </c>
      <c r="E633" t="inlineStr">
        <is>
          <t>GOTLAND</t>
        </is>
      </c>
      <c r="F633" t="inlineStr">
        <is>
          <t>Kommuner</t>
        </is>
      </c>
      <c r="G633" t="n">
        <v>3.2</v>
      </c>
      <c r="H633" t="n">
        <v>0</v>
      </c>
      <c r="I633" t="n">
        <v>0</v>
      </c>
      <c r="J633" t="n">
        <v>0</v>
      </c>
      <c r="K633" t="n">
        <v>0</v>
      </c>
      <c r="L633" t="n">
        <v>0</v>
      </c>
      <c r="M633" t="n">
        <v>0</v>
      </c>
      <c r="N633" t="n">
        <v>0</v>
      </c>
      <c r="O633" t="n">
        <v>0</v>
      </c>
      <c r="P633" t="n">
        <v>0</v>
      </c>
      <c r="Q633" t="n">
        <v>0</v>
      </c>
      <c r="R633" s="2" t="inlineStr"/>
    </row>
    <row r="634" ht="15" customHeight="1">
      <c r="A634" t="inlineStr">
        <is>
          <t>A 20794-2025</t>
        </is>
      </c>
      <c r="B634" s="1" t="n">
        <v>45776</v>
      </c>
      <c r="C634" s="1" t="n">
        <v>46143</v>
      </c>
      <c r="D634" t="inlineStr">
        <is>
          <t>GOTLANDS LÄN</t>
        </is>
      </c>
      <c r="E634" t="inlineStr">
        <is>
          <t>GOTLAND</t>
        </is>
      </c>
      <c r="G634" t="n">
        <v>6</v>
      </c>
      <c r="H634" t="n">
        <v>0</v>
      </c>
      <c r="I634" t="n">
        <v>0</v>
      </c>
      <c r="J634" t="n">
        <v>0</v>
      </c>
      <c r="K634" t="n">
        <v>0</v>
      </c>
      <c r="L634" t="n">
        <v>0</v>
      </c>
      <c r="M634" t="n">
        <v>0</v>
      </c>
      <c r="N634" t="n">
        <v>0</v>
      </c>
      <c r="O634" t="n">
        <v>0</v>
      </c>
      <c r="P634" t="n">
        <v>0</v>
      </c>
      <c r="Q634" t="n">
        <v>0</v>
      </c>
      <c r="R634" s="2" t="inlineStr"/>
    </row>
    <row r="635" ht="15" customHeight="1">
      <c r="A635" t="inlineStr">
        <is>
          <t>A 20805-2025</t>
        </is>
      </c>
      <c r="B635" s="1" t="n">
        <v>45776</v>
      </c>
      <c r="C635" s="1" t="n">
        <v>46143</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21389-2025</t>
        </is>
      </c>
      <c r="B636" s="1" t="n">
        <v>45782</v>
      </c>
      <c r="C636" s="1" t="n">
        <v>46143</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ht="15" customHeight="1">
      <c r="A637" t="inlineStr">
        <is>
          <t>A 21651-2025</t>
        </is>
      </c>
      <c r="B637" s="1" t="n">
        <v>45783</v>
      </c>
      <c r="C637" s="1" t="n">
        <v>46143</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21420-2024</t>
        </is>
      </c>
      <c r="B638" s="1" t="n">
        <v>45441.38293981482</v>
      </c>
      <c r="C638" s="1" t="n">
        <v>46143</v>
      </c>
      <c r="D638" t="inlineStr">
        <is>
          <t>GOTLANDS LÄN</t>
        </is>
      </c>
      <c r="E638" t="inlineStr">
        <is>
          <t>GOTLAND</t>
        </is>
      </c>
      <c r="G638" t="n">
        <v>4.1</v>
      </c>
      <c r="H638" t="n">
        <v>0</v>
      </c>
      <c r="I638" t="n">
        <v>0</v>
      </c>
      <c r="J638" t="n">
        <v>0</v>
      </c>
      <c r="K638" t="n">
        <v>0</v>
      </c>
      <c r="L638" t="n">
        <v>0</v>
      </c>
      <c r="M638" t="n">
        <v>0</v>
      </c>
      <c r="N638" t="n">
        <v>0</v>
      </c>
      <c r="O638" t="n">
        <v>0</v>
      </c>
      <c r="P638" t="n">
        <v>0</v>
      </c>
      <c r="Q638" t="n">
        <v>0</v>
      </c>
      <c r="R638" s="2" t="inlineStr"/>
    </row>
    <row r="639" ht="15" customHeight="1">
      <c r="A639" t="inlineStr">
        <is>
          <t>A 10656-2024</t>
        </is>
      </c>
      <c r="B639" s="1" t="n">
        <v>45368</v>
      </c>
      <c r="C639" s="1" t="n">
        <v>46143</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57356-2023</t>
        </is>
      </c>
      <c r="B640" s="1" t="n">
        <v>45240</v>
      </c>
      <c r="C640" s="1" t="n">
        <v>46143</v>
      </c>
      <c r="D640" t="inlineStr">
        <is>
          <t>GOTLANDS LÄN</t>
        </is>
      </c>
      <c r="E640" t="inlineStr">
        <is>
          <t>GOTLAND</t>
        </is>
      </c>
      <c r="G640" t="n">
        <v>6.4</v>
      </c>
      <c r="H640" t="n">
        <v>0</v>
      </c>
      <c r="I640" t="n">
        <v>0</v>
      </c>
      <c r="J640" t="n">
        <v>0</v>
      </c>
      <c r="K640" t="n">
        <v>0</v>
      </c>
      <c r="L640" t="n">
        <v>0</v>
      </c>
      <c r="M640" t="n">
        <v>0</v>
      </c>
      <c r="N640" t="n">
        <v>0</v>
      </c>
      <c r="O640" t="n">
        <v>0</v>
      </c>
      <c r="P640" t="n">
        <v>0</v>
      </c>
      <c r="Q640" t="n">
        <v>0</v>
      </c>
      <c r="R640" s="2" t="inlineStr"/>
    </row>
    <row r="641" ht="15" customHeight="1">
      <c r="A641" t="inlineStr">
        <is>
          <t>A 28506-2023</t>
        </is>
      </c>
      <c r="B641" s="1" t="n">
        <v>45103</v>
      </c>
      <c r="C641" s="1" t="n">
        <v>46143</v>
      </c>
      <c r="D641" t="inlineStr">
        <is>
          <t>GOTLANDS LÄN</t>
        </is>
      </c>
      <c r="E641" t="inlineStr">
        <is>
          <t>GOTLAND</t>
        </is>
      </c>
      <c r="G641" t="n">
        <v>3.2</v>
      </c>
      <c r="H641" t="n">
        <v>0</v>
      </c>
      <c r="I641" t="n">
        <v>0</v>
      </c>
      <c r="J641" t="n">
        <v>0</v>
      </c>
      <c r="K641" t="n">
        <v>0</v>
      </c>
      <c r="L641" t="n">
        <v>0</v>
      </c>
      <c r="M641" t="n">
        <v>0</v>
      </c>
      <c r="N641" t="n">
        <v>0</v>
      </c>
      <c r="O641" t="n">
        <v>0</v>
      </c>
      <c r="P641" t="n">
        <v>0</v>
      </c>
      <c r="Q641" t="n">
        <v>0</v>
      </c>
      <c r="R641" s="2" t="inlineStr"/>
    </row>
    <row r="642">
      <c r="A642" t="inlineStr">
        <is>
          <t>A 23188-2025</t>
        </is>
      </c>
      <c r="B642" s="1" t="n">
        <v>45791</v>
      </c>
      <c r="C642" s="1" t="n">
        <v>46143</v>
      </c>
      <c r="D642" t="inlineStr">
        <is>
          <t>GOTLANDS LÄN</t>
        </is>
      </c>
      <c r="E642" t="inlineStr">
        <is>
          <t>GOTLAND</t>
        </is>
      </c>
      <c r="G642" t="n">
        <v>6.2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2026-05-01T10:58:00Z</dcterms:created>
  <dcterms:modified xmlns:dcterms="http://purl.org/dc/terms/" xmlns:xsi="http://www.w3.org/2001/XMLSchema-instance" xsi:type="dcterms:W3CDTF">2026-05-01T10:58:01Z</dcterms:modified>
</cp:coreProperties>
</file>