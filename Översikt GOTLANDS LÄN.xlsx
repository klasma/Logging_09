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45941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45941</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45941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45941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45941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45941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45941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45941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45941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45941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45941</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45941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45941</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45941</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45941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45941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45941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45941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45941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45941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45941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45941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34100-2024</t>
        </is>
      </c>
      <c r="B25" s="1" t="n">
        <v>45523</v>
      </c>
      <c r="C25" s="1" t="n">
        <v>45941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45941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45941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45941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45941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45941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45941</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24309-2025</t>
        </is>
      </c>
      <c r="B32" s="1" t="n">
        <v>45797</v>
      </c>
      <c r="C32" s="1" t="n">
        <v>45941</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2222-2024</t>
        </is>
      </c>
      <c r="B33" s="1" t="n">
        <v>45309</v>
      </c>
      <c r="C33" s="1" t="n">
        <v>45941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45941</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45941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45941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45941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41238-2025</t>
        </is>
      </c>
      <c r="B38" s="1" t="n">
        <v>45898</v>
      </c>
      <c r="C38" s="1" t="n">
        <v>45941</v>
      </c>
      <c r="D38" t="inlineStr">
        <is>
          <t>GOTLANDS LÄN</t>
        </is>
      </c>
      <c r="E38" t="inlineStr">
        <is>
          <t>GOTLAND</t>
        </is>
      </c>
      <c r="G38" t="n">
        <v>7.1</v>
      </c>
      <c r="H38" t="n">
        <v>1</v>
      </c>
      <c r="I38" t="n">
        <v>7</v>
      </c>
      <c r="J38" t="n">
        <v>3</v>
      </c>
      <c r="K38" t="n">
        <v>3</v>
      </c>
      <c r="L38" t="n">
        <v>0</v>
      </c>
      <c r="M38" t="n">
        <v>0</v>
      </c>
      <c r="N38" t="n">
        <v>0</v>
      </c>
      <c r="O38" t="n">
        <v>6</v>
      </c>
      <c r="P38" t="n">
        <v>3</v>
      </c>
      <c r="Q38" t="n">
        <v>13</v>
      </c>
      <c r="R38" s="2" t="inlineStr">
        <is>
          <t>Granrotsspindling
Mörkfjällig olivspindling
Violettfläckig spindling
Bittermusseron
Odörspindling
Tallticka
Anisspindling
Dropptaggsvamp
Fjällig taggsvamp s.str.
Granbarkgnagare
Olivspindling
Skarp dropptaggsvamp
Skogsknipprot</t>
        </is>
      </c>
      <c r="S38">
        <f>HYPERLINK("https://klasma.github.io/Logging_0980/artfynd/A 41238-2025 artfynd.xlsx", "A 41238-2025")</f>
        <v/>
      </c>
      <c r="T38">
        <f>HYPERLINK("https://klasma.github.io/Logging_0980/kartor/A 41238-2025 karta.png", "A 41238-2025")</f>
        <v/>
      </c>
      <c r="V38">
        <f>HYPERLINK("https://klasma.github.io/Logging_0980/klagomål/A 41238-2025 FSC-klagomål.docx", "A 41238-2025")</f>
        <v/>
      </c>
      <c r="W38">
        <f>HYPERLINK("https://klasma.github.io/Logging_0980/klagomålsmail/A 41238-2025 FSC-klagomål mail.docx", "A 41238-2025")</f>
        <v/>
      </c>
      <c r="X38">
        <f>HYPERLINK("https://klasma.github.io/Logging_0980/tillsyn/A 41238-2025 tillsynsbegäran.docx", "A 41238-2025")</f>
        <v/>
      </c>
      <c r="Y38">
        <f>HYPERLINK("https://klasma.github.io/Logging_0980/tillsynsmail/A 41238-2025 tillsynsbegäran mail.docx", "A 41238-2025")</f>
        <v/>
      </c>
    </row>
    <row r="39" ht="15" customHeight="1">
      <c r="A39" t="inlineStr">
        <is>
          <t>A 35141-2022</t>
        </is>
      </c>
      <c r="B39" s="1" t="n">
        <v>44797.53318287037</v>
      </c>
      <c r="C39" s="1" t="n">
        <v>45941</v>
      </c>
      <c r="D39" t="inlineStr">
        <is>
          <t>GOTLANDS LÄN</t>
        </is>
      </c>
      <c r="E39" t="inlineStr">
        <is>
          <t>GOTLAND</t>
        </is>
      </c>
      <c r="G39" t="n">
        <v>1.8</v>
      </c>
      <c r="H39" t="n">
        <v>0</v>
      </c>
      <c r="I39" t="n">
        <v>7</v>
      </c>
      <c r="J39" t="n">
        <v>3</v>
      </c>
      <c r="K39" t="n">
        <v>3</v>
      </c>
      <c r="L39" t="n">
        <v>0</v>
      </c>
      <c r="M39" t="n">
        <v>0</v>
      </c>
      <c r="N39" t="n">
        <v>0</v>
      </c>
      <c r="O39" t="n">
        <v>6</v>
      </c>
      <c r="P39" t="n">
        <v>3</v>
      </c>
      <c r="Q39" t="n">
        <v>13</v>
      </c>
      <c r="R39" s="2" t="inlineStr">
        <is>
          <t>Dvärgfjällskivling
Svartgrön spindling
Violettfläckig spindling
Bittermusseron
Flattoppad klubbsvamp
Odörspindling
Anisspindling
Fransig jordstjärna
Kambräken
Olivspindling
Rödgul trumpetsvamp
Svavelriska
Vågbandad barkbock</t>
        </is>
      </c>
      <c r="S39">
        <f>HYPERLINK("https://klasma.github.io/Logging_0980/artfynd/A 35141-2022 artfynd.xlsx", "A 35141-2022")</f>
        <v/>
      </c>
      <c r="T39">
        <f>HYPERLINK("https://klasma.github.io/Logging_0980/kartor/A 35141-2022 karta.png", "A 35141-2022")</f>
        <v/>
      </c>
      <c r="V39">
        <f>HYPERLINK("https://klasma.github.io/Logging_0980/klagomål/A 35141-2022 FSC-klagomål.docx", "A 35141-2022")</f>
        <v/>
      </c>
      <c r="W39">
        <f>HYPERLINK("https://klasma.github.io/Logging_0980/klagomålsmail/A 35141-2022 FSC-klagomål mail.docx", "A 35141-2022")</f>
        <v/>
      </c>
      <c r="X39">
        <f>HYPERLINK("https://klasma.github.io/Logging_0980/tillsyn/A 35141-2022 tillsynsbegäran.docx", "A 35141-2022")</f>
        <v/>
      </c>
      <c r="Y39">
        <f>HYPERLINK("https://klasma.github.io/Logging_0980/tillsynsmail/A 35141-2022 tillsynsbegäran mail.docx", "A 35141-2022")</f>
        <v/>
      </c>
    </row>
    <row r="40" ht="15" customHeight="1">
      <c r="A40" t="inlineStr">
        <is>
          <t>A 2804-2023</t>
        </is>
      </c>
      <c r="B40" s="1" t="n">
        <v>44944</v>
      </c>
      <c r="C40" s="1" t="n">
        <v>45941</v>
      </c>
      <c r="D40" t="inlineStr">
        <is>
          <t>GOTLANDS LÄN</t>
        </is>
      </c>
      <c r="E40" t="inlineStr">
        <is>
          <t>GOTLAND</t>
        </is>
      </c>
      <c r="G40" t="n">
        <v>7.6</v>
      </c>
      <c r="H40" t="n">
        <v>2</v>
      </c>
      <c r="I40" t="n">
        <v>4</v>
      </c>
      <c r="J40" t="n">
        <v>4</v>
      </c>
      <c r="K40" t="n">
        <v>3</v>
      </c>
      <c r="L40" t="n">
        <v>0</v>
      </c>
      <c r="M40" t="n">
        <v>0</v>
      </c>
      <c r="N40" t="n">
        <v>0</v>
      </c>
      <c r="O40" t="n">
        <v>7</v>
      </c>
      <c r="P40" t="n">
        <v>3</v>
      </c>
      <c r="Q40" t="n">
        <v>13</v>
      </c>
      <c r="R40" s="2" t="inlineStr">
        <is>
          <t>Granrotsspindling
Narrspindling
Violettfläckig spindling
Ekticka
Granticka
Oxtungssvamp
Svinrot
Blå slemspindling
Fransig jordstjärna
Rödgul trumpetsvamp
Svavelriska
Sankt pers nycklar
Blåsippa</t>
        </is>
      </c>
      <c r="S40">
        <f>HYPERLINK("https://klasma.github.io/Logging_0980/artfynd/A 2804-2023 artfynd.xlsx", "A 2804-2023")</f>
        <v/>
      </c>
      <c r="T40">
        <f>HYPERLINK("https://klasma.github.io/Logging_0980/kartor/A 2804-2023 karta.png", "A 2804-2023")</f>
        <v/>
      </c>
      <c r="V40">
        <f>HYPERLINK("https://klasma.github.io/Logging_0980/klagomål/A 2804-2023 FSC-klagomål.docx", "A 2804-2023")</f>
        <v/>
      </c>
      <c r="W40">
        <f>HYPERLINK("https://klasma.github.io/Logging_0980/klagomålsmail/A 2804-2023 FSC-klagomål mail.docx", "A 2804-2023")</f>
        <v/>
      </c>
      <c r="X40">
        <f>HYPERLINK("https://klasma.github.io/Logging_0980/tillsyn/A 2804-2023 tillsynsbegäran.docx", "A 2804-2023")</f>
        <v/>
      </c>
      <c r="Y40">
        <f>HYPERLINK("https://klasma.github.io/Logging_0980/tillsynsmail/A 2804-2023 tillsynsbegäran mail.docx", "A 2804-2023")</f>
        <v/>
      </c>
    </row>
    <row r="41" ht="15" customHeight="1">
      <c r="A41" t="inlineStr">
        <is>
          <t>A 3324-2023</t>
        </is>
      </c>
      <c r="B41" s="1" t="n">
        <v>44949</v>
      </c>
      <c r="C41" s="1" t="n">
        <v>45941</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45941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63872-2021</t>
        </is>
      </c>
      <c r="B43" s="1" t="n">
        <v>44509</v>
      </c>
      <c r="C43" s="1" t="n">
        <v>45941</v>
      </c>
      <c r="D43" t="inlineStr">
        <is>
          <t>GOTLANDS LÄN</t>
        </is>
      </c>
      <c r="E43" t="inlineStr">
        <is>
          <t>GOTLAND</t>
        </is>
      </c>
      <c r="G43" t="n">
        <v>20.5</v>
      </c>
      <c r="H43" t="n">
        <v>3</v>
      </c>
      <c r="I43" t="n">
        <v>1</v>
      </c>
      <c r="J43" t="n">
        <v>5</v>
      </c>
      <c r="K43" t="n">
        <v>4</v>
      </c>
      <c r="L43" t="n">
        <v>0</v>
      </c>
      <c r="M43" t="n">
        <v>0</v>
      </c>
      <c r="N43" t="n">
        <v>0</v>
      </c>
      <c r="O43" t="n">
        <v>9</v>
      </c>
      <c r="P43" t="n">
        <v>4</v>
      </c>
      <c r="Q43" t="n">
        <v>12</v>
      </c>
      <c r="R43" s="2" t="inlineStr">
        <is>
          <t>Duvspindling
Gulsträngad fagerspindling
Svartgrön spindling
Tallpraktspindling
Jordtistel
Kristallporing
Lundvaxskivling
Odörspindling
Spillkråka
Barrfagerspindling
Sankt pers nycklar
Blåsippa</t>
        </is>
      </c>
      <c r="S43">
        <f>HYPERLINK("https://klasma.github.io/Logging_0980/artfynd/A 63872-2021 artfynd.xlsx", "A 63872-2021")</f>
        <v/>
      </c>
      <c r="T43">
        <f>HYPERLINK("https://klasma.github.io/Logging_0980/kartor/A 63872-2021 karta.png", "A 63872-2021")</f>
        <v/>
      </c>
      <c r="V43">
        <f>HYPERLINK("https://klasma.github.io/Logging_0980/klagomål/A 63872-2021 FSC-klagomål.docx", "A 63872-2021")</f>
        <v/>
      </c>
      <c r="W43">
        <f>HYPERLINK("https://klasma.github.io/Logging_0980/klagomålsmail/A 63872-2021 FSC-klagomål mail.docx", "A 63872-2021")</f>
        <v/>
      </c>
      <c r="X43">
        <f>HYPERLINK("https://klasma.github.io/Logging_0980/tillsyn/A 63872-2021 tillsynsbegäran.docx", "A 63872-2021")</f>
        <v/>
      </c>
      <c r="Y43">
        <f>HYPERLINK("https://klasma.github.io/Logging_0980/tillsynsmail/A 63872-2021 tillsynsbegäran mail.docx", "A 63872-2021")</f>
        <v/>
      </c>
      <c r="Z43">
        <f>HYPERLINK("https://klasma.github.io/Logging_0980/fåglar/A 63872-2021 prioriterade fågelarter.docx", "A 63872-2021")</f>
        <v/>
      </c>
    </row>
    <row r="44" ht="15" customHeight="1">
      <c r="A44" t="inlineStr">
        <is>
          <t>A 28287-2024</t>
        </is>
      </c>
      <c r="B44" s="1" t="n">
        <v>45477</v>
      </c>
      <c r="C44" s="1" t="n">
        <v>45941</v>
      </c>
      <c r="D44" t="inlineStr">
        <is>
          <t>GOTLANDS LÄN</t>
        </is>
      </c>
      <c r="E44" t="inlineStr">
        <is>
          <t>GOTLAND</t>
        </is>
      </c>
      <c r="G44" t="n">
        <v>23.4</v>
      </c>
      <c r="H44" t="n">
        <v>2</v>
      </c>
      <c r="I44" t="n">
        <v>0</v>
      </c>
      <c r="J44" t="n">
        <v>10</v>
      </c>
      <c r="K44" t="n">
        <v>0</v>
      </c>
      <c r="L44" t="n">
        <v>1</v>
      </c>
      <c r="M44" t="n">
        <v>0</v>
      </c>
      <c r="N44" t="n">
        <v>0</v>
      </c>
      <c r="O44" t="n">
        <v>11</v>
      </c>
      <c r="P44" t="n">
        <v>1</v>
      </c>
      <c r="Q44" t="n">
        <v>12</v>
      </c>
      <c r="R44" s="2" t="inlineStr">
        <is>
          <t>Ask
Axveronika
Backtimjan
Flentimotej
Gulsparv
Jordtistel
Piggtistel
Silversmygare
Smedbock
Solvända
Vårstarr
Blåsippa</t>
        </is>
      </c>
      <c r="S44">
        <f>HYPERLINK("https://klasma.github.io/Logging_0980/artfynd/A 28287-2024 artfynd.xlsx", "A 28287-2024")</f>
        <v/>
      </c>
      <c r="T44">
        <f>HYPERLINK("https://klasma.github.io/Logging_0980/kartor/A 28287-2024 karta.png", "A 28287-2024")</f>
        <v/>
      </c>
      <c r="V44">
        <f>HYPERLINK("https://klasma.github.io/Logging_0980/klagomål/A 28287-2024 FSC-klagomål.docx", "A 28287-2024")</f>
        <v/>
      </c>
      <c r="W44">
        <f>HYPERLINK("https://klasma.github.io/Logging_0980/klagomålsmail/A 28287-2024 FSC-klagomål mail.docx", "A 28287-2024")</f>
        <v/>
      </c>
      <c r="X44">
        <f>HYPERLINK("https://klasma.github.io/Logging_0980/tillsyn/A 28287-2024 tillsynsbegäran.docx", "A 28287-2024")</f>
        <v/>
      </c>
      <c r="Y44">
        <f>HYPERLINK("https://klasma.github.io/Logging_0980/tillsynsmail/A 28287-2024 tillsynsbegäran mail.docx", "A 28287-2024")</f>
        <v/>
      </c>
      <c r="Z44">
        <f>HYPERLINK("https://klasma.github.io/Logging_0980/fåglar/A 28287-2024 prioriterade fågelarter.docx", "A 28287-2024")</f>
        <v/>
      </c>
    </row>
    <row r="45" ht="15" customHeight="1">
      <c r="A45" t="inlineStr">
        <is>
          <t>A 6052-2024</t>
        </is>
      </c>
      <c r="B45" s="1" t="n">
        <v>45336</v>
      </c>
      <c r="C45" s="1" t="n">
        <v>45941</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45941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11176-2024</t>
        </is>
      </c>
      <c r="B47" s="1" t="n">
        <v>45371</v>
      </c>
      <c r="C47" s="1" t="n">
        <v>45941</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1719-2025</t>
        </is>
      </c>
      <c r="B48" s="1" t="n">
        <v>45671</v>
      </c>
      <c r="C48" s="1" t="n">
        <v>45941</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14354-2024</t>
        </is>
      </c>
      <c r="B49" s="1" t="n">
        <v>45393</v>
      </c>
      <c r="C49" s="1" t="n">
        <v>45941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45941</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45941</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45941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22404-2024</t>
        </is>
      </c>
      <c r="B53" s="1" t="n">
        <v>45446</v>
      </c>
      <c r="C53" s="1" t="n">
        <v>45941</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45941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45941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45941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1769-2022</t>
        </is>
      </c>
      <c r="B57" s="1" t="n">
        <v>44574</v>
      </c>
      <c r="C57" s="1" t="n">
        <v>45941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45941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45941</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27280-2023</t>
        </is>
      </c>
      <c r="B60" s="1" t="n">
        <v>45096</v>
      </c>
      <c r="C60" s="1" t="n">
        <v>45941</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34142-2024</t>
        </is>
      </c>
      <c r="B61" s="1" t="n">
        <v>45524.36521990741</v>
      </c>
      <c r="C61" s="1" t="n">
        <v>45941</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45941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45248-2024</t>
        </is>
      </c>
      <c r="B63" s="1" t="n">
        <v>45576</v>
      </c>
      <c r="C63" s="1" t="n">
        <v>45941</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18541-2024</t>
        </is>
      </c>
      <c r="B64" s="1" t="n">
        <v>45425</v>
      </c>
      <c r="C64" s="1" t="n">
        <v>45941</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10419-2025</t>
        </is>
      </c>
      <c r="B65" s="1" t="n">
        <v>45720</v>
      </c>
      <c r="C65" s="1" t="n">
        <v>45941</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25205-2021</t>
        </is>
      </c>
      <c r="B66" s="1" t="n">
        <v>44342</v>
      </c>
      <c r="C66" s="1" t="n">
        <v>45941</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45941</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45941</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65819-2020</t>
        </is>
      </c>
      <c r="B69" s="1" t="n">
        <v>44174</v>
      </c>
      <c r="C69" s="1" t="n">
        <v>45941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446-2023</t>
        </is>
      </c>
      <c r="B70" s="1" t="n">
        <v>44929</v>
      </c>
      <c r="C70" s="1" t="n">
        <v>45941</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7038-2023</t>
        </is>
      </c>
      <c r="B71" s="1" t="n">
        <v>44968</v>
      </c>
      <c r="C71" s="1" t="n">
        <v>45941</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45941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45941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66091-2021</t>
        </is>
      </c>
      <c r="B74" s="1" t="n">
        <v>44517</v>
      </c>
      <c r="C74" s="1" t="n">
        <v>45941</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54055-2022</t>
        </is>
      </c>
      <c r="B75" s="1" t="n">
        <v>44881</v>
      </c>
      <c r="C75" s="1" t="n">
        <v>45941</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42936-2024</t>
        </is>
      </c>
      <c r="B76" s="1" t="n">
        <v>45567</v>
      </c>
      <c r="C76" s="1" t="n">
        <v>45941</v>
      </c>
      <c r="D76" t="inlineStr">
        <is>
          <t>GOTLANDS LÄN</t>
        </is>
      </c>
      <c r="E76" t="inlineStr">
        <is>
          <t>GOTLAND</t>
        </is>
      </c>
      <c r="G76" t="n">
        <v>3.4</v>
      </c>
      <c r="H76" t="n">
        <v>0</v>
      </c>
      <c r="I76" t="n">
        <v>3</v>
      </c>
      <c r="J76" t="n">
        <v>1</v>
      </c>
      <c r="K76" t="n">
        <v>1</v>
      </c>
      <c r="L76" t="n">
        <v>0</v>
      </c>
      <c r="M76" t="n">
        <v>0</v>
      </c>
      <c r="N76" t="n">
        <v>0</v>
      </c>
      <c r="O76" t="n">
        <v>2</v>
      </c>
      <c r="P76" t="n">
        <v>1</v>
      </c>
      <c r="Q76" t="n">
        <v>5</v>
      </c>
      <c r="R76" s="2" t="inlineStr">
        <is>
          <t>Vit taggsvamp
Äggspindling
Barrfagerspindling
Blå slemspindling
Svavelriska</t>
        </is>
      </c>
      <c r="S76">
        <f>HYPERLINK("https://klasma.github.io/Logging_0980/artfynd/A 42936-2024 artfynd.xlsx", "A 42936-2024")</f>
        <v/>
      </c>
      <c r="T76">
        <f>HYPERLINK("https://klasma.github.io/Logging_0980/kartor/A 42936-2024 karta.png", "A 42936-2024")</f>
        <v/>
      </c>
      <c r="V76">
        <f>HYPERLINK("https://klasma.github.io/Logging_0980/klagomål/A 42936-2024 FSC-klagomål.docx", "A 42936-2024")</f>
        <v/>
      </c>
      <c r="W76">
        <f>HYPERLINK("https://klasma.github.io/Logging_0980/klagomålsmail/A 42936-2024 FSC-klagomål mail.docx", "A 42936-2024")</f>
        <v/>
      </c>
      <c r="X76">
        <f>HYPERLINK("https://klasma.github.io/Logging_0980/tillsyn/A 42936-2024 tillsynsbegäran.docx", "A 42936-2024")</f>
        <v/>
      </c>
      <c r="Y76">
        <f>HYPERLINK("https://klasma.github.io/Logging_0980/tillsynsmail/A 42936-2024 tillsynsbegäran mail.docx", "A 42936-2024")</f>
        <v/>
      </c>
    </row>
    <row r="77" ht="15" customHeight="1">
      <c r="A77" t="inlineStr">
        <is>
          <t>A 35293-2025</t>
        </is>
      </c>
      <c r="B77" s="1" t="n">
        <v>45854.39438657407</v>
      </c>
      <c r="C77" s="1" t="n">
        <v>45941</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44944-2022</t>
        </is>
      </c>
      <c r="B78" s="1" t="n">
        <v>44841</v>
      </c>
      <c r="C78" s="1" t="n">
        <v>45941</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39425-2023</t>
        </is>
      </c>
      <c r="B79" s="1" t="n">
        <v>45166</v>
      </c>
      <c r="C79" s="1" t="n">
        <v>45941</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2213-2023</t>
        </is>
      </c>
      <c r="B80" s="1" t="n">
        <v>44942</v>
      </c>
      <c r="C80" s="1" t="n">
        <v>45941</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32326-2024</t>
        </is>
      </c>
      <c r="B81" s="1" t="n">
        <v>45512</v>
      </c>
      <c r="C81" s="1" t="n">
        <v>45941</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45941</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29331-2021</t>
        </is>
      </c>
      <c r="B83" s="1" t="n">
        <v>44361</v>
      </c>
      <c r="C83" s="1" t="n">
        <v>45941</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54523-2023</t>
        </is>
      </c>
      <c r="B84" s="1" t="n">
        <v>45233</v>
      </c>
      <c r="C84" s="1" t="n">
        <v>45941</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44933-2022</t>
        </is>
      </c>
      <c r="B85" s="1" t="n">
        <v>44841</v>
      </c>
      <c r="C85" s="1" t="n">
        <v>45941</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6159-2023</t>
        </is>
      </c>
      <c r="B86" s="1" t="n">
        <v>44964</v>
      </c>
      <c r="C86" s="1" t="n">
        <v>45941</v>
      </c>
      <c r="D86" t="inlineStr">
        <is>
          <t>GOTLANDS LÄN</t>
        </is>
      </c>
      <c r="E86" t="inlineStr">
        <is>
          <t>GOTLAND</t>
        </is>
      </c>
      <c r="G86" t="n">
        <v>2</v>
      </c>
      <c r="H86" t="n">
        <v>0</v>
      </c>
      <c r="I86" t="n">
        <v>2</v>
      </c>
      <c r="J86" t="n">
        <v>2</v>
      </c>
      <c r="K86" t="n">
        <v>0</v>
      </c>
      <c r="L86" t="n">
        <v>0</v>
      </c>
      <c r="M86" t="n">
        <v>0</v>
      </c>
      <c r="N86" t="n">
        <v>0</v>
      </c>
      <c r="O86" t="n">
        <v>2</v>
      </c>
      <c r="P86" t="n">
        <v>0</v>
      </c>
      <c r="Q86" t="n">
        <v>4</v>
      </c>
      <c r="R86" s="2" t="inlineStr">
        <is>
          <t>Dofttaggsvamp
Odörspindling
Anisspindling
Olivspindling</t>
        </is>
      </c>
      <c r="S86">
        <f>HYPERLINK("https://klasma.github.io/Logging_0980/artfynd/A 6159-2023 artfynd.xlsx", "A 6159-2023")</f>
        <v/>
      </c>
      <c r="T86">
        <f>HYPERLINK("https://klasma.github.io/Logging_0980/kartor/A 6159-2023 karta.png", "A 6159-2023")</f>
        <v/>
      </c>
      <c r="V86">
        <f>HYPERLINK("https://klasma.github.io/Logging_0980/klagomål/A 6159-2023 FSC-klagomål.docx", "A 6159-2023")</f>
        <v/>
      </c>
      <c r="W86">
        <f>HYPERLINK("https://klasma.github.io/Logging_0980/klagomålsmail/A 6159-2023 FSC-klagomål mail.docx", "A 6159-2023")</f>
        <v/>
      </c>
      <c r="X86">
        <f>HYPERLINK("https://klasma.github.io/Logging_0980/tillsyn/A 6159-2023 tillsynsbegäran.docx", "A 6159-2023")</f>
        <v/>
      </c>
      <c r="Y86">
        <f>HYPERLINK("https://klasma.github.io/Logging_0980/tillsynsmail/A 6159-2023 tillsynsbegäran mail.docx", "A 6159-2023")</f>
        <v/>
      </c>
    </row>
    <row r="87" ht="15" customHeight="1">
      <c r="A87" t="inlineStr">
        <is>
          <t>A 43197-2023</t>
        </is>
      </c>
      <c r="B87" s="1" t="n">
        <v>45183</v>
      </c>
      <c r="C87" s="1" t="n">
        <v>45941</v>
      </c>
      <c r="D87" t="inlineStr">
        <is>
          <t>GOTLANDS LÄN</t>
        </is>
      </c>
      <c r="E87" t="inlineStr">
        <is>
          <t>GOTLAND</t>
        </is>
      </c>
      <c r="G87" t="n">
        <v>3.7</v>
      </c>
      <c r="H87" t="n">
        <v>2</v>
      </c>
      <c r="I87" t="n">
        <v>1</v>
      </c>
      <c r="J87" t="n">
        <v>1</v>
      </c>
      <c r="K87" t="n">
        <v>1</v>
      </c>
      <c r="L87" t="n">
        <v>0</v>
      </c>
      <c r="M87" t="n">
        <v>0</v>
      </c>
      <c r="N87" t="n">
        <v>0</v>
      </c>
      <c r="O87" t="n">
        <v>2</v>
      </c>
      <c r="P87" t="n">
        <v>1</v>
      </c>
      <c r="Q87" t="n">
        <v>4</v>
      </c>
      <c r="R87" s="2" t="inlineStr">
        <is>
          <t>Allékantlav
Svinrot
Skogsknipprot
Revlummer</t>
        </is>
      </c>
      <c r="S87">
        <f>HYPERLINK("https://klasma.github.io/Logging_0980/artfynd/A 43197-2023 artfynd.xlsx", "A 43197-2023")</f>
        <v/>
      </c>
      <c r="T87">
        <f>HYPERLINK("https://klasma.github.io/Logging_0980/kartor/A 43197-2023 karta.png", "A 43197-2023")</f>
        <v/>
      </c>
      <c r="V87">
        <f>HYPERLINK("https://klasma.github.io/Logging_0980/klagomål/A 43197-2023 FSC-klagomål.docx", "A 43197-2023")</f>
        <v/>
      </c>
      <c r="W87">
        <f>HYPERLINK("https://klasma.github.io/Logging_0980/klagomålsmail/A 43197-2023 FSC-klagomål mail.docx", "A 43197-2023")</f>
        <v/>
      </c>
      <c r="X87">
        <f>HYPERLINK("https://klasma.github.io/Logging_0980/tillsyn/A 43197-2023 tillsynsbegäran.docx", "A 43197-2023")</f>
        <v/>
      </c>
      <c r="Y87">
        <f>HYPERLINK("https://klasma.github.io/Logging_0980/tillsynsmail/A 43197-2023 tillsynsbegäran mail.docx", "A 43197-2023")</f>
        <v/>
      </c>
    </row>
    <row r="88" ht="15" customHeight="1">
      <c r="A88" t="inlineStr">
        <is>
          <t>A 1971-2023</t>
        </is>
      </c>
      <c r="B88" s="1" t="n">
        <v>44939</v>
      </c>
      <c r="C88" s="1" t="n">
        <v>45941</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64378-2020</t>
        </is>
      </c>
      <c r="B89" s="1" t="n">
        <v>44168</v>
      </c>
      <c r="C89" s="1" t="n">
        <v>45941</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2485-2025</t>
        </is>
      </c>
      <c r="B90" s="1" t="n">
        <v>45673</v>
      </c>
      <c r="C90" s="1" t="n">
        <v>45941</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5904-2024</t>
        </is>
      </c>
      <c r="B91" s="1" t="n">
        <v>45335</v>
      </c>
      <c r="C91" s="1" t="n">
        <v>45941</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20833-2024</t>
        </is>
      </c>
      <c r="B92" s="1" t="n">
        <v>45439</v>
      </c>
      <c r="C92" s="1" t="n">
        <v>45941</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40099-2025</t>
        </is>
      </c>
      <c r="B93" s="1" t="n">
        <v>45894.48462962963</v>
      </c>
      <c r="C93" s="1" t="n">
        <v>45941</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8265-2023</t>
        </is>
      </c>
      <c r="B94" s="1" t="n">
        <v>44974</v>
      </c>
      <c r="C94" s="1" t="n">
        <v>45941</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186-2023</t>
        </is>
      </c>
      <c r="B95" s="1" t="n">
        <v>44928</v>
      </c>
      <c r="C95" s="1" t="n">
        <v>45941</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56717-2024</t>
        </is>
      </c>
      <c r="B96" s="1" t="n">
        <v>45628.3166550926</v>
      </c>
      <c r="C96" s="1" t="n">
        <v>45941</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55029-2020</t>
        </is>
      </c>
      <c r="B97" s="1" t="n">
        <v>44130</v>
      </c>
      <c r="C97" s="1" t="n">
        <v>45941</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45941</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45941</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45941</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45941</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32718-2021</t>
        </is>
      </c>
      <c r="B102" s="1" t="n">
        <v>44375</v>
      </c>
      <c r="C102" s="1" t="n">
        <v>45941</v>
      </c>
      <c r="D102" t="inlineStr">
        <is>
          <t>GOTLANDS LÄN</t>
        </is>
      </c>
      <c r="E102" t="inlineStr">
        <is>
          <t>GOTLAND</t>
        </is>
      </c>
      <c r="G102" t="n">
        <v>2.1</v>
      </c>
      <c r="H102" t="n">
        <v>0</v>
      </c>
      <c r="I102" t="n">
        <v>1</v>
      </c>
      <c r="J102" t="n">
        <v>1</v>
      </c>
      <c r="K102" t="n">
        <v>1</v>
      </c>
      <c r="L102" t="n">
        <v>0</v>
      </c>
      <c r="M102" t="n">
        <v>0</v>
      </c>
      <c r="N102" t="n">
        <v>0</v>
      </c>
      <c r="O102" t="n">
        <v>2</v>
      </c>
      <c r="P102" t="n">
        <v>1</v>
      </c>
      <c r="Q102" t="n">
        <v>3</v>
      </c>
      <c r="R102" s="2" t="inlineStr">
        <is>
          <t>Skogskorn
Skugglosta
Strävlosta</t>
        </is>
      </c>
      <c r="S102">
        <f>HYPERLINK("https://klasma.github.io/Logging_0980/artfynd/A 32718-2021 artfynd.xlsx", "A 32718-2021")</f>
        <v/>
      </c>
      <c r="T102">
        <f>HYPERLINK("https://klasma.github.io/Logging_0980/kartor/A 32718-2021 karta.png", "A 32718-2021")</f>
        <v/>
      </c>
      <c r="V102">
        <f>HYPERLINK("https://klasma.github.io/Logging_0980/klagomål/A 32718-2021 FSC-klagomål.docx", "A 32718-2021")</f>
        <v/>
      </c>
      <c r="W102">
        <f>HYPERLINK("https://klasma.github.io/Logging_0980/klagomålsmail/A 32718-2021 FSC-klagomål mail.docx", "A 32718-2021")</f>
        <v/>
      </c>
      <c r="X102">
        <f>HYPERLINK("https://klasma.github.io/Logging_0980/tillsyn/A 32718-2021 tillsynsbegäran.docx", "A 32718-2021")</f>
        <v/>
      </c>
      <c r="Y102">
        <f>HYPERLINK("https://klasma.github.io/Logging_0980/tillsynsmail/A 32718-2021 tillsynsbegäran mail.docx", "A 32718-2021")</f>
        <v/>
      </c>
    </row>
    <row r="103" ht="15" customHeight="1">
      <c r="A103" t="inlineStr">
        <is>
          <t>A 2332-2021</t>
        </is>
      </c>
      <c r="B103" s="1" t="n">
        <v>44214</v>
      </c>
      <c r="C103" s="1" t="n">
        <v>45941</v>
      </c>
      <c r="D103" t="inlineStr">
        <is>
          <t>GOTLANDS LÄN</t>
        </is>
      </c>
      <c r="E103" t="inlineStr">
        <is>
          <t>GOTLAND</t>
        </is>
      </c>
      <c r="G103" t="n">
        <v>2.3</v>
      </c>
      <c r="H103" t="n">
        <v>2</v>
      </c>
      <c r="I103" t="n">
        <v>0</v>
      </c>
      <c r="J103" t="n">
        <v>1</v>
      </c>
      <c r="K103" t="n">
        <v>0</v>
      </c>
      <c r="L103" t="n">
        <v>0</v>
      </c>
      <c r="M103" t="n">
        <v>0</v>
      </c>
      <c r="N103" t="n">
        <v>0</v>
      </c>
      <c r="O103" t="n">
        <v>1</v>
      </c>
      <c r="P103" t="n">
        <v>0</v>
      </c>
      <c r="Q103" t="n">
        <v>3</v>
      </c>
      <c r="R103" s="2" t="inlineStr">
        <is>
          <t>Korpnopping
Sankt pers nycklar
Blåsippa</t>
        </is>
      </c>
      <c r="S103">
        <f>HYPERLINK("https://klasma.github.io/Logging_0980/artfynd/A 2332-2021 artfynd.xlsx", "A 2332-2021")</f>
        <v/>
      </c>
      <c r="T103">
        <f>HYPERLINK("https://klasma.github.io/Logging_0980/kartor/A 2332-2021 karta.png", "A 2332-2021")</f>
        <v/>
      </c>
      <c r="V103">
        <f>HYPERLINK("https://klasma.github.io/Logging_0980/klagomål/A 2332-2021 FSC-klagomål.docx", "A 2332-2021")</f>
        <v/>
      </c>
      <c r="W103">
        <f>HYPERLINK("https://klasma.github.io/Logging_0980/klagomålsmail/A 2332-2021 FSC-klagomål mail.docx", "A 2332-2021")</f>
        <v/>
      </c>
      <c r="X103">
        <f>HYPERLINK("https://klasma.github.io/Logging_0980/tillsyn/A 2332-2021 tillsynsbegäran.docx", "A 2332-2021")</f>
        <v/>
      </c>
      <c r="Y103">
        <f>HYPERLINK("https://klasma.github.io/Logging_0980/tillsynsmail/A 2332-2021 tillsynsbegäran mail.docx", "A 2332-2021")</f>
        <v/>
      </c>
    </row>
    <row r="104" ht="15" customHeight="1">
      <c r="A104" t="inlineStr">
        <is>
          <t>A 17982-2023</t>
        </is>
      </c>
      <c r="B104" s="1" t="n">
        <v>45040</v>
      </c>
      <c r="C104" s="1" t="n">
        <v>45941</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17975-2024</t>
        </is>
      </c>
      <c r="B105" s="1" t="n">
        <v>45419.85546296297</v>
      </c>
      <c r="C105" s="1" t="n">
        <v>45941</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48126-2022</t>
        </is>
      </c>
      <c r="B106" s="1" t="n">
        <v>44857</v>
      </c>
      <c r="C106" s="1" t="n">
        <v>45941</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13499-2022</t>
        </is>
      </c>
      <c r="B107" s="1" t="n">
        <v>44647.79203703703</v>
      </c>
      <c r="C107" s="1" t="n">
        <v>45941</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30490-2025</t>
        </is>
      </c>
      <c r="B108" s="1" t="n">
        <v>45830</v>
      </c>
      <c r="C108" s="1" t="n">
        <v>45941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45941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12315-2024</t>
        </is>
      </c>
      <c r="B110" s="1" t="n">
        <v>45378.6434837963</v>
      </c>
      <c r="C110" s="1" t="n">
        <v>45941</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20831-2024</t>
        </is>
      </c>
      <c r="B111" s="1" t="n">
        <v>45439</v>
      </c>
      <c r="C111" s="1" t="n">
        <v>45941</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49709-2025</t>
        </is>
      </c>
      <c r="B112" s="1" t="n">
        <v>45939.68228009259</v>
      </c>
      <c r="C112" s="1" t="n">
        <v>45941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43013-2022</t>
        </is>
      </c>
      <c r="B113" s="1" t="n">
        <v>44833</v>
      </c>
      <c r="C113" s="1" t="n">
        <v>45941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62326-2020</t>
        </is>
      </c>
      <c r="B114" s="1" t="n">
        <v>44160</v>
      </c>
      <c r="C114" s="1" t="n">
        <v>45941</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5235-2025</t>
        </is>
      </c>
      <c r="B115" s="1" t="n">
        <v>45692.26797453704</v>
      </c>
      <c r="C115" s="1" t="n">
        <v>45941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45941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73144-2021</t>
        </is>
      </c>
      <c r="B117" s="1" t="n">
        <v>44550</v>
      </c>
      <c r="C117" s="1" t="n">
        <v>45941</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29870-2021</t>
        </is>
      </c>
      <c r="B118" s="1" t="n">
        <v>44362</v>
      </c>
      <c r="C118" s="1" t="n">
        <v>45941</v>
      </c>
      <c r="D118" t="inlineStr">
        <is>
          <t>GOTLANDS LÄN</t>
        </is>
      </c>
      <c r="E118" t="inlineStr">
        <is>
          <t>GOTLAND</t>
        </is>
      </c>
      <c r="G118" t="n">
        <v>2.4</v>
      </c>
      <c r="H118" t="n">
        <v>0</v>
      </c>
      <c r="I118" t="n">
        <v>1</v>
      </c>
      <c r="J118" t="n">
        <v>0</v>
      </c>
      <c r="K118" t="n">
        <v>1</v>
      </c>
      <c r="L118" t="n">
        <v>0</v>
      </c>
      <c r="M118" t="n">
        <v>0</v>
      </c>
      <c r="N118" t="n">
        <v>0</v>
      </c>
      <c r="O118" t="n">
        <v>1</v>
      </c>
      <c r="P118" t="n">
        <v>1</v>
      </c>
      <c r="Q118" t="n">
        <v>2</v>
      </c>
      <c r="R118" s="2" t="inlineStr">
        <is>
          <t>Blåfotad fagerspindling
Olivspindling</t>
        </is>
      </c>
      <c r="S118">
        <f>HYPERLINK("https://klasma.github.io/Logging_0980/artfynd/A 29870-2021 artfynd.xlsx", "A 29870-2021")</f>
        <v/>
      </c>
      <c r="T118">
        <f>HYPERLINK("https://klasma.github.io/Logging_0980/kartor/A 29870-2021 karta.png", "A 29870-2021")</f>
        <v/>
      </c>
      <c r="V118">
        <f>HYPERLINK("https://klasma.github.io/Logging_0980/klagomål/A 29870-2021 FSC-klagomål.docx", "A 29870-2021")</f>
        <v/>
      </c>
      <c r="W118">
        <f>HYPERLINK("https://klasma.github.io/Logging_0980/klagomålsmail/A 29870-2021 FSC-klagomål mail.docx", "A 29870-2021")</f>
        <v/>
      </c>
      <c r="X118">
        <f>HYPERLINK("https://klasma.github.io/Logging_0980/tillsyn/A 29870-2021 tillsynsbegäran.docx", "A 29870-2021")</f>
        <v/>
      </c>
      <c r="Y118">
        <f>HYPERLINK("https://klasma.github.io/Logging_0980/tillsynsmail/A 29870-2021 tillsynsbegäran mail.docx", "A 29870-2021")</f>
        <v/>
      </c>
    </row>
    <row r="119" ht="15" customHeight="1">
      <c r="A119" t="inlineStr">
        <is>
          <t>A 26857-2021</t>
        </is>
      </c>
      <c r="B119" s="1" t="n">
        <v>44349.60091435185</v>
      </c>
      <c r="C119" s="1" t="n">
        <v>45941</v>
      </c>
      <c r="D119" t="inlineStr">
        <is>
          <t>GOTLANDS LÄN</t>
        </is>
      </c>
      <c r="E119" t="inlineStr">
        <is>
          <t>GOTLAND</t>
        </is>
      </c>
      <c r="G119" t="n">
        <v>1.9</v>
      </c>
      <c r="H119" t="n">
        <v>0</v>
      </c>
      <c r="I119" t="n">
        <v>0</v>
      </c>
      <c r="J119" t="n">
        <v>2</v>
      </c>
      <c r="K119" t="n">
        <v>0</v>
      </c>
      <c r="L119" t="n">
        <v>0</v>
      </c>
      <c r="M119" t="n">
        <v>0</v>
      </c>
      <c r="N119" t="n">
        <v>0</v>
      </c>
      <c r="O119" t="n">
        <v>2</v>
      </c>
      <c r="P119" t="n">
        <v>0</v>
      </c>
      <c r="Q119" t="n">
        <v>2</v>
      </c>
      <c r="R119" s="2" t="inlineStr">
        <is>
          <t>Jordtistel
Solvända</t>
        </is>
      </c>
      <c r="S119">
        <f>HYPERLINK("https://klasma.github.io/Logging_0980/artfynd/A 26857-2021 artfynd.xlsx", "A 26857-2021")</f>
        <v/>
      </c>
      <c r="T119">
        <f>HYPERLINK("https://klasma.github.io/Logging_0980/kartor/A 26857-2021 karta.png", "A 26857-2021")</f>
        <v/>
      </c>
      <c r="V119">
        <f>HYPERLINK("https://klasma.github.io/Logging_0980/klagomål/A 26857-2021 FSC-klagomål.docx", "A 26857-2021")</f>
        <v/>
      </c>
      <c r="W119">
        <f>HYPERLINK("https://klasma.github.io/Logging_0980/klagomålsmail/A 26857-2021 FSC-klagomål mail.docx", "A 26857-2021")</f>
        <v/>
      </c>
      <c r="X119">
        <f>HYPERLINK("https://klasma.github.io/Logging_0980/tillsyn/A 26857-2021 tillsynsbegäran.docx", "A 26857-2021")</f>
        <v/>
      </c>
      <c r="Y119">
        <f>HYPERLINK("https://klasma.github.io/Logging_0980/tillsynsmail/A 26857-2021 tillsynsbegäran mail.docx", "A 26857-2021")</f>
        <v/>
      </c>
    </row>
    <row r="120" ht="15" customHeight="1">
      <c r="A120" t="inlineStr">
        <is>
          <t>A 51737-2021</t>
        </is>
      </c>
      <c r="B120" s="1" t="n">
        <v>44462.57368055556</v>
      </c>
      <c r="C120" s="1" t="n">
        <v>45941</v>
      </c>
      <c r="D120" t="inlineStr">
        <is>
          <t>GOTLANDS LÄN</t>
        </is>
      </c>
      <c r="E120" t="inlineStr">
        <is>
          <t>GOTLAND</t>
        </is>
      </c>
      <c r="G120" t="n">
        <v>8.6</v>
      </c>
      <c r="H120" t="n">
        <v>0</v>
      </c>
      <c r="I120" t="n">
        <v>1</v>
      </c>
      <c r="J120" t="n">
        <v>1</v>
      </c>
      <c r="K120" t="n">
        <v>0</v>
      </c>
      <c r="L120" t="n">
        <v>0</v>
      </c>
      <c r="M120" t="n">
        <v>0</v>
      </c>
      <c r="N120" t="n">
        <v>0</v>
      </c>
      <c r="O120" t="n">
        <v>1</v>
      </c>
      <c r="P120" t="n">
        <v>0</v>
      </c>
      <c r="Q120" t="n">
        <v>2</v>
      </c>
      <c r="R120" s="2" t="inlineStr">
        <is>
          <t>Igelkott
Kambräken</t>
        </is>
      </c>
      <c r="S120">
        <f>HYPERLINK("https://klasma.github.io/Logging_0980/artfynd/A 51737-2021 artfynd.xlsx", "A 51737-2021")</f>
        <v/>
      </c>
      <c r="T120">
        <f>HYPERLINK("https://klasma.github.io/Logging_0980/kartor/A 51737-2021 karta.png", "A 51737-2021")</f>
        <v/>
      </c>
      <c r="V120">
        <f>HYPERLINK("https://klasma.github.io/Logging_0980/klagomål/A 51737-2021 FSC-klagomål.docx", "A 51737-2021")</f>
        <v/>
      </c>
      <c r="W120">
        <f>HYPERLINK("https://klasma.github.io/Logging_0980/klagomålsmail/A 51737-2021 FSC-klagomål mail.docx", "A 51737-2021")</f>
        <v/>
      </c>
      <c r="X120">
        <f>HYPERLINK("https://klasma.github.io/Logging_0980/tillsyn/A 51737-2021 tillsynsbegäran.docx", "A 51737-2021")</f>
        <v/>
      </c>
      <c r="Y120">
        <f>HYPERLINK("https://klasma.github.io/Logging_0980/tillsynsmail/A 51737-2021 tillsynsbegäran mail.docx", "A 51737-2021")</f>
        <v/>
      </c>
    </row>
    <row r="121" ht="15" customHeight="1">
      <c r="A121" t="inlineStr">
        <is>
          <t>A 16429-2021</t>
        </is>
      </c>
      <c r="B121" s="1" t="n">
        <v>44293</v>
      </c>
      <c r="C121" s="1" t="n">
        <v>45941</v>
      </c>
      <c r="D121" t="inlineStr">
        <is>
          <t>GOTLANDS LÄN</t>
        </is>
      </c>
      <c r="E121" t="inlineStr">
        <is>
          <t>GOTLAND</t>
        </is>
      </c>
      <c r="G121" t="n">
        <v>3.4</v>
      </c>
      <c r="H121" t="n">
        <v>0</v>
      </c>
      <c r="I121" t="n">
        <v>0</v>
      </c>
      <c r="J121" t="n">
        <v>1</v>
      </c>
      <c r="K121" t="n">
        <v>1</v>
      </c>
      <c r="L121" t="n">
        <v>0</v>
      </c>
      <c r="M121" t="n">
        <v>0</v>
      </c>
      <c r="N121" t="n">
        <v>0</v>
      </c>
      <c r="O121" t="n">
        <v>2</v>
      </c>
      <c r="P121" t="n">
        <v>1</v>
      </c>
      <c r="Q121" t="n">
        <v>2</v>
      </c>
      <c r="R121" s="2" t="inlineStr">
        <is>
          <t>Gotlandsmåra
Barrviolspindling</t>
        </is>
      </c>
      <c r="S121">
        <f>HYPERLINK("https://klasma.github.io/Logging_0980/artfynd/A 16429-2021 artfynd.xlsx", "A 16429-2021")</f>
        <v/>
      </c>
      <c r="T121">
        <f>HYPERLINK("https://klasma.github.io/Logging_0980/kartor/A 16429-2021 karta.png", "A 16429-2021")</f>
        <v/>
      </c>
      <c r="V121">
        <f>HYPERLINK("https://klasma.github.io/Logging_0980/klagomål/A 16429-2021 FSC-klagomål.docx", "A 16429-2021")</f>
        <v/>
      </c>
      <c r="W121">
        <f>HYPERLINK("https://klasma.github.io/Logging_0980/klagomålsmail/A 16429-2021 FSC-klagomål mail.docx", "A 16429-2021")</f>
        <v/>
      </c>
      <c r="X121">
        <f>HYPERLINK("https://klasma.github.io/Logging_0980/tillsyn/A 16429-2021 tillsynsbegäran.docx", "A 16429-2021")</f>
        <v/>
      </c>
      <c r="Y121">
        <f>HYPERLINK("https://klasma.github.io/Logging_0980/tillsynsmail/A 16429-2021 tillsynsbegäran mail.docx", "A 16429-2021")</f>
        <v/>
      </c>
    </row>
    <row r="122" ht="15" customHeight="1">
      <c r="A122" t="inlineStr">
        <is>
          <t>A 9930-2021</t>
        </is>
      </c>
      <c r="B122" s="1" t="n">
        <v>44252</v>
      </c>
      <c r="C122" s="1" t="n">
        <v>45941</v>
      </c>
      <c r="D122" t="inlineStr">
        <is>
          <t>GOTLANDS LÄN</t>
        </is>
      </c>
      <c r="E122" t="inlineStr">
        <is>
          <t>GOTLAND</t>
        </is>
      </c>
      <c r="G122" t="n">
        <v>1.9</v>
      </c>
      <c r="H122" t="n">
        <v>0</v>
      </c>
      <c r="I122" t="n">
        <v>0</v>
      </c>
      <c r="J122" t="n">
        <v>0</v>
      </c>
      <c r="K122" t="n">
        <v>0</v>
      </c>
      <c r="L122" t="n">
        <v>1</v>
      </c>
      <c r="M122" t="n">
        <v>1</v>
      </c>
      <c r="N122" t="n">
        <v>0</v>
      </c>
      <c r="O122" t="n">
        <v>2</v>
      </c>
      <c r="P122" t="n">
        <v>2</v>
      </c>
      <c r="Q122" t="n">
        <v>2</v>
      </c>
      <c r="R122" s="2" t="inlineStr">
        <is>
          <t>Lundalm
Ask</t>
        </is>
      </c>
      <c r="S122">
        <f>HYPERLINK("https://klasma.github.io/Logging_0980/artfynd/A 9930-2021 artfynd.xlsx", "A 9930-2021")</f>
        <v/>
      </c>
      <c r="T122">
        <f>HYPERLINK("https://klasma.github.io/Logging_0980/kartor/A 9930-2021 karta.png", "A 9930-2021")</f>
        <v/>
      </c>
      <c r="V122">
        <f>HYPERLINK("https://klasma.github.io/Logging_0980/klagomål/A 9930-2021 FSC-klagomål.docx", "A 9930-2021")</f>
        <v/>
      </c>
      <c r="W122">
        <f>HYPERLINK("https://klasma.github.io/Logging_0980/klagomålsmail/A 9930-2021 FSC-klagomål mail.docx", "A 9930-2021")</f>
        <v/>
      </c>
      <c r="X122">
        <f>HYPERLINK("https://klasma.github.io/Logging_0980/tillsyn/A 9930-2021 tillsynsbegäran.docx", "A 9930-2021")</f>
        <v/>
      </c>
      <c r="Y122">
        <f>HYPERLINK("https://klasma.github.io/Logging_0980/tillsynsmail/A 9930-2021 tillsynsbegäran mail.docx", "A 9930-2021")</f>
        <v/>
      </c>
    </row>
    <row r="123" ht="15" customHeight="1">
      <c r="A123" t="inlineStr">
        <is>
          <t>A 60665-2021</t>
        </is>
      </c>
      <c r="B123" s="1" t="n">
        <v>44496</v>
      </c>
      <c r="C123" s="1" t="n">
        <v>45941</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45941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45941</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54357-2024</t>
        </is>
      </c>
      <c r="B126" s="1" t="n">
        <v>45617.40662037037</v>
      </c>
      <c r="C126" s="1" t="n">
        <v>45941</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58701-2020</t>
        </is>
      </c>
      <c r="B127" s="1" t="n">
        <v>44146</v>
      </c>
      <c r="C127" s="1" t="n">
        <v>45941</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7070-2022</t>
        </is>
      </c>
      <c r="B128" s="1" t="n">
        <v>44603</v>
      </c>
      <c r="C128" s="1" t="n">
        <v>45941</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43219-2023</t>
        </is>
      </c>
      <c r="B129" s="1" t="n">
        <v>45183</v>
      </c>
      <c r="C129" s="1" t="n">
        <v>45941</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12914-2025</t>
        </is>
      </c>
      <c r="B130" s="1" t="n">
        <v>45733</v>
      </c>
      <c r="C130" s="1" t="n">
        <v>45941</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28261-2024</t>
        </is>
      </c>
      <c r="B131" s="1" t="n">
        <v>45477</v>
      </c>
      <c r="C131" s="1" t="n">
        <v>45941</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45941</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20838-2024</t>
        </is>
      </c>
      <c r="B133" s="1" t="n">
        <v>45439</v>
      </c>
      <c r="C133" s="1" t="n">
        <v>45941</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64263-2020</t>
        </is>
      </c>
      <c r="B134" s="1" t="n">
        <v>44168</v>
      </c>
      <c r="C134" s="1" t="n">
        <v>45941</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13627-2023</t>
        </is>
      </c>
      <c r="B135" s="1" t="n">
        <v>45006</v>
      </c>
      <c r="C135" s="1" t="n">
        <v>45941</v>
      </c>
      <c r="D135" t="inlineStr">
        <is>
          <t>GOTLANDS LÄN</t>
        </is>
      </c>
      <c r="E135" t="inlineStr">
        <is>
          <t>GOTLAND</t>
        </is>
      </c>
      <c r="G135" t="n">
        <v>10.7</v>
      </c>
      <c r="H135" t="n">
        <v>0</v>
      </c>
      <c r="I135" t="n">
        <v>0</v>
      </c>
      <c r="J135" t="n">
        <v>1</v>
      </c>
      <c r="K135" t="n">
        <v>1</v>
      </c>
      <c r="L135" t="n">
        <v>0</v>
      </c>
      <c r="M135" t="n">
        <v>0</v>
      </c>
      <c r="N135" t="n">
        <v>0</v>
      </c>
      <c r="O135" t="n">
        <v>2</v>
      </c>
      <c r="P135" t="n">
        <v>1</v>
      </c>
      <c r="Q135" t="n">
        <v>2</v>
      </c>
      <c r="R135" s="2" t="inlineStr">
        <is>
          <t>Sammetsbockrot
Igelkott</t>
        </is>
      </c>
      <c r="S135">
        <f>HYPERLINK("https://klasma.github.io/Logging_0980/artfynd/A 13627-2023 artfynd.xlsx", "A 13627-2023")</f>
        <v/>
      </c>
      <c r="T135">
        <f>HYPERLINK("https://klasma.github.io/Logging_0980/kartor/A 13627-2023 karta.png", "A 13627-2023")</f>
        <v/>
      </c>
      <c r="V135">
        <f>HYPERLINK("https://klasma.github.io/Logging_0980/klagomål/A 13627-2023 FSC-klagomål.docx", "A 13627-2023")</f>
        <v/>
      </c>
      <c r="W135">
        <f>HYPERLINK("https://klasma.github.io/Logging_0980/klagomålsmail/A 13627-2023 FSC-klagomål mail.docx", "A 13627-2023")</f>
        <v/>
      </c>
      <c r="X135">
        <f>HYPERLINK("https://klasma.github.io/Logging_0980/tillsyn/A 13627-2023 tillsynsbegäran.docx", "A 13627-2023")</f>
        <v/>
      </c>
      <c r="Y135">
        <f>HYPERLINK("https://klasma.github.io/Logging_0980/tillsynsmail/A 13627-2023 tillsynsbegäran mail.docx", "A 13627-2023")</f>
        <v/>
      </c>
    </row>
    <row r="136" ht="15" customHeight="1">
      <c r="A136" t="inlineStr">
        <is>
          <t>A 28276-2024</t>
        </is>
      </c>
      <c r="B136" s="1" t="n">
        <v>45477</v>
      </c>
      <c r="C136" s="1" t="n">
        <v>45941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45941</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45941</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45941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45941</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45941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45941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1477-2024</t>
        </is>
      </c>
      <c r="B143" s="1" t="n">
        <v>45305.37987268518</v>
      </c>
      <c r="C143" s="1" t="n">
        <v>45941</v>
      </c>
      <c r="D143" t="inlineStr">
        <is>
          <t>GOTLANDS LÄN</t>
        </is>
      </c>
      <c r="E143" t="inlineStr">
        <is>
          <t>GOTLAND</t>
        </is>
      </c>
      <c r="G143" t="n">
        <v>6.9</v>
      </c>
      <c r="H143" t="n">
        <v>0</v>
      </c>
      <c r="I143" t="n">
        <v>0</v>
      </c>
      <c r="J143" t="n">
        <v>1</v>
      </c>
      <c r="K143" t="n">
        <v>0</v>
      </c>
      <c r="L143" t="n">
        <v>0</v>
      </c>
      <c r="M143" t="n">
        <v>0</v>
      </c>
      <c r="N143" t="n">
        <v>0</v>
      </c>
      <c r="O143" t="n">
        <v>1</v>
      </c>
      <c r="P143" t="n">
        <v>0</v>
      </c>
      <c r="Q143" t="n">
        <v>1</v>
      </c>
      <c r="R143" s="2" t="inlineStr">
        <is>
          <t>Igelkott</t>
        </is>
      </c>
      <c r="S143">
        <f>HYPERLINK("https://klasma.github.io/Logging_0980/artfynd/A 1477-2024 artfynd.xlsx", "A 1477-2024")</f>
        <v/>
      </c>
      <c r="T143">
        <f>HYPERLINK("https://klasma.github.io/Logging_0980/kartor/A 1477-2024 karta.png", "A 1477-2024")</f>
        <v/>
      </c>
      <c r="V143">
        <f>HYPERLINK("https://klasma.github.io/Logging_0980/klagomål/A 1477-2024 FSC-klagomål.docx", "A 1477-2024")</f>
        <v/>
      </c>
      <c r="W143">
        <f>HYPERLINK("https://klasma.github.io/Logging_0980/klagomålsmail/A 1477-2024 FSC-klagomål mail.docx", "A 1477-2024")</f>
        <v/>
      </c>
      <c r="X143">
        <f>HYPERLINK("https://klasma.github.io/Logging_0980/tillsyn/A 1477-2024 tillsynsbegäran.docx", "A 1477-2024")</f>
        <v/>
      </c>
      <c r="Y143">
        <f>HYPERLINK("https://klasma.github.io/Logging_0980/tillsynsmail/A 1477-2024 tillsynsbegäran mail.docx", "A 1477-2024")</f>
        <v/>
      </c>
    </row>
    <row r="144" ht="15" customHeight="1">
      <c r="A144" t="inlineStr">
        <is>
          <t>A 35574-2024</t>
        </is>
      </c>
      <c r="B144" s="1" t="n">
        <v>45531</v>
      </c>
      <c r="C144" s="1" t="n">
        <v>45941</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7637-2025</t>
        </is>
      </c>
      <c r="B145" s="1" t="n">
        <v>45705.77181712963</v>
      </c>
      <c r="C145" s="1" t="n">
        <v>45941</v>
      </c>
      <c r="D145" t="inlineStr">
        <is>
          <t>GOTLANDS LÄN</t>
        </is>
      </c>
      <c r="E145" t="inlineStr">
        <is>
          <t>GOTLAND</t>
        </is>
      </c>
      <c r="G145" t="n">
        <v>3.7</v>
      </c>
      <c r="H145" t="n">
        <v>0</v>
      </c>
      <c r="I145" t="n">
        <v>0</v>
      </c>
      <c r="J145" t="n">
        <v>0</v>
      </c>
      <c r="K145" t="n">
        <v>0</v>
      </c>
      <c r="L145" t="n">
        <v>0</v>
      </c>
      <c r="M145" t="n">
        <v>1</v>
      </c>
      <c r="N145" t="n">
        <v>0</v>
      </c>
      <c r="O145" t="n">
        <v>1</v>
      </c>
      <c r="P145" t="n">
        <v>1</v>
      </c>
      <c r="Q145" t="n">
        <v>1</v>
      </c>
      <c r="R145" s="2" t="inlineStr">
        <is>
          <t>Skogsalm</t>
        </is>
      </c>
      <c r="S145">
        <f>HYPERLINK("https://klasma.github.io/Logging_0980/artfynd/A 7637-2025 artfynd.xlsx", "A 7637-2025")</f>
        <v/>
      </c>
      <c r="T145">
        <f>HYPERLINK("https://klasma.github.io/Logging_0980/kartor/A 7637-2025 karta.png", "A 7637-2025")</f>
        <v/>
      </c>
      <c r="V145">
        <f>HYPERLINK("https://klasma.github.io/Logging_0980/klagomål/A 7637-2025 FSC-klagomål.docx", "A 7637-2025")</f>
        <v/>
      </c>
      <c r="W145">
        <f>HYPERLINK("https://klasma.github.io/Logging_0980/klagomålsmail/A 7637-2025 FSC-klagomål mail.docx", "A 7637-2025")</f>
        <v/>
      </c>
      <c r="X145">
        <f>HYPERLINK("https://klasma.github.io/Logging_0980/tillsyn/A 7637-2025 tillsynsbegäran.docx", "A 7637-2025")</f>
        <v/>
      </c>
      <c r="Y145">
        <f>HYPERLINK("https://klasma.github.io/Logging_0980/tillsynsmail/A 7637-2025 tillsynsbegäran mail.docx", "A 7637-2025")</f>
        <v/>
      </c>
    </row>
    <row r="146" ht="15" customHeight="1">
      <c r="A146" t="inlineStr">
        <is>
          <t>A 10218-2025</t>
        </is>
      </c>
      <c r="B146" s="1" t="n">
        <v>45720</v>
      </c>
      <c r="C146" s="1" t="n">
        <v>45941</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26461-2025</t>
        </is>
      </c>
      <c r="B147" s="1" t="n">
        <v>45807.43337962963</v>
      </c>
      <c r="C147" s="1" t="n">
        <v>45941</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25977-2024</t>
        </is>
      </c>
      <c r="B148" s="1" t="n">
        <v>45467.69356481481</v>
      </c>
      <c r="C148" s="1" t="n">
        <v>45941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12379-2024</t>
        </is>
      </c>
      <c r="B149" s="1" t="n">
        <v>45379.28155092592</v>
      </c>
      <c r="C149" s="1" t="n">
        <v>45941</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17723-2021</t>
        </is>
      </c>
      <c r="B150" s="1" t="n">
        <v>44300</v>
      </c>
      <c r="C150" s="1" t="n">
        <v>45941</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65927-2021</t>
        </is>
      </c>
      <c r="B151" s="1" t="n">
        <v>44516</v>
      </c>
      <c r="C151" s="1" t="n">
        <v>45941</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6303-2024</t>
        </is>
      </c>
      <c r="B152" s="1" t="n">
        <v>45338.35376157407</v>
      </c>
      <c r="C152" s="1" t="n">
        <v>45941</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61796-2022</t>
        </is>
      </c>
      <c r="B153" s="1" t="n">
        <v>44917</v>
      </c>
      <c r="C153" s="1" t="n">
        <v>45941</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34141-2024</t>
        </is>
      </c>
      <c r="B154" s="1" t="n">
        <v>45524.36229166666</v>
      </c>
      <c r="C154" s="1" t="n">
        <v>45941</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9862-2024</t>
        </is>
      </c>
      <c r="B155" s="1" t="n">
        <v>45363</v>
      </c>
      <c r="C155" s="1" t="n">
        <v>45941</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34809-2024</t>
        </is>
      </c>
      <c r="B156" s="1" t="n">
        <v>45526</v>
      </c>
      <c r="C156" s="1" t="n">
        <v>45941</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15637-2024</t>
        </is>
      </c>
      <c r="B157" s="1" t="n">
        <v>45403.6684837963</v>
      </c>
      <c r="C157" s="1" t="n">
        <v>45941</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20429-2025</t>
        </is>
      </c>
      <c r="B158" s="1" t="n">
        <v>45775.47728009259</v>
      </c>
      <c r="C158" s="1" t="n">
        <v>45941</v>
      </c>
      <c r="D158" t="inlineStr">
        <is>
          <t>GOTLANDS LÄN</t>
        </is>
      </c>
      <c r="E158" t="inlineStr">
        <is>
          <t>GOTLAND</t>
        </is>
      </c>
      <c r="G158" t="n">
        <v>1.4</v>
      </c>
      <c r="H158" t="n">
        <v>1</v>
      </c>
      <c r="I158" t="n">
        <v>0</v>
      </c>
      <c r="J158" t="n">
        <v>0</v>
      </c>
      <c r="K158" t="n">
        <v>0</v>
      </c>
      <c r="L158" t="n">
        <v>0</v>
      </c>
      <c r="M158" t="n">
        <v>0</v>
      </c>
      <c r="N158" t="n">
        <v>0</v>
      </c>
      <c r="O158" t="n">
        <v>0</v>
      </c>
      <c r="P158" t="n">
        <v>0</v>
      </c>
      <c r="Q158" t="n">
        <v>1</v>
      </c>
      <c r="R158" s="2" t="inlineStr">
        <is>
          <t>Äkta lopplummer</t>
        </is>
      </c>
      <c r="S158">
        <f>HYPERLINK("https://klasma.github.io/Logging_0980/artfynd/A 20429-2025 artfynd.xlsx", "A 20429-2025")</f>
        <v/>
      </c>
      <c r="T158">
        <f>HYPERLINK("https://klasma.github.io/Logging_0980/kartor/A 20429-2025 karta.png", "A 20429-2025")</f>
        <v/>
      </c>
      <c r="V158">
        <f>HYPERLINK("https://klasma.github.io/Logging_0980/klagomål/A 20429-2025 FSC-klagomål.docx", "A 20429-2025")</f>
        <v/>
      </c>
      <c r="W158">
        <f>HYPERLINK("https://klasma.github.io/Logging_0980/klagomålsmail/A 20429-2025 FSC-klagomål mail.docx", "A 20429-2025")</f>
        <v/>
      </c>
      <c r="X158">
        <f>HYPERLINK("https://klasma.github.io/Logging_0980/tillsyn/A 20429-2025 tillsynsbegäran.docx", "A 20429-2025")</f>
        <v/>
      </c>
      <c r="Y158">
        <f>HYPERLINK("https://klasma.github.io/Logging_0980/tillsynsmail/A 20429-2025 tillsynsbegäran mail.docx", "A 20429-2025")</f>
        <v/>
      </c>
    </row>
    <row r="159" ht="15" customHeight="1">
      <c r="A159" t="inlineStr">
        <is>
          <t>A 2476-2025</t>
        </is>
      </c>
      <c r="B159" s="1" t="n">
        <v>45673</v>
      </c>
      <c r="C159" s="1" t="n">
        <v>45941</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61561-2023</t>
        </is>
      </c>
      <c r="B160" s="1" t="n">
        <v>45265</v>
      </c>
      <c r="C160" s="1" t="n">
        <v>45941</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45941</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39812-2025</t>
        </is>
      </c>
      <c r="B162" s="1" t="n">
        <v>45891</v>
      </c>
      <c r="C162" s="1" t="n">
        <v>45941</v>
      </c>
      <c r="D162" t="inlineStr">
        <is>
          <t>GOTLANDS LÄN</t>
        </is>
      </c>
      <c r="E162" t="inlineStr">
        <is>
          <t>GOTLAND</t>
        </is>
      </c>
      <c r="G162" t="n">
        <v>6</v>
      </c>
      <c r="H162" t="n">
        <v>1</v>
      </c>
      <c r="I162" t="n">
        <v>0</v>
      </c>
      <c r="J162" t="n">
        <v>0</v>
      </c>
      <c r="K162" t="n">
        <v>0</v>
      </c>
      <c r="L162" t="n">
        <v>1</v>
      </c>
      <c r="M162" t="n">
        <v>0</v>
      </c>
      <c r="N162" t="n">
        <v>0</v>
      </c>
      <c r="O162" t="n">
        <v>1</v>
      </c>
      <c r="P162" t="n">
        <v>1</v>
      </c>
      <c r="Q162" t="n">
        <v>1</v>
      </c>
      <c r="R162" s="2" t="inlineStr">
        <is>
          <t>Nålkörvel</t>
        </is>
      </c>
      <c r="S162">
        <f>HYPERLINK("https://klasma.github.io/Logging_0980/artfynd/A 39812-2025 artfynd.xlsx", "A 39812-2025")</f>
        <v/>
      </c>
      <c r="T162">
        <f>HYPERLINK("https://klasma.github.io/Logging_0980/kartor/A 39812-2025 karta.png", "A 39812-2025")</f>
        <v/>
      </c>
      <c r="V162">
        <f>HYPERLINK("https://klasma.github.io/Logging_0980/klagomål/A 39812-2025 FSC-klagomål.docx", "A 39812-2025")</f>
        <v/>
      </c>
      <c r="W162">
        <f>HYPERLINK("https://klasma.github.io/Logging_0980/klagomålsmail/A 39812-2025 FSC-klagomål mail.docx", "A 39812-2025")</f>
        <v/>
      </c>
      <c r="X162">
        <f>HYPERLINK("https://klasma.github.io/Logging_0980/tillsyn/A 39812-2025 tillsynsbegäran.docx", "A 39812-2025")</f>
        <v/>
      </c>
      <c r="Y162">
        <f>HYPERLINK("https://klasma.github.io/Logging_0980/tillsynsmail/A 39812-2025 tillsynsbegäran mail.docx", "A 39812-2025")</f>
        <v/>
      </c>
    </row>
    <row r="163" ht="15" customHeight="1">
      <c r="A163" t="inlineStr">
        <is>
          <t>A 10995-2023</t>
        </is>
      </c>
      <c r="B163" s="1" t="n">
        <v>44986</v>
      </c>
      <c r="C163" s="1" t="n">
        <v>45941</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49726-2025</t>
        </is>
      </c>
      <c r="B164" s="1" t="n">
        <v>45939.84466435185</v>
      </c>
      <c r="C164" s="1" t="n">
        <v>45941</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12924-2025</t>
        </is>
      </c>
      <c r="B165" s="1" t="n">
        <v>45734</v>
      </c>
      <c r="C165" s="1" t="n">
        <v>45941</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62552-2022</t>
        </is>
      </c>
      <c r="B166" s="1" t="n">
        <v>44924</v>
      </c>
      <c r="C166" s="1" t="n">
        <v>45941</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63299-2020</t>
        </is>
      </c>
      <c r="B167" s="1" t="n">
        <v>44165</v>
      </c>
      <c r="C167" s="1" t="n">
        <v>45941</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27168-2022</t>
        </is>
      </c>
      <c r="B168" s="1" t="n">
        <v>44741</v>
      </c>
      <c r="C168" s="1" t="n">
        <v>45941</v>
      </c>
      <c r="D168" t="inlineStr">
        <is>
          <t>GOTLANDS LÄN</t>
        </is>
      </c>
      <c r="E168" t="inlineStr">
        <is>
          <t>GOTLAND</t>
        </is>
      </c>
      <c r="G168" t="n">
        <v>2.2</v>
      </c>
      <c r="H168" t="n">
        <v>1</v>
      </c>
      <c r="I168" t="n">
        <v>1</v>
      </c>
      <c r="J168" t="n">
        <v>0</v>
      </c>
      <c r="K168" t="n">
        <v>0</v>
      </c>
      <c r="L168" t="n">
        <v>0</v>
      </c>
      <c r="M168" t="n">
        <v>0</v>
      </c>
      <c r="N168" t="n">
        <v>0</v>
      </c>
      <c r="O168" t="n">
        <v>0</v>
      </c>
      <c r="P168" t="n">
        <v>0</v>
      </c>
      <c r="Q168" t="n">
        <v>1</v>
      </c>
      <c r="R168" s="2" t="inlineStr">
        <is>
          <t>Purpurknipprot</t>
        </is>
      </c>
      <c r="S168">
        <f>HYPERLINK("https://klasma.github.io/Logging_0980/artfynd/A 27168-2022 artfynd.xlsx", "A 27168-2022")</f>
        <v/>
      </c>
      <c r="T168">
        <f>HYPERLINK("https://klasma.github.io/Logging_0980/kartor/A 27168-2022 karta.png", "A 27168-2022")</f>
        <v/>
      </c>
      <c r="V168">
        <f>HYPERLINK("https://klasma.github.io/Logging_0980/klagomål/A 27168-2022 FSC-klagomål.docx", "A 27168-2022")</f>
        <v/>
      </c>
      <c r="W168">
        <f>HYPERLINK("https://klasma.github.io/Logging_0980/klagomålsmail/A 27168-2022 FSC-klagomål mail.docx", "A 27168-2022")</f>
        <v/>
      </c>
      <c r="X168">
        <f>HYPERLINK("https://klasma.github.io/Logging_0980/tillsyn/A 27168-2022 tillsynsbegäran.docx", "A 27168-2022")</f>
        <v/>
      </c>
      <c r="Y168">
        <f>HYPERLINK("https://klasma.github.io/Logging_0980/tillsynsmail/A 27168-2022 tillsynsbegäran mail.docx", "A 27168-2022")</f>
        <v/>
      </c>
    </row>
    <row r="169" ht="15" customHeight="1">
      <c r="A169" t="inlineStr">
        <is>
          <t>A 44088-2022</t>
        </is>
      </c>
      <c r="B169" s="1" t="n">
        <v>44839</v>
      </c>
      <c r="C169" s="1" t="n">
        <v>45941</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22782-2023</t>
        </is>
      </c>
      <c r="B170" s="1" t="n">
        <v>45072</v>
      </c>
      <c r="C170" s="1" t="n">
        <v>45941</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13939-2021</t>
        </is>
      </c>
      <c r="B171" s="1" t="n">
        <v>44277</v>
      </c>
      <c r="C171" s="1" t="n">
        <v>45941</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22883-2024</t>
        </is>
      </c>
      <c r="B172" s="1" t="n">
        <v>45448.66368055555</v>
      </c>
      <c r="C172" s="1" t="n">
        <v>45941</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44308-2021</t>
        </is>
      </c>
      <c r="B173" s="1" t="n">
        <v>44434</v>
      </c>
      <c r="C173" s="1" t="n">
        <v>45941</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Svavelriska</t>
        </is>
      </c>
      <c r="S173">
        <f>HYPERLINK("https://klasma.github.io/Logging_0980/artfynd/A 44308-2021 artfynd.xlsx", "A 44308-2021")</f>
        <v/>
      </c>
      <c r="T173">
        <f>HYPERLINK("https://klasma.github.io/Logging_0980/kartor/A 44308-2021 karta.png", "A 44308-2021")</f>
        <v/>
      </c>
      <c r="V173">
        <f>HYPERLINK("https://klasma.github.io/Logging_0980/klagomål/A 44308-2021 FSC-klagomål.docx", "A 44308-2021")</f>
        <v/>
      </c>
      <c r="W173">
        <f>HYPERLINK("https://klasma.github.io/Logging_0980/klagomålsmail/A 44308-2021 FSC-klagomål mail.docx", "A 44308-2021")</f>
        <v/>
      </c>
      <c r="X173">
        <f>HYPERLINK("https://klasma.github.io/Logging_0980/tillsyn/A 44308-2021 tillsynsbegäran.docx", "A 44308-2021")</f>
        <v/>
      </c>
      <c r="Y173">
        <f>HYPERLINK("https://klasma.github.io/Logging_0980/tillsynsmail/A 44308-2021 tillsynsbegäran mail.docx", "A 44308-2021")</f>
        <v/>
      </c>
    </row>
    <row r="174" ht="15" customHeight="1">
      <c r="A174" t="inlineStr">
        <is>
          <t>A 447-2023</t>
        </is>
      </c>
      <c r="B174" s="1" t="n">
        <v>44929</v>
      </c>
      <c r="C174" s="1" t="n">
        <v>45941</v>
      </c>
      <c r="D174" t="inlineStr">
        <is>
          <t>GOTLANDS LÄN</t>
        </is>
      </c>
      <c r="E174" t="inlineStr">
        <is>
          <t>GOTLAND</t>
        </is>
      </c>
      <c r="G174" t="n">
        <v>5.1</v>
      </c>
      <c r="H174" t="n">
        <v>0</v>
      </c>
      <c r="I174" t="n">
        <v>0</v>
      </c>
      <c r="J174" t="n">
        <v>1</v>
      </c>
      <c r="K174" t="n">
        <v>0</v>
      </c>
      <c r="L174" t="n">
        <v>0</v>
      </c>
      <c r="M174" t="n">
        <v>0</v>
      </c>
      <c r="N174" t="n">
        <v>0</v>
      </c>
      <c r="O174" t="n">
        <v>1</v>
      </c>
      <c r="P174" t="n">
        <v>0</v>
      </c>
      <c r="Q174" t="n">
        <v>1</v>
      </c>
      <c r="R174" s="2" t="inlineStr">
        <is>
          <t>Äggspindling</t>
        </is>
      </c>
      <c r="S174">
        <f>HYPERLINK("https://klasma.github.io/Logging_0980/artfynd/A 447-2023 artfynd.xlsx", "A 447-2023")</f>
        <v/>
      </c>
      <c r="T174">
        <f>HYPERLINK("https://klasma.github.io/Logging_0980/kartor/A 447-2023 karta.png", "A 447-2023")</f>
        <v/>
      </c>
      <c r="V174">
        <f>HYPERLINK("https://klasma.github.io/Logging_0980/klagomål/A 447-2023 FSC-klagomål.docx", "A 447-2023")</f>
        <v/>
      </c>
      <c r="W174">
        <f>HYPERLINK("https://klasma.github.io/Logging_0980/klagomålsmail/A 447-2023 FSC-klagomål mail.docx", "A 447-2023")</f>
        <v/>
      </c>
      <c r="X174">
        <f>HYPERLINK("https://klasma.github.io/Logging_0980/tillsyn/A 447-2023 tillsynsbegäran.docx", "A 447-2023")</f>
        <v/>
      </c>
      <c r="Y174">
        <f>HYPERLINK("https://klasma.github.io/Logging_0980/tillsynsmail/A 447-2023 tillsynsbegäran mail.docx", "A 447-2023")</f>
        <v/>
      </c>
    </row>
    <row r="175" ht="15" customHeight="1">
      <c r="A175" t="inlineStr">
        <is>
          <t>A 947-2023</t>
        </is>
      </c>
      <c r="B175" s="1" t="n">
        <v>44934</v>
      </c>
      <c r="C175" s="1" t="n">
        <v>45941</v>
      </c>
      <c r="D175" t="inlineStr">
        <is>
          <t>GOTLANDS LÄN</t>
        </is>
      </c>
      <c r="E175" t="inlineStr">
        <is>
          <t>GOTLAND</t>
        </is>
      </c>
      <c r="G175" t="n">
        <v>0.7</v>
      </c>
      <c r="H175" t="n">
        <v>1</v>
      </c>
      <c r="I175" t="n">
        <v>0</v>
      </c>
      <c r="J175" t="n">
        <v>0</v>
      </c>
      <c r="K175" t="n">
        <v>1</v>
      </c>
      <c r="L175" t="n">
        <v>0</v>
      </c>
      <c r="M175" t="n">
        <v>0</v>
      </c>
      <c r="N175" t="n">
        <v>0</v>
      </c>
      <c r="O175" t="n">
        <v>1</v>
      </c>
      <c r="P175" t="n">
        <v>1</v>
      </c>
      <c r="Q175" t="n">
        <v>1</v>
      </c>
      <c r="R175" s="2" t="inlineStr">
        <is>
          <t>Garderönn</t>
        </is>
      </c>
      <c r="S175">
        <f>HYPERLINK("https://klasma.github.io/Logging_0980/artfynd/A 947-2023 artfynd.xlsx", "A 947-2023")</f>
        <v/>
      </c>
      <c r="T175">
        <f>HYPERLINK("https://klasma.github.io/Logging_0980/kartor/A 947-2023 karta.png", "A 947-2023")</f>
        <v/>
      </c>
      <c r="V175">
        <f>HYPERLINK("https://klasma.github.io/Logging_0980/klagomål/A 947-2023 FSC-klagomål.docx", "A 947-2023")</f>
        <v/>
      </c>
      <c r="W175">
        <f>HYPERLINK("https://klasma.github.io/Logging_0980/klagomålsmail/A 947-2023 FSC-klagomål mail.docx", "A 947-2023")</f>
        <v/>
      </c>
      <c r="X175">
        <f>HYPERLINK("https://klasma.github.io/Logging_0980/tillsyn/A 947-2023 tillsynsbegäran.docx", "A 947-2023")</f>
        <v/>
      </c>
      <c r="Y175">
        <f>HYPERLINK("https://klasma.github.io/Logging_0980/tillsynsmail/A 947-2023 tillsynsbegäran mail.docx", "A 947-2023")</f>
        <v/>
      </c>
    </row>
    <row r="176" ht="15" customHeight="1">
      <c r="A176" t="inlineStr">
        <is>
          <t>A 49304-2024</t>
        </is>
      </c>
      <c r="B176" s="1" t="n">
        <v>45595.54996527778</v>
      </c>
      <c r="C176" s="1" t="n">
        <v>45941</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63576-2021</t>
        </is>
      </c>
      <c r="B177" s="1" t="n">
        <v>44508</v>
      </c>
      <c r="C177" s="1" t="n">
        <v>45941</v>
      </c>
      <c r="D177" t="inlineStr">
        <is>
          <t>GOTLANDS LÄN</t>
        </is>
      </c>
      <c r="E177" t="inlineStr">
        <is>
          <t>GOTLAND</t>
        </is>
      </c>
      <c r="F177" t="inlineStr">
        <is>
          <t>Kyrkan</t>
        </is>
      </c>
      <c r="G177" t="n">
        <v>4.1</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63576-2021 artfynd.xlsx", "A 63576-2021")</f>
        <v/>
      </c>
      <c r="T177">
        <f>HYPERLINK("https://klasma.github.io/Logging_0980/kartor/A 63576-2021 karta.png", "A 63576-2021")</f>
        <v/>
      </c>
      <c r="V177">
        <f>HYPERLINK("https://klasma.github.io/Logging_0980/klagomål/A 63576-2021 FSC-klagomål.docx", "A 63576-2021")</f>
        <v/>
      </c>
      <c r="W177">
        <f>HYPERLINK("https://klasma.github.io/Logging_0980/klagomålsmail/A 63576-2021 FSC-klagomål mail.docx", "A 63576-2021")</f>
        <v/>
      </c>
      <c r="X177">
        <f>HYPERLINK("https://klasma.github.io/Logging_0980/tillsyn/A 63576-2021 tillsynsbegäran.docx", "A 63576-2021")</f>
        <v/>
      </c>
      <c r="Y177">
        <f>HYPERLINK("https://klasma.github.io/Logging_0980/tillsynsmail/A 63576-2021 tillsynsbegäran mail.docx", "A 63576-2021")</f>
        <v/>
      </c>
    </row>
    <row r="178" ht="15" customHeight="1">
      <c r="A178" t="inlineStr">
        <is>
          <t>A 64700-2021</t>
        </is>
      </c>
      <c r="B178" s="1" t="n">
        <v>44511</v>
      </c>
      <c r="C178" s="1" t="n">
        <v>45941</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24245-2022</t>
        </is>
      </c>
      <c r="B179" s="1" t="n">
        <v>44725</v>
      </c>
      <c r="C179" s="1" t="n">
        <v>45941</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14915-2025</t>
        </is>
      </c>
      <c r="B180" s="1" t="n">
        <v>45743.53121527778</v>
      </c>
      <c r="C180" s="1" t="n">
        <v>45941</v>
      </c>
      <c r="D180" t="inlineStr">
        <is>
          <t>GOTLANDS LÄN</t>
        </is>
      </c>
      <c r="E180" t="inlineStr">
        <is>
          <t>GOTLAND</t>
        </is>
      </c>
      <c r="G180" t="n">
        <v>5.9</v>
      </c>
      <c r="H180" t="n">
        <v>0</v>
      </c>
      <c r="I180" t="n">
        <v>0</v>
      </c>
      <c r="J180" t="n">
        <v>1</v>
      </c>
      <c r="K180" t="n">
        <v>0</v>
      </c>
      <c r="L180" t="n">
        <v>0</v>
      </c>
      <c r="M180" t="n">
        <v>0</v>
      </c>
      <c r="N180" t="n">
        <v>0</v>
      </c>
      <c r="O180" t="n">
        <v>1</v>
      </c>
      <c r="P180" t="n">
        <v>0</v>
      </c>
      <c r="Q180" t="n">
        <v>1</v>
      </c>
      <c r="R180" s="2" t="inlineStr">
        <is>
          <t>Igelkott</t>
        </is>
      </c>
      <c r="S180">
        <f>HYPERLINK("https://klasma.github.io/Logging_0980/artfynd/A 14915-2025 artfynd.xlsx", "A 14915-2025")</f>
        <v/>
      </c>
      <c r="T180">
        <f>HYPERLINK("https://klasma.github.io/Logging_0980/kartor/A 14915-2025 karta.png", "A 14915-2025")</f>
        <v/>
      </c>
      <c r="V180">
        <f>HYPERLINK("https://klasma.github.io/Logging_0980/klagomål/A 14915-2025 FSC-klagomål.docx", "A 14915-2025")</f>
        <v/>
      </c>
      <c r="W180">
        <f>HYPERLINK("https://klasma.github.io/Logging_0980/klagomålsmail/A 14915-2025 FSC-klagomål mail.docx", "A 14915-2025")</f>
        <v/>
      </c>
      <c r="X180">
        <f>HYPERLINK("https://klasma.github.io/Logging_0980/tillsyn/A 14915-2025 tillsynsbegäran.docx", "A 14915-2025")</f>
        <v/>
      </c>
      <c r="Y180">
        <f>HYPERLINK("https://klasma.github.io/Logging_0980/tillsynsmail/A 14915-2025 tillsynsbegäran mail.docx", "A 14915-2025")</f>
        <v/>
      </c>
    </row>
    <row r="181" ht="15" customHeight="1">
      <c r="A181" t="inlineStr">
        <is>
          <t>A 27589-2023</t>
        </is>
      </c>
      <c r="B181" s="1" t="n">
        <v>45097</v>
      </c>
      <c r="C181" s="1" t="n">
        <v>45941</v>
      </c>
      <c r="D181" t="inlineStr">
        <is>
          <t>GOTLANDS LÄN</t>
        </is>
      </c>
      <c r="E181" t="inlineStr">
        <is>
          <t>GOTLAND</t>
        </is>
      </c>
      <c r="G181" t="n">
        <v>5.4</v>
      </c>
      <c r="H181" t="n">
        <v>0</v>
      </c>
      <c r="I181" t="n">
        <v>0</v>
      </c>
      <c r="J181" t="n">
        <v>0</v>
      </c>
      <c r="K181" t="n">
        <v>0</v>
      </c>
      <c r="L181" t="n">
        <v>0</v>
      </c>
      <c r="M181" t="n">
        <v>1</v>
      </c>
      <c r="N181" t="n">
        <v>0</v>
      </c>
      <c r="O181" t="n">
        <v>1</v>
      </c>
      <c r="P181" t="n">
        <v>1</v>
      </c>
      <c r="Q181" t="n">
        <v>1</v>
      </c>
      <c r="R181" s="2" t="inlineStr">
        <is>
          <t>Skogsalm</t>
        </is>
      </c>
      <c r="S181">
        <f>HYPERLINK("https://klasma.github.io/Logging_0980/artfynd/A 27589-2023 artfynd.xlsx", "A 27589-2023")</f>
        <v/>
      </c>
      <c r="T181">
        <f>HYPERLINK("https://klasma.github.io/Logging_0980/kartor/A 27589-2023 karta.png", "A 27589-2023")</f>
        <v/>
      </c>
      <c r="V181">
        <f>HYPERLINK("https://klasma.github.io/Logging_0980/klagomål/A 27589-2023 FSC-klagomål.docx", "A 27589-2023")</f>
        <v/>
      </c>
      <c r="W181">
        <f>HYPERLINK("https://klasma.github.io/Logging_0980/klagomålsmail/A 27589-2023 FSC-klagomål mail.docx", "A 27589-2023")</f>
        <v/>
      </c>
      <c r="X181">
        <f>HYPERLINK("https://klasma.github.io/Logging_0980/tillsyn/A 27589-2023 tillsynsbegäran.docx", "A 27589-2023")</f>
        <v/>
      </c>
      <c r="Y181">
        <f>HYPERLINK("https://klasma.github.io/Logging_0980/tillsynsmail/A 27589-2023 tillsynsbegäran mail.docx", "A 27589-2023")</f>
        <v/>
      </c>
    </row>
    <row r="182" ht="15" customHeight="1">
      <c r="A182" t="inlineStr">
        <is>
          <t>A 49847-2023</t>
        </is>
      </c>
      <c r="B182" s="1" t="n">
        <v>45212</v>
      </c>
      <c r="C182" s="1" t="n">
        <v>45941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45941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45941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45941</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45941</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45941</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45941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45941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45941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45941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45941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45941</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45941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45941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45941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45941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53665-2020</t>
        </is>
      </c>
      <c r="B198" s="1" t="n">
        <v>44124.55001157407</v>
      </c>
      <c r="C198" s="1" t="n">
        <v>45941</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45941</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45941</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45941</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45941</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45941</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59630-2020</t>
        </is>
      </c>
      <c r="B204" s="1" t="n">
        <v>44150</v>
      </c>
      <c r="C204" s="1" t="n">
        <v>45941</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45941</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45941</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45941</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60356-2020</t>
        </is>
      </c>
      <c r="B208" s="1" t="n">
        <v>44152.71583333334</v>
      </c>
      <c r="C208" s="1" t="n">
        <v>45941</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22498-2022</t>
        </is>
      </c>
      <c r="B209" s="1" t="n">
        <v>44713.64682870371</v>
      </c>
      <c r="C209" s="1" t="n">
        <v>45941</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17920-2021</t>
        </is>
      </c>
      <c r="B210" s="1" t="n">
        <v>44301</v>
      </c>
      <c r="C210" s="1" t="n">
        <v>45941</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8700-2021</t>
        </is>
      </c>
      <c r="B211" s="1" t="n">
        <v>44246</v>
      </c>
      <c r="C211" s="1" t="n">
        <v>45941</v>
      </c>
      <c r="D211" t="inlineStr">
        <is>
          <t>GOTLANDS LÄN</t>
        </is>
      </c>
      <c r="E211" t="inlineStr">
        <is>
          <t>GOTLAND</t>
        </is>
      </c>
      <c r="G211" t="n">
        <v>0.1</v>
      </c>
      <c r="H211" t="n">
        <v>0</v>
      </c>
      <c r="I211" t="n">
        <v>0</v>
      </c>
      <c r="J211" t="n">
        <v>0</v>
      </c>
      <c r="K211" t="n">
        <v>0</v>
      </c>
      <c r="L211" t="n">
        <v>0</v>
      </c>
      <c r="M211" t="n">
        <v>0</v>
      </c>
      <c r="N211" t="n">
        <v>0</v>
      </c>
      <c r="O211" t="n">
        <v>0</v>
      </c>
      <c r="P211" t="n">
        <v>0</v>
      </c>
      <c r="Q211" t="n">
        <v>0</v>
      </c>
      <c r="R211" s="2" t="inlineStr"/>
    </row>
    <row r="212" ht="15" customHeight="1">
      <c r="A212" t="inlineStr">
        <is>
          <t>A 12318-2021</t>
        </is>
      </c>
      <c r="B212" s="1" t="n">
        <v>44266</v>
      </c>
      <c r="C212" s="1" t="n">
        <v>45941</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15127-2021</t>
        </is>
      </c>
      <c r="B213" s="1" t="n">
        <v>44283</v>
      </c>
      <c r="C213" s="1" t="n">
        <v>45941</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45941</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45941</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44207-2022</t>
        </is>
      </c>
      <c r="B216" s="1" t="n">
        <v>44839</v>
      </c>
      <c r="C216" s="1" t="n">
        <v>45941</v>
      </c>
      <c r="D216" t="inlineStr">
        <is>
          <t>GOTLANDS LÄN</t>
        </is>
      </c>
      <c r="E216" t="inlineStr">
        <is>
          <t>GOTLAND</t>
        </is>
      </c>
      <c r="G216" t="n">
        <v>3.8</v>
      </c>
      <c r="H216" t="n">
        <v>0</v>
      </c>
      <c r="I216" t="n">
        <v>0</v>
      </c>
      <c r="J216" t="n">
        <v>0</v>
      </c>
      <c r="K216" t="n">
        <v>0</v>
      </c>
      <c r="L216" t="n">
        <v>0</v>
      </c>
      <c r="M216" t="n">
        <v>0</v>
      </c>
      <c r="N216" t="n">
        <v>0</v>
      </c>
      <c r="O216" t="n">
        <v>0</v>
      </c>
      <c r="P216" t="n">
        <v>0</v>
      </c>
      <c r="Q216" t="n">
        <v>0</v>
      </c>
      <c r="R216" s="2" t="inlineStr"/>
    </row>
    <row r="217" ht="15" customHeight="1">
      <c r="A217" t="inlineStr">
        <is>
          <t>A 19447-2021</t>
        </is>
      </c>
      <c r="B217" s="1" t="n">
        <v>44310.72780092592</v>
      </c>
      <c r="C217" s="1" t="n">
        <v>45941</v>
      </c>
      <c r="D217" t="inlineStr">
        <is>
          <t>GOTLANDS LÄN</t>
        </is>
      </c>
      <c r="E217" t="inlineStr">
        <is>
          <t>GOTLAND</t>
        </is>
      </c>
      <c r="G217" t="n">
        <v>0.4</v>
      </c>
      <c r="H217" t="n">
        <v>0</v>
      </c>
      <c r="I217" t="n">
        <v>0</v>
      </c>
      <c r="J217" t="n">
        <v>0</v>
      </c>
      <c r="K217" t="n">
        <v>0</v>
      </c>
      <c r="L217" t="n">
        <v>0</v>
      </c>
      <c r="M217" t="n">
        <v>0</v>
      </c>
      <c r="N217" t="n">
        <v>0</v>
      </c>
      <c r="O217" t="n">
        <v>0</v>
      </c>
      <c r="P217" t="n">
        <v>0</v>
      </c>
      <c r="Q217" t="n">
        <v>0</v>
      </c>
      <c r="R217" s="2" t="inlineStr"/>
    </row>
    <row r="218" ht="15" customHeight="1">
      <c r="A218" t="inlineStr">
        <is>
          <t>A 32691-2021</t>
        </is>
      </c>
      <c r="B218" s="1" t="n">
        <v>44375</v>
      </c>
      <c r="C218" s="1" t="n">
        <v>45941</v>
      </c>
      <c r="D218" t="inlineStr">
        <is>
          <t>GOTLANDS LÄN</t>
        </is>
      </c>
      <c r="E218" t="inlineStr">
        <is>
          <t>GOTLAND</t>
        </is>
      </c>
      <c r="G218" t="n">
        <v>0.8</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44496.58627314815</v>
      </c>
      <c r="C219" s="1" t="n">
        <v>45941</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45941</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45941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47369-2021</t>
        </is>
      </c>
      <c r="B222" s="1" t="n">
        <v>44447</v>
      </c>
      <c r="C222" s="1" t="n">
        <v>45941</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11029-2022</t>
        </is>
      </c>
      <c r="B223" s="1" t="n">
        <v>44628</v>
      </c>
      <c r="C223" s="1" t="n">
        <v>45941</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64380-2020</t>
        </is>
      </c>
      <c r="B224" s="1" t="n">
        <v>44168.60128472222</v>
      </c>
      <c r="C224" s="1" t="n">
        <v>45941</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2608-2021</t>
        </is>
      </c>
      <c r="B225" s="1" t="n">
        <v>44214</v>
      </c>
      <c r="C225" s="1" t="n">
        <v>45941</v>
      </c>
      <c r="D225" t="inlineStr">
        <is>
          <t>GOTLANDS LÄN</t>
        </is>
      </c>
      <c r="E225" t="inlineStr">
        <is>
          <t>GOTLAND</t>
        </is>
      </c>
      <c r="G225" t="n">
        <v>3.9</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45941</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37037-2021</t>
        </is>
      </c>
      <c r="B227" s="1" t="n">
        <v>44393.84688657407</v>
      </c>
      <c r="C227" s="1" t="n">
        <v>45941</v>
      </c>
      <c r="D227" t="inlineStr">
        <is>
          <t>GOTLANDS LÄN</t>
        </is>
      </c>
      <c r="E227" t="inlineStr">
        <is>
          <t>GOTLAND</t>
        </is>
      </c>
      <c r="G227" t="n">
        <v>10.2</v>
      </c>
      <c r="H227" t="n">
        <v>0</v>
      </c>
      <c r="I227" t="n">
        <v>0</v>
      </c>
      <c r="J227" t="n">
        <v>0</v>
      </c>
      <c r="K227" t="n">
        <v>0</v>
      </c>
      <c r="L227" t="n">
        <v>0</v>
      </c>
      <c r="M227" t="n">
        <v>0</v>
      </c>
      <c r="N227" t="n">
        <v>0</v>
      </c>
      <c r="O227" t="n">
        <v>0</v>
      </c>
      <c r="P227" t="n">
        <v>0</v>
      </c>
      <c r="Q227" t="n">
        <v>0</v>
      </c>
      <c r="R227" s="2" t="inlineStr"/>
    </row>
    <row r="228" ht="15" customHeight="1">
      <c r="A228" t="inlineStr">
        <is>
          <t>A 31239-2022</t>
        </is>
      </c>
      <c r="B228" s="1" t="n">
        <v>44771.49383101852</v>
      </c>
      <c r="C228" s="1" t="n">
        <v>45941</v>
      </c>
      <c r="D228" t="inlineStr">
        <is>
          <t>GOTLANDS LÄN</t>
        </is>
      </c>
      <c r="E228" t="inlineStr">
        <is>
          <t>GOTLAND</t>
        </is>
      </c>
      <c r="G228" t="n">
        <v>1.9</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45941</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58224-2021</t>
        </is>
      </c>
      <c r="B230" s="1" t="n">
        <v>44487</v>
      </c>
      <c r="C230" s="1" t="n">
        <v>45941</v>
      </c>
      <c r="D230" t="inlineStr">
        <is>
          <t>GOTLANDS LÄN</t>
        </is>
      </c>
      <c r="E230" t="inlineStr">
        <is>
          <t>GOTLAND</t>
        </is>
      </c>
      <c r="G230" t="n">
        <v>1.4</v>
      </c>
      <c r="H230" t="n">
        <v>0</v>
      </c>
      <c r="I230" t="n">
        <v>0</v>
      </c>
      <c r="J230" t="n">
        <v>0</v>
      </c>
      <c r="K230" t="n">
        <v>0</v>
      </c>
      <c r="L230" t="n">
        <v>0</v>
      </c>
      <c r="M230" t="n">
        <v>0</v>
      </c>
      <c r="N230" t="n">
        <v>0</v>
      </c>
      <c r="O230" t="n">
        <v>0</v>
      </c>
      <c r="P230" t="n">
        <v>0</v>
      </c>
      <c r="Q230" t="n">
        <v>0</v>
      </c>
      <c r="R230" s="2" t="inlineStr"/>
    </row>
    <row r="231" ht="15" customHeight="1">
      <c r="A231" t="inlineStr">
        <is>
          <t>A 44942-2022</t>
        </is>
      </c>
      <c r="B231" s="1" t="n">
        <v>44841</v>
      </c>
      <c r="C231" s="1" t="n">
        <v>45941</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58815-2021</t>
        </is>
      </c>
      <c r="B232" s="1" t="n">
        <v>44489</v>
      </c>
      <c r="C232" s="1" t="n">
        <v>45941</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22155-2021</t>
        </is>
      </c>
      <c r="B233" s="1" t="n">
        <v>44325.49369212963</v>
      </c>
      <c r="C233" s="1" t="n">
        <v>45941</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53225-2022</t>
        </is>
      </c>
      <c r="B234" s="1" t="n">
        <v>44876</v>
      </c>
      <c r="C234" s="1" t="n">
        <v>45941</v>
      </c>
      <c r="D234" t="inlineStr">
        <is>
          <t>GOTLANDS LÄN</t>
        </is>
      </c>
      <c r="E234" t="inlineStr">
        <is>
          <t>GOTLAND</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30055-2021</t>
        </is>
      </c>
      <c r="B235" s="1" t="n">
        <v>44363</v>
      </c>
      <c r="C235" s="1" t="n">
        <v>45941</v>
      </c>
      <c r="D235" t="inlineStr">
        <is>
          <t>GOTLANDS LÄN</t>
        </is>
      </c>
      <c r="E235" t="inlineStr">
        <is>
          <t>GOTLAND</t>
        </is>
      </c>
      <c r="G235" t="n">
        <v>1.8</v>
      </c>
      <c r="H235" t="n">
        <v>0</v>
      </c>
      <c r="I235" t="n">
        <v>0</v>
      </c>
      <c r="J235" t="n">
        <v>0</v>
      </c>
      <c r="K235" t="n">
        <v>0</v>
      </c>
      <c r="L235" t="n">
        <v>0</v>
      </c>
      <c r="M235" t="n">
        <v>0</v>
      </c>
      <c r="N235" t="n">
        <v>0</v>
      </c>
      <c r="O235" t="n">
        <v>0</v>
      </c>
      <c r="P235" t="n">
        <v>0</v>
      </c>
      <c r="Q235" t="n">
        <v>0</v>
      </c>
      <c r="R235" s="2" t="inlineStr"/>
    </row>
    <row r="236" ht="15" customHeight="1">
      <c r="A236" t="inlineStr">
        <is>
          <t>A 1229-2021</t>
        </is>
      </c>
      <c r="B236" s="1" t="n">
        <v>44208</v>
      </c>
      <c r="C236" s="1" t="n">
        <v>45941</v>
      </c>
      <c r="D236" t="inlineStr">
        <is>
          <t>GOTLANDS LÄN</t>
        </is>
      </c>
      <c r="E236" t="inlineStr">
        <is>
          <t>GOTLAND</t>
        </is>
      </c>
      <c r="G236" t="n">
        <v>5.3</v>
      </c>
      <c r="H236" t="n">
        <v>0</v>
      </c>
      <c r="I236" t="n">
        <v>0</v>
      </c>
      <c r="J236" t="n">
        <v>0</v>
      </c>
      <c r="K236" t="n">
        <v>0</v>
      </c>
      <c r="L236" t="n">
        <v>0</v>
      </c>
      <c r="M236" t="n">
        <v>0</v>
      </c>
      <c r="N236" t="n">
        <v>0</v>
      </c>
      <c r="O236" t="n">
        <v>0</v>
      </c>
      <c r="P236" t="n">
        <v>0</v>
      </c>
      <c r="Q236" t="n">
        <v>0</v>
      </c>
      <c r="R236" s="2" t="inlineStr"/>
    </row>
    <row r="237" ht="15" customHeight="1">
      <c r="A237" t="inlineStr">
        <is>
          <t>A 65393-2021</t>
        </is>
      </c>
      <c r="B237" s="1" t="n">
        <v>44515</v>
      </c>
      <c r="C237" s="1" t="n">
        <v>45941</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45941</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3271-2021</t>
        </is>
      </c>
      <c r="B239" s="1" t="n">
        <v>44217</v>
      </c>
      <c r="C239" s="1" t="n">
        <v>45941</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71010-2021</t>
        </is>
      </c>
      <c r="B240" s="1" t="n">
        <v>44538.63775462963</v>
      </c>
      <c r="C240" s="1" t="n">
        <v>45941</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23910-2021</t>
        </is>
      </c>
      <c r="B241" s="1" t="n">
        <v>44335</v>
      </c>
      <c r="C241" s="1" t="n">
        <v>45941</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45941</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13498-2022</t>
        </is>
      </c>
      <c r="B243" s="1" t="n">
        <v>44647.78866898148</v>
      </c>
      <c r="C243" s="1" t="n">
        <v>45941</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13500-2022</t>
        </is>
      </c>
      <c r="B244" s="1" t="n">
        <v>44647.79513888889</v>
      </c>
      <c r="C244" s="1" t="n">
        <v>45941</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1677-2023</t>
        </is>
      </c>
      <c r="B245" s="1" t="n">
        <v>44938</v>
      </c>
      <c r="C245" s="1" t="n">
        <v>45941</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45941</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45244-2024</t>
        </is>
      </c>
      <c r="B247" s="1" t="n">
        <v>45576</v>
      </c>
      <c r="C247" s="1" t="n">
        <v>45941</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45941</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45941</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21507-2021</t>
        </is>
      </c>
      <c r="B250" s="1" t="n">
        <v>44321</v>
      </c>
      <c r="C250" s="1" t="n">
        <v>45941</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64969-2023</t>
        </is>
      </c>
      <c r="B251" s="1" t="n">
        <v>45284.54009259259</v>
      </c>
      <c r="C251" s="1" t="n">
        <v>45941</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48843-2024</t>
        </is>
      </c>
      <c r="B252" s="1" t="n">
        <v>45593</v>
      </c>
      <c r="C252" s="1" t="n">
        <v>45941</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26391-2025</t>
        </is>
      </c>
      <c r="B253" s="1" t="n">
        <v>45806</v>
      </c>
      <c r="C253" s="1" t="n">
        <v>45941</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45941</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57219-2021</t>
        </is>
      </c>
      <c r="B255" s="1" t="n">
        <v>44483</v>
      </c>
      <c r="C255" s="1" t="n">
        <v>45941</v>
      </c>
      <c r="D255" t="inlineStr">
        <is>
          <t>GOTLANDS LÄN</t>
        </is>
      </c>
      <c r="E255" t="inlineStr">
        <is>
          <t>GOTLAND</t>
        </is>
      </c>
      <c r="F255" t="inlineStr">
        <is>
          <t>Kyrkan</t>
        </is>
      </c>
      <c r="G255" t="n">
        <v>4</v>
      </c>
      <c r="H255" t="n">
        <v>0</v>
      </c>
      <c r="I255" t="n">
        <v>0</v>
      </c>
      <c r="J255" t="n">
        <v>0</v>
      </c>
      <c r="K255" t="n">
        <v>0</v>
      </c>
      <c r="L255" t="n">
        <v>0</v>
      </c>
      <c r="M255" t="n">
        <v>0</v>
      </c>
      <c r="N255" t="n">
        <v>0</v>
      </c>
      <c r="O255" t="n">
        <v>0</v>
      </c>
      <c r="P255" t="n">
        <v>0</v>
      </c>
      <c r="Q255" t="n">
        <v>0</v>
      </c>
      <c r="R255" s="2" t="inlineStr"/>
    </row>
    <row r="256" ht="15" customHeight="1">
      <c r="A256" t="inlineStr">
        <is>
          <t>A 2241-2025</t>
        </is>
      </c>
      <c r="B256" s="1" t="n">
        <v>45673.48710648148</v>
      </c>
      <c r="C256" s="1" t="n">
        <v>45941</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30365-2024</t>
        </is>
      </c>
      <c r="B257" s="1" t="n">
        <v>45491.3716087963</v>
      </c>
      <c r="C257" s="1" t="n">
        <v>45941</v>
      </c>
      <c r="D257" t="inlineStr">
        <is>
          <t>GOTLANDS LÄN</t>
        </is>
      </c>
      <c r="E257" t="inlineStr">
        <is>
          <t>GOTLAND</t>
        </is>
      </c>
      <c r="G257" t="n">
        <v>0.5</v>
      </c>
      <c r="H257" t="n">
        <v>0</v>
      </c>
      <c r="I257" t="n">
        <v>0</v>
      </c>
      <c r="J257" t="n">
        <v>0</v>
      </c>
      <c r="K257" t="n">
        <v>0</v>
      </c>
      <c r="L257" t="n">
        <v>0</v>
      </c>
      <c r="M257" t="n">
        <v>0</v>
      </c>
      <c r="N257" t="n">
        <v>0</v>
      </c>
      <c r="O257" t="n">
        <v>0</v>
      </c>
      <c r="P257" t="n">
        <v>0</v>
      </c>
      <c r="Q257" t="n">
        <v>0</v>
      </c>
      <c r="R257" s="2" t="inlineStr"/>
    </row>
    <row r="258" ht="15" customHeight="1">
      <c r="A258" t="inlineStr">
        <is>
          <t>A 1681-2023</t>
        </is>
      </c>
      <c r="B258" s="1" t="n">
        <v>44938.39715277778</v>
      </c>
      <c r="C258" s="1" t="n">
        <v>45941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15434-2024</t>
        </is>
      </c>
      <c r="B259" s="1" t="n">
        <v>45401.38836805556</v>
      </c>
      <c r="C259" s="1" t="n">
        <v>45941</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53641-2020</t>
        </is>
      </c>
      <c r="B260" s="1" t="n">
        <v>44124</v>
      </c>
      <c r="C260" s="1" t="n">
        <v>45941</v>
      </c>
      <c r="D260" t="inlineStr">
        <is>
          <t>GOTLANDS LÄN</t>
        </is>
      </c>
      <c r="E260" t="inlineStr">
        <is>
          <t>GOTLAND</t>
        </is>
      </c>
      <c r="G260" t="n">
        <v>3.2</v>
      </c>
      <c r="H260" t="n">
        <v>0</v>
      </c>
      <c r="I260" t="n">
        <v>0</v>
      </c>
      <c r="J260" t="n">
        <v>0</v>
      </c>
      <c r="K260" t="n">
        <v>0</v>
      </c>
      <c r="L260" t="n">
        <v>0</v>
      </c>
      <c r="M260" t="n">
        <v>0</v>
      </c>
      <c r="N260" t="n">
        <v>0</v>
      </c>
      <c r="O260" t="n">
        <v>0</v>
      </c>
      <c r="P260" t="n">
        <v>0</v>
      </c>
      <c r="Q260" t="n">
        <v>0</v>
      </c>
      <c r="R260" s="2" t="inlineStr"/>
    </row>
    <row r="261" ht="15" customHeight="1">
      <c r="A261" t="inlineStr">
        <is>
          <t>A 6099-2024</t>
        </is>
      </c>
      <c r="B261" s="1" t="n">
        <v>45337</v>
      </c>
      <c r="C261" s="1" t="n">
        <v>45941</v>
      </c>
      <c r="D261" t="inlineStr">
        <is>
          <t>GOTLANDS LÄN</t>
        </is>
      </c>
      <c r="E261" t="inlineStr">
        <is>
          <t>GOTLAND</t>
        </is>
      </c>
      <c r="G261" t="n">
        <v>12.6</v>
      </c>
      <c r="H261" t="n">
        <v>0</v>
      </c>
      <c r="I261" t="n">
        <v>0</v>
      </c>
      <c r="J261" t="n">
        <v>0</v>
      </c>
      <c r="K261" t="n">
        <v>0</v>
      </c>
      <c r="L261" t="n">
        <v>0</v>
      </c>
      <c r="M261" t="n">
        <v>0</v>
      </c>
      <c r="N261" t="n">
        <v>0</v>
      </c>
      <c r="O261" t="n">
        <v>0</v>
      </c>
      <c r="P261" t="n">
        <v>0</v>
      </c>
      <c r="Q261" t="n">
        <v>0</v>
      </c>
      <c r="R261" s="2" t="inlineStr"/>
    </row>
    <row r="262" ht="15" customHeight="1">
      <c r="A262" t="inlineStr">
        <is>
          <t>A 5943-2024</t>
        </is>
      </c>
      <c r="B262" s="1" t="n">
        <v>45336</v>
      </c>
      <c r="C262" s="1" t="n">
        <v>45941</v>
      </c>
      <c r="D262" t="inlineStr">
        <is>
          <t>GOTLANDS LÄN</t>
        </is>
      </c>
      <c r="E262" t="inlineStr">
        <is>
          <t>GOTLAND</t>
        </is>
      </c>
      <c r="G262" t="n">
        <v>4.3</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45941</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16361-2024</t>
        </is>
      </c>
      <c r="B264" s="1" t="n">
        <v>45407</v>
      </c>
      <c r="C264" s="1" t="n">
        <v>45941</v>
      </c>
      <c r="D264" t="inlineStr">
        <is>
          <t>GOTLANDS LÄN</t>
        </is>
      </c>
      <c r="E264" t="inlineStr">
        <is>
          <t>GOTLAND</t>
        </is>
      </c>
      <c r="G264" t="n">
        <v>6</v>
      </c>
      <c r="H264" t="n">
        <v>0</v>
      </c>
      <c r="I264" t="n">
        <v>0</v>
      </c>
      <c r="J264" t="n">
        <v>0</v>
      </c>
      <c r="K264" t="n">
        <v>0</v>
      </c>
      <c r="L264" t="n">
        <v>0</v>
      </c>
      <c r="M264" t="n">
        <v>0</v>
      </c>
      <c r="N264" t="n">
        <v>0</v>
      </c>
      <c r="O264" t="n">
        <v>0</v>
      </c>
      <c r="P264" t="n">
        <v>0</v>
      </c>
      <c r="Q264" t="n">
        <v>0</v>
      </c>
      <c r="R264" s="2" t="inlineStr"/>
    </row>
    <row r="265" ht="15" customHeight="1">
      <c r="A265" t="inlineStr">
        <is>
          <t>A 26457-2025</t>
        </is>
      </c>
      <c r="B265" s="1" t="n">
        <v>45807.42773148148</v>
      </c>
      <c r="C265" s="1" t="n">
        <v>45941</v>
      </c>
      <c r="D265" t="inlineStr">
        <is>
          <t>GOTLANDS LÄN</t>
        </is>
      </c>
      <c r="E265" t="inlineStr">
        <is>
          <t>GOTLAND</t>
        </is>
      </c>
      <c r="G265" t="n">
        <v>5.7</v>
      </c>
      <c r="H265" t="n">
        <v>0</v>
      </c>
      <c r="I265" t="n">
        <v>0</v>
      </c>
      <c r="J265" t="n">
        <v>0</v>
      </c>
      <c r="K265" t="n">
        <v>0</v>
      </c>
      <c r="L265" t="n">
        <v>0</v>
      </c>
      <c r="M265" t="n">
        <v>0</v>
      </c>
      <c r="N265" t="n">
        <v>0</v>
      </c>
      <c r="O265" t="n">
        <v>0</v>
      </c>
      <c r="P265" t="n">
        <v>0</v>
      </c>
      <c r="Q265" t="n">
        <v>0</v>
      </c>
      <c r="R265" s="2" t="inlineStr"/>
    </row>
    <row r="266" ht="15" customHeight="1">
      <c r="A266" t="inlineStr">
        <is>
          <t>A 26467-2025</t>
        </is>
      </c>
      <c r="B266" s="1" t="n">
        <v>45807.44640046296</v>
      </c>
      <c r="C266" s="1" t="n">
        <v>45941</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1273-2023</t>
        </is>
      </c>
      <c r="B267" s="1" t="n">
        <v>44936</v>
      </c>
      <c r="C267" s="1" t="n">
        <v>45941</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41038-2023</t>
        </is>
      </c>
      <c r="B268" s="1" t="n">
        <v>45173.60959490741</v>
      </c>
      <c r="C268" s="1" t="n">
        <v>45941</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45941</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26465-2025</t>
        </is>
      </c>
      <c r="B270" s="1" t="n">
        <v>45807.44377314814</v>
      </c>
      <c r="C270" s="1" t="n">
        <v>45941</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45941</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4868-2024</t>
        </is>
      </c>
      <c r="B272" s="1" t="n">
        <v>45329</v>
      </c>
      <c r="C272" s="1" t="n">
        <v>45941</v>
      </c>
      <c r="D272" t="inlineStr">
        <is>
          <t>GOTLANDS LÄN</t>
        </is>
      </c>
      <c r="E272" t="inlineStr">
        <is>
          <t>GOTLAND</t>
        </is>
      </c>
      <c r="G272" t="n">
        <v>7.1</v>
      </c>
      <c r="H272" t="n">
        <v>0</v>
      </c>
      <c r="I272" t="n">
        <v>0</v>
      </c>
      <c r="J272" t="n">
        <v>0</v>
      </c>
      <c r="K272" t="n">
        <v>0</v>
      </c>
      <c r="L272" t="n">
        <v>0</v>
      </c>
      <c r="M272" t="n">
        <v>0</v>
      </c>
      <c r="N272" t="n">
        <v>0</v>
      </c>
      <c r="O272" t="n">
        <v>0</v>
      </c>
      <c r="P272" t="n">
        <v>0</v>
      </c>
      <c r="Q272" t="n">
        <v>0</v>
      </c>
      <c r="R272" s="2" t="inlineStr"/>
    </row>
    <row r="273" ht="15" customHeight="1">
      <c r="A273" t="inlineStr">
        <is>
          <t>A 26660-2025</t>
        </is>
      </c>
      <c r="B273" s="1" t="n">
        <v>45810.39737268518</v>
      </c>
      <c r="C273" s="1" t="n">
        <v>45941</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45941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45941</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32330-2024</t>
        </is>
      </c>
      <c r="B276" s="1" t="n">
        <v>45512</v>
      </c>
      <c r="C276" s="1" t="n">
        <v>45941</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14427-2024</t>
        </is>
      </c>
      <c r="B277" s="1" t="n">
        <v>45394</v>
      </c>
      <c r="C277" s="1" t="n">
        <v>45941</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9613-2025</t>
        </is>
      </c>
      <c r="B278" s="1" t="n">
        <v>45715</v>
      </c>
      <c r="C278" s="1" t="n">
        <v>45941</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28285-2024</t>
        </is>
      </c>
      <c r="B279" s="1" t="n">
        <v>45477</v>
      </c>
      <c r="C279" s="1" t="n">
        <v>45941</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31802-2024</t>
        </is>
      </c>
      <c r="B280" s="1" t="n">
        <v>45509</v>
      </c>
      <c r="C280" s="1" t="n">
        <v>45941</v>
      </c>
      <c r="D280" t="inlineStr">
        <is>
          <t>GOTLANDS LÄN</t>
        </is>
      </c>
      <c r="E280" t="inlineStr">
        <is>
          <t>GOTLAND</t>
        </is>
      </c>
      <c r="G280" t="n">
        <v>2.8</v>
      </c>
      <c r="H280" t="n">
        <v>0</v>
      </c>
      <c r="I280" t="n">
        <v>0</v>
      </c>
      <c r="J280" t="n">
        <v>0</v>
      </c>
      <c r="K280" t="n">
        <v>0</v>
      </c>
      <c r="L280" t="n">
        <v>0</v>
      </c>
      <c r="M280" t="n">
        <v>0</v>
      </c>
      <c r="N280" t="n">
        <v>0</v>
      </c>
      <c r="O280" t="n">
        <v>0</v>
      </c>
      <c r="P280" t="n">
        <v>0</v>
      </c>
      <c r="Q280" t="n">
        <v>0</v>
      </c>
      <c r="R280" s="2" t="inlineStr"/>
    </row>
    <row r="281" ht="15" customHeight="1">
      <c r="A281" t="inlineStr">
        <is>
          <t>A 61100-2022</t>
        </is>
      </c>
      <c r="B281" s="1" t="n">
        <v>44915</v>
      </c>
      <c r="C281" s="1" t="n">
        <v>45941</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15595-2024</t>
        </is>
      </c>
      <c r="B282" s="1" t="n">
        <v>45401.81480324074</v>
      </c>
      <c r="C282" s="1" t="n">
        <v>45941</v>
      </c>
      <c r="D282" t="inlineStr">
        <is>
          <t>GOTLANDS LÄN</t>
        </is>
      </c>
      <c r="E282" t="inlineStr">
        <is>
          <t>GOTLAND</t>
        </is>
      </c>
      <c r="G282" t="n">
        <v>6.4</v>
      </c>
      <c r="H282" t="n">
        <v>0</v>
      </c>
      <c r="I282" t="n">
        <v>0</v>
      </c>
      <c r="J282" t="n">
        <v>0</v>
      </c>
      <c r="K282" t="n">
        <v>0</v>
      </c>
      <c r="L282" t="n">
        <v>0</v>
      </c>
      <c r="M282" t="n">
        <v>0</v>
      </c>
      <c r="N282" t="n">
        <v>0</v>
      </c>
      <c r="O282" t="n">
        <v>0</v>
      </c>
      <c r="P282" t="n">
        <v>0</v>
      </c>
      <c r="Q282" t="n">
        <v>0</v>
      </c>
      <c r="R282" s="2" t="inlineStr"/>
    </row>
    <row r="283" ht="15" customHeight="1">
      <c r="A283" t="inlineStr">
        <is>
          <t>A 5751-2024</t>
        </is>
      </c>
      <c r="B283" s="1" t="n">
        <v>45335.32702546296</v>
      </c>
      <c r="C283" s="1" t="n">
        <v>45941</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61682-2024</t>
        </is>
      </c>
      <c r="B284" s="1" t="n">
        <v>45647.48824074074</v>
      </c>
      <c r="C284" s="1" t="n">
        <v>45941</v>
      </c>
      <c r="D284" t="inlineStr">
        <is>
          <t>GOTLANDS LÄN</t>
        </is>
      </c>
      <c r="E284" t="inlineStr">
        <is>
          <t>GOTLAND</t>
        </is>
      </c>
      <c r="G284" t="n">
        <v>1.9</v>
      </c>
      <c r="H284" t="n">
        <v>0</v>
      </c>
      <c r="I284" t="n">
        <v>0</v>
      </c>
      <c r="J284" t="n">
        <v>0</v>
      </c>
      <c r="K284" t="n">
        <v>0</v>
      </c>
      <c r="L284" t="n">
        <v>0</v>
      </c>
      <c r="M284" t="n">
        <v>0</v>
      </c>
      <c r="N284" t="n">
        <v>0</v>
      </c>
      <c r="O284" t="n">
        <v>0</v>
      </c>
      <c r="P284" t="n">
        <v>0</v>
      </c>
      <c r="Q284" t="n">
        <v>0</v>
      </c>
      <c r="R284" s="2" t="inlineStr"/>
    </row>
    <row r="285" ht="15" customHeight="1">
      <c r="A285" t="inlineStr">
        <is>
          <t>A 27371-2025</t>
        </is>
      </c>
      <c r="B285" s="1" t="n">
        <v>45812</v>
      </c>
      <c r="C285" s="1" t="n">
        <v>45941</v>
      </c>
      <c r="D285" t="inlineStr">
        <is>
          <t>GOTLANDS LÄN</t>
        </is>
      </c>
      <c r="E285" t="inlineStr">
        <is>
          <t>GOTLAND</t>
        </is>
      </c>
      <c r="G285" t="n">
        <v>8</v>
      </c>
      <c r="H285" t="n">
        <v>0</v>
      </c>
      <c r="I285" t="n">
        <v>0</v>
      </c>
      <c r="J285" t="n">
        <v>0</v>
      </c>
      <c r="K285" t="n">
        <v>0</v>
      </c>
      <c r="L285" t="n">
        <v>0</v>
      </c>
      <c r="M285" t="n">
        <v>0</v>
      </c>
      <c r="N285" t="n">
        <v>0</v>
      </c>
      <c r="O285" t="n">
        <v>0</v>
      </c>
      <c r="P285" t="n">
        <v>0</v>
      </c>
      <c r="Q285" t="n">
        <v>0</v>
      </c>
      <c r="R285" s="2" t="inlineStr"/>
    </row>
    <row r="286" ht="15" customHeight="1">
      <c r="A286" t="inlineStr">
        <is>
          <t>A 27355-2025</t>
        </is>
      </c>
      <c r="B286" s="1" t="n">
        <v>45812</v>
      </c>
      <c r="C286" s="1" t="n">
        <v>45941</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8036-2022</t>
        </is>
      </c>
      <c r="B287" s="1" t="n">
        <v>44609.44362268518</v>
      </c>
      <c r="C287" s="1" t="n">
        <v>45941</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12846-2025</t>
        </is>
      </c>
      <c r="B288" s="1" t="n">
        <v>45733.65049768519</v>
      </c>
      <c r="C288" s="1" t="n">
        <v>45941</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6739-2025</t>
        </is>
      </c>
      <c r="B289" s="1" t="n">
        <v>45700</v>
      </c>
      <c r="C289" s="1" t="n">
        <v>45941</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7850-2025</t>
        </is>
      </c>
      <c r="B290" s="1" t="n">
        <v>45706</v>
      </c>
      <c r="C290" s="1" t="n">
        <v>45941</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24966-2023</t>
        </is>
      </c>
      <c r="B291" s="1" t="n">
        <v>45085</v>
      </c>
      <c r="C291" s="1" t="n">
        <v>45941</v>
      </c>
      <c r="D291" t="inlineStr">
        <is>
          <t>GOTLANDS LÄN</t>
        </is>
      </c>
      <c r="E291" t="inlineStr">
        <is>
          <t>GOTLAND</t>
        </is>
      </c>
      <c r="G291" t="n">
        <v>7</v>
      </c>
      <c r="H291" t="n">
        <v>0</v>
      </c>
      <c r="I291" t="n">
        <v>0</v>
      </c>
      <c r="J291" t="n">
        <v>0</v>
      </c>
      <c r="K291" t="n">
        <v>0</v>
      </c>
      <c r="L291" t="n">
        <v>0</v>
      </c>
      <c r="M291" t="n">
        <v>0</v>
      </c>
      <c r="N291" t="n">
        <v>0</v>
      </c>
      <c r="O291" t="n">
        <v>0</v>
      </c>
      <c r="P291" t="n">
        <v>0</v>
      </c>
      <c r="Q291" t="n">
        <v>0</v>
      </c>
      <c r="R291" s="2" t="inlineStr"/>
    </row>
    <row r="292" ht="15" customHeight="1">
      <c r="A292" t="inlineStr">
        <is>
          <t>A 46949-2024</t>
        </is>
      </c>
      <c r="B292" s="1" t="n">
        <v>45585</v>
      </c>
      <c r="C292" s="1" t="n">
        <v>45941</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46189-2022</t>
        </is>
      </c>
      <c r="B293" s="1" t="n">
        <v>44847</v>
      </c>
      <c r="C293" s="1" t="n">
        <v>45941</v>
      </c>
      <c r="D293" t="inlineStr">
        <is>
          <t>GOTLANDS LÄN</t>
        </is>
      </c>
      <c r="E293" t="inlineStr">
        <is>
          <t>GOTLAND</t>
        </is>
      </c>
      <c r="G293" t="n">
        <v>0.4</v>
      </c>
      <c r="H293" t="n">
        <v>0</v>
      </c>
      <c r="I293" t="n">
        <v>0</v>
      </c>
      <c r="J293" t="n">
        <v>0</v>
      </c>
      <c r="K293" t="n">
        <v>0</v>
      </c>
      <c r="L293" t="n">
        <v>0</v>
      </c>
      <c r="M293" t="n">
        <v>0</v>
      </c>
      <c r="N293" t="n">
        <v>0</v>
      </c>
      <c r="O293" t="n">
        <v>0</v>
      </c>
      <c r="P293" t="n">
        <v>0</v>
      </c>
      <c r="Q293" t="n">
        <v>0</v>
      </c>
      <c r="R293" s="2" t="inlineStr"/>
    </row>
    <row r="294" ht="15" customHeight="1">
      <c r="A294" t="inlineStr">
        <is>
          <t>A 58388-2022</t>
        </is>
      </c>
      <c r="B294" s="1" t="n">
        <v>44894</v>
      </c>
      <c r="C294" s="1" t="n">
        <v>45941</v>
      </c>
      <c r="D294" t="inlineStr">
        <is>
          <t>GOTLANDS LÄN</t>
        </is>
      </c>
      <c r="E294" t="inlineStr">
        <is>
          <t>GOTLAND</t>
        </is>
      </c>
      <c r="F294" t="inlineStr">
        <is>
          <t>Övriga statliga verk och myndigheter</t>
        </is>
      </c>
      <c r="G294" t="n">
        <v>3.1</v>
      </c>
      <c r="H294" t="n">
        <v>0</v>
      </c>
      <c r="I294" t="n">
        <v>0</v>
      </c>
      <c r="J294" t="n">
        <v>0</v>
      </c>
      <c r="K294" t="n">
        <v>0</v>
      </c>
      <c r="L294" t="n">
        <v>0</v>
      </c>
      <c r="M294" t="n">
        <v>0</v>
      </c>
      <c r="N294" t="n">
        <v>0</v>
      </c>
      <c r="O294" t="n">
        <v>0</v>
      </c>
      <c r="P294" t="n">
        <v>0</v>
      </c>
      <c r="Q294" t="n">
        <v>0</v>
      </c>
      <c r="R294" s="2" t="inlineStr"/>
    </row>
    <row r="295" ht="15" customHeight="1">
      <c r="A295" t="inlineStr">
        <is>
          <t>A 10650-2022</t>
        </is>
      </c>
      <c r="B295" s="1" t="n">
        <v>44624.57945601852</v>
      </c>
      <c r="C295" s="1" t="n">
        <v>45941</v>
      </c>
      <c r="D295" t="inlineStr">
        <is>
          <t>GOTLANDS LÄN</t>
        </is>
      </c>
      <c r="E295" t="inlineStr">
        <is>
          <t>GOTLAND</t>
        </is>
      </c>
      <c r="G295" t="n">
        <v>1.1</v>
      </c>
      <c r="H295" t="n">
        <v>0</v>
      </c>
      <c r="I295" t="n">
        <v>0</v>
      </c>
      <c r="J295" t="n">
        <v>0</v>
      </c>
      <c r="K295" t="n">
        <v>0</v>
      </c>
      <c r="L295" t="n">
        <v>0</v>
      </c>
      <c r="M295" t="n">
        <v>0</v>
      </c>
      <c r="N295" t="n">
        <v>0</v>
      </c>
      <c r="O295" t="n">
        <v>0</v>
      </c>
      <c r="P295" t="n">
        <v>0</v>
      </c>
      <c r="Q295" t="n">
        <v>0</v>
      </c>
      <c r="R295" s="2" t="inlineStr"/>
    </row>
    <row r="296" ht="15" customHeight="1">
      <c r="A296" t="inlineStr">
        <is>
          <t>A 8444-2025</t>
        </is>
      </c>
      <c r="B296" s="1" t="n">
        <v>45709</v>
      </c>
      <c r="C296" s="1" t="n">
        <v>45941</v>
      </c>
      <c r="D296" t="inlineStr">
        <is>
          <t>GOTLANDS LÄN</t>
        </is>
      </c>
      <c r="E296" t="inlineStr">
        <is>
          <t>GOTLAND</t>
        </is>
      </c>
      <c r="G296" t="n">
        <v>5.2</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45941</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19905-2025</t>
        </is>
      </c>
      <c r="B298" s="1" t="n">
        <v>45771</v>
      </c>
      <c r="C298" s="1" t="n">
        <v>45941</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29196-2025</t>
        </is>
      </c>
      <c r="B299" s="1" t="n">
        <v>45822</v>
      </c>
      <c r="C299" s="1" t="n">
        <v>45941</v>
      </c>
      <c r="D299" t="inlineStr">
        <is>
          <t>GOTLANDS LÄN</t>
        </is>
      </c>
      <c r="E299" t="inlineStr">
        <is>
          <t>GOTLAND</t>
        </is>
      </c>
      <c r="G299" t="n">
        <v>0.5</v>
      </c>
      <c r="H299" t="n">
        <v>0</v>
      </c>
      <c r="I299" t="n">
        <v>0</v>
      </c>
      <c r="J299" t="n">
        <v>0</v>
      </c>
      <c r="K299" t="n">
        <v>0</v>
      </c>
      <c r="L299" t="n">
        <v>0</v>
      </c>
      <c r="M299" t="n">
        <v>0</v>
      </c>
      <c r="N299" t="n">
        <v>0</v>
      </c>
      <c r="O299" t="n">
        <v>0</v>
      </c>
      <c r="P299" t="n">
        <v>0</v>
      </c>
      <c r="Q299" t="n">
        <v>0</v>
      </c>
      <c r="R299" s="2" t="inlineStr"/>
    </row>
    <row r="300" ht="15" customHeight="1">
      <c r="A300" t="inlineStr">
        <is>
          <t>A 29207-2025</t>
        </is>
      </c>
      <c r="B300" s="1" t="n">
        <v>45823</v>
      </c>
      <c r="C300" s="1" t="n">
        <v>45941</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22031-2024</t>
        </is>
      </c>
      <c r="B301" s="1" t="n">
        <v>45443.60075231481</v>
      </c>
      <c r="C301" s="1" t="n">
        <v>45941</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49314-2024</t>
        </is>
      </c>
      <c r="B302" s="1" t="n">
        <v>45595.55893518519</v>
      </c>
      <c r="C302" s="1" t="n">
        <v>45941</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30061-2025</t>
        </is>
      </c>
      <c r="B303" s="1" t="n">
        <v>45826.61488425926</v>
      </c>
      <c r="C303" s="1" t="n">
        <v>45941</v>
      </c>
      <c r="D303" t="inlineStr">
        <is>
          <t>GOTLANDS LÄN</t>
        </is>
      </c>
      <c r="E303" t="inlineStr">
        <is>
          <t>GOTLAND</t>
        </is>
      </c>
      <c r="G303" t="n">
        <v>4.1</v>
      </c>
      <c r="H303" t="n">
        <v>0</v>
      </c>
      <c r="I303" t="n">
        <v>0</v>
      </c>
      <c r="J303" t="n">
        <v>0</v>
      </c>
      <c r="K303" t="n">
        <v>0</v>
      </c>
      <c r="L303" t="n">
        <v>0</v>
      </c>
      <c r="M303" t="n">
        <v>0</v>
      </c>
      <c r="N303" t="n">
        <v>0</v>
      </c>
      <c r="O303" t="n">
        <v>0</v>
      </c>
      <c r="P303" t="n">
        <v>0</v>
      </c>
      <c r="Q303" t="n">
        <v>0</v>
      </c>
      <c r="R303" s="2" t="inlineStr"/>
    </row>
    <row r="304" ht="15" customHeight="1">
      <c r="A304" t="inlineStr">
        <is>
          <t>A 44919-2022</t>
        </is>
      </c>
      <c r="B304" s="1" t="n">
        <v>44841</v>
      </c>
      <c r="C304" s="1" t="n">
        <v>45941</v>
      </c>
      <c r="D304" t="inlineStr">
        <is>
          <t>GOTLANDS LÄN</t>
        </is>
      </c>
      <c r="E304" t="inlineStr">
        <is>
          <t>GOTLAND</t>
        </is>
      </c>
      <c r="G304" t="n">
        <v>2.2</v>
      </c>
      <c r="H304" t="n">
        <v>0</v>
      </c>
      <c r="I304" t="n">
        <v>0</v>
      </c>
      <c r="J304" t="n">
        <v>0</v>
      </c>
      <c r="K304" t="n">
        <v>0</v>
      </c>
      <c r="L304" t="n">
        <v>0</v>
      </c>
      <c r="M304" t="n">
        <v>0</v>
      </c>
      <c r="N304" t="n">
        <v>0</v>
      </c>
      <c r="O304" t="n">
        <v>0</v>
      </c>
      <c r="P304" t="n">
        <v>0</v>
      </c>
      <c r="Q304" t="n">
        <v>0</v>
      </c>
      <c r="R304" s="2" t="inlineStr"/>
    </row>
    <row r="305" ht="15" customHeight="1">
      <c r="A305" t="inlineStr">
        <is>
          <t>A 17688-2024</t>
        </is>
      </c>
      <c r="B305" s="1" t="n">
        <v>45418.43575231481</v>
      </c>
      <c r="C305" s="1" t="n">
        <v>45941</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11634-2024</t>
        </is>
      </c>
      <c r="B306" s="1" t="n">
        <v>45373</v>
      </c>
      <c r="C306" s="1" t="n">
        <v>45941</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7837-2024</t>
        </is>
      </c>
      <c r="B307" s="1" t="n">
        <v>45349.83787037037</v>
      </c>
      <c r="C307" s="1" t="n">
        <v>45941</v>
      </c>
      <c r="D307" t="inlineStr">
        <is>
          <t>GOTLANDS LÄN</t>
        </is>
      </c>
      <c r="E307" t="inlineStr">
        <is>
          <t>GOTLAND</t>
        </is>
      </c>
      <c r="G307" t="n">
        <v>5</v>
      </c>
      <c r="H307" t="n">
        <v>0</v>
      </c>
      <c r="I307" t="n">
        <v>0</v>
      </c>
      <c r="J307" t="n">
        <v>0</v>
      </c>
      <c r="K307" t="n">
        <v>0</v>
      </c>
      <c r="L307" t="n">
        <v>0</v>
      </c>
      <c r="M307" t="n">
        <v>0</v>
      </c>
      <c r="N307" t="n">
        <v>0</v>
      </c>
      <c r="O307" t="n">
        <v>0</v>
      </c>
      <c r="P307" t="n">
        <v>0</v>
      </c>
      <c r="Q307" t="n">
        <v>0</v>
      </c>
      <c r="R307" s="2" t="inlineStr"/>
    </row>
    <row r="308" ht="15" customHeight="1">
      <c r="A308" t="inlineStr">
        <is>
          <t>A 1351-2025</t>
        </is>
      </c>
      <c r="B308" s="1" t="n">
        <v>45667.62246527777</v>
      </c>
      <c r="C308" s="1" t="n">
        <v>45941</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39496-2022</t>
        </is>
      </c>
      <c r="B309" s="1" t="n">
        <v>44818</v>
      </c>
      <c r="C309" s="1" t="n">
        <v>45941</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45941</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49874-2024</t>
        </is>
      </c>
      <c r="B311" s="1" t="n">
        <v>45597.49274305555</v>
      </c>
      <c r="C311" s="1" t="n">
        <v>45941</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48503-2023</t>
        </is>
      </c>
      <c r="B312" s="1" t="n">
        <v>45207</v>
      </c>
      <c r="C312" s="1" t="n">
        <v>45941</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45941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42201-2023</t>
        </is>
      </c>
      <c r="B314" s="1" t="n">
        <v>45179</v>
      </c>
      <c r="C314" s="1" t="n">
        <v>45941</v>
      </c>
      <c r="D314" t="inlineStr">
        <is>
          <t>GOTLANDS LÄN</t>
        </is>
      </c>
      <c r="E314" t="inlineStr">
        <is>
          <t>GOTLAND</t>
        </is>
      </c>
      <c r="G314" t="n">
        <v>11.9</v>
      </c>
      <c r="H314" t="n">
        <v>0</v>
      </c>
      <c r="I314" t="n">
        <v>0</v>
      </c>
      <c r="J314" t="n">
        <v>0</v>
      </c>
      <c r="K314" t="n">
        <v>0</v>
      </c>
      <c r="L314" t="n">
        <v>0</v>
      </c>
      <c r="M314" t="n">
        <v>0</v>
      </c>
      <c r="N314" t="n">
        <v>0</v>
      </c>
      <c r="O314" t="n">
        <v>0</v>
      </c>
      <c r="P314" t="n">
        <v>0</v>
      </c>
      <c r="Q314" t="n">
        <v>0</v>
      </c>
      <c r="R314" s="2" t="inlineStr"/>
    </row>
    <row r="315" ht="15" customHeight="1">
      <c r="A315" t="inlineStr">
        <is>
          <t>A 65901-2021</t>
        </is>
      </c>
      <c r="B315" s="1" t="n">
        <v>44516</v>
      </c>
      <c r="C315" s="1" t="n">
        <v>45941</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46400-2023</t>
        </is>
      </c>
      <c r="B316" s="1" t="n">
        <v>45197.49290509259</v>
      </c>
      <c r="C316" s="1" t="n">
        <v>45941</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9875-2025</t>
        </is>
      </c>
      <c r="B317" s="1" t="n">
        <v>45716</v>
      </c>
      <c r="C317" s="1" t="n">
        <v>45941</v>
      </c>
      <c r="D317" t="inlineStr">
        <is>
          <t>GOTLANDS LÄN</t>
        </is>
      </c>
      <c r="E317" t="inlineStr">
        <is>
          <t>GOTLAND</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44649-2021</t>
        </is>
      </c>
      <c r="B318" s="1" t="n">
        <v>44437</v>
      </c>
      <c r="C318" s="1" t="n">
        <v>45941</v>
      </c>
      <c r="D318" t="inlineStr">
        <is>
          <t>GOTLANDS LÄN</t>
        </is>
      </c>
      <c r="E318" t="inlineStr">
        <is>
          <t>GOTLAND</t>
        </is>
      </c>
      <c r="G318" t="n">
        <v>8.1</v>
      </c>
      <c r="H318" t="n">
        <v>0</v>
      </c>
      <c r="I318" t="n">
        <v>0</v>
      </c>
      <c r="J318" t="n">
        <v>0</v>
      </c>
      <c r="K318" t="n">
        <v>0</v>
      </c>
      <c r="L318" t="n">
        <v>0</v>
      </c>
      <c r="M318" t="n">
        <v>0</v>
      </c>
      <c r="N318" t="n">
        <v>0</v>
      </c>
      <c r="O318" t="n">
        <v>0</v>
      </c>
      <c r="P318" t="n">
        <v>0</v>
      </c>
      <c r="Q318" t="n">
        <v>0</v>
      </c>
      <c r="R318" s="2" t="inlineStr"/>
    </row>
    <row r="319" ht="15" customHeight="1">
      <c r="A319" t="inlineStr">
        <is>
          <t>A 21164-2024</t>
        </is>
      </c>
      <c r="B319" s="1" t="n">
        <v>45440</v>
      </c>
      <c r="C319" s="1" t="n">
        <v>45941</v>
      </c>
      <c r="D319" t="inlineStr">
        <is>
          <t>GOTLANDS LÄN</t>
        </is>
      </c>
      <c r="E319" t="inlineStr">
        <is>
          <t>GOTLAND</t>
        </is>
      </c>
      <c r="G319" t="n">
        <v>6.3</v>
      </c>
      <c r="H319" t="n">
        <v>0</v>
      </c>
      <c r="I319" t="n">
        <v>0</v>
      </c>
      <c r="J319" t="n">
        <v>0</v>
      </c>
      <c r="K319" t="n">
        <v>0</v>
      </c>
      <c r="L319" t="n">
        <v>0</v>
      </c>
      <c r="M319" t="n">
        <v>0</v>
      </c>
      <c r="N319" t="n">
        <v>0</v>
      </c>
      <c r="O319" t="n">
        <v>0</v>
      </c>
      <c r="P319" t="n">
        <v>0</v>
      </c>
      <c r="Q319" t="n">
        <v>0</v>
      </c>
      <c r="R319" s="2" t="inlineStr"/>
    </row>
    <row r="320" ht="15" customHeight="1">
      <c r="A320" t="inlineStr">
        <is>
          <t>A 8045-2022</t>
        </is>
      </c>
      <c r="B320" s="1" t="n">
        <v>44609</v>
      </c>
      <c r="C320" s="1" t="n">
        <v>45941</v>
      </c>
      <c r="D320" t="inlineStr">
        <is>
          <t>GOTLANDS LÄN</t>
        </is>
      </c>
      <c r="E320" t="inlineStr">
        <is>
          <t>GOTLAND</t>
        </is>
      </c>
      <c r="G320" t="n">
        <v>7</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45941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35512-2023</t>
        </is>
      </c>
      <c r="B322" s="1" t="n">
        <v>45147.25623842593</v>
      </c>
      <c r="C322" s="1" t="n">
        <v>45941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5905-2024</t>
        </is>
      </c>
      <c r="B323" s="1" t="n">
        <v>45335.88993055555</v>
      </c>
      <c r="C323" s="1" t="n">
        <v>45941</v>
      </c>
      <c r="D323" t="inlineStr">
        <is>
          <t>GOTLANDS LÄN</t>
        </is>
      </c>
      <c r="E323" t="inlineStr">
        <is>
          <t>GOTLAND</t>
        </is>
      </c>
      <c r="G323" t="n">
        <v>3</v>
      </c>
      <c r="H323" t="n">
        <v>0</v>
      </c>
      <c r="I323" t="n">
        <v>0</v>
      </c>
      <c r="J323" t="n">
        <v>0</v>
      </c>
      <c r="K323" t="n">
        <v>0</v>
      </c>
      <c r="L323" t="n">
        <v>0</v>
      </c>
      <c r="M323" t="n">
        <v>0</v>
      </c>
      <c r="N323" t="n">
        <v>0</v>
      </c>
      <c r="O323" t="n">
        <v>0</v>
      </c>
      <c r="P323" t="n">
        <v>0</v>
      </c>
      <c r="Q323" t="n">
        <v>0</v>
      </c>
      <c r="R323" s="2" t="inlineStr"/>
    </row>
    <row r="324" ht="15" customHeight="1">
      <c r="A324" t="inlineStr">
        <is>
          <t>A 44304-2021</t>
        </is>
      </c>
      <c r="B324" s="1" t="n">
        <v>44434</v>
      </c>
      <c r="C324" s="1" t="n">
        <v>45941</v>
      </c>
      <c r="D324" t="inlineStr">
        <is>
          <t>GOTLANDS LÄN</t>
        </is>
      </c>
      <c r="E324" t="inlineStr">
        <is>
          <t>GOTLAND</t>
        </is>
      </c>
      <c r="G324" t="n">
        <v>5.8</v>
      </c>
      <c r="H324" t="n">
        <v>0</v>
      </c>
      <c r="I324" t="n">
        <v>0</v>
      </c>
      <c r="J324" t="n">
        <v>0</v>
      </c>
      <c r="K324" t="n">
        <v>0</v>
      </c>
      <c r="L324" t="n">
        <v>0</v>
      </c>
      <c r="M324" t="n">
        <v>0</v>
      </c>
      <c r="N324" t="n">
        <v>0</v>
      </c>
      <c r="O324" t="n">
        <v>0</v>
      </c>
      <c r="P324" t="n">
        <v>0</v>
      </c>
      <c r="Q324" t="n">
        <v>0</v>
      </c>
      <c r="R324" s="2" t="inlineStr"/>
    </row>
    <row r="325" ht="15" customHeight="1">
      <c r="A325" t="inlineStr">
        <is>
          <t>A 17682-2024</t>
        </is>
      </c>
      <c r="B325" s="1" t="n">
        <v>45418.42966435185</v>
      </c>
      <c r="C325" s="1" t="n">
        <v>45941</v>
      </c>
      <c r="D325" t="inlineStr">
        <is>
          <t>GOTLANDS LÄN</t>
        </is>
      </c>
      <c r="E325" t="inlineStr">
        <is>
          <t>GOTLAND</t>
        </is>
      </c>
      <c r="G325" t="n">
        <v>2.9</v>
      </c>
      <c r="H325" t="n">
        <v>0</v>
      </c>
      <c r="I325" t="n">
        <v>0</v>
      </c>
      <c r="J325" t="n">
        <v>0</v>
      </c>
      <c r="K325" t="n">
        <v>0</v>
      </c>
      <c r="L325" t="n">
        <v>0</v>
      </c>
      <c r="M325" t="n">
        <v>0</v>
      </c>
      <c r="N325" t="n">
        <v>0</v>
      </c>
      <c r="O325" t="n">
        <v>0</v>
      </c>
      <c r="P325" t="n">
        <v>0</v>
      </c>
      <c r="Q325" t="n">
        <v>0</v>
      </c>
      <c r="R325" s="2" t="inlineStr"/>
    </row>
    <row r="326" ht="15" customHeight="1">
      <c r="A326" t="inlineStr">
        <is>
          <t>A 57522-2022</t>
        </is>
      </c>
      <c r="B326" s="1" t="n">
        <v>44896</v>
      </c>
      <c r="C326" s="1" t="n">
        <v>45941</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22897-2023</t>
        </is>
      </c>
      <c r="B327" s="1" t="n">
        <v>45072.55239583334</v>
      </c>
      <c r="C327" s="1" t="n">
        <v>45941</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1291-2023</t>
        </is>
      </c>
      <c r="B328" s="1" t="n">
        <v>44936.47561342592</v>
      </c>
      <c r="C328" s="1" t="n">
        <v>45941</v>
      </c>
      <c r="D328" t="inlineStr">
        <is>
          <t>GOTLANDS LÄN</t>
        </is>
      </c>
      <c r="E328" t="inlineStr">
        <is>
          <t>GOTLAND</t>
        </is>
      </c>
      <c r="G328" t="n">
        <v>7.4</v>
      </c>
      <c r="H328" t="n">
        <v>0</v>
      </c>
      <c r="I328" t="n">
        <v>0</v>
      </c>
      <c r="J328" t="n">
        <v>0</v>
      </c>
      <c r="K328" t="n">
        <v>0</v>
      </c>
      <c r="L328" t="n">
        <v>0</v>
      </c>
      <c r="M328" t="n">
        <v>0</v>
      </c>
      <c r="N328" t="n">
        <v>0</v>
      </c>
      <c r="O328" t="n">
        <v>0</v>
      </c>
      <c r="P328" t="n">
        <v>0</v>
      </c>
      <c r="Q328" t="n">
        <v>0</v>
      </c>
      <c r="R328" s="2" t="inlineStr"/>
    </row>
    <row r="329" ht="15" customHeight="1">
      <c r="A329" t="inlineStr">
        <is>
          <t>A 57652-2023</t>
        </is>
      </c>
      <c r="B329" s="1" t="n">
        <v>45246</v>
      </c>
      <c r="C329" s="1" t="n">
        <v>45941</v>
      </c>
      <c r="D329" t="inlineStr">
        <is>
          <t>GOTLANDS LÄN</t>
        </is>
      </c>
      <c r="E329" t="inlineStr">
        <is>
          <t>GOTLAND</t>
        </is>
      </c>
      <c r="G329" t="n">
        <v>7.2</v>
      </c>
      <c r="H329" t="n">
        <v>0</v>
      </c>
      <c r="I329" t="n">
        <v>0</v>
      </c>
      <c r="J329" t="n">
        <v>0</v>
      </c>
      <c r="K329" t="n">
        <v>0</v>
      </c>
      <c r="L329" t="n">
        <v>0</v>
      </c>
      <c r="M329" t="n">
        <v>0</v>
      </c>
      <c r="N329" t="n">
        <v>0</v>
      </c>
      <c r="O329" t="n">
        <v>0</v>
      </c>
      <c r="P329" t="n">
        <v>0</v>
      </c>
      <c r="Q329" t="n">
        <v>0</v>
      </c>
      <c r="R329" s="2" t="inlineStr"/>
    </row>
    <row r="330" ht="15" customHeight="1">
      <c r="A330" t="inlineStr">
        <is>
          <t>A 32379-2025</t>
        </is>
      </c>
      <c r="B330" s="1" t="n">
        <v>45837</v>
      </c>
      <c r="C330" s="1" t="n">
        <v>45941</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61897-2024</t>
        </is>
      </c>
      <c r="B331" s="1" t="n">
        <v>45652.75685185185</v>
      </c>
      <c r="C331" s="1" t="n">
        <v>45941</v>
      </c>
      <c r="D331" t="inlineStr">
        <is>
          <t>GOTLANDS LÄN</t>
        </is>
      </c>
      <c r="E331" t="inlineStr">
        <is>
          <t>GOTLAND</t>
        </is>
      </c>
      <c r="G331" t="n">
        <v>6.4</v>
      </c>
      <c r="H331" t="n">
        <v>0</v>
      </c>
      <c r="I331" t="n">
        <v>0</v>
      </c>
      <c r="J331" t="n">
        <v>0</v>
      </c>
      <c r="K331" t="n">
        <v>0</v>
      </c>
      <c r="L331" t="n">
        <v>0</v>
      </c>
      <c r="M331" t="n">
        <v>0</v>
      </c>
      <c r="N331" t="n">
        <v>0</v>
      </c>
      <c r="O331" t="n">
        <v>0</v>
      </c>
      <c r="P331" t="n">
        <v>0</v>
      </c>
      <c r="Q331" t="n">
        <v>0</v>
      </c>
      <c r="R331" s="2" t="inlineStr"/>
    </row>
    <row r="332" ht="15" customHeight="1">
      <c r="A332" t="inlineStr">
        <is>
          <t>A 32467-2025</t>
        </is>
      </c>
      <c r="B332" s="1" t="n">
        <v>45838.42111111111</v>
      </c>
      <c r="C332" s="1" t="n">
        <v>45941</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49315-2024</t>
        </is>
      </c>
      <c r="B333" s="1" t="n">
        <v>45595</v>
      </c>
      <c r="C333" s="1" t="n">
        <v>45941</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32378-2025</t>
        </is>
      </c>
      <c r="B334" s="1" t="n">
        <v>45837</v>
      </c>
      <c r="C334" s="1" t="n">
        <v>45941</v>
      </c>
      <c r="D334" t="inlineStr">
        <is>
          <t>GOTLANDS LÄN</t>
        </is>
      </c>
      <c r="E334" t="inlineStr">
        <is>
          <t>GOTLAND</t>
        </is>
      </c>
      <c r="G334" t="n">
        <v>4.1</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45941</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33078-2025</t>
        </is>
      </c>
      <c r="B336" s="1" t="n">
        <v>45840</v>
      </c>
      <c r="C336" s="1" t="n">
        <v>45941</v>
      </c>
      <c r="D336" t="inlineStr">
        <is>
          <t>GOTLANDS LÄN</t>
        </is>
      </c>
      <c r="E336" t="inlineStr">
        <is>
          <t>GOTLAND</t>
        </is>
      </c>
      <c r="G336" t="n">
        <v>0.8</v>
      </c>
      <c r="H336" t="n">
        <v>0</v>
      </c>
      <c r="I336" t="n">
        <v>0</v>
      </c>
      <c r="J336" t="n">
        <v>0</v>
      </c>
      <c r="K336" t="n">
        <v>0</v>
      </c>
      <c r="L336" t="n">
        <v>0</v>
      </c>
      <c r="M336" t="n">
        <v>0</v>
      </c>
      <c r="N336" t="n">
        <v>0</v>
      </c>
      <c r="O336" t="n">
        <v>0</v>
      </c>
      <c r="P336" t="n">
        <v>0</v>
      </c>
      <c r="Q336" t="n">
        <v>0</v>
      </c>
      <c r="R336" s="2" t="inlineStr"/>
    </row>
    <row r="337" ht="15" customHeight="1">
      <c r="A337" t="inlineStr">
        <is>
          <t>A 45106-2024</t>
        </is>
      </c>
      <c r="B337" s="1" t="n">
        <v>45575</v>
      </c>
      <c r="C337" s="1" t="n">
        <v>45941</v>
      </c>
      <c r="D337" t="inlineStr">
        <is>
          <t>GOTLANDS LÄN</t>
        </is>
      </c>
      <c r="E337" t="inlineStr">
        <is>
          <t>GOTLAND</t>
        </is>
      </c>
      <c r="G337" t="n">
        <v>10</v>
      </c>
      <c r="H337" t="n">
        <v>0</v>
      </c>
      <c r="I337" t="n">
        <v>0</v>
      </c>
      <c r="J337" t="n">
        <v>0</v>
      </c>
      <c r="K337" t="n">
        <v>0</v>
      </c>
      <c r="L337" t="n">
        <v>0</v>
      </c>
      <c r="M337" t="n">
        <v>0</v>
      </c>
      <c r="N337" t="n">
        <v>0</v>
      </c>
      <c r="O337" t="n">
        <v>0</v>
      </c>
      <c r="P337" t="n">
        <v>0</v>
      </c>
      <c r="Q337" t="n">
        <v>0</v>
      </c>
      <c r="R337" s="2" t="inlineStr"/>
    </row>
    <row r="338" ht="15" customHeight="1">
      <c r="A338" t="inlineStr">
        <is>
          <t>A 45112-2024</t>
        </is>
      </c>
      <c r="B338" s="1" t="n">
        <v>45575</v>
      </c>
      <c r="C338" s="1" t="n">
        <v>45941</v>
      </c>
      <c r="D338" t="inlineStr">
        <is>
          <t>GOTLANDS LÄN</t>
        </is>
      </c>
      <c r="E338" t="inlineStr">
        <is>
          <t>GOTLAND</t>
        </is>
      </c>
      <c r="G338" t="n">
        <v>5.1</v>
      </c>
      <c r="H338" t="n">
        <v>0</v>
      </c>
      <c r="I338" t="n">
        <v>0</v>
      </c>
      <c r="J338" t="n">
        <v>0</v>
      </c>
      <c r="K338" t="n">
        <v>0</v>
      </c>
      <c r="L338" t="n">
        <v>0</v>
      </c>
      <c r="M338" t="n">
        <v>0</v>
      </c>
      <c r="N338" t="n">
        <v>0</v>
      </c>
      <c r="O338" t="n">
        <v>0</v>
      </c>
      <c r="P338" t="n">
        <v>0</v>
      </c>
      <c r="Q338" t="n">
        <v>0</v>
      </c>
      <c r="R338" s="2" t="inlineStr"/>
    </row>
    <row r="339" ht="15" customHeight="1">
      <c r="A339" t="inlineStr">
        <is>
          <t>A 33007-2025</t>
        </is>
      </c>
      <c r="B339" s="1" t="n">
        <v>45840</v>
      </c>
      <c r="C339" s="1" t="n">
        <v>45941</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33011-2025</t>
        </is>
      </c>
      <c r="B340" s="1" t="n">
        <v>45840</v>
      </c>
      <c r="C340" s="1" t="n">
        <v>45941</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2676-2023</t>
        </is>
      </c>
      <c r="B341" s="1" t="n">
        <v>44944</v>
      </c>
      <c r="C341" s="1" t="n">
        <v>45941</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49962-2023</t>
        </is>
      </c>
      <c r="B342" s="1" t="n">
        <v>45215.38775462963</v>
      </c>
      <c r="C342" s="1" t="n">
        <v>45941</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3150-2025</t>
        </is>
      </c>
      <c r="B343" s="1" t="n">
        <v>45679.28974537037</v>
      </c>
      <c r="C343" s="1" t="n">
        <v>45941</v>
      </c>
      <c r="D343" t="inlineStr">
        <is>
          <t>GOTLANDS LÄN</t>
        </is>
      </c>
      <c r="E343" t="inlineStr">
        <is>
          <t>GOTLAND</t>
        </is>
      </c>
      <c r="G343" t="n">
        <v>2.5</v>
      </c>
      <c r="H343" t="n">
        <v>0</v>
      </c>
      <c r="I343" t="n">
        <v>0</v>
      </c>
      <c r="J343" t="n">
        <v>0</v>
      </c>
      <c r="K343" t="n">
        <v>0</v>
      </c>
      <c r="L343" t="n">
        <v>0</v>
      </c>
      <c r="M343" t="n">
        <v>0</v>
      </c>
      <c r="N343" t="n">
        <v>0</v>
      </c>
      <c r="O343" t="n">
        <v>0</v>
      </c>
      <c r="P343" t="n">
        <v>0</v>
      </c>
      <c r="Q343" t="n">
        <v>0</v>
      </c>
      <c r="R343" s="2" t="inlineStr"/>
    </row>
    <row r="344" ht="15" customHeight="1">
      <c r="A344" t="inlineStr">
        <is>
          <t>A 8484-2025</t>
        </is>
      </c>
      <c r="B344" s="1" t="n">
        <v>45709</v>
      </c>
      <c r="C344" s="1" t="n">
        <v>45941</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7635-2025</t>
        </is>
      </c>
      <c r="B345" s="1" t="n">
        <v>45705</v>
      </c>
      <c r="C345" s="1" t="n">
        <v>45941</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7636-2025</t>
        </is>
      </c>
      <c r="B346" s="1" t="n">
        <v>45705.7687962963</v>
      </c>
      <c r="C346" s="1" t="n">
        <v>45941</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7639-2025</t>
        </is>
      </c>
      <c r="B347" s="1" t="n">
        <v>45705.77465277778</v>
      </c>
      <c r="C347" s="1" t="n">
        <v>45941</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45941</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20356-2022</t>
        </is>
      </c>
      <c r="B349" s="1" t="n">
        <v>44699</v>
      </c>
      <c r="C349" s="1" t="n">
        <v>45941</v>
      </c>
      <c r="D349" t="inlineStr">
        <is>
          <t>GOTLANDS LÄN</t>
        </is>
      </c>
      <c r="E349" t="inlineStr">
        <is>
          <t>GOTLAND</t>
        </is>
      </c>
      <c r="F349" t="inlineStr">
        <is>
          <t>Övriga Aktiebolag</t>
        </is>
      </c>
      <c r="G349" t="n">
        <v>4.4</v>
      </c>
      <c r="H349" t="n">
        <v>0</v>
      </c>
      <c r="I349" t="n">
        <v>0</v>
      </c>
      <c r="J349" t="n">
        <v>0</v>
      </c>
      <c r="K349" t="n">
        <v>0</v>
      </c>
      <c r="L349" t="n">
        <v>0</v>
      </c>
      <c r="M349" t="n">
        <v>0</v>
      </c>
      <c r="N349" t="n">
        <v>0</v>
      </c>
      <c r="O349" t="n">
        <v>0</v>
      </c>
      <c r="P349" t="n">
        <v>0</v>
      </c>
      <c r="Q349" t="n">
        <v>0</v>
      </c>
      <c r="R349" s="2" t="inlineStr"/>
    </row>
    <row r="350" ht="15" customHeight="1">
      <c r="A350" t="inlineStr">
        <is>
          <t>A 20356-2022</t>
        </is>
      </c>
      <c r="B350" s="1" t="n">
        <v>44699</v>
      </c>
      <c r="C350" s="1" t="n">
        <v>45941</v>
      </c>
      <c r="D350" t="inlineStr">
        <is>
          <t>GOTLANDS LÄN</t>
        </is>
      </c>
      <c r="E350" t="inlineStr">
        <is>
          <t>GOTLAND</t>
        </is>
      </c>
      <c r="F350" t="inlineStr">
        <is>
          <t>Övriga Aktiebolag</t>
        </is>
      </c>
      <c r="G350" t="n">
        <v>4.4</v>
      </c>
      <c r="H350" t="n">
        <v>0</v>
      </c>
      <c r="I350" t="n">
        <v>0</v>
      </c>
      <c r="J350" t="n">
        <v>0</v>
      </c>
      <c r="K350" t="n">
        <v>0</v>
      </c>
      <c r="L350" t="n">
        <v>0</v>
      </c>
      <c r="M350" t="n">
        <v>0</v>
      </c>
      <c r="N350" t="n">
        <v>0</v>
      </c>
      <c r="O350" t="n">
        <v>0</v>
      </c>
      <c r="P350" t="n">
        <v>0</v>
      </c>
      <c r="Q350" t="n">
        <v>0</v>
      </c>
      <c r="R350" s="2" t="inlineStr"/>
    </row>
    <row r="351" ht="15" customHeight="1">
      <c r="A351" t="inlineStr">
        <is>
          <t>A 48734-2022</t>
        </is>
      </c>
      <c r="B351" s="1" t="n">
        <v>44855</v>
      </c>
      <c r="C351" s="1" t="n">
        <v>45941</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14141-2024</t>
        </is>
      </c>
      <c r="B352" s="1" t="n">
        <v>45392.85193287037</v>
      </c>
      <c r="C352" s="1" t="n">
        <v>45941</v>
      </c>
      <c r="D352" t="inlineStr">
        <is>
          <t>GOTLANDS LÄN</t>
        </is>
      </c>
      <c r="E352" t="inlineStr">
        <is>
          <t>GOTLAND</t>
        </is>
      </c>
      <c r="G352" t="n">
        <v>5.3</v>
      </c>
      <c r="H352" t="n">
        <v>0</v>
      </c>
      <c r="I352" t="n">
        <v>0</v>
      </c>
      <c r="J352" t="n">
        <v>0</v>
      </c>
      <c r="K352" t="n">
        <v>0</v>
      </c>
      <c r="L352" t="n">
        <v>0</v>
      </c>
      <c r="M352" t="n">
        <v>0</v>
      </c>
      <c r="N352" t="n">
        <v>0</v>
      </c>
      <c r="O352" t="n">
        <v>0</v>
      </c>
      <c r="P352" t="n">
        <v>0</v>
      </c>
      <c r="Q352" t="n">
        <v>0</v>
      </c>
      <c r="R352" s="2" t="inlineStr"/>
    </row>
    <row r="353" ht="15" customHeight="1">
      <c r="A353" t="inlineStr">
        <is>
          <t>A 29809-2022</t>
        </is>
      </c>
      <c r="B353" s="1" t="n">
        <v>44755.8713425926</v>
      </c>
      <c r="C353" s="1" t="n">
        <v>45941</v>
      </c>
      <c r="D353" t="inlineStr">
        <is>
          <t>GOTLANDS LÄN</t>
        </is>
      </c>
      <c r="E353" t="inlineStr">
        <is>
          <t>GOTLAND</t>
        </is>
      </c>
      <c r="G353" t="n">
        <v>11.5</v>
      </c>
      <c r="H353" t="n">
        <v>0</v>
      </c>
      <c r="I353" t="n">
        <v>0</v>
      </c>
      <c r="J353" t="n">
        <v>0</v>
      </c>
      <c r="K353" t="n">
        <v>0</v>
      </c>
      <c r="L353" t="n">
        <v>0</v>
      </c>
      <c r="M353" t="n">
        <v>0</v>
      </c>
      <c r="N353" t="n">
        <v>0</v>
      </c>
      <c r="O353" t="n">
        <v>0</v>
      </c>
      <c r="P353" t="n">
        <v>0</v>
      </c>
      <c r="Q353" t="n">
        <v>0</v>
      </c>
      <c r="R353" s="2" t="inlineStr"/>
    </row>
    <row r="354" ht="15" customHeight="1">
      <c r="A354" t="inlineStr">
        <is>
          <t>A 40294-2022</t>
        </is>
      </c>
      <c r="B354" s="1" t="n">
        <v>44821</v>
      </c>
      <c r="C354" s="1" t="n">
        <v>45941</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12032-2025</t>
        </is>
      </c>
      <c r="B355" s="1" t="n">
        <v>45728.64472222222</v>
      </c>
      <c r="C355" s="1" t="n">
        <v>45941</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38787-2023</t>
        </is>
      </c>
      <c r="B356" s="1" t="n">
        <v>45163</v>
      </c>
      <c r="C356" s="1" t="n">
        <v>45941</v>
      </c>
      <c r="D356" t="inlineStr">
        <is>
          <t>GOTLANDS LÄN</t>
        </is>
      </c>
      <c r="E356" t="inlineStr">
        <is>
          <t>GOTLAND</t>
        </is>
      </c>
      <c r="G356" t="n">
        <v>0.4</v>
      </c>
      <c r="H356" t="n">
        <v>0</v>
      </c>
      <c r="I356" t="n">
        <v>0</v>
      </c>
      <c r="J356" t="n">
        <v>0</v>
      </c>
      <c r="K356" t="n">
        <v>0</v>
      </c>
      <c r="L356" t="n">
        <v>0</v>
      </c>
      <c r="M356" t="n">
        <v>0</v>
      </c>
      <c r="N356" t="n">
        <v>0</v>
      </c>
      <c r="O356" t="n">
        <v>0</v>
      </c>
      <c r="P356" t="n">
        <v>0</v>
      </c>
      <c r="Q356" t="n">
        <v>0</v>
      </c>
      <c r="R356" s="2" t="inlineStr"/>
    </row>
    <row r="357" ht="15" customHeight="1">
      <c r="A357" t="inlineStr">
        <is>
          <t>A 15413-2025</t>
        </is>
      </c>
      <c r="B357" s="1" t="n">
        <v>45747.451875</v>
      </c>
      <c r="C357" s="1" t="n">
        <v>45941</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43231-2023</t>
        </is>
      </c>
      <c r="B358" s="1" t="n">
        <v>45183.47025462963</v>
      </c>
      <c r="C358" s="1" t="n">
        <v>45941</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35123-2025</t>
        </is>
      </c>
      <c r="B359" s="1" t="n">
        <v>45852.614375</v>
      </c>
      <c r="C359" s="1" t="n">
        <v>45941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17532-2024</t>
        </is>
      </c>
      <c r="B360" s="1" t="n">
        <v>45415</v>
      </c>
      <c r="C360" s="1" t="n">
        <v>45941</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35096-2025</t>
        </is>
      </c>
      <c r="B361" s="1" t="n">
        <v>45852.54356481481</v>
      </c>
      <c r="C361" s="1" t="n">
        <v>45941</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57685-2022</t>
        </is>
      </c>
      <c r="B362" s="1" t="n">
        <v>44897.4777662037</v>
      </c>
      <c r="C362" s="1" t="n">
        <v>45941</v>
      </c>
      <c r="D362" t="inlineStr">
        <is>
          <t>GOTLANDS LÄN</t>
        </is>
      </c>
      <c r="E362" t="inlineStr">
        <is>
          <t>GOTLAND</t>
        </is>
      </c>
      <c r="G362" t="n">
        <v>3.7</v>
      </c>
      <c r="H362" t="n">
        <v>0</v>
      </c>
      <c r="I362" t="n">
        <v>0</v>
      </c>
      <c r="J362" t="n">
        <v>0</v>
      </c>
      <c r="K362" t="n">
        <v>0</v>
      </c>
      <c r="L362" t="n">
        <v>0</v>
      </c>
      <c r="M362" t="n">
        <v>0</v>
      </c>
      <c r="N362" t="n">
        <v>0</v>
      </c>
      <c r="O362" t="n">
        <v>0</v>
      </c>
      <c r="P362" t="n">
        <v>0</v>
      </c>
      <c r="Q362" t="n">
        <v>0</v>
      </c>
      <c r="R362" s="2" t="inlineStr"/>
    </row>
    <row r="363" ht="15" customHeight="1">
      <c r="A363" t="inlineStr">
        <is>
          <t>A 3935-2025</t>
        </is>
      </c>
      <c r="B363" s="1" t="n">
        <v>45684.46070601852</v>
      </c>
      <c r="C363" s="1" t="n">
        <v>45941</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45941</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30815-2023</t>
        </is>
      </c>
      <c r="B365" s="1" t="n">
        <v>45112</v>
      </c>
      <c r="C365" s="1" t="n">
        <v>45941</v>
      </c>
      <c r="D365" t="inlineStr">
        <is>
          <t>GOTLANDS LÄN</t>
        </is>
      </c>
      <c r="E365" t="inlineStr">
        <is>
          <t>GOTLAND</t>
        </is>
      </c>
      <c r="G365" t="n">
        <v>6</v>
      </c>
      <c r="H365" t="n">
        <v>0</v>
      </c>
      <c r="I365" t="n">
        <v>0</v>
      </c>
      <c r="J365" t="n">
        <v>0</v>
      </c>
      <c r="K365" t="n">
        <v>0</v>
      </c>
      <c r="L365" t="n">
        <v>0</v>
      </c>
      <c r="M365" t="n">
        <v>0</v>
      </c>
      <c r="N365" t="n">
        <v>0</v>
      </c>
      <c r="O365" t="n">
        <v>0</v>
      </c>
      <c r="P365" t="n">
        <v>0</v>
      </c>
      <c r="Q365" t="n">
        <v>0</v>
      </c>
      <c r="R365" s="2" t="inlineStr"/>
    </row>
    <row r="366" ht="15" customHeight="1">
      <c r="A366" t="inlineStr">
        <is>
          <t>A 35290-2025</t>
        </is>
      </c>
      <c r="B366" s="1" t="n">
        <v>45854.38502314815</v>
      </c>
      <c r="C366" s="1" t="n">
        <v>45941</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32669-2024</t>
        </is>
      </c>
      <c r="B367" s="1" t="n">
        <v>45514</v>
      </c>
      <c r="C367" s="1" t="n">
        <v>45941</v>
      </c>
      <c r="D367" t="inlineStr">
        <is>
          <t>GOTLANDS LÄN</t>
        </is>
      </c>
      <c r="E367" t="inlineStr">
        <is>
          <t>GOTLAND</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35537-2025</t>
        </is>
      </c>
      <c r="B368" s="1" t="n">
        <v>45856</v>
      </c>
      <c r="C368" s="1" t="n">
        <v>45941</v>
      </c>
      <c r="D368" t="inlineStr">
        <is>
          <t>GOTLANDS LÄN</t>
        </is>
      </c>
      <c r="E368" t="inlineStr">
        <is>
          <t>GOTLAND</t>
        </is>
      </c>
      <c r="G368" t="n">
        <v>16.8</v>
      </c>
      <c r="H368" t="n">
        <v>0</v>
      </c>
      <c r="I368" t="n">
        <v>0</v>
      </c>
      <c r="J368" t="n">
        <v>0</v>
      </c>
      <c r="K368" t="n">
        <v>0</v>
      </c>
      <c r="L368" t="n">
        <v>0</v>
      </c>
      <c r="M368" t="n">
        <v>0</v>
      </c>
      <c r="N368" t="n">
        <v>0</v>
      </c>
      <c r="O368" t="n">
        <v>0</v>
      </c>
      <c r="P368" t="n">
        <v>0</v>
      </c>
      <c r="Q368" t="n">
        <v>0</v>
      </c>
      <c r="R368" s="2" t="inlineStr"/>
    </row>
    <row r="369" ht="15" customHeight="1">
      <c r="A369" t="inlineStr">
        <is>
          <t>A 35550-2025</t>
        </is>
      </c>
      <c r="B369" s="1" t="n">
        <v>45856.49324074074</v>
      </c>
      <c r="C369" s="1" t="n">
        <v>45941</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7034-2023</t>
        </is>
      </c>
      <c r="B370" s="1" t="n">
        <v>44968.32108796296</v>
      </c>
      <c r="C370" s="1" t="n">
        <v>45941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7042-2023</t>
        </is>
      </c>
      <c r="B371" s="1" t="n">
        <v>44968</v>
      </c>
      <c r="C371" s="1" t="n">
        <v>45941</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41551-2025</t>
        </is>
      </c>
      <c r="B372" s="1" t="n">
        <v>45901.58854166666</v>
      </c>
      <c r="C372" s="1" t="n">
        <v>45941</v>
      </c>
      <c r="D372" t="inlineStr">
        <is>
          <t>GOTLANDS LÄN</t>
        </is>
      </c>
      <c r="E372" t="inlineStr">
        <is>
          <t>GOTLAND</t>
        </is>
      </c>
      <c r="G372" t="n">
        <v>5.6</v>
      </c>
      <c r="H372" t="n">
        <v>0</v>
      </c>
      <c r="I372" t="n">
        <v>0</v>
      </c>
      <c r="J372" t="n">
        <v>0</v>
      </c>
      <c r="K372" t="n">
        <v>0</v>
      </c>
      <c r="L372" t="n">
        <v>0</v>
      </c>
      <c r="M372" t="n">
        <v>0</v>
      </c>
      <c r="N372" t="n">
        <v>0</v>
      </c>
      <c r="O372" t="n">
        <v>0</v>
      </c>
      <c r="P372" t="n">
        <v>0</v>
      </c>
      <c r="Q372" t="n">
        <v>0</v>
      </c>
      <c r="R372" s="2" t="inlineStr"/>
    </row>
    <row r="373" ht="15" customHeight="1">
      <c r="A373" t="inlineStr">
        <is>
          <t>A 41435-2025</t>
        </is>
      </c>
      <c r="B373" s="1" t="n">
        <v>45901.39974537037</v>
      </c>
      <c r="C373" s="1" t="n">
        <v>45941</v>
      </c>
      <c r="D373" t="inlineStr">
        <is>
          <t>GOTLANDS LÄN</t>
        </is>
      </c>
      <c r="E373" t="inlineStr">
        <is>
          <t>GOTLAND</t>
        </is>
      </c>
      <c r="G373" t="n">
        <v>4.9</v>
      </c>
      <c r="H373" t="n">
        <v>0</v>
      </c>
      <c r="I373" t="n">
        <v>0</v>
      </c>
      <c r="J373" t="n">
        <v>0</v>
      </c>
      <c r="K373" t="n">
        <v>0</v>
      </c>
      <c r="L373" t="n">
        <v>0</v>
      </c>
      <c r="M373" t="n">
        <v>0</v>
      </c>
      <c r="N373" t="n">
        <v>0</v>
      </c>
      <c r="O373" t="n">
        <v>0</v>
      </c>
      <c r="P373" t="n">
        <v>0</v>
      </c>
      <c r="Q373" t="n">
        <v>0</v>
      </c>
      <c r="R373" s="2" t="inlineStr"/>
    </row>
    <row r="374" ht="15" customHeight="1">
      <c r="A374" t="inlineStr">
        <is>
          <t>A 23516-2023</t>
        </is>
      </c>
      <c r="B374" s="1" t="n">
        <v>45076.93391203704</v>
      </c>
      <c r="C374" s="1" t="n">
        <v>45941</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64660-2023</t>
        </is>
      </c>
      <c r="B375" s="1" t="n">
        <v>45281.60122685185</v>
      </c>
      <c r="C375" s="1" t="n">
        <v>45941</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63763-2023</t>
        </is>
      </c>
      <c r="B376" s="1" t="n">
        <v>45278.33944444444</v>
      </c>
      <c r="C376" s="1" t="n">
        <v>45941</v>
      </c>
      <c r="D376" t="inlineStr">
        <is>
          <t>GOTLANDS LÄN</t>
        </is>
      </c>
      <c r="E376" t="inlineStr">
        <is>
          <t>GOTLAND</t>
        </is>
      </c>
      <c r="G376" t="n">
        <v>0.5</v>
      </c>
      <c r="H376" t="n">
        <v>0</v>
      </c>
      <c r="I376" t="n">
        <v>0</v>
      </c>
      <c r="J376" t="n">
        <v>0</v>
      </c>
      <c r="K376" t="n">
        <v>0</v>
      </c>
      <c r="L376" t="n">
        <v>0</v>
      </c>
      <c r="M376" t="n">
        <v>0</v>
      </c>
      <c r="N376" t="n">
        <v>0</v>
      </c>
      <c r="O376" t="n">
        <v>0</v>
      </c>
      <c r="P376" t="n">
        <v>0</v>
      </c>
      <c r="Q376" t="n">
        <v>0</v>
      </c>
      <c r="R376" s="2" t="inlineStr"/>
    </row>
    <row r="377" ht="15" customHeight="1">
      <c r="A377" t="inlineStr">
        <is>
          <t>A 20225-2025</t>
        </is>
      </c>
      <c r="B377" s="1" t="n">
        <v>45772.65802083333</v>
      </c>
      <c r="C377" s="1" t="n">
        <v>45941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883-2025</t>
        </is>
      </c>
      <c r="B378" s="1" t="n">
        <v>45665</v>
      </c>
      <c r="C378" s="1" t="n">
        <v>45941</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63229-2021</t>
        </is>
      </c>
      <c r="B379" s="1" t="n">
        <v>44508.34518518519</v>
      </c>
      <c r="C379" s="1" t="n">
        <v>45941</v>
      </c>
      <c r="D379" t="inlineStr">
        <is>
          <t>GOTLANDS LÄN</t>
        </is>
      </c>
      <c r="E379" t="inlineStr">
        <is>
          <t>GOTLAND</t>
        </is>
      </c>
      <c r="F379" t="inlineStr">
        <is>
          <t>Kyrkan</t>
        </is>
      </c>
      <c r="G379" t="n">
        <v>3.8</v>
      </c>
      <c r="H379" t="n">
        <v>0</v>
      </c>
      <c r="I379" t="n">
        <v>0</v>
      </c>
      <c r="J379" t="n">
        <v>0</v>
      </c>
      <c r="K379" t="n">
        <v>0</v>
      </c>
      <c r="L379" t="n">
        <v>0</v>
      </c>
      <c r="M379" t="n">
        <v>0</v>
      </c>
      <c r="N379" t="n">
        <v>0</v>
      </c>
      <c r="O379" t="n">
        <v>0</v>
      </c>
      <c r="P379" t="n">
        <v>0</v>
      </c>
      <c r="Q379" t="n">
        <v>0</v>
      </c>
      <c r="R379" s="2" t="inlineStr"/>
    </row>
    <row r="380" ht="15" customHeight="1">
      <c r="A380" t="inlineStr">
        <is>
          <t>A 46375-2024</t>
        </is>
      </c>
      <c r="B380" s="1" t="n">
        <v>45582</v>
      </c>
      <c r="C380" s="1" t="n">
        <v>45941</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45941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45941</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1066-2024</t>
        </is>
      </c>
      <c r="B383" s="1" t="n">
        <v>45302.285</v>
      </c>
      <c r="C383" s="1" t="n">
        <v>45941</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17144-2025</t>
        </is>
      </c>
      <c r="B384" s="1" t="n">
        <v>45755.9499537037</v>
      </c>
      <c r="C384" s="1" t="n">
        <v>45941</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45941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45941</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42608-2025</t>
        </is>
      </c>
      <c r="B387" s="1" t="n">
        <v>45905</v>
      </c>
      <c r="C387" s="1" t="n">
        <v>45941</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45941</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45941</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45941</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35129-2025</t>
        </is>
      </c>
      <c r="B391" s="1" t="n">
        <v>45852.63224537037</v>
      </c>
      <c r="C391" s="1" t="n">
        <v>45941</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56009-2024</t>
        </is>
      </c>
      <c r="B392" s="1" t="n">
        <v>45623.80864583333</v>
      </c>
      <c r="C392" s="1" t="n">
        <v>45941</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42338-2023</t>
        </is>
      </c>
      <c r="B393" s="1" t="n">
        <v>45180</v>
      </c>
      <c r="C393" s="1" t="n">
        <v>45941</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45941</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45941</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47147-2025</t>
        </is>
      </c>
      <c r="B396" s="1" t="n">
        <v>45929.71716435185</v>
      </c>
      <c r="C396" s="1" t="n">
        <v>45941</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45941</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45941</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30135-2025</t>
        </is>
      </c>
      <c r="B399" s="1" t="n">
        <v>45826</v>
      </c>
      <c r="C399" s="1" t="n">
        <v>45941</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20993-2023</t>
        </is>
      </c>
      <c r="B400" s="1" t="n">
        <v>45056</v>
      </c>
      <c r="C400" s="1" t="n">
        <v>45941</v>
      </c>
      <c r="D400" t="inlineStr">
        <is>
          <t>GOTLANDS LÄN</t>
        </is>
      </c>
      <c r="E400" t="inlineStr">
        <is>
          <t>GOTLAND</t>
        </is>
      </c>
      <c r="G400" t="n">
        <v>7.1</v>
      </c>
      <c r="H400" t="n">
        <v>0</v>
      </c>
      <c r="I400" t="n">
        <v>0</v>
      </c>
      <c r="J400" t="n">
        <v>0</v>
      </c>
      <c r="K400" t="n">
        <v>0</v>
      </c>
      <c r="L400" t="n">
        <v>0</v>
      </c>
      <c r="M400" t="n">
        <v>0</v>
      </c>
      <c r="N400" t="n">
        <v>0</v>
      </c>
      <c r="O400" t="n">
        <v>0</v>
      </c>
      <c r="P400" t="n">
        <v>0</v>
      </c>
      <c r="Q400" t="n">
        <v>0</v>
      </c>
      <c r="R400" s="2" t="inlineStr"/>
    </row>
    <row r="401" ht="15" customHeight="1">
      <c r="A401" t="inlineStr">
        <is>
          <t>A 12599-2025</t>
        </is>
      </c>
      <c r="B401" s="1" t="n">
        <v>45733.29546296296</v>
      </c>
      <c r="C401" s="1" t="n">
        <v>45941</v>
      </c>
      <c r="D401" t="inlineStr">
        <is>
          <t>GOTLANDS LÄN</t>
        </is>
      </c>
      <c r="E401" t="inlineStr">
        <is>
          <t>GOTLAND</t>
        </is>
      </c>
      <c r="G401" t="n">
        <v>4.7</v>
      </c>
      <c r="H401" t="n">
        <v>0</v>
      </c>
      <c r="I401" t="n">
        <v>0</v>
      </c>
      <c r="J401" t="n">
        <v>0</v>
      </c>
      <c r="K401" t="n">
        <v>0</v>
      </c>
      <c r="L401" t="n">
        <v>0</v>
      </c>
      <c r="M401" t="n">
        <v>0</v>
      </c>
      <c r="N401" t="n">
        <v>0</v>
      </c>
      <c r="O401" t="n">
        <v>0</v>
      </c>
      <c r="P401" t="n">
        <v>0</v>
      </c>
      <c r="Q401" t="n">
        <v>0</v>
      </c>
      <c r="R401" s="2" t="inlineStr"/>
    </row>
    <row r="402" ht="15" customHeight="1">
      <c r="A402" t="inlineStr">
        <is>
          <t>A 35141-2025</t>
        </is>
      </c>
      <c r="B402" s="1" t="n">
        <v>45852.65206018519</v>
      </c>
      <c r="C402" s="1" t="n">
        <v>45941</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581-2023</t>
        </is>
      </c>
      <c r="B403" s="1" t="n">
        <v>44930</v>
      </c>
      <c r="C403" s="1" t="n">
        <v>45941</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46836-2025</t>
        </is>
      </c>
      <c r="B404" s="1" t="n">
        <v>45928.31511574074</v>
      </c>
      <c r="C404" s="1" t="n">
        <v>45941</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61386-2023</t>
        </is>
      </c>
      <c r="B405" s="1" t="n">
        <v>45264</v>
      </c>
      <c r="C405" s="1" t="n">
        <v>45941</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35142-2025</t>
        </is>
      </c>
      <c r="B406" s="1" t="n">
        <v>45852.65532407408</v>
      </c>
      <c r="C406" s="1" t="n">
        <v>45941</v>
      </c>
      <c r="D406" t="inlineStr">
        <is>
          <t>GOTLANDS LÄN</t>
        </is>
      </c>
      <c r="E406" t="inlineStr">
        <is>
          <t>GOTLAND</t>
        </is>
      </c>
      <c r="G406" t="n">
        <v>2.4</v>
      </c>
      <c r="H406" t="n">
        <v>0</v>
      </c>
      <c r="I406" t="n">
        <v>0</v>
      </c>
      <c r="J406" t="n">
        <v>0</v>
      </c>
      <c r="K406" t="n">
        <v>0</v>
      </c>
      <c r="L406" t="n">
        <v>0</v>
      </c>
      <c r="M406" t="n">
        <v>0</v>
      </c>
      <c r="N406" t="n">
        <v>0</v>
      </c>
      <c r="O406" t="n">
        <v>0</v>
      </c>
      <c r="P406" t="n">
        <v>0</v>
      </c>
      <c r="Q406" t="n">
        <v>0</v>
      </c>
      <c r="R406" s="2" t="inlineStr"/>
    </row>
    <row r="407" ht="15" customHeight="1">
      <c r="A407" t="inlineStr">
        <is>
          <t>A 873-2024</t>
        </is>
      </c>
      <c r="B407" s="1" t="n">
        <v>45301</v>
      </c>
      <c r="C407" s="1" t="n">
        <v>45941</v>
      </c>
      <c r="D407" t="inlineStr">
        <is>
          <t>GOTLANDS LÄN</t>
        </is>
      </c>
      <c r="E407" t="inlineStr">
        <is>
          <t>GOTLAND</t>
        </is>
      </c>
      <c r="G407" t="n">
        <v>2.7</v>
      </c>
      <c r="H407" t="n">
        <v>0</v>
      </c>
      <c r="I407" t="n">
        <v>0</v>
      </c>
      <c r="J407" t="n">
        <v>0</v>
      </c>
      <c r="K407" t="n">
        <v>0</v>
      </c>
      <c r="L407" t="n">
        <v>0</v>
      </c>
      <c r="M407" t="n">
        <v>0</v>
      </c>
      <c r="N407" t="n">
        <v>0</v>
      </c>
      <c r="O407" t="n">
        <v>0</v>
      </c>
      <c r="P407" t="n">
        <v>0</v>
      </c>
      <c r="Q407" t="n">
        <v>0</v>
      </c>
      <c r="R407" s="2" t="inlineStr"/>
    </row>
    <row r="408" ht="15" customHeight="1">
      <c r="A408" t="inlineStr">
        <is>
          <t>A 49411-2023</t>
        </is>
      </c>
      <c r="B408" s="1" t="n">
        <v>45205</v>
      </c>
      <c r="C408" s="1" t="n">
        <v>45941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12596-2023</t>
        </is>
      </c>
      <c r="B409" s="1" t="n">
        <v>45000.43310185185</v>
      </c>
      <c r="C409" s="1" t="n">
        <v>45941</v>
      </c>
      <c r="D409" t="inlineStr">
        <is>
          <t>GOTLANDS LÄN</t>
        </is>
      </c>
      <c r="E409" t="inlineStr">
        <is>
          <t>GOTLAND</t>
        </is>
      </c>
      <c r="G409" t="n">
        <v>4.1</v>
      </c>
      <c r="H409" t="n">
        <v>0</v>
      </c>
      <c r="I409" t="n">
        <v>0</v>
      </c>
      <c r="J409" t="n">
        <v>0</v>
      </c>
      <c r="K409" t="n">
        <v>0</v>
      </c>
      <c r="L409" t="n">
        <v>0</v>
      </c>
      <c r="M409" t="n">
        <v>0</v>
      </c>
      <c r="N409" t="n">
        <v>0</v>
      </c>
      <c r="O409" t="n">
        <v>0</v>
      </c>
      <c r="P409" t="n">
        <v>0</v>
      </c>
      <c r="Q409" t="n">
        <v>0</v>
      </c>
      <c r="R409" s="2" t="inlineStr"/>
    </row>
    <row r="410" ht="15" customHeight="1">
      <c r="A410" t="inlineStr">
        <is>
          <t>A 2125-2025</t>
        </is>
      </c>
      <c r="B410" s="1" t="n">
        <v>45672.64940972222</v>
      </c>
      <c r="C410" s="1" t="n">
        <v>45941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22275-2023</t>
        </is>
      </c>
      <c r="B411" s="1" t="n">
        <v>45070.39875</v>
      </c>
      <c r="C411" s="1" t="n">
        <v>45941</v>
      </c>
      <c r="D411" t="inlineStr">
        <is>
          <t>GOTLANDS LÄN</t>
        </is>
      </c>
      <c r="E411" t="inlineStr">
        <is>
          <t>GOTLAND</t>
        </is>
      </c>
      <c r="G411" t="n">
        <v>7.2</v>
      </c>
      <c r="H411" t="n">
        <v>0</v>
      </c>
      <c r="I411" t="n">
        <v>0</v>
      </c>
      <c r="J411" t="n">
        <v>0</v>
      </c>
      <c r="K411" t="n">
        <v>0</v>
      </c>
      <c r="L411" t="n">
        <v>0</v>
      </c>
      <c r="M411" t="n">
        <v>0</v>
      </c>
      <c r="N411" t="n">
        <v>0</v>
      </c>
      <c r="O411" t="n">
        <v>0</v>
      </c>
      <c r="P411" t="n">
        <v>0</v>
      </c>
      <c r="Q411" t="n">
        <v>0</v>
      </c>
      <c r="R411" s="2" t="inlineStr"/>
    </row>
    <row r="412" ht="15" customHeight="1">
      <c r="A412" t="inlineStr">
        <is>
          <t>A 12322-2025</t>
        </is>
      </c>
      <c r="B412" s="1" t="n">
        <v>45730</v>
      </c>
      <c r="C412" s="1" t="n">
        <v>45941</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12155-2023</t>
        </is>
      </c>
      <c r="B413" s="1" t="n">
        <v>44998.49106481481</v>
      </c>
      <c r="C413" s="1" t="n">
        <v>45941</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457-2023</t>
        </is>
      </c>
      <c r="B414" s="1" t="n">
        <v>44929.87238425926</v>
      </c>
      <c r="C414" s="1" t="n">
        <v>45941</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43911-2025</t>
        </is>
      </c>
      <c r="B415" s="1" t="n">
        <v>45914.3881712963</v>
      </c>
      <c r="C415" s="1" t="n">
        <v>45941</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459-2023</t>
        </is>
      </c>
      <c r="B416" s="1" t="n">
        <v>44929.87423611111</v>
      </c>
      <c r="C416" s="1" t="n">
        <v>45941</v>
      </c>
      <c r="D416" t="inlineStr">
        <is>
          <t>GOTLANDS LÄN</t>
        </is>
      </c>
      <c r="E416" t="inlineStr">
        <is>
          <t>GOTLAND</t>
        </is>
      </c>
      <c r="G416" t="n">
        <v>4.2</v>
      </c>
      <c r="H416" t="n">
        <v>0</v>
      </c>
      <c r="I416" t="n">
        <v>0</v>
      </c>
      <c r="J416" t="n">
        <v>0</v>
      </c>
      <c r="K416" t="n">
        <v>0</v>
      </c>
      <c r="L416" t="n">
        <v>0</v>
      </c>
      <c r="M416" t="n">
        <v>0</v>
      </c>
      <c r="N416" t="n">
        <v>0</v>
      </c>
      <c r="O416" t="n">
        <v>0</v>
      </c>
      <c r="P416" t="n">
        <v>0</v>
      </c>
      <c r="Q416" t="n">
        <v>0</v>
      </c>
      <c r="R416" s="2" t="inlineStr"/>
    </row>
    <row r="417" ht="15" customHeight="1">
      <c r="A417" t="inlineStr">
        <is>
          <t>A 38234-2023</t>
        </is>
      </c>
      <c r="B417" s="1" t="n">
        <v>45161.56663194444</v>
      </c>
      <c r="C417" s="1" t="n">
        <v>45941</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47637-2025</t>
        </is>
      </c>
      <c r="B418" s="1" t="n">
        <v>45931.49753472222</v>
      </c>
      <c r="C418" s="1" t="n">
        <v>45941</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14797-2024</t>
        </is>
      </c>
      <c r="B419" s="1" t="n">
        <v>45397.87030092593</v>
      </c>
      <c r="C419" s="1" t="n">
        <v>45941</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999-2024</t>
        </is>
      </c>
      <c r="B420" s="1" t="n">
        <v>45301</v>
      </c>
      <c r="C420" s="1" t="n">
        <v>45941</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43951-2025</t>
        </is>
      </c>
      <c r="B421" s="1" t="n">
        <v>45915.38119212963</v>
      </c>
      <c r="C421" s="1" t="n">
        <v>45941</v>
      </c>
      <c r="D421" t="inlineStr">
        <is>
          <t>GOTLANDS LÄN</t>
        </is>
      </c>
      <c r="E421" t="inlineStr">
        <is>
          <t>GOTLAND</t>
        </is>
      </c>
      <c r="G421" t="n">
        <v>4.4</v>
      </c>
      <c r="H421" t="n">
        <v>0</v>
      </c>
      <c r="I421" t="n">
        <v>0</v>
      </c>
      <c r="J421" t="n">
        <v>0</v>
      </c>
      <c r="K421" t="n">
        <v>0</v>
      </c>
      <c r="L421" t="n">
        <v>0</v>
      </c>
      <c r="M421" t="n">
        <v>0</v>
      </c>
      <c r="N421" t="n">
        <v>0</v>
      </c>
      <c r="O421" t="n">
        <v>0</v>
      </c>
      <c r="P421" t="n">
        <v>0</v>
      </c>
      <c r="Q421" t="n">
        <v>0</v>
      </c>
      <c r="R421" s="2" t="inlineStr"/>
    </row>
    <row r="422" ht="15" customHeight="1">
      <c r="A422" t="inlineStr">
        <is>
          <t>A 50744-2024</t>
        </is>
      </c>
      <c r="B422" s="1" t="n">
        <v>45602.4187037037</v>
      </c>
      <c r="C422" s="1" t="n">
        <v>45941</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61596-2023</t>
        </is>
      </c>
      <c r="B423" s="1" t="n">
        <v>45265</v>
      </c>
      <c r="C423" s="1" t="n">
        <v>45941</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45941</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14638-2025</t>
        </is>
      </c>
      <c r="B425" s="1" t="n">
        <v>45742</v>
      </c>
      <c r="C425" s="1" t="n">
        <v>45941</v>
      </c>
      <c r="D425" t="inlineStr">
        <is>
          <t>GOTLANDS LÄN</t>
        </is>
      </c>
      <c r="E425" t="inlineStr">
        <is>
          <t>GOTLAND</t>
        </is>
      </c>
      <c r="G425" t="n">
        <v>13.4</v>
      </c>
      <c r="H425" t="n">
        <v>0</v>
      </c>
      <c r="I425" t="n">
        <v>0</v>
      </c>
      <c r="J425" t="n">
        <v>0</v>
      </c>
      <c r="K425" t="n">
        <v>0</v>
      </c>
      <c r="L425" t="n">
        <v>0</v>
      </c>
      <c r="M425" t="n">
        <v>0</v>
      </c>
      <c r="N425" t="n">
        <v>0</v>
      </c>
      <c r="O425" t="n">
        <v>0</v>
      </c>
      <c r="P425" t="n">
        <v>0</v>
      </c>
      <c r="Q425" t="n">
        <v>0</v>
      </c>
      <c r="R425" s="2" t="inlineStr"/>
    </row>
    <row r="426" ht="15" customHeight="1">
      <c r="A426" t="inlineStr">
        <is>
          <t>A 53934-2024</t>
        </is>
      </c>
      <c r="B426" s="1" t="n">
        <v>45615</v>
      </c>
      <c r="C426" s="1" t="n">
        <v>45941</v>
      </c>
      <c r="D426" t="inlineStr">
        <is>
          <t>GOTLANDS LÄN</t>
        </is>
      </c>
      <c r="E426" t="inlineStr">
        <is>
          <t>GOTLAND</t>
        </is>
      </c>
      <c r="G426" t="n">
        <v>5</v>
      </c>
      <c r="H426" t="n">
        <v>0</v>
      </c>
      <c r="I426" t="n">
        <v>0</v>
      </c>
      <c r="J426" t="n">
        <v>0</v>
      </c>
      <c r="K426" t="n">
        <v>0</v>
      </c>
      <c r="L426" t="n">
        <v>0</v>
      </c>
      <c r="M426" t="n">
        <v>0</v>
      </c>
      <c r="N426" t="n">
        <v>0</v>
      </c>
      <c r="O426" t="n">
        <v>0</v>
      </c>
      <c r="P426" t="n">
        <v>0</v>
      </c>
      <c r="Q426" t="n">
        <v>0</v>
      </c>
      <c r="R426" s="2" t="inlineStr"/>
    </row>
    <row r="427" ht="15" customHeight="1">
      <c r="A427" t="inlineStr">
        <is>
          <t>A 60675-2021</t>
        </is>
      </c>
      <c r="B427" s="1" t="n">
        <v>44496.64855324074</v>
      </c>
      <c r="C427" s="1" t="n">
        <v>45941</v>
      </c>
      <c r="D427" t="inlineStr">
        <is>
          <t>GOTLANDS LÄN</t>
        </is>
      </c>
      <c r="E427" t="inlineStr">
        <is>
          <t>GOTLAND</t>
        </is>
      </c>
      <c r="G427" t="n">
        <v>4.6</v>
      </c>
      <c r="H427" t="n">
        <v>0</v>
      </c>
      <c r="I427" t="n">
        <v>0</v>
      </c>
      <c r="J427" t="n">
        <v>0</v>
      </c>
      <c r="K427" t="n">
        <v>0</v>
      </c>
      <c r="L427" t="n">
        <v>0</v>
      </c>
      <c r="M427" t="n">
        <v>0</v>
      </c>
      <c r="N427" t="n">
        <v>0</v>
      </c>
      <c r="O427" t="n">
        <v>0</v>
      </c>
      <c r="P427" t="n">
        <v>0</v>
      </c>
      <c r="Q427" t="n">
        <v>0</v>
      </c>
      <c r="R427" s="2" t="inlineStr"/>
    </row>
    <row r="428" ht="15" customHeight="1">
      <c r="A428" t="inlineStr">
        <is>
          <t>A 37728-2024</t>
        </is>
      </c>
      <c r="B428" s="1" t="n">
        <v>45541</v>
      </c>
      <c r="C428" s="1" t="n">
        <v>45941</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39819-2025</t>
        </is>
      </c>
      <c r="B429" s="1" t="n">
        <v>45891.53418981482</v>
      </c>
      <c r="C429" s="1" t="n">
        <v>45941</v>
      </c>
      <c r="D429" t="inlineStr">
        <is>
          <t>GOTLANDS LÄN</t>
        </is>
      </c>
      <c r="E429" t="inlineStr">
        <is>
          <t>GOTLAND</t>
        </is>
      </c>
      <c r="G429" t="n">
        <v>3.1</v>
      </c>
      <c r="H429" t="n">
        <v>0</v>
      </c>
      <c r="I429" t="n">
        <v>0</v>
      </c>
      <c r="J429" t="n">
        <v>0</v>
      </c>
      <c r="K429" t="n">
        <v>0</v>
      </c>
      <c r="L429" t="n">
        <v>0</v>
      </c>
      <c r="M429" t="n">
        <v>0</v>
      </c>
      <c r="N429" t="n">
        <v>0</v>
      </c>
      <c r="O429" t="n">
        <v>0</v>
      </c>
      <c r="P429" t="n">
        <v>0</v>
      </c>
      <c r="Q429" t="n">
        <v>0</v>
      </c>
      <c r="R429" s="2" t="inlineStr"/>
    </row>
    <row r="430" ht="15" customHeight="1">
      <c r="A430" t="inlineStr">
        <is>
          <t>A 39814-2025</t>
        </is>
      </c>
      <c r="B430" s="1" t="n">
        <v>45891.52694444444</v>
      </c>
      <c r="C430" s="1" t="n">
        <v>45941</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22287-2022</t>
        </is>
      </c>
      <c r="B431" s="1" t="n">
        <v>44712</v>
      </c>
      <c r="C431" s="1" t="n">
        <v>45941</v>
      </c>
      <c r="D431" t="inlineStr">
        <is>
          <t>GOTLANDS LÄN</t>
        </is>
      </c>
      <c r="E431" t="inlineStr">
        <is>
          <t>GOTLAND</t>
        </is>
      </c>
      <c r="G431" t="n">
        <v>6.1</v>
      </c>
      <c r="H431" t="n">
        <v>0</v>
      </c>
      <c r="I431" t="n">
        <v>0</v>
      </c>
      <c r="J431" t="n">
        <v>0</v>
      </c>
      <c r="K431" t="n">
        <v>0</v>
      </c>
      <c r="L431" t="n">
        <v>0</v>
      </c>
      <c r="M431" t="n">
        <v>0</v>
      </c>
      <c r="N431" t="n">
        <v>0</v>
      </c>
      <c r="O431" t="n">
        <v>0</v>
      </c>
      <c r="P431" t="n">
        <v>0</v>
      </c>
      <c r="Q431" t="n">
        <v>0</v>
      </c>
      <c r="R431" s="2" t="inlineStr"/>
    </row>
    <row r="432" ht="15" customHeight="1">
      <c r="A432" t="inlineStr">
        <is>
          <t>A 54074-2022</t>
        </is>
      </c>
      <c r="B432" s="1" t="n">
        <v>44881</v>
      </c>
      <c r="C432" s="1" t="n">
        <v>45941</v>
      </c>
      <c r="D432" t="inlineStr">
        <is>
          <t>GOTLANDS LÄN</t>
        </is>
      </c>
      <c r="E432" t="inlineStr">
        <is>
          <t>GOTLAND</t>
        </is>
      </c>
      <c r="G432" t="n">
        <v>0.9</v>
      </c>
      <c r="H432" t="n">
        <v>0</v>
      </c>
      <c r="I432" t="n">
        <v>0</v>
      </c>
      <c r="J432" t="n">
        <v>0</v>
      </c>
      <c r="K432" t="n">
        <v>0</v>
      </c>
      <c r="L432" t="n">
        <v>0</v>
      </c>
      <c r="M432" t="n">
        <v>0</v>
      </c>
      <c r="N432" t="n">
        <v>0</v>
      </c>
      <c r="O432" t="n">
        <v>0</v>
      </c>
      <c r="P432" t="n">
        <v>0</v>
      </c>
      <c r="Q432" t="n">
        <v>0</v>
      </c>
      <c r="R432" s="2" t="inlineStr"/>
    </row>
    <row r="433" ht="15" customHeight="1">
      <c r="A433" t="inlineStr">
        <is>
          <t>A 39849-2025</t>
        </is>
      </c>
      <c r="B433" s="1" t="n">
        <v>45891.58502314815</v>
      </c>
      <c r="C433" s="1" t="n">
        <v>45941</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39752-2025</t>
        </is>
      </c>
      <c r="B434" s="1" t="n">
        <v>45891</v>
      </c>
      <c r="C434" s="1" t="n">
        <v>45941</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45941</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45941</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38649-2025</t>
        </is>
      </c>
      <c r="B437" s="1" t="n">
        <v>45884</v>
      </c>
      <c r="C437" s="1" t="n">
        <v>45941</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39816-2025</t>
        </is>
      </c>
      <c r="B438" s="1" t="n">
        <v>45891</v>
      </c>
      <c r="C438" s="1" t="n">
        <v>45941</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40103-2025</t>
        </is>
      </c>
      <c r="B439" s="1" t="n">
        <v>45894.4880324074</v>
      </c>
      <c r="C439" s="1" t="n">
        <v>45941</v>
      </c>
      <c r="D439" t="inlineStr">
        <is>
          <t>GOTLANDS LÄN</t>
        </is>
      </c>
      <c r="E439" t="inlineStr">
        <is>
          <t>GOTLAND</t>
        </is>
      </c>
      <c r="G439" t="n">
        <v>0.9</v>
      </c>
      <c r="H439" t="n">
        <v>0</v>
      </c>
      <c r="I439" t="n">
        <v>0</v>
      </c>
      <c r="J439" t="n">
        <v>0</v>
      </c>
      <c r="K439" t="n">
        <v>0</v>
      </c>
      <c r="L439" t="n">
        <v>0</v>
      </c>
      <c r="M439" t="n">
        <v>0</v>
      </c>
      <c r="N439" t="n">
        <v>0</v>
      </c>
      <c r="O439" t="n">
        <v>0</v>
      </c>
      <c r="P439" t="n">
        <v>0</v>
      </c>
      <c r="Q439" t="n">
        <v>0</v>
      </c>
      <c r="R439" s="2" t="inlineStr"/>
    </row>
    <row r="440" ht="15" customHeight="1">
      <c r="A440" t="inlineStr">
        <is>
          <t>A 40373-2025</t>
        </is>
      </c>
      <c r="B440" s="1" t="n">
        <v>45895.51821759259</v>
      </c>
      <c r="C440" s="1" t="n">
        <v>45941</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40499-2025</t>
        </is>
      </c>
      <c r="B441" s="1" t="n">
        <v>45896.32517361111</v>
      </c>
      <c r="C441" s="1" t="n">
        <v>45941</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40372-2025</t>
        </is>
      </c>
      <c r="B442" s="1" t="n">
        <v>45895.5162037037</v>
      </c>
      <c r="C442" s="1" t="n">
        <v>45941</v>
      </c>
      <c r="D442" t="inlineStr">
        <is>
          <t>GOTLANDS LÄN</t>
        </is>
      </c>
      <c r="E442" t="inlineStr">
        <is>
          <t>GOTLAND</t>
        </is>
      </c>
      <c r="G442" t="n">
        <v>3.3</v>
      </c>
      <c r="H442" t="n">
        <v>0</v>
      </c>
      <c r="I442" t="n">
        <v>0</v>
      </c>
      <c r="J442" t="n">
        <v>0</v>
      </c>
      <c r="K442" t="n">
        <v>0</v>
      </c>
      <c r="L442" t="n">
        <v>0</v>
      </c>
      <c r="M442" t="n">
        <v>0</v>
      </c>
      <c r="N442" t="n">
        <v>0</v>
      </c>
      <c r="O442" t="n">
        <v>0</v>
      </c>
      <c r="P442" t="n">
        <v>0</v>
      </c>
      <c r="Q442" t="n">
        <v>0</v>
      </c>
      <c r="R442" s="2" t="inlineStr"/>
    </row>
    <row r="443" ht="15" customHeight="1">
      <c r="A443" t="inlineStr">
        <is>
          <t>A 6108-2025</t>
        </is>
      </c>
      <c r="B443" s="1" t="n">
        <v>45698.29880787037</v>
      </c>
      <c r="C443" s="1" t="n">
        <v>45941</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21142-2025</t>
        </is>
      </c>
      <c r="B444" s="1" t="n">
        <v>45779</v>
      </c>
      <c r="C444" s="1" t="n">
        <v>45941</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31264-2021</t>
        </is>
      </c>
      <c r="B445" s="1" t="n">
        <v>44368</v>
      </c>
      <c r="C445" s="1" t="n">
        <v>45941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10158-2025</t>
        </is>
      </c>
      <c r="B446" s="1" t="n">
        <v>45719</v>
      </c>
      <c r="C446" s="1" t="n">
        <v>45941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43901-2023</t>
        </is>
      </c>
      <c r="B447" s="1" t="n">
        <v>45187</v>
      </c>
      <c r="C447" s="1" t="n">
        <v>45941</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13910-2025</t>
        </is>
      </c>
      <c r="B448" s="1" t="n">
        <v>45737</v>
      </c>
      <c r="C448" s="1" t="n">
        <v>45941</v>
      </c>
      <c r="D448" t="inlineStr">
        <is>
          <t>GOTLANDS LÄN</t>
        </is>
      </c>
      <c r="E448" t="inlineStr">
        <is>
          <t>GOTLAND</t>
        </is>
      </c>
      <c r="F448" t="inlineStr">
        <is>
          <t>Kommuner</t>
        </is>
      </c>
      <c r="G448" t="n">
        <v>3.2</v>
      </c>
      <c r="H448" t="n">
        <v>0</v>
      </c>
      <c r="I448" t="n">
        <v>0</v>
      </c>
      <c r="J448" t="n">
        <v>0</v>
      </c>
      <c r="K448" t="n">
        <v>0</v>
      </c>
      <c r="L448" t="n">
        <v>0</v>
      </c>
      <c r="M448" t="n">
        <v>0</v>
      </c>
      <c r="N448" t="n">
        <v>0</v>
      </c>
      <c r="O448" t="n">
        <v>0</v>
      </c>
      <c r="P448" t="n">
        <v>0</v>
      </c>
      <c r="Q448" t="n">
        <v>0</v>
      </c>
      <c r="R448" s="2" t="inlineStr"/>
    </row>
    <row r="449" ht="15" customHeight="1">
      <c r="A449" t="inlineStr">
        <is>
          <t>A 10746-2025</t>
        </is>
      </c>
      <c r="B449" s="1" t="n">
        <v>45722.42766203704</v>
      </c>
      <c r="C449" s="1" t="n">
        <v>45941</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16501-2023</t>
        </is>
      </c>
      <c r="B450" s="1" t="n">
        <v>45029</v>
      </c>
      <c r="C450" s="1" t="n">
        <v>45941</v>
      </c>
      <c r="D450" t="inlineStr">
        <is>
          <t>GOTLANDS LÄN</t>
        </is>
      </c>
      <c r="E450" t="inlineStr">
        <is>
          <t>GOTLAND</t>
        </is>
      </c>
      <c r="G450" t="n">
        <v>3.1</v>
      </c>
      <c r="H450" t="n">
        <v>0</v>
      </c>
      <c r="I450" t="n">
        <v>0</v>
      </c>
      <c r="J450" t="n">
        <v>0</v>
      </c>
      <c r="K450" t="n">
        <v>0</v>
      </c>
      <c r="L450" t="n">
        <v>0</v>
      </c>
      <c r="M450" t="n">
        <v>0</v>
      </c>
      <c r="N450" t="n">
        <v>0</v>
      </c>
      <c r="O450" t="n">
        <v>0</v>
      </c>
      <c r="P450" t="n">
        <v>0</v>
      </c>
      <c r="Q450" t="n">
        <v>0</v>
      </c>
      <c r="R450" s="2" t="inlineStr"/>
    </row>
    <row r="451" ht="15" customHeight="1">
      <c r="A451" t="inlineStr">
        <is>
          <t>A 17780-2022</t>
        </is>
      </c>
      <c r="B451" s="1" t="n">
        <v>44682.82622685185</v>
      </c>
      <c r="C451" s="1" t="n">
        <v>45941</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39278-2025</t>
        </is>
      </c>
      <c r="B452" s="1" t="n">
        <v>45889</v>
      </c>
      <c r="C452" s="1" t="n">
        <v>45941</v>
      </c>
      <c r="D452" t="inlineStr">
        <is>
          <t>GOTLANDS LÄN</t>
        </is>
      </c>
      <c r="E452" t="inlineStr">
        <is>
          <t>GOTLAND</t>
        </is>
      </c>
      <c r="G452" t="n">
        <v>3.7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45941</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17343-2025</t>
        </is>
      </c>
      <c r="B454" s="1" t="n">
        <v>45756.6687037037</v>
      </c>
      <c r="C454" s="1" t="n">
        <v>45941</v>
      </c>
      <c r="D454" t="inlineStr">
        <is>
          <t>GOTLANDS LÄN</t>
        </is>
      </c>
      <c r="E454" t="inlineStr">
        <is>
          <t>GOTLAND</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49690-2025</t>
        </is>
      </c>
      <c r="B455" s="1" t="n">
        <v>45939.66730324074</v>
      </c>
      <c r="C455" s="1" t="n">
        <v>45941</v>
      </c>
      <c r="D455" t="inlineStr">
        <is>
          <t>GOTLANDS LÄN</t>
        </is>
      </c>
      <c r="E455" t="inlineStr">
        <is>
          <t>GOTLAND</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61962-2024</t>
        </is>
      </c>
      <c r="B456" s="1" t="n">
        <v>45653.54340277778</v>
      </c>
      <c r="C456" s="1" t="n">
        <v>45941</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59986-2022</t>
        </is>
      </c>
      <c r="B457" s="1" t="n">
        <v>44909</v>
      </c>
      <c r="C457" s="1" t="n">
        <v>45941</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14536-2021</t>
        </is>
      </c>
      <c r="B458" s="1" t="n">
        <v>44279.66168981481</v>
      </c>
      <c r="C458" s="1" t="n">
        <v>45941</v>
      </c>
      <c r="D458" t="inlineStr">
        <is>
          <t>GOTLANDS LÄN</t>
        </is>
      </c>
      <c r="E458" t="inlineStr">
        <is>
          <t>GOTLAND</t>
        </is>
      </c>
      <c r="G458" t="n">
        <v>8.5</v>
      </c>
      <c r="H458" t="n">
        <v>0</v>
      </c>
      <c r="I458" t="n">
        <v>0</v>
      </c>
      <c r="J458" t="n">
        <v>0</v>
      </c>
      <c r="K458" t="n">
        <v>0</v>
      </c>
      <c r="L458" t="n">
        <v>0</v>
      </c>
      <c r="M458" t="n">
        <v>0</v>
      </c>
      <c r="N458" t="n">
        <v>0</v>
      </c>
      <c r="O458" t="n">
        <v>0</v>
      </c>
      <c r="P458" t="n">
        <v>0</v>
      </c>
      <c r="Q458" t="n">
        <v>0</v>
      </c>
      <c r="R458" s="2" t="inlineStr"/>
    </row>
    <row r="459" ht="15" customHeight="1">
      <c r="A459" t="inlineStr">
        <is>
          <t>A 49724-2025</t>
        </is>
      </c>
      <c r="B459" s="1" t="n">
        <v>45939.83730324074</v>
      </c>
      <c r="C459" s="1" t="n">
        <v>45941</v>
      </c>
      <c r="D459" t="inlineStr">
        <is>
          <t>GOTLANDS LÄN</t>
        </is>
      </c>
      <c r="E459" t="inlineStr">
        <is>
          <t>GOTLAND</t>
        </is>
      </c>
      <c r="F459" t="inlineStr">
        <is>
          <t>Kyrkan</t>
        </is>
      </c>
      <c r="G459" t="n">
        <v>3.1</v>
      </c>
      <c r="H459" t="n">
        <v>0</v>
      </c>
      <c r="I459" t="n">
        <v>0</v>
      </c>
      <c r="J459" t="n">
        <v>0</v>
      </c>
      <c r="K459" t="n">
        <v>0</v>
      </c>
      <c r="L459" t="n">
        <v>0</v>
      </c>
      <c r="M459" t="n">
        <v>0</v>
      </c>
      <c r="N459" t="n">
        <v>0</v>
      </c>
      <c r="O459" t="n">
        <v>0</v>
      </c>
      <c r="P459" t="n">
        <v>0</v>
      </c>
      <c r="Q459" t="n">
        <v>0</v>
      </c>
      <c r="R459" s="2" t="inlineStr"/>
    </row>
    <row r="460" ht="15" customHeight="1">
      <c r="A460" t="inlineStr">
        <is>
          <t>A 49730-2025</t>
        </is>
      </c>
      <c r="B460" s="1" t="n">
        <v>45939.87613425926</v>
      </c>
      <c r="C460" s="1" t="n">
        <v>45941</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18938-2025</t>
        </is>
      </c>
      <c r="B461" s="1" t="n">
        <v>45764.49172453704</v>
      </c>
      <c r="C461" s="1" t="n">
        <v>45941</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10492-2023</t>
        </is>
      </c>
      <c r="B462" s="1" t="n">
        <v>44987</v>
      </c>
      <c r="C462" s="1" t="n">
        <v>45941</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30489-2025</t>
        </is>
      </c>
      <c r="B463" s="1" t="n">
        <v>45830</v>
      </c>
      <c r="C463" s="1" t="n">
        <v>45941</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5909-2025</t>
        </is>
      </c>
      <c r="B464" s="1" t="n">
        <v>45695.40634259259</v>
      </c>
      <c r="C464" s="1" t="n">
        <v>45941</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10653-2023</t>
        </is>
      </c>
      <c r="B465" s="1" t="n">
        <v>44988.48859953704</v>
      </c>
      <c r="C465" s="1" t="n">
        <v>45941</v>
      </c>
      <c r="D465" t="inlineStr">
        <is>
          <t>GOTLANDS LÄN</t>
        </is>
      </c>
      <c r="E465" t="inlineStr">
        <is>
          <t>GOTLAND</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4990-2025</t>
        </is>
      </c>
      <c r="B466" s="1" t="n">
        <v>45691</v>
      </c>
      <c r="C466" s="1" t="n">
        <v>45941</v>
      </c>
      <c r="D466" t="inlineStr">
        <is>
          <t>GOTLANDS LÄN</t>
        </is>
      </c>
      <c r="E466" t="inlineStr">
        <is>
          <t>GOTLAND</t>
        </is>
      </c>
      <c r="G466" t="n">
        <v>7.7</v>
      </c>
      <c r="H466" t="n">
        <v>0</v>
      </c>
      <c r="I466" t="n">
        <v>0</v>
      </c>
      <c r="J466" t="n">
        <v>0</v>
      </c>
      <c r="K466" t="n">
        <v>0</v>
      </c>
      <c r="L466" t="n">
        <v>0</v>
      </c>
      <c r="M466" t="n">
        <v>0</v>
      </c>
      <c r="N466" t="n">
        <v>0</v>
      </c>
      <c r="O466" t="n">
        <v>0</v>
      </c>
      <c r="P466" t="n">
        <v>0</v>
      </c>
      <c r="Q466" t="n">
        <v>0</v>
      </c>
      <c r="R466" s="2" t="inlineStr"/>
    </row>
    <row r="467" ht="15" customHeight="1">
      <c r="A467" t="inlineStr">
        <is>
          <t>A 20307-2025</t>
        </is>
      </c>
      <c r="B467" s="1" t="n">
        <v>45774.95546296296</v>
      </c>
      <c r="C467" s="1" t="n">
        <v>45941</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11874-2024</t>
        </is>
      </c>
      <c r="B468" s="1" t="n">
        <v>45376.46956018519</v>
      </c>
      <c r="C468" s="1" t="n">
        <v>45941</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45941</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61694-2023</t>
        </is>
      </c>
      <c r="B470" s="1" t="n">
        <v>45264</v>
      </c>
      <c r="C470" s="1" t="n">
        <v>45941</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43081-2022</t>
        </is>
      </c>
      <c r="B471" s="1" t="n">
        <v>44833</v>
      </c>
      <c r="C471" s="1" t="n">
        <v>45941</v>
      </c>
      <c r="D471" t="inlineStr">
        <is>
          <t>GOTLANDS LÄN</t>
        </is>
      </c>
      <c r="E471" t="inlineStr">
        <is>
          <t>GOTLAND</t>
        </is>
      </c>
      <c r="G471" t="n">
        <v>6.8</v>
      </c>
      <c r="H471" t="n">
        <v>0</v>
      </c>
      <c r="I471" t="n">
        <v>0</v>
      </c>
      <c r="J471" t="n">
        <v>0</v>
      </c>
      <c r="K471" t="n">
        <v>0</v>
      </c>
      <c r="L471" t="n">
        <v>0</v>
      </c>
      <c r="M471" t="n">
        <v>0</v>
      </c>
      <c r="N471" t="n">
        <v>0</v>
      </c>
      <c r="O471" t="n">
        <v>0</v>
      </c>
      <c r="P471" t="n">
        <v>0</v>
      </c>
      <c r="Q471" t="n">
        <v>0</v>
      </c>
      <c r="R471" s="2" t="inlineStr"/>
    </row>
    <row r="472" ht="15" customHeight="1">
      <c r="A472" t="inlineStr">
        <is>
          <t>A 32958-2021</t>
        </is>
      </c>
      <c r="B472" s="1" t="n">
        <v>44376</v>
      </c>
      <c r="C472" s="1" t="n">
        <v>45941</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5884-2025</t>
        </is>
      </c>
      <c r="B473" s="1" t="n">
        <v>45695.37482638889</v>
      </c>
      <c r="C473" s="1" t="n">
        <v>45941</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5897-2025</t>
        </is>
      </c>
      <c r="B474" s="1" t="n">
        <v>45695.39273148148</v>
      </c>
      <c r="C474" s="1" t="n">
        <v>45941</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64555-2023</t>
        </is>
      </c>
      <c r="B475" s="1" t="n">
        <v>45281</v>
      </c>
      <c r="C475" s="1" t="n">
        <v>45941</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64831-2023</t>
        </is>
      </c>
      <c r="B476" s="1" t="n">
        <v>45282.44924768519</v>
      </c>
      <c r="C476" s="1" t="n">
        <v>45941</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14804-2021</t>
        </is>
      </c>
      <c r="B477" s="1" t="n">
        <v>44280</v>
      </c>
      <c r="C477" s="1" t="n">
        <v>45941</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2292-2021</t>
        </is>
      </c>
      <c r="B478" s="1" t="n">
        <v>44212</v>
      </c>
      <c r="C478" s="1" t="n">
        <v>45941</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45941</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49693-2023</t>
        </is>
      </c>
      <c r="B480" s="1" t="n">
        <v>45212.38138888889</v>
      </c>
      <c r="C480" s="1" t="n">
        <v>45941</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49697-2023</t>
        </is>
      </c>
      <c r="B481" s="1" t="n">
        <v>45212.38909722222</v>
      </c>
      <c r="C481" s="1" t="n">
        <v>45941</v>
      </c>
      <c r="D481" t="inlineStr">
        <is>
          <t>GOTLANDS LÄN</t>
        </is>
      </c>
      <c r="E481" t="inlineStr">
        <is>
          <t>GOTLAND</t>
        </is>
      </c>
      <c r="G481" t="n">
        <v>4.4</v>
      </c>
      <c r="H481" t="n">
        <v>0</v>
      </c>
      <c r="I481" t="n">
        <v>0</v>
      </c>
      <c r="J481" t="n">
        <v>0</v>
      </c>
      <c r="K481" t="n">
        <v>0</v>
      </c>
      <c r="L481" t="n">
        <v>0</v>
      </c>
      <c r="M481" t="n">
        <v>0</v>
      </c>
      <c r="N481" t="n">
        <v>0</v>
      </c>
      <c r="O481" t="n">
        <v>0</v>
      </c>
      <c r="P481" t="n">
        <v>0</v>
      </c>
      <c r="Q481" t="n">
        <v>0</v>
      </c>
      <c r="R481" s="2" t="inlineStr"/>
    </row>
    <row r="482" ht="15" customHeight="1">
      <c r="A482" t="inlineStr">
        <is>
          <t>A 27602-2023</t>
        </is>
      </c>
      <c r="B482" s="1" t="n">
        <v>45097</v>
      </c>
      <c r="C482" s="1" t="n">
        <v>45941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17901-2023</t>
        </is>
      </c>
      <c r="B483" s="1" t="n">
        <v>45039</v>
      </c>
      <c r="C483" s="1" t="n">
        <v>45941</v>
      </c>
      <c r="D483" t="inlineStr">
        <is>
          <t>GOTLANDS LÄN</t>
        </is>
      </c>
      <c r="E483" t="inlineStr">
        <is>
          <t>GOTLAND</t>
        </is>
      </c>
      <c r="F483" t="inlineStr">
        <is>
          <t>Kyrkan</t>
        </is>
      </c>
      <c r="G483" t="n">
        <v>0.6</v>
      </c>
      <c r="H483" t="n">
        <v>0</v>
      </c>
      <c r="I483" t="n">
        <v>0</v>
      </c>
      <c r="J483" t="n">
        <v>0</v>
      </c>
      <c r="K483" t="n">
        <v>0</v>
      </c>
      <c r="L483" t="n">
        <v>0</v>
      </c>
      <c r="M483" t="n">
        <v>0</v>
      </c>
      <c r="N483" t="n">
        <v>0</v>
      </c>
      <c r="O483" t="n">
        <v>0</v>
      </c>
      <c r="P483" t="n">
        <v>0</v>
      </c>
      <c r="Q483" t="n">
        <v>0</v>
      </c>
      <c r="R483" s="2" t="inlineStr"/>
    </row>
    <row r="484" ht="15" customHeight="1">
      <c r="A484" t="inlineStr">
        <is>
          <t>A 52892-2021</t>
        </is>
      </c>
      <c r="B484" s="1" t="n">
        <v>44467.49048611111</v>
      </c>
      <c r="C484" s="1" t="n">
        <v>45941</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4377-2023</t>
        </is>
      </c>
      <c r="B485" s="1" t="n">
        <v>44955.5502662037</v>
      </c>
      <c r="C485" s="1" t="n">
        <v>45941</v>
      </c>
      <c r="D485" t="inlineStr">
        <is>
          <t>GOTLANDS LÄN</t>
        </is>
      </c>
      <c r="E485" t="inlineStr">
        <is>
          <t>GOTLAND</t>
        </is>
      </c>
      <c r="F485" t="inlineStr">
        <is>
          <t>Kyrkan</t>
        </is>
      </c>
      <c r="G485" t="n">
        <v>0.6</v>
      </c>
      <c r="H485" t="n">
        <v>0</v>
      </c>
      <c r="I485" t="n">
        <v>0</v>
      </c>
      <c r="J485" t="n">
        <v>0</v>
      </c>
      <c r="K485" t="n">
        <v>0</v>
      </c>
      <c r="L485" t="n">
        <v>0</v>
      </c>
      <c r="M485" t="n">
        <v>0</v>
      </c>
      <c r="N485" t="n">
        <v>0</v>
      </c>
      <c r="O485" t="n">
        <v>0</v>
      </c>
      <c r="P485" t="n">
        <v>0</v>
      </c>
      <c r="Q485" t="n">
        <v>0</v>
      </c>
      <c r="R485" s="2" t="inlineStr"/>
    </row>
    <row r="486" ht="15" customHeight="1">
      <c r="A486" t="inlineStr">
        <is>
          <t>A 4387-2023</t>
        </is>
      </c>
      <c r="B486" s="1" t="n">
        <v>44955.73359953704</v>
      </c>
      <c r="C486" s="1" t="n">
        <v>45941</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39479-2022</t>
        </is>
      </c>
      <c r="B487" s="1" t="n">
        <v>44818</v>
      </c>
      <c r="C487" s="1" t="n">
        <v>45941</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46396-2023</t>
        </is>
      </c>
      <c r="B488" s="1" t="n">
        <v>45197</v>
      </c>
      <c r="C488" s="1" t="n">
        <v>45941</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51963-2024</t>
        </is>
      </c>
      <c r="B489" s="1" t="n">
        <v>45607.64833333333</v>
      </c>
      <c r="C489" s="1" t="n">
        <v>45941</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811-2023</t>
        </is>
      </c>
      <c r="B490" s="1" t="n">
        <v>44931</v>
      </c>
      <c r="C490" s="1" t="n">
        <v>45941</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17724-2024</t>
        </is>
      </c>
      <c r="B491" s="1" t="n">
        <v>45418.55096064815</v>
      </c>
      <c r="C491" s="1" t="n">
        <v>45941</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45941</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34312-2024</t>
        </is>
      </c>
      <c r="B493" s="1" t="n">
        <v>45524.69703703704</v>
      </c>
      <c r="C493" s="1" t="n">
        <v>45941</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45941</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45941</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33853-2024</t>
        </is>
      </c>
      <c r="B496" s="1" t="n">
        <v>45520.64298611111</v>
      </c>
      <c r="C496" s="1" t="n">
        <v>45941</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18918-2025</t>
        </is>
      </c>
      <c r="B497" s="1" t="n">
        <v>45764</v>
      </c>
      <c r="C497" s="1" t="n">
        <v>45941</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2674-2023</t>
        </is>
      </c>
      <c r="B498" s="1" t="n">
        <v>44944</v>
      </c>
      <c r="C498" s="1" t="n">
        <v>45941</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69112-2021</t>
        </is>
      </c>
      <c r="B499" s="1" t="n">
        <v>44530</v>
      </c>
      <c r="C499" s="1" t="n">
        <v>45941</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45941</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7638-2025</t>
        </is>
      </c>
      <c r="B501" s="1" t="n">
        <v>45705.77306712963</v>
      </c>
      <c r="C501" s="1" t="n">
        <v>45941</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2719-2023</t>
        </is>
      </c>
      <c r="B502" s="1" t="n">
        <v>44944.55361111111</v>
      </c>
      <c r="C502" s="1" t="n">
        <v>45941</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50482-2024</t>
        </is>
      </c>
      <c r="B503" s="1" t="n">
        <v>45601.48114583334</v>
      </c>
      <c r="C503" s="1" t="n">
        <v>45941</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26891-2024</t>
        </is>
      </c>
      <c r="B504" s="1" t="n">
        <v>45470.65540509259</v>
      </c>
      <c r="C504" s="1" t="n">
        <v>45941</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1394-2023</t>
        </is>
      </c>
      <c r="B505" s="1" t="n">
        <v>44936.72997685185</v>
      </c>
      <c r="C505" s="1" t="n">
        <v>45941</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42007-2023</t>
        </is>
      </c>
      <c r="B506" s="1" t="n">
        <v>45177</v>
      </c>
      <c r="C506" s="1" t="n">
        <v>45941</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9887-2025</t>
        </is>
      </c>
      <c r="B507" s="1" t="n">
        <v>45716</v>
      </c>
      <c r="C507" s="1" t="n">
        <v>45941</v>
      </c>
      <c r="D507" t="inlineStr">
        <is>
          <t>GOTLANDS LÄN</t>
        </is>
      </c>
      <c r="E507" t="inlineStr">
        <is>
          <t>GOTLAND</t>
        </is>
      </c>
      <c r="G507" t="n">
        <v>7.5</v>
      </c>
      <c r="H507" t="n">
        <v>0</v>
      </c>
      <c r="I507" t="n">
        <v>0</v>
      </c>
      <c r="J507" t="n">
        <v>0</v>
      </c>
      <c r="K507" t="n">
        <v>0</v>
      </c>
      <c r="L507" t="n">
        <v>0</v>
      </c>
      <c r="M507" t="n">
        <v>0</v>
      </c>
      <c r="N507" t="n">
        <v>0</v>
      </c>
      <c r="O507" t="n">
        <v>0</v>
      </c>
      <c r="P507" t="n">
        <v>0</v>
      </c>
      <c r="Q507" t="n">
        <v>0</v>
      </c>
      <c r="R507" s="2" t="inlineStr"/>
    </row>
    <row r="508" ht="15" customHeight="1">
      <c r="A508" t="inlineStr">
        <is>
          <t>A 58230-2024</t>
        </is>
      </c>
      <c r="B508" s="1" t="n">
        <v>45632.51625</v>
      </c>
      <c r="C508" s="1" t="n">
        <v>45941</v>
      </c>
      <c r="D508" t="inlineStr">
        <is>
          <t>GOTLANDS LÄN</t>
        </is>
      </c>
      <c r="E508" t="inlineStr">
        <is>
          <t>GOTLAND</t>
        </is>
      </c>
      <c r="G508" t="n">
        <v>7.3</v>
      </c>
      <c r="H508" t="n">
        <v>0</v>
      </c>
      <c r="I508" t="n">
        <v>0</v>
      </c>
      <c r="J508" t="n">
        <v>0</v>
      </c>
      <c r="K508" t="n">
        <v>0</v>
      </c>
      <c r="L508" t="n">
        <v>0</v>
      </c>
      <c r="M508" t="n">
        <v>0</v>
      </c>
      <c r="N508" t="n">
        <v>0</v>
      </c>
      <c r="O508" t="n">
        <v>0</v>
      </c>
      <c r="P508" t="n">
        <v>0</v>
      </c>
      <c r="Q508" t="n">
        <v>0</v>
      </c>
      <c r="R508" s="2" t="inlineStr"/>
    </row>
    <row r="509" ht="15" customHeight="1">
      <c r="A509" t="inlineStr">
        <is>
          <t>A 38165-2023</t>
        </is>
      </c>
      <c r="B509" s="1" t="n">
        <v>45161</v>
      </c>
      <c r="C509" s="1" t="n">
        <v>45941</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1462-2025</t>
        </is>
      </c>
      <c r="B510" s="1" t="n">
        <v>45670.36319444444</v>
      </c>
      <c r="C510" s="1" t="n">
        <v>45941</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27596-2023</t>
        </is>
      </c>
      <c r="B511" s="1" t="n">
        <v>45097</v>
      </c>
      <c r="C511" s="1" t="n">
        <v>45941</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25129-2023</t>
        </is>
      </c>
      <c r="B512" s="1" t="n">
        <v>45086.44261574074</v>
      </c>
      <c r="C512" s="1" t="n">
        <v>45941</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24192-2023</t>
        </is>
      </c>
      <c r="B513" s="1" t="n">
        <v>45079</v>
      </c>
      <c r="C513" s="1" t="n">
        <v>45941</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45941</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45941</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45941</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5386-2023</t>
        </is>
      </c>
      <c r="B517" s="1" t="n">
        <v>44959</v>
      </c>
      <c r="C517" s="1" t="n">
        <v>45941</v>
      </c>
      <c r="D517" t="inlineStr">
        <is>
          <t>GOTLANDS LÄN</t>
        </is>
      </c>
      <c r="E517" t="inlineStr">
        <is>
          <t>GOTLAND</t>
        </is>
      </c>
      <c r="G517" t="n">
        <v>5.4</v>
      </c>
      <c r="H517" t="n">
        <v>0</v>
      </c>
      <c r="I517" t="n">
        <v>0</v>
      </c>
      <c r="J517" t="n">
        <v>0</v>
      </c>
      <c r="K517" t="n">
        <v>0</v>
      </c>
      <c r="L517" t="n">
        <v>0</v>
      </c>
      <c r="M517" t="n">
        <v>0</v>
      </c>
      <c r="N517" t="n">
        <v>0</v>
      </c>
      <c r="O517" t="n">
        <v>0</v>
      </c>
      <c r="P517" t="n">
        <v>0</v>
      </c>
      <c r="Q517" t="n">
        <v>0</v>
      </c>
      <c r="R517" s="2" t="inlineStr"/>
    </row>
    <row r="518" ht="15" customHeight="1">
      <c r="A518" t="inlineStr">
        <is>
          <t>A 456-2023</t>
        </is>
      </c>
      <c r="B518" s="1" t="n">
        <v>44929.87122685185</v>
      </c>
      <c r="C518" s="1" t="n">
        <v>45941</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7026-2023</t>
        </is>
      </c>
      <c r="B519" s="1" t="n">
        <v>44968.30340277778</v>
      </c>
      <c r="C519" s="1" t="n">
        <v>45941</v>
      </c>
      <c r="D519" t="inlineStr">
        <is>
          <t>GOTLANDS LÄN</t>
        </is>
      </c>
      <c r="E519" t="inlineStr">
        <is>
          <t>GOTLAND</t>
        </is>
      </c>
      <c r="G519" t="n">
        <v>2.9</v>
      </c>
      <c r="H519" t="n">
        <v>0</v>
      </c>
      <c r="I519" t="n">
        <v>0</v>
      </c>
      <c r="J519" t="n">
        <v>0</v>
      </c>
      <c r="K519" t="n">
        <v>0</v>
      </c>
      <c r="L519" t="n">
        <v>0</v>
      </c>
      <c r="M519" t="n">
        <v>0</v>
      </c>
      <c r="N519" t="n">
        <v>0</v>
      </c>
      <c r="O519" t="n">
        <v>0</v>
      </c>
      <c r="P519" t="n">
        <v>0</v>
      </c>
      <c r="Q519" t="n">
        <v>0</v>
      </c>
      <c r="R519" s="2" t="inlineStr"/>
    </row>
    <row r="520" ht="15" customHeight="1">
      <c r="A520" t="inlineStr">
        <is>
          <t>A 20855-2023</t>
        </is>
      </c>
      <c r="B520" s="1" t="n">
        <v>45058.82172453704</v>
      </c>
      <c r="C520" s="1" t="n">
        <v>45941</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2714-2023</t>
        </is>
      </c>
      <c r="B521" s="1" t="n">
        <v>44944.54896990741</v>
      </c>
      <c r="C521" s="1" t="n">
        <v>45941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45941</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4421-2024</t>
        </is>
      </c>
      <c r="B523" s="1" t="n">
        <v>45327.45173611111</v>
      </c>
      <c r="C523" s="1" t="n">
        <v>45941</v>
      </c>
      <c r="D523" t="inlineStr">
        <is>
          <t>GOTLANDS LÄN</t>
        </is>
      </c>
      <c r="E523" t="inlineStr">
        <is>
          <t>GOTLAND</t>
        </is>
      </c>
      <c r="G523" t="n">
        <v>5.1</v>
      </c>
      <c r="H523" t="n">
        <v>0</v>
      </c>
      <c r="I523" t="n">
        <v>0</v>
      </c>
      <c r="J523" t="n">
        <v>0</v>
      </c>
      <c r="K523" t="n">
        <v>0</v>
      </c>
      <c r="L523" t="n">
        <v>0</v>
      </c>
      <c r="M523" t="n">
        <v>0</v>
      </c>
      <c r="N523" t="n">
        <v>0</v>
      </c>
      <c r="O523" t="n">
        <v>0</v>
      </c>
      <c r="P523" t="n">
        <v>0</v>
      </c>
      <c r="Q523" t="n">
        <v>0</v>
      </c>
      <c r="R523" s="2" t="inlineStr"/>
    </row>
    <row r="524" ht="15" customHeight="1">
      <c r="A524" t="inlineStr">
        <is>
          <t>A 1000-2024</t>
        </is>
      </c>
      <c r="B524" s="1" t="n">
        <v>45301.63371527778</v>
      </c>
      <c r="C524" s="1" t="n">
        <v>45941</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1010-2024</t>
        </is>
      </c>
      <c r="B525" s="1" t="n">
        <v>45301</v>
      </c>
      <c r="C525" s="1" t="n">
        <v>45941</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51782-2023</t>
        </is>
      </c>
      <c r="B526" s="1" t="n">
        <v>45222.80952546297</v>
      </c>
      <c r="C526" s="1" t="n">
        <v>45941</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45941</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57534-2022</t>
        </is>
      </c>
      <c r="B528" s="1" t="n">
        <v>44896</v>
      </c>
      <c r="C528" s="1" t="n">
        <v>45941</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45941</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43229-2023</t>
        </is>
      </c>
      <c r="B530" s="1" t="n">
        <v>45183.46704861111</v>
      </c>
      <c r="C530" s="1" t="n">
        <v>45941</v>
      </c>
      <c r="D530" t="inlineStr">
        <is>
          <t>GOTLANDS LÄN</t>
        </is>
      </c>
      <c r="E530" t="inlineStr">
        <is>
          <t>GOTLAND</t>
        </is>
      </c>
      <c r="G530" t="n">
        <v>7.1</v>
      </c>
      <c r="H530" t="n">
        <v>0</v>
      </c>
      <c r="I530" t="n">
        <v>0</v>
      </c>
      <c r="J530" t="n">
        <v>0</v>
      </c>
      <c r="K530" t="n">
        <v>0</v>
      </c>
      <c r="L530" t="n">
        <v>0</v>
      </c>
      <c r="M530" t="n">
        <v>0</v>
      </c>
      <c r="N530" t="n">
        <v>0</v>
      </c>
      <c r="O530" t="n">
        <v>0</v>
      </c>
      <c r="P530" t="n">
        <v>0</v>
      </c>
      <c r="Q530" t="n">
        <v>0</v>
      </c>
      <c r="R530" s="2" t="inlineStr"/>
    </row>
    <row r="531" ht="15" customHeight="1">
      <c r="A531" t="inlineStr">
        <is>
          <t>A 1175-2025</t>
        </is>
      </c>
      <c r="B531" s="1" t="n">
        <v>45667.34449074074</v>
      </c>
      <c r="C531" s="1" t="n">
        <v>45941</v>
      </c>
      <c r="D531" t="inlineStr">
        <is>
          <t>GOTLANDS LÄN</t>
        </is>
      </c>
      <c r="E531" t="inlineStr">
        <is>
          <t>GOTLAND</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27095-2022</t>
        </is>
      </c>
      <c r="B532" s="1" t="n">
        <v>44741</v>
      </c>
      <c r="C532" s="1" t="n">
        <v>45941</v>
      </c>
      <c r="D532" t="inlineStr">
        <is>
          <t>GOTLANDS LÄN</t>
        </is>
      </c>
      <c r="E532" t="inlineStr">
        <is>
          <t>GOTLAND</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22899-2023</t>
        </is>
      </c>
      <c r="B533" s="1" t="n">
        <v>45072</v>
      </c>
      <c r="C533" s="1" t="n">
        <v>45941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47762-2023</t>
        </is>
      </c>
      <c r="B534" s="1" t="n">
        <v>45203.86256944444</v>
      </c>
      <c r="C534" s="1" t="n">
        <v>45941</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23978-2023</t>
        </is>
      </c>
      <c r="B535" s="1" t="n">
        <v>45078</v>
      </c>
      <c r="C535" s="1" t="n">
        <v>45941</v>
      </c>
      <c r="D535" t="inlineStr">
        <is>
          <t>GOTLANDS LÄN</t>
        </is>
      </c>
      <c r="E535" t="inlineStr">
        <is>
          <t>GOTLAND</t>
        </is>
      </c>
      <c r="F535" t="inlineStr">
        <is>
          <t>Naturvårdsverket</t>
        </is>
      </c>
      <c r="G535" t="n">
        <v>1.7</v>
      </c>
      <c r="H535" t="n">
        <v>0</v>
      </c>
      <c r="I535" t="n">
        <v>0</v>
      </c>
      <c r="J535" t="n">
        <v>0</v>
      </c>
      <c r="K535" t="n">
        <v>0</v>
      </c>
      <c r="L535" t="n">
        <v>0</v>
      </c>
      <c r="M535" t="n">
        <v>0</v>
      </c>
      <c r="N535" t="n">
        <v>0</v>
      </c>
      <c r="O535" t="n">
        <v>0</v>
      </c>
      <c r="P535" t="n">
        <v>0</v>
      </c>
      <c r="Q535" t="n">
        <v>0</v>
      </c>
      <c r="R535" s="2" t="inlineStr"/>
    </row>
    <row r="536" ht="15" customHeight="1">
      <c r="A536" t="inlineStr">
        <is>
          <t>A 34407-2023</t>
        </is>
      </c>
      <c r="B536" s="1" t="n">
        <v>45132</v>
      </c>
      <c r="C536" s="1" t="n">
        <v>45941</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46545-2024</t>
        </is>
      </c>
      <c r="B537" s="1" t="n">
        <v>45582.65831018519</v>
      </c>
      <c r="C537" s="1" t="n">
        <v>45941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45941</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45941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45941</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15083-2025</t>
        </is>
      </c>
      <c r="B541" s="1" t="n">
        <v>45743</v>
      </c>
      <c r="C541" s="1" t="n">
        <v>45941</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28480-2023</t>
        </is>
      </c>
      <c r="B542" s="1" t="n">
        <v>45103</v>
      </c>
      <c r="C542" s="1" t="n">
        <v>45941</v>
      </c>
      <c r="D542" t="inlineStr">
        <is>
          <t>GOTLANDS LÄN</t>
        </is>
      </c>
      <c r="E542" t="inlineStr">
        <is>
          <t>GOTLAND</t>
        </is>
      </c>
      <c r="G542" t="n">
        <v>5.7</v>
      </c>
      <c r="H542" t="n">
        <v>0</v>
      </c>
      <c r="I542" t="n">
        <v>0</v>
      </c>
      <c r="J542" t="n">
        <v>0</v>
      </c>
      <c r="K542" t="n">
        <v>0</v>
      </c>
      <c r="L542" t="n">
        <v>0</v>
      </c>
      <c r="M542" t="n">
        <v>0</v>
      </c>
      <c r="N542" t="n">
        <v>0</v>
      </c>
      <c r="O542" t="n">
        <v>0</v>
      </c>
      <c r="P542" t="n">
        <v>0</v>
      </c>
      <c r="Q542" t="n">
        <v>0</v>
      </c>
      <c r="R542" s="2" t="inlineStr"/>
    </row>
    <row r="543" ht="15" customHeight="1">
      <c r="A543" t="inlineStr">
        <is>
          <t>A 28485-2023</t>
        </is>
      </c>
      <c r="B543" s="1" t="n">
        <v>45103.43731481482</v>
      </c>
      <c r="C543" s="1" t="n">
        <v>45941</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13037-2025</t>
        </is>
      </c>
      <c r="B544" s="1" t="n">
        <v>45734</v>
      </c>
      <c r="C544" s="1" t="n">
        <v>45941</v>
      </c>
      <c r="D544" t="inlineStr">
        <is>
          <t>GOTLANDS LÄN</t>
        </is>
      </c>
      <c r="E544" t="inlineStr">
        <is>
          <t>GOTLAND</t>
        </is>
      </c>
      <c r="G544" t="n">
        <v>9.5</v>
      </c>
      <c r="H544" t="n">
        <v>0</v>
      </c>
      <c r="I544" t="n">
        <v>0</v>
      </c>
      <c r="J544" t="n">
        <v>0</v>
      </c>
      <c r="K544" t="n">
        <v>0</v>
      </c>
      <c r="L544" t="n">
        <v>0</v>
      </c>
      <c r="M544" t="n">
        <v>0</v>
      </c>
      <c r="N544" t="n">
        <v>0</v>
      </c>
      <c r="O544" t="n">
        <v>0</v>
      </c>
      <c r="P544" t="n">
        <v>0</v>
      </c>
      <c r="Q544" t="n">
        <v>0</v>
      </c>
      <c r="R544" s="2" t="inlineStr"/>
    </row>
    <row r="545" ht="15" customHeight="1">
      <c r="A545" t="inlineStr">
        <is>
          <t>A 62915-2021</t>
        </is>
      </c>
      <c r="B545" s="1" t="n">
        <v>44504</v>
      </c>
      <c r="C545" s="1" t="n">
        <v>45941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45941</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44949-2023</t>
        </is>
      </c>
      <c r="B547" s="1" t="n">
        <v>45190.69520833333</v>
      </c>
      <c r="C547" s="1" t="n">
        <v>45941</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44228-2022</t>
        </is>
      </c>
      <c r="B548" s="1" t="n">
        <v>44839.51599537037</v>
      </c>
      <c r="C548" s="1" t="n">
        <v>45941</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37222-2021</t>
        </is>
      </c>
      <c r="B549" s="1" t="n">
        <v>44396</v>
      </c>
      <c r="C549" s="1" t="n">
        <v>45941</v>
      </c>
      <c r="D549" t="inlineStr">
        <is>
          <t>GOTLANDS LÄN</t>
        </is>
      </c>
      <c r="E549" t="inlineStr">
        <is>
          <t>GOTLAND</t>
        </is>
      </c>
      <c r="G549" t="n">
        <v>3</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45941</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49884-2023</t>
        </is>
      </c>
      <c r="B551" s="1" t="n">
        <v>45213</v>
      </c>
      <c r="C551" s="1" t="n">
        <v>45941</v>
      </c>
      <c r="D551" t="inlineStr">
        <is>
          <t>GOTLANDS LÄN</t>
        </is>
      </c>
      <c r="E551" t="inlineStr">
        <is>
          <t>GOTLAND</t>
        </is>
      </c>
      <c r="G551" t="n">
        <v>8.9</v>
      </c>
      <c r="H551" t="n">
        <v>0</v>
      </c>
      <c r="I551" t="n">
        <v>0</v>
      </c>
      <c r="J551" t="n">
        <v>0</v>
      </c>
      <c r="K551" t="n">
        <v>0</v>
      </c>
      <c r="L551" t="n">
        <v>0</v>
      </c>
      <c r="M551" t="n">
        <v>0</v>
      </c>
      <c r="N551" t="n">
        <v>0</v>
      </c>
      <c r="O551" t="n">
        <v>0</v>
      </c>
      <c r="P551" t="n">
        <v>0</v>
      </c>
      <c r="Q551" t="n">
        <v>0</v>
      </c>
      <c r="R551" s="2" t="inlineStr"/>
    </row>
    <row r="552" ht="15" customHeight="1">
      <c r="A552" t="inlineStr">
        <is>
          <t>A 3964-2024</t>
        </is>
      </c>
      <c r="B552" s="1" t="n">
        <v>45322</v>
      </c>
      <c r="C552" s="1" t="n">
        <v>45941</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45084-2024</t>
        </is>
      </c>
      <c r="B553" s="1" t="n">
        <v>45575</v>
      </c>
      <c r="C553" s="1" t="n">
        <v>45941</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876-2024</t>
        </is>
      </c>
      <c r="B554" s="1" t="n">
        <v>45301</v>
      </c>
      <c r="C554" s="1" t="n">
        <v>45941</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6796-2025</t>
        </is>
      </c>
      <c r="B555" s="1" t="n">
        <v>45700.66559027778</v>
      </c>
      <c r="C555" s="1" t="n">
        <v>45941</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22704-2023</t>
        </is>
      </c>
      <c r="B556" s="1" t="n">
        <v>45071</v>
      </c>
      <c r="C556" s="1" t="n">
        <v>45941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28425-2023</t>
        </is>
      </c>
      <c r="B557" s="1" t="n">
        <v>45102</v>
      </c>
      <c r="C557" s="1" t="n">
        <v>45941</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45941</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44959.39582175926</v>
      </c>
      <c r="C559" s="1" t="n">
        <v>45941</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43200-2023</t>
        </is>
      </c>
      <c r="B560" s="1" t="n">
        <v>45183</v>
      </c>
      <c r="C560" s="1" t="n">
        <v>45941</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43223-2023</t>
        </is>
      </c>
      <c r="B561" s="1" t="n">
        <v>45183.45642361111</v>
      </c>
      <c r="C561" s="1" t="n">
        <v>45941</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12327-2025</t>
        </is>
      </c>
      <c r="B562" s="1" t="n">
        <v>45730</v>
      </c>
      <c r="C562" s="1" t="n">
        <v>45941</v>
      </c>
      <c r="D562" t="inlineStr">
        <is>
          <t>GOTLANDS LÄN</t>
        </is>
      </c>
      <c r="E562" t="inlineStr">
        <is>
          <t>GOTLAND</t>
        </is>
      </c>
      <c r="G562" t="n">
        <v>1.8</v>
      </c>
      <c r="H562" t="n">
        <v>0</v>
      </c>
      <c r="I562" t="n">
        <v>0</v>
      </c>
      <c r="J562" t="n">
        <v>0</v>
      </c>
      <c r="K562" t="n">
        <v>0</v>
      </c>
      <c r="L562" t="n">
        <v>0</v>
      </c>
      <c r="M562" t="n">
        <v>0</v>
      </c>
      <c r="N562" t="n">
        <v>0</v>
      </c>
      <c r="O562" t="n">
        <v>0</v>
      </c>
      <c r="P562" t="n">
        <v>0</v>
      </c>
      <c r="Q562" t="n">
        <v>0</v>
      </c>
      <c r="R562" s="2" t="inlineStr"/>
    </row>
    <row r="563" ht="15" customHeight="1">
      <c r="A563" t="inlineStr">
        <is>
          <t>A 3431-2025</t>
        </is>
      </c>
      <c r="B563" s="1" t="n">
        <v>45680.42935185185</v>
      </c>
      <c r="C563" s="1" t="n">
        <v>45941</v>
      </c>
      <c r="D563" t="inlineStr">
        <is>
          <t>GOTLANDS LÄN</t>
        </is>
      </c>
      <c r="E563" t="inlineStr">
        <is>
          <t>GOTLAND</t>
        </is>
      </c>
      <c r="G563" t="n">
        <v>4.8</v>
      </c>
      <c r="H563" t="n">
        <v>0</v>
      </c>
      <c r="I563" t="n">
        <v>0</v>
      </c>
      <c r="J563" t="n">
        <v>0</v>
      </c>
      <c r="K563" t="n">
        <v>0</v>
      </c>
      <c r="L563" t="n">
        <v>0</v>
      </c>
      <c r="M563" t="n">
        <v>0</v>
      </c>
      <c r="N563" t="n">
        <v>0</v>
      </c>
      <c r="O563" t="n">
        <v>0</v>
      </c>
      <c r="P563" t="n">
        <v>0</v>
      </c>
      <c r="Q563" t="n">
        <v>0</v>
      </c>
      <c r="R563" s="2" t="inlineStr"/>
    </row>
    <row r="564" ht="15" customHeight="1">
      <c r="A564" t="inlineStr">
        <is>
          <t>A 12209-2024</t>
        </is>
      </c>
      <c r="B564" s="1" t="n">
        <v>45378</v>
      </c>
      <c r="C564" s="1" t="n">
        <v>45941</v>
      </c>
      <c r="D564" t="inlineStr">
        <is>
          <t>GOTLANDS LÄN</t>
        </is>
      </c>
      <c r="E564" t="inlineStr">
        <is>
          <t>GOTLAND</t>
        </is>
      </c>
      <c r="G564" t="n">
        <v>5.3</v>
      </c>
      <c r="H564" t="n">
        <v>0</v>
      </c>
      <c r="I564" t="n">
        <v>0</v>
      </c>
      <c r="J564" t="n">
        <v>0</v>
      </c>
      <c r="K564" t="n">
        <v>0</v>
      </c>
      <c r="L564" t="n">
        <v>0</v>
      </c>
      <c r="M564" t="n">
        <v>0</v>
      </c>
      <c r="N564" t="n">
        <v>0</v>
      </c>
      <c r="O564" t="n">
        <v>0</v>
      </c>
      <c r="P564" t="n">
        <v>0</v>
      </c>
      <c r="Q564" t="n">
        <v>0</v>
      </c>
      <c r="R564" s="2" t="inlineStr"/>
    </row>
    <row r="565" ht="15" customHeight="1">
      <c r="A565" t="inlineStr">
        <is>
          <t>A 12210-2024</t>
        </is>
      </c>
      <c r="B565" s="1" t="n">
        <v>45378</v>
      </c>
      <c r="C565" s="1" t="n">
        <v>45941</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1364-2025</t>
        </is>
      </c>
      <c r="B566" s="1" t="n">
        <v>45667.63929398148</v>
      </c>
      <c r="C566" s="1" t="n">
        <v>45941</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15042-2025</t>
        </is>
      </c>
      <c r="B567" s="1" t="n">
        <v>45743</v>
      </c>
      <c r="C567" s="1" t="n">
        <v>45941</v>
      </c>
      <c r="D567" t="inlineStr">
        <is>
          <t>GOTLANDS LÄN</t>
        </is>
      </c>
      <c r="E567" t="inlineStr">
        <is>
          <t>GOTLAND</t>
        </is>
      </c>
      <c r="G567" t="n">
        <v>8.5</v>
      </c>
      <c r="H567" t="n">
        <v>0</v>
      </c>
      <c r="I567" t="n">
        <v>0</v>
      </c>
      <c r="J567" t="n">
        <v>0</v>
      </c>
      <c r="K567" t="n">
        <v>0</v>
      </c>
      <c r="L567" t="n">
        <v>0</v>
      </c>
      <c r="M567" t="n">
        <v>0</v>
      </c>
      <c r="N567" t="n">
        <v>0</v>
      </c>
      <c r="O567" t="n">
        <v>0</v>
      </c>
      <c r="P567" t="n">
        <v>0</v>
      </c>
      <c r="Q567" t="n">
        <v>0</v>
      </c>
      <c r="R567" s="2" t="inlineStr"/>
    </row>
    <row r="568" ht="15" customHeight="1">
      <c r="A568" t="inlineStr">
        <is>
          <t>A 2180-2025</t>
        </is>
      </c>
      <c r="B568" s="1" t="n">
        <v>45673</v>
      </c>
      <c r="C568" s="1" t="n">
        <v>45941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15436-2025</t>
        </is>
      </c>
      <c r="B569" s="1" t="n">
        <v>45747.47462962963</v>
      </c>
      <c r="C569" s="1" t="n">
        <v>45941</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49257-2024</t>
        </is>
      </c>
      <c r="B570" s="1" t="n">
        <v>45595.47627314815</v>
      </c>
      <c r="C570" s="1" t="n">
        <v>45941</v>
      </c>
      <c r="D570" t="inlineStr">
        <is>
          <t>GOTLANDS LÄN</t>
        </is>
      </c>
      <c r="E570" t="inlineStr">
        <is>
          <t>GOTLAND</t>
        </is>
      </c>
      <c r="G570" t="n">
        <v>6.3</v>
      </c>
      <c r="H570" t="n">
        <v>0</v>
      </c>
      <c r="I570" t="n">
        <v>0</v>
      </c>
      <c r="J570" t="n">
        <v>0</v>
      </c>
      <c r="K570" t="n">
        <v>0</v>
      </c>
      <c r="L570" t="n">
        <v>0</v>
      </c>
      <c r="M570" t="n">
        <v>0</v>
      </c>
      <c r="N570" t="n">
        <v>0</v>
      </c>
      <c r="O570" t="n">
        <v>0</v>
      </c>
      <c r="P570" t="n">
        <v>0</v>
      </c>
      <c r="Q570" t="n">
        <v>0</v>
      </c>
      <c r="R570" s="2" t="inlineStr"/>
    </row>
    <row r="571" ht="15" customHeight="1">
      <c r="A571" t="inlineStr">
        <is>
          <t>A 37202-2024</t>
        </is>
      </c>
      <c r="B571" s="1" t="n">
        <v>45539.67310185185</v>
      </c>
      <c r="C571" s="1" t="n">
        <v>45941</v>
      </c>
      <c r="D571" t="inlineStr">
        <is>
          <t>GOTLANDS LÄN</t>
        </is>
      </c>
      <c r="E571" t="inlineStr">
        <is>
          <t>GOTLAND</t>
        </is>
      </c>
      <c r="G571" t="n">
        <v>0.3</v>
      </c>
      <c r="H571" t="n">
        <v>0</v>
      </c>
      <c r="I571" t="n">
        <v>0</v>
      </c>
      <c r="J571" t="n">
        <v>0</v>
      </c>
      <c r="K571" t="n">
        <v>0</v>
      </c>
      <c r="L571" t="n">
        <v>0</v>
      </c>
      <c r="M571" t="n">
        <v>0</v>
      </c>
      <c r="N571" t="n">
        <v>0</v>
      </c>
      <c r="O571" t="n">
        <v>0</v>
      </c>
      <c r="P571" t="n">
        <v>0</v>
      </c>
      <c r="Q571" t="n">
        <v>0</v>
      </c>
      <c r="R571" s="2" t="inlineStr"/>
    </row>
    <row r="572" ht="15" customHeight="1">
      <c r="A572" t="inlineStr">
        <is>
          <t>A 56115-2023</t>
        </is>
      </c>
      <c r="B572" s="1" t="n">
        <v>45236</v>
      </c>
      <c r="C572" s="1" t="n">
        <v>45941</v>
      </c>
      <c r="D572" t="inlineStr">
        <is>
          <t>GOTLANDS LÄN</t>
        </is>
      </c>
      <c r="E572" t="inlineStr">
        <is>
          <t>GOTLAND</t>
        </is>
      </c>
      <c r="G572" t="n">
        <v>2</v>
      </c>
      <c r="H572" t="n">
        <v>0</v>
      </c>
      <c r="I572" t="n">
        <v>0</v>
      </c>
      <c r="J572" t="n">
        <v>0</v>
      </c>
      <c r="K572" t="n">
        <v>0</v>
      </c>
      <c r="L572" t="n">
        <v>0</v>
      </c>
      <c r="M572" t="n">
        <v>0</v>
      </c>
      <c r="N572" t="n">
        <v>0</v>
      </c>
      <c r="O572" t="n">
        <v>0</v>
      </c>
      <c r="P572" t="n">
        <v>0</v>
      </c>
      <c r="Q572" t="n">
        <v>0</v>
      </c>
      <c r="R572" s="2" t="inlineStr"/>
    </row>
    <row r="573" ht="15" customHeight="1">
      <c r="A573" t="inlineStr">
        <is>
          <t>A 2774-2024</t>
        </is>
      </c>
      <c r="B573" s="1" t="n">
        <v>45314.62375</v>
      </c>
      <c r="C573" s="1" t="n">
        <v>45941</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60709-2023</t>
        </is>
      </c>
      <c r="B574" s="1" t="n">
        <v>45260</v>
      </c>
      <c r="C574" s="1" t="n">
        <v>45941</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64208-2021</t>
        </is>
      </c>
      <c r="B575" s="1" t="n">
        <v>44510</v>
      </c>
      <c r="C575" s="1" t="n">
        <v>45941</v>
      </c>
      <c r="D575" t="inlineStr">
        <is>
          <t>GOTLANDS LÄN</t>
        </is>
      </c>
      <c r="E575" t="inlineStr">
        <is>
          <t>GOTLAND</t>
        </is>
      </c>
      <c r="G575" t="n">
        <v>4.7</v>
      </c>
      <c r="H575" t="n">
        <v>0</v>
      </c>
      <c r="I575" t="n">
        <v>0</v>
      </c>
      <c r="J575" t="n">
        <v>0</v>
      </c>
      <c r="K575" t="n">
        <v>0</v>
      </c>
      <c r="L575" t="n">
        <v>0</v>
      </c>
      <c r="M575" t="n">
        <v>0</v>
      </c>
      <c r="N575" t="n">
        <v>0</v>
      </c>
      <c r="O575" t="n">
        <v>0</v>
      </c>
      <c r="P575" t="n">
        <v>0</v>
      </c>
      <c r="Q575" t="n">
        <v>0</v>
      </c>
      <c r="R575" s="2" t="inlineStr"/>
    </row>
    <row r="576" ht="15" customHeight="1">
      <c r="A576" t="inlineStr">
        <is>
          <t>A 39764-2022</t>
        </is>
      </c>
      <c r="B576" s="1" t="n">
        <v>44819</v>
      </c>
      <c r="C576" s="1" t="n">
        <v>45941</v>
      </c>
      <c r="D576" t="inlineStr">
        <is>
          <t>GOTLANDS LÄN</t>
        </is>
      </c>
      <c r="E576" t="inlineStr">
        <is>
          <t>GOTLAND</t>
        </is>
      </c>
      <c r="F576" t="inlineStr">
        <is>
          <t>Kyrkan</t>
        </is>
      </c>
      <c r="G576" t="n">
        <v>3.7</v>
      </c>
      <c r="H576" t="n">
        <v>0</v>
      </c>
      <c r="I576" t="n">
        <v>0</v>
      </c>
      <c r="J576" t="n">
        <v>0</v>
      </c>
      <c r="K576" t="n">
        <v>0</v>
      </c>
      <c r="L576" t="n">
        <v>0</v>
      </c>
      <c r="M576" t="n">
        <v>0</v>
      </c>
      <c r="N576" t="n">
        <v>0</v>
      </c>
      <c r="O576" t="n">
        <v>0</v>
      </c>
      <c r="P576" t="n">
        <v>0</v>
      </c>
      <c r="Q576" t="n">
        <v>0</v>
      </c>
      <c r="R576" s="2" t="inlineStr"/>
    </row>
    <row r="577" ht="15" customHeight="1">
      <c r="A577" t="inlineStr">
        <is>
          <t>A 58211-2024</t>
        </is>
      </c>
      <c r="B577" s="1" t="n">
        <v>45632.49292824074</v>
      </c>
      <c r="C577" s="1" t="n">
        <v>45941</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30956-2024</t>
        </is>
      </c>
      <c r="B578" s="1" t="n">
        <v>45499.42527777778</v>
      </c>
      <c r="C578" s="1" t="n">
        <v>45941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30892-2024</t>
        </is>
      </c>
      <c r="B579" s="1" t="n">
        <v>45491</v>
      </c>
      <c r="C579" s="1" t="n">
        <v>45941</v>
      </c>
      <c r="D579" t="inlineStr">
        <is>
          <t>GOTLANDS LÄN</t>
        </is>
      </c>
      <c r="E579" t="inlineStr">
        <is>
          <t>GOTLAND</t>
        </is>
      </c>
      <c r="G579" t="n">
        <v>6.1</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45013.69365740741</v>
      </c>
      <c r="C580" s="1" t="n">
        <v>45941</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59469-2024</t>
        </is>
      </c>
      <c r="B581" s="1" t="n">
        <v>45638</v>
      </c>
      <c r="C581" s="1" t="n">
        <v>45941</v>
      </c>
      <c r="D581" t="inlineStr">
        <is>
          <t>GOTLANDS LÄN</t>
        </is>
      </c>
      <c r="E581" t="inlineStr">
        <is>
          <t>GOTLAND</t>
        </is>
      </c>
      <c r="G581" t="n">
        <v>0.4</v>
      </c>
      <c r="H581" t="n">
        <v>0</v>
      </c>
      <c r="I581" t="n">
        <v>0</v>
      </c>
      <c r="J581" t="n">
        <v>0</v>
      </c>
      <c r="K581" t="n">
        <v>0</v>
      </c>
      <c r="L581" t="n">
        <v>0</v>
      </c>
      <c r="M581" t="n">
        <v>0</v>
      </c>
      <c r="N581" t="n">
        <v>0</v>
      </c>
      <c r="O581" t="n">
        <v>0</v>
      </c>
      <c r="P581" t="n">
        <v>0</v>
      </c>
      <c r="Q581" t="n">
        <v>0</v>
      </c>
      <c r="R581" s="2" t="inlineStr"/>
    </row>
    <row r="582" ht="15" customHeight="1">
      <c r="A582" t="inlineStr">
        <is>
          <t>A 7858-2025</t>
        </is>
      </c>
      <c r="B582" s="1" t="n">
        <v>45706.68633101852</v>
      </c>
      <c r="C582" s="1" t="n">
        <v>45941</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53935-2024</t>
        </is>
      </c>
      <c r="B583" s="1" t="n">
        <v>45615</v>
      </c>
      <c r="C583" s="1" t="n">
        <v>45941</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18223-2025</t>
        </is>
      </c>
      <c r="B584" s="1" t="n">
        <v>45761</v>
      </c>
      <c r="C584" s="1" t="n">
        <v>45941</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4420-2025</t>
        </is>
      </c>
      <c r="B585" s="1" t="n">
        <v>45686.47157407407</v>
      </c>
      <c r="C585" s="1" t="n">
        <v>45941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5891-2025</t>
        </is>
      </c>
      <c r="B586" s="1" t="n">
        <v>45695.38327546296</v>
      </c>
      <c r="C586" s="1" t="n">
        <v>45941</v>
      </c>
      <c r="D586" t="inlineStr">
        <is>
          <t>GOTLANDS LÄN</t>
        </is>
      </c>
      <c r="E586" t="inlineStr">
        <is>
          <t>GOTLAND</t>
        </is>
      </c>
      <c r="G586" t="n">
        <v>0.8</v>
      </c>
      <c r="H586" t="n">
        <v>0</v>
      </c>
      <c r="I586" t="n">
        <v>0</v>
      </c>
      <c r="J586" t="n">
        <v>0</v>
      </c>
      <c r="K586" t="n">
        <v>0</v>
      </c>
      <c r="L586" t="n">
        <v>0</v>
      </c>
      <c r="M586" t="n">
        <v>0</v>
      </c>
      <c r="N586" t="n">
        <v>0</v>
      </c>
      <c r="O586" t="n">
        <v>0</v>
      </c>
      <c r="P586" t="n">
        <v>0</v>
      </c>
      <c r="Q586" t="n">
        <v>0</v>
      </c>
      <c r="R586" s="2" t="inlineStr"/>
    </row>
    <row r="587" ht="15" customHeight="1">
      <c r="A587" t="inlineStr">
        <is>
          <t>A 7835-2024</t>
        </is>
      </c>
      <c r="B587" s="1" t="n">
        <v>45349.83138888889</v>
      </c>
      <c r="C587" s="1" t="n">
        <v>45941</v>
      </c>
      <c r="D587" t="inlineStr">
        <is>
          <t>GOTLANDS LÄN</t>
        </is>
      </c>
      <c r="E587" t="inlineStr">
        <is>
          <t>GOTLAND</t>
        </is>
      </c>
      <c r="G587" t="n">
        <v>3.8</v>
      </c>
      <c r="H587" t="n">
        <v>0</v>
      </c>
      <c r="I587" t="n">
        <v>0</v>
      </c>
      <c r="J587" t="n">
        <v>0</v>
      </c>
      <c r="K587" t="n">
        <v>0</v>
      </c>
      <c r="L587" t="n">
        <v>0</v>
      </c>
      <c r="M587" t="n">
        <v>0</v>
      </c>
      <c r="N587" t="n">
        <v>0</v>
      </c>
      <c r="O587" t="n">
        <v>0</v>
      </c>
      <c r="P587" t="n">
        <v>0</v>
      </c>
      <c r="Q587" t="n">
        <v>0</v>
      </c>
      <c r="R587" s="2" t="inlineStr"/>
    </row>
    <row r="588" ht="15" customHeight="1">
      <c r="A588" t="inlineStr">
        <is>
          <t>A 20794-2025</t>
        </is>
      </c>
      <c r="B588" s="1" t="n">
        <v>45776</v>
      </c>
      <c r="C588" s="1" t="n">
        <v>45941</v>
      </c>
      <c r="D588" t="inlineStr">
        <is>
          <t>GOTLANDS LÄN</t>
        </is>
      </c>
      <c r="E588" t="inlineStr">
        <is>
          <t>GOTLAND</t>
        </is>
      </c>
      <c r="G588" t="n">
        <v>6</v>
      </c>
      <c r="H588" t="n">
        <v>0</v>
      </c>
      <c r="I588" t="n">
        <v>0</v>
      </c>
      <c r="J588" t="n">
        <v>0</v>
      </c>
      <c r="K588" t="n">
        <v>0</v>
      </c>
      <c r="L588" t="n">
        <v>0</v>
      </c>
      <c r="M588" t="n">
        <v>0</v>
      </c>
      <c r="N588" t="n">
        <v>0</v>
      </c>
      <c r="O588" t="n">
        <v>0</v>
      </c>
      <c r="P588" t="n">
        <v>0</v>
      </c>
      <c r="Q588" t="n">
        <v>0</v>
      </c>
      <c r="R588" s="2" t="inlineStr"/>
    </row>
    <row r="589" ht="15" customHeight="1">
      <c r="A589" t="inlineStr">
        <is>
          <t>A 20805-2025</t>
        </is>
      </c>
      <c r="B589" s="1" t="n">
        <v>45776</v>
      </c>
      <c r="C589" s="1" t="n">
        <v>45941</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21389-2025</t>
        </is>
      </c>
      <c r="B590" s="1" t="n">
        <v>45782</v>
      </c>
      <c r="C590" s="1" t="n">
        <v>45941</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21651-2025</t>
        </is>
      </c>
      <c r="B591" s="1" t="n">
        <v>45783</v>
      </c>
      <c r="C591" s="1" t="n">
        <v>45941</v>
      </c>
      <c r="D591" t="inlineStr">
        <is>
          <t>GOTLANDS LÄN</t>
        </is>
      </c>
      <c r="E591" t="inlineStr">
        <is>
          <t>GOTLAND</t>
        </is>
      </c>
      <c r="G591" t="n">
        <v>4.2</v>
      </c>
      <c r="H591" t="n">
        <v>0</v>
      </c>
      <c r="I591" t="n">
        <v>0</v>
      </c>
      <c r="J591" t="n">
        <v>0</v>
      </c>
      <c r="K591" t="n">
        <v>0</v>
      </c>
      <c r="L591" t="n">
        <v>0</v>
      </c>
      <c r="M591" t="n">
        <v>0</v>
      </c>
      <c r="N591" t="n">
        <v>0</v>
      </c>
      <c r="O591" t="n">
        <v>0</v>
      </c>
      <c r="P591" t="n">
        <v>0</v>
      </c>
      <c r="Q591" t="n">
        <v>0</v>
      </c>
      <c r="R591" s="2" t="inlineStr"/>
    </row>
    <row r="592" ht="15" customHeight="1">
      <c r="A592" t="inlineStr">
        <is>
          <t>A 57356-2023</t>
        </is>
      </c>
      <c r="B592" s="1" t="n">
        <v>45240</v>
      </c>
      <c r="C592" s="1" t="n">
        <v>45941</v>
      </c>
      <c r="D592" t="inlineStr">
        <is>
          <t>GOTLANDS LÄN</t>
        </is>
      </c>
      <c r="E592" t="inlineStr">
        <is>
          <t>GOTLAND</t>
        </is>
      </c>
      <c r="G592" t="n">
        <v>6.4</v>
      </c>
      <c r="H592" t="n">
        <v>0</v>
      </c>
      <c r="I592" t="n">
        <v>0</v>
      </c>
      <c r="J592" t="n">
        <v>0</v>
      </c>
      <c r="K592" t="n">
        <v>0</v>
      </c>
      <c r="L592" t="n">
        <v>0</v>
      </c>
      <c r="M592" t="n">
        <v>0</v>
      </c>
      <c r="N592" t="n">
        <v>0</v>
      </c>
      <c r="O592" t="n">
        <v>0</v>
      </c>
      <c r="P592" t="n">
        <v>0</v>
      </c>
      <c r="Q592" t="n">
        <v>0</v>
      </c>
      <c r="R592" s="2" t="inlineStr"/>
    </row>
    <row r="593" ht="15" customHeight="1">
      <c r="A593" t="inlineStr">
        <is>
          <t>A 10656-2024</t>
        </is>
      </c>
      <c r="B593" s="1" t="n">
        <v>45368</v>
      </c>
      <c r="C593" s="1" t="n">
        <v>45941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28506-2023</t>
        </is>
      </c>
      <c r="B594" s="1" t="n">
        <v>45103</v>
      </c>
      <c r="C594" s="1" t="n">
        <v>45941</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21420-2024</t>
        </is>
      </c>
      <c r="B595" s="1" t="n">
        <v>45441.38293981482</v>
      </c>
      <c r="C595" s="1" t="n">
        <v>45941</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23188-2025</t>
        </is>
      </c>
      <c r="B596" s="1" t="n">
        <v>45791</v>
      </c>
      <c r="C596" s="1" t="n">
        <v>45941</v>
      </c>
      <c r="D596" t="inlineStr">
        <is>
          <t>GOTLANDS LÄN</t>
        </is>
      </c>
      <c r="E596" t="inlineStr">
        <is>
          <t>GOTLAND</t>
        </is>
      </c>
      <c r="G596" t="n">
        <v>6.2</v>
      </c>
      <c r="H596" t="n">
        <v>0</v>
      </c>
      <c r="I596" t="n">
        <v>0</v>
      </c>
      <c r="J596" t="n">
        <v>0</v>
      </c>
      <c r="K596" t="n">
        <v>0</v>
      </c>
      <c r="L596" t="n">
        <v>0</v>
      </c>
      <c r="M596" t="n">
        <v>0</v>
      </c>
      <c r="N596" t="n">
        <v>0</v>
      </c>
      <c r="O596" t="n">
        <v>0</v>
      </c>
      <c r="P596" t="n">
        <v>0</v>
      </c>
      <c r="Q596" t="n">
        <v>0</v>
      </c>
      <c r="R596" s="2" t="inlineStr"/>
    </row>
    <row r="597" ht="15" customHeight="1">
      <c r="A597" t="inlineStr">
        <is>
          <t>A 23473-2025</t>
        </is>
      </c>
      <c r="B597" s="1" t="n">
        <v>45792</v>
      </c>
      <c r="C597" s="1" t="n">
        <v>45941</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23856-2025</t>
        </is>
      </c>
      <c r="B598" s="1" t="n">
        <v>45793</v>
      </c>
      <c r="C598" s="1" t="n">
        <v>45941</v>
      </c>
      <c r="D598" t="inlineStr">
        <is>
          <t>GOTLANDS LÄN</t>
        </is>
      </c>
      <c r="E598" t="inlineStr">
        <is>
          <t>GOTLAND</t>
        </is>
      </c>
      <c r="G598" t="n">
        <v>4.4</v>
      </c>
      <c r="H598" t="n">
        <v>0</v>
      </c>
      <c r="I598" t="n">
        <v>0</v>
      </c>
      <c r="J598" t="n">
        <v>0</v>
      </c>
      <c r="K598" t="n">
        <v>0</v>
      </c>
      <c r="L598" t="n">
        <v>0</v>
      </c>
      <c r="M598" t="n">
        <v>0</v>
      </c>
      <c r="N598" t="n">
        <v>0</v>
      </c>
      <c r="O598" t="n">
        <v>0</v>
      </c>
      <c r="P598" t="n">
        <v>0</v>
      </c>
      <c r="Q598" t="n">
        <v>0</v>
      </c>
      <c r="R598" s="2" t="inlineStr"/>
    </row>
    <row r="599" ht="15" customHeight="1">
      <c r="A599" t="inlineStr">
        <is>
          <t>A 15073-2025</t>
        </is>
      </c>
      <c r="B599" s="1" t="n">
        <v>45743</v>
      </c>
      <c r="C599" s="1" t="n">
        <v>45941</v>
      </c>
      <c r="D599" t="inlineStr">
        <is>
          <t>GOTLANDS LÄN</t>
        </is>
      </c>
      <c r="E599" t="inlineStr">
        <is>
          <t>GOTLAND</t>
        </is>
      </c>
      <c r="G599" t="n">
        <v>12.1</v>
      </c>
      <c r="H599" t="n">
        <v>0</v>
      </c>
      <c r="I599" t="n">
        <v>0</v>
      </c>
      <c r="J599" t="n">
        <v>0</v>
      </c>
      <c r="K599" t="n">
        <v>0</v>
      </c>
      <c r="L599" t="n">
        <v>0</v>
      </c>
      <c r="M599" t="n">
        <v>0</v>
      </c>
      <c r="N599" t="n">
        <v>0</v>
      </c>
      <c r="O599" t="n">
        <v>0</v>
      </c>
      <c r="P599" t="n">
        <v>0</v>
      </c>
      <c r="Q599" t="n">
        <v>0</v>
      </c>
      <c r="R599" s="2" t="inlineStr"/>
    </row>
    <row r="600" ht="15" customHeight="1">
      <c r="A600" t="inlineStr">
        <is>
          <t>A 6749-2025</t>
        </is>
      </c>
      <c r="B600" s="1" t="n">
        <v>45700</v>
      </c>
      <c r="C600" s="1" t="n">
        <v>45941</v>
      </c>
      <c r="D600" t="inlineStr">
        <is>
          <t>GOTLANDS LÄN</t>
        </is>
      </c>
      <c r="E600" t="inlineStr">
        <is>
          <t>GOTLAND</t>
        </is>
      </c>
      <c r="G600" t="n">
        <v>4.5</v>
      </c>
      <c r="H600" t="n">
        <v>0</v>
      </c>
      <c r="I600" t="n">
        <v>0</v>
      </c>
      <c r="J600" t="n">
        <v>0</v>
      </c>
      <c r="K600" t="n">
        <v>0</v>
      </c>
      <c r="L600" t="n">
        <v>0</v>
      </c>
      <c r="M600" t="n">
        <v>0</v>
      </c>
      <c r="N600" t="n">
        <v>0</v>
      </c>
      <c r="O600" t="n">
        <v>0</v>
      </c>
      <c r="P600" t="n">
        <v>0</v>
      </c>
      <c r="Q600" t="n">
        <v>0</v>
      </c>
      <c r="R600" s="2" t="inlineStr"/>
    </row>
    <row r="601" ht="15" customHeight="1">
      <c r="A601" t="inlineStr">
        <is>
          <t>A 23698-2025</t>
        </is>
      </c>
      <c r="B601" s="1" t="n">
        <v>45793</v>
      </c>
      <c r="C601" s="1" t="n">
        <v>45941</v>
      </c>
      <c r="D601" t="inlineStr">
        <is>
          <t>GOTLANDS LÄN</t>
        </is>
      </c>
      <c r="E601" t="inlineStr">
        <is>
          <t>GOTLAND</t>
        </is>
      </c>
      <c r="G601" t="n">
        <v>0.8</v>
      </c>
      <c r="H601" t="n">
        <v>0</v>
      </c>
      <c r="I601" t="n">
        <v>0</v>
      </c>
      <c r="J601" t="n">
        <v>0</v>
      </c>
      <c r="K601" t="n">
        <v>0</v>
      </c>
      <c r="L601" t="n">
        <v>0</v>
      </c>
      <c r="M601" t="n">
        <v>0</v>
      </c>
      <c r="N601" t="n">
        <v>0</v>
      </c>
      <c r="O601" t="n">
        <v>0</v>
      </c>
      <c r="P601" t="n">
        <v>0</v>
      </c>
      <c r="Q601" t="n">
        <v>0</v>
      </c>
      <c r="R601" s="2" t="inlineStr"/>
    </row>
    <row r="602" ht="15" customHeight="1">
      <c r="A602" t="inlineStr">
        <is>
          <t>A 5462-2025</t>
        </is>
      </c>
      <c r="B602" s="1" t="n">
        <v>45693.29331018519</v>
      </c>
      <c r="C602" s="1" t="n">
        <v>45941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c r="A603" t="inlineStr">
        <is>
          <t>A 25796-2025</t>
        </is>
      </c>
      <c r="B603" s="1" t="n">
        <v>45804.39543981481</v>
      </c>
      <c r="C603" s="1" t="n">
        <v>45941</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2025-10-11T12:38:49Z</dcterms:created>
  <dcterms:modified xmlns:dcterms="http://purl.org/dc/terms/" xmlns:xsi="http://www.w3.org/2001/XMLSchema-instance" xsi:type="dcterms:W3CDTF">2025-10-11T12:38:50Z</dcterms:modified>
</cp:coreProperties>
</file>