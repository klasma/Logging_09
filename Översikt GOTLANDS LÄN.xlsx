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45891</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45891</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45891</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45891</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45891</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45891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45891</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45891</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45891</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4572-2025</t>
        </is>
      </c>
      <c r="B15" s="1" t="n">
        <v>45687</v>
      </c>
      <c r="C15" s="1" t="n">
        <v>45891</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15629-2024</t>
        </is>
      </c>
      <c r="B16" s="1" t="n">
        <v>45402.78372685185</v>
      </c>
      <c r="C16" s="1" t="n">
        <v>45891</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17762-2024</t>
        </is>
      </c>
      <c r="B17" s="1" t="n">
        <v>45418</v>
      </c>
      <c r="C17" s="1" t="n">
        <v>45891</v>
      </c>
      <c r="D17" t="inlineStr">
        <is>
          <t>GOTLANDS LÄN</t>
        </is>
      </c>
      <c r="E17" t="inlineStr">
        <is>
          <t>GOTLAND</t>
        </is>
      </c>
      <c r="G17" t="n">
        <v>5.8</v>
      </c>
      <c r="H17" t="n">
        <v>2</v>
      </c>
      <c r="I17" t="n">
        <v>2</v>
      </c>
      <c r="J17" t="n">
        <v>8</v>
      </c>
      <c r="K17" t="n">
        <v>1</v>
      </c>
      <c r="L17" t="n">
        <v>1</v>
      </c>
      <c r="M17" t="n">
        <v>1</v>
      </c>
      <c r="N17" t="n">
        <v>0</v>
      </c>
      <c r="O17" t="n">
        <v>11</v>
      </c>
      <c r="P17" t="n">
        <v>3</v>
      </c>
      <c r="Q17" t="n">
        <v>15</v>
      </c>
      <c r="R17" s="2" t="inlineStr">
        <is>
          <t>Järnek
Naveljordstjärna
Gråfingerört
Axveronika
Backstarr
Backtimjan
Crepis tectorum subsp. tectorum
Kalkvaxing
Odörspindling
Solvända
Svinrot
Anisspindling
Mindre märgborre
Sankt pers nycklar
Blåsippa</t>
        </is>
      </c>
      <c r="S17">
        <f>HYPERLINK("https://klasma.github.io/Logging_0980/artfynd/A 17762-2024 artfynd.xlsx", "A 17762-2024")</f>
        <v/>
      </c>
      <c r="T17">
        <f>HYPERLINK("https://klasma.github.io/Logging_0980/kartor/A 17762-2024 karta.png", "A 17762-2024")</f>
        <v/>
      </c>
      <c r="V17">
        <f>HYPERLINK("https://klasma.github.io/Logging_0980/klagomål/A 17762-2024 FSC-klagomål.docx", "A 17762-2024")</f>
        <v/>
      </c>
      <c r="W17">
        <f>HYPERLINK("https://klasma.github.io/Logging_0980/klagomålsmail/A 17762-2024 FSC-klagomål mail.docx", "A 17762-2024")</f>
        <v/>
      </c>
      <c r="X17">
        <f>HYPERLINK("https://klasma.github.io/Logging_0980/tillsyn/A 17762-2024 tillsynsbegäran.docx", "A 17762-2024")</f>
        <v/>
      </c>
      <c r="Y17">
        <f>HYPERLINK("https://klasma.github.io/Logging_0980/tillsynsmail/A 17762-2024 tillsynsbegäran mail.docx", "A 17762-2024")</f>
        <v/>
      </c>
    </row>
    <row r="18" ht="15" customHeight="1">
      <c r="A18" t="inlineStr">
        <is>
          <t>A 62132-2023</t>
        </is>
      </c>
      <c r="B18" s="1" t="n">
        <v>45267</v>
      </c>
      <c r="C18" s="1" t="n">
        <v>45891</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45891</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45891</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45891</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45891</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45891</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45891</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45891</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44928-2022</t>
        </is>
      </c>
      <c r="B26" s="1" t="n">
        <v>44841</v>
      </c>
      <c r="C26" s="1" t="n">
        <v>45891</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2804-2023</t>
        </is>
      </c>
      <c r="B27" s="1" t="n">
        <v>44944</v>
      </c>
      <c r="C27" s="1" t="n">
        <v>45891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45891</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45891</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45891</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45891</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45891</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45891</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45891</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45891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43201-2023</t>
        </is>
      </c>
      <c r="B36" s="1" t="n">
        <v>45183</v>
      </c>
      <c r="C36" s="1" t="n">
        <v>45891</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45891</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45891</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45891</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45891</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45891</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45891</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45891</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45891</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45891</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59132-2024</t>
        </is>
      </c>
      <c r="B46" s="1" t="n">
        <v>45637</v>
      </c>
      <c r="C46" s="1" t="n">
        <v>45891</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45891</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45891</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45891</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45891</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45891</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27280-2023</t>
        </is>
      </c>
      <c r="B52" s="1" t="n">
        <v>45096</v>
      </c>
      <c r="C52" s="1" t="n">
        <v>45891</v>
      </c>
      <c r="D52" t="inlineStr">
        <is>
          <t>GOTLANDS LÄN</t>
        </is>
      </c>
      <c r="E52" t="inlineStr">
        <is>
          <t>GOTLAND</t>
        </is>
      </c>
      <c r="G52" t="n">
        <v>2.7</v>
      </c>
      <c r="H52" t="n">
        <v>7</v>
      </c>
      <c r="I52" t="n">
        <v>2</v>
      </c>
      <c r="J52" t="n">
        <v>1</v>
      </c>
      <c r="K52" t="n">
        <v>0</v>
      </c>
      <c r="L52" t="n">
        <v>0</v>
      </c>
      <c r="M52" t="n">
        <v>0</v>
      </c>
      <c r="N52" t="n">
        <v>0</v>
      </c>
      <c r="O52" t="n">
        <v>1</v>
      </c>
      <c r="P52" t="n">
        <v>0</v>
      </c>
      <c r="Q52" t="n">
        <v>7</v>
      </c>
      <c r="R52" s="2" t="inlineStr">
        <is>
          <t>Mindre hackspett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10419-2025</t>
        </is>
      </c>
      <c r="B53" s="1" t="n">
        <v>45720</v>
      </c>
      <c r="C53" s="1" t="n">
        <v>45891</v>
      </c>
      <c r="D53" t="inlineStr">
        <is>
          <t>GOTLANDS LÄN</t>
        </is>
      </c>
      <c r="E53" t="inlineStr">
        <is>
          <t>GOTLAND</t>
        </is>
      </c>
      <c r="G53" t="n">
        <v>1.2</v>
      </c>
      <c r="H53" t="n">
        <v>0</v>
      </c>
      <c r="I53" t="n">
        <v>5</v>
      </c>
      <c r="J53" t="n">
        <v>0</v>
      </c>
      <c r="K53" t="n">
        <v>2</v>
      </c>
      <c r="L53" t="n">
        <v>0</v>
      </c>
      <c r="M53" t="n">
        <v>0</v>
      </c>
      <c r="N53" t="n">
        <v>0</v>
      </c>
      <c r="O53" t="n">
        <v>2</v>
      </c>
      <c r="P53" t="n">
        <v>2</v>
      </c>
      <c r="Q53" t="n">
        <v>7</v>
      </c>
      <c r="R53" s="2" t="inlineStr">
        <is>
          <t>Mörkfjällig olivspindling
Violettfläckig spindling
Anisspindling
Blå slemspindling
Fjällig taggsvamp s.str.
Kryddspindling
Olivspindling</t>
        </is>
      </c>
      <c r="S53">
        <f>HYPERLINK("https://klasma.github.io/Logging_0980/artfynd/A 10419-2025 artfynd.xlsx", "A 10419-2025")</f>
        <v/>
      </c>
      <c r="T53">
        <f>HYPERLINK("https://klasma.github.io/Logging_0980/kartor/A 10419-2025 karta.png", "A 10419-2025")</f>
        <v/>
      </c>
      <c r="V53">
        <f>HYPERLINK("https://klasma.github.io/Logging_0980/klagomål/A 10419-2025 FSC-klagomål.docx", "A 10419-2025")</f>
        <v/>
      </c>
      <c r="W53">
        <f>HYPERLINK("https://klasma.github.io/Logging_0980/klagomålsmail/A 10419-2025 FSC-klagomål mail.docx", "A 10419-2025")</f>
        <v/>
      </c>
      <c r="X53">
        <f>HYPERLINK("https://klasma.github.io/Logging_0980/tillsyn/A 10419-2025 tillsynsbegäran.docx", "A 10419-2025")</f>
        <v/>
      </c>
      <c r="Y53">
        <f>HYPERLINK("https://klasma.github.io/Logging_0980/tillsynsmail/A 10419-2025 tillsynsbegäran mail.docx", "A 10419-2025")</f>
        <v/>
      </c>
    </row>
    <row r="54" ht="15" customHeight="1">
      <c r="A54" t="inlineStr">
        <is>
          <t>A 4984-2025</t>
        </is>
      </c>
      <c r="B54" s="1" t="n">
        <v>45691.29891203704</v>
      </c>
      <c r="C54" s="1" t="n">
        <v>45891</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45891</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16353-2025</t>
        </is>
      </c>
      <c r="B56" s="1" t="n">
        <v>45751</v>
      </c>
      <c r="C56" s="1" t="n">
        <v>45891</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6960-2025</t>
        </is>
      </c>
      <c r="B57" s="1" t="n">
        <v>45701.49409722222</v>
      </c>
      <c r="C57" s="1" t="n">
        <v>45891</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45891</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54527-2023</t>
        </is>
      </c>
      <c r="B59" s="1" t="n">
        <v>45233</v>
      </c>
      <c r="C59" s="1" t="n">
        <v>45891</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446-2023</t>
        </is>
      </c>
      <c r="B60" s="1" t="n">
        <v>44929</v>
      </c>
      <c r="C60" s="1" t="n">
        <v>45891</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2085-2023</t>
        </is>
      </c>
      <c r="B61" s="1" t="n">
        <v>44939</v>
      </c>
      <c r="C61" s="1" t="n">
        <v>45891</v>
      </c>
      <c r="D61" t="inlineStr">
        <is>
          <t>GOTLANDS LÄN</t>
        </is>
      </c>
      <c r="E61" t="inlineStr">
        <is>
          <t>GOTLAND</t>
        </is>
      </c>
      <c r="G61" t="n">
        <v>0.9</v>
      </c>
      <c r="H61" t="n">
        <v>2</v>
      </c>
      <c r="I61" t="n">
        <v>5</v>
      </c>
      <c r="J61" t="n">
        <v>0</v>
      </c>
      <c r="K61" t="n">
        <v>0</v>
      </c>
      <c r="L61" t="n">
        <v>0</v>
      </c>
      <c r="M61" t="n">
        <v>0</v>
      </c>
      <c r="N61" t="n">
        <v>0</v>
      </c>
      <c r="O61" t="n">
        <v>0</v>
      </c>
      <c r="P61" t="n">
        <v>0</v>
      </c>
      <c r="Q61" t="n">
        <v>6</v>
      </c>
      <c r="R61" s="2" t="inlineStr">
        <is>
          <t>Blå slemspindling
Blåmossa
Kattfotslav
Skogsknipprot
Vågbandad barkbock
Skogsduva</t>
        </is>
      </c>
      <c r="S61">
        <f>HYPERLINK("https://klasma.github.io/Logging_0980/artfynd/A 2085-2023 artfynd.xlsx", "A 2085-2023")</f>
        <v/>
      </c>
      <c r="T61">
        <f>HYPERLINK("https://klasma.github.io/Logging_0980/kartor/A 2085-2023 karta.png", "A 2085-2023")</f>
        <v/>
      </c>
      <c r="V61">
        <f>HYPERLINK("https://klasma.github.io/Logging_0980/klagomål/A 2085-2023 FSC-klagomål.docx", "A 2085-2023")</f>
        <v/>
      </c>
      <c r="W61">
        <f>HYPERLINK("https://klasma.github.io/Logging_0980/klagomålsmail/A 2085-2023 FSC-klagomål mail.docx", "A 2085-2023")</f>
        <v/>
      </c>
      <c r="X61">
        <f>HYPERLINK("https://klasma.github.io/Logging_0980/tillsyn/A 2085-2023 tillsynsbegäran.docx", "A 2085-2023")</f>
        <v/>
      </c>
      <c r="Y61">
        <f>HYPERLINK("https://klasma.github.io/Logging_0980/tillsynsmail/A 2085-2023 tillsynsbegäran mail.docx", "A 2085-2023")</f>
        <v/>
      </c>
      <c r="Z61">
        <f>HYPERLINK("https://klasma.github.io/Logging_0980/fåglar/A 2085-2023 prioriterade fågelarter.docx", "A 2085-2023")</f>
        <v/>
      </c>
    </row>
    <row r="62" ht="15" customHeight="1">
      <c r="A62" t="inlineStr">
        <is>
          <t>A 45248-2024</t>
        </is>
      </c>
      <c r="B62" s="1" t="n">
        <v>45576</v>
      </c>
      <c r="C62" s="1" t="n">
        <v>45891</v>
      </c>
      <c r="D62" t="inlineStr">
        <is>
          <t>GOTLANDS LÄN</t>
        </is>
      </c>
      <c r="E62" t="inlineStr">
        <is>
          <t>GOTLAND</t>
        </is>
      </c>
      <c r="G62" t="n">
        <v>9.4</v>
      </c>
      <c r="H62" t="n">
        <v>0</v>
      </c>
      <c r="I62" t="n">
        <v>3</v>
      </c>
      <c r="J62" t="n">
        <v>1</v>
      </c>
      <c r="K62" t="n">
        <v>0</v>
      </c>
      <c r="L62" t="n">
        <v>1</v>
      </c>
      <c r="M62" t="n">
        <v>1</v>
      </c>
      <c r="N62" t="n">
        <v>0</v>
      </c>
      <c r="O62" t="n">
        <v>3</v>
      </c>
      <c r="P62" t="n">
        <v>2</v>
      </c>
      <c r="Q62" t="n">
        <v>6</v>
      </c>
      <c r="R62" s="2" t="inlineStr">
        <is>
          <t>Lundalm
Ask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65819-2020</t>
        </is>
      </c>
      <c r="B63" s="1" t="n">
        <v>44174</v>
      </c>
      <c r="C63" s="1" t="n">
        <v>45891</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45891</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45891</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32326-2024</t>
        </is>
      </c>
      <c r="B66" s="1" t="n">
        <v>45512</v>
      </c>
      <c r="C66" s="1" t="n">
        <v>45891</v>
      </c>
      <c r="D66" t="inlineStr">
        <is>
          <t>GOTLANDS LÄN</t>
        </is>
      </c>
      <c r="E66" t="inlineStr">
        <is>
          <t>GOTLAND</t>
        </is>
      </c>
      <c r="G66" t="n">
        <v>9.199999999999999</v>
      </c>
      <c r="H66" t="n">
        <v>3</v>
      </c>
      <c r="I66" t="n">
        <v>2</v>
      </c>
      <c r="J66" t="n">
        <v>2</v>
      </c>
      <c r="K66" t="n">
        <v>0</v>
      </c>
      <c r="L66" t="n">
        <v>0</v>
      </c>
      <c r="M66" t="n">
        <v>0</v>
      </c>
      <c r="N66" t="n">
        <v>0</v>
      </c>
      <c r="O66" t="n">
        <v>2</v>
      </c>
      <c r="P66" t="n">
        <v>0</v>
      </c>
      <c r="Q66" t="n">
        <v>5</v>
      </c>
      <c r="R66" s="2" t="inlineStr">
        <is>
          <t>Jordtistel
Svinrot
Purpurknipprot
Skogsknipprot
Brudsporre</t>
        </is>
      </c>
      <c r="S66">
        <f>HYPERLINK("https://klasma.github.io/Logging_0980/artfynd/A 32326-2024 artfynd.xlsx", "A 32326-2024")</f>
        <v/>
      </c>
      <c r="T66">
        <f>HYPERLINK("https://klasma.github.io/Logging_0980/kartor/A 32326-2024 karta.png", "A 32326-2024")</f>
        <v/>
      </c>
      <c r="V66">
        <f>HYPERLINK("https://klasma.github.io/Logging_0980/klagomål/A 32326-2024 FSC-klagomål.docx", "A 32326-2024")</f>
        <v/>
      </c>
      <c r="W66">
        <f>HYPERLINK("https://klasma.github.io/Logging_0980/klagomålsmail/A 32326-2024 FSC-klagomål mail.docx", "A 32326-2024")</f>
        <v/>
      </c>
      <c r="X66">
        <f>HYPERLINK("https://klasma.github.io/Logging_0980/tillsyn/A 32326-2024 tillsynsbegäran.docx", "A 32326-2024")</f>
        <v/>
      </c>
      <c r="Y66">
        <f>HYPERLINK("https://klasma.github.io/Logging_0980/tillsynsmail/A 32326-2024 tillsynsbegäran mail.docx", "A 32326-2024")</f>
        <v/>
      </c>
    </row>
    <row r="67" ht="15" customHeight="1">
      <c r="A67" t="inlineStr">
        <is>
          <t>A 39425-2023</t>
        </is>
      </c>
      <c r="B67" s="1" t="n">
        <v>45166</v>
      </c>
      <c r="C67" s="1" t="n">
        <v>45891</v>
      </c>
      <c r="D67" t="inlineStr">
        <is>
          <t>GOTLANDS LÄN</t>
        </is>
      </c>
      <c r="E67" t="inlineStr">
        <is>
          <t>GOTLAND</t>
        </is>
      </c>
      <c r="G67" t="n">
        <v>3.9</v>
      </c>
      <c r="H67" t="n">
        <v>1</v>
      </c>
      <c r="I67" t="n">
        <v>3</v>
      </c>
      <c r="J67" t="n">
        <v>0</v>
      </c>
      <c r="K67" t="n">
        <v>2</v>
      </c>
      <c r="L67" t="n">
        <v>0</v>
      </c>
      <c r="M67" t="n">
        <v>0</v>
      </c>
      <c r="N67" t="n">
        <v>0</v>
      </c>
      <c r="O67" t="n">
        <v>2</v>
      </c>
      <c r="P67" t="n">
        <v>2</v>
      </c>
      <c r="Q67" t="n">
        <v>5</v>
      </c>
      <c r="R67" s="2" t="inlineStr">
        <is>
          <t>Knärot
Violgubbe
Anisspindling
Rödgul trumpetsvamp
Svavelriska</t>
        </is>
      </c>
      <c r="S67">
        <f>HYPERLINK("https://klasma.github.io/Logging_0980/artfynd/A 39425-2023 artfynd.xlsx", "A 39425-2023")</f>
        <v/>
      </c>
      <c r="T67">
        <f>HYPERLINK("https://klasma.github.io/Logging_0980/kartor/A 39425-2023 karta.png", "A 39425-2023")</f>
        <v/>
      </c>
      <c r="U67">
        <f>HYPERLINK("https://klasma.github.io/Logging_0980/knärot/A 39425-2023 karta knärot.png", "A 39425-2023")</f>
        <v/>
      </c>
      <c r="V67">
        <f>HYPERLINK("https://klasma.github.io/Logging_0980/klagomål/A 39425-2023 FSC-klagomål.docx", "A 39425-2023")</f>
        <v/>
      </c>
      <c r="W67">
        <f>HYPERLINK("https://klasma.github.io/Logging_0980/klagomålsmail/A 39425-2023 FSC-klagomål mail.docx", "A 39425-2023")</f>
        <v/>
      </c>
      <c r="X67">
        <f>HYPERLINK("https://klasma.github.io/Logging_0980/tillsyn/A 39425-2023 tillsynsbegäran.docx", "A 39425-2023")</f>
        <v/>
      </c>
      <c r="Y67">
        <f>HYPERLINK("https://klasma.github.io/Logging_0980/tillsynsmail/A 39425-2023 tillsynsbegäran mail.docx", "A 39425-2023")</f>
        <v/>
      </c>
    </row>
    <row r="68" ht="15" customHeight="1">
      <c r="A68" t="inlineStr">
        <is>
          <t>A 54055-2022</t>
        </is>
      </c>
      <c r="B68" s="1" t="n">
        <v>44881</v>
      </c>
      <c r="C68" s="1" t="n">
        <v>45891</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42936-2024</t>
        </is>
      </c>
      <c r="B69" s="1" t="n">
        <v>45567</v>
      </c>
      <c r="C69" s="1" t="n">
        <v>45891</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16375-2025</t>
        </is>
      </c>
      <c r="B70" s="1" t="n">
        <v>45751.41064814815</v>
      </c>
      <c r="C70" s="1" t="n">
        <v>45891</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35293-2025</t>
        </is>
      </c>
      <c r="B71" s="1" t="n">
        <v>45854.39438657407</v>
      </c>
      <c r="C71" s="1" t="n">
        <v>45891</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44944-2022</t>
        </is>
      </c>
      <c r="B72" s="1" t="n">
        <v>44841</v>
      </c>
      <c r="C72" s="1" t="n">
        <v>45891</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29331-2021</t>
        </is>
      </c>
      <c r="B73" s="1" t="n">
        <v>44361</v>
      </c>
      <c r="C73" s="1" t="n">
        <v>45891</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8265-2023</t>
        </is>
      </c>
      <c r="B74" s="1" t="n">
        <v>44974</v>
      </c>
      <c r="C74" s="1" t="n">
        <v>45891</v>
      </c>
      <c r="D74" t="inlineStr">
        <is>
          <t>GOTLANDS LÄN</t>
        </is>
      </c>
      <c r="E74" t="inlineStr">
        <is>
          <t>GOTLAND</t>
        </is>
      </c>
      <c r="G74" t="n">
        <v>3.3</v>
      </c>
      <c r="H74" t="n">
        <v>4</v>
      </c>
      <c r="I74" t="n">
        <v>3</v>
      </c>
      <c r="J74" t="n">
        <v>0</v>
      </c>
      <c r="K74" t="n">
        <v>0</v>
      </c>
      <c r="L74" t="n">
        <v>0</v>
      </c>
      <c r="M74" t="n">
        <v>0</v>
      </c>
      <c r="N74" t="n">
        <v>0</v>
      </c>
      <c r="O74" t="n">
        <v>0</v>
      </c>
      <c r="P74" t="n">
        <v>0</v>
      </c>
      <c r="Q74" t="n">
        <v>4</v>
      </c>
      <c r="R74" s="2" t="inlineStr">
        <is>
          <t>Flugblomster
Purpurknipprot
Tvåblad
Salepsrot</t>
        </is>
      </c>
      <c r="S74">
        <f>HYPERLINK("https://klasma.github.io/Logging_0980/artfynd/A 8265-2023 artfynd.xlsx", "A 8265-2023")</f>
        <v/>
      </c>
      <c r="T74">
        <f>HYPERLINK("https://klasma.github.io/Logging_0980/kartor/A 8265-2023 karta.png", "A 8265-2023")</f>
        <v/>
      </c>
      <c r="V74">
        <f>HYPERLINK("https://klasma.github.io/Logging_0980/klagomål/A 8265-2023 FSC-klagomål.docx", "A 8265-2023")</f>
        <v/>
      </c>
      <c r="W74">
        <f>HYPERLINK("https://klasma.github.io/Logging_0980/klagomålsmail/A 8265-2023 FSC-klagomål mail.docx", "A 8265-2023")</f>
        <v/>
      </c>
      <c r="X74">
        <f>HYPERLINK("https://klasma.github.io/Logging_0980/tillsyn/A 8265-2023 tillsynsbegäran.docx", "A 8265-2023")</f>
        <v/>
      </c>
      <c r="Y74">
        <f>HYPERLINK("https://klasma.github.io/Logging_0980/tillsynsmail/A 8265-2023 tillsynsbegäran mail.docx", "A 8265-2023")</f>
        <v/>
      </c>
    </row>
    <row r="75" ht="15" customHeight="1">
      <c r="A75" t="inlineStr">
        <is>
          <t>A 186-2023</t>
        </is>
      </c>
      <c r="B75" s="1" t="n">
        <v>44928</v>
      </c>
      <c r="C75" s="1" t="n">
        <v>45891</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45891</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54523-2023</t>
        </is>
      </c>
      <c r="B77" s="1" t="n">
        <v>45233</v>
      </c>
      <c r="C77" s="1" t="n">
        <v>45891</v>
      </c>
      <c r="D77" t="inlineStr">
        <is>
          <t>GOTLANDS LÄN</t>
        </is>
      </c>
      <c r="E77" t="inlineStr">
        <is>
          <t>GOTLAND</t>
        </is>
      </c>
      <c r="G77" t="n">
        <v>3.7</v>
      </c>
      <c r="H77" t="n">
        <v>2</v>
      </c>
      <c r="I77" t="n">
        <v>0</v>
      </c>
      <c r="J77" t="n">
        <v>1</v>
      </c>
      <c r="K77" t="n">
        <v>1</v>
      </c>
      <c r="L77" t="n">
        <v>0</v>
      </c>
      <c r="M77" t="n">
        <v>0</v>
      </c>
      <c r="N77" t="n">
        <v>0</v>
      </c>
      <c r="O77" t="n">
        <v>2</v>
      </c>
      <c r="P77" t="n">
        <v>1</v>
      </c>
      <c r="Q77" t="n">
        <v>4</v>
      </c>
      <c r="R77" s="2" t="inlineStr">
        <is>
          <t>Sommarklynne
Åkerkulla
Brudsporre
Kärrknipprot</t>
        </is>
      </c>
      <c r="S77">
        <f>HYPERLINK("https://klasma.github.io/Logging_0980/artfynd/A 54523-2023 artfynd.xlsx", "A 54523-2023")</f>
        <v/>
      </c>
      <c r="T77">
        <f>HYPERLINK("https://klasma.github.io/Logging_0980/kartor/A 54523-2023 karta.png", "A 54523-2023")</f>
        <v/>
      </c>
      <c r="V77">
        <f>HYPERLINK("https://klasma.github.io/Logging_0980/klagomål/A 54523-2023 FSC-klagomål.docx", "A 54523-2023")</f>
        <v/>
      </c>
      <c r="W77">
        <f>HYPERLINK("https://klasma.github.io/Logging_0980/klagomålsmail/A 54523-2023 FSC-klagomål mail.docx", "A 54523-2023")</f>
        <v/>
      </c>
      <c r="X77">
        <f>HYPERLINK("https://klasma.github.io/Logging_0980/tillsyn/A 54523-2023 tillsynsbegäran.docx", "A 54523-2023")</f>
        <v/>
      </c>
      <c r="Y77">
        <f>HYPERLINK("https://klasma.github.io/Logging_0980/tillsynsmail/A 54523-2023 tillsynsbegäran mail.docx", "A 54523-2023")</f>
        <v/>
      </c>
    </row>
    <row r="78" ht="15" customHeight="1">
      <c r="A78" t="inlineStr">
        <is>
          <t>A 6159-2023</t>
        </is>
      </c>
      <c r="B78" s="1" t="n">
        <v>44964</v>
      </c>
      <c r="C78" s="1" t="n">
        <v>45891</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45891</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45891</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1971-2023</t>
        </is>
      </c>
      <c r="B81" s="1" t="n">
        <v>44939</v>
      </c>
      <c r="C81" s="1" t="n">
        <v>45891</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64378-2020</t>
        </is>
      </c>
      <c r="B82" s="1" t="n">
        <v>44168</v>
      </c>
      <c r="C82" s="1" t="n">
        <v>45891</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5904-2024</t>
        </is>
      </c>
      <c r="B83" s="1" t="n">
        <v>45335</v>
      </c>
      <c r="C83" s="1" t="n">
        <v>45891</v>
      </c>
      <c r="D83" t="inlineStr">
        <is>
          <t>GOTLANDS LÄN</t>
        </is>
      </c>
      <c r="E83" t="inlineStr">
        <is>
          <t>GOTLAND</t>
        </is>
      </c>
      <c r="G83" t="n">
        <v>6.4</v>
      </c>
      <c r="H83" t="n">
        <v>1</v>
      </c>
      <c r="I83" t="n">
        <v>2</v>
      </c>
      <c r="J83" t="n">
        <v>1</v>
      </c>
      <c r="K83" t="n">
        <v>0</v>
      </c>
      <c r="L83" t="n">
        <v>0</v>
      </c>
      <c r="M83" t="n">
        <v>0</v>
      </c>
      <c r="N83" t="n">
        <v>0</v>
      </c>
      <c r="O83" t="n">
        <v>1</v>
      </c>
      <c r="P83" t="n">
        <v>0</v>
      </c>
      <c r="Q83" t="n">
        <v>4</v>
      </c>
      <c r="R83" s="2" t="inlineStr">
        <is>
          <t>Backstarr
Blåmossa
Kattfotslav
Sankt pers nycklar</t>
        </is>
      </c>
      <c r="S83">
        <f>HYPERLINK("https://klasma.github.io/Logging_0980/artfynd/A 5904-2024 artfynd.xlsx", "A 5904-2024")</f>
        <v/>
      </c>
      <c r="T83">
        <f>HYPERLINK("https://klasma.github.io/Logging_0980/kartor/A 5904-2024 karta.png", "A 5904-2024")</f>
        <v/>
      </c>
      <c r="V83">
        <f>HYPERLINK("https://klasma.github.io/Logging_0980/klagomål/A 5904-2024 FSC-klagomål.docx", "A 5904-2024")</f>
        <v/>
      </c>
      <c r="W83">
        <f>HYPERLINK("https://klasma.github.io/Logging_0980/klagomålsmail/A 5904-2024 FSC-klagomål mail.docx", "A 5904-2024")</f>
        <v/>
      </c>
      <c r="X83">
        <f>HYPERLINK("https://klasma.github.io/Logging_0980/tillsyn/A 5904-2024 tillsynsbegäran.docx", "A 5904-2024")</f>
        <v/>
      </c>
      <c r="Y83">
        <f>HYPERLINK("https://klasma.github.io/Logging_0980/tillsynsmail/A 5904-2024 tillsynsbegäran mail.docx", "A 5904-2024")</f>
        <v/>
      </c>
    </row>
    <row r="84" ht="15" customHeight="1">
      <c r="A84" t="inlineStr">
        <is>
          <t>A 2485-2025</t>
        </is>
      </c>
      <c r="B84" s="1" t="n">
        <v>45673</v>
      </c>
      <c r="C84" s="1" t="n">
        <v>45891</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45891</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45891</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45891</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45891</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45891</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45891</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45891</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45891</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17982-2023</t>
        </is>
      </c>
      <c r="B93" s="1" t="n">
        <v>45040</v>
      </c>
      <c r="C93" s="1" t="n">
        <v>45891</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45891</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45891</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12315-2024</t>
        </is>
      </c>
      <c r="B96" s="1" t="n">
        <v>45378.6434837963</v>
      </c>
      <c r="C96" s="1" t="n">
        <v>45891</v>
      </c>
      <c r="D96" t="inlineStr">
        <is>
          <t>GOTLANDS LÄN</t>
        </is>
      </c>
      <c r="E96" t="inlineStr">
        <is>
          <t>GOTLAND</t>
        </is>
      </c>
      <c r="G96" t="n">
        <v>6</v>
      </c>
      <c r="H96" t="n">
        <v>3</v>
      </c>
      <c r="I96" t="n">
        <v>1</v>
      </c>
      <c r="J96" t="n">
        <v>1</v>
      </c>
      <c r="K96" t="n">
        <v>0</v>
      </c>
      <c r="L96" t="n">
        <v>0</v>
      </c>
      <c r="M96" t="n">
        <v>0</v>
      </c>
      <c r="N96" t="n">
        <v>0</v>
      </c>
      <c r="O96" t="n">
        <v>1</v>
      </c>
      <c r="P96" t="n">
        <v>0</v>
      </c>
      <c r="Q96" t="n">
        <v>3</v>
      </c>
      <c r="R96" s="2" t="inlineStr">
        <is>
          <t>Buskskvätta
Tvåblad
Fläcknycklar</t>
        </is>
      </c>
      <c r="S96">
        <f>HYPERLINK("https://klasma.github.io/Logging_0980/artfynd/A 12315-2024 artfynd.xlsx", "A 12315-2024")</f>
        <v/>
      </c>
      <c r="T96">
        <f>HYPERLINK("https://klasma.github.io/Logging_0980/kartor/A 12315-2024 karta.png", "A 12315-2024")</f>
        <v/>
      </c>
      <c r="V96">
        <f>HYPERLINK("https://klasma.github.io/Logging_0980/klagomål/A 12315-2024 FSC-klagomål.docx", "A 12315-2024")</f>
        <v/>
      </c>
      <c r="W96">
        <f>HYPERLINK("https://klasma.github.io/Logging_0980/klagomålsmail/A 12315-2024 FSC-klagomål mail.docx", "A 12315-2024")</f>
        <v/>
      </c>
      <c r="X96">
        <f>HYPERLINK("https://klasma.github.io/Logging_0980/tillsyn/A 12315-2024 tillsynsbegäran.docx", "A 12315-2024")</f>
        <v/>
      </c>
      <c r="Y96">
        <f>HYPERLINK("https://klasma.github.io/Logging_0980/tillsynsmail/A 12315-2024 tillsynsbegäran mail.docx", "A 12315-2024")</f>
        <v/>
      </c>
      <c r="Z96">
        <f>HYPERLINK("https://klasma.github.io/Logging_0980/fåglar/A 12315-2024 prioriterade fågelarter.docx", "A 12315-2024")</f>
        <v/>
      </c>
    </row>
    <row r="97" ht="15" customHeight="1">
      <c r="A97" t="inlineStr">
        <is>
          <t>A 43013-2022</t>
        </is>
      </c>
      <c r="B97" s="1" t="n">
        <v>44833</v>
      </c>
      <c r="C97" s="1" t="n">
        <v>45891</v>
      </c>
      <c r="D97" t="inlineStr">
        <is>
          <t>GOTLANDS LÄN</t>
        </is>
      </c>
      <c r="E97" t="inlineStr">
        <is>
          <t>GOTLAND</t>
        </is>
      </c>
      <c r="G97" t="n">
        <v>9.300000000000001</v>
      </c>
      <c r="H97" t="n">
        <v>0</v>
      </c>
      <c r="I97" t="n">
        <v>2</v>
      </c>
      <c r="J97" t="n">
        <v>0</v>
      </c>
      <c r="K97" t="n">
        <v>1</v>
      </c>
      <c r="L97" t="n">
        <v>0</v>
      </c>
      <c r="M97" t="n">
        <v>0</v>
      </c>
      <c r="N97" t="n">
        <v>0</v>
      </c>
      <c r="O97" t="n">
        <v>1</v>
      </c>
      <c r="P97" t="n">
        <v>1</v>
      </c>
      <c r="Q97" t="n">
        <v>3</v>
      </c>
      <c r="R97" s="2" t="inlineStr">
        <is>
          <t>Violettfläckig spindling
Anisspindling
Blå slemspindling</t>
        </is>
      </c>
      <c r="S97">
        <f>HYPERLINK("https://klasma.github.io/Logging_0980/artfynd/A 43013-2022 artfynd.xlsx", "A 43013-2022")</f>
        <v/>
      </c>
      <c r="T97">
        <f>HYPERLINK("https://klasma.github.io/Logging_0980/kartor/A 43013-2022 karta.png", "A 43013-2022")</f>
        <v/>
      </c>
      <c r="V97">
        <f>HYPERLINK("https://klasma.github.io/Logging_0980/klagomål/A 43013-2022 FSC-klagomål.docx", "A 43013-2022")</f>
        <v/>
      </c>
      <c r="W97">
        <f>HYPERLINK("https://klasma.github.io/Logging_0980/klagomålsmail/A 43013-2022 FSC-klagomål mail.docx", "A 43013-2022")</f>
        <v/>
      </c>
      <c r="X97">
        <f>HYPERLINK("https://klasma.github.io/Logging_0980/tillsyn/A 43013-2022 tillsynsbegäran.docx", "A 43013-2022")</f>
        <v/>
      </c>
      <c r="Y97">
        <f>HYPERLINK("https://klasma.github.io/Logging_0980/tillsynsmail/A 43013-2022 tillsynsbegäran mail.docx", "A 43013-2022")</f>
        <v/>
      </c>
    </row>
    <row r="98" ht="15" customHeight="1">
      <c r="A98" t="inlineStr">
        <is>
          <t>A 30490-2025</t>
        </is>
      </c>
      <c r="B98" s="1" t="n">
        <v>45830</v>
      </c>
      <c r="C98" s="1" t="n">
        <v>45891</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5235-2025</t>
        </is>
      </c>
      <c r="B99" s="1" t="n">
        <v>45692.26797453704</v>
      </c>
      <c r="C99" s="1" t="n">
        <v>45891</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20831-2024</t>
        </is>
      </c>
      <c r="B100" s="1" t="n">
        <v>45439</v>
      </c>
      <c r="C100" s="1" t="n">
        <v>45891</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62326-2020</t>
        </is>
      </c>
      <c r="B101" s="1" t="n">
        <v>44160</v>
      </c>
      <c r="C101" s="1" t="n">
        <v>45891</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45891</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45891</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45891</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45891</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45891</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45891</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45891</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20838-2024</t>
        </is>
      </c>
      <c r="B109" s="1" t="n">
        <v>45439</v>
      </c>
      <c r="C109" s="1" t="n">
        <v>45891</v>
      </c>
      <c r="D109" t="inlineStr">
        <is>
          <t>GOTLANDS LÄN</t>
        </is>
      </c>
      <c r="E109" t="inlineStr">
        <is>
          <t>GOTLAND</t>
        </is>
      </c>
      <c r="G109" t="n">
        <v>0.7</v>
      </c>
      <c r="H109" t="n">
        <v>2</v>
      </c>
      <c r="I109" t="n">
        <v>1</v>
      </c>
      <c r="J109" t="n">
        <v>1</v>
      </c>
      <c r="K109" t="n">
        <v>0</v>
      </c>
      <c r="L109" t="n">
        <v>0</v>
      </c>
      <c r="M109" t="n">
        <v>0</v>
      </c>
      <c r="N109" t="n">
        <v>0</v>
      </c>
      <c r="O109" t="n">
        <v>1</v>
      </c>
      <c r="P109" t="n">
        <v>0</v>
      </c>
      <c r="Q109" t="n">
        <v>2</v>
      </c>
      <c r="R109" s="2" t="inlineStr">
        <is>
          <t>Spillkråka
Skogsknipprot</t>
        </is>
      </c>
      <c r="S109">
        <f>HYPERLINK("https://klasma.github.io/Logging_0980/artfynd/A 20838-2024 artfynd.xlsx", "A 20838-2024")</f>
        <v/>
      </c>
      <c r="T109">
        <f>HYPERLINK("https://klasma.github.io/Logging_0980/kartor/A 20838-2024 karta.png", "A 20838-2024")</f>
        <v/>
      </c>
      <c r="V109">
        <f>HYPERLINK("https://klasma.github.io/Logging_0980/klagomål/A 20838-2024 FSC-klagomål.docx", "A 20838-2024")</f>
        <v/>
      </c>
      <c r="W109">
        <f>HYPERLINK("https://klasma.github.io/Logging_0980/klagomålsmail/A 20838-2024 FSC-klagomål mail.docx", "A 20838-2024")</f>
        <v/>
      </c>
      <c r="X109">
        <f>HYPERLINK("https://klasma.github.io/Logging_0980/tillsyn/A 20838-2024 tillsynsbegäran.docx", "A 20838-2024")</f>
        <v/>
      </c>
      <c r="Y109">
        <f>HYPERLINK("https://klasma.github.io/Logging_0980/tillsynsmail/A 20838-2024 tillsynsbegäran mail.docx", "A 20838-2024")</f>
        <v/>
      </c>
      <c r="Z109">
        <f>HYPERLINK("https://klasma.github.io/Logging_0980/fåglar/A 20838-2024 prioriterade fågelarter.docx", "A 20838-2024")</f>
        <v/>
      </c>
    </row>
    <row r="110" ht="15" customHeight="1">
      <c r="A110" t="inlineStr">
        <is>
          <t>A 73144-2021</t>
        </is>
      </c>
      <c r="B110" s="1" t="n">
        <v>44550</v>
      </c>
      <c r="C110" s="1" t="n">
        <v>45891</v>
      </c>
      <c r="D110" t="inlineStr">
        <is>
          <t>GOTLANDS LÄN</t>
        </is>
      </c>
      <c r="E110" t="inlineStr">
        <is>
          <t>GOTLAND</t>
        </is>
      </c>
      <c r="G110" t="n">
        <v>1.9</v>
      </c>
      <c r="H110" t="n">
        <v>0</v>
      </c>
      <c r="I110" t="n">
        <v>1</v>
      </c>
      <c r="J110" t="n">
        <v>0</v>
      </c>
      <c r="K110" t="n">
        <v>1</v>
      </c>
      <c r="L110" t="n">
        <v>0</v>
      </c>
      <c r="M110" t="n">
        <v>0</v>
      </c>
      <c r="N110" t="n">
        <v>0</v>
      </c>
      <c r="O110" t="n">
        <v>1</v>
      </c>
      <c r="P110" t="n">
        <v>1</v>
      </c>
      <c r="Q110" t="n">
        <v>2</v>
      </c>
      <c r="R110" s="2" t="inlineStr">
        <is>
          <t>Skogskorn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64263-2020</t>
        </is>
      </c>
      <c r="B111" s="1" t="n">
        <v>44168</v>
      </c>
      <c r="C111" s="1" t="n">
        <v>45891</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28276-2024</t>
        </is>
      </c>
      <c r="B112" s="1" t="n">
        <v>45477</v>
      </c>
      <c r="C112" s="1" t="n">
        <v>45891</v>
      </c>
      <c r="D112" t="inlineStr">
        <is>
          <t>GOTLANDS LÄN</t>
        </is>
      </c>
      <c r="E112" t="inlineStr">
        <is>
          <t>GOTLAND</t>
        </is>
      </c>
      <c r="G112" t="n">
        <v>22.8</v>
      </c>
      <c r="H112" t="n">
        <v>0</v>
      </c>
      <c r="I112" t="n">
        <v>0</v>
      </c>
      <c r="J112" t="n">
        <v>2</v>
      </c>
      <c r="K112" t="n">
        <v>0</v>
      </c>
      <c r="L112" t="n">
        <v>0</v>
      </c>
      <c r="M112" t="n">
        <v>0</v>
      </c>
      <c r="N112" t="n">
        <v>0</v>
      </c>
      <c r="O112" t="n">
        <v>2</v>
      </c>
      <c r="P112" t="n">
        <v>0</v>
      </c>
      <c r="Q112" t="n">
        <v>2</v>
      </c>
      <c r="R112" s="2" t="inlineStr">
        <is>
          <t>Grådådra
Åkerkulla</t>
        </is>
      </c>
      <c r="S112">
        <f>HYPERLINK("https://klasma.github.io/Logging_0980/artfynd/A 28276-2024 artfynd.xlsx", "A 28276-2024")</f>
        <v/>
      </c>
      <c r="T112">
        <f>HYPERLINK("https://klasma.github.io/Logging_0980/kartor/A 28276-2024 karta.png", "A 28276-2024")</f>
        <v/>
      </c>
      <c r="V112">
        <f>HYPERLINK("https://klasma.github.io/Logging_0980/klagomål/A 28276-2024 FSC-klagomål.docx", "A 28276-2024")</f>
        <v/>
      </c>
      <c r="W112">
        <f>HYPERLINK("https://klasma.github.io/Logging_0980/klagomålsmail/A 28276-2024 FSC-klagomål mail.docx", "A 28276-2024")</f>
        <v/>
      </c>
      <c r="X112">
        <f>HYPERLINK("https://klasma.github.io/Logging_0980/tillsyn/A 28276-2024 tillsynsbegäran.docx", "A 28276-2024")</f>
        <v/>
      </c>
      <c r="Y112">
        <f>HYPERLINK("https://klasma.github.io/Logging_0980/tillsynsmail/A 28276-2024 tillsynsbegäran mail.docx", "A 28276-2024")</f>
        <v/>
      </c>
    </row>
    <row r="113" ht="15" customHeight="1">
      <c r="A113" t="inlineStr">
        <is>
          <t>A 26077-2024</t>
        </is>
      </c>
      <c r="B113" s="1" t="n">
        <v>45467</v>
      </c>
      <c r="C113" s="1" t="n">
        <v>45891</v>
      </c>
      <c r="D113" t="inlineStr">
        <is>
          <t>GOTLANDS LÄN</t>
        </is>
      </c>
      <c r="E113" t="inlineStr">
        <is>
          <t>GOTLAND</t>
        </is>
      </c>
      <c r="G113" t="n">
        <v>4.6</v>
      </c>
      <c r="H113" t="n">
        <v>0</v>
      </c>
      <c r="I113" t="n">
        <v>0</v>
      </c>
      <c r="J113" t="n">
        <v>1</v>
      </c>
      <c r="K113" t="n">
        <v>0</v>
      </c>
      <c r="L113" t="n">
        <v>1</v>
      </c>
      <c r="M113" t="n">
        <v>0</v>
      </c>
      <c r="N113" t="n">
        <v>0</v>
      </c>
      <c r="O113" t="n">
        <v>2</v>
      </c>
      <c r="P113" t="n">
        <v>1</v>
      </c>
      <c r="Q113" t="n">
        <v>2</v>
      </c>
      <c r="R113" s="2" t="inlineStr">
        <is>
          <t>Ask
Tallticka</t>
        </is>
      </c>
      <c r="S113">
        <f>HYPERLINK("https://klasma.github.io/Logging_0980/artfynd/A 26077-2024 artfynd.xlsx", "A 26077-2024")</f>
        <v/>
      </c>
      <c r="T113">
        <f>HYPERLINK("https://klasma.github.io/Logging_0980/kartor/A 26077-2024 karta.png", "A 26077-2024")</f>
        <v/>
      </c>
      <c r="V113">
        <f>HYPERLINK("https://klasma.github.io/Logging_0980/klagomål/A 26077-2024 FSC-klagomål.docx", "A 26077-2024")</f>
        <v/>
      </c>
      <c r="W113">
        <f>HYPERLINK("https://klasma.github.io/Logging_0980/klagomålsmail/A 26077-2024 FSC-klagomål mail.docx", "A 26077-2024")</f>
        <v/>
      </c>
      <c r="X113">
        <f>HYPERLINK("https://klasma.github.io/Logging_0980/tillsyn/A 26077-2024 tillsynsbegäran.docx", "A 26077-2024")</f>
        <v/>
      </c>
      <c r="Y113">
        <f>HYPERLINK("https://klasma.github.io/Logging_0980/tillsynsmail/A 26077-2024 tillsynsbegäran mail.docx", "A 26077-2024")</f>
        <v/>
      </c>
    </row>
    <row r="114" ht="15" customHeight="1">
      <c r="A114" t="inlineStr">
        <is>
          <t>A 58701-2020</t>
        </is>
      </c>
      <c r="B114" s="1" t="n">
        <v>44146</v>
      </c>
      <c r="C114" s="1" t="n">
        <v>45891</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21879-2025</t>
        </is>
      </c>
      <c r="B115" s="1" t="n">
        <v>45784.40533564815</v>
      </c>
      <c r="C115" s="1" t="n">
        <v>45891</v>
      </c>
      <c r="D115" t="inlineStr">
        <is>
          <t>GOTLANDS LÄN</t>
        </is>
      </c>
      <c r="E115" t="inlineStr">
        <is>
          <t>GOTLAND</t>
        </is>
      </c>
      <c r="G115" t="n">
        <v>11.1</v>
      </c>
      <c r="H115" t="n">
        <v>0</v>
      </c>
      <c r="I115" t="n">
        <v>1</v>
      </c>
      <c r="J115" t="n">
        <v>0</v>
      </c>
      <c r="K115" t="n">
        <v>0</v>
      </c>
      <c r="L115" t="n">
        <v>1</v>
      </c>
      <c r="M115" t="n">
        <v>0</v>
      </c>
      <c r="N115" t="n">
        <v>0</v>
      </c>
      <c r="O115" t="n">
        <v>1</v>
      </c>
      <c r="P115" t="n">
        <v>1</v>
      </c>
      <c r="Q115" t="n">
        <v>2</v>
      </c>
      <c r="R115" s="2" t="inlineStr">
        <is>
          <t>Ask
Murgröna</t>
        </is>
      </c>
      <c r="S115">
        <f>HYPERLINK("https://klasma.github.io/Logging_0980/artfynd/A 21879-2025 artfynd.xlsx", "A 21879-2025")</f>
        <v/>
      </c>
      <c r="T115">
        <f>HYPERLINK("https://klasma.github.io/Logging_0980/kartor/A 21879-2025 karta.png", "A 21879-2025")</f>
        <v/>
      </c>
      <c r="V115">
        <f>HYPERLINK("https://klasma.github.io/Logging_0980/klagomål/A 21879-2025 FSC-klagomål.docx", "A 21879-2025")</f>
        <v/>
      </c>
      <c r="W115">
        <f>HYPERLINK("https://klasma.github.io/Logging_0980/klagomålsmail/A 21879-2025 FSC-klagomål mail.docx", "A 21879-2025")</f>
        <v/>
      </c>
      <c r="X115">
        <f>HYPERLINK("https://klasma.github.io/Logging_0980/tillsyn/A 21879-2025 tillsynsbegäran.docx", "A 21879-2025")</f>
        <v/>
      </c>
      <c r="Y115">
        <f>HYPERLINK("https://klasma.github.io/Logging_0980/tillsynsmail/A 21879-2025 tillsynsbegäran mail.docx", "A 21879-2025")</f>
        <v/>
      </c>
    </row>
    <row r="116" ht="15" customHeight="1">
      <c r="A116" t="inlineStr">
        <is>
          <t>A 43321-2020</t>
        </is>
      </c>
      <c r="B116" s="1" t="n">
        <v>44081</v>
      </c>
      <c r="C116" s="1" t="n">
        <v>45891</v>
      </c>
      <c r="D116" t="inlineStr">
        <is>
          <t>GOTLANDS LÄN</t>
        </is>
      </c>
      <c r="E116" t="inlineStr">
        <is>
          <t>GOTLAND</t>
        </is>
      </c>
      <c r="G116" t="n">
        <v>10</v>
      </c>
      <c r="H116" t="n">
        <v>1</v>
      </c>
      <c r="I116" t="n">
        <v>0</v>
      </c>
      <c r="J116" t="n">
        <v>2</v>
      </c>
      <c r="K116" t="n">
        <v>0</v>
      </c>
      <c r="L116" t="n">
        <v>0</v>
      </c>
      <c r="M116" t="n">
        <v>0</v>
      </c>
      <c r="N116" t="n">
        <v>0</v>
      </c>
      <c r="O116" t="n">
        <v>2</v>
      </c>
      <c r="P116" t="n">
        <v>0</v>
      </c>
      <c r="Q116" t="n">
        <v>2</v>
      </c>
      <c r="R116" s="2" t="inlineStr">
        <is>
          <t>Buskskvätta
Ängsnätfjäril</t>
        </is>
      </c>
      <c r="S116">
        <f>HYPERLINK("https://klasma.github.io/Logging_0980/artfynd/A 43321-2020 artfynd.xlsx", "A 43321-2020")</f>
        <v/>
      </c>
      <c r="T116">
        <f>HYPERLINK("https://klasma.github.io/Logging_0980/kartor/A 43321-2020 karta.png", "A 43321-2020")</f>
        <v/>
      </c>
      <c r="V116">
        <f>HYPERLINK("https://klasma.github.io/Logging_0980/klagomål/A 43321-2020 FSC-klagomål.docx", "A 43321-2020")</f>
        <v/>
      </c>
      <c r="W116">
        <f>HYPERLINK("https://klasma.github.io/Logging_0980/klagomålsmail/A 43321-2020 FSC-klagomål mail.docx", "A 43321-2020")</f>
        <v/>
      </c>
      <c r="X116">
        <f>HYPERLINK("https://klasma.github.io/Logging_0980/tillsyn/A 43321-2020 tillsynsbegäran.docx", "A 43321-2020")</f>
        <v/>
      </c>
      <c r="Y116">
        <f>HYPERLINK("https://klasma.github.io/Logging_0980/tillsynsmail/A 43321-2020 tillsynsbegäran mail.docx", "A 43321-2020")</f>
        <v/>
      </c>
      <c r="Z116">
        <f>HYPERLINK("https://klasma.github.io/Logging_0980/fåglar/A 43321-2020 prioriterade fågelarter.docx", "A 43321-2020")</f>
        <v/>
      </c>
    </row>
    <row r="117" ht="15" customHeight="1">
      <c r="A117" t="inlineStr">
        <is>
          <t>A 54357-2024</t>
        </is>
      </c>
      <c r="B117" s="1" t="n">
        <v>45617.40662037037</v>
      </c>
      <c r="C117" s="1" t="n">
        <v>45891</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7070-2022</t>
        </is>
      </c>
      <c r="B118" s="1" t="n">
        <v>44603</v>
      </c>
      <c r="C118" s="1" t="n">
        <v>45891</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45891</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45891</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45891</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45891</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45891</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45891</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45891</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45891</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45891</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45891</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45891</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45891</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44308-2021</t>
        </is>
      </c>
      <c r="B131" s="1" t="n">
        <v>44434</v>
      </c>
      <c r="C131" s="1" t="n">
        <v>45891</v>
      </c>
      <c r="D131" t="inlineStr">
        <is>
          <t>GOTLANDS LÄN</t>
        </is>
      </c>
      <c r="E131" t="inlineStr">
        <is>
          <t>GOTLAND</t>
        </is>
      </c>
      <c r="G131" t="n">
        <v>5.9</v>
      </c>
      <c r="H131" t="n">
        <v>0</v>
      </c>
      <c r="I131" t="n">
        <v>1</v>
      </c>
      <c r="J131" t="n">
        <v>0</v>
      </c>
      <c r="K131" t="n">
        <v>0</v>
      </c>
      <c r="L131" t="n">
        <v>0</v>
      </c>
      <c r="M131" t="n">
        <v>0</v>
      </c>
      <c r="N131" t="n">
        <v>0</v>
      </c>
      <c r="O131" t="n">
        <v>0</v>
      </c>
      <c r="P131" t="n">
        <v>0</v>
      </c>
      <c r="Q131" t="n">
        <v>1</v>
      </c>
      <c r="R131" s="2" t="inlineStr">
        <is>
          <t>Svavelriska</t>
        </is>
      </c>
      <c r="S131">
        <f>HYPERLINK("https://klasma.github.io/Logging_0980/artfynd/A 44308-2021 artfynd.xlsx", "A 44308-2021")</f>
        <v/>
      </c>
      <c r="T131">
        <f>HYPERLINK("https://klasma.github.io/Logging_0980/kartor/A 44308-2021 karta.png", "A 44308-2021")</f>
        <v/>
      </c>
      <c r="V131">
        <f>HYPERLINK("https://klasma.github.io/Logging_0980/klagomål/A 44308-2021 FSC-klagomål.docx", "A 44308-2021")</f>
        <v/>
      </c>
      <c r="W131">
        <f>HYPERLINK("https://klasma.github.io/Logging_0980/klagomålsmail/A 44308-2021 FSC-klagomål mail.docx", "A 44308-2021")</f>
        <v/>
      </c>
      <c r="X131">
        <f>HYPERLINK("https://klasma.github.io/Logging_0980/tillsyn/A 44308-2021 tillsynsbegäran.docx", "A 44308-2021")</f>
        <v/>
      </c>
      <c r="Y131">
        <f>HYPERLINK("https://klasma.github.io/Logging_0980/tillsynsmail/A 44308-2021 tillsynsbegäran mail.docx", "A 44308-2021")</f>
        <v/>
      </c>
    </row>
    <row r="132" ht="15" customHeight="1">
      <c r="A132" t="inlineStr">
        <is>
          <t>A 12379-2024</t>
        </is>
      </c>
      <c r="B132" s="1" t="n">
        <v>45379.28155092592</v>
      </c>
      <c r="C132" s="1" t="n">
        <v>45891</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24245-2022</t>
        </is>
      </c>
      <c r="B133" s="1" t="n">
        <v>44725</v>
      </c>
      <c r="C133" s="1" t="n">
        <v>45891</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17723-2021</t>
        </is>
      </c>
      <c r="B134" s="1" t="n">
        <v>44300</v>
      </c>
      <c r="C134" s="1" t="n">
        <v>45891</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447-2023</t>
        </is>
      </c>
      <c r="B135" s="1" t="n">
        <v>44929</v>
      </c>
      <c r="C135" s="1" t="n">
        <v>45891</v>
      </c>
      <c r="D135" t="inlineStr">
        <is>
          <t>GOTLANDS LÄN</t>
        </is>
      </c>
      <c r="E135" t="inlineStr">
        <is>
          <t>GOTLAND</t>
        </is>
      </c>
      <c r="G135" t="n">
        <v>5.1</v>
      </c>
      <c r="H135" t="n">
        <v>0</v>
      </c>
      <c r="I135" t="n">
        <v>0</v>
      </c>
      <c r="J135" t="n">
        <v>1</v>
      </c>
      <c r="K135" t="n">
        <v>0</v>
      </c>
      <c r="L135" t="n">
        <v>0</v>
      </c>
      <c r="M135" t="n">
        <v>0</v>
      </c>
      <c r="N135" t="n">
        <v>0</v>
      </c>
      <c r="O135" t="n">
        <v>1</v>
      </c>
      <c r="P135" t="n">
        <v>0</v>
      </c>
      <c r="Q135" t="n">
        <v>1</v>
      </c>
      <c r="R135" s="2" t="inlineStr">
        <is>
          <t>Äggspindling</t>
        </is>
      </c>
      <c r="S135">
        <f>HYPERLINK("https://klasma.github.io/Logging_0980/artfynd/A 447-2023 artfynd.xlsx", "A 447-2023")</f>
        <v/>
      </c>
      <c r="T135">
        <f>HYPERLINK("https://klasma.github.io/Logging_0980/kartor/A 447-2023 karta.png", "A 447-2023")</f>
        <v/>
      </c>
      <c r="V135">
        <f>HYPERLINK("https://klasma.github.io/Logging_0980/klagomål/A 447-2023 FSC-klagomål.docx", "A 447-2023")</f>
        <v/>
      </c>
      <c r="W135">
        <f>HYPERLINK("https://klasma.github.io/Logging_0980/klagomålsmail/A 447-2023 FSC-klagomål mail.docx", "A 447-2023")</f>
        <v/>
      </c>
      <c r="X135">
        <f>HYPERLINK("https://klasma.github.io/Logging_0980/tillsyn/A 447-2023 tillsynsbegäran.docx", "A 447-2023")</f>
        <v/>
      </c>
      <c r="Y135">
        <f>HYPERLINK("https://klasma.github.io/Logging_0980/tillsynsmail/A 447-2023 tillsynsbegäran mail.docx", "A 447-2023")</f>
        <v/>
      </c>
    </row>
    <row r="136" ht="15" customHeight="1">
      <c r="A136" t="inlineStr">
        <is>
          <t>A 2213-2023</t>
        </is>
      </c>
      <c r="B136" s="1" t="n">
        <v>44942</v>
      </c>
      <c r="C136" s="1" t="n">
        <v>45891</v>
      </c>
      <c r="D136" t="inlineStr">
        <is>
          <t>GOTLANDS LÄN</t>
        </is>
      </c>
      <c r="E136" t="inlineStr">
        <is>
          <t>GOTLAND</t>
        </is>
      </c>
      <c r="G136" t="n">
        <v>2.7</v>
      </c>
      <c r="H136" t="n">
        <v>0</v>
      </c>
      <c r="I136" t="n">
        <v>0</v>
      </c>
      <c r="J136" t="n">
        <v>1</v>
      </c>
      <c r="K136" t="n">
        <v>0</v>
      </c>
      <c r="L136" t="n">
        <v>0</v>
      </c>
      <c r="M136" t="n">
        <v>0</v>
      </c>
      <c r="N136" t="n">
        <v>0</v>
      </c>
      <c r="O136" t="n">
        <v>1</v>
      </c>
      <c r="P136" t="n">
        <v>0</v>
      </c>
      <c r="Q136" t="n">
        <v>1</v>
      </c>
      <c r="R136" s="2" t="inlineStr">
        <is>
          <t>Odörspindling</t>
        </is>
      </c>
      <c r="S136">
        <f>HYPERLINK("https://klasma.github.io/Logging_0980/artfynd/A 2213-2023 artfynd.xlsx", "A 2213-2023")</f>
        <v/>
      </c>
      <c r="T136">
        <f>HYPERLINK("https://klasma.github.io/Logging_0980/kartor/A 2213-2023 karta.png", "A 2213-2023")</f>
        <v/>
      </c>
      <c r="V136">
        <f>HYPERLINK("https://klasma.github.io/Logging_0980/klagomål/A 2213-2023 FSC-klagomål.docx", "A 2213-2023")</f>
        <v/>
      </c>
      <c r="W136">
        <f>HYPERLINK("https://klasma.github.io/Logging_0980/klagomålsmail/A 2213-2023 FSC-klagomål mail.docx", "A 2213-2023")</f>
        <v/>
      </c>
      <c r="X136">
        <f>HYPERLINK("https://klasma.github.io/Logging_0980/tillsyn/A 2213-2023 tillsynsbegäran.docx", "A 2213-2023")</f>
        <v/>
      </c>
      <c r="Y136">
        <f>HYPERLINK("https://klasma.github.io/Logging_0980/tillsynsmail/A 2213-2023 tillsynsbegäran mail.docx", "A 2213-2023")</f>
        <v/>
      </c>
    </row>
    <row r="137" ht="15" customHeight="1">
      <c r="A137" t="inlineStr">
        <is>
          <t>A 947-2023</t>
        </is>
      </c>
      <c r="B137" s="1" t="n">
        <v>44934</v>
      </c>
      <c r="C137" s="1" t="n">
        <v>45891</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49847-2023</t>
        </is>
      </c>
      <c r="B138" s="1" t="n">
        <v>45212</v>
      </c>
      <c r="C138" s="1" t="n">
        <v>45891</v>
      </c>
      <c r="D138" t="inlineStr">
        <is>
          <t>GOTLANDS LÄN</t>
        </is>
      </c>
      <c r="E138" t="inlineStr">
        <is>
          <t>GOTLAND</t>
        </is>
      </c>
      <c r="G138" t="n">
        <v>35.2</v>
      </c>
      <c r="H138" t="n">
        <v>0</v>
      </c>
      <c r="I138" t="n">
        <v>0</v>
      </c>
      <c r="J138" t="n">
        <v>0</v>
      </c>
      <c r="K138" t="n">
        <v>1</v>
      </c>
      <c r="L138" t="n">
        <v>0</v>
      </c>
      <c r="M138" t="n">
        <v>0</v>
      </c>
      <c r="N138" t="n">
        <v>0</v>
      </c>
      <c r="O138" t="n">
        <v>1</v>
      </c>
      <c r="P138" t="n">
        <v>1</v>
      </c>
      <c r="Q138" t="n">
        <v>1</v>
      </c>
      <c r="R138" s="2" t="inlineStr">
        <is>
          <t>Strandviol</t>
        </is>
      </c>
      <c r="S138">
        <f>HYPERLINK("https://klasma.github.io/Logging_0980/artfynd/A 49847-2023 artfynd.xlsx", "A 49847-2023")</f>
        <v/>
      </c>
      <c r="T138">
        <f>HYPERLINK("https://klasma.github.io/Logging_0980/kartor/A 49847-2023 karta.png", "A 49847-2023")</f>
        <v/>
      </c>
      <c r="V138">
        <f>HYPERLINK("https://klasma.github.io/Logging_0980/klagomål/A 49847-2023 FSC-klagomål.docx", "A 49847-2023")</f>
        <v/>
      </c>
      <c r="W138">
        <f>HYPERLINK("https://klasma.github.io/Logging_0980/klagomålsmail/A 49847-2023 FSC-klagomål mail.docx", "A 49847-2023")</f>
        <v/>
      </c>
      <c r="X138">
        <f>HYPERLINK("https://klasma.github.io/Logging_0980/tillsyn/A 49847-2023 tillsynsbegäran.docx", "A 49847-2023")</f>
        <v/>
      </c>
      <c r="Y138">
        <f>HYPERLINK("https://klasma.github.io/Logging_0980/tillsynsmail/A 49847-2023 tillsynsbegäran mail.docx", "A 49847-2023")</f>
        <v/>
      </c>
    </row>
    <row r="139" ht="15" customHeight="1">
      <c r="A139" t="inlineStr">
        <is>
          <t>A 46527-2023</t>
        </is>
      </c>
      <c r="B139" s="1" t="n">
        <v>45197</v>
      </c>
      <c r="C139" s="1" t="n">
        <v>45891</v>
      </c>
      <c r="D139" t="inlineStr">
        <is>
          <t>GOTLANDS LÄN</t>
        </is>
      </c>
      <c r="E139" t="inlineStr">
        <is>
          <t>GOTLAND</t>
        </is>
      </c>
      <c r="G139" t="n">
        <v>0.9</v>
      </c>
      <c r="H139" t="n">
        <v>0</v>
      </c>
      <c r="I139" t="n">
        <v>0</v>
      </c>
      <c r="J139" t="n">
        <v>1</v>
      </c>
      <c r="K139" t="n">
        <v>0</v>
      </c>
      <c r="L139" t="n">
        <v>0</v>
      </c>
      <c r="M139" t="n">
        <v>0</v>
      </c>
      <c r="N139" t="n">
        <v>0</v>
      </c>
      <c r="O139" t="n">
        <v>1</v>
      </c>
      <c r="P139" t="n">
        <v>0</v>
      </c>
      <c r="Q139" t="n">
        <v>1</v>
      </c>
      <c r="R139" s="2" t="inlineStr">
        <is>
          <t>Guldgräshoppa</t>
        </is>
      </c>
      <c r="S139">
        <f>HYPERLINK("https://klasma.github.io/Logging_0980/artfynd/A 46527-2023 artfynd.xlsx", "A 46527-2023")</f>
        <v/>
      </c>
      <c r="T139">
        <f>HYPERLINK("https://klasma.github.io/Logging_0980/kartor/A 46527-2023 karta.png", "A 46527-2023")</f>
        <v/>
      </c>
      <c r="V139">
        <f>HYPERLINK("https://klasma.github.io/Logging_0980/klagomål/A 46527-2023 FSC-klagomål.docx", "A 46527-2023")</f>
        <v/>
      </c>
      <c r="W139">
        <f>HYPERLINK("https://klasma.github.io/Logging_0980/klagomålsmail/A 46527-2023 FSC-klagomål mail.docx", "A 46527-2023")</f>
        <v/>
      </c>
      <c r="X139">
        <f>HYPERLINK("https://klasma.github.io/Logging_0980/tillsyn/A 46527-2023 tillsynsbegäran.docx", "A 46527-2023")</f>
        <v/>
      </c>
      <c r="Y139">
        <f>HYPERLINK("https://klasma.github.io/Logging_0980/tillsynsmail/A 46527-2023 tillsynsbegäran mail.docx", "A 46527-2023")</f>
        <v/>
      </c>
    </row>
    <row r="140" ht="15" customHeight="1">
      <c r="A140" t="inlineStr">
        <is>
          <t>A 49304-2024</t>
        </is>
      </c>
      <c r="B140" s="1" t="n">
        <v>45595.54996527778</v>
      </c>
      <c r="C140" s="1" t="n">
        <v>45891</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63576-2021</t>
        </is>
      </c>
      <c r="B141" s="1" t="n">
        <v>44508</v>
      </c>
      <c r="C141" s="1" t="n">
        <v>45891</v>
      </c>
      <c r="D141" t="inlineStr">
        <is>
          <t>GOTLANDS LÄN</t>
        </is>
      </c>
      <c r="E141" t="inlineStr">
        <is>
          <t>GOTLAND</t>
        </is>
      </c>
      <c r="F141" t="inlineStr">
        <is>
          <t>Kyrkan</t>
        </is>
      </c>
      <c r="G141" t="n">
        <v>4.1</v>
      </c>
      <c r="H141" t="n">
        <v>1</v>
      </c>
      <c r="I141" t="n">
        <v>0</v>
      </c>
      <c r="J141" t="n">
        <v>1</v>
      </c>
      <c r="K141" t="n">
        <v>0</v>
      </c>
      <c r="L141" t="n">
        <v>0</v>
      </c>
      <c r="M141" t="n">
        <v>0</v>
      </c>
      <c r="N141" t="n">
        <v>0</v>
      </c>
      <c r="O141" t="n">
        <v>1</v>
      </c>
      <c r="P141" t="n">
        <v>0</v>
      </c>
      <c r="Q141" t="n">
        <v>1</v>
      </c>
      <c r="R141" s="2" t="inlineStr">
        <is>
          <t>Dårgräsfjäril</t>
        </is>
      </c>
      <c r="S141">
        <f>HYPERLINK("https://klasma.github.io/Logging_0980/artfynd/A 63576-2021 artfynd.xlsx", "A 63576-2021")</f>
        <v/>
      </c>
      <c r="T141">
        <f>HYPERLINK("https://klasma.github.io/Logging_0980/kartor/A 63576-2021 karta.png", "A 63576-2021")</f>
        <v/>
      </c>
      <c r="V141">
        <f>HYPERLINK("https://klasma.github.io/Logging_0980/klagomål/A 63576-2021 FSC-klagomål.docx", "A 63576-2021")</f>
        <v/>
      </c>
      <c r="W141">
        <f>HYPERLINK("https://klasma.github.io/Logging_0980/klagomålsmail/A 63576-2021 FSC-klagomål mail.docx", "A 63576-2021")</f>
        <v/>
      </c>
      <c r="X141">
        <f>HYPERLINK("https://klasma.github.io/Logging_0980/tillsyn/A 63576-2021 tillsynsbegäran.docx", "A 63576-2021")</f>
        <v/>
      </c>
      <c r="Y141">
        <f>HYPERLINK("https://klasma.github.io/Logging_0980/tillsynsmail/A 63576-2021 tillsynsbegäran mail.docx", "A 63576-2021")</f>
        <v/>
      </c>
    </row>
    <row r="142" ht="15" customHeight="1">
      <c r="A142" t="inlineStr">
        <is>
          <t>A 64700-2021</t>
        </is>
      </c>
      <c r="B142" s="1" t="n">
        <v>44511</v>
      </c>
      <c r="C142" s="1" t="n">
        <v>45891</v>
      </c>
      <c r="D142" t="inlineStr">
        <is>
          <t>GOTLANDS LÄN</t>
        </is>
      </c>
      <c r="E142" t="inlineStr">
        <is>
          <t>GOTLAND</t>
        </is>
      </c>
      <c r="F142" t="inlineStr">
        <is>
          <t>Naturvårdsverket</t>
        </is>
      </c>
      <c r="G142" t="n">
        <v>2.4</v>
      </c>
      <c r="H142" t="n">
        <v>1</v>
      </c>
      <c r="I142" t="n">
        <v>0</v>
      </c>
      <c r="J142" t="n">
        <v>0</v>
      </c>
      <c r="K142" t="n">
        <v>1</v>
      </c>
      <c r="L142" t="n">
        <v>0</v>
      </c>
      <c r="M142" t="n">
        <v>0</v>
      </c>
      <c r="N142" t="n">
        <v>0</v>
      </c>
      <c r="O142" t="n">
        <v>1</v>
      </c>
      <c r="P142" t="n">
        <v>1</v>
      </c>
      <c r="Q142" t="n">
        <v>1</v>
      </c>
      <c r="R142" s="2" t="inlineStr">
        <is>
          <t>Kalkdån</t>
        </is>
      </c>
      <c r="S142">
        <f>HYPERLINK("https://klasma.github.io/Logging_0980/artfynd/A 64700-2021 artfynd.xlsx", "A 64700-2021")</f>
        <v/>
      </c>
      <c r="T142">
        <f>HYPERLINK("https://klasma.github.io/Logging_0980/kartor/A 64700-2021 karta.png", "A 64700-2021")</f>
        <v/>
      </c>
      <c r="V142">
        <f>HYPERLINK("https://klasma.github.io/Logging_0980/klagomål/A 64700-2021 FSC-klagomål.docx", "A 64700-2021")</f>
        <v/>
      </c>
      <c r="W142">
        <f>HYPERLINK("https://klasma.github.io/Logging_0980/klagomålsmail/A 64700-2021 FSC-klagomål mail.docx", "A 64700-2021")</f>
        <v/>
      </c>
      <c r="X142">
        <f>HYPERLINK("https://klasma.github.io/Logging_0980/tillsyn/A 64700-2021 tillsynsbegäran.docx", "A 64700-2021")</f>
        <v/>
      </c>
      <c r="Y142">
        <f>HYPERLINK("https://klasma.github.io/Logging_0980/tillsynsmail/A 64700-2021 tillsynsbegäran mail.docx", "A 64700-2021")</f>
        <v/>
      </c>
    </row>
    <row r="143" ht="15" customHeight="1">
      <c r="A143" t="inlineStr">
        <is>
          <t>A 12324-2025</t>
        </is>
      </c>
      <c r="B143" s="1" t="n">
        <v>45730</v>
      </c>
      <c r="C143" s="1" t="n">
        <v>45891</v>
      </c>
      <c r="D143" t="inlineStr">
        <is>
          <t>GOTLANDS LÄN</t>
        </is>
      </c>
      <c r="E143" t="inlineStr">
        <is>
          <t>GOTLAND</t>
        </is>
      </c>
      <c r="G143" t="n">
        <v>5</v>
      </c>
      <c r="H143" t="n">
        <v>0</v>
      </c>
      <c r="I143" t="n">
        <v>0</v>
      </c>
      <c r="J143" t="n">
        <v>0</v>
      </c>
      <c r="K143" t="n">
        <v>1</v>
      </c>
      <c r="L143" t="n">
        <v>0</v>
      </c>
      <c r="M143" t="n">
        <v>0</v>
      </c>
      <c r="N143" t="n">
        <v>0</v>
      </c>
      <c r="O143" t="n">
        <v>1</v>
      </c>
      <c r="P143" t="n">
        <v>1</v>
      </c>
      <c r="Q143" t="n">
        <v>1</v>
      </c>
      <c r="R143" s="2" t="inlineStr">
        <is>
          <t>Sommarklynne</t>
        </is>
      </c>
      <c r="S143">
        <f>HYPERLINK("https://klasma.github.io/Logging_0980/artfynd/A 12324-2025 artfynd.xlsx", "A 12324-2025")</f>
        <v/>
      </c>
      <c r="T143">
        <f>HYPERLINK("https://klasma.github.io/Logging_0980/kartor/A 12324-2025 karta.png", "A 12324-2025")</f>
        <v/>
      </c>
      <c r="V143">
        <f>HYPERLINK("https://klasma.github.io/Logging_0980/klagomål/A 12324-2025 FSC-klagomål.docx", "A 12324-2025")</f>
        <v/>
      </c>
      <c r="W143">
        <f>HYPERLINK("https://klasma.github.io/Logging_0980/klagomålsmail/A 12324-2025 FSC-klagomål mail.docx", "A 12324-2025")</f>
        <v/>
      </c>
      <c r="X143">
        <f>HYPERLINK("https://klasma.github.io/Logging_0980/tillsyn/A 12324-2025 tillsynsbegäran.docx", "A 12324-2025")</f>
        <v/>
      </c>
      <c r="Y143">
        <f>HYPERLINK("https://klasma.github.io/Logging_0980/tillsynsmail/A 12324-2025 tillsynsbegäran mail.docx", "A 12324-2025")</f>
        <v/>
      </c>
    </row>
    <row r="144" ht="15" customHeight="1">
      <c r="A144" t="inlineStr">
        <is>
          <t>A 27589-2023</t>
        </is>
      </c>
      <c r="B144" s="1" t="n">
        <v>45097</v>
      </c>
      <c r="C144" s="1" t="n">
        <v>45891</v>
      </c>
      <c r="D144" t="inlineStr">
        <is>
          <t>GOTLANDS LÄN</t>
        </is>
      </c>
      <c r="E144" t="inlineStr">
        <is>
          <t>GOTLAND</t>
        </is>
      </c>
      <c r="G144" t="n">
        <v>5.4</v>
      </c>
      <c r="H144" t="n">
        <v>0</v>
      </c>
      <c r="I144" t="n">
        <v>0</v>
      </c>
      <c r="J144" t="n">
        <v>0</v>
      </c>
      <c r="K144" t="n">
        <v>0</v>
      </c>
      <c r="L144" t="n">
        <v>0</v>
      </c>
      <c r="M144" t="n">
        <v>1</v>
      </c>
      <c r="N144" t="n">
        <v>0</v>
      </c>
      <c r="O144" t="n">
        <v>1</v>
      </c>
      <c r="P144" t="n">
        <v>1</v>
      </c>
      <c r="Q144" t="n">
        <v>1</v>
      </c>
      <c r="R144" s="2" t="inlineStr">
        <is>
          <t>Skogsalm</t>
        </is>
      </c>
      <c r="S144">
        <f>HYPERLINK("https://klasma.github.io/Logging_0980/artfynd/A 27589-2023 artfynd.xlsx", "A 27589-2023")</f>
        <v/>
      </c>
      <c r="T144">
        <f>HYPERLINK("https://klasma.github.io/Logging_0980/kartor/A 27589-2023 karta.png", "A 27589-2023")</f>
        <v/>
      </c>
      <c r="V144">
        <f>HYPERLINK("https://klasma.github.io/Logging_0980/klagomål/A 27589-2023 FSC-klagomål.docx", "A 27589-2023")</f>
        <v/>
      </c>
      <c r="W144">
        <f>HYPERLINK("https://klasma.github.io/Logging_0980/klagomålsmail/A 27589-2023 FSC-klagomål mail.docx", "A 27589-2023")</f>
        <v/>
      </c>
      <c r="X144">
        <f>HYPERLINK("https://klasma.github.io/Logging_0980/tillsyn/A 27589-2023 tillsynsbegäran.docx", "A 27589-2023")</f>
        <v/>
      </c>
      <c r="Y144">
        <f>HYPERLINK("https://klasma.github.io/Logging_0980/tillsynsmail/A 27589-2023 tillsynsbegäran mail.docx", "A 27589-2023")</f>
        <v/>
      </c>
    </row>
    <row r="145" ht="15" customHeight="1">
      <c r="A145" t="inlineStr">
        <is>
          <t>A 44958-2020</t>
        </is>
      </c>
      <c r="B145" s="1" t="n">
        <v>44088</v>
      </c>
      <c r="C145" s="1" t="n">
        <v>45891</v>
      </c>
      <c r="D145" t="inlineStr">
        <is>
          <t>GOTLANDS LÄN</t>
        </is>
      </c>
      <c r="E145" t="inlineStr">
        <is>
          <t>GOTLAND</t>
        </is>
      </c>
      <c r="G145" t="n">
        <v>0.6</v>
      </c>
      <c r="H145" t="n">
        <v>1</v>
      </c>
      <c r="I145" t="n">
        <v>0</v>
      </c>
      <c r="J145" t="n">
        <v>1</v>
      </c>
      <c r="K145" t="n">
        <v>0</v>
      </c>
      <c r="L145" t="n">
        <v>0</v>
      </c>
      <c r="M145" t="n">
        <v>0</v>
      </c>
      <c r="N145" t="n">
        <v>0</v>
      </c>
      <c r="O145" t="n">
        <v>1</v>
      </c>
      <c r="P145" t="n">
        <v>0</v>
      </c>
      <c r="Q145" t="n">
        <v>1</v>
      </c>
      <c r="R145" s="2" t="inlineStr">
        <is>
          <t>Hornuggla</t>
        </is>
      </c>
      <c r="S145">
        <f>HYPERLINK("https://klasma.github.io/Logging_0980/artfynd/A 44958-2020 artfynd.xlsx", "A 44958-2020")</f>
        <v/>
      </c>
      <c r="T145">
        <f>HYPERLINK("https://klasma.github.io/Logging_0980/kartor/A 44958-2020 karta.png", "A 44958-2020")</f>
        <v/>
      </c>
      <c r="V145">
        <f>HYPERLINK("https://klasma.github.io/Logging_0980/klagomål/A 44958-2020 FSC-klagomål.docx", "A 44958-2020")</f>
        <v/>
      </c>
      <c r="W145">
        <f>HYPERLINK("https://klasma.github.io/Logging_0980/klagomålsmail/A 44958-2020 FSC-klagomål mail.docx", "A 44958-2020")</f>
        <v/>
      </c>
      <c r="X145">
        <f>HYPERLINK("https://klasma.github.io/Logging_0980/tillsyn/A 44958-2020 tillsynsbegäran.docx", "A 44958-2020")</f>
        <v/>
      </c>
      <c r="Y145">
        <f>HYPERLINK("https://klasma.github.io/Logging_0980/tillsynsmail/A 44958-2020 tillsynsbegäran mail.docx", "A 44958-2020")</f>
        <v/>
      </c>
      <c r="Z145">
        <f>HYPERLINK("https://klasma.github.io/Logging_0980/fåglar/A 44958-2020 prioriterade fågelarter.docx", "A 44958-2020")</f>
        <v/>
      </c>
    </row>
    <row r="146" ht="15" customHeight="1">
      <c r="A146" t="inlineStr">
        <is>
          <t>A 35574-2024</t>
        </is>
      </c>
      <c r="B146" s="1" t="n">
        <v>45531</v>
      </c>
      <c r="C146" s="1" t="n">
        <v>45891</v>
      </c>
      <c r="D146" t="inlineStr">
        <is>
          <t>GOTLANDS LÄN</t>
        </is>
      </c>
      <c r="E146" t="inlineStr">
        <is>
          <t>GOTLAND</t>
        </is>
      </c>
      <c r="G146" t="n">
        <v>5.7</v>
      </c>
      <c r="H146" t="n">
        <v>0</v>
      </c>
      <c r="I146" t="n">
        <v>1</v>
      </c>
      <c r="J146" t="n">
        <v>0</v>
      </c>
      <c r="K146" t="n">
        <v>0</v>
      </c>
      <c r="L146" t="n">
        <v>0</v>
      </c>
      <c r="M146" t="n">
        <v>0</v>
      </c>
      <c r="N146" t="n">
        <v>0</v>
      </c>
      <c r="O146" t="n">
        <v>0</v>
      </c>
      <c r="P146" t="n">
        <v>0</v>
      </c>
      <c r="Q146" t="n">
        <v>1</v>
      </c>
      <c r="R146" s="2" t="inlineStr">
        <is>
          <t>Murgröna</t>
        </is>
      </c>
      <c r="S146">
        <f>HYPERLINK("https://klasma.github.io/Logging_0980/artfynd/A 35574-2024 artfynd.xlsx", "A 35574-2024")</f>
        <v/>
      </c>
      <c r="T146">
        <f>HYPERLINK("https://klasma.github.io/Logging_0980/kartor/A 35574-2024 karta.png", "A 35574-2024")</f>
        <v/>
      </c>
      <c r="V146">
        <f>HYPERLINK("https://klasma.github.io/Logging_0980/klagomål/A 35574-2024 FSC-klagomål.docx", "A 35574-2024")</f>
        <v/>
      </c>
      <c r="W146">
        <f>HYPERLINK("https://klasma.github.io/Logging_0980/klagomålsmail/A 35574-2024 FSC-klagomål mail.docx", "A 35574-2024")</f>
        <v/>
      </c>
      <c r="X146">
        <f>HYPERLINK("https://klasma.github.io/Logging_0980/tillsyn/A 35574-2024 tillsynsbegäran.docx", "A 35574-2024")</f>
        <v/>
      </c>
      <c r="Y146">
        <f>HYPERLINK("https://klasma.github.io/Logging_0980/tillsynsmail/A 35574-2024 tillsynsbegäran mail.docx", "A 35574-2024")</f>
        <v/>
      </c>
    </row>
    <row r="147" ht="15" customHeight="1">
      <c r="A147" t="inlineStr">
        <is>
          <t>A 7637-2025</t>
        </is>
      </c>
      <c r="B147" s="1" t="n">
        <v>45705.77181712963</v>
      </c>
      <c r="C147" s="1" t="n">
        <v>45891</v>
      </c>
      <c r="D147" t="inlineStr">
        <is>
          <t>GOTLANDS LÄN</t>
        </is>
      </c>
      <c r="E147" t="inlineStr">
        <is>
          <t>GOTLAND</t>
        </is>
      </c>
      <c r="G147" t="n">
        <v>3.7</v>
      </c>
      <c r="H147" t="n">
        <v>0</v>
      </c>
      <c r="I147" t="n">
        <v>0</v>
      </c>
      <c r="J147" t="n">
        <v>0</v>
      </c>
      <c r="K147" t="n">
        <v>0</v>
      </c>
      <c r="L147" t="n">
        <v>0</v>
      </c>
      <c r="M147" t="n">
        <v>1</v>
      </c>
      <c r="N147" t="n">
        <v>0</v>
      </c>
      <c r="O147" t="n">
        <v>1</v>
      </c>
      <c r="P147" t="n">
        <v>1</v>
      </c>
      <c r="Q147" t="n">
        <v>1</v>
      </c>
      <c r="R147" s="2" t="inlineStr">
        <is>
          <t>Skogsalm</t>
        </is>
      </c>
      <c r="S147">
        <f>HYPERLINK("https://klasma.github.io/Logging_0980/artfynd/A 7637-2025 artfynd.xlsx", "A 7637-2025")</f>
        <v/>
      </c>
      <c r="T147">
        <f>HYPERLINK("https://klasma.github.io/Logging_0980/kartor/A 7637-2025 karta.png", "A 7637-2025")</f>
        <v/>
      </c>
      <c r="V147">
        <f>HYPERLINK("https://klasma.github.io/Logging_0980/klagomål/A 7637-2025 FSC-klagomål.docx", "A 7637-2025")</f>
        <v/>
      </c>
      <c r="W147">
        <f>HYPERLINK("https://klasma.github.io/Logging_0980/klagomålsmail/A 7637-2025 FSC-klagomål mail.docx", "A 7637-2025")</f>
        <v/>
      </c>
      <c r="X147">
        <f>HYPERLINK("https://klasma.github.io/Logging_0980/tillsyn/A 7637-2025 tillsynsbegäran.docx", "A 7637-2025")</f>
        <v/>
      </c>
      <c r="Y147">
        <f>HYPERLINK("https://klasma.github.io/Logging_0980/tillsynsmail/A 7637-2025 tillsynsbegäran mail.docx", "A 7637-2025")</f>
        <v/>
      </c>
    </row>
    <row r="148" ht="15" customHeight="1">
      <c r="A148" t="inlineStr">
        <is>
          <t>A 25977-2024</t>
        </is>
      </c>
      <c r="B148" s="1" t="n">
        <v>45467.69356481481</v>
      </c>
      <c r="C148" s="1" t="n">
        <v>45891</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21466-2025</t>
        </is>
      </c>
      <c r="B149" s="1" t="n">
        <v>45782</v>
      </c>
      <c r="C149" s="1" t="n">
        <v>45891</v>
      </c>
      <c r="D149" t="inlineStr">
        <is>
          <t>GOTLANDS LÄN</t>
        </is>
      </c>
      <c r="E149" t="inlineStr">
        <is>
          <t>GOTLAND</t>
        </is>
      </c>
      <c r="F149" t="inlineStr">
        <is>
          <t>Övriga statliga verk och myndigheter</t>
        </is>
      </c>
      <c r="G149" t="n">
        <v>1.7</v>
      </c>
      <c r="H149" t="n">
        <v>1</v>
      </c>
      <c r="I149" t="n">
        <v>0</v>
      </c>
      <c r="J149" t="n">
        <v>0</v>
      </c>
      <c r="K149" t="n">
        <v>0</v>
      </c>
      <c r="L149" t="n">
        <v>0</v>
      </c>
      <c r="M149" t="n">
        <v>0</v>
      </c>
      <c r="N149" t="n">
        <v>0</v>
      </c>
      <c r="O149" t="n">
        <v>0</v>
      </c>
      <c r="P149" t="n">
        <v>0</v>
      </c>
      <c r="Q149" t="n">
        <v>1</v>
      </c>
      <c r="R149" s="2" t="inlineStr">
        <is>
          <t>Blåsippa</t>
        </is>
      </c>
      <c r="S149">
        <f>HYPERLINK("https://klasma.github.io/Logging_0980/artfynd/A 21466-2025 artfynd.xlsx", "A 21466-2025")</f>
        <v/>
      </c>
      <c r="T149">
        <f>HYPERLINK("https://klasma.github.io/Logging_0980/kartor/A 21466-2025 karta.png", "A 21466-2025")</f>
        <v/>
      </c>
      <c r="V149">
        <f>HYPERLINK("https://klasma.github.io/Logging_0980/klagomål/A 21466-2025 FSC-klagomål.docx", "A 21466-2025")</f>
        <v/>
      </c>
      <c r="W149">
        <f>HYPERLINK("https://klasma.github.io/Logging_0980/klagomålsmail/A 21466-2025 FSC-klagomål mail.docx", "A 21466-2025")</f>
        <v/>
      </c>
      <c r="X149">
        <f>HYPERLINK("https://klasma.github.io/Logging_0980/tillsyn/A 21466-2025 tillsynsbegäran.docx", "A 21466-2025")</f>
        <v/>
      </c>
      <c r="Y149">
        <f>HYPERLINK("https://klasma.github.io/Logging_0980/tillsynsmail/A 21466-2025 tillsynsbegäran mail.docx", "A 21466-2025")</f>
        <v/>
      </c>
    </row>
    <row r="150" ht="15" customHeight="1">
      <c r="A150" t="inlineStr">
        <is>
          <t>A 65927-2021</t>
        </is>
      </c>
      <c r="B150" s="1" t="n">
        <v>44516</v>
      </c>
      <c r="C150" s="1" t="n">
        <v>45891</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48155-2024</t>
        </is>
      </c>
      <c r="B151" s="1" t="n">
        <v>45589.68863425926</v>
      </c>
      <c r="C151" s="1" t="n">
        <v>45891</v>
      </c>
      <c r="D151" t="inlineStr">
        <is>
          <t>GOTLANDS LÄN</t>
        </is>
      </c>
      <c r="E151" t="inlineStr">
        <is>
          <t>GOTLAND</t>
        </is>
      </c>
      <c r="G151" t="n">
        <v>2.4</v>
      </c>
      <c r="H151" t="n">
        <v>1</v>
      </c>
      <c r="I151" t="n">
        <v>0</v>
      </c>
      <c r="J151" t="n">
        <v>0</v>
      </c>
      <c r="K151" t="n">
        <v>0</v>
      </c>
      <c r="L151" t="n">
        <v>0</v>
      </c>
      <c r="M151" t="n">
        <v>0</v>
      </c>
      <c r="N151" t="n">
        <v>0</v>
      </c>
      <c r="O151" t="n">
        <v>0</v>
      </c>
      <c r="P151" t="n">
        <v>0</v>
      </c>
      <c r="Q151" t="n">
        <v>1</v>
      </c>
      <c r="R151" s="2" t="inlineStr">
        <is>
          <t>Gröngöling</t>
        </is>
      </c>
      <c r="S151">
        <f>HYPERLINK("https://klasma.github.io/Logging_0980/artfynd/A 48155-2024 artfynd.xlsx", "A 48155-2024")</f>
        <v/>
      </c>
      <c r="T151">
        <f>HYPERLINK("https://klasma.github.io/Logging_0980/kartor/A 48155-2024 karta.png", "A 48155-2024")</f>
        <v/>
      </c>
      <c r="V151">
        <f>HYPERLINK("https://klasma.github.io/Logging_0980/klagomål/A 48155-2024 FSC-klagomål.docx", "A 48155-2024")</f>
        <v/>
      </c>
      <c r="W151">
        <f>HYPERLINK("https://klasma.github.io/Logging_0980/klagomålsmail/A 48155-2024 FSC-klagomål mail.docx", "A 48155-2024")</f>
        <v/>
      </c>
      <c r="X151">
        <f>HYPERLINK("https://klasma.github.io/Logging_0980/tillsyn/A 48155-2024 tillsynsbegäran.docx", "A 48155-2024")</f>
        <v/>
      </c>
      <c r="Y151">
        <f>HYPERLINK("https://klasma.github.io/Logging_0980/tillsynsmail/A 48155-2024 tillsynsbegäran mail.docx", "A 48155-2024")</f>
        <v/>
      </c>
      <c r="Z151">
        <f>HYPERLINK("https://klasma.github.io/Logging_0980/fåglar/A 48155-2024 prioriterade fågelarter.docx", "A 48155-2024")</f>
        <v/>
      </c>
    </row>
    <row r="152" ht="15" customHeight="1">
      <c r="A152" t="inlineStr">
        <is>
          <t>A 12924-2025</t>
        </is>
      </c>
      <c r="B152" s="1" t="n">
        <v>45734</v>
      </c>
      <c r="C152" s="1" t="n">
        <v>45891</v>
      </c>
      <c r="D152" t="inlineStr">
        <is>
          <t>GOTLANDS LÄN</t>
        </is>
      </c>
      <c r="E152" t="inlineStr">
        <is>
          <t>GOTLAND</t>
        </is>
      </c>
      <c r="G152" t="n">
        <v>11.7</v>
      </c>
      <c r="H152" t="n">
        <v>0</v>
      </c>
      <c r="I152" t="n">
        <v>0</v>
      </c>
      <c r="J152" t="n">
        <v>0</v>
      </c>
      <c r="K152" t="n">
        <v>1</v>
      </c>
      <c r="L152" t="n">
        <v>0</v>
      </c>
      <c r="M152" t="n">
        <v>0</v>
      </c>
      <c r="N152" t="n">
        <v>0</v>
      </c>
      <c r="O152" t="n">
        <v>1</v>
      </c>
      <c r="P152" t="n">
        <v>1</v>
      </c>
      <c r="Q152" t="n">
        <v>1</v>
      </c>
      <c r="R152" s="2" t="inlineStr">
        <is>
          <t>Gotlandsmåra</t>
        </is>
      </c>
      <c r="S152">
        <f>HYPERLINK("https://klasma.github.io/Logging_0980/artfynd/A 12924-2025 artfynd.xlsx", "A 12924-2025")</f>
        <v/>
      </c>
      <c r="T152">
        <f>HYPERLINK("https://klasma.github.io/Logging_0980/kartor/A 12924-2025 karta.png", "A 12924-2025")</f>
        <v/>
      </c>
      <c r="V152">
        <f>HYPERLINK("https://klasma.github.io/Logging_0980/klagomål/A 12924-2025 FSC-klagomål.docx", "A 12924-2025")</f>
        <v/>
      </c>
      <c r="W152">
        <f>HYPERLINK("https://klasma.github.io/Logging_0980/klagomålsmail/A 12924-2025 FSC-klagomål mail.docx", "A 12924-2025")</f>
        <v/>
      </c>
      <c r="X152">
        <f>HYPERLINK("https://klasma.github.io/Logging_0980/tillsyn/A 12924-2025 tillsynsbegäran.docx", "A 12924-2025")</f>
        <v/>
      </c>
      <c r="Y152">
        <f>HYPERLINK("https://klasma.github.io/Logging_0980/tillsynsmail/A 12924-2025 tillsynsbegäran mail.docx", "A 12924-2025")</f>
        <v/>
      </c>
    </row>
    <row r="153" ht="15" customHeight="1">
      <c r="A153" t="inlineStr">
        <is>
          <t>A 10440-2024</t>
        </is>
      </c>
      <c r="B153" s="1" t="n">
        <v>45366.32818287037</v>
      </c>
      <c r="C153" s="1" t="n">
        <v>45891</v>
      </c>
      <c r="D153" t="inlineStr">
        <is>
          <t>GOTLANDS LÄN</t>
        </is>
      </c>
      <c r="E153" t="inlineStr">
        <is>
          <t>GOTLAND</t>
        </is>
      </c>
      <c r="G153" t="n">
        <v>2.5</v>
      </c>
      <c r="H153" t="n">
        <v>1</v>
      </c>
      <c r="I153" t="n">
        <v>0</v>
      </c>
      <c r="J153" t="n">
        <v>1</v>
      </c>
      <c r="K153" t="n">
        <v>0</v>
      </c>
      <c r="L153" t="n">
        <v>0</v>
      </c>
      <c r="M153" t="n">
        <v>0</v>
      </c>
      <c r="N153" t="n">
        <v>0</v>
      </c>
      <c r="O153" t="n">
        <v>1</v>
      </c>
      <c r="P153" t="n">
        <v>0</v>
      </c>
      <c r="Q153" t="n">
        <v>1</v>
      </c>
      <c r="R153" s="2" t="inlineStr">
        <is>
          <t>Mindre hackspett</t>
        </is>
      </c>
      <c r="S153">
        <f>HYPERLINK("https://klasma.github.io/Logging_0980/artfynd/A 10440-2024 artfynd.xlsx", "A 10440-2024")</f>
        <v/>
      </c>
      <c r="T153">
        <f>HYPERLINK("https://klasma.github.io/Logging_0980/kartor/A 10440-2024 karta.png", "A 10440-2024")</f>
        <v/>
      </c>
      <c r="V153">
        <f>HYPERLINK("https://klasma.github.io/Logging_0980/klagomål/A 10440-2024 FSC-klagomål.docx", "A 10440-2024")</f>
        <v/>
      </c>
      <c r="W153">
        <f>HYPERLINK("https://klasma.github.io/Logging_0980/klagomålsmail/A 10440-2024 FSC-klagomål mail.docx", "A 10440-2024")</f>
        <v/>
      </c>
      <c r="X153">
        <f>HYPERLINK("https://klasma.github.io/Logging_0980/tillsyn/A 10440-2024 tillsynsbegäran.docx", "A 10440-2024")</f>
        <v/>
      </c>
      <c r="Y153">
        <f>HYPERLINK("https://klasma.github.io/Logging_0980/tillsynsmail/A 10440-2024 tillsynsbegäran mail.docx", "A 10440-2024")</f>
        <v/>
      </c>
      <c r="Z153">
        <f>HYPERLINK("https://klasma.github.io/Logging_0980/fåglar/A 10440-2024 prioriterade fågelarter.docx", "A 10440-2024")</f>
        <v/>
      </c>
    </row>
    <row r="154" ht="15" customHeight="1">
      <c r="A154" t="inlineStr">
        <is>
          <t>A 6303-2024</t>
        </is>
      </c>
      <c r="B154" s="1" t="n">
        <v>45338.35376157407</v>
      </c>
      <c r="C154" s="1" t="n">
        <v>45891</v>
      </c>
      <c r="D154" t="inlineStr">
        <is>
          <t>GOTLANDS LÄN</t>
        </is>
      </c>
      <c r="E154" t="inlineStr">
        <is>
          <t>GOTLAND</t>
        </is>
      </c>
      <c r="G154" t="n">
        <v>0.6</v>
      </c>
      <c r="H154" t="n">
        <v>0</v>
      </c>
      <c r="I154" t="n">
        <v>1</v>
      </c>
      <c r="J154" t="n">
        <v>0</v>
      </c>
      <c r="K154" t="n">
        <v>0</v>
      </c>
      <c r="L154" t="n">
        <v>0</v>
      </c>
      <c r="M154" t="n">
        <v>0</v>
      </c>
      <c r="N154" t="n">
        <v>0</v>
      </c>
      <c r="O154" t="n">
        <v>0</v>
      </c>
      <c r="P154" t="n">
        <v>0</v>
      </c>
      <c r="Q154" t="n">
        <v>1</v>
      </c>
      <c r="R154" s="2" t="inlineStr">
        <is>
          <t>Strävlosta</t>
        </is>
      </c>
      <c r="S154">
        <f>HYPERLINK("https://klasma.github.io/Logging_0980/artfynd/A 6303-2024 artfynd.xlsx", "A 6303-2024")</f>
        <v/>
      </c>
      <c r="T154">
        <f>HYPERLINK("https://klasma.github.io/Logging_0980/kartor/A 6303-2024 karta.png", "A 6303-2024")</f>
        <v/>
      </c>
      <c r="V154">
        <f>HYPERLINK("https://klasma.github.io/Logging_0980/klagomål/A 6303-2024 FSC-klagomål.docx", "A 6303-2024")</f>
        <v/>
      </c>
      <c r="W154">
        <f>HYPERLINK("https://klasma.github.io/Logging_0980/klagomålsmail/A 6303-2024 FSC-klagomål mail.docx", "A 6303-2024")</f>
        <v/>
      </c>
      <c r="X154">
        <f>HYPERLINK("https://klasma.github.io/Logging_0980/tillsyn/A 6303-2024 tillsynsbegäran.docx", "A 6303-2024")</f>
        <v/>
      </c>
      <c r="Y154">
        <f>HYPERLINK("https://klasma.github.io/Logging_0980/tillsynsmail/A 6303-2024 tillsynsbegäran mail.docx", "A 6303-2024")</f>
        <v/>
      </c>
    </row>
    <row r="155" ht="15" customHeight="1">
      <c r="A155" t="inlineStr">
        <is>
          <t>A 61796-2022</t>
        </is>
      </c>
      <c r="B155" s="1" t="n">
        <v>44917</v>
      </c>
      <c r="C155" s="1" t="n">
        <v>45891</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44468-2024</t>
        </is>
      </c>
      <c r="B156" s="1" t="n">
        <v>45574.36651620371</v>
      </c>
      <c r="C156" s="1" t="n">
        <v>45891</v>
      </c>
      <c r="D156" t="inlineStr">
        <is>
          <t>GOTLANDS LÄN</t>
        </is>
      </c>
      <c r="E156" t="inlineStr">
        <is>
          <t>GOTLAND</t>
        </is>
      </c>
      <c r="G156" t="n">
        <v>7</v>
      </c>
      <c r="H156" t="n">
        <v>0</v>
      </c>
      <c r="I156" t="n">
        <v>0</v>
      </c>
      <c r="J156" t="n">
        <v>0</v>
      </c>
      <c r="K156" t="n">
        <v>0</v>
      </c>
      <c r="L156" t="n">
        <v>0</v>
      </c>
      <c r="M156" t="n">
        <v>1</v>
      </c>
      <c r="N156" t="n">
        <v>0</v>
      </c>
      <c r="O156" t="n">
        <v>1</v>
      </c>
      <c r="P156" t="n">
        <v>1</v>
      </c>
      <c r="Q156" t="n">
        <v>1</v>
      </c>
      <c r="R156" s="2" t="inlineStr">
        <is>
          <t>Skogsalm</t>
        </is>
      </c>
      <c r="S156">
        <f>HYPERLINK("https://klasma.github.io/Logging_0980/artfynd/A 44468-2024 artfynd.xlsx", "A 44468-2024")</f>
        <v/>
      </c>
      <c r="T156">
        <f>HYPERLINK("https://klasma.github.io/Logging_0980/kartor/A 44468-2024 karta.png", "A 44468-2024")</f>
        <v/>
      </c>
      <c r="V156">
        <f>HYPERLINK("https://klasma.github.io/Logging_0980/klagomål/A 44468-2024 FSC-klagomål.docx", "A 44468-2024")</f>
        <v/>
      </c>
      <c r="W156">
        <f>HYPERLINK("https://klasma.github.io/Logging_0980/klagomålsmail/A 44468-2024 FSC-klagomål mail.docx", "A 44468-2024")</f>
        <v/>
      </c>
      <c r="X156">
        <f>HYPERLINK("https://klasma.github.io/Logging_0980/tillsyn/A 44468-2024 tillsynsbegäran.docx", "A 44468-2024")</f>
        <v/>
      </c>
      <c r="Y156">
        <f>HYPERLINK("https://klasma.github.io/Logging_0980/tillsynsmail/A 44468-2024 tillsynsbegäran mail.docx", "A 44468-2024")</f>
        <v/>
      </c>
    </row>
    <row r="157" ht="15" customHeight="1">
      <c r="A157" t="inlineStr">
        <is>
          <t>A 15637-2024</t>
        </is>
      </c>
      <c r="B157" s="1" t="n">
        <v>45403.6684837963</v>
      </c>
      <c r="C157" s="1" t="n">
        <v>45891</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34809-2024</t>
        </is>
      </c>
      <c r="B158" s="1" t="n">
        <v>45526</v>
      </c>
      <c r="C158" s="1" t="n">
        <v>45891</v>
      </c>
      <c r="D158" t="inlineStr">
        <is>
          <t>GOTLANDS LÄN</t>
        </is>
      </c>
      <c r="E158" t="inlineStr">
        <is>
          <t>GOTLAND</t>
        </is>
      </c>
      <c r="G158" t="n">
        <v>9.9</v>
      </c>
      <c r="H158" t="n">
        <v>1</v>
      </c>
      <c r="I158" t="n">
        <v>0</v>
      </c>
      <c r="J158" t="n">
        <v>1</v>
      </c>
      <c r="K158" t="n">
        <v>0</v>
      </c>
      <c r="L158" t="n">
        <v>0</v>
      </c>
      <c r="M158" t="n">
        <v>0</v>
      </c>
      <c r="N158" t="n">
        <v>0</v>
      </c>
      <c r="O158" t="n">
        <v>1</v>
      </c>
      <c r="P158" t="n">
        <v>0</v>
      </c>
      <c r="Q158" t="n">
        <v>1</v>
      </c>
      <c r="R158" s="2" t="inlineStr">
        <is>
          <t>Brun ögontröst</t>
        </is>
      </c>
      <c r="S158">
        <f>HYPERLINK("https://klasma.github.io/Logging_0980/artfynd/A 34809-2024 artfynd.xlsx", "A 34809-2024")</f>
        <v/>
      </c>
      <c r="T158">
        <f>HYPERLINK("https://klasma.github.io/Logging_0980/kartor/A 34809-2024 karta.png", "A 34809-2024")</f>
        <v/>
      </c>
      <c r="V158">
        <f>HYPERLINK("https://klasma.github.io/Logging_0980/klagomål/A 34809-2024 FSC-klagomål.docx", "A 34809-2024")</f>
        <v/>
      </c>
      <c r="W158">
        <f>HYPERLINK("https://klasma.github.io/Logging_0980/klagomålsmail/A 34809-2024 FSC-klagomål mail.docx", "A 34809-2024")</f>
        <v/>
      </c>
      <c r="X158">
        <f>HYPERLINK("https://klasma.github.io/Logging_0980/tillsyn/A 34809-2024 tillsynsbegäran.docx", "A 34809-2024")</f>
        <v/>
      </c>
      <c r="Y158">
        <f>HYPERLINK("https://klasma.github.io/Logging_0980/tillsynsmail/A 34809-2024 tillsynsbegäran mail.docx", "A 34809-2024")</f>
        <v/>
      </c>
    </row>
    <row r="159" ht="15" customHeight="1">
      <c r="A159" t="inlineStr">
        <is>
          <t>A 43219-2023</t>
        </is>
      </c>
      <c r="B159" s="1" t="n">
        <v>45183</v>
      </c>
      <c r="C159" s="1" t="n">
        <v>45891</v>
      </c>
      <c r="D159" t="inlineStr">
        <is>
          <t>GOTLANDS LÄN</t>
        </is>
      </c>
      <c r="E159" t="inlineStr">
        <is>
          <t>GOTLAND</t>
        </is>
      </c>
      <c r="G159" t="n">
        <v>3.6</v>
      </c>
      <c r="H159" t="n">
        <v>1</v>
      </c>
      <c r="I159" t="n">
        <v>0</v>
      </c>
      <c r="J159" t="n">
        <v>0</v>
      </c>
      <c r="K159" t="n">
        <v>0</v>
      </c>
      <c r="L159" t="n">
        <v>0</v>
      </c>
      <c r="M159" t="n">
        <v>0</v>
      </c>
      <c r="N159" t="n">
        <v>0</v>
      </c>
      <c r="O159" t="n">
        <v>0</v>
      </c>
      <c r="P159" t="n">
        <v>0</v>
      </c>
      <c r="Q159" t="n">
        <v>1</v>
      </c>
      <c r="R159" s="2" t="inlineStr">
        <is>
          <t>Skogsduva</t>
        </is>
      </c>
      <c r="S159">
        <f>HYPERLINK("https://klasma.github.io/Logging_0980/artfynd/A 43219-2023 artfynd.xlsx", "A 43219-2023")</f>
        <v/>
      </c>
      <c r="T159">
        <f>HYPERLINK("https://klasma.github.io/Logging_0980/kartor/A 43219-2023 karta.png", "A 43219-2023")</f>
        <v/>
      </c>
      <c r="V159">
        <f>HYPERLINK("https://klasma.github.io/Logging_0980/klagomål/A 43219-2023 FSC-klagomål.docx", "A 43219-2023")</f>
        <v/>
      </c>
      <c r="W159">
        <f>HYPERLINK("https://klasma.github.io/Logging_0980/klagomålsmail/A 43219-2023 FSC-klagomål mail.docx", "A 43219-2023")</f>
        <v/>
      </c>
      <c r="X159">
        <f>HYPERLINK("https://klasma.github.io/Logging_0980/tillsyn/A 43219-2023 tillsynsbegäran.docx", "A 43219-2023")</f>
        <v/>
      </c>
      <c r="Y159">
        <f>HYPERLINK("https://klasma.github.io/Logging_0980/tillsynsmail/A 43219-2023 tillsynsbegäran mail.docx", "A 43219-2023")</f>
        <v/>
      </c>
      <c r="Z159">
        <f>HYPERLINK("https://klasma.github.io/Logging_0980/fåglar/A 43219-2023 prioriterade fågelarter.docx", "A 43219-2023")</f>
        <v/>
      </c>
    </row>
    <row r="160" ht="15" customHeight="1">
      <c r="A160" t="inlineStr">
        <is>
          <t>A 26461-2025</t>
        </is>
      </c>
      <c r="B160" s="1" t="n">
        <v>45807.43337962963</v>
      </c>
      <c r="C160" s="1" t="n">
        <v>45891</v>
      </c>
      <c r="D160" t="inlineStr">
        <is>
          <t>GOTLANDS LÄN</t>
        </is>
      </c>
      <c r="E160" t="inlineStr">
        <is>
          <t>GOTLAND</t>
        </is>
      </c>
      <c r="G160" t="n">
        <v>4.1</v>
      </c>
      <c r="H160" t="n">
        <v>0</v>
      </c>
      <c r="I160" t="n">
        <v>0</v>
      </c>
      <c r="J160" t="n">
        <v>0</v>
      </c>
      <c r="K160" t="n">
        <v>1</v>
      </c>
      <c r="L160" t="n">
        <v>0</v>
      </c>
      <c r="M160" t="n">
        <v>0</v>
      </c>
      <c r="N160" t="n">
        <v>0</v>
      </c>
      <c r="O160" t="n">
        <v>1</v>
      </c>
      <c r="P160" t="n">
        <v>1</v>
      </c>
      <c r="Q160" t="n">
        <v>1</v>
      </c>
      <c r="R160" s="2" t="inlineStr">
        <is>
          <t>Gotlandsmåra</t>
        </is>
      </c>
      <c r="S160">
        <f>HYPERLINK("https://klasma.github.io/Logging_0980/artfynd/A 26461-2025 artfynd.xlsx", "A 26461-2025")</f>
        <v/>
      </c>
      <c r="T160">
        <f>HYPERLINK("https://klasma.github.io/Logging_0980/kartor/A 26461-2025 karta.png", "A 26461-2025")</f>
        <v/>
      </c>
      <c r="V160">
        <f>HYPERLINK("https://klasma.github.io/Logging_0980/klagomål/A 26461-2025 FSC-klagomål.docx", "A 26461-2025")</f>
        <v/>
      </c>
      <c r="W160">
        <f>HYPERLINK("https://klasma.github.io/Logging_0980/klagomålsmail/A 26461-2025 FSC-klagomål mail.docx", "A 26461-2025")</f>
        <v/>
      </c>
      <c r="X160">
        <f>HYPERLINK("https://klasma.github.io/Logging_0980/tillsyn/A 26461-2025 tillsynsbegäran.docx", "A 26461-2025")</f>
        <v/>
      </c>
      <c r="Y160">
        <f>HYPERLINK("https://klasma.github.io/Logging_0980/tillsynsmail/A 26461-2025 tillsynsbegäran mail.docx", "A 26461-2025")</f>
        <v/>
      </c>
    </row>
    <row r="161" ht="15" customHeight="1">
      <c r="A161" t="inlineStr">
        <is>
          <t>A 2476-2025</t>
        </is>
      </c>
      <c r="B161" s="1" t="n">
        <v>45673</v>
      </c>
      <c r="C161" s="1" t="n">
        <v>45891</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10995-2023</t>
        </is>
      </c>
      <c r="B162" s="1" t="n">
        <v>44986</v>
      </c>
      <c r="C162" s="1" t="n">
        <v>45891</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61561-2023</t>
        </is>
      </c>
      <c r="B163" s="1" t="n">
        <v>45265</v>
      </c>
      <c r="C163" s="1" t="n">
        <v>45891</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8725-2025</t>
        </is>
      </c>
      <c r="B164" s="1" t="n">
        <v>45712</v>
      </c>
      <c r="C164" s="1" t="n">
        <v>45891</v>
      </c>
      <c r="D164" t="inlineStr">
        <is>
          <t>GOTLANDS LÄN</t>
        </is>
      </c>
      <c r="E164" t="inlineStr">
        <is>
          <t>GOTLAND</t>
        </is>
      </c>
      <c r="G164" t="n">
        <v>4.4</v>
      </c>
      <c r="H164" t="n">
        <v>1</v>
      </c>
      <c r="I164" t="n">
        <v>0</v>
      </c>
      <c r="J164" t="n">
        <v>1</v>
      </c>
      <c r="K164" t="n">
        <v>0</v>
      </c>
      <c r="L164" t="n">
        <v>0</v>
      </c>
      <c r="M164" t="n">
        <v>0</v>
      </c>
      <c r="N164" t="n">
        <v>0</v>
      </c>
      <c r="O164" t="n">
        <v>1</v>
      </c>
      <c r="P164" t="n">
        <v>0</v>
      </c>
      <c r="Q164" t="n">
        <v>1</v>
      </c>
      <c r="R164" s="2" t="inlineStr">
        <is>
          <t>Spillkråka</t>
        </is>
      </c>
      <c r="S164">
        <f>HYPERLINK("https://klasma.github.io/Logging_0980/artfynd/A 8725-2025 artfynd.xlsx", "A 8725-2025")</f>
        <v/>
      </c>
      <c r="T164">
        <f>HYPERLINK("https://klasma.github.io/Logging_0980/kartor/A 8725-2025 karta.png", "A 8725-2025")</f>
        <v/>
      </c>
      <c r="V164">
        <f>HYPERLINK("https://klasma.github.io/Logging_0980/klagomål/A 8725-2025 FSC-klagomål.docx", "A 8725-2025")</f>
        <v/>
      </c>
      <c r="W164">
        <f>HYPERLINK("https://klasma.github.io/Logging_0980/klagomålsmail/A 8725-2025 FSC-klagomål mail.docx", "A 8725-2025")</f>
        <v/>
      </c>
      <c r="X164">
        <f>HYPERLINK("https://klasma.github.io/Logging_0980/tillsyn/A 8725-2025 tillsynsbegäran.docx", "A 8725-2025")</f>
        <v/>
      </c>
      <c r="Y164">
        <f>HYPERLINK("https://klasma.github.io/Logging_0980/tillsynsmail/A 8725-2025 tillsynsbegäran mail.docx", "A 8725-2025")</f>
        <v/>
      </c>
      <c r="Z164">
        <f>HYPERLINK("https://klasma.github.io/Logging_0980/fåglar/A 8725-2025 prioriterade fågelarter.docx", "A 8725-2025")</f>
        <v/>
      </c>
    </row>
    <row r="165" ht="15" customHeight="1">
      <c r="A165" t="inlineStr">
        <is>
          <t>A 62552-2022</t>
        </is>
      </c>
      <c r="B165" s="1" t="n">
        <v>44924</v>
      </c>
      <c r="C165" s="1" t="n">
        <v>45891</v>
      </c>
      <c r="D165" t="inlineStr">
        <is>
          <t>GOTLANDS LÄN</t>
        </is>
      </c>
      <c r="E165" t="inlineStr">
        <is>
          <t>GOTLAND</t>
        </is>
      </c>
      <c r="G165" t="n">
        <v>1.6</v>
      </c>
      <c r="H165" t="n">
        <v>0</v>
      </c>
      <c r="I165" t="n">
        <v>0</v>
      </c>
      <c r="J165" t="n">
        <v>1</v>
      </c>
      <c r="K165" t="n">
        <v>0</v>
      </c>
      <c r="L165" t="n">
        <v>0</v>
      </c>
      <c r="M165" t="n">
        <v>0</v>
      </c>
      <c r="N165" t="n">
        <v>0</v>
      </c>
      <c r="O165" t="n">
        <v>1</v>
      </c>
      <c r="P165" t="n">
        <v>0</v>
      </c>
      <c r="Q165" t="n">
        <v>1</v>
      </c>
      <c r="R165" s="2" t="inlineStr">
        <is>
          <t>Äggspindling</t>
        </is>
      </c>
      <c r="S165">
        <f>HYPERLINK("https://klasma.github.io/Logging_0980/artfynd/A 62552-2022 artfynd.xlsx", "A 62552-2022")</f>
        <v/>
      </c>
      <c r="T165">
        <f>HYPERLINK("https://klasma.github.io/Logging_0980/kartor/A 62552-2022 karta.png", "A 62552-2022")</f>
        <v/>
      </c>
      <c r="V165">
        <f>HYPERLINK("https://klasma.github.io/Logging_0980/klagomål/A 62552-2022 FSC-klagomål.docx", "A 62552-2022")</f>
        <v/>
      </c>
      <c r="W165">
        <f>HYPERLINK("https://klasma.github.io/Logging_0980/klagomålsmail/A 62552-2022 FSC-klagomål mail.docx", "A 62552-2022")</f>
        <v/>
      </c>
      <c r="X165">
        <f>HYPERLINK("https://klasma.github.io/Logging_0980/tillsyn/A 62552-2022 tillsynsbegäran.docx", "A 62552-2022")</f>
        <v/>
      </c>
      <c r="Y165">
        <f>HYPERLINK("https://klasma.github.io/Logging_0980/tillsynsmail/A 62552-2022 tillsynsbegäran mail.docx", "A 62552-2022")</f>
        <v/>
      </c>
    </row>
    <row r="166" ht="15" customHeight="1">
      <c r="A166" t="inlineStr">
        <is>
          <t>A 44088-2022</t>
        </is>
      </c>
      <c r="B166" s="1" t="n">
        <v>44839</v>
      </c>
      <c r="C166" s="1" t="n">
        <v>45891</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63299-2020</t>
        </is>
      </c>
      <c r="B167" s="1" t="n">
        <v>44165</v>
      </c>
      <c r="C167" s="1" t="n">
        <v>45891</v>
      </c>
      <c r="D167" t="inlineStr">
        <is>
          <t>GOTLANDS LÄN</t>
        </is>
      </c>
      <c r="E167" t="inlineStr">
        <is>
          <t>GOTLAND</t>
        </is>
      </c>
      <c r="G167" t="n">
        <v>12.9</v>
      </c>
      <c r="H167" t="n">
        <v>1</v>
      </c>
      <c r="I167" t="n">
        <v>0</v>
      </c>
      <c r="J167" t="n">
        <v>1</v>
      </c>
      <c r="K167" t="n">
        <v>0</v>
      </c>
      <c r="L167" t="n">
        <v>0</v>
      </c>
      <c r="M167" t="n">
        <v>0</v>
      </c>
      <c r="N167" t="n">
        <v>0</v>
      </c>
      <c r="O167" t="n">
        <v>1</v>
      </c>
      <c r="P167" t="n">
        <v>0</v>
      </c>
      <c r="Q167" t="n">
        <v>1</v>
      </c>
      <c r="R167" s="2" t="inlineStr">
        <is>
          <t>Svartfläckig blåvinge</t>
        </is>
      </c>
      <c r="S167">
        <f>HYPERLINK("https://klasma.github.io/Logging_0980/artfynd/A 63299-2020 artfynd.xlsx", "A 63299-2020")</f>
        <v/>
      </c>
      <c r="T167">
        <f>HYPERLINK("https://klasma.github.io/Logging_0980/kartor/A 63299-2020 karta.png", "A 63299-2020")</f>
        <v/>
      </c>
      <c r="V167">
        <f>HYPERLINK("https://klasma.github.io/Logging_0980/klagomål/A 63299-2020 FSC-klagomål.docx", "A 63299-2020")</f>
        <v/>
      </c>
      <c r="W167">
        <f>HYPERLINK("https://klasma.github.io/Logging_0980/klagomålsmail/A 63299-2020 FSC-klagomål mail.docx", "A 63299-2020")</f>
        <v/>
      </c>
      <c r="X167">
        <f>HYPERLINK("https://klasma.github.io/Logging_0980/tillsyn/A 63299-2020 tillsynsbegäran.docx", "A 63299-2020")</f>
        <v/>
      </c>
      <c r="Y167">
        <f>HYPERLINK("https://klasma.github.io/Logging_0980/tillsynsmail/A 63299-2020 tillsynsbegäran mail.docx", "A 63299-2020")</f>
        <v/>
      </c>
    </row>
    <row r="168" ht="15" customHeight="1">
      <c r="A168" t="inlineStr">
        <is>
          <t>A 27168-2022</t>
        </is>
      </c>
      <c r="B168" s="1" t="n">
        <v>44741</v>
      </c>
      <c r="C168" s="1" t="n">
        <v>45891</v>
      </c>
      <c r="D168" t="inlineStr">
        <is>
          <t>GOTLANDS LÄN</t>
        </is>
      </c>
      <c r="E168" t="inlineStr">
        <is>
          <t>GOTLAND</t>
        </is>
      </c>
      <c r="G168" t="n">
        <v>2.2</v>
      </c>
      <c r="H168" t="n">
        <v>1</v>
      </c>
      <c r="I168" t="n">
        <v>1</v>
      </c>
      <c r="J168" t="n">
        <v>0</v>
      </c>
      <c r="K168" t="n">
        <v>0</v>
      </c>
      <c r="L168" t="n">
        <v>0</v>
      </c>
      <c r="M168" t="n">
        <v>0</v>
      </c>
      <c r="N168" t="n">
        <v>0</v>
      </c>
      <c r="O168" t="n">
        <v>0</v>
      </c>
      <c r="P168" t="n">
        <v>0</v>
      </c>
      <c r="Q168" t="n">
        <v>1</v>
      </c>
      <c r="R168" s="2" t="inlineStr">
        <is>
          <t>Purpurknipprot</t>
        </is>
      </c>
      <c r="S168">
        <f>HYPERLINK("https://klasma.github.io/Logging_0980/artfynd/A 27168-2022 artfynd.xlsx", "A 27168-2022")</f>
        <v/>
      </c>
      <c r="T168">
        <f>HYPERLINK("https://klasma.github.io/Logging_0980/kartor/A 27168-2022 karta.png", "A 27168-2022")</f>
        <v/>
      </c>
      <c r="V168">
        <f>HYPERLINK("https://klasma.github.io/Logging_0980/klagomål/A 27168-2022 FSC-klagomål.docx", "A 27168-2022")</f>
        <v/>
      </c>
      <c r="W168">
        <f>HYPERLINK("https://klasma.github.io/Logging_0980/klagomålsmail/A 27168-2022 FSC-klagomål mail.docx", "A 27168-2022")</f>
        <v/>
      </c>
      <c r="X168">
        <f>HYPERLINK("https://klasma.github.io/Logging_0980/tillsyn/A 27168-2022 tillsynsbegäran.docx", "A 27168-2022")</f>
        <v/>
      </c>
      <c r="Y168">
        <f>HYPERLINK("https://klasma.github.io/Logging_0980/tillsynsmail/A 27168-2022 tillsynsbegäran mail.docx", "A 27168-2022")</f>
        <v/>
      </c>
    </row>
    <row r="169" ht="15" customHeight="1">
      <c r="A169" t="inlineStr">
        <is>
          <t>A 34141-2024</t>
        </is>
      </c>
      <c r="B169" s="1" t="n">
        <v>45524.36229166666</v>
      </c>
      <c r="C169" s="1" t="n">
        <v>45891</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22782-2023</t>
        </is>
      </c>
      <c r="B170" s="1" t="n">
        <v>45072</v>
      </c>
      <c r="C170" s="1" t="n">
        <v>45891</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9862-2024</t>
        </is>
      </c>
      <c r="B171" s="1" t="n">
        <v>45363</v>
      </c>
      <c r="C171" s="1" t="n">
        <v>45891</v>
      </c>
      <c r="D171" t="inlineStr">
        <is>
          <t>GOTLANDS LÄN</t>
        </is>
      </c>
      <c r="E171" t="inlineStr">
        <is>
          <t>GOTLAND</t>
        </is>
      </c>
      <c r="G171" t="n">
        <v>3.5</v>
      </c>
      <c r="H171" t="n">
        <v>1</v>
      </c>
      <c r="I171" t="n">
        <v>0</v>
      </c>
      <c r="J171" t="n">
        <v>0</v>
      </c>
      <c r="K171" t="n">
        <v>0</v>
      </c>
      <c r="L171" t="n">
        <v>0</v>
      </c>
      <c r="M171" t="n">
        <v>0</v>
      </c>
      <c r="N171" t="n">
        <v>0</v>
      </c>
      <c r="O171" t="n">
        <v>0</v>
      </c>
      <c r="P171" t="n">
        <v>0</v>
      </c>
      <c r="Q171" t="n">
        <v>1</v>
      </c>
      <c r="R171" s="2" t="inlineStr">
        <is>
          <t>Nattviol</t>
        </is>
      </c>
      <c r="S171">
        <f>HYPERLINK("https://klasma.github.io/Logging_0980/artfynd/A 9862-2024 artfynd.xlsx", "A 9862-2024")</f>
        <v/>
      </c>
      <c r="T171">
        <f>HYPERLINK("https://klasma.github.io/Logging_0980/kartor/A 9862-2024 karta.png", "A 9862-2024")</f>
        <v/>
      </c>
      <c r="V171">
        <f>HYPERLINK("https://klasma.github.io/Logging_0980/klagomål/A 9862-2024 FSC-klagomål.docx", "A 9862-2024")</f>
        <v/>
      </c>
      <c r="W171">
        <f>HYPERLINK("https://klasma.github.io/Logging_0980/klagomålsmail/A 9862-2024 FSC-klagomål mail.docx", "A 9862-2024")</f>
        <v/>
      </c>
      <c r="X171">
        <f>HYPERLINK("https://klasma.github.io/Logging_0980/tillsyn/A 9862-2024 tillsynsbegäran.docx", "A 9862-2024")</f>
        <v/>
      </c>
      <c r="Y171">
        <f>HYPERLINK("https://klasma.github.io/Logging_0980/tillsynsmail/A 9862-2024 tillsynsbegäran mail.docx", "A 9862-2024")</f>
        <v/>
      </c>
    </row>
    <row r="172" ht="15" customHeight="1">
      <c r="A172" t="inlineStr">
        <is>
          <t>A 19901-2021</t>
        </is>
      </c>
      <c r="B172" s="1" t="n">
        <v>44312</v>
      </c>
      <c r="C172" s="1" t="n">
        <v>45891</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45891</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45891</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45891</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45891</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45891</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45891</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45891</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45891</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45891</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45891</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45891</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45891</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45891</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45891</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45891</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45891</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45891</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45891</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45891</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45891</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45891</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45891</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45891</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45891</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45891</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45891</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45891</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45891</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45891</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45891</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45891</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45891</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45891</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45891</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45891</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45891</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45891</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14413-2022</t>
        </is>
      </c>
      <c r="B211" s="1" t="n">
        <v>44652</v>
      </c>
      <c r="C211" s="1" t="n">
        <v>45891</v>
      </c>
      <c r="D211" t="inlineStr">
        <is>
          <t>GOTLANDS LÄN</t>
        </is>
      </c>
      <c r="E211" t="inlineStr">
        <is>
          <t>GOTLAND</t>
        </is>
      </c>
      <c r="G211" t="n">
        <v>3.1</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45891</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45891</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45891</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45891</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45891</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45891</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22155-2021</t>
        </is>
      </c>
      <c r="B218" s="1" t="n">
        <v>44325.49369212963</v>
      </c>
      <c r="C218" s="1" t="n">
        <v>45891</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45891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45891</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45891</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45891</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45891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45891</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45891</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3271-2021</t>
        </is>
      </c>
      <c r="B226" s="1" t="n">
        <v>44217</v>
      </c>
      <c r="C226" s="1" t="n">
        <v>45891</v>
      </c>
      <c r="D226" t="inlineStr">
        <is>
          <t>GOTLANDS LÄN</t>
        </is>
      </c>
      <c r="E226" t="inlineStr">
        <is>
          <t>GOTLAND</t>
        </is>
      </c>
      <c r="G226" t="n">
        <v>0.7</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45891</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45891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45891</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45891</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64380-2020</t>
        </is>
      </c>
      <c r="B231" s="1" t="n">
        <v>44168.60128472222</v>
      </c>
      <c r="C231" s="1" t="n">
        <v>45891</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45891</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45891</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45891</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55334-2024</t>
        </is>
      </c>
      <c r="B235" s="1" t="n">
        <v>45621</v>
      </c>
      <c r="C235" s="1" t="n">
        <v>45891</v>
      </c>
      <c r="D235" t="inlineStr">
        <is>
          <t>GOTLANDS LÄN</t>
        </is>
      </c>
      <c r="E235" t="inlineStr">
        <is>
          <t>GOTLAND</t>
        </is>
      </c>
      <c r="G235" t="n">
        <v>21.7</v>
      </c>
      <c r="H235" t="n">
        <v>0</v>
      </c>
      <c r="I235" t="n">
        <v>0</v>
      </c>
      <c r="J235" t="n">
        <v>0</v>
      </c>
      <c r="K235" t="n">
        <v>0</v>
      </c>
      <c r="L235" t="n">
        <v>0</v>
      </c>
      <c r="M235" t="n">
        <v>0</v>
      </c>
      <c r="N235" t="n">
        <v>0</v>
      </c>
      <c r="O235" t="n">
        <v>0</v>
      </c>
      <c r="P235" t="n">
        <v>0</v>
      </c>
      <c r="Q235" t="n">
        <v>0</v>
      </c>
      <c r="R235" s="2" t="inlineStr"/>
    </row>
    <row r="236" ht="15" customHeight="1">
      <c r="A236" t="inlineStr">
        <is>
          <t>A 17901-2023</t>
        </is>
      </c>
      <c r="B236" s="1" t="n">
        <v>45039</v>
      </c>
      <c r="C236" s="1" t="n">
        <v>45891</v>
      </c>
      <c r="D236" t="inlineStr">
        <is>
          <t>GOTLANDS LÄN</t>
        </is>
      </c>
      <c r="E236" t="inlineStr">
        <is>
          <t>GOTLAND</t>
        </is>
      </c>
      <c r="F236" t="inlineStr">
        <is>
          <t>Kyrkan</t>
        </is>
      </c>
      <c r="G236" t="n">
        <v>0.6</v>
      </c>
      <c r="H236" t="n">
        <v>0</v>
      </c>
      <c r="I236" t="n">
        <v>0</v>
      </c>
      <c r="J236" t="n">
        <v>0</v>
      </c>
      <c r="K236" t="n">
        <v>0</v>
      </c>
      <c r="L236" t="n">
        <v>0</v>
      </c>
      <c r="M236" t="n">
        <v>0</v>
      </c>
      <c r="N236" t="n">
        <v>0</v>
      </c>
      <c r="O236" t="n">
        <v>0</v>
      </c>
      <c r="P236" t="n">
        <v>0</v>
      </c>
      <c r="Q236" t="n">
        <v>0</v>
      </c>
      <c r="R236" s="2" t="inlineStr"/>
    </row>
    <row r="237" ht="15" customHeight="1">
      <c r="A237" t="inlineStr">
        <is>
          <t>A 37037-2021</t>
        </is>
      </c>
      <c r="B237" s="1" t="n">
        <v>44393.84688657407</v>
      </c>
      <c r="C237" s="1" t="n">
        <v>45891</v>
      </c>
      <c r="D237" t="inlineStr">
        <is>
          <t>GOTLANDS LÄN</t>
        </is>
      </c>
      <c r="E237" t="inlineStr">
        <is>
          <t>GOTLAND</t>
        </is>
      </c>
      <c r="G237" t="n">
        <v>10.2</v>
      </c>
      <c r="H237" t="n">
        <v>0</v>
      </c>
      <c r="I237" t="n">
        <v>0</v>
      </c>
      <c r="J237" t="n">
        <v>0</v>
      </c>
      <c r="K237" t="n">
        <v>0</v>
      </c>
      <c r="L237" t="n">
        <v>0</v>
      </c>
      <c r="M237" t="n">
        <v>0</v>
      </c>
      <c r="N237" t="n">
        <v>0</v>
      </c>
      <c r="O237" t="n">
        <v>0</v>
      </c>
      <c r="P237" t="n">
        <v>0</v>
      </c>
      <c r="Q237" t="n">
        <v>0</v>
      </c>
      <c r="R237" s="2" t="inlineStr"/>
    </row>
    <row r="238" ht="15" customHeight="1">
      <c r="A238" t="inlineStr">
        <is>
          <t>A 25866-2022</t>
        </is>
      </c>
      <c r="B238" s="1" t="n">
        <v>44733</v>
      </c>
      <c r="C238" s="1" t="n">
        <v>45891</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45891</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30282-2022</t>
        </is>
      </c>
      <c r="B240" s="1" t="n">
        <v>44760</v>
      </c>
      <c r="C240" s="1" t="n">
        <v>45891</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43229-2023</t>
        </is>
      </c>
      <c r="B241" s="1" t="n">
        <v>45183.46704861111</v>
      </c>
      <c r="C241" s="1" t="n">
        <v>45891</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1175-2025</t>
        </is>
      </c>
      <c r="B242" s="1" t="n">
        <v>45667.34449074074</v>
      </c>
      <c r="C242" s="1" t="n">
        <v>45891</v>
      </c>
      <c r="D242" t="inlineStr">
        <is>
          <t>GOTLANDS LÄN</t>
        </is>
      </c>
      <c r="E242" t="inlineStr">
        <is>
          <t>GOTLAND</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27095-2022</t>
        </is>
      </c>
      <c r="B243" s="1" t="n">
        <v>44741</v>
      </c>
      <c r="C243" s="1" t="n">
        <v>45891</v>
      </c>
      <c r="D243" t="inlineStr">
        <is>
          <t>GOTLANDS LÄN</t>
        </is>
      </c>
      <c r="E243" t="inlineStr">
        <is>
          <t>GOTLAND</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4868-2024</t>
        </is>
      </c>
      <c r="B244" s="1" t="n">
        <v>45329</v>
      </c>
      <c r="C244" s="1" t="n">
        <v>45891</v>
      </c>
      <c r="D244" t="inlineStr">
        <is>
          <t>GOTLANDS LÄN</t>
        </is>
      </c>
      <c r="E244" t="inlineStr">
        <is>
          <t>GOTLAND</t>
        </is>
      </c>
      <c r="G244" t="n">
        <v>7.1</v>
      </c>
      <c r="H244" t="n">
        <v>0</v>
      </c>
      <c r="I244" t="n">
        <v>0</v>
      </c>
      <c r="J244" t="n">
        <v>0</v>
      </c>
      <c r="K244" t="n">
        <v>0</v>
      </c>
      <c r="L244" t="n">
        <v>0</v>
      </c>
      <c r="M244" t="n">
        <v>0</v>
      </c>
      <c r="N244" t="n">
        <v>0</v>
      </c>
      <c r="O244" t="n">
        <v>0</v>
      </c>
      <c r="P244" t="n">
        <v>0</v>
      </c>
      <c r="Q244" t="n">
        <v>0</v>
      </c>
      <c r="R244" s="2" t="inlineStr"/>
    </row>
    <row r="245" ht="15" customHeight="1">
      <c r="A245" t="inlineStr">
        <is>
          <t>A 22899-2023</t>
        </is>
      </c>
      <c r="B245" s="1" t="n">
        <v>45072</v>
      </c>
      <c r="C245" s="1" t="n">
        <v>45891</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6108-2025</t>
        </is>
      </c>
      <c r="B246" s="1" t="n">
        <v>45698.29880787037</v>
      </c>
      <c r="C246" s="1" t="n">
        <v>45891</v>
      </c>
      <c r="D246" t="inlineStr">
        <is>
          <t>GOTLANDS LÄN</t>
        </is>
      </c>
      <c r="E246" t="inlineStr">
        <is>
          <t>GOTLAND</t>
        </is>
      </c>
      <c r="G246" t="n">
        <v>2.8</v>
      </c>
      <c r="H246" t="n">
        <v>0</v>
      </c>
      <c r="I246" t="n">
        <v>0</v>
      </c>
      <c r="J246" t="n">
        <v>0</v>
      </c>
      <c r="K246" t="n">
        <v>0</v>
      </c>
      <c r="L246" t="n">
        <v>0</v>
      </c>
      <c r="M246" t="n">
        <v>0</v>
      </c>
      <c r="N246" t="n">
        <v>0</v>
      </c>
      <c r="O246" t="n">
        <v>0</v>
      </c>
      <c r="P246" t="n">
        <v>0</v>
      </c>
      <c r="Q246" t="n">
        <v>0</v>
      </c>
      <c r="R246" s="2" t="inlineStr"/>
    </row>
    <row r="247" ht="15" customHeight="1">
      <c r="A247" t="inlineStr">
        <is>
          <t>A 8701-2025</t>
        </is>
      </c>
      <c r="B247" s="1" t="n">
        <v>45712</v>
      </c>
      <c r="C247" s="1" t="n">
        <v>45891</v>
      </c>
      <c r="D247" t="inlineStr">
        <is>
          <t>GOTLANDS LÄN</t>
        </is>
      </c>
      <c r="E247" t="inlineStr">
        <is>
          <t>GOTLAND</t>
        </is>
      </c>
      <c r="G247" t="n">
        <v>7</v>
      </c>
      <c r="H247" t="n">
        <v>0</v>
      </c>
      <c r="I247" t="n">
        <v>0</v>
      </c>
      <c r="J247" t="n">
        <v>0</v>
      </c>
      <c r="K247" t="n">
        <v>0</v>
      </c>
      <c r="L247" t="n">
        <v>0</v>
      </c>
      <c r="M247" t="n">
        <v>0</v>
      </c>
      <c r="N247" t="n">
        <v>0</v>
      </c>
      <c r="O247" t="n">
        <v>0</v>
      </c>
      <c r="P247" t="n">
        <v>0</v>
      </c>
      <c r="Q247" t="n">
        <v>0</v>
      </c>
      <c r="R247" s="2" t="inlineStr"/>
    </row>
    <row r="248" ht="15" customHeight="1">
      <c r="A248" t="inlineStr">
        <is>
          <t>A 1713-2025</t>
        </is>
      </c>
      <c r="B248" s="1" t="n">
        <v>45671.32342592593</v>
      </c>
      <c r="C248" s="1" t="n">
        <v>45891</v>
      </c>
      <c r="D248" t="inlineStr">
        <is>
          <t>GOTLANDS LÄN</t>
        </is>
      </c>
      <c r="E248" t="inlineStr">
        <is>
          <t>GOTLAND</t>
        </is>
      </c>
      <c r="G248" t="n">
        <v>10.1</v>
      </c>
      <c r="H248" t="n">
        <v>0</v>
      </c>
      <c r="I248" t="n">
        <v>0</v>
      </c>
      <c r="J248" t="n">
        <v>0</v>
      </c>
      <c r="K248" t="n">
        <v>0</v>
      </c>
      <c r="L248" t="n">
        <v>0</v>
      </c>
      <c r="M248" t="n">
        <v>0</v>
      </c>
      <c r="N248" t="n">
        <v>0</v>
      </c>
      <c r="O248" t="n">
        <v>0</v>
      </c>
      <c r="P248" t="n">
        <v>0</v>
      </c>
      <c r="Q248" t="n">
        <v>0</v>
      </c>
      <c r="R248" s="2" t="inlineStr"/>
    </row>
    <row r="249" ht="15" customHeight="1">
      <c r="A249" t="inlineStr">
        <is>
          <t>A 46396-2023</t>
        </is>
      </c>
      <c r="B249" s="1" t="n">
        <v>45197</v>
      </c>
      <c r="C249" s="1" t="n">
        <v>45891</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23978-2023</t>
        </is>
      </c>
      <c r="B250" s="1" t="n">
        <v>45078</v>
      </c>
      <c r="C250" s="1" t="n">
        <v>45891</v>
      </c>
      <c r="D250" t="inlineStr">
        <is>
          <t>GOTLANDS LÄN</t>
        </is>
      </c>
      <c r="E250" t="inlineStr">
        <is>
          <t>GOTLAND</t>
        </is>
      </c>
      <c r="F250" t="inlineStr">
        <is>
          <t>Naturvårdsverket</t>
        </is>
      </c>
      <c r="G250" t="n">
        <v>1.7</v>
      </c>
      <c r="H250" t="n">
        <v>0</v>
      </c>
      <c r="I250" t="n">
        <v>0</v>
      </c>
      <c r="J250" t="n">
        <v>0</v>
      </c>
      <c r="K250" t="n">
        <v>0</v>
      </c>
      <c r="L250" t="n">
        <v>0</v>
      </c>
      <c r="M250" t="n">
        <v>0</v>
      </c>
      <c r="N250" t="n">
        <v>0</v>
      </c>
      <c r="O250" t="n">
        <v>0</v>
      </c>
      <c r="P250" t="n">
        <v>0</v>
      </c>
      <c r="Q250" t="n">
        <v>0</v>
      </c>
      <c r="R250" s="2" t="inlineStr"/>
    </row>
    <row r="251" ht="15" customHeight="1">
      <c r="A251" t="inlineStr">
        <is>
          <t>A 34407-2023</t>
        </is>
      </c>
      <c r="B251" s="1" t="n">
        <v>45132</v>
      </c>
      <c r="C251" s="1" t="n">
        <v>45891</v>
      </c>
      <c r="D251" t="inlineStr">
        <is>
          <t>GOTLANDS LÄN</t>
        </is>
      </c>
      <c r="E251" t="inlineStr">
        <is>
          <t>GOTLAND</t>
        </is>
      </c>
      <c r="G251" t="n">
        <v>4.4</v>
      </c>
      <c r="H251" t="n">
        <v>0</v>
      </c>
      <c r="I251" t="n">
        <v>0</v>
      </c>
      <c r="J251" t="n">
        <v>0</v>
      </c>
      <c r="K251" t="n">
        <v>0</v>
      </c>
      <c r="L251" t="n">
        <v>0</v>
      </c>
      <c r="M251" t="n">
        <v>0</v>
      </c>
      <c r="N251" t="n">
        <v>0</v>
      </c>
      <c r="O251" t="n">
        <v>0</v>
      </c>
      <c r="P251" t="n">
        <v>0</v>
      </c>
      <c r="Q251" t="n">
        <v>0</v>
      </c>
      <c r="R251" s="2" t="inlineStr"/>
    </row>
    <row r="252" ht="15" customHeight="1">
      <c r="A252" t="inlineStr">
        <is>
          <t>A 11013-2024</t>
        </is>
      </c>
      <c r="B252" s="1" t="n">
        <v>45370</v>
      </c>
      <c r="C252" s="1" t="n">
        <v>45891</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27694-2024</t>
        </is>
      </c>
      <c r="B253" s="1" t="n">
        <v>45475</v>
      </c>
      <c r="C253" s="1" t="n">
        <v>45891</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15083-2025</t>
        </is>
      </c>
      <c r="B254" s="1" t="n">
        <v>45743</v>
      </c>
      <c r="C254" s="1" t="n">
        <v>45891</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32330-2024</t>
        </is>
      </c>
      <c r="B255" s="1" t="n">
        <v>45512</v>
      </c>
      <c r="C255" s="1" t="n">
        <v>45891</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17724-2024</t>
        </is>
      </c>
      <c r="B256" s="1" t="n">
        <v>45418.55096064815</v>
      </c>
      <c r="C256" s="1" t="n">
        <v>45891</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13037-2025</t>
        </is>
      </c>
      <c r="B257" s="1" t="n">
        <v>45734</v>
      </c>
      <c r="C257" s="1" t="n">
        <v>45891</v>
      </c>
      <c r="D257" t="inlineStr">
        <is>
          <t>GOTLANDS LÄN</t>
        </is>
      </c>
      <c r="E257" t="inlineStr">
        <is>
          <t>GOTLAND</t>
        </is>
      </c>
      <c r="G257" t="n">
        <v>9.5</v>
      </c>
      <c r="H257" t="n">
        <v>0</v>
      </c>
      <c r="I257" t="n">
        <v>0</v>
      </c>
      <c r="J257" t="n">
        <v>0</v>
      </c>
      <c r="K257" t="n">
        <v>0</v>
      </c>
      <c r="L257" t="n">
        <v>0</v>
      </c>
      <c r="M257" t="n">
        <v>0</v>
      </c>
      <c r="N257" t="n">
        <v>0</v>
      </c>
      <c r="O257" t="n">
        <v>0</v>
      </c>
      <c r="P257" t="n">
        <v>0</v>
      </c>
      <c r="Q257" t="n">
        <v>0</v>
      </c>
      <c r="R257" s="2" t="inlineStr"/>
    </row>
    <row r="258" ht="15" customHeight="1">
      <c r="A258" t="inlineStr">
        <is>
          <t>A 9613-2025</t>
        </is>
      </c>
      <c r="B258" s="1" t="n">
        <v>45715</v>
      </c>
      <c r="C258" s="1" t="n">
        <v>45891</v>
      </c>
      <c r="D258" t="inlineStr">
        <is>
          <t>GOTLANDS LÄN</t>
        </is>
      </c>
      <c r="E258" t="inlineStr">
        <is>
          <t>GOTLAND</t>
        </is>
      </c>
      <c r="G258" t="n">
        <v>3.5</v>
      </c>
      <c r="H258" t="n">
        <v>0</v>
      </c>
      <c r="I258" t="n">
        <v>0</v>
      </c>
      <c r="J258" t="n">
        <v>0</v>
      </c>
      <c r="K258" t="n">
        <v>0</v>
      </c>
      <c r="L258" t="n">
        <v>0</v>
      </c>
      <c r="M258" t="n">
        <v>0</v>
      </c>
      <c r="N258" t="n">
        <v>0</v>
      </c>
      <c r="O258" t="n">
        <v>0</v>
      </c>
      <c r="P258" t="n">
        <v>0</v>
      </c>
      <c r="Q258" t="n">
        <v>0</v>
      </c>
      <c r="R258" s="2" t="inlineStr"/>
    </row>
    <row r="259" ht="15" customHeight="1">
      <c r="A259" t="inlineStr">
        <is>
          <t>A 34312-2024</t>
        </is>
      </c>
      <c r="B259" s="1" t="n">
        <v>45524.69703703704</v>
      </c>
      <c r="C259" s="1" t="n">
        <v>45891</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458-2023</t>
        </is>
      </c>
      <c r="B260" s="1" t="n">
        <v>44929</v>
      </c>
      <c r="C260" s="1" t="n">
        <v>45891</v>
      </c>
      <c r="D260" t="inlineStr">
        <is>
          <t>GOTLANDS LÄN</t>
        </is>
      </c>
      <c r="E260" t="inlineStr">
        <is>
          <t>GOTLAND</t>
        </is>
      </c>
      <c r="G260" t="n">
        <v>3.6</v>
      </c>
      <c r="H260" t="n">
        <v>0</v>
      </c>
      <c r="I260" t="n">
        <v>0</v>
      </c>
      <c r="J260" t="n">
        <v>0</v>
      </c>
      <c r="K260" t="n">
        <v>0</v>
      </c>
      <c r="L260" t="n">
        <v>0</v>
      </c>
      <c r="M260" t="n">
        <v>0</v>
      </c>
      <c r="N260" t="n">
        <v>0</v>
      </c>
      <c r="O260" t="n">
        <v>0</v>
      </c>
      <c r="P260" t="n">
        <v>0</v>
      </c>
      <c r="Q260" t="n">
        <v>0</v>
      </c>
      <c r="R260" s="2" t="inlineStr"/>
    </row>
    <row r="261" ht="15" customHeight="1">
      <c r="A261" t="inlineStr">
        <is>
          <t>A 15595-2024</t>
        </is>
      </c>
      <c r="B261" s="1" t="n">
        <v>45401.81480324074</v>
      </c>
      <c r="C261" s="1" t="n">
        <v>45891</v>
      </c>
      <c r="D261" t="inlineStr">
        <is>
          <t>GOTLANDS LÄN</t>
        </is>
      </c>
      <c r="E261" t="inlineStr">
        <is>
          <t>GOTLAND</t>
        </is>
      </c>
      <c r="G261" t="n">
        <v>6.4</v>
      </c>
      <c r="H261" t="n">
        <v>0</v>
      </c>
      <c r="I261" t="n">
        <v>0</v>
      </c>
      <c r="J261" t="n">
        <v>0</v>
      </c>
      <c r="K261" t="n">
        <v>0</v>
      </c>
      <c r="L261" t="n">
        <v>0</v>
      </c>
      <c r="M261" t="n">
        <v>0</v>
      </c>
      <c r="N261" t="n">
        <v>0</v>
      </c>
      <c r="O261" t="n">
        <v>0</v>
      </c>
      <c r="P261" t="n">
        <v>0</v>
      </c>
      <c r="Q261" t="n">
        <v>0</v>
      </c>
      <c r="R261" s="2" t="inlineStr"/>
    </row>
    <row r="262" ht="15" customHeight="1">
      <c r="A262" t="inlineStr">
        <is>
          <t>A 5751-2024</t>
        </is>
      </c>
      <c r="B262" s="1" t="n">
        <v>45335.32702546296</v>
      </c>
      <c r="C262" s="1" t="n">
        <v>45891</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44228-2022</t>
        </is>
      </c>
      <c r="B263" s="1" t="n">
        <v>44839.51599537037</v>
      </c>
      <c r="C263" s="1" t="n">
        <v>45891</v>
      </c>
      <c r="D263" t="inlineStr">
        <is>
          <t>GOTLANDS LÄN</t>
        </is>
      </c>
      <c r="E263" t="inlineStr">
        <is>
          <t>GOTLAND</t>
        </is>
      </c>
      <c r="G263" t="n">
        <v>2.1</v>
      </c>
      <c r="H263" t="n">
        <v>0</v>
      </c>
      <c r="I263" t="n">
        <v>0</v>
      </c>
      <c r="J263" t="n">
        <v>0</v>
      </c>
      <c r="K263" t="n">
        <v>0</v>
      </c>
      <c r="L263" t="n">
        <v>0</v>
      </c>
      <c r="M263" t="n">
        <v>0</v>
      </c>
      <c r="N263" t="n">
        <v>0</v>
      </c>
      <c r="O263" t="n">
        <v>0</v>
      </c>
      <c r="P263" t="n">
        <v>0</v>
      </c>
      <c r="Q263" t="n">
        <v>0</v>
      </c>
      <c r="R263" s="2" t="inlineStr"/>
    </row>
    <row r="264" ht="15" customHeight="1">
      <c r="A264" t="inlineStr">
        <is>
          <t>A 58132-2023</t>
        </is>
      </c>
      <c r="B264" s="1" t="n">
        <v>45250</v>
      </c>
      <c r="C264" s="1" t="n">
        <v>45891</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15216-2025</t>
        </is>
      </c>
      <c r="B265" s="1" t="n">
        <v>45744</v>
      </c>
      <c r="C265" s="1" t="n">
        <v>45891</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6153-2024</t>
        </is>
      </c>
      <c r="B266" s="1" t="n">
        <v>45337</v>
      </c>
      <c r="C266" s="1" t="n">
        <v>45891</v>
      </c>
      <c r="D266" t="inlineStr">
        <is>
          <t>GOTLANDS LÄN</t>
        </is>
      </c>
      <c r="E266" t="inlineStr">
        <is>
          <t>GOTLAND</t>
        </is>
      </c>
      <c r="G266" t="n">
        <v>14.2</v>
      </c>
      <c r="H266" t="n">
        <v>0</v>
      </c>
      <c r="I266" t="n">
        <v>0</v>
      </c>
      <c r="J266" t="n">
        <v>0</v>
      </c>
      <c r="K266" t="n">
        <v>0</v>
      </c>
      <c r="L266" t="n">
        <v>0</v>
      </c>
      <c r="M266" t="n">
        <v>0</v>
      </c>
      <c r="N266" t="n">
        <v>0</v>
      </c>
      <c r="O266" t="n">
        <v>0</v>
      </c>
      <c r="P266" t="n">
        <v>0</v>
      </c>
      <c r="Q266" t="n">
        <v>0</v>
      </c>
      <c r="R266" s="2" t="inlineStr"/>
    </row>
    <row r="267" ht="15" customHeight="1">
      <c r="A267" t="inlineStr">
        <is>
          <t>A 49884-2023</t>
        </is>
      </c>
      <c r="B267" s="1" t="n">
        <v>45213</v>
      </c>
      <c r="C267" s="1" t="n">
        <v>45891</v>
      </c>
      <c r="D267" t="inlineStr">
        <is>
          <t>GOTLANDS LÄN</t>
        </is>
      </c>
      <c r="E267" t="inlineStr">
        <is>
          <t>GOTLAND</t>
        </is>
      </c>
      <c r="G267" t="n">
        <v>8.9</v>
      </c>
      <c r="H267" t="n">
        <v>0</v>
      </c>
      <c r="I267" t="n">
        <v>0</v>
      </c>
      <c r="J267" t="n">
        <v>0</v>
      </c>
      <c r="K267" t="n">
        <v>0</v>
      </c>
      <c r="L267" t="n">
        <v>0</v>
      </c>
      <c r="M267" t="n">
        <v>0</v>
      </c>
      <c r="N267" t="n">
        <v>0</v>
      </c>
      <c r="O267" t="n">
        <v>0</v>
      </c>
      <c r="P267" t="n">
        <v>0</v>
      </c>
      <c r="Q267" t="n">
        <v>0</v>
      </c>
      <c r="R267" s="2" t="inlineStr"/>
    </row>
    <row r="268" ht="15" customHeight="1">
      <c r="A268" t="inlineStr">
        <is>
          <t>A 69112-2021</t>
        </is>
      </c>
      <c r="B268" s="1" t="n">
        <v>44530</v>
      </c>
      <c r="C268" s="1" t="n">
        <v>45891</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17847-2025</t>
        </is>
      </c>
      <c r="B269" s="1" t="n">
        <v>45758</v>
      </c>
      <c r="C269" s="1" t="n">
        <v>45891</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24966-2023</t>
        </is>
      </c>
      <c r="B270" s="1" t="n">
        <v>45085</v>
      </c>
      <c r="C270" s="1" t="n">
        <v>45891</v>
      </c>
      <c r="D270" t="inlineStr">
        <is>
          <t>GOTLANDS LÄN</t>
        </is>
      </c>
      <c r="E270" t="inlineStr">
        <is>
          <t>GOTLAND</t>
        </is>
      </c>
      <c r="G270" t="n">
        <v>7</v>
      </c>
      <c r="H270" t="n">
        <v>0</v>
      </c>
      <c r="I270" t="n">
        <v>0</v>
      </c>
      <c r="J270" t="n">
        <v>0</v>
      </c>
      <c r="K270" t="n">
        <v>0</v>
      </c>
      <c r="L270" t="n">
        <v>0</v>
      </c>
      <c r="M270" t="n">
        <v>0</v>
      </c>
      <c r="N270" t="n">
        <v>0</v>
      </c>
      <c r="O270" t="n">
        <v>0</v>
      </c>
      <c r="P270" t="n">
        <v>0</v>
      </c>
      <c r="Q270" t="n">
        <v>0</v>
      </c>
      <c r="R270" s="2" t="inlineStr"/>
    </row>
    <row r="271" ht="15" customHeight="1">
      <c r="A271" t="inlineStr">
        <is>
          <t>A 46189-2022</t>
        </is>
      </c>
      <c r="B271" s="1" t="n">
        <v>44847</v>
      </c>
      <c r="C271" s="1" t="n">
        <v>45891</v>
      </c>
      <c r="D271" t="inlineStr">
        <is>
          <t>GOTLANDS LÄN</t>
        </is>
      </c>
      <c r="E271" t="inlineStr">
        <is>
          <t>GOTLAND</t>
        </is>
      </c>
      <c r="G271" t="n">
        <v>0.4</v>
      </c>
      <c r="H271" t="n">
        <v>0</v>
      </c>
      <c r="I271" t="n">
        <v>0</v>
      </c>
      <c r="J271" t="n">
        <v>0</v>
      </c>
      <c r="K271" t="n">
        <v>0</v>
      </c>
      <c r="L271" t="n">
        <v>0</v>
      </c>
      <c r="M271" t="n">
        <v>0</v>
      </c>
      <c r="N271" t="n">
        <v>0</v>
      </c>
      <c r="O271" t="n">
        <v>0</v>
      </c>
      <c r="P271" t="n">
        <v>0</v>
      </c>
      <c r="Q271" t="n">
        <v>0</v>
      </c>
      <c r="R271" s="2" t="inlineStr"/>
    </row>
    <row r="272" ht="15" customHeight="1">
      <c r="A272" t="inlineStr">
        <is>
          <t>A 7638-2025</t>
        </is>
      </c>
      <c r="B272" s="1" t="n">
        <v>45705.77306712963</v>
      </c>
      <c r="C272" s="1" t="n">
        <v>45891</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50482-2024</t>
        </is>
      </c>
      <c r="B273" s="1" t="n">
        <v>45601.48114583334</v>
      </c>
      <c r="C273" s="1" t="n">
        <v>45891</v>
      </c>
      <c r="D273" t="inlineStr">
        <is>
          <t>GOTLANDS LÄN</t>
        </is>
      </c>
      <c r="E273" t="inlineStr">
        <is>
          <t>GOTLAND</t>
        </is>
      </c>
      <c r="G273" t="n">
        <v>2.3</v>
      </c>
      <c r="H273" t="n">
        <v>0</v>
      </c>
      <c r="I273" t="n">
        <v>0</v>
      </c>
      <c r="J273" t="n">
        <v>0</v>
      </c>
      <c r="K273" t="n">
        <v>0</v>
      </c>
      <c r="L273" t="n">
        <v>0</v>
      </c>
      <c r="M273" t="n">
        <v>0</v>
      </c>
      <c r="N273" t="n">
        <v>0</v>
      </c>
      <c r="O273" t="n">
        <v>0</v>
      </c>
      <c r="P273" t="n">
        <v>0</v>
      </c>
      <c r="Q273" t="n">
        <v>0</v>
      </c>
      <c r="R273" s="2" t="inlineStr"/>
    </row>
    <row r="274" ht="15" customHeight="1">
      <c r="A274" t="inlineStr">
        <is>
          <t>A 876-2024</t>
        </is>
      </c>
      <c r="B274" s="1" t="n">
        <v>45301</v>
      </c>
      <c r="C274" s="1" t="n">
        <v>45891</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1394-2023</t>
        </is>
      </c>
      <c r="B275" s="1" t="n">
        <v>44936.72997685185</v>
      </c>
      <c r="C275" s="1" t="n">
        <v>45891</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6796-2025</t>
        </is>
      </c>
      <c r="B276" s="1" t="n">
        <v>45700.66559027778</v>
      </c>
      <c r="C276" s="1" t="n">
        <v>45891</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58230-2024</t>
        </is>
      </c>
      <c r="B277" s="1" t="n">
        <v>45632.51625</v>
      </c>
      <c r="C277" s="1" t="n">
        <v>45891</v>
      </c>
      <c r="D277" t="inlineStr">
        <is>
          <t>GOTLANDS LÄN</t>
        </is>
      </c>
      <c r="E277" t="inlineStr">
        <is>
          <t>GOTLAND</t>
        </is>
      </c>
      <c r="G277" t="n">
        <v>7.3</v>
      </c>
      <c r="H277" t="n">
        <v>0</v>
      </c>
      <c r="I277" t="n">
        <v>0</v>
      </c>
      <c r="J277" t="n">
        <v>0</v>
      </c>
      <c r="K277" t="n">
        <v>0</v>
      </c>
      <c r="L277" t="n">
        <v>0</v>
      </c>
      <c r="M277" t="n">
        <v>0</v>
      </c>
      <c r="N277" t="n">
        <v>0</v>
      </c>
      <c r="O277" t="n">
        <v>0</v>
      </c>
      <c r="P277" t="n">
        <v>0</v>
      </c>
      <c r="Q277" t="n">
        <v>0</v>
      </c>
      <c r="R277" s="2" t="inlineStr"/>
    </row>
    <row r="278" ht="15" customHeight="1">
      <c r="A278" t="inlineStr">
        <is>
          <t>A 22704-2023</t>
        </is>
      </c>
      <c r="B278" s="1" t="n">
        <v>45071</v>
      </c>
      <c r="C278" s="1" t="n">
        <v>45891</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22031-2024</t>
        </is>
      </c>
      <c r="B279" s="1" t="n">
        <v>45443.60075231481</v>
      </c>
      <c r="C279" s="1" t="n">
        <v>45891</v>
      </c>
      <c r="D279" t="inlineStr">
        <is>
          <t>GOTLANDS LÄN</t>
        </is>
      </c>
      <c r="E279" t="inlineStr">
        <is>
          <t>GOTLAND</t>
        </is>
      </c>
      <c r="G279" t="n">
        <v>2.3</v>
      </c>
      <c r="H279" t="n">
        <v>0</v>
      </c>
      <c r="I279" t="n">
        <v>0</v>
      </c>
      <c r="J279" t="n">
        <v>0</v>
      </c>
      <c r="K279" t="n">
        <v>0</v>
      </c>
      <c r="L279" t="n">
        <v>0</v>
      </c>
      <c r="M279" t="n">
        <v>0</v>
      </c>
      <c r="N279" t="n">
        <v>0</v>
      </c>
      <c r="O279" t="n">
        <v>0</v>
      </c>
      <c r="P279" t="n">
        <v>0</v>
      </c>
      <c r="Q279" t="n">
        <v>0</v>
      </c>
      <c r="R279" s="2" t="inlineStr"/>
    </row>
    <row r="280" ht="15" customHeight="1">
      <c r="A280" t="inlineStr">
        <is>
          <t>A 44204-2022</t>
        </is>
      </c>
      <c r="B280" s="1" t="n">
        <v>44839</v>
      </c>
      <c r="C280" s="1" t="n">
        <v>45891</v>
      </c>
      <c r="D280" t="inlineStr">
        <is>
          <t>GOTLANDS LÄN</t>
        </is>
      </c>
      <c r="E280" t="inlineStr">
        <is>
          <t>GOTLAND</t>
        </is>
      </c>
      <c r="G280" t="n">
        <v>2.3</v>
      </c>
      <c r="H280" t="n">
        <v>0</v>
      </c>
      <c r="I280" t="n">
        <v>0</v>
      </c>
      <c r="J280" t="n">
        <v>0</v>
      </c>
      <c r="K280" t="n">
        <v>0</v>
      </c>
      <c r="L280" t="n">
        <v>0</v>
      </c>
      <c r="M280" t="n">
        <v>0</v>
      </c>
      <c r="N280" t="n">
        <v>0</v>
      </c>
      <c r="O280" t="n">
        <v>0</v>
      </c>
      <c r="P280" t="n">
        <v>0</v>
      </c>
      <c r="Q280" t="n">
        <v>0</v>
      </c>
      <c r="R280" s="2" t="inlineStr"/>
    </row>
    <row r="281" ht="15" customHeight="1">
      <c r="A281" t="inlineStr">
        <is>
          <t>A 1462-2025</t>
        </is>
      </c>
      <c r="B281" s="1" t="n">
        <v>45670.36319444444</v>
      </c>
      <c r="C281" s="1" t="n">
        <v>45891</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28425-2023</t>
        </is>
      </c>
      <c r="B282" s="1" t="n">
        <v>45102</v>
      </c>
      <c r="C282" s="1" t="n">
        <v>45891</v>
      </c>
      <c r="D282" t="inlineStr">
        <is>
          <t>GOTLANDS LÄN</t>
        </is>
      </c>
      <c r="E282" t="inlineStr">
        <is>
          <t>GOTLAND</t>
        </is>
      </c>
      <c r="G282" t="n">
        <v>0.5</v>
      </c>
      <c r="H282" t="n">
        <v>0</v>
      </c>
      <c r="I282" t="n">
        <v>0</v>
      </c>
      <c r="J282" t="n">
        <v>0</v>
      </c>
      <c r="K282" t="n">
        <v>0</v>
      </c>
      <c r="L282" t="n">
        <v>0</v>
      </c>
      <c r="M282" t="n">
        <v>0</v>
      </c>
      <c r="N282" t="n">
        <v>0</v>
      </c>
      <c r="O282" t="n">
        <v>0</v>
      </c>
      <c r="P282" t="n">
        <v>0</v>
      </c>
      <c r="Q282" t="n">
        <v>0</v>
      </c>
      <c r="R282" s="2" t="inlineStr"/>
    </row>
    <row r="283" ht="15" customHeight="1">
      <c r="A283" t="inlineStr">
        <is>
          <t>A 49314-2024</t>
        </is>
      </c>
      <c r="B283" s="1" t="n">
        <v>45595.55893518519</v>
      </c>
      <c r="C283" s="1" t="n">
        <v>45891</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58476-2022</t>
        </is>
      </c>
      <c r="B284" s="1" t="n">
        <v>44902</v>
      </c>
      <c r="C284" s="1" t="n">
        <v>45891</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44919-2022</t>
        </is>
      </c>
      <c r="B285" s="1" t="n">
        <v>44841</v>
      </c>
      <c r="C285" s="1" t="n">
        <v>45891</v>
      </c>
      <c r="D285" t="inlineStr">
        <is>
          <t>GOTLANDS LÄN</t>
        </is>
      </c>
      <c r="E285" t="inlineStr">
        <is>
          <t>GOTLAND</t>
        </is>
      </c>
      <c r="G285" t="n">
        <v>2.2</v>
      </c>
      <c r="H285" t="n">
        <v>0</v>
      </c>
      <c r="I285" t="n">
        <v>0</v>
      </c>
      <c r="J285" t="n">
        <v>0</v>
      </c>
      <c r="K285" t="n">
        <v>0</v>
      </c>
      <c r="L285" t="n">
        <v>0</v>
      </c>
      <c r="M285" t="n">
        <v>0</v>
      </c>
      <c r="N285" t="n">
        <v>0</v>
      </c>
      <c r="O285" t="n">
        <v>0</v>
      </c>
      <c r="P285" t="n">
        <v>0</v>
      </c>
      <c r="Q285" t="n">
        <v>0</v>
      </c>
      <c r="R285" s="2" t="inlineStr"/>
    </row>
    <row r="286" ht="15" customHeight="1">
      <c r="A286" t="inlineStr">
        <is>
          <t>A 25129-2023</t>
        </is>
      </c>
      <c r="B286" s="1" t="n">
        <v>45086.44261574074</v>
      </c>
      <c r="C286" s="1" t="n">
        <v>45891</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17343-2025</t>
        </is>
      </c>
      <c r="B287" s="1" t="n">
        <v>45756.6687037037</v>
      </c>
      <c r="C287" s="1" t="n">
        <v>45891</v>
      </c>
      <c r="D287" t="inlineStr">
        <is>
          <t>GOTLANDS LÄN</t>
        </is>
      </c>
      <c r="E287" t="inlineStr">
        <is>
          <t>GOTLAND</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24192-2023</t>
        </is>
      </c>
      <c r="B288" s="1" t="n">
        <v>45079</v>
      </c>
      <c r="C288" s="1" t="n">
        <v>45891</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43200-2023</t>
        </is>
      </c>
      <c r="B289" s="1" t="n">
        <v>45183</v>
      </c>
      <c r="C289" s="1" t="n">
        <v>45891</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43223-2023</t>
        </is>
      </c>
      <c r="B290" s="1" t="n">
        <v>45183.45642361111</v>
      </c>
      <c r="C290" s="1" t="n">
        <v>45891</v>
      </c>
      <c r="D290" t="inlineStr">
        <is>
          <t>GOTLANDS LÄN</t>
        </is>
      </c>
      <c r="E290" t="inlineStr">
        <is>
          <t>GOTLAND</t>
        </is>
      </c>
      <c r="G290" t="n">
        <v>1.8</v>
      </c>
      <c r="H290" t="n">
        <v>0</v>
      </c>
      <c r="I290" t="n">
        <v>0</v>
      </c>
      <c r="J290" t="n">
        <v>0</v>
      </c>
      <c r="K290" t="n">
        <v>0</v>
      </c>
      <c r="L290" t="n">
        <v>0</v>
      </c>
      <c r="M290" t="n">
        <v>0</v>
      </c>
      <c r="N290" t="n">
        <v>0</v>
      </c>
      <c r="O290" t="n">
        <v>0</v>
      </c>
      <c r="P290" t="n">
        <v>0</v>
      </c>
      <c r="Q290" t="n">
        <v>0</v>
      </c>
      <c r="R290" s="2" t="inlineStr"/>
    </row>
    <row r="291" ht="15" customHeight="1">
      <c r="A291" t="inlineStr">
        <is>
          <t>A 18914-2025</t>
        </is>
      </c>
      <c r="B291" s="1" t="n">
        <v>45764.46783564815</v>
      </c>
      <c r="C291" s="1" t="n">
        <v>45891</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12327-2025</t>
        </is>
      </c>
      <c r="B292" s="1" t="n">
        <v>45730</v>
      </c>
      <c r="C292" s="1" t="n">
        <v>45891</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3431-2025</t>
        </is>
      </c>
      <c r="B293" s="1" t="n">
        <v>45680.42935185185</v>
      </c>
      <c r="C293" s="1" t="n">
        <v>45891</v>
      </c>
      <c r="D293" t="inlineStr">
        <is>
          <t>GOTLANDS LÄN</t>
        </is>
      </c>
      <c r="E293" t="inlineStr">
        <is>
          <t>GOTLAND</t>
        </is>
      </c>
      <c r="G293" t="n">
        <v>4.8</v>
      </c>
      <c r="H293" t="n">
        <v>0</v>
      </c>
      <c r="I293" t="n">
        <v>0</v>
      </c>
      <c r="J293" t="n">
        <v>0</v>
      </c>
      <c r="K293" t="n">
        <v>0</v>
      </c>
      <c r="L293" t="n">
        <v>0</v>
      </c>
      <c r="M293" t="n">
        <v>0</v>
      </c>
      <c r="N293" t="n">
        <v>0</v>
      </c>
      <c r="O293" t="n">
        <v>0</v>
      </c>
      <c r="P293" t="n">
        <v>0</v>
      </c>
      <c r="Q293" t="n">
        <v>0</v>
      </c>
      <c r="R293" s="2" t="inlineStr"/>
    </row>
    <row r="294" ht="15" customHeight="1">
      <c r="A294" t="inlineStr">
        <is>
          <t>A 18742-2025</t>
        </is>
      </c>
      <c r="B294" s="1" t="n">
        <v>45763</v>
      </c>
      <c r="C294" s="1" t="n">
        <v>45891</v>
      </c>
      <c r="D294" t="inlineStr">
        <is>
          <t>GOTLANDS LÄN</t>
        </is>
      </c>
      <c r="E294" t="inlineStr">
        <is>
          <t>GOTLAND</t>
        </is>
      </c>
      <c r="G294" t="n">
        <v>3.4</v>
      </c>
      <c r="H294" t="n">
        <v>0</v>
      </c>
      <c r="I294" t="n">
        <v>0</v>
      </c>
      <c r="J294" t="n">
        <v>0</v>
      </c>
      <c r="K294" t="n">
        <v>0</v>
      </c>
      <c r="L294" t="n">
        <v>0</v>
      </c>
      <c r="M294" t="n">
        <v>0</v>
      </c>
      <c r="N294" t="n">
        <v>0</v>
      </c>
      <c r="O294" t="n">
        <v>0</v>
      </c>
      <c r="P294" t="n">
        <v>0</v>
      </c>
      <c r="Q294" t="n">
        <v>0</v>
      </c>
      <c r="R294" s="2" t="inlineStr"/>
    </row>
    <row r="295" ht="15" customHeight="1">
      <c r="A295" t="inlineStr">
        <is>
          <t>A 5386-2023</t>
        </is>
      </c>
      <c r="B295" s="1" t="n">
        <v>44959</v>
      </c>
      <c r="C295" s="1" t="n">
        <v>45891</v>
      </c>
      <c r="D295" t="inlineStr">
        <is>
          <t>GOTLANDS LÄN</t>
        </is>
      </c>
      <c r="E295" t="inlineStr">
        <is>
          <t>GOTLAND</t>
        </is>
      </c>
      <c r="G295" t="n">
        <v>5.4</v>
      </c>
      <c r="H295" t="n">
        <v>0</v>
      </c>
      <c r="I295" t="n">
        <v>0</v>
      </c>
      <c r="J295" t="n">
        <v>0</v>
      </c>
      <c r="K295" t="n">
        <v>0</v>
      </c>
      <c r="L295" t="n">
        <v>0</v>
      </c>
      <c r="M295" t="n">
        <v>0</v>
      </c>
      <c r="N295" t="n">
        <v>0</v>
      </c>
      <c r="O295" t="n">
        <v>0</v>
      </c>
      <c r="P295" t="n">
        <v>0</v>
      </c>
      <c r="Q295" t="n">
        <v>0</v>
      </c>
      <c r="R295" s="2" t="inlineStr"/>
    </row>
    <row r="296" ht="15" customHeight="1">
      <c r="A296" t="inlineStr">
        <is>
          <t>A 7026-2023</t>
        </is>
      </c>
      <c r="B296" s="1" t="n">
        <v>44968.30340277778</v>
      </c>
      <c r="C296" s="1" t="n">
        <v>45891</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48503-2023</t>
        </is>
      </c>
      <c r="B297" s="1" t="n">
        <v>45207</v>
      </c>
      <c r="C297" s="1" t="n">
        <v>45891</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20855-2023</t>
        </is>
      </c>
      <c r="B298" s="1" t="n">
        <v>45058.82172453704</v>
      </c>
      <c r="C298" s="1" t="n">
        <v>45891</v>
      </c>
      <c r="D298" t="inlineStr">
        <is>
          <t>GOTLANDS LÄN</t>
        </is>
      </c>
      <c r="E298" t="inlineStr">
        <is>
          <t>GOTLAND</t>
        </is>
      </c>
      <c r="G298" t="n">
        <v>1.7</v>
      </c>
      <c r="H298" t="n">
        <v>0</v>
      </c>
      <c r="I298" t="n">
        <v>0</v>
      </c>
      <c r="J298" t="n">
        <v>0</v>
      </c>
      <c r="K298" t="n">
        <v>0</v>
      </c>
      <c r="L298" t="n">
        <v>0</v>
      </c>
      <c r="M298" t="n">
        <v>0</v>
      </c>
      <c r="N298" t="n">
        <v>0</v>
      </c>
      <c r="O298" t="n">
        <v>0</v>
      </c>
      <c r="P298" t="n">
        <v>0</v>
      </c>
      <c r="Q298" t="n">
        <v>0</v>
      </c>
      <c r="R298" s="2" t="inlineStr"/>
    </row>
    <row r="299" ht="15" customHeight="1">
      <c r="A299" t="inlineStr">
        <is>
          <t>A 12209-2024</t>
        </is>
      </c>
      <c r="B299" s="1" t="n">
        <v>45378</v>
      </c>
      <c r="C299" s="1" t="n">
        <v>45891</v>
      </c>
      <c r="D299" t="inlineStr">
        <is>
          <t>GOTLANDS LÄN</t>
        </is>
      </c>
      <c r="E299" t="inlineStr">
        <is>
          <t>GOTLAND</t>
        </is>
      </c>
      <c r="G299" t="n">
        <v>5.3</v>
      </c>
      <c r="H299" t="n">
        <v>0</v>
      </c>
      <c r="I299" t="n">
        <v>0</v>
      </c>
      <c r="J299" t="n">
        <v>0</v>
      </c>
      <c r="K299" t="n">
        <v>0</v>
      </c>
      <c r="L299" t="n">
        <v>0</v>
      </c>
      <c r="M299" t="n">
        <v>0</v>
      </c>
      <c r="N299" t="n">
        <v>0</v>
      </c>
      <c r="O299" t="n">
        <v>0</v>
      </c>
      <c r="P299" t="n">
        <v>0</v>
      </c>
      <c r="Q299" t="n">
        <v>0</v>
      </c>
      <c r="R299" s="2" t="inlineStr"/>
    </row>
    <row r="300" ht="15" customHeight="1">
      <c r="A300" t="inlineStr">
        <is>
          <t>A 12210-2024</t>
        </is>
      </c>
      <c r="B300" s="1" t="n">
        <v>45378</v>
      </c>
      <c r="C300" s="1" t="n">
        <v>45891</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1364-2025</t>
        </is>
      </c>
      <c r="B301" s="1" t="n">
        <v>45667.63929398148</v>
      </c>
      <c r="C301" s="1" t="n">
        <v>45891</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65901-2021</t>
        </is>
      </c>
      <c r="B302" s="1" t="n">
        <v>44516</v>
      </c>
      <c r="C302" s="1" t="n">
        <v>45891</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16373-2025</t>
        </is>
      </c>
      <c r="B303" s="1" t="n">
        <v>45751</v>
      </c>
      <c r="C303" s="1" t="n">
        <v>45891</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15042-2025</t>
        </is>
      </c>
      <c r="B304" s="1" t="n">
        <v>45743</v>
      </c>
      <c r="C304" s="1" t="n">
        <v>45891</v>
      </c>
      <c r="D304" t="inlineStr">
        <is>
          <t>GOTLANDS LÄN</t>
        </is>
      </c>
      <c r="E304" t="inlineStr">
        <is>
          <t>GOTLAND</t>
        </is>
      </c>
      <c r="G304" t="n">
        <v>8.5</v>
      </c>
      <c r="H304" t="n">
        <v>0</v>
      </c>
      <c r="I304" t="n">
        <v>0</v>
      </c>
      <c r="J304" t="n">
        <v>0</v>
      </c>
      <c r="K304" t="n">
        <v>0</v>
      </c>
      <c r="L304" t="n">
        <v>0</v>
      </c>
      <c r="M304" t="n">
        <v>0</v>
      </c>
      <c r="N304" t="n">
        <v>0</v>
      </c>
      <c r="O304" t="n">
        <v>0</v>
      </c>
      <c r="P304" t="n">
        <v>0</v>
      </c>
      <c r="Q304" t="n">
        <v>0</v>
      </c>
      <c r="R304" s="2" t="inlineStr"/>
    </row>
    <row r="305" ht="15" customHeight="1">
      <c r="A305" t="inlineStr">
        <is>
          <t>A 1000-2024</t>
        </is>
      </c>
      <c r="B305" s="1" t="n">
        <v>45301.63371527778</v>
      </c>
      <c r="C305" s="1" t="n">
        <v>45891</v>
      </c>
      <c r="D305" t="inlineStr">
        <is>
          <t>GOTLANDS LÄN</t>
        </is>
      </c>
      <c r="E305" t="inlineStr">
        <is>
          <t>GOTLAND</t>
        </is>
      </c>
      <c r="G305" t="n">
        <v>1</v>
      </c>
      <c r="H305" t="n">
        <v>0</v>
      </c>
      <c r="I305" t="n">
        <v>0</v>
      </c>
      <c r="J305" t="n">
        <v>0</v>
      </c>
      <c r="K305" t="n">
        <v>0</v>
      </c>
      <c r="L305" t="n">
        <v>0</v>
      </c>
      <c r="M305" t="n">
        <v>0</v>
      </c>
      <c r="N305" t="n">
        <v>0</v>
      </c>
      <c r="O305" t="n">
        <v>0</v>
      </c>
      <c r="P305" t="n">
        <v>0</v>
      </c>
      <c r="Q305" t="n">
        <v>0</v>
      </c>
      <c r="R305" s="2" t="inlineStr"/>
    </row>
    <row r="306" ht="15" customHeight="1">
      <c r="A306" t="inlineStr">
        <is>
          <t>A 1010-2024</t>
        </is>
      </c>
      <c r="B306" s="1" t="n">
        <v>45301</v>
      </c>
      <c r="C306" s="1" t="n">
        <v>45891</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2180-2025</t>
        </is>
      </c>
      <c r="B307" s="1" t="n">
        <v>45673</v>
      </c>
      <c r="C307" s="1" t="n">
        <v>45891</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15436-2025</t>
        </is>
      </c>
      <c r="B308" s="1" t="n">
        <v>45747.47462962963</v>
      </c>
      <c r="C308" s="1" t="n">
        <v>45891</v>
      </c>
      <c r="D308" t="inlineStr">
        <is>
          <t>GOTLANDS LÄN</t>
        </is>
      </c>
      <c r="E308" t="inlineStr">
        <is>
          <t>GOTLAND</t>
        </is>
      </c>
      <c r="G308" t="n">
        <v>4.1</v>
      </c>
      <c r="H308" t="n">
        <v>0</v>
      </c>
      <c r="I308" t="n">
        <v>0</v>
      </c>
      <c r="J308" t="n">
        <v>0</v>
      </c>
      <c r="K308" t="n">
        <v>0</v>
      </c>
      <c r="L308" t="n">
        <v>0</v>
      </c>
      <c r="M308" t="n">
        <v>0</v>
      </c>
      <c r="N308" t="n">
        <v>0</v>
      </c>
      <c r="O308" t="n">
        <v>0</v>
      </c>
      <c r="P308" t="n">
        <v>0</v>
      </c>
      <c r="Q308" t="n">
        <v>0</v>
      </c>
      <c r="R308" s="2" t="inlineStr"/>
    </row>
    <row r="309" ht="15" customHeight="1">
      <c r="A309" t="inlineStr">
        <is>
          <t>A 10652-2025</t>
        </is>
      </c>
      <c r="B309" s="1" t="n">
        <v>45721.68640046296</v>
      </c>
      <c r="C309" s="1" t="n">
        <v>45891</v>
      </c>
      <c r="D309" t="inlineStr">
        <is>
          <t>GOTLANDS LÄN</t>
        </is>
      </c>
      <c r="E309" t="inlineStr">
        <is>
          <t>GOTLAND</t>
        </is>
      </c>
      <c r="G309" t="n">
        <v>3.6</v>
      </c>
      <c r="H309" t="n">
        <v>0</v>
      </c>
      <c r="I309" t="n">
        <v>0</v>
      </c>
      <c r="J309" t="n">
        <v>0</v>
      </c>
      <c r="K309" t="n">
        <v>0</v>
      </c>
      <c r="L309" t="n">
        <v>0</v>
      </c>
      <c r="M309" t="n">
        <v>0</v>
      </c>
      <c r="N309" t="n">
        <v>0</v>
      </c>
      <c r="O309" t="n">
        <v>0</v>
      </c>
      <c r="P309" t="n">
        <v>0</v>
      </c>
      <c r="Q309" t="n">
        <v>0</v>
      </c>
      <c r="R309" s="2" t="inlineStr"/>
    </row>
    <row r="310" ht="15" customHeight="1">
      <c r="A310" t="inlineStr">
        <is>
          <t>A 49257-2024</t>
        </is>
      </c>
      <c r="B310" s="1" t="n">
        <v>45595.47627314815</v>
      </c>
      <c r="C310" s="1" t="n">
        <v>45891</v>
      </c>
      <c r="D310" t="inlineStr">
        <is>
          <t>GOTLANDS LÄN</t>
        </is>
      </c>
      <c r="E310" t="inlineStr">
        <is>
          <t>GOTLAND</t>
        </is>
      </c>
      <c r="G310" t="n">
        <v>6.3</v>
      </c>
      <c r="H310" t="n">
        <v>0</v>
      </c>
      <c r="I310" t="n">
        <v>0</v>
      </c>
      <c r="J310" t="n">
        <v>0</v>
      </c>
      <c r="K310" t="n">
        <v>0</v>
      </c>
      <c r="L310" t="n">
        <v>0</v>
      </c>
      <c r="M310" t="n">
        <v>0</v>
      </c>
      <c r="N310" t="n">
        <v>0</v>
      </c>
      <c r="O310" t="n">
        <v>0</v>
      </c>
      <c r="P310" t="n">
        <v>0</v>
      </c>
      <c r="Q310" t="n">
        <v>0</v>
      </c>
      <c r="R310" s="2" t="inlineStr"/>
    </row>
    <row r="311" ht="15" customHeight="1">
      <c r="A311" t="inlineStr">
        <is>
          <t>A 44649-2021</t>
        </is>
      </c>
      <c r="B311" s="1" t="n">
        <v>44437</v>
      </c>
      <c r="C311" s="1" t="n">
        <v>45891</v>
      </c>
      <c r="D311" t="inlineStr">
        <is>
          <t>GOTLANDS LÄN</t>
        </is>
      </c>
      <c r="E311" t="inlineStr">
        <is>
          <t>GOTLAND</t>
        </is>
      </c>
      <c r="G311" t="n">
        <v>8.1</v>
      </c>
      <c r="H311" t="n">
        <v>0</v>
      </c>
      <c r="I311" t="n">
        <v>0</v>
      </c>
      <c r="J311" t="n">
        <v>0</v>
      </c>
      <c r="K311" t="n">
        <v>0</v>
      </c>
      <c r="L311" t="n">
        <v>0</v>
      </c>
      <c r="M311" t="n">
        <v>0</v>
      </c>
      <c r="N311" t="n">
        <v>0</v>
      </c>
      <c r="O311" t="n">
        <v>0</v>
      </c>
      <c r="P311" t="n">
        <v>0</v>
      </c>
      <c r="Q311" t="n">
        <v>0</v>
      </c>
      <c r="R311" s="2" t="inlineStr"/>
    </row>
    <row r="312" ht="15" customHeight="1">
      <c r="A312" t="inlineStr">
        <is>
          <t>A 37202-2024</t>
        </is>
      </c>
      <c r="B312" s="1" t="n">
        <v>45539.67310185185</v>
      </c>
      <c r="C312" s="1" t="n">
        <v>45891</v>
      </c>
      <c r="D312" t="inlineStr">
        <is>
          <t>GOTLANDS LÄN</t>
        </is>
      </c>
      <c r="E312" t="inlineStr">
        <is>
          <t>GOTLAND</t>
        </is>
      </c>
      <c r="G312" t="n">
        <v>0.3</v>
      </c>
      <c r="H312" t="n">
        <v>0</v>
      </c>
      <c r="I312" t="n">
        <v>0</v>
      </c>
      <c r="J312" t="n">
        <v>0</v>
      </c>
      <c r="K312" t="n">
        <v>0</v>
      </c>
      <c r="L312" t="n">
        <v>0</v>
      </c>
      <c r="M312" t="n">
        <v>0</v>
      </c>
      <c r="N312" t="n">
        <v>0</v>
      </c>
      <c r="O312" t="n">
        <v>0</v>
      </c>
      <c r="P312" t="n">
        <v>0</v>
      </c>
      <c r="Q312" t="n">
        <v>0</v>
      </c>
      <c r="R312" s="2" t="inlineStr"/>
    </row>
    <row r="313" ht="15" customHeight="1">
      <c r="A313" t="inlineStr">
        <is>
          <t>A 9947-2024</t>
        </is>
      </c>
      <c r="B313" s="1" t="n">
        <v>45363</v>
      </c>
      <c r="C313" s="1" t="n">
        <v>45891</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47762-2023</t>
        </is>
      </c>
      <c r="B314" s="1" t="n">
        <v>45203.86256944444</v>
      </c>
      <c r="C314" s="1" t="n">
        <v>45891</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56115-2023</t>
        </is>
      </c>
      <c r="B315" s="1" t="n">
        <v>45236</v>
      </c>
      <c r="C315" s="1" t="n">
        <v>45891</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44304-2021</t>
        </is>
      </c>
      <c r="B316" s="1" t="n">
        <v>44434</v>
      </c>
      <c r="C316" s="1" t="n">
        <v>45891</v>
      </c>
      <c r="D316" t="inlineStr">
        <is>
          <t>GOTLANDS LÄN</t>
        </is>
      </c>
      <c r="E316" t="inlineStr">
        <is>
          <t>GOTLAND</t>
        </is>
      </c>
      <c r="G316" t="n">
        <v>5.8</v>
      </c>
      <c r="H316" t="n">
        <v>0</v>
      </c>
      <c r="I316" t="n">
        <v>0</v>
      </c>
      <c r="J316" t="n">
        <v>0</v>
      </c>
      <c r="K316" t="n">
        <v>0</v>
      </c>
      <c r="L316" t="n">
        <v>0</v>
      </c>
      <c r="M316" t="n">
        <v>0</v>
      </c>
      <c r="N316" t="n">
        <v>0</v>
      </c>
      <c r="O316" t="n">
        <v>0</v>
      </c>
      <c r="P316" t="n">
        <v>0</v>
      </c>
      <c r="Q316" t="n">
        <v>0</v>
      </c>
      <c r="R316" s="2" t="inlineStr"/>
    </row>
    <row r="317" ht="15" customHeight="1">
      <c r="A317" t="inlineStr">
        <is>
          <t>A 46545-2024</t>
        </is>
      </c>
      <c r="B317" s="1" t="n">
        <v>45582.65831018519</v>
      </c>
      <c r="C317" s="1" t="n">
        <v>45891</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60086-2022</t>
        </is>
      </c>
      <c r="B318" s="1" t="n">
        <v>44909</v>
      </c>
      <c r="C318" s="1" t="n">
        <v>45891</v>
      </c>
      <c r="D318" t="inlineStr">
        <is>
          <t>GOTLANDS LÄN</t>
        </is>
      </c>
      <c r="E318" t="inlineStr">
        <is>
          <t>GOTLAND</t>
        </is>
      </c>
      <c r="G318" t="n">
        <v>2.1</v>
      </c>
      <c r="H318" t="n">
        <v>0</v>
      </c>
      <c r="I318" t="n">
        <v>0</v>
      </c>
      <c r="J318" t="n">
        <v>0</v>
      </c>
      <c r="K318" t="n">
        <v>0</v>
      </c>
      <c r="L318" t="n">
        <v>0</v>
      </c>
      <c r="M318" t="n">
        <v>0</v>
      </c>
      <c r="N318" t="n">
        <v>0</v>
      </c>
      <c r="O318" t="n">
        <v>0</v>
      </c>
      <c r="P318" t="n">
        <v>0</v>
      </c>
      <c r="Q318" t="n">
        <v>0</v>
      </c>
      <c r="R318" s="2" t="inlineStr"/>
    </row>
    <row r="319" ht="15" customHeight="1">
      <c r="A319" t="inlineStr">
        <is>
          <t>A 17682-2024</t>
        </is>
      </c>
      <c r="B319" s="1" t="n">
        <v>45418.42966435185</v>
      </c>
      <c r="C319" s="1" t="n">
        <v>45891</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57522-2022</t>
        </is>
      </c>
      <c r="B320" s="1" t="n">
        <v>44896</v>
      </c>
      <c r="C320" s="1" t="n">
        <v>45891</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28480-2023</t>
        </is>
      </c>
      <c r="B321" s="1" t="n">
        <v>45103</v>
      </c>
      <c r="C321" s="1" t="n">
        <v>45891</v>
      </c>
      <c r="D321" t="inlineStr">
        <is>
          <t>GOTLANDS LÄN</t>
        </is>
      </c>
      <c r="E321" t="inlineStr">
        <is>
          <t>GOTLAND</t>
        </is>
      </c>
      <c r="G321" t="n">
        <v>5.7</v>
      </c>
      <c r="H321" t="n">
        <v>0</v>
      </c>
      <c r="I321" t="n">
        <v>0</v>
      </c>
      <c r="J321" t="n">
        <v>0</v>
      </c>
      <c r="K321" t="n">
        <v>0</v>
      </c>
      <c r="L321" t="n">
        <v>0</v>
      </c>
      <c r="M321" t="n">
        <v>0</v>
      </c>
      <c r="N321" t="n">
        <v>0</v>
      </c>
      <c r="O321" t="n">
        <v>0</v>
      </c>
      <c r="P321" t="n">
        <v>0</v>
      </c>
      <c r="Q321" t="n">
        <v>0</v>
      </c>
      <c r="R321" s="2" t="inlineStr"/>
    </row>
    <row r="322" ht="15" customHeight="1">
      <c r="A322" t="inlineStr">
        <is>
          <t>A 28485-2023</t>
        </is>
      </c>
      <c r="B322" s="1" t="n">
        <v>45103.43731481482</v>
      </c>
      <c r="C322" s="1" t="n">
        <v>45891</v>
      </c>
      <c r="D322" t="inlineStr">
        <is>
          <t>GOTLANDS LÄN</t>
        </is>
      </c>
      <c r="E322" t="inlineStr">
        <is>
          <t>GOTLAND</t>
        </is>
      </c>
      <c r="G322" t="n">
        <v>2.3</v>
      </c>
      <c r="H322" t="n">
        <v>0</v>
      </c>
      <c r="I322" t="n">
        <v>0</v>
      </c>
      <c r="J322" t="n">
        <v>0</v>
      </c>
      <c r="K322" t="n">
        <v>0</v>
      </c>
      <c r="L322" t="n">
        <v>0</v>
      </c>
      <c r="M322" t="n">
        <v>0</v>
      </c>
      <c r="N322" t="n">
        <v>0</v>
      </c>
      <c r="O322" t="n">
        <v>0</v>
      </c>
      <c r="P322" t="n">
        <v>0</v>
      </c>
      <c r="Q322" t="n">
        <v>0</v>
      </c>
      <c r="R322" s="2" t="inlineStr"/>
    </row>
    <row r="323" ht="15" customHeight="1">
      <c r="A323" t="inlineStr">
        <is>
          <t>A 32669-2024</t>
        </is>
      </c>
      <c r="B323" s="1" t="n">
        <v>45514</v>
      </c>
      <c r="C323" s="1" t="n">
        <v>45891</v>
      </c>
      <c r="D323" t="inlineStr">
        <is>
          <t>GOTLANDS LÄN</t>
        </is>
      </c>
      <c r="E323" t="inlineStr">
        <is>
          <t>GOTLAND</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62915-2021</t>
        </is>
      </c>
      <c r="B324" s="1" t="n">
        <v>44504</v>
      </c>
      <c r="C324" s="1" t="n">
        <v>45891</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44949-2023</t>
        </is>
      </c>
      <c r="B325" s="1" t="n">
        <v>45190.69520833333</v>
      </c>
      <c r="C325" s="1" t="n">
        <v>45891</v>
      </c>
      <c r="D325" t="inlineStr">
        <is>
          <t>GOTLANDS LÄN</t>
        </is>
      </c>
      <c r="E325" t="inlineStr">
        <is>
          <t>GOTLAND</t>
        </is>
      </c>
      <c r="G325" t="n">
        <v>1.4</v>
      </c>
      <c r="H325" t="n">
        <v>0</v>
      </c>
      <c r="I325" t="n">
        <v>0</v>
      </c>
      <c r="J325" t="n">
        <v>0</v>
      </c>
      <c r="K325" t="n">
        <v>0</v>
      </c>
      <c r="L325" t="n">
        <v>0</v>
      </c>
      <c r="M325" t="n">
        <v>0</v>
      </c>
      <c r="N325" t="n">
        <v>0</v>
      </c>
      <c r="O325" t="n">
        <v>0</v>
      </c>
      <c r="P325" t="n">
        <v>0</v>
      </c>
      <c r="Q325" t="n">
        <v>0</v>
      </c>
      <c r="R325" s="2" t="inlineStr"/>
    </row>
    <row r="326" ht="15" customHeight="1">
      <c r="A326" t="inlineStr">
        <is>
          <t>A 2774-2024</t>
        </is>
      </c>
      <c r="B326" s="1" t="n">
        <v>45314.62375</v>
      </c>
      <c r="C326" s="1" t="n">
        <v>45891</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27593-2023</t>
        </is>
      </c>
      <c r="B327" s="1" t="n">
        <v>45097</v>
      </c>
      <c r="C327" s="1" t="n">
        <v>45891</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37222-2021</t>
        </is>
      </c>
      <c r="B328" s="1" t="n">
        <v>44396</v>
      </c>
      <c r="C328" s="1" t="n">
        <v>45891</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60709-2023</t>
        </is>
      </c>
      <c r="B329" s="1" t="n">
        <v>45260</v>
      </c>
      <c r="C329" s="1" t="n">
        <v>45891</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64208-2021</t>
        </is>
      </c>
      <c r="B330" s="1" t="n">
        <v>44510</v>
      </c>
      <c r="C330" s="1" t="n">
        <v>45891</v>
      </c>
      <c r="D330" t="inlineStr">
        <is>
          <t>GOTLANDS LÄN</t>
        </is>
      </c>
      <c r="E330" t="inlineStr">
        <is>
          <t>GOTLAND</t>
        </is>
      </c>
      <c r="G330" t="n">
        <v>4.7</v>
      </c>
      <c r="H330" t="n">
        <v>0</v>
      </c>
      <c r="I330" t="n">
        <v>0</v>
      </c>
      <c r="J330" t="n">
        <v>0</v>
      </c>
      <c r="K330" t="n">
        <v>0</v>
      </c>
      <c r="L330" t="n">
        <v>0</v>
      </c>
      <c r="M330" t="n">
        <v>0</v>
      </c>
      <c r="N330" t="n">
        <v>0</v>
      </c>
      <c r="O330" t="n">
        <v>0</v>
      </c>
      <c r="P330" t="n">
        <v>0</v>
      </c>
      <c r="Q330" t="n">
        <v>0</v>
      </c>
      <c r="R330" s="2" t="inlineStr"/>
    </row>
    <row r="331" ht="15" customHeight="1">
      <c r="A331" t="inlineStr">
        <is>
          <t>A 39764-2022</t>
        </is>
      </c>
      <c r="B331" s="1" t="n">
        <v>44819</v>
      </c>
      <c r="C331" s="1" t="n">
        <v>45891</v>
      </c>
      <c r="D331" t="inlineStr">
        <is>
          <t>GOTLANDS LÄN</t>
        </is>
      </c>
      <c r="E331" t="inlineStr">
        <is>
          <t>GOTLAND</t>
        </is>
      </c>
      <c r="F331" t="inlineStr">
        <is>
          <t>Kyrkan</t>
        </is>
      </c>
      <c r="G331" t="n">
        <v>3.7</v>
      </c>
      <c r="H331" t="n">
        <v>0</v>
      </c>
      <c r="I331" t="n">
        <v>0</v>
      </c>
      <c r="J331" t="n">
        <v>0</v>
      </c>
      <c r="K331" t="n">
        <v>0</v>
      </c>
      <c r="L331" t="n">
        <v>0</v>
      </c>
      <c r="M331" t="n">
        <v>0</v>
      </c>
      <c r="N331" t="n">
        <v>0</v>
      </c>
      <c r="O331" t="n">
        <v>0</v>
      </c>
      <c r="P331" t="n">
        <v>0</v>
      </c>
      <c r="Q331" t="n">
        <v>0</v>
      </c>
      <c r="R331" s="2" t="inlineStr"/>
    </row>
    <row r="332" ht="15" customHeight="1">
      <c r="A332" t="inlineStr">
        <is>
          <t>A 3964-2024</t>
        </is>
      </c>
      <c r="B332" s="1" t="n">
        <v>45322</v>
      </c>
      <c r="C332" s="1" t="n">
        <v>45891</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63516-2023</t>
        </is>
      </c>
      <c r="B333" s="1" t="n">
        <v>45274</v>
      </c>
      <c r="C333" s="1" t="n">
        <v>45891</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45084-2024</t>
        </is>
      </c>
      <c r="B334" s="1" t="n">
        <v>45575</v>
      </c>
      <c r="C334" s="1" t="n">
        <v>45891</v>
      </c>
      <c r="D334" t="inlineStr">
        <is>
          <t>GOTLANDS LÄN</t>
        </is>
      </c>
      <c r="E334" t="inlineStr">
        <is>
          <t>GOTLAND</t>
        </is>
      </c>
      <c r="G334" t="n">
        <v>6.8</v>
      </c>
      <c r="H334" t="n">
        <v>0</v>
      </c>
      <c r="I334" t="n">
        <v>0</v>
      </c>
      <c r="J334" t="n">
        <v>0</v>
      </c>
      <c r="K334" t="n">
        <v>0</v>
      </c>
      <c r="L334" t="n">
        <v>0</v>
      </c>
      <c r="M334" t="n">
        <v>0</v>
      </c>
      <c r="N334" t="n">
        <v>0</v>
      </c>
      <c r="O334" t="n">
        <v>0</v>
      </c>
      <c r="P334" t="n">
        <v>0</v>
      </c>
      <c r="Q334" t="n">
        <v>0</v>
      </c>
      <c r="R334" s="2" t="inlineStr"/>
    </row>
    <row r="335" ht="15" customHeight="1">
      <c r="A335" t="inlineStr">
        <is>
          <t>A 58211-2024</t>
        </is>
      </c>
      <c r="B335" s="1" t="n">
        <v>45632.49292824074</v>
      </c>
      <c r="C335" s="1" t="n">
        <v>45891</v>
      </c>
      <c r="D335" t="inlineStr">
        <is>
          <t>GOTLANDS LÄN</t>
        </is>
      </c>
      <c r="E335" t="inlineStr">
        <is>
          <t>GOTLAND</t>
        </is>
      </c>
      <c r="G335" t="n">
        <v>5.4</v>
      </c>
      <c r="H335" t="n">
        <v>0</v>
      </c>
      <c r="I335" t="n">
        <v>0</v>
      </c>
      <c r="J335" t="n">
        <v>0</v>
      </c>
      <c r="K335" t="n">
        <v>0</v>
      </c>
      <c r="L335" t="n">
        <v>0</v>
      </c>
      <c r="M335" t="n">
        <v>0</v>
      </c>
      <c r="N335" t="n">
        <v>0</v>
      </c>
      <c r="O335" t="n">
        <v>0</v>
      </c>
      <c r="P335" t="n">
        <v>0</v>
      </c>
      <c r="Q335" t="n">
        <v>0</v>
      </c>
      <c r="R335" s="2" t="inlineStr"/>
    </row>
    <row r="336" ht="15" customHeight="1">
      <c r="A336" t="inlineStr">
        <is>
          <t>A 30956-2024</t>
        </is>
      </c>
      <c r="B336" s="1" t="n">
        <v>45499.42527777778</v>
      </c>
      <c r="C336" s="1" t="n">
        <v>45891</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30892-2024</t>
        </is>
      </c>
      <c r="B337" s="1" t="n">
        <v>45491</v>
      </c>
      <c r="C337" s="1" t="n">
        <v>45891</v>
      </c>
      <c r="D337" t="inlineStr">
        <is>
          <t>GOTLANDS LÄN</t>
        </is>
      </c>
      <c r="E337" t="inlineStr">
        <is>
          <t>GOTLAND</t>
        </is>
      </c>
      <c r="G337" t="n">
        <v>6.1</v>
      </c>
      <c r="H337" t="n">
        <v>0</v>
      </c>
      <c r="I337" t="n">
        <v>0</v>
      </c>
      <c r="J337" t="n">
        <v>0</v>
      </c>
      <c r="K337" t="n">
        <v>0</v>
      </c>
      <c r="L337" t="n">
        <v>0</v>
      </c>
      <c r="M337" t="n">
        <v>0</v>
      </c>
      <c r="N337" t="n">
        <v>0</v>
      </c>
      <c r="O337" t="n">
        <v>0</v>
      </c>
      <c r="P337" t="n">
        <v>0</v>
      </c>
      <c r="Q337" t="n">
        <v>0</v>
      </c>
      <c r="R337" s="2" t="inlineStr"/>
    </row>
    <row r="338" ht="15" customHeight="1">
      <c r="A338" t="inlineStr">
        <is>
          <t>A 14635-2023</t>
        </is>
      </c>
      <c r="B338" s="1" t="n">
        <v>45013.69365740741</v>
      </c>
      <c r="C338" s="1" t="n">
        <v>45891</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45891</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7858-2025</t>
        </is>
      </c>
      <c r="B340" s="1" t="n">
        <v>45706.68633101852</v>
      </c>
      <c r="C340" s="1" t="n">
        <v>45891</v>
      </c>
      <c r="D340" t="inlineStr">
        <is>
          <t>GOTLANDS LÄN</t>
        </is>
      </c>
      <c r="E340" t="inlineStr">
        <is>
          <t>GOTLAND</t>
        </is>
      </c>
      <c r="G340" t="n">
        <v>3</v>
      </c>
      <c r="H340" t="n">
        <v>0</v>
      </c>
      <c r="I340" t="n">
        <v>0</v>
      </c>
      <c r="J340" t="n">
        <v>0</v>
      </c>
      <c r="K340" t="n">
        <v>0</v>
      </c>
      <c r="L340" t="n">
        <v>0</v>
      </c>
      <c r="M340" t="n">
        <v>0</v>
      </c>
      <c r="N340" t="n">
        <v>0</v>
      </c>
      <c r="O340" t="n">
        <v>0</v>
      </c>
      <c r="P340" t="n">
        <v>0</v>
      </c>
      <c r="Q340" t="n">
        <v>0</v>
      </c>
      <c r="R340" s="2" t="inlineStr"/>
    </row>
    <row r="341" ht="15" customHeight="1">
      <c r="A341" t="inlineStr">
        <is>
          <t>A 24001-2021</t>
        </is>
      </c>
      <c r="B341" s="1" t="n">
        <v>44335</v>
      </c>
      <c r="C341" s="1" t="n">
        <v>45891</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53935-2024</t>
        </is>
      </c>
      <c r="B342" s="1" t="n">
        <v>45615</v>
      </c>
      <c r="C342" s="1" t="n">
        <v>45891</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37591-2023</t>
        </is>
      </c>
      <c r="B343" s="1" t="n">
        <v>45159</v>
      </c>
      <c r="C343" s="1" t="n">
        <v>45891</v>
      </c>
      <c r="D343" t="inlineStr">
        <is>
          <t>GOTLANDS LÄN</t>
        </is>
      </c>
      <c r="E343" t="inlineStr">
        <is>
          <t>GOTLAND</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13627-2023</t>
        </is>
      </c>
      <c r="B344" s="1" t="n">
        <v>45006</v>
      </c>
      <c r="C344" s="1" t="n">
        <v>45891</v>
      </c>
      <c r="D344" t="inlineStr">
        <is>
          <t>GOTLANDS LÄN</t>
        </is>
      </c>
      <c r="E344" t="inlineStr">
        <is>
          <t>GOTLAND</t>
        </is>
      </c>
      <c r="G344" t="n">
        <v>10.7</v>
      </c>
      <c r="H344" t="n">
        <v>0</v>
      </c>
      <c r="I344" t="n">
        <v>0</v>
      </c>
      <c r="J344" t="n">
        <v>0</v>
      </c>
      <c r="K344" t="n">
        <v>0</v>
      </c>
      <c r="L344" t="n">
        <v>0</v>
      </c>
      <c r="M344" t="n">
        <v>0</v>
      </c>
      <c r="N344" t="n">
        <v>0</v>
      </c>
      <c r="O344" t="n">
        <v>0</v>
      </c>
      <c r="P344" t="n">
        <v>0</v>
      </c>
      <c r="Q344" t="n">
        <v>0</v>
      </c>
      <c r="R344" s="2" t="inlineStr"/>
    </row>
    <row r="345" ht="15" customHeight="1">
      <c r="A345" t="inlineStr">
        <is>
          <t>A 18223-2025</t>
        </is>
      </c>
      <c r="B345" s="1" t="n">
        <v>45761</v>
      </c>
      <c r="C345" s="1" t="n">
        <v>45891</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4420-2025</t>
        </is>
      </c>
      <c r="B346" s="1" t="n">
        <v>45686.47157407407</v>
      </c>
      <c r="C346" s="1" t="n">
        <v>45891</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5891-2025</t>
        </is>
      </c>
      <c r="B347" s="1" t="n">
        <v>45695.38327546296</v>
      </c>
      <c r="C347" s="1" t="n">
        <v>45891</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30365-2024</t>
        </is>
      </c>
      <c r="B348" s="1" t="n">
        <v>45491.3716087963</v>
      </c>
      <c r="C348" s="1" t="n">
        <v>45891</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14915-2025</t>
        </is>
      </c>
      <c r="B349" s="1" t="n">
        <v>45743.53121527778</v>
      </c>
      <c r="C349" s="1" t="n">
        <v>45891</v>
      </c>
      <c r="D349" t="inlineStr">
        <is>
          <t>GOTLANDS LÄN</t>
        </is>
      </c>
      <c r="E349" t="inlineStr">
        <is>
          <t>GOTLAND</t>
        </is>
      </c>
      <c r="G349" t="n">
        <v>5.9</v>
      </c>
      <c r="H349" t="n">
        <v>0</v>
      </c>
      <c r="I349" t="n">
        <v>0</v>
      </c>
      <c r="J349" t="n">
        <v>0</v>
      </c>
      <c r="K349" t="n">
        <v>0</v>
      </c>
      <c r="L349" t="n">
        <v>0</v>
      </c>
      <c r="M349" t="n">
        <v>0</v>
      </c>
      <c r="N349" t="n">
        <v>0</v>
      </c>
      <c r="O349" t="n">
        <v>0</v>
      </c>
      <c r="P349" t="n">
        <v>0</v>
      </c>
      <c r="Q349" t="n">
        <v>0</v>
      </c>
      <c r="R349" s="2" t="inlineStr"/>
    </row>
    <row r="350" ht="15" customHeight="1">
      <c r="A350" t="inlineStr">
        <is>
          <t>A 1681-2023</t>
        </is>
      </c>
      <c r="B350" s="1" t="n">
        <v>44938.39715277778</v>
      </c>
      <c r="C350" s="1" t="n">
        <v>45891</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5217-2023</t>
        </is>
      </c>
      <c r="B351" s="1" t="n">
        <v>44959.39582175926</v>
      </c>
      <c r="C351" s="1" t="n">
        <v>45891</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43790-2024</t>
        </is>
      </c>
      <c r="B352" s="1" t="n">
        <v>45571</v>
      </c>
      <c r="C352" s="1" t="n">
        <v>45891</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7835-2024</t>
        </is>
      </c>
      <c r="B353" s="1" t="n">
        <v>45349.83138888889</v>
      </c>
      <c r="C353" s="1" t="n">
        <v>45891</v>
      </c>
      <c r="D353" t="inlineStr">
        <is>
          <t>GOTLANDS LÄN</t>
        </is>
      </c>
      <c r="E353" t="inlineStr">
        <is>
          <t>GOTLAND</t>
        </is>
      </c>
      <c r="G353" t="n">
        <v>3.8</v>
      </c>
      <c r="H353" t="n">
        <v>0</v>
      </c>
      <c r="I353" t="n">
        <v>0</v>
      </c>
      <c r="J353" t="n">
        <v>0</v>
      </c>
      <c r="K353" t="n">
        <v>0</v>
      </c>
      <c r="L353" t="n">
        <v>0</v>
      </c>
      <c r="M353" t="n">
        <v>0</v>
      </c>
      <c r="N353" t="n">
        <v>0</v>
      </c>
      <c r="O353" t="n">
        <v>0</v>
      </c>
      <c r="P353" t="n">
        <v>0</v>
      </c>
      <c r="Q353" t="n">
        <v>0</v>
      </c>
      <c r="R353" s="2" t="inlineStr"/>
    </row>
    <row r="354" ht="15" customHeight="1">
      <c r="A354" t="inlineStr">
        <is>
          <t>A 1477-2024</t>
        </is>
      </c>
      <c r="B354" s="1" t="n">
        <v>45305.37987268518</v>
      </c>
      <c r="C354" s="1" t="n">
        <v>45891</v>
      </c>
      <c r="D354" t="inlineStr">
        <is>
          <t>GOTLANDS LÄN</t>
        </is>
      </c>
      <c r="E354" t="inlineStr">
        <is>
          <t>GOTLAND</t>
        </is>
      </c>
      <c r="G354" t="n">
        <v>6.9</v>
      </c>
      <c r="H354" t="n">
        <v>0</v>
      </c>
      <c r="I354" t="n">
        <v>0</v>
      </c>
      <c r="J354" t="n">
        <v>0</v>
      </c>
      <c r="K354" t="n">
        <v>0</v>
      </c>
      <c r="L354" t="n">
        <v>0</v>
      </c>
      <c r="M354" t="n">
        <v>0</v>
      </c>
      <c r="N354" t="n">
        <v>0</v>
      </c>
      <c r="O354" t="n">
        <v>0</v>
      </c>
      <c r="P354" t="n">
        <v>0</v>
      </c>
      <c r="Q354" t="n">
        <v>0</v>
      </c>
      <c r="R354" s="2" t="inlineStr"/>
    </row>
    <row r="355" ht="15" customHeight="1">
      <c r="A355" t="inlineStr">
        <is>
          <t>A 1677-2023</t>
        </is>
      </c>
      <c r="B355" s="1" t="n">
        <v>44938</v>
      </c>
      <c r="C355" s="1" t="n">
        <v>45891</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6099-2024</t>
        </is>
      </c>
      <c r="B356" s="1" t="n">
        <v>45337</v>
      </c>
      <c r="C356" s="1" t="n">
        <v>45891</v>
      </c>
      <c r="D356" t="inlineStr">
        <is>
          <t>GOTLANDS LÄN</t>
        </is>
      </c>
      <c r="E356" t="inlineStr">
        <is>
          <t>GOTLAND</t>
        </is>
      </c>
      <c r="G356" t="n">
        <v>12.6</v>
      </c>
      <c r="H356" t="n">
        <v>0</v>
      </c>
      <c r="I356" t="n">
        <v>0</v>
      </c>
      <c r="J356" t="n">
        <v>0</v>
      </c>
      <c r="K356" t="n">
        <v>0</v>
      </c>
      <c r="L356" t="n">
        <v>0</v>
      </c>
      <c r="M356" t="n">
        <v>0</v>
      </c>
      <c r="N356" t="n">
        <v>0</v>
      </c>
      <c r="O356" t="n">
        <v>0</v>
      </c>
      <c r="P356" t="n">
        <v>0</v>
      </c>
      <c r="Q356" t="n">
        <v>0</v>
      </c>
      <c r="R356" s="2" t="inlineStr"/>
    </row>
    <row r="357" ht="15" customHeight="1">
      <c r="A357" t="inlineStr">
        <is>
          <t>A 20794-2025</t>
        </is>
      </c>
      <c r="B357" s="1" t="n">
        <v>45776</v>
      </c>
      <c r="C357" s="1" t="n">
        <v>45891</v>
      </c>
      <c r="D357" t="inlineStr">
        <is>
          <t>GOTLANDS LÄN</t>
        </is>
      </c>
      <c r="E357" t="inlineStr">
        <is>
          <t>GOTLAND</t>
        </is>
      </c>
      <c r="G357" t="n">
        <v>6</v>
      </c>
      <c r="H357" t="n">
        <v>0</v>
      </c>
      <c r="I357" t="n">
        <v>0</v>
      </c>
      <c r="J357" t="n">
        <v>0</v>
      </c>
      <c r="K357" t="n">
        <v>0</v>
      </c>
      <c r="L357" t="n">
        <v>0</v>
      </c>
      <c r="M357" t="n">
        <v>0</v>
      </c>
      <c r="N357" t="n">
        <v>0</v>
      </c>
      <c r="O357" t="n">
        <v>0</v>
      </c>
      <c r="P357" t="n">
        <v>0</v>
      </c>
      <c r="Q357" t="n">
        <v>0</v>
      </c>
      <c r="R357" s="2" t="inlineStr"/>
    </row>
    <row r="358" ht="15" customHeight="1">
      <c r="A358" t="inlineStr">
        <is>
          <t>A 20812-2025</t>
        </is>
      </c>
      <c r="B358" s="1" t="n">
        <v>45776</v>
      </c>
      <c r="C358" s="1" t="n">
        <v>45891</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45244-2024</t>
        </is>
      </c>
      <c r="B359" s="1" t="n">
        <v>45576</v>
      </c>
      <c r="C359" s="1" t="n">
        <v>45891</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20805-2025</t>
        </is>
      </c>
      <c r="B360" s="1" t="n">
        <v>45776</v>
      </c>
      <c r="C360" s="1" t="n">
        <v>45891</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1273-2023</t>
        </is>
      </c>
      <c r="B361" s="1" t="n">
        <v>44936</v>
      </c>
      <c r="C361" s="1" t="n">
        <v>45891</v>
      </c>
      <c r="D361" t="inlineStr">
        <is>
          <t>GOTLANDS LÄN</t>
        </is>
      </c>
      <c r="E361" t="inlineStr">
        <is>
          <t>GOTLAND</t>
        </is>
      </c>
      <c r="G361" t="n">
        <v>4.5</v>
      </c>
      <c r="H361" t="n">
        <v>0</v>
      </c>
      <c r="I361" t="n">
        <v>0</v>
      </c>
      <c r="J361" t="n">
        <v>0</v>
      </c>
      <c r="K361" t="n">
        <v>0</v>
      </c>
      <c r="L361" t="n">
        <v>0</v>
      </c>
      <c r="M361" t="n">
        <v>0</v>
      </c>
      <c r="N361" t="n">
        <v>0</v>
      </c>
      <c r="O361" t="n">
        <v>0</v>
      </c>
      <c r="P361" t="n">
        <v>0</v>
      </c>
      <c r="Q361" t="n">
        <v>0</v>
      </c>
      <c r="R361" s="2" t="inlineStr"/>
    </row>
    <row r="362" ht="15" customHeight="1">
      <c r="A362" t="inlineStr">
        <is>
          <t>A 8260-2023</t>
        </is>
      </c>
      <c r="B362" s="1" t="n">
        <v>44974.61608796296</v>
      </c>
      <c r="C362" s="1" t="n">
        <v>45891</v>
      </c>
      <c r="D362" t="inlineStr">
        <is>
          <t>GOTLANDS LÄN</t>
        </is>
      </c>
      <c r="E362" t="inlineStr">
        <is>
          <t>GOTLAND</t>
        </is>
      </c>
      <c r="G362" t="n">
        <v>2.9</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45891</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64969-2023</t>
        </is>
      </c>
      <c r="B364" s="1" t="n">
        <v>45284.54009259259</v>
      </c>
      <c r="C364" s="1" t="n">
        <v>45891</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58780-2024</t>
        </is>
      </c>
      <c r="B365" s="1" t="n">
        <v>45635.84113425926</v>
      </c>
      <c r="C365" s="1" t="n">
        <v>45891</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48843-2024</t>
        </is>
      </c>
      <c r="B366" s="1" t="n">
        <v>45593</v>
      </c>
      <c r="C366" s="1" t="n">
        <v>45891</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17541-2024</t>
        </is>
      </c>
      <c r="B367" s="1" t="n">
        <v>45415</v>
      </c>
      <c r="C367" s="1" t="n">
        <v>45891</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21142-2025</t>
        </is>
      </c>
      <c r="B368" s="1" t="n">
        <v>45779</v>
      </c>
      <c r="C368" s="1" t="n">
        <v>45891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45692-2023</t>
        </is>
      </c>
      <c r="B369" s="1" t="n">
        <v>45195</v>
      </c>
      <c r="C369" s="1" t="n">
        <v>45891</v>
      </c>
      <c r="D369" t="inlineStr">
        <is>
          <t>GOTLANDS LÄN</t>
        </is>
      </c>
      <c r="E369" t="inlineStr">
        <is>
          <t>GOTLAND</t>
        </is>
      </c>
      <c r="G369" t="n">
        <v>5.3</v>
      </c>
      <c r="H369" t="n">
        <v>0</v>
      </c>
      <c r="I369" t="n">
        <v>0</v>
      </c>
      <c r="J369" t="n">
        <v>0</v>
      </c>
      <c r="K369" t="n">
        <v>0</v>
      </c>
      <c r="L369" t="n">
        <v>0</v>
      </c>
      <c r="M369" t="n">
        <v>0</v>
      </c>
      <c r="N369" t="n">
        <v>0</v>
      </c>
      <c r="O369" t="n">
        <v>0</v>
      </c>
      <c r="P369" t="n">
        <v>0</v>
      </c>
      <c r="Q369" t="n">
        <v>0</v>
      </c>
      <c r="R369" s="2" t="inlineStr"/>
    </row>
    <row r="370" ht="15" customHeight="1">
      <c r="A370" t="inlineStr">
        <is>
          <t>A 33876-2024</t>
        </is>
      </c>
      <c r="B370" s="1" t="n">
        <v>45521.87988425926</v>
      </c>
      <c r="C370" s="1" t="n">
        <v>45891</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21651-2025</t>
        </is>
      </c>
      <c r="B371" s="1" t="n">
        <v>45783</v>
      </c>
      <c r="C371" s="1" t="n">
        <v>45891</v>
      </c>
      <c r="D371" t="inlineStr">
        <is>
          <t>GOTLANDS LÄN</t>
        </is>
      </c>
      <c r="E371" t="inlineStr">
        <is>
          <t>GOTLAND</t>
        </is>
      </c>
      <c r="G371" t="n">
        <v>4.2</v>
      </c>
      <c r="H371" t="n">
        <v>0</v>
      </c>
      <c r="I371" t="n">
        <v>0</v>
      </c>
      <c r="J371" t="n">
        <v>0</v>
      </c>
      <c r="K371" t="n">
        <v>0</v>
      </c>
      <c r="L371" t="n">
        <v>0</v>
      </c>
      <c r="M371" t="n">
        <v>0</v>
      </c>
      <c r="N371" t="n">
        <v>0</v>
      </c>
      <c r="O371" t="n">
        <v>0</v>
      </c>
      <c r="P371" t="n">
        <v>0</v>
      </c>
      <c r="Q371" t="n">
        <v>0</v>
      </c>
      <c r="R371" s="2" t="inlineStr"/>
    </row>
    <row r="372" ht="15" customHeight="1">
      <c r="A372" t="inlineStr">
        <is>
          <t>A 46778-2020</t>
        </is>
      </c>
      <c r="B372" s="1" t="n">
        <v>44096</v>
      </c>
      <c r="C372" s="1" t="n">
        <v>45891</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2241-2025</t>
        </is>
      </c>
      <c r="B373" s="1" t="n">
        <v>45673.48710648148</v>
      </c>
      <c r="C373" s="1" t="n">
        <v>45891</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28285-2024</t>
        </is>
      </c>
      <c r="B374" s="1" t="n">
        <v>45477</v>
      </c>
      <c r="C374" s="1" t="n">
        <v>45891</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61100-2022</t>
        </is>
      </c>
      <c r="B375" s="1" t="n">
        <v>44915</v>
      </c>
      <c r="C375" s="1" t="n">
        <v>45891</v>
      </c>
      <c r="D375" t="inlineStr">
        <is>
          <t>GOTLANDS LÄN</t>
        </is>
      </c>
      <c r="E375" t="inlineStr">
        <is>
          <t>GOTLAND</t>
        </is>
      </c>
      <c r="G375" t="n">
        <v>1.4</v>
      </c>
      <c r="H375" t="n">
        <v>0</v>
      </c>
      <c r="I375" t="n">
        <v>0</v>
      </c>
      <c r="J375" t="n">
        <v>0</v>
      </c>
      <c r="K375" t="n">
        <v>0</v>
      </c>
      <c r="L375" t="n">
        <v>0</v>
      </c>
      <c r="M375" t="n">
        <v>0</v>
      </c>
      <c r="N375" t="n">
        <v>0</v>
      </c>
      <c r="O375" t="n">
        <v>0</v>
      </c>
      <c r="P375" t="n">
        <v>0</v>
      </c>
      <c r="Q375" t="n">
        <v>0</v>
      </c>
      <c r="R375" s="2" t="inlineStr"/>
    </row>
    <row r="376" ht="15" customHeight="1">
      <c r="A376" t="inlineStr">
        <is>
          <t>A 61682-2024</t>
        </is>
      </c>
      <c r="B376" s="1" t="n">
        <v>45647.48824074074</v>
      </c>
      <c r="C376" s="1" t="n">
        <v>45891</v>
      </c>
      <c r="D376" t="inlineStr">
        <is>
          <t>GOTLANDS LÄN</t>
        </is>
      </c>
      <c r="E376" t="inlineStr">
        <is>
          <t>GOTLAND</t>
        </is>
      </c>
      <c r="G376" t="n">
        <v>1.9</v>
      </c>
      <c r="H376" t="n">
        <v>0</v>
      </c>
      <c r="I376" t="n">
        <v>0</v>
      </c>
      <c r="J376" t="n">
        <v>0</v>
      </c>
      <c r="K376" t="n">
        <v>0</v>
      </c>
      <c r="L376" t="n">
        <v>0</v>
      </c>
      <c r="M376" t="n">
        <v>0</v>
      </c>
      <c r="N376" t="n">
        <v>0</v>
      </c>
      <c r="O376" t="n">
        <v>0</v>
      </c>
      <c r="P376" t="n">
        <v>0</v>
      </c>
      <c r="Q376" t="n">
        <v>0</v>
      </c>
      <c r="R376" s="2" t="inlineStr"/>
    </row>
    <row r="377" ht="15" customHeight="1">
      <c r="A377" t="inlineStr">
        <is>
          <t>A 15434-2024</t>
        </is>
      </c>
      <c r="B377" s="1" t="n">
        <v>45401.38836805556</v>
      </c>
      <c r="C377" s="1" t="n">
        <v>45891</v>
      </c>
      <c r="D377" t="inlineStr">
        <is>
          <t>GOTLANDS LÄN</t>
        </is>
      </c>
      <c r="E377" t="inlineStr">
        <is>
          <t>GOTLAND</t>
        </is>
      </c>
      <c r="G377" t="n">
        <v>2.5</v>
      </c>
      <c r="H377" t="n">
        <v>0</v>
      </c>
      <c r="I377" t="n">
        <v>0</v>
      </c>
      <c r="J377" t="n">
        <v>0</v>
      </c>
      <c r="K377" t="n">
        <v>0</v>
      </c>
      <c r="L377" t="n">
        <v>0</v>
      </c>
      <c r="M377" t="n">
        <v>0</v>
      </c>
      <c r="N377" t="n">
        <v>0</v>
      </c>
      <c r="O377" t="n">
        <v>0</v>
      </c>
      <c r="P377" t="n">
        <v>0</v>
      </c>
      <c r="Q377" t="n">
        <v>0</v>
      </c>
      <c r="R377" s="2" t="inlineStr"/>
    </row>
    <row r="378" ht="15" customHeight="1">
      <c r="A378" t="inlineStr">
        <is>
          <t>A 5943-2024</t>
        </is>
      </c>
      <c r="B378" s="1" t="n">
        <v>45336</v>
      </c>
      <c r="C378" s="1" t="n">
        <v>45891</v>
      </c>
      <c r="D378" t="inlineStr">
        <is>
          <t>GOTLANDS LÄN</t>
        </is>
      </c>
      <c r="E378" t="inlineStr">
        <is>
          <t>GOTLAND</t>
        </is>
      </c>
      <c r="G378" t="n">
        <v>4.3</v>
      </c>
      <c r="H378" t="n">
        <v>0</v>
      </c>
      <c r="I378" t="n">
        <v>0</v>
      </c>
      <c r="J378" t="n">
        <v>0</v>
      </c>
      <c r="K378" t="n">
        <v>0</v>
      </c>
      <c r="L378" t="n">
        <v>0</v>
      </c>
      <c r="M378" t="n">
        <v>0</v>
      </c>
      <c r="N378" t="n">
        <v>0</v>
      </c>
      <c r="O378" t="n">
        <v>0</v>
      </c>
      <c r="P378" t="n">
        <v>0</v>
      </c>
      <c r="Q378" t="n">
        <v>0</v>
      </c>
      <c r="R378" s="2" t="inlineStr"/>
    </row>
    <row r="379" ht="15" customHeight="1">
      <c r="A379" t="inlineStr">
        <is>
          <t>A 54073-2022</t>
        </is>
      </c>
      <c r="B379" s="1" t="n">
        <v>44881.50380787037</v>
      </c>
      <c r="C379" s="1" t="n">
        <v>45891</v>
      </c>
      <c r="D379" t="inlineStr">
        <is>
          <t>GOTLANDS LÄN</t>
        </is>
      </c>
      <c r="E379" t="inlineStr">
        <is>
          <t>GOTLAND</t>
        </is>
      </c>
      <c r="G379" t="n">
        <v>3.8</v>
      </c>
      <c r="H379" t="n">
        <v>0</v>
      </c>
      <c r="I379" t="n">
        <v>0</v>
      </c>
      <c r="J379" t="n">
        <v>0</v>
      </c>
      <c r="K379" t="n">
        <v>0</v>
      </c>
      <c r="L379" t="n">
        <v>0</v>
      </c>
      <c r="M379" t="n">
        <v>0</v>
      </c>
      <c r="N379" t="n">
        <v>0</v>
      </c>
      <c r="O379" t="n">
        <v>0</v>
      </c>
      <c r="P379" t="n">
        <v>0</v>
      </c>
      <c r="Q379" t="n">
        <v>0</v>
      </c>
      <c r="R379" s="2" t="inlineStr"/>
    </row>
    <row r="380" ht="15" customHeight="1">
      <c r="A380" t="inlineStr">
        <is>
          <t>A 16361-2024</t>
        </is>
      </c>
      <c r="B380" s="1" t="n">
        <v>45407</v>
      </c>
      <c r="C380" s="1" t="n">
        <v>45891</v>
      </c>
      <c r="D380" t="inlineStr">
        <is>
          <t>GOTLANDS LÄN</t>
        </is>
      </c>
      <c r="E380" t="inlineStr">
        <is>
          <t>GOTLAND</t>
        </is>
      </c>
      <c r="G380" t="n">
        <v>6</v>
      </c>
      <c r="H380" t="n">
        <v>0</v>
      </c>
      <c r="I380" t="n">
        <v>0</v>
      </c>
      <c r="J380" t="n">
        <v>0</v>
      </c>
      <c r="K380" t="n">
        <v>0</v>
      </c>
      <c r="L380" t="n">
        <v>0</v>
      </c>
      <c r="M380" t="n">
        <v>0</v>
      </c>
      <c r="N380" t="n">
        <v>0</v>
      </c>
      <c r="O380" t="n">
        <v>0</v>
      </c>
      <c r="P380" t="n">
        <v>0</v>
      </c>
      <c r="Q380" t="n">
        <v>0</v>
      </c>
      <c r="R380" s="2" t="inlineStr"/>
    </row>
    <row r="381" ht="15" customHeight="1">
      <c r="A381" t="inlineStr">
        <is>
          <t>A 43785-2024</t>
        </is>
      </c>
      <c r="B381" s="1" t="n">
        <v>45570</v>
      </c>
      <c r="C381" s="1" t="n">
        <v>45891</v>
      </c>
      <c r="D381" t="inlineStr">
        <is>
          <t>GOTLANDS LÄN</t>
        </is>
      </c>
      <c r="E381" t="inlineStr">
        <is>
          <t>GOTLAND</t>
        </is>
      </c>
      <c r="G381" t="n">
        <v>12.6</v>
      </c>
      <c r="H381" t="n">
        <v>0</v>
      </c>
      <c r="I381" t="n">
        <v>0</v>
      </c>
      <c r="J381" t="n">
        <v>0</v>
      </c>
      <c r="K381" t="n">
        <v>0</v>
      </c>
      <c r="L381" t="n">
        <v>0</v>
      </c>
      <c r="M381" t="n">
        <v>0</v>
      </c>
      <c r="N381" t="n">
        <v>0</v>
      </c>
      <c r="O381" t="n">
        <v>0</v>
      </c>
      <c r="P381" t="n">
        <v>0</v>
      </c>
      <c r="Q381" t="n">
        <v>0</v>
      </c>
      <c r="R381" s="2" t="inlineStr"/>
    </row>
    <row r="382" ht="15" customHeight="1">
      <c r="A382" t="inlineStr">
        <is>
          <t>A 41038-2023</t>
        </is>
      </c>
      <c r="B382" s="1" t="n">
        <v>45173.60959490741</v>
      </c>
      <c r="C382" s="1" t="n">
        <v>45891</v>
      </c>
      <c r="D382" t="inlineStr">
        <is>
          <t>GOTLANDS LÄN</t>
        </is>
      </c>
      <c r="E382" t="inlineStr">
        <is>
          <t>GOTLAND</t>
        </is>
      </c>
      <c r="G382" t="n">
        <v>2.7</v>
      </c>
      <c r="H382" t="n">
        <v>0</v>
      </c>
      <c r="I382" t="n">
        <v>0</v>
      </c>
      <c r="J382" t="n">
        <v>0</v>
      </c>
      <c r="K382" t="n">
        <v>0</v>
      </c>
      <c r="L382" t="n">
        <v>0</v>
      </c>
      <c r="M382" t="n">
        <v>0</v>
      </c>
      <c r="N382" t="n">
        <v>0</v>
      </c>
      <c r="O382" t="n">
        <v>0</v>
      </c>
      <c r="P382" t="n">
        <v>0</v>
      </c>
      <c r="Q382" t="n">
        <v>0</v>
      </c>
      <c r="R382" s="2" t="inlineStr"/>
    </row>
    <row r="383" ht="15" customHeight="1">
      <c r="A383" t="inlineStr">
        <is>
          <t>A 34142-2024</t>
        </is>
      </c>
      <c r="B383" s="1" t="n">
        <v>45524.36521990741</v>
      </c>
      <c r="C383" s="1" t="n">
        <v>45891</v>
      </c>
      <c r="D383" t="inlineStr">
        <is>
          <t>GOTLANDS LÄN</t>
        </is>
      </c>
      <c r="E383" t="inlineStr">
        <is>
          <t>GOTLAND</t>
        </is>
      </c>
      <c r="G383" t="n">
        <v>6</v>
      </c>
      <c r="H383" t="n">
        <v>0</v>
      </c>
      <c r="I383" t="n">
        <v>0</v>
      </c>
      <c r="J383" t="n">
        <v>0</v>
      </c>
      <c r="K383" t="n">
        <v>0</v>
      </c>
      <c r="L383" t="n">
        <v>0</v>
      </c>
      <c r="M383" t="n">
        <v>0</v>
      </c>
      <c r="N383" t="n">
        <v>0</v>
      </c>
      <c r="O383" t="n">
        <v>0</v>
      </c>
      <c r="P383" t="n">
        <v>0</v>
      </c>
      <c r="Q383" t="n">
        <v>0</v>
      </c>
      <c r="R383" s="2" t="inlineStr"/>
    </row>
    <row r="384" ht="15" customHeight="1">
      <c r="A384" t="inlineStr">
        <is>
          <t>A 14427-2024</t>
        </is>
      </c>
      <c r="B384" s="1" t="n">
        <v>45394</v>
      </c>
      <c r="C384" s="1" t="n">
        <v>45891</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58388-2022</t>
        </is>
      </c>
      <c r="B385" s="1" t="n">
        <v>44894</v>
      </c>
      <c r="C385" s="1" t="n">
        <v>45891</v>
      </c>
      <c r="D385" t="inlineStr">
        <is>
          <t>GOTLANDS LÄN</t>
        </is>
      </c>
      <c r="E385" t="inlineStr">
        <is>
          <t>GOTLAND</t>
        </is>
      </c>
      <c r="F385" t="inlineStr">
        <is>
          <t>Övriga statliga verk och myndigheter</t>
        </is>
      </c>
      <c r="G385" t="n">
        <v>3.1</v>
      </c>
      <c r="H385" t="n">
        <v>0</v>
      </c>
      <c r="I385" t="n">
        <v>0</v>
      </c>
      <c r="J385" t="n">
        <v>0</v>
      </c>
      <c r="K385" t="n">
        <v>0</v>
      </c>
      <c r="L385" t="n">
        <v>0</v>
      </c>
      <c r="M385" t="n">
        <v>0</v>
      </c>
      <c r="N385" t="n">
        <v>0</v>
      </c>
      <c r="O385" t="n">
        <v>0</v>
      </c>
      <c r="P385" t="n">
        <v>0</v>
      </c>
      <c r="Q385" t="n">
        <v>0</v>
      </c>
      <c r="R385" s="2" t="inlineStr"/>
    </row>
    <row r="386" ht="15" customHeight="1">
      <c r="A386" t="inlineStr">
        <is>
          <t>A 31802-2024</t>
        </is>
      </c>
      <c r="B386" s="1" t="n">
        <v>45509</v>
      </c>
      <c r="C386" s="1" t="n">
        <v>45891</v>
      </c>
      <c r="D386" t="inlineStr">
        <is>
          <t>GOTLANDS LÄN</t>
        </is>
      </c>
      <c r="E386" t="inlineStr">
        <is>
          <t>GOTLAND</t>
        </is>
      </c>
      <c r="G386" t="n">
        <v>2.8</v>
      </c>
      <c r="H386" t="n">
        <v>0</v>
      </c>
      <c r="I386" t="n">
        <v>0</v>
      </c>
      <c r="J386" t="n">
        <v>0</v>
      </c>
      <c r="K386" t="n">
        <v>0</v>
      </c>
      <c r="L386" t="n">
        <v>0</v>
      </c>
      <c r="M386" t="n">
        <v>0</v>
      </c>
      <c r="N386" t="n">
        <v>0</v>
      </c>
      <c r="O386" t="n">
        <v>0</v>
      </c>
      <c r="P386" t="n">
        <v>0</v>
      </c>
      <c r="Q386" t="n">
        <v>0</v>
      </c>
      <c r="R386" s="2" t="inlineStr"/>
    </row>
    <row r="387" ht="15" customHeight="1">
      <c r="A387" t="inlineStr">
        <is>
          <t>A 21792-2024</t>
        </is>
      </c>
      <c r="B387" s="1" t="n">
        <v>45442.64326388889</v>
      </c>
      <c r="C387" s="1" t="n">
        <v>45891</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57356-2023</t>
        </is>
      </c>
      <c r="B388" s="1" t="n">
        <v>45240</v>
      </c>
      <c r="C388" s="1" t="n">
        <v>45891</v>
      </c>
      <c r="D388" t="inlineStr">
        <is>
          <t>GOTLANDS LÄN</t>
        </is>
      </c>
      <c r="E388" t="inlineStr">
        <is>
          <t>GOTLAND</t>
        </is>
      </c>
      <c r="G388" t="n">
        <v>6.4</v>
      </c>
      <c r="H388" t="n">
        <v>0</v>
      </c>
      <c r="I388" t="n">
        <v>0</v>
      </c>
      <c r="J388" t="n">
        <v>0</v>
      </c>
      <c r="K388" t="n">
        <v>0</v>
      </c>
      <c r="L388" t="n">
        <v>0</v>
      </c>
      <c r="M388" t="n">
        <v>0</v>
      </c>
      <c r="N388" t="n">
        <v>0</v>
      </c>
      <c r="O388" t="n">
        <v>0</v>
      </c>
      <c r="P388" t="n">
        <v>0</v>
      </c>
      <c r="Q388" t="n">
        <v>0</v>
      </c>
      <c r="R388" s="2" t="inlineStr"/>
    </row>
    <row r="389" ht="15" customHeight="1">
      <c r="A389" t="inlineStr">
        <is>
          <t>A 10656-2024</t>
        </is>
      </c>
      <c r="B389" s="1" t="n">
        <v>45368</v>
      </c>
      <c r="C389" s="1" t="n">
        <v>45891</v>
      </c>
      <c r="D389" t="inlineStr">
        <is>
          <t>GOTLANDS LÄN</t>
        </is>
      </c>
      <c r="E389" t="inlineStr">
        <is>
          <t>GOTLAND</t>
        </is>
      </c>
      <c r="G389" t="n">
        <v>1.5</v>
      </c>
      <c r="H389" t="n">
        <v>0</v>
      </c>
      <c r="I389" t="n">
        <v>0</v>
      </c>
      <c r="J389" t="n">
        <v>0</v>
      </c>
      <c r="K389" t="n">
        <v>0</v>
      </c>
      <c r="L389" t="n">
        <v>0</v>
      </c>
      <c r="M389" t="n">
        <v>0</v>
      </c>
      <c r="N389" t="n">
        <v>0</v>
      </c>
      <c r="O389" t="n">
        <v>0</v>
      </c>
      <c r="P389" t="n">
        <v>0</v>
      </c>
      <c r="Q389" t="n">
        <v>0</v>
      </c>
      <c r="R389" s="2" t="inlineStr"/>
    </row>
    <row r="390" ht="15" customHeight="1">
      <c r="A390" t="inlineStr">
        <is>
          <t>A 8684-2025</t>
        </is>
      </c>
      <c r="B390" s="1" t="n">
        <v>45712.45605324074</v>
      </c>
      <c r="C390" s="1" t="n">
        <v>45891</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18993-2025</t>
        </is>
      </c>
      <c r="B391" s="1" t="n">
        <v>45764</v>
      </c>
      <c r="C391" s="1" t="n">
        <v>45891</v>
      </c>
      <c r="D391" t="inlineStr">
        <is>
          <t>GOTLANDS LÄN</t>
        </is>
      </c>
      <c r="E391" t="inlineStr">
        <is>
          <t>GOTLAND</t>
        </is>
      </c>
      <c r="G391" t="n">
        <v>3</v>
      </c>
      <c r="H391" t="n">
        <v>0</v>
      </c>
      <c r="I391" t="n">
        <v>0</v>
      </c>
      <c r="J391" t="n">
        <v>0</v>
      </c>
      <c r="K391" t="n">
        <v>0</v>
      </c>
      <c r="L391" t="n">
        <v>0</v>
      </c>
      <c r="M391" t="n">
        <v>0</v>
      </c>
      <c r="N391" t="n">
        <v>0</v>
      </c>
      <c r="O391" t="n">
        <v>0</v>
      </c>
      <c r="P391" t="n">
        <v>0</v>
      </c>
      <c r="Q391" t="n">
        <v>0</v>
      </c>
      <c r="R391" s="2" t="inlineStr"/>
    </row>
    <row r="392" ht="15" customHeight="1">
      <c r="A392" t="inlineStr">
        <is>
          <t>A 8036-2022</t>
        </is>
      </c>
      <c r="B392" s="1" t="n">
        <v>44609.44362268518</v>
      </c>
      <c r="C392" s="1" t="n">
        <v>45891</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12846-2025</t>
        </is>
      </c>
      <c r="B393" s="1" t="n">
        <v>45733.65049768519</v>
      </c>
      <c r="C393" s="1" t="n">
        <v>45891</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17688-2024</t>
        </is>
      </c>
      <c r="B394" s="1" t="n">
        <v>45418.43575231481</v>
      </c>
      <c r="C394" s="1" t="n">
        <v>45891</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7837-2024</t>
        </is>
      </c>
      <c r="B395" s="1" t="n">
        <v>45349.83787037037</v>
      </c>
      <c r="C395" s="1" t="n">
        <v>45891</v>
      </c>
      <c r="D395" t="inlineStr">
        <is>
          <t>GOTLANDS LÄN</t>
        </is>
      </c>
      <c r="E395" t="inlineStr">
        <is>
          <t>GOTLAND</t>
        </is>
      </c>
      <c r="G395" t="n">
        <v>5</v>
      </c>
      <c r="H395" t="n">
        <v>0</v>
      </c>
      <c r="I395" t="n">
        <v>0</v>
      </c>
      <c r="J395" t="n">
        <v>0</v>
      </c>
      <c r="K395" t="n">
        <v>0</v>
      </c>
      <c r="L395" t="n">
        <v>0</v>
      </c>
      <c r="M395" t="n">
        <v>0</v>
      </c>
      <c r="N395" t="n">
        <v>0</v>
      </c>
      <c r="O395" t="n">
        <v>0</v>
      </c>
      <c r="P395" t="n">
        <v>0</v>
      </c>
      <c r="Q395" t="n">
        <v>0</v>
      </c>
      <c r="R395" s="2" t="inlineStr"/>
    </row>
    <row r="396" ht="15" customHeight="1">
      <c r="A396" t="inlineStr">
        <is>
          <t>A 46949-2024</t>
        </is>
      </c>
      <c r="B396" s="1" t="n">
        <v>45585</v>
      </c>
      <c r="C396" s="1" t="n">
        <v>45891</v>
      </c>
      <c r="D396" t="inlineStr">
        <is>
          <t>GOTLANDS LÄN</t>
        </is>
      </c>
      <c r="E396" t="inlineStr">
        <is>
          <t>GOTLAND</t>
        </is>
      </c>
      <c r="G396" t="n">
        <v>0.6</v>
      </c>
      <c r="H396" t="n">
        <v>0</v>
      </c>
      <c r="I396" t="n">
        <v>0</v>
      </c>
      <c r="J396" t="n">
        <v>0</v>
      </c>
      <c r="K396" t="n">
        <v>0</v>
      </c>
      <c r="L396" t="n">
        <v>0</v>
      </c>
      <c r="M396" t="n">
        <v>0</v>
      </c>
      <c r="N396" t="n">
        <v>0</v>
      </c>
      <c r="O396" t="n">
        <v>0</v>
      </c>
      <c r="P396" t="n">
        <v>0</v>
      </c>
      <c r="Q396" t="n">
        <v>0</v>
      </c>
      <c r="R396" s="2" t="inlineStr"/>
    </row>
    <row r="397" ht="15" customHeight="1">
      <c r="A397" t="inlineStr">
        <is>
          <t>A 28506-2023</t>
        </is>
      </c>
      <c r="B397" s="1" t="n">
        <v>45103</v>
      </c>
      <c r="C397" s="1" t="n">
        <v>45891</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21420-2024</t>
        </is>
      </c>
      <c r="B398" s="1" t="n">
        <v>45441.38293981482</v>
      </c>
      <c r="C398" s="1" t="n">
        <v>45891</v>
      </c>
      <c r="D398" t="inlineStr">
        <is>
          <t>GOTLANDS LÄN</t>
        </is>
      </c>
      <c r="E398" t="inlineStr">
        <is>
          <t>GOTLAND</t>
        </is>
      </c>
      <c r="G398" t="n">
        <v>4.1</v>
      </c>
      <c r="H398" t="n">
        <v>0</v>
      </c>
      <c r="I398" t="n">
        <v>0</v>
      </c>
      <c r="J398" t="n">
        <v>0</v>
      </c>
      <c r="K398" t="n">
        <v>0</v>
      </c>
      <c r="L398" t="n">
        <v>0</v>
      </c>
      <c r="M398" t="n">
        <v>0</v>
      </c>
      <c r="N398" t="n">
        <v>0</v>
      </c>
      <c r="O398" t="n">
        <v>0</v>
      </c>
      <c r="P398" t="n">
        <v>0</v>
      </c>
      <c r="Q398" t="n">
        <v>0</v>
      </c>
      <c r="R398" s="2" t="inlineStr"/>
    </row>
    <row r="399" ht="15" customHeight="1">
      <c r="A399" t="inlineStr">
        <is>
          <t>A 10650-2022</t>
        </is>
      </c>
      <c r="B399" s="1" t="n">
        <v>44624.57945601852</v>
      </c>
      <c r="C399" s="1" t="n">
        <v>45891</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23188-2025</t>
        </is>
      </c>
      <c r="B400" s="1" t="n">
        <v>45791</v>
      </c>
      <c r="C400" s="1" t="n">
        <v>45891</v>
      </c>
      <c r="D400" t="inlineStr">
        <is>
          <t>GOTLANDS LÄN</t>
        </is>
      </c>
      <c r="E400" t="inlineStr">
        <is>
          <t>GOTLAND</t>
        </is>
      </c>
      <c r="G400" t="n">
        <v>6.2</v>
      </c>
      <c r="H400" t="n">
        <v>0</v>
      </c>
      <c r="I400" t="n">
        <v>0</v>
      </c>
      <c r="J400" t="n">
        <v>0</v>
      </c>
      <c r="K400" t="n">
        <v>0</v>
      </c>
      <c r="L400" t="n">
        <v>0</v>
      </c>
      <c r="M400" t="n">
        <v>0</v>
      </c>
      <c r="N400" t="n">
        <v>0</v>
      </c>
      <c r="O400" t="n">
        <v>0</v>
      </c>
      <c r="P400" t="n">
        <v>0</v>
      </c>
      <c r="Q400" t="n">
        <v>0</v>
      </c>
      <c r="R400" s="2" t="inlineStr"/>
    </row>
    <row r="401" ht="15" customHeight="1">
      <c r="A401" t="inlineStr">
        <is>
          <t>A 4568-2025</t>
        </is>
      </c>
      <c r="B401" s="1" t="n">
        <v>45687</v>
      </c>
      <c r="C401" s="1" t="n">
        <v>45891</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23473-2025</t>
        </is>
      </c>
      <c r="B402" s="1" t="n">
        <v>45792</v>
      </c>
      <c r="C402" s="1" t="n">
        <v>45891</v>
      </c>
      <c r="D402" t="inlineStr">
        <is>
          <t>GOTLANDS LÄN</t>
        </is>
      </c>
      <c r="E402" t="inlineStr">
        <is>
          <t>GOTLAND</t>
        </is>
      </c>
      <c r="G402" t="n">
        <v>3.6</v>
      </c>
      <c r="H402" t="n">
        <v>0</v>
      </c>
      <c r="I402" t="n">
        <v>0</v>
      </c>
      <c r="J402" t="n">
        <v>0</v>
      </c>
      <c r="K402" t="n">
        <v>0</v>
      </c>
      <c r="L402" t="n">
        <v>0</v>
      </c>
      <c r="M402" t="n">
        <v>0</v>
      </c>
      <c r="N402" t="n">
        <v>0</v>
      </c>
      <c r="O402" t="n">
        <v>0</v>
      </c>
      <c r="P402" t="n">
        <v>0</v>
      </c>
      <c r="Q402" t="n">
        <v>0</v>
      </c>
      <c r="R402" s="2" t="inlineStr"/>
    </row>
    <row r="403" ht="15" customHeight="1">
      <c r="A403" t="inlineStr">
        <is>
          <t>A 35512-2023</t>
        </is>
      </c>
      <c r="B403" s="1" t="n">
        <v>45147.25623842593</v>
      </c>
      <c r="C403" s="1" t="n">
        <v>45891</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5905-2024</t>
        </is>
      </c>
      <c r="B404" s="1" t="n">
        <v>45335.88993055555</v>
      </c>
      <c r="C404" s="1" t="n">
        <v>45891</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23856-2025</t>
        </is>
      </c>
      <c r="B405" s="1" t="n">
        <v>45793</v>
      </c>
      <c r="C405" s="1" t="n">
        <v>45891</v>
      </c>
      <c r="D405" t="inlineStr">
        <is>
          <t>GOTLANDS LÄN</t>
        </is>
      </c>
      <c r="E405" t="inlineStr">
        <is>
          <t>GOTLAND</t>
        </is>
      </c>
      <c r="G405" t="n">
        <v>4.4</v>
      </c>
      <c r="H405" t="n">
        <v>0</v>
      </c>
      <c r="I405" t="n">
        <v>0</v>
      </c>
      <c r="J405" t="n">
        <v>0</v>
      </c>
      <c r="K405" t="n">
        <v>0</v>
      </c>
      <c r="L405" t="n">
        <v>0</v>
      </c>
      <c r="M405" t="n">
        <v>0</v>
      </c>
      <c r="N405" t="n">
        <v>0</v>
      </c>
      <c r="O405" t="n">
        <v>0</v>
      </c>
      <c r="P405" t="n">
        <v>0</v>
      </c>
      <c r="Q405" t="n">
        <v>0</v>
      </c>
      <c r="R405" s="2" t="inlineStr"/>
    </row>
    <row r="406" ht="15" customHeight="1">
      <c r="A406" t="inlineStr">
        <is>
          <t>A 23700-2025</t>
        </is>
      </c>
      <c r="B406" s="1" t="n">
        <v>45793</v>
      </c>
      <c r="C406" s="1" t="n">
        <v>45891</v>
      </c>
      <c r="D406" t="inlineStr">
        <is>
          <t>GOTLANDS LÄN</t>
        </is>
      </c>
      <c r="E406" t="inlineStr">
        <is>
          <t>GOTLAND</t>
        </is>
      </c>
      <c r="G406" t="n">
        <v>2.2</v>
      </c>
      <c r="H406" t="n">
        <v>0</v>
      </c>
      <c r="I406" t="n">
        <v>0</v>
      </c>
      <c r="J406" t="n">
        <v>0</v>
      </c>
      <c r="K406" t="n">
        <v>0</v>
      </c>
      <c r="L406" t="n">
        <v>0</v>
      </c>
      <c r="M406" t="n">
        <v>0</v>
      </c>
      <c r="N406" t="n">
        <v>0</v>
      </c>
      <c r="O406" t="n">
        <v>0</v>
      </c>
      <c r="P406" t="n">
        <v>0</v>
      </c>
      <c r="Q406" t="n">
        <v>0</v>
      </c>
      <c r="R406" s="2" t="inlineStr"/>
    </row>
    <row r="407" ht="15" customHeight="1">
      <c r="A407" t="inlineStr">
        <is>
          <t>A 11634-2024</t>
        </is>
      </c>
      <c r="B407" s="1" t="n">
        <v>45373</v>
      </c>
      <c r="C407" s="1" t="n">
        <v>45891</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1351-2025</t>
        </is>
      </c>
      <c r="B408" s="1" t="n">
        <v>45667.62246527777</v>
      </c>
      <c r="C408" s="1" t="n">
        <v>45891</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39496-2022</t>
        </is>
      </c>
      <c r="B409" s="1" t="n">
        <v>44818</v>
      </c>
      <c r="C409" s="1" t="n">
        <v>45891</v>
      </c>
      <c r="D409" t="inlineStr">
        <is>
          <t>GOTLANDS LÄN</t>
        </is>
      </c>
      <c r="E409" t="inlineStr">
        <is>
          <t>GOTLAND</t>
        </is>
      </c>
      <c r="G409" t="n">
        <v>2.4</v>
      </c>
      <c r="H409" t="n">
        <v>0</v>
      </c>
      <c r="I409" t="n">
        <v>0</v>
      </c>
      <c r="J409" t="n">
        <v>0</v>
      </c>
      <c r="K409" t="n">
        <v>0</v>
      </c>
      <c r="L409" t="n">
        <v>0</v>
      </c>
      <c r="M409" t="n">
        <v>0</v>
      </c>
      <c r="N409" t="n">
        <v>0</v>
      </c>
      <c r="O409" t="n">
        <v>0</v>
      </c>
      <c r="P409" t="n">
        <v>0</v>
      </c>
      <c r="Q409" t="n">
        <v>0</v>
      </c>
      <c r="R409" s="2" t="inlineStr"/>
    </row>
    <row r="410" ht="15" customHeight="1">
      <c r="A410" t="inlineStr">
        <is>
          <t>A 15073-2025</t>
        </is>
      </c>
      <c r="B410" s="1" t="n">
        <v>45743</v>
      </c>
      <c r="C410" s="1" t="n">
        <v>45891</v>
      </c>
      <c r="D410" t="inlineStr">
        <is>
          <t>GOTLANDS LÄN</t>
        </is>
      </c>
      <c r="E410" t="inlineStr">
        <is>
          <t>GOTLAND</t>
        </is>
      </c>
      <c r="G410" t="n">
        <v>12.1</v>
      </c>
      <c r="H410" t="n">
        <v>0</v>
      </c>
      <c r="I410" t="n">
        <v>0</v>
      </c>
      <c r="J410" t="n">
        <v>0</v>
      </c>
      <c r="K410" t="n">
        <v>0</v>
      </c>
      <c r="L410" t="n">
        <v>0</v>
      </c>
      <c r="M410" t="n">
        <v>0</v>
      </c>
      <c r="N410" t="n">
        <v>0</v>
      </c>
      <c r="O410" t="n">
        <v>0</v>
      </c>
      <c r="P410" t="n">
        <v>0</v>
      </c>
      <c r="Q410" t="n">
        <v>0</v>
      </c>
      <c r="R410" s="2" t="inlineStr"/>
    </row>
    <row r="411" ht="15" customHeight="1">
      <c r="A411" t="inlineStr">
        <is>
          <t>A 49874-2024</t>
        </is>
      </c>
      <c r="B411" s="1" t="n">
        <v>45597.49274305555</v>
      </c>
      <c r="C411" s="1" t="n">
        <v>45891</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3930-2025</t>
        </is>
      </c>
      <c r="B412" s="1" t="n">
        <v>45684.45427083333</v>
      </c>
      <c r="C412" s="1" t="n">
        <v>45891</v>
      </c>
      <c r="D412" t="inlineStr">
        <is>
          <t>GOTLANDS LÄN</t>
        </is>
      </c>
      <c r="E412" t="inlineStr">
        <is>
          <t>GOTLAND</t>
        </is>
      </c>
      <c r="G412" t="n">
        <v>5.2</v>
      </c>
      <c r="H412" t="n">
        <v>0</v>
      </c>
      <c r="I412" t="n">
        <v>0</v>
      </c>
      <c r="J412" t="n">
        <v>0</v>
      </c>
      <c r="K412" t="n">
        <v>0</v>
      </c>
      <c r="L412" t="n">
        <v>0</v>
      </c>
      <c r="M412" t="n">
        <v>0</v>
      </c>
      <c r="N412" t="n">
        <v>0</v>
      </c>
      <c r="O412" t="n">
        <v>0</v>
      </c>
      <c r="P412" t="n">
        <v>0</v>
      </c>
      <c r="Q412" t="n">
        <v>0</v>
      </c>
      <c r="R412" s="2" t="inlineStr"/>
    </row>
    <row r="413" ht="15" customHeight="1">
      <c r="A413" t="inlineStr">
        <is>
          <t>A 6749-2025</t>
        </is>
      </c>
      <c r="B413" s="1" t="n">
        <v>45700</v>
      </c>
      <c r="C413" s="1" t="n">
        <v>45891</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1291-2023</t>
        </is>
      </c>
      <c r="B414" s="1" t="n">
        <v>44936.47561342592</v>
      </c>
      <c r="C414" s="1" t="n">
        <v>45891</v>
      </c>
      <c r="D414" t="inlineStr">
        <is>
          <t>GOTLANDS LÄN</t>
        </is>
      </c>
      <c r="E414" t="inlineStr">
        <is>
          <t>GOTLAND</t>
        </is>
      </c>
      <c r="G414" t="n">
        <v>7.4</v>
      </c>
      <c r="H414" t="n">
        <v>0</v>
      </c>
      <c r="I414" t="n">
        <v>0</v>
      </c>
      <c r="J414" t="n">
        <v>0</v>
      </c>
      <c r="K414" t="n">
        <v>0</v>
      </c>
      <c r="L414" t="n">
        <v>0</v>
      </c>
      <c r="M414" t="n">
        <v>0</v>
      </c>
      <c r="N414" t="n">
        <v>0</v>
      </c>
      <c r="O414" t="n">
        <v>0</v>
      </c>
      <c r="P414" t="n">
        <v>0</v>
      </c>
      <c r="Q414" t="n">
        <v>0</v>
      </c>
      <c r="R414" s="2" t="inlineStr"/>
    </row>
    <row r="415" ht="15" customHeight="1">
      <c r="A415" t="inlineStr">
        <is>
          <t>A 42201-2023</t>
        </is>
      </c>
      <c r="B415" s="1" t="n">
        <v>45179</v>
      </c>
      <c r="C415" s="1" t="n">
        <v>45891</v>
      </c>
      <c r="D415" t="inlineStr">
        <is>
          <t>GOTLANDS LÄN</t>
        </is>
      </c>
      <c r="E415" t="inlineStr">
        <is>
          <t>GOTLAND</t>
        </is>
      </c>
      <c r="G415" t="n">
        <v>11.9</v>
      </c>
      <c r="H415" t="n">
        <v>0</v>
      </c>
      <c r="I415" t="n">
        <v>0</v>
      </c>
      <c r="J415" t="n">
        <v>0</v>
      </c>
      <c r="K415" t="n">
        <v>0</v>
      </c>
      <c r="L415" t="n">
        <v>0</v>
      </c>
      <c r="M415" t="n">
        <v>0</v>
      </c>
      <c r="N415" t="n">
        <v>0</v>
      </c>
      <c r="O415" t="n">
        <v>0</v>
      </c>
      <c r="P415" t="n">
        <v>0</v>
      </c>
      <c r="Q415" t="n">
        <v>0</v>
      </c>
      <c r="R415" s="2" t="inlineStr"/>
    </row>
    <row r="416" ht="15" customHeight="1">
      <c r="A416" t="inlineStr">
        <is>
          <t>A 15075-2025</t>
        </is>
      </c>
      <c r="B416" s="1" t="n">
        <v>45743</v>
      </c>
      <c r="C416" s="1" t="n">
        <v>45891</v>
      </c>
      <c r="D416" t="inlineStr">
        <is>
          <t>GOTLANDS LÄN</t>
        </is>
      </c>
      <c r="E416" t="inlineStr">
        <is>
          <t>GOTLAND</t>
        </is>
      </c>
      <c r="G416" t="n">
        <v>20.9</v>
      </c>
      <c r="H416" t="n">
        <v>0</v>
      </c>
      <c r="I416" t="n">
        <v>0</v>
      </c>
      <c r="J416" t="n">
        <v>0</v>
      </c>
      <c r="K416" t="n">
        <v>0</v>
      </c>
      <c r="L416" t="n">
        <v>0</v>
      </c>
      <c r="M416" t="n">
        <v>0</v>
      </c>
      <c r="N416" t="n">
        <v>0</v>
      </c>
      <c r="O416" t="n">
        <v>0</v>
      </c>
      <c r="P416" t="n">
        <v>0</v>
      </c>
      <c r="Q416" t="n">
        <v>0</v>
      </c>
      <c r="R416" s="2" t="inlineStr"/>
    </row>
    <row r="417" ht="15" customHeight="1">
      <c r="A417" t="inlineStr">
        <is>
          <t>A 23698-2025</t>
        </is>
      </c>
      <c r="B417" s="1" t="n">
        <v>45793</v>
      </c>
      <c r="C417" s="1" t="n">
        <v>45891</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57652-2023</t>
        </is>
      </c>
      <c r="B418" s="1" t="n">
        <v>45246</v>
      </c>
      <c r="C418" s="1" t="n">
        <v>45891</v>
      </c>
      <c r="D418" t="inlineStr">
        <is>
          <t>GOTLANDS LÄN</t>
        </is>
      </c>
      <c r="E418" t="inlineStr">
        <is>
          <t>GOTLAND</t>
        </is>
      </c>
      <c r="G418" t="n">
        <v>7.2</v>
      </c>
      <c r="H418" t="n">
        <v>0</v>
      </c>
      <c r="I418" t="n">
        <v>0</v>
      </c>
      <c r="J418" t="n">
        <v>0</v>
      </c>
      <c r="K418" t="n">
        <v>0</v>
      </c>
      <c r="L418" t="n">
        <v>0</v>
      </c>
      <c r="M418" t="n">
        <v>0</v>
      </c>
      <c r="N418" t="n">
        <v>0</v>
      </c>
      <c r="O418" t="n">
        <v>0</v>
      </c>
      <c r="P418" t="n">
        <v>0</v>
      </c>
      <c r="Q418" t="n">
        <v>0</v>
      </c>
      <c r="R418" s="2" t="inlineStr"/>
    </row>
    <row r="419" ht="15" customHeight="1">
      <c r="A419" t="inlineStr">
        <is>
          <t>A 46400-2023</t>
        </is>
      </c>
      <c r="B419" s="1" t="n">
        <v>45197.49290509259</v>
      </c>
      <c r="C419" s="1" t="n">
        <v>45891</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9875-2025</t>
        </is>
      </c>
      <c r="B420" s="1" t="n">
        <v>45716</v>
      </c>
      <c r="C420" s="1" t="n">
        <v>45891</v>
      </c>
      <c r="D420" t="inlineStr">
        <is>
          <t>GOTLANDS LÄN</t>
        </is>
      </c>
      <c r="E420" t="inlineStr">
        <is>
          <t>GOTLAND</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19002-2025</t>
        </is>
      </c>
      <c r="B421" s="1" t="n">
        <v>45764</v>
      </c>
      <c r="C421" s="1" t="n">
        <v>45891</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21164-2024</t>
        </is>
      </c>
      <c r="B422" s="1" t="n">
        <v>45440</v>
      </c>
      <c r="C422" s="1" t="n">
        <v>45891</v>
      </c>
      <c r="D422" t="inlineStr">
        <is>
          <t>GOTLANDS LÄN</t>
        </is>
      </c>
      <c r="E422" t="inlineStr">
        <is>
          <t>GOTLAND</t>
        </is>
      </c>
      <c r="G422" t="n">
        <v>6.3</v>
      </c>
      <c r="H422" t="n">
        <v>0</v>
      </c>
      <c r="I422" t="n">
        <v>0</v>
      </c>
      <c r="J422" t="n">
        <v>0</v>
      </c>
      <c r="K422" t="n">
        <v>0</v>
      </c>
      <c r="L422" t="n">
        <v>0</v>
      </c>
      <c r="M422" t="n">
        <v>0</v>
      </c>
      <c r="N422" t="n">
        <v>0</v>
      </c>
      <c r="O422" t="n">
        <v>0</v>
      </c>
      <c r="P422" t="n">
        <v>0</v>
      </c>
      <c r="Q422" t="n">
        <v>0</v>
      </c>
      <c r="R422" s="2" t="inlineStr"/>
    </row>
    <row r="423" ht="15" customHeight="1">
      <c r="A423" t="inlineStr">
        <is>
          <t>A 8045-2022</t>
        </is>
      </c>
      <c r="B423" s="1" t="n">
        <v>44609</v>
      </c>
      <c r="C423" s="1" t="n">
        <v>45891</v>
      </c>
      <c r="D423" t="inlineStr">
        <is>
          <t>GOTLANDS LÄN</t>
        </is>
      </c>
      <c r="E423" t="inlineStr">
        <is>
          <t>GOTLAND</t>
        </is>
      </c>
      <c r="G423" t="n">
        <v>7</v>
      </c>
      <c r="H423" t="n">
        <v>0</v>
      </c>
      <c r="I423" t="n">
        <v>0</v>
      </c>
      <c r="J423" t="n">
        <v>0</v>
      </c>
      <c r="K423" t="n">
        <v>0</v>
      </c>
      <c r="L423" t="n">
        <v>0</v>
      </c>
      <c r="M423" t="n">
        <v>0</v>
      </c>
      <c r="N423" t="n">
        <v>0</v>
      </c>
      <c r="O423" t="n">
        <v>0</v>
      </c>
      <c r="P423" t="n">
        <v>0</v>
      </c>
      <c r="Q423" t="n">
        <v>0</v>
      </c>
      <c r="R423" s="2" t="inlineStr"/>
    </row>
    <row r="424" ht="15" customHeight="1">
      <c r="A424" t="inlineStr">
        <is>
          <t>A 49315-2024</t>
        </is>
      </c>
      <c r="B424" s="1" t="n">
        <v>45595</v>
      </c>
      <c r="C424" s="1" t="n">
        <v>45891</v>
      </c>
      <c r="D424" t="inlineStr">
        <is>
          <t>GOTLANDS LÄN</t>
        </is>
      </c>
      <c r="E424" t="inlineStr">
        <is>
          <t>GOTLAND</t>
        </is>
      </c>
      <c r="G424" t="n">
        <v>1.5</v>
      </c>
      <c r="H424" t="n">
        <v>0</v>
      </c>
      <c r="I424" t="n">
        <v>0</v>
      </c>
      <c r="J424" t="n">
        <v>0</v>
      </c>
      <c r="K424" t="n">
        <v>0</v>
      </c>
      <c r="L424" t="n">
        <v>0</v>
      </c>
      <c r="M424" t="n">
        <v>0</v>
      </c>
      <c r="N424" t="n">
        <v>0</v>
      </c>
      <c r="O424" t="n">
        <v>0</v>
      </c>
      <c r="P424" t="n">
        <v>0</v>
      </c>
      <c r="Q424" t="n">
        <v>0</v>
      </c>
      <c r="R424" s="2" t="inlineStr"/>
    </row>
    <row r="425" ht="15" customHeight="1">
      <c r="A425" t="inlineStr">
        <is>
          <t>A 45106-2024</t>
        </is>
      </c>
      <c r="B425" s="1" t="n">
        <v>45575</v>
      </c>
      <c r="C425" s="1" t="n">
        <v>45891</v>
      </c>
      <c r="D425" t="inlineStr">
        <is>
          <t>GOTLANDS LÄN</t>
        </is>
      </c>
      <c r="E425" t="inlineStr">
        <is>
          <t>GOTLAND</t>
        </is>
      </c>
      <c r="G425" t="n">
        <v>10</v>
      </c>
      <c r="H425" t="n">
        <v>0</v>
      </c>
      <c r="I425" t="n">
        <v>0</v>
      </c>
      <c r="J425" t="n">
        <v>0</v>
      </c>
      <c r="K425" t="n">
        <v>0</v>
      </c>
      <c r="L425" t="n">
        <v>0</v>
      </c>
      <c r="M425" t="n">
        <v>0</v>
      </c>
      <c r="N425" t="n">
        <v>0</v>
      </c>
      <c r="O425" t="n">
        <v>0</v>
      </c>
      <c r="P425" t="n">
        <v>0</v>
      </c>
      <c r="Q425" t="n">
        <v>0</v>
      </c>
      <c r="R425" s="2" t="inlineStr"/>
    </row>
    <row r="426" ht="15" customHeight="1">
      <c r="A426" t="inlineStr">
        <is>
          <t>A 45112-2024</t>
        </is>
      </c>
      <c r="B426" s="1" t="n">
        <v>45575</v>
      </c>
      <c r="C426" s="1" t="n">
        <v>45891</v>
      </c>
      <c r="D426" t="inlineStr">
        <is>
          <t>GOTLANDS LÄN</t>
        </is>
      </c>
      <c r="E426" t="inlineStr">
        <is>
          <t>GOTLAND</t>
        </is>
      </c>
      <c r="G426" t="n">
        <v>5.1</v>
      </c>
      <c r="H426" t="n">
        <v>0</v>
      </c>
      <c r="I426" t="n">
        <v>0</v>
      </c>
      <c r="J426" t="n">
        <v>0</v>
      </c>
      <c r="K426" t="n">
        <v>0</v>
      </c>
      <c r="L426" t="n">
        <v>0</v>
      </c>
      <c r="M426" t="n">
        <v>0</v>
      </c>
      <c r="N426" t="n">
        <v>0</v>
      </c>
      <c r="O426" t="n">
        <v>0</v>
      </c>
      <c r="P426" t="n">
        <v>0</v>
      </c>
      <c r="Q426" t="n">
        <v>0</v>
      </c>
      <c r="R426" s="2" t="inlineStr"/>
    </row>
    <row r="427" ht="15" customHeight="1">
      <c r="A427" t="inlineStr">
        <is>
          <t>A 2676-2023</t>
        </is>
      </c>
      <c r="B427" s="1" t="n">
        <v>44944</v>
      </c>
      <c r="C427" s="1" t="n">
        <v>45891</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22897-2023</t>
        </is>
      </c>
      <c r="B428" s="1" t="n">
        <v>45072.55239583334</v>
      </c>
      <c r="C428" s="1" t="n">
        <v>45891</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3150-2025</t>
        </is>
      </c>
      <c r="B429" s="1" t="n">
        <v>45679.28974537037</v>
      </c>
      <c r="C429" s="1" t="n">
        <v>45891</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8484-2025</t>
        </is>
      </c>
      <c r="B430" s="1" t="n">
        <v>45709</v>
      </c>
      <c r="C430" s="1" t="n">
        <v>45891</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7635-2025</t>
        </is>
      </c>
      <c r="B431" s="1" t="n">
        <v>45705</v>
      </c>
      <c r="C431" s="1" t="n">
        <v>45891</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7636-2025</t>
        </is>
      </c>
      <c r="B432" s="1" t="n">
        <v>45705.7687962963</v>
      </c>
      <c r="C432" s="1" t="n">
        <v>45891</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7639-2025</t>
        </is>
      </c>
      <c r="B433" s="1" t="n">
        <v>45705.77465277778</v>
      </c>
      <c r="C433" s="1" t="n">
        <v>45891</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61897-2024</t>
        </is>
      </c>
      <c r="B434" s="1" t="n">
        <v>45652.75685185185</v>
      </c>
      <c r="C434" s="1" t="n">
        <v>45891</v>
      </c>
      <c r="D434" t="inlineStr">
        <is>
          <t>GOTLANDS LÄN</t>
        </is>
      </c>
      <c r="E434" t="inlineStr">
        <is>
          <t>GOTLAND</t>
        </is>
      </c>
      <c r="G434" t="n">
        <v>6.4</v>
      </c>
      <c r="H434" t="n">
        <v>0</v>
      </c>
      <c r="I434" t="n">
        <v>0</v>
      </c>
      <c r="J434" t="n">
        <v>0</v>
      </c>
      <c r="K434" t="n">
        <v>0</v>
      </c>
      <c r="L434" t="n">
        <v>0</v>
      </c>
      <c r="M434" t="n">
        <v>0</v>
      </c>
      <c r="N434" t="n">
        <v>0</v>
      </c>
      <c r="O434" t="n">
        <v>0</v>
      </c>
      <c r="P434" t="n">
        <v>0</v>
      </c>
      <c r="Q434" t="n">
        <v>0</v>
      </c>
      <c r="R434" s="2" t="inlineStr"/>
    </row>
    <row r="435" ht="15" customHeight="1">
      <c r="A435" t="inlineStr">
        <is>
          <t>A 20356-2022</t>
        </is>
      </c>
      <c r="B435" s="1" t="n">
        <v>44699</v>
      </c>
      <c r="C435" s="1" t="n">
        <v>45891</v>
      </c>
      <c r="D435" t="inlineStr">
        <is>
          <t>GOTLANDS LÄN</t>
        </is>
      </c>
      <c r="E435" t="inlineStr">
        <is>
          <t>GOTLAND</t>
        </is>
      </c>
      <c r="F435" t="inlineStr">
        <is>
          <t>Övriga Aktiebolag</t>
        </is>
      </c>
      <c r="G435" t="n">
        <v>4.4</v>
      </c>
      <c r="H435" t="n">
        <v>0</v>
      </c>
      <c r="I435" t="n">
        <v>0</v>
      </c>
      <c r="J435" t="n">
        <v>0</v>
      </c>
      <c r="K435" t="n">
        <v>0</v>
      </c>
      <c r="L435" t="n">
        <v>0</v>
      </c>
      <c r="M435" t="n">
        <v>0</v>
      </c>
      <c r="N435" t="n">
        <v>0</v>
      </c>
      <c r="O435" t="n">
        <v>0</v>
      </c>
      <c r="P435" t="n">
        <v>0</v>
      </c>
      <c r="Q435" t="n">
        <v>0</v>
      </c>
      <c r="R435" s="2" t="inlineStr"/>
    </row>
    <row r="436" ht="15" customHeight="1">
      <c r="A436" t="inlineStr">
        <is>
          <t>A 48734-2022</t>
        </is>
      </c>
      <c r="B436" s="1" t="n">
        <v>44855</v>
      </c>
      <c r="C436" s="1" t="n">
        <v>45891</v>
      </c>
      <c r="D436" t="inlineStr">
        <is>
          <t>GOTLANDS LÄN</t>
        </is>
      </c>
      <c r="E436" t="inlineStr">
        <is>
          <t>GOTLAND</t>
        </is>
      </c>
      <c r="G436" t="n">
        <v>1.6</v>
      </c>
      <c r="H436" t="n">
        <v>0</v>
      </c>
      <c r="I436" t="n">
        <v>0</v>
      </c>
      <c r="J436" t="n">
        <v>0</v>
      </c>
      <c r="K436" t="n">
        <v>0</v>
      </c>
      <c r="L436" t="n">
        <v>0</v>
      </c>
      <c r="M436" t="n">
        <v>0</v>
      </c>
      <c r="N436" t="n">
        <v>0</v>
      </c>
      <c r="O436" t="n">
        <v>0</v>
      </c>
      <c r="P436" t="n">
        <v>0</v>
      </c>
      <c r="Q436" t="n">
        <v>0</v>
      </c>
      <c r="R436" s="2" t="inlineStr"/>
    </row>
    <row r="437" ht="15" customHeight="1">
      <c r="A437" t="inlineStr">
        <is>
          <t>A 14141-2024</t>
        </is>
      </c>
      <c r="B437" s="1" t="n">
        <v>45392.85193287037</v>
      </c>
      <c r="C437" s="1" t="n">
        <v>45891</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5462-2025</t>
        </is>
      </c>
      <c r="B438" s="1" t="n">
        <v>45693.29331018519</v>
      </c>
      <c r="C438" s="1" t="n">
        <v>45891</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29809-2022</t>
        </is>
      </c>
      <c r="B439" s="1" t="n">
        <v>44755.8713425926</v>
      </c>
      <c r="C439" s="1" t="n">
        <v>45891</v>
      </c>
      <c r="D439" t="inlineStr">
        <is>
          <t>GOTLANDS LÄN</t>
        </is>
      </c>
      <c r="E439" t="inlineStr">
        <is>
          <t>GOTLAND</t>
        </is>
      </c>
      <c r="G439" t="n">
        <v>11.5</v>
      </c>
      <c r="H439" t="n">
        <v>0</v>
      </c>
      <c r="I439" t="n">
        <v>0</v>
      </c>
      <c r="J439" t="n">
        <v>0</v>
      </c>
      <c r="K439" t="n">
        <v>0</v>
      </c>
      <c r="L439" t="n">
        <v>0</v>
      </c>
      <c r="M439" t="n">
        <v>0</v>
      </c>
      <c r="N439" t="n">
        <v>0</v>
      </c>
      <c r="O439" t="n">
        <v>0</v>
      </c>
      <c r="P439" t="n">
        <v>0</v>
      </c>
      <c r="Q439" t="n">
        <v>0</v>
      </c>
      <c r="R439" s="2" t="inlineStr"/>
    </row>
    <row r="440" ht="15" customHeight="1">
      <c r="A440" t="inlineStr">
        <is>
          <t>A 49962-2023</t>
        </is>
      </c>
      <c r="B440" s="1" t="n">
        <v>45215.38775462963</v>
      </c>
      <c r="C440" s="1" t="n">
        <v>45891</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5674-2025</t>
        </is>
      </c>
      <c r="B441" s="1" t="n">
        <v>45694.28993055555</v>
      </c>
      <c r="C441" s="1" t="n">
        <v>45891</v>
      </c>
      <c r="D441" t="inlineStr">
        <is>
          <t>GOTLANDS LÄN</t>
        </is>
      </c>
      <c r="E441" t="inlineStr">
        <is>
          <t>GOTLAND</t>
        </is>
      </c>
      <c r="G441" t="n">
        <v>4.2</v>
      </c>
      <c r="H441" t="n">
        <v>0</v>
      </c>
      <c r="I441" t="n">
        <v>0</v>
      </c>
      <c r="J441" t="n">
        <v>0</v>
      </c>
      <c r="K441" t="n">
        <v>0</v>
      </c>
      <c r="L441" t="n">
        <v>0</v>
      </c>
      <c r="M441" t="n">
        <v>0</v>
      </c>
      <c r="N441" t="n">
        <v>0</v>
      </c>
      <c r="O441" t="n">
        <v>0</v>
      </c>
      <c r="P441" t="n">
        <v>0</v>
      </c>
      <c r="Q441" t="n">
        <v>0</v>
      </c>
      <c r="R441" s="2" t="inlineStr"/>
    </row>
    <row r="442" ht="15" customHeight="1">
      <c r="A442" t="inlineStr">
        <is>
          <t>A 5676-2025</t>
        </is>
      </c>
      <c r="B442" s="1" t="n">
        <v>45694.29512731481</v>
      </c>
      <c r="C442" s="1" t="n">
        <v>45891</v>
      </c>
      <c r="D442" t="inlineStr">
        <is>
          <t>GOTLANDS LÄN</t>
        </is>
      </c>
      <c r="E442" t="inlineStr">
        <is>
          <t>GOTLAND</t>
        </is>
      </c>
      <c r="G442" t="n">
        <v>3.2</v>
      </c>
      <c r="H442" t="n">
        <v>0</v>
      </c>
      <c r="I442" t="n">
        <v>0</v>
      </c>
      <c r="J442" t="n">
        <v>0</v>
      </c>
      <c r="K442" t="n">
        <v>0</v>
      </c>
      <c r="L442" t="n">
        <v>0</v>
      </c>
      <c r="M442" t="n">
        <v>0</v>
      </c>
      <c r="N442" t="n">
        <v>0</v>
      </c>
      <c r="O442" t="n">
        <v>0</v>
      </c>
      <c r="P442" t="n">
        <v>0</v>
      </c>
      <c r="Q442" t="n">
        <v>0</v>
      </c>
      <c r="R442" s="2" t="inlineStr"/>
    </row>
    <row r="443" ht="15" customHeight="1">
      <c r="A443" t="inlineStr">
        <is>
          <t>A 25796-2025</t>
        </is>
      </c>
      <c r="B443" s="1" t="n">
        <v>45804.39543981481</v>
      </c>
      <c r="C443" s="1" t="n">
        <v>45891</v>
      </c>
      <c r="D443" t="inlineStr">
        <is>
          <t>GOTLANDS LÄN</t>
        </is>
      </c>
      <c r="E443" t="inlineStr">
        <is>
          <t>GOTLAND</t>
        </is>
      </c>
      <c r="G443" t="n">
        <v>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44698.49854166667</v>
      </c>
      <c r="C444" s="1" t="n">
        <v>45891</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57685-2022</t>
        </is>
      </c>
      <c r="B445" s="1" t="n">
        <v>44897.4777662037</v>
      </c>
      <c r="C445" s="1" t="n">
        <v>45891</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25678-2025</t>
        </is>
      </c>
      <c r="B446" s="1" t="n">
        <v>45803.64118055555</v>
      </c>
      <c r="C446" s="1" t="n">
        <v>45891</v>
      </c>
      <c r="D446" t="inlineStr">
        <is>
          <t>GOTLANDS LÄN</t>
        </is>
      </c>
      <c r="E446" t="inlineStr">
        <is>
          <t>GOTLAND</t>
        </is>
      </c>
      <c r="G446" t="n">
        <v>2</v>
      </c>
      <c r="H446" t="n">
        <v>0</v>
      </c>
      <c r="I446" t="n">
        <v>0</v>
      </c>
      <c r="J446" t="n">
        <v>0</v>
      </c>
      <c r="K446" t="n">
        <v>0</v>
      </c>
      <c r="L446" t="n">
        <v>0</v>
      </c>
      <c r="M446" t="n">
        <v>0</v>
      </c>
      <c r="N446" t="n">
        <v>0</v>
      </c>
      <c r="O446" t="n">
        <v>0</v>
      </c>
      <c r="P446" t="n">
        <v>0</v>
      </c>
      <c r="Q446" t="n">
        <v>0</v>
      </c>
      <c r="R446" s="2" t="inlineStr"/>
    </row>
    <row r="447" ht="15" customHeight="1">
      <c r="A447" t="inlineStr">
        <is>
          <t>A 40294-2022</t>
        </is>
      </c>
      <c r="B447" s="1" t="n">
        <v>44821</v>
      </c>
      <c r="C447" s="1" t="n">
        <v>45891</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12599-2025</t>
        </is>
      </c>
      <c r="B448" s="1" t="n">
        <v>45733.29546296296</v>
      </c>
      <c r="C448" s="1" t="n">
        <v>45891</v>
      </c>
      <c r="D448" t="inlineStr">
        <is>
          <t>GOTLANDS LÄN</t>
        </is>
      </c>
      <c r="E448" t="inlineStr">
        <is>
          <t>GOTLAND</t>
        </is>
      </c>
      <c r="G448" t="n">
        <v>4.7</v>
      </c>
      <c r="H448" t="n">
        <v>0</v>
      </c>
      <c r="I448" t="n">
        <v>0</v>
      </c>
      <c r="J448" t="n">
        <v>0</v>
      </c>
      <c r="K448" t="n">
        <v>0</v>
      </c>
      <c r="L448" t="n">
        <v>0</v>
      </c>
      <c r="M448" t="n">
        <v>0</v>
      </c>
      <c r="N448" t="n">
        <v>0</v>
      </c>
      <c r="O448" t="n">
        <v>0</v>
      </c>
      <c r="P448" t="n">
        <v>0</v>
      </c>
      <c r="Q448" t="n">
        <v>0</v>
      </c>
      <c r="R448" s="2" t="inlineStr"/>
    </row>
    <row r="449" ht="15" customHeight="1">
      <c r="A449" t="inlineStr">
        <is>
          <t>A 12032-2025</t>
        </is>
      </c>
      <c r="B449" s="1" t="n">
        <v>45728.64472222222</v>
      </c>
      <c r="C449" s="1" t="n">
        <v>45891</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38787-2023</t>
        </is>
      </c>
      <c r="B450" s="1" t="n">
        <v>45163</v>
      </c>
      <c r="C450" s="1" t="n">
        <v>45891</v>
      </c>
      <c r="D450" t="inlineStr">
        <is>
          <t>GOTLANDS LÄN</t>
        </is>
      </c>
      <c r="E450" t="inlineStr">
        <is>
          <t>GOTLAND</t>
        </is>
      </c>
      <c r="G450" t="n">
        <v>0.4</v>
      </c>
      <c r="H450" t="n">
        <v>0</v>
      </c>
      <c r="I450" t="n">
        <v>0</v>
      </c>
      <c r="J450" t="n">
        <v>0</v>
      </c>
      <c r="K450" t="n">
        <v>0</v>
      </c>
      <c r="L450" t="n">
        <v>0</v>
      </c>
      <c r="M450" t="n">
        <v>0</v>
      </c>
      <c r="N450" t="n">
        <v>0</v>
      </c>
      <c r="O450" t="n">
        <v>0</v>
      </c>
      <c r="P450" t="n">
        <v>0</v>
      </c>
      <c r="Q450" t="n">
        <v>0</v>
      </c>
      <c r="R450" s="2" t="inlineStr"/>
    </row>
    <row r="451" ht="15" customHeight="1">
      <c r="A451" t="inlineStr">
        <is>
          <t>A 30815-2023</t>
        </is>
      </c>
      <c r="B451" s="1" t="n">
        <v>45112</v>
      </c>
      <c r="C451" s="1" t="n">
        <v>45891</v>
      </c>
      <c r="D451" t="inlineStr">
        <is>
          <t>GOTLANDS LÄN</t>
        </is>
      </c>
      <c r="E451" t="inlineStr">
        <is>
          <t>GOTLAND</t>
        </is>
      </c>
      <c r="G451" t="n">
        <v>6</v>
      </c>
      <c r="H451" t="n">
        <v>0</v>
      </c>
      <c r="I451" t="n">
        <v>0</v>
      </c>
      <c r="J451" t="n">
        <v>0</v>
      </c>
      <c r="K451" t="n">
        <v>0</v>
      </c>
      <c r="L451" t="n">
        <v>0</v>
      </c>
      <c r="M451" t="n">
        <v>0</v>
      </c>
      <c r="N451" t="n">
        <v>0</v>
      </c>
      <c r="O451" t="n">
        <v>0</v>
      </c>
      <c r="P451" t="n">
        <v>0</v>
      </c>
      <c r="Q451" t="n">
        <v>0</v>
      </c>
      <c r="R451" s="2" t="inlineStr"/>
    </row>
    <row r="452" ht="15" customHeight="1">
      <c r="A452" t="inlineStr">
        <is>
          <t>A 20307-2025</t>
        </is>
      </c>
      <c r="B452" s="1" t="n">
        <v>45774.95546296296</v>
      </c>
      <c r="C452" s="1" t="n">
        <v>45891</v>
      </c>
      <c r="D452" t="inlineStr">
        <is>
          <t>GOTLANDS LÄN</t>
        </is>
      </c>
      <c r="E452" t="inlineStr">
        <is>
          <t>GOTLAND</t>
        </is>
      </c>
      <c r="G452" t="n">
        <v>6.8</v>
      </c>
      <c r="H452" t="n">
        <v>0</v>
      </c>
      <c r="I452" t="n">
        <v>0</v>
      </c>
      <c r="J452" t="n">
        <v>0</v>
      </c>
      <c r="K452" t="n">
        <v>0</v>
      </c>
      <c r="L452" t="n">
        <v>0</v>
      </c>
      <c r="M452" t="n">
        <v>0</v>
      </c>
      <c r="N452" t="n">
        <v>0</v>
      </c>
      <c r="O452" t="n">
        <v>0</v>
      </c>
      <c r="P452" t="n">
        <v>0</v>
      </c>
      <c r="Q452" t="n">
        <v>0</v>
      </c>
      <c r="R452" s="2" t="inlineStr"/>
    </row>
    <row r="453" ht="15" customHeight="1">
      <c r="A453" t="inlineStr">
        <is>
          <t>A 26391-2025</t>
        </is>
      </c>
      <c r="B453" s="1" t="n">
        <v>45806</v>
      </c>
      <c r="C453" s="1" t="n">
        <v>45891</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43231-2023</t>
        </is>
      </c>
      <c r="B454" s="1" t="n">
        <v>45183.47025462963</v>
      </c>
      <c r="C454" s="1" t="n">
        <v>45891</v>
      </c>
      <c r="D454" t="inlineStr">
        <is>
          <t>GOTLANDS LÄN</t>
        </is>
      </c>
      <c r="E454" t="inlineStr">
        <is>
          <t>GOTLAND</t>
        </is>
      </c>
      <c r="G454" t="n">
        <v>3.6</v>
      </c>
      <c r="H454" t="n">
        <v>0</v>
      </c>
      <c r="I454" t="n">
        <v>0</v>
      </c>
      <c r="J454" t="n">
        <v>0</v>
      </c>
      <c r="K454" t="n">
        <v>0</v>
      </c>
      <c r="L454" t="n">
        <v>0</v>
      </c>
      <c r="M454" t="n">
        <v>0</v>
      </c>
      <c r="N454" t="n">
        <v>0</v>
      </c>
      <c r="O454" t="n">
        <v>0</v>
      </c>
      <c r="P454" t="n">
        <v>0</v>
      </c>
      <c r="Q454" t="n">
        <v>0</v>
      </c>
      <c r="R454" s="2" t="inlineStr"/>
    </row>
    <row r="455" ht="15" customHeight="1">
      <c r="A455" t="inlineStr">
        <is>
          <t>A 17532-2024</t>
        </is>
      </c>
      <c r="B455" s="1" t="n">
        <v>45415</v>
      </c>
      <c r="C455" s="1" t="n">
        <v>45891</v>
      </c>
      <c r="D455" t="inlineStr">
        <is>
          <t>GOTLANDS LÄN</t>
        </is>
      </c>
      <c r="E455" t="inlineStr">
        <is>
          <t>GOTLAND</t>
        </is>
      </c>
      <c r="G455" t="n">
        <v>4.3</v>
      </c>
      <c r="H455" t="n">
        <v>0</v>
      </c>
      <c r="I455" t="n">
        <v>0</v>
      </c>
      <c r="J455" t="n">
        <v>0</v>
      </c>
      <c r="K455" t="n">
        <v>0</v>
      </c>
      <c r="L455" t="n">
        <v>0</v>
      </c>
      <c r="M455" t="n">
        <v>0</v>
      </c>
      <c r="N455" t="n">
        <v>0</v>
      </c>
      <c r="O455" t="n">
        <v>0</v>
      </c>
      <c r="P455" t="n">
        <v>0</v>
      </c>
      <c r="Q455" t="n">
        <v>0</v>
      </c>
      <c r="R455" s="2" t="inlineStr"/>
    </row>
    <row r="456" ht="15" customHeight="1">
      <c r="A456" t="inlineStr">
        <is>
          <t>A 7034-2023</t>
        </is>
      </c>
      <c r="B456" s="1" t="n">
        <v>44968.32108796296</v>
      </c>
      <c r="C456" s="1" t="n">
        <v>45891</v>
      </c>
      <c r="D456" t="inlineStr">
        <is>
          <t>GOTLANDS LÄN</t>
        </is>
      </c>
      <c r="E456" t="inlineStr">
        <is>
          <t>GOTLAND</t>
        </is>
      </c>
      <c r="G456" t="n">
        <v>1.6</v>
      </c>
      <c r="H456" t="n">
        <v>0</v>
      </c>
      <c r="I456" t="n">
        <v>0</v>
      </c>
      <c r="J456" t="n">
        <v>0</v>
      </c>
      <c r="K456" t="n">
        <v>0</v>
      </c>
      <c r="L456" t="n">
        <v>0</v>
      </c>
      <c r="M456" t="n">
        <v>0</v>
      </c>
      <c r="N456" t="n">
        <v>0</v>
      </c>
      <c r="O456" t="n">
        <v>0</v>
      </c>
      <c r="P456" t="n">
        <v>0</v>
      </c>
      <c r="Q456" t="n">
        <v>0</v>
      </c>
      <c r="R456" s="2" t="inlineStr"/>
    </row>
    <row r="457" ht="15" customHeight="1">
      <c r="A457" t="inlineStr">
        <is>
          <t>A 7042-2023</t>
        </is>
      </c>
      <c r="B457" s="1" t="n">
        <v>44968</v>
      </c>
      <c r="C457" s="1" t="n">
        <v>45891</v>
      </c>
      <c r="D457" t="inlineStr">
        <is>
          <t>GOTLANDS LÄN</t>
        </is>
      </c>
      <c r="E457" t="inlineStr">
        <is>
          <t>GOTLAND</t>
        </is>
      </c>
      <c r="G457" t="n">
        <v>0.7</v>
      </c>
      <c r="H457" t="n">
        <v>0</v>
      </c>
      <c r="I457" t="n">
        <v>0</v>
      </c>
      <c r="J457" t="n">
        <v>0</v>
      </c>
      <c r="K457" t="n">
        <v>0</v>
      </c>
      <c r="L457" t="n">
        <v>0</v>
      </c>
      <c r="M457" t="n">
        <v>0</v>
      </c>
      <c r="N457" t="n">
        <v>0</v>
      </c>
      <c r="O457" t="n">
        <v>0</v>
      </c>
      <c r="P457" t="n">
        <v>0</v>
      </c>
      <c r="Q457" t="n">
        <v>0</v>
      </c>
      <c r="R457" s="2" t="inlineStr"/>
    </row>
    <row r="458" ht="15" customHeight="1">
      <c r="A458" t="inlineStr">
        <is>
          <t>A 23516-2023</t>
        </is>
      </c>
      <c r="B458" s="1" t="n">
        <v>45076.93391203704</v>
      </c>
      <c r="C458" s="1" t="n">
        <v>45891</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64660-2023</t>
        </is>
      </c>
      <c r="B459" s="1" t="n">
        <v>45281.60122685185</v>
      </c>
      <c r="C459" s="1" t="n">
        <v>45891</v>
      </c>
      <c r="D459" t="inlineStr">
        <is>
          <t>GOTLANDS LÄN</t>
        </is>
      </c>
      <c r="E459" t="inlineStr">
        <is>
          <t>GOTLAND</t>
        </is>
      </c>
      <c r="G459" t="n">
        <v>6.3</v>
      </c>
      <c r="H459" t="n">
        <v>0</v>
      </c>
      <c r="I459" t="n">
        <v>0</v>
      </c>
      <c r="J459" t="n">
        <v>0</v>
      </c>
      <c r="K459" t="n">
        <v>0</v>
      </c>
      <c r="L459" t="n">
        <v>0</v>
      </c>
      <c r="M459" t="n">
        <v>0</v>
      </c>
      <c r="N459" t="n">
        <v>0</v>
      </c>
      <c r="O459" t="n">
        <v>0</v>
      </c>
      <c r="P459" t="n">
        <v>0</v>
      </c>
      <c r="Q459" t="n">
        <v>0</v>
      </c>
      <c r="R459" s="2" t="inlineStr"/>
    </row>
    <row r="460" ht="15" customHeight="1">
      <c r="A460" t="inlineStr">
        <is>
          <t>A 3935-2025</t>
        </is>
      </c>
      <c r="B460" s="1" t="n">
        <v>45684.46070601852</v>
      </c>
      <c r="C460" s="1" t="n">
        <v>45891</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35133-2025</t>
        </is>
      </c>
      <c r="B461" s="1" t="n">
        <v>45852.6363425926</v>
      </c>
      <c r="C461" s="1" t="n">
        <v>45891</v>
      </c>
      <c r="D461" t="inlineStr">
        <is>
          <t>GOTLANDS LÄN</t>
        </is>
      </c>
      <c r="E461" t="inlineStr">
        <is>
          <t>GOTLAND</t>
        </is>
      </c>
      <c r="G461" t="n">
        <v>1.9</v>
      </c>
      <c r="H461" t="n">
        <v>0</v>
      </c>
      <c r="I461" t="n">
        <v>0</v>
      </c>
      <c r="J461" t="n">
        <v>0</v>
      </c>
      <c r="K461" t="n">
        <v>0</v>
      </c>
      <c r="L461" t="n">
        <v>0</v>
      </c>
      <c r="M461" t="n">
        <v>0</v>
      </c>
      <c r="N461" t="n">
        <v>0</v>
      </c>
      <c r="O461" t="n">
        <v>0</v>
      </c>
      <c r="P461" t="n">
        <v>0</v>
      </c>
      <c r="Q461" t="n">
        <v>0</v>
      </c>
      <c r="R461" s="2" t="inlineStr"/>
    </row>
    <row r="462" ht="15" customHeight="1">
      <c r="A462" t="inlineStr">
        <is>
          <t>A 35141-2025</t>
        </is>
      </c>
      <c r="B462" s="1" t="n">
        <v>45852.65206018519</v>
      </c>
      <c r="C462" s="1" t="n">
        <v>45891</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35096-2025</t>
        </is>
      </c>
      <c r="B463" s="1" t="n">
        <v>45852.54356481481</v>
      </c>
      <c r="C463" s="1" t="n">
        <v>45891</v>
      </c>
      <c r="D463" t="inlineStr">
        <is>
          <t>GOTLANDS LÄN</t>
        </is>
      </c>
      <c r="E463" t="inlineStr">
        <is>
          <t>GOTLAND</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63763-2023</t>
        </is>
      </c>
      <c r="B464" s="1" t="n">
        <v>45278.33944444444</v>
      </c>
      <c r="C464" s="1" t="n">
        <v>45891</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63229-2021</t>
        </is>
      </c>
      <c r="B465" s="1" t="n">
        <v>44508.34518518519</v>
      </c>
      <c r="C465" s="1" t="n">
        <v>45891</v>
      </c>
      <c r="D465" t="inlineStr">
        <is>
          <t>GOTLANDS LÄN</t>
        </is>
      </c>
      <c r="E465" t="inlineStr">
        <is>
          <t>GOTLAND</t>
        </is>
      </c>
      <c r="F465" t="inlineStr">
        <is>
          <t>Kyrkan</t>
        </is>
      </c>
      <c r="G465" t="n">
        <v>3.8</v>
      </c>
      <c r="H465" t="n">
        <v>0</v>
      </c>
      <c r="I465" t="n">
        <v>0</v>
      </c>
      <c r="J465" t="n">
        <v>0</v>
      </c>
      <c r="K465" t="n">
        <v>0</v>
      </c>
      <c r="L465" t="n">
        <v>0</v>
      </c>
      <c r="M465" t="n">
        <v>0</v>
      </c>
      <c r="N465" t="n">
        <v>0</v>
      </c>
      <c r="O465" t="n">
        <v>0</v>
      </c>
      <c r="P465" t="n">
        <v>0</v>
      </c>
      <c r="Q465" t="n">
        <v>0</v>
      </c>
      <c r="R465" s="2" t="inlineStr"/>
    </row>
    <row r="466" ht="15" customHeight="1">
      <c r="A466" t="inlineStr">
        <is>
          <t>A 46375-2024</t>
        </is>
      </c>
      <c r="B466" s="1" t="n">
        <v>45582</v>
      </c>
      <c r="C466" s="1" t="n">
        <v>45891</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26457-2025</t>
        </is>
      </c>
      <c r="B467" s="1" t="n">
        <v>45807.42773148148</v>
      </c>
      <c r="C467" s="1" t="n">
        <v>45891</v>
      </c>
      <c r="D467" t="inlineStr">
        <is>
          <t>GOTLANDS LÄN</t>
        </is>
      </c>
      <c r="E467" t="inlineStr">
        <is>
          <t>GOTLAND</t>
        </is>
      </c>
      <c r="G467" t="n">
        <v>5.7</v>
      </c>
      <c r="H467" t="n">
        <v>0</v>
      </c>
      <c r="I467" t="n">
        <v>0</v>
      </c>
      <c r="J467" t="n">
        <v>0</v>
      </c>
      <c r="K467" t="n">
        <v>0</v>
      </c>
      <c r="L467" t="n">
        <v>0</v>
      </c>
      <c r="M467" t="n">
        <v>0</v>
      </c>
      <c r="N467" t="n">
        <v>0</v>
      </c>
      <c r="O467" t="n">
        <v>0</v>
      </c>
      <c r="P467" t="n">
        <v>0</v>
      </c>
      <c r="Q467" t="n">
        <v>0</v>
      </c>
      <c r="R467" s="2" t="inlineStr"/>
    </row>
    <row r="468" ht="15" customHeight="1">
      <c r="A468" t="inlineStr">
        <is>
          <t>A 26467-2025</t>
        </is>
      </c>
      <c r="B468" s="1" t="n">
        <v>45807.44640046296</v>
      </c>
      <c r="C468" s="1" t="n">
        <v>45891</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20225-2025</t>
        </is>
      </c>
      <c r="B469" s="1" t="n">
        <v>45772.65802083333</v>
      </c>
      <c r="C469" s="1" t="n">
        <v>45891</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883-2025</t>
        </is>
      </c>
      <c r="B470" s="1" t="n">
        <v>45665</v>
      </c>
      <c r="C470" s="1" t="n">
        <v>45891</v>
      </c>
      <c r="D470" t="inlineStr">
        <is>
          <t>GOTLANDS LÄN</t>
        </is>
      </c>
      <c r="E470" t="inlineStr">
        <is>
          <t>GOTLAND</t>
        </is>
      </c>
      <c r="G470" t="n">
        <v>1.3</v>
      </c>
      <c r="H470" t="n">
        <v>0</v>
      </c>
      <c r="I470" t="n">
        <v>0</v>
      </c>
      <c r="J470" t="n">
        <v>0</v>
      </c>
      <c r="K470" t="n">
        <v>0</v>
      </c>
      <c r="L470" t="n">
        <v>0</v>
      </c>
      <c r="M470" t="n">
        <v>0</v>
      </c>
      <c r="N470" t="n">
        <v>0</v>
      </c>
      <c r="O470" t="n">
        <v>0</v>
      </c>
      <c r="P470" t="n">
        <v>0</v>
      </c>
      <c r="Q470" t="n">
        <v>0</v>
      </c>
      <c r="R470" s="2" t="inlineStr"/>
    </row>
    <row r="471" ht="15" customHeight="1">
      <c r="A471" t="inlineStr">
        <is>
          <t>A 26465-2025</t>
        </is>
      </c>
      <c r="B471" s="1" t="n">
        <v>45807.44377314814</v>
      </c>
      <c r="C471" s="1" t="n">
        <v>45891</v>
      </c>
      <c r="D471" t="inlineStr">
        <is>
          <t>GOTLANDS LÄN</t>
        </is>
      </c>
      <c r="E471" t="inlineStr">
        <is>
          <t>GOTLAND</t>
        </is>
      </c>
      <c r="G471" t="n">
        <v>4.5</v>
      </c>
      <c r="H471" t="n">
        <v>0</v>
      </c>
      <c r="I471" t="n">
        <v>0</v>
      </c>
      <c r="J471" t="n">
        <v>0</v>
      </c>
      <c r="K471" t="n">
        <v>0</v>
      </c>
      <c r="L471" t="n">
        <v>0</v>
      </c>
      <c r="M471" t="n">
        <v>0</v>
      </c>
      <c r="N471" t="n">
        <v>0</v>
      </c>
      <c r="O471" t="n">
        <v>0</v>
      </c>
      <c r="P471" t="n">
        <v>0</v>
      </c>
      <c r="Q471" t="n">
        <v>0</v>
      </c>
      <c r="R471" s="2" t="inlineStr"/>
    </row>
    <row r="472" ht="15" customHeight="1">
      <c r="A472" t="inlineStr">
        <is>
          <t>A 35142-2025</t>
        </is>
      </c>
      <c r="B472" s="1" t="n">
        <v>45852.65532407408</v>
      </c>
      <c r="C472" s="1" t="n">
        <v>45891</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18938-2025</t>
        </is>
      </c>
      <c r="B473" s="1" t="n">
        <v>45764.49172453704</v>
      </c>
      <c r="C473" s="1" t="n">
        <v>45891</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26660-2025</t>
        </is>
      </c>
      <c r="B474" s="1" t="n">
        <v>45810.39737268518</v>
      </c>
      <c r="C474" s="1" t="n">
        <v>45891</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35123-2025</t>
        </is>
      </c>
      <c r="B475" s="1" t="n">
        <v>45852.614375</v>
      </c>
      <c r="C475" s="1" t="n">
        <v>45891</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35129-2025</t>
        </is>
      </c>
      <c r="B476" s="1" t="n">
        <v>45852.63224537037</v>
      </c>
      <c r="C476" s="1" t="n">
        <v>45891</v>
      </c>
      <c r="D476" t="inlineStr">
        <is>
          <t>GOTLANDS LÄN</t>
        </is>
      </c>
      <c r="E476" t="inlineStr">
        <is>
          <t>GOTLAND</t>
        </is>
      </c>
      <c r="G476" t="n">
        <v>3.2</v>
      </c>
      <c r="H476" t="n">
        <v>0</v>
      </c>
      <c r="I476" t="n">
        <v>0</v>
      </c>
      <c r="J476" t="n">
        <v>0</v>
      </c>
      <c r="K476" t="n">
        <v>0</v>
      </c>
      <c r="L476" t="n">
        <v>0</v>
      </c>
      <c r="M476" t="n">
        <v>0</v>
      </c>
      <c r="N476" t="n">
        <v>0</v>
      </c>
      <c r="O476" t="n">
        <v>0</v>
      </c>
      <c r="P476" t="n">
        <v>0</v>
      </c>
      <c r="Q476" t="n">
        <v>0</v>
      </c>
      <c r="R476" s="2" t="inlineStr"/>
    </row>
    <row r="477" ht="15" customHeight="1">
      <c r="A477" t="inlineStr">
        <is>
          <t>A 10497-2025</t>
        </is>
      </c>
      <c r="B477" s="1" t="n">
        <v>45721</v>
      </c>
      <c r="C477" s="1" t="n">
        <v>45891</v>
      </c>
      <c r="D477" t="inlineStr">
        <is>
          <t>GOTLANDS LÄN</t>
        </is>
      </c>
      <c r="E477" t="inlineStr">
        <is>
          <t>GOTLAND</t>
        </is>
      </c>
      <c r="G477" t="n">
        <v>0.9</v>
      </c>
      <c r="H477" t="n">
        <v>0</v>
      </c>
      <c r="I477" t="n">
        <v>0</v>
      </c>
      <c r="J477" t="n">
        <v>0</v>
      </c>
      <c r="K477" t="n">
        <v>0</v>
      </c>
      <c r="L477" t="n">
        <v>0</v>
      </c>
      <c r="M477" t="n">
        <v>0</v>
      </c>
      <c r="N477" t="n">
        <v>0</v>
      </c>
      <c r="O477" t="n">
        <v>0</v>
      </c>
      <c r="P477" t="n">
        <v>0</v>
      </c>
      <c r="Q477" t="n">
        <v>0</v>
      </c>
      <c r="R477" s="2" t="inlineStr"/>
    </row>
    <row r="478" ht="15" customHeight="1">
      <c r="A478" t="inlineStr">
        <is>
          <t>A 1734-2025</t>
        </is>
      </c>
      <c r="B478" s="1" t="n">
        <v>45671.3840625</v>
      </c>
      <c r="C478" s="1" t="n">
        <v>45891</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1066-2024</t>
        </is>
      </c>
      <c r="B479" s="1" t="n">
        <v>45302.285</v>
      </c>
      <c r="C479" s="1" t="n">
        <v>45891</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27348-2025</t>
        </is>
      </c>
      <c r="B480" s="1" t="n">
        <v>45812.62451388889</v>
      </c>
      <c r="C480" s="1" t="n">
        <v>45891</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35290-2025</t>
        </is>
      </c>
      <c r="B481" s="1" t="n">
        <v>45854.38502314815</v>
      </c>
      <c r="C481" s="1" t="n">
        <v>45891</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17144-2025</t>
        </is>
      </c>
      <c r="B482" s="1" t="n">
        <v>45755.9499537037</v>
      </c>
      <c r="C482" s="1" t="n">
        <v>45891</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20993-2023</t>
        </is>
      </c>
      <c r="B483" s="1" t="n">
        <v>45056</v>
      </c>
      <c r="C483" s="1" t="n">
        <v>45891</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10158-2025</t>
        </is>
      </c>
      <c r="B484" s="1" t="n">
        <v>45719</v>
      </c>
      <c r="C484" s="1" t="n">
        <v>45891</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27371-2025</t>
        </is>
      </c>
      <c r="B485" s="1" t="n">
        <v>45812</v>
      </c>
      <c r="C485" s="1" t="n">
        <v>45891</v>
      </c>
      <c r="D485" t="inlineStr">
        <is>
          <t>GOTLANDS LÄN</t>
        </is>
      </c>
      <c r="E485" t="inlineStr">
        <is>
          <t>GOTLAND</t>
        </is>
      </c>
      <c r="G485" t="n">
        <v>8</v>
      </c>
      <c r="H485" t="n">
        <v>0</v>
      </c>
      <c r="I485" t="n">
        <v>0</v>
      </c>
      <c r="J485" t="n">
        <v>0</v>
      </c>
      <c r="K485" t="n">
        <v>0</v>
      </c>
      <c r="L485" t="n">
        <v>0</v>
      </c>
      <c r="M485" t="n">
        <v>0</v>
      </c>
      <c r="N485" t="n">
        <v>0</v>
      </c>
      <c r="O485" t="n">
        <v>0</v>
      </c>
      <c r="P485" t="n">
        <v>0</v>
      </c>
      <c r="Q485" t="n">
        <v>0</v>
      </c>
      <c r="R485" s="2" t="inlineStr"/>
    </row>
    <row r="486" ht="15" customHeight="1">
      <c r="A486" t="inlineStr">
        <is>
          <t>A 27355-2025</t>
        </is>
      </c>
      <c r="B486" s="1" t="n">
        <v>45812</v>
      </c>
      <c r="C486" s="1" t="n">
        <v>45891</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12596-2023</t>
        </is>
      </c>
      <c r="B487" s="1" t="n">
        <v>45000.43310185185</v>
      </c>
      <c r="C487" s="1" t="n">
        <v>45891</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2125-2025</t>
        </is>
      </c>
      <c r="B488" s="1" t="n">
        <v>45672.64940972222</v>
      </c>
      <c r="C488" s="1" t="n">
        <v>45891</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12155-2023</t>
        </is>
      </c>
      <c r="B489" s="1" t="n">
        <v>44998.49106481481</v>
      </c>
      <c r="C489" s="1" t="n">
        <v>45891</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457-2023</t>
        </is>
      </c>
      <c r="B490" s="1" t="n">
        <v>44929.87238425926</v>
      </c>
      <c r="C490" s="1" t="n">
        <v>45891</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459-2023</t>
        </is>
      </c>
      <c r="B491" s="1" t="n">
        <v>44929.87423611111</v>
      </c>
      <c r="C491" s="1" t="n">
        <v>45891</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38234-2023</t>
        </is>
      </c>
      <c r="B492" s="1" t="n">
        <v>45161.56663194444</v>
      </c>
      <c r="C492" s="1" t="n">
        <v>45891</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56009-2024</t>
        </is>
      </c>
      <c r="B493" s="1" t="n">
        <v>45623.80864583333</v>
      </c>
      <c r="C493" s="1" t="n">
        <v>45891</v>
      </c>
      <c r="D493" t="inlineStr">
        <is>
          <t>GOTLANDS LÄN</t>
        </is>
      </c>
      <c r="E493" t="inlineStr">
        <is>
          <t>GOTLAND</t>
        </is>
      </c>
      <c r="G493" t="n">
        <v>2.8</v>
      </c>
      <c r="H493" t="n">
        <v>0</v>
      </c>
      <c r="I493" t="n">
        <v>0</v>
      </c>
      <c r="J493" t="n">
        <v>0</v>
      </c>
      <c r="K493" t="n">
        <v>0</v>
      </c>
      <c r="L493" t="n">
        <v>0</v>
      </c>
      <c r="M493" t="n">
        <v>0</v>
      </c>
      <c r="N493" t="n">
        <v>0</v>
      </c>
      <c r="O493" t="n">
        <v>0</v>
      </c>
      <c r="P493" t="n">
        <v>0</v>
      </c>
      <c r="Q493" t="n">
        <v>0</v>
      </c>
      <c r="R493" s="2" t="inlineStr"/>
    </row>
    <row r="494" ht="15" customHeight="1">
      <c r="A494" t="inlineStr">
        <is>
          <t>A 6739-2025</t>
        </is>
      </c>
      <c r="B494" s="1" t="n">
        <v>45700</v>
      </c>
      <c r="C494" s="1" t="n">
        <v>45891</v>
      </c>
      <c r="D494" t="inlineStr">
        <is>
          <t>GOTLANDS LÄN</t>
        </is>
      </c>
      <c r="E494" t="inlineStr">
        <is>
          <t>GOTLAND</t>
        </is>
      </c>
      <c r="G494" t="n">
        <v>4.5</v>
      </c>
      <c r="H494" t="n">
        <v>0</v>
      </c>
      <c r="I494" t="n">
        <v>0</v>
      </c>
      <c r="J494" t="n">
        <v>0</v>
      </c>
      <c r="K494" t="n">
        <v>0</v>
      </c>
      <c r="L494" t="n">
        <v>0</v>
      </c>
      <c r="M494" t="n">
        <v>0</v>
      </c>
      <c r="N494" t="n">
        <v>0</v>
      </c>
      <c r="O494" t="n">
        <v>0</v>
      </c>
      <c r="P494" t="n">
        <v>0</v>
      </c>
      <c r="Q494" t="n">
        <v>0</v>
      </c>
      <c r="R494" s="2" t="inlineStr"/>
    </row>
    <row r="495" ht="15" customHeight="1">
      <c r="A495" t="inlineStr">
        <is>
          <t>A 7850-2025</t>
        </is>
      </c>
      <c r="B495" s="1" t="n">
        <v>45706</v>
      </c>
      <c r="C495" s="1" t="n">
        <v>45891</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42338-2023</t>
        </is>
      </c>
      <c r="B496" s="1" t="n">
        <v>45180</v>
      </c>
      <c r="C496" s="1" t="n">
        <v>45891</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50744-2024</t>
        </is>
      </c>
      <c r="B497" s="1" t="n">
        <v>45602.4187037037</v>
      </c>
      <c r="C497" s="1" t="n">
        <v>45891</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35550-2025</t>
        </is>
      </c>
      <c r="B498" s="1" t="n">
        <v>45856.49324074074</v>
      </c>
      <c r="C498" s="1" t="n">
        <v>45891</v>
      </c>
      <c r="D498" t="inlineStr">
        <is>
          <t>GOTLANDS LÄN</t>
        </is>
      </c>
      <c r="E498" t="inlineStr">
        <is>
          <t>GOTLAND</t>
        </is>
      </c>
      <c r="G498" t="n">
        <v>3.2</v>
      </c>
      <c r="H498" t="n">
        <v>0</v>
      </c>
      <c r="I498" t="n">
        <v>0</v>
      </c>
      <c r="J498" t="n">
        <v>0</v>
      </c>
      <c r="K498" t="n">
        <v>0</v>
      </c>
      <c r="L498" t="n">
        <v>0</v>
      </c>
      <c r="M498" t="n">
        <v>0</v>
      </c>
      <c r="N498" t="n">
        <v>0</v>
      </c>
      <c r="O498" t="n">
        <v>0</v>
      </c>
      <c r="P498" t="n">
        <v>0</v>
      </c>
      <c r="Q498" t="n">
        <v>0</v>
      </c>
      <c r="R498" s="2" t="inlineStr"/>
    </row>
    <row r="499" ht="15" customHeight="1">
      <c r="A499" t="inlineStr">
        <is>
          <t>A 35537-2025</t>
        </is>
      </c>
      <c r="B499" s="1" t="n">
        <v>45856</v>
      </c>
      <c r="C499" s="1" t="n">
        <v>45891</v>
      </c>
      <c r="D499" t="inlineStr">
        <is>
          <t>GOTLANDS LÄN</t>
        </is>
      </c>
      <c r="E499" t="inlineStr">
        <is>
          <t>GOTLAND</t>
        </is>
      </c>
      <c r="G499" t="n">
        <v>16.8</v>
      </c>
      <c r="H499" t="n">
        <v>0</v>
      </c>
      <c r="I499" t="n">
        <v>0</v>
      </c>
      <c r="J499" t="n">
        <v>0</v>
      </c>
      <c r="K499" t="n">
        <v>0</v>
      </c>
      <c r="L499" t="n">
        <v>0</v>
      </c>
      <c r="M499" t="n">
        <v>0</v>
      </c>
      <c r="N499" t="n">
        <v>0</v>
      </c>
      <c r="O499" t="n">
        <v>0</v>
      </c>
      <c r="P499" t="n">
        <v>0</v>
      </c>
      <c r="Q499" t="n">
        <v>0</v>
      </c>
      <c r="R499" s="2" t="inlineStr"/>
    </row>
    <row r="500" ht="15" customHeight="1">
      <c r="A500" t="inlineStr">
        <is>
          <t>A 53934-2024</t>
        </is>
      </c>
      <c r="B500" s="1" t="n">
        <v>45615</v>
      </c>
      <c r="C500" s="1" t="n">
        <v>45891</v>
      </c>
      <c r="D500" t="inlineStr">
        <is>
          <t>GOTLANDS LÄN</t>
        </is>
      </c>
      <c r="E500" t="inlineStr">
        <is>
          <t>GOTLAND</t>
        </is>
      </c>
      <c r="G500" t="n">
        <v>5</v>
      </c>
      <c r="H500" t="n">
        <v>0</v>
      </c>
      <c r="I500" t="n">
        <v>0</v>
      </c>
      <c r="J500" t="n">
        <v>0</v>
      </c>
      <c r="K500" t="n">
        <v>0</v>
      </c>
      <c r="L500" t="n">
        <v>0</v>
      </c>
      <c r="M500" t="n">
        <v>0</v>
      </c>
      <c r="N500" t="n">
        <v>0</v>
      </c>
      <c r="O500" t="n">
        <v>0</v>
      </c>
      <c r="P500" t="n">
        <v>0</v>
      </c>
      <c r="Q500" t="n">
        <v>0</v>
      </c>
      <c r="R500" s="2" t="inlineStr"/>
    </row>
    <row r="501" ht="15" customHeight="1">
      <c r="A501" t="inlineStr">
        <is>
          <t>A 8444-2025</t>
        </is>
      </c>
      <c r="B501" s="1" t="n">
        <v>45709</v>
      </c>
      <c r="C501" s="1" t="n">
        <v>45891</v>
      </c>
      <c r="D501" t="inlineStr">
        <is>
          <t>GOTLANDS LÄN</t>
        </is>
      </c>
      <c r="E501" t="inlineStr">
        <is>
          <t>GOTLAND</t>
        </is>
      </c>
      <c r="G501" t="n">
        <v>5.2</v>
      </c>
      <c r="H501" t="n">
        <v>0</v>
      </c>
      <c r="I501" t="n">
        <v>0</v>
      </c>
      <c r="J501" t="n">
        <v>0</v>
      </c>
      <c r="K501" t="n">
        <v>0</v>
      </c>
      <c r="L501" t="n">
        <v>0</v>
      </c>
      <c r="M501" t="n">
        <v>0</v>
      </c>
      <c r="N501" t="n">
        <v>0</v>
      </c>
      <c r="O501" t="n">
        <v>0</v>
      </c>
      <c r="P501" t="n">
        <v>0</v>
      </c>
      <c r="Q501" t="n">
        <v>0</v>
      </c>
      <c r="R501" s="2" t="inlineStr"/>
    </row>
    <row r="502" ht="15" customHeight="1">
      <c r="A502" t="inlineStr">
        <is>
          <t>A 19905-2025</t>
        </is>
      </c>
      <c r="B502" s="1" t="n">
        <v>45771</v>
      </c>
      <c r="C502" s="1" t="n">
        <v>45891</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1446-2025</t>
        </is>
      </c>
      <c r="B503" s="1" t="n">
        <v>45669.86035879629</v>
      </c>
      <c r="C503" s="1" t="n">
        <v>45891</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10813-2025</t>
        </is>
      </c>
      <c r="B504" s="1" t="n">
        <v>45722.54163194444</v>
      </c>
      <c r="C504" s="1" t="n">
        <v>45891</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29196-2025</t>
        </is>
      </c>
      <c r="B505" s="1" t="n">
        <v>45822</v>
      </c>
      <c r="C505" s="1" t="n">
        <v>45891</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581-2023</t>
        </is>
      </c>
      <c r="B506" s="1" t="n">
        <v>44930</v>
      </c>
      <c r="C506" s="1" t="n">
        <v>45891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61386-2023</t>
        </is>
      </c>
      <c r="B507" s="1" t="n">
        <v>45264</v>
      </c>
      <c r="C507" s="1" t="n">
        <v>45891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29207-2025</t>
        </is>
      </c>
      <c r="B508" s="1" t="n">
        <v>45823</v>
      </c>
      <c r="C508" s="1" t="n">
        <v>45891</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873-2024</t>
        </is>
      </c>
      <c r="B509" s="1" t="n">
        <v>45301</v>
      </c>
      <c r="C509" s="1" t="n">
        <v>45891</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17227-2021</t>
        </is>
      </c>
      <c r="B510" s="1" t="n">
        <v>44298.49725694444</v>
      </c>
      <c r="C510" s="1" t="n">
        <v>45891</v>
      </c>
      <c r="D510" t="inlineStr">
        <is>
          <t>GOTLANDS LÄN</t>
        </is>
      </c>
      <c r="E510" t="inlineStr">
        <is>
          <t>GOTLAND</t>
        </is>
      </c>
      <c r="G510" t="n">
        <v>6.2</v>
      </c>
      <c r="H510" t="n">
        <v>0</v>
      </c>
      <c r="I510" t="n">
        <v>0</v>
      </c>
      <c r="J510" t="n">
        <v>0</v>
      </c>
      <c r="K510" t="n">
        <v>0</v>
      </c>
      <c r="L510" t="n">
        <v>0</v>
      </c>
      <c r="M510" t="n">
        <v>0</v>
      </c>
      <c r="N510" t="n">
        <v>0</v>
      </c>
      <c r="O510" t="n">
        <v>0</v>
      </c>
      <c r="P510" t="n">
        <v>0</v>
      </c>
      <c r="Q510" t="n">
        <v>0</v>
      </c>
      <c r="R510" s="2" t="inlineStr"/>
    </row>
    <row r="511" ht="15" customHeight="1">
      <c r="A511" t="inlineStr">
        <is>
          <t>A 49411-2023</t>
        </is>
      </c>
      <c r="B511" s="1" t="n">
        <v>45205</v>
      </c>
      <c r="C511" s="1" t="n">
        <v>45891</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22275-2023</t>
        </is>
      </c>
      <c r="B512" s="1" t="n">
        <v>45070.39875</v>
      </c>
      <c r="C512" s="1" t="n">
        <v>45891</v>
      </c>
      <c r="D512" t="inlineStr">
        <is>
          <t>GOTLANDS LÄN</t>
        </is>
      </c>
      <c r="E512" t="inlineStr">
        <is>
          <t>GOTLAND</t>
        </is>
      </c>
      <c r="G512" t="n">
        <v>7.2</v>
      </c>
      <c r="H512" t="n">
        <v>0</v>
      </c>
      <c r="I512" t="n">
        <v>0</v>
      </c>
      <c r="J512" t="n">
        <v>0</v>
      </c>
      <c r="K512" t="n">
        <v>0</v>
      </c>
      <c r="L512" t="n">
        <v>0</v>
      </c>
      <c r="M512" t="n">
        <v>0</v>
      </c>
      <c r="N512" t="n">
        <v>0</v>
      </c>
      <c r="O512" t="n">
        <v>0</v>
      </c>
      <c r="P512" t="n">
        <v>0</v>
      </c>
      <c r="Q512" t="n">
        <v>0</v>
      </c>
      <c r="R512" s="2" t="inlineStr"/>
    </row>
    <row r="513" ht="15" customHeight="1">
      <c r="A513" t="inlineStr">
        <is>
          <t>A 12322-2025</t>
        </is>
      </c>
      <c r="B513" s="1" t="n">
        <v>45730</v>
      </c>
      <c r="C513" s="1" t="n">
        <v>45891</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31264-2021</t>
        </is>
      </c>
      <c r="B514" s="1" t="n">
        <v>44368</v>
      </c>
      <c r="C514" s="1" t="n">
        <v>45891</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30104-2025</t>
        </is>
      </c>
      <c r="B515" s="1" t="n">
        <v>45826.68806712963</v>
      </c>
      <c r="C515" s="1" t="n">
        <v>45891</v>
      </c>
      <c r="D515" t="inlineStr">
        <is>
          <t>GOTLANDS LÄN</t>
        </is>
      </c>
      <c r="E515" t="inlineStr">
        <is>
          <t>GOTLAND</t>
        </is>
      </c>
      <c r="G515" t="n">
        <v>15.4</v>
      </c>
      <c r="H515" t="n">
        <v>0</v>
      </c>
      <c r="I515" t="n">
        <v>0</v>
      </c>
      <c r="J515" t="n">
        <v>0</v>
      </c>
      <c r="K515" t="n">
        <v>0</v>
      </c>
      <c r="L515" t="n">
        <v>0</v>
      </c>
      <c r="M515" t="n">
        <v>0</v>
      </c>
      <c r="N515" t="n">
        <v>0</v>
      </c>
      <c r="O515" t="n">
        <v>0</v>
      </c>
      <c r="P515" t="n">
        <v>0</v>
      </c>
      <c r="Q515" t="n">
        <v>0</v>
      </c>
      <c r="R515" s="2" t="inlineStr"/>
    </row>
    <row r="516" ht="15" customHeight="1">
      <c r="A516" t="inlineStr">
        <is>
          <t>A 43901-2023</t>
        </is>
      </c>
      <c r="B516" s="1" t="n">
        <v>45187</v>
      </c>
      <c r="C516" s="1" t="n">
        <v>45891</v>
      </c>
      <c r="D516" t="inlineStr">
        <is>
          <t>GOTLANDS LÄN</t>
        </is>
      </c>
      <c r="E516" t="inlineStr">
        <is>
          <t>GOTLAND</t>
        </is>
      </c>
      <c r="G516" t="n">
        <v>5.4</v>
      </c>
      <c r="H516" t="n">
        <v>0</v>
      </c>
      <c r="I516" t="n">
        <v>0</v>
      </c>
      <c r="J516" t="n">
        <v>0</v>
      </c>
      <c r="K516" t="n">
        <v>0</v>
      </c>
      <c r="L516" t="n">
        <v>0</v>
      </c>
      <c r="M516" t="n">
        <v>0</v>
      </c>
      <c r="N516" t="n">
        <v>0</v>
      </c>
      <c r="O516" t="n">
        <v>0</v>
      </c>
      <c r="P516" t="n">
        <v>0</v>
      </c>
      <c r="Q516" t="n">
        <v>0</v>
      </c>
      <c r="R516" s="2" t="inlineStr"/>
    </row>
    <row r="517" ht="15" customHeight="1">
      <c r="A517" t="inlineStr">
        <is>
          <t>A 14797-2024</t>
        </is>
      </c>
      <c r="B517" s="1" t="n">
        <v>45397.87030092593</v>
      </c>
      <c r="C517" s="1" t="n">
        <v>45891</v>
      </c>
      <c r="D517" t="inlineStr">
        <is>
          <t>GOTLANDS LÄN</t>
        </is>
      </c>
      <c r="E517" t="inlineStr">
        <is>
          <t>GOTLAND</t>
        </is>
      </c>
      <c r="G517" t="n">
        <v>8.1</v>
      </c>
      <c r="H517" t="n">
        <v>0</v>
      </c>
      <c r="I517" t="n">
        <v>0</v>
      </c>
      <c r="J517" t="n">
        <v>0</v>
      </c>
      <c r="K517" t="n">
        <v>0</v>
      </c>
      <c r="L517" t="n">
        <v>0</v>
      </c>
      <c r="M517" t="n">
        <v>0</v>
      </c>
      <c r="N517" t="n">
        <v>0</v>
      </c>
      <c r="O517" t="n">
        <v>0</v>
      </c>
      <c r="P517" t="n">
        <v>0</v>
      </c>
      <c r="Q517" t="n">
        <v>0</v>
      </c>
      <c r="R517" s="2" t="inlineStr"/>
    </row>
    <row r="518" ht="15" customHeight="1">
      <c r="A518" t="inlineStr">
        <is>
          <t>A 999-2024</t>
        </is>
      </c>
      <c r="B518" s="1" t="n">
        <v>45301</v>
      </c>
      <c r="C518" s="1" t="n">
        <v>45891</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61596-2023</t>
        </is>
      </c>
      <c r="B519" s="1" t="n">
        <v>45265</v>
      </c>
      <c r="C519" s="1" t="n">
        <v>45891</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10746-2025</t>
        </is>
      </c>
      <c r="B520" s="1" t="n">
        <v>45722.42766203704</v>
      </c>
      <c r="C520" s="1" t="n">
        <v>45891</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16501-2023</t>
        </is>
      </c>
      <c r="B521" s="1" t="n">
        <v>45029</v>
      </c>
      <c r="C521" s="1" t="n">
        <v>45891</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30157-2025</t>
        </is>
      </c>
      <c r="B522" s="1" t="n">
        <v>45826</v>
      </c>
      <c r="C522" s="1" t="n">
        <v>45891</v>
      </c>
      <c r="D522" t="inlineStr">
        <is>
          <t>GOTLANDS LÄN</t>
        </is>
      </c>
      <c r="E522" t="inlineStr">
        <is>
          <t>GOTLAND</t>
        </is>
      </c>
      <c r="G522" t="n">
        <v>2.5</v>
      </c>
      <c r="H522" t="n">
        <v>0</v>
      </c>
      <c r="I522" t="n">
        <v>0</v>
      </c>
      <c r="J522" t="n">
        <v>0</v>
      </c>
      <c r="K522" t="n">
        <v>0</v>
      </c>
      <c r="L522" t="n">
        <v>0</v>
      </c>
      <c r="M522" t="n">
        <v>0</v>
      </c>
      <c r="N522" t="n">
        <v>0</v>
      </c>
      <c r="O522" t="n">
        <v>0</v>
      </c>
      <c r="P522" t="n">
        <v>0</v>
      </c>
      <c r="Q522" t="n">
        <v>0</v>
      </c>
      <c r="R522" s="2" t="inlineStr"/>
    </row>
    <row r="523" ht="15" customHeight="1">
      <c r="A523" t="inlineStr">
        <is>
          <t>A 36319-2025</t>
        </is>
      </c>
      <c r="B523" s="1" t="n">
        <v>45868.38543981482</v>
      </c>
      <c r="C523" s="1" t="n">
        <v>45891</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14638-2025</t>
        </is>
      </c>
      <c r="B524" s="1" t="n">
        <v>45742</v>
      </c>
      <c r="C524" s="1" t="n">
        <v>45891</v>
      </c>
      <c r="D524" t="inlineStr">
        <is>
          <t>GOTLANDS LÄN</t>
        </is>
      </c>
      <c r="E524" t="inlineStr">
        <is>
          <t>GOTLAND</t>
        </is>
      </c>
      <c r="G524" t="n">
        <v>13.4</v>
      </c>
      <c r="H524" t="n">
        <v>0</v>
      </c>
      <c r="I524" t="n">
        <v>0</v>
      </c>
      <c r="J524" t="n">
        <v>0</v>
      </c>
      <c r="K524" t="n">
        <v>0</v>
      </c>
      <c r="L524" t="n">
        <v>0</v>
      </c>
      <c r="M524" t="n">
        <v>0</v>
      </c>
      <c r="N524" t="n">
        <v>0</v>
      </c>
      <c r="O524" t="n">
        <v>0</v>
      </c>
      <c r="P524" t="n">
        <v>0</v>
      </c>
      <c r="Q524" t="n">
        <v>0</v>
      </c>
      <c r="R524" s="2" t="inlineStr"/>
    </row>
    <row r="525" ht="15" customHeight="1">
      <c r="A525" t="inlineStr">
        <is>
          <t>A 30061-2025</t>
        </is>
      </c>
      <c r="B525" s="1" t="n">
        <v>45826.61488425926</v>
      </c>
      <c r="C525" s="1" t="n">
        <v>45891</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60675-2021</t>
        </is>
      </c>
      <c r="B526" s="1" t="n">
        <v>44496.64855324074</v>
      </c>
      <c r="C526" s="1" t="n">
        <v>45891</v>
      </c>
      <c r="D526" t="inlineStr">
        <is>
          <t>GOTLANDS LÄN</t>
        </is>
      </c>
      <c r="E526" t="inlineStr">
        <is>
          <t>GOTLAND</t>
        </is>
      </c>
      <c r="G526" t="n">
        <v>4.6</v>
      </c>
      <c r="H526" t="n">
        <v>0</v>
      </c>
      <c r="I526" t="n">
        <v>0</v>
      </c>
      <c r="J526" t="n">
        <v>0</v>
      </c>
      <c r="K526" t="n">
        <v>0</v>
      </c>
      <c r="L526" t="n">
        <v>0</v>
      </c>
      <c r="M526" t="n">
        <v>0</v>
      </c>
      <c r="N526" t="n">
        <v>0</v>
      </c>
      <c r="O526" t="n">
        <v>0</v>
      </c>
      <c r="P526" t="n">
        <v>0</v>
      </c>
      <c r="Q526" t="n">
        <v>0</v>
      </c>
      <c r="R526" s="2" t="inlineStr"/>
    </row>
    <row r="527" ht="15" customHeight="1">
      <c r="A527" t="inlineStr">
        <is>
          <t>A 37728-2024</t>
        </is>
      </c>
      <c r="B527" s="1" t="n">
        <v>45541</v>
      </c>
      <c r="C527" s="1" t="n">
        <v>45891</v>
      </c>
      <c r="D527" t="inlineStr">
        <is>
          <t>GOTLANDS LÄN</t>
        </is>
      </c>
      <c r="E527" t="inlineStr">
        <is>
          <t>GOTLAND</t>
        </is>
      </c>
      <c r="G527" t="n">
        <v>0.4</v>
      </c>
      <c r="H527" t="n">
        <v>0</v>
      </c>
      <c r="I527" t="n">
        <v>0</v>
      </c>
      <c r="J527" t="n">
        <v>0</v>
      </c>
      <c r="K527" t="n">
        <v>0</v>
      </c>
      <c r="L527" t="n">
        <v>0</v>
      </c>
      <c r="M527" t="n">
        <v>0</v>
      </c>
      <c r="N527" t="n">
        <v>0</v>
      </c>
      <c r="O527" t="n">
        <v>0</v>
      </c>
      <c r="P527" t="n">
        <v>0</v>
      </c>
      <c r="Q527" t="n">
        <v>0</v>
      </c>
      <c r="R527" s="2" t="inlineStr"/>
    </row>
    <row r="528" ht="15" customHeight="1">
      <c r="A528" t="inlineStr">
        <is>
          <t>A 27930-2021</t>
        </is>
      </c>
      <c r="B528" s="1" t="n">
        <v>44354</v>
      </c>
      <c r="C528" s="1" t="n">
        <v>45891</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58160-2024</t>
        </is>
      </c>
      <c r="B529" s="1" t="n">
        <v>45632.44927083333</v>
      </c>
      <c r="C529" s="1" t="n">
        <v>45891</v>
      </c>
      <c r="D529" t="inlineStr">
        <is>
          <t>GOTLANDS LÄN</t>
        </is>
      </c>
      <c r="E529" t="inlineStr">
        <is>
          <t>GOTLAND</t>
        </is>
      </c>
      <c r="G529" t="n">
        <v>5.6</v>
      </c>
      <c r="H529" t="n">
        <v>0</v>
      </c>
      <c r="I529" t="n">
        <v>0</v>
      </c>
      <c r="J529" t="n">
        <v>0</v>
      </c>
      <c r="K529" t="n">
        <v>0</v>
      </c>
      <c r="L529" t="n">
        <v>0</v>
      </c>
      <c r="M529" t="n">
        <v>0</v>
      </c>
      <c r="N529" t="n">
        <v>0</v>
      </c>
      <c r="O529" t="n">
        <v>0</v>
      </c>
      <c r="P529" t="n">
        <v>0</v>
      </c>
      <c r="Q529" t="n">
        <v>0</v>
      </c>
      <c r="R529" s="2" t="inlineStr"/>
    </row>
    <row r="530" ht="15" customHeight="1">
      <c r="A530" t="inlineStr">
        <is>
          <t>A 61962-2024</t>
        </is>
      </c>
      <c r="B530" s="1" t="n">
        <v>45653.54340277778</v>
      </c>
      <c r="C530" s="1" t="n">
        <v>45891</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10492-2023</t>
        </is>
      </c>
      <c r="B531" s="1" t="n">
        <v>44987</v>
      </c>
      <c r="C531" s="1" t="n">
        <v>45891</v>
      </c>
      <c r="D531" t="inlineStr">
        <is>
          <t>GOTLANDS LÄN</t>
        </is>
      </c>
      <c r="E531" t="inlineStr">
        <is>
          <t>GOTLAND</t>
        </is>
      </c>
      <c r="G531" t="n">
        <v>1</v>
      </c>
      <c r="H531" t="n">
        <v>0</v>
      </c>
      <c r="I531" t="n">
        <v>0</v>
      </c>
      <c r="J531" t="n">
        <v>0</v>
      </c>
      <c r="K531" t="n">
        <v>0</v>
      </c>
      <c r="L531" t="n">
        <v>0</v>
      </c>
      <c r="M531" t="n">
        <v>0</v>
      </c>
      <c r="N531" t="n">
        <v>0</v>
      </c>
      <c r="O531" t="n">
        <v>0</v>
      </c>
      <c r="P531" t="n">
        <v>0</v>
      </c>
      <c r="Q531" t="n">
        <v>0</v>
      </c>
      <c r="R531" s="2" t="inlineStr"/>
    </row>
    <row r="532" ht="15" customHeight="1">
      <c r="A532" t="inlineStr">
        <is>
          <t>A 22287-2022</t>
        </is>
      </c>
      <c r="B532" s="1" t="n">
        <v>44712</v>
      </c>
      <c r="C532" s="1" t="n">
        <v>45891</v>
      </c>
      <c r="D532" t="inlineStr">
        <is>
          <t>GOTLANDS LÄN</t>
        </is>
      </c>
      <c r="E532" t="inlineStr">
        <is>
          <t>GOTLAND</t>
        </is>
      </c>
      <c r="G532" t="n">
        <v>6.1</v>
      </c>
      <c r="H532" t="n">
        <v>0</v>
      </c>
      <c r="I532" t="n">
        <v>0</v>
      </c>
      <c r="J532" t="n">
        <v>0</v>
      </c>
      <c r="K532" t="n">
        <v>0</v>
      </c>
      <c r="L532" t="n">
        <v>0</v>
      </c>
      <c r="M532" t="n">
        <v>0</v>
      </c>
      <c r="N532" t="n">
        <v>0</v>
      </c>
      <c r="O532" t="n">
        <v>0</v>
      </c>
      <c r="P532" t="n">
        <v>0</v>
      </c>
      <c r="Q532" t="n">
        <v>0</v>
      </c>
      <c r="R532" s="2" t="inlineStr"/>
    </row>
    <row r="533" ht="15" customHeight="1">
      <c r="A533" t="inlineStr">
        <is>
          <t>A 54074-2022</t>
        </is>
      </c>
      <c r="B533" s="1" t="n">
        <v>44881</v>
      </c>
      <c r="C533" s="1" t="n">
        <v>45891</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5909-2025</t>
        </is>
      </c>
      <c r="B534" s="1" t="n">
        <v>45695.40634259259</v>
      </c>
      <c r="C534" s="1" t="n">
        <v>45891</v>
      </c>
      <c r="D534" t="inlineStr">
        <is>
          <t>GOTLANDS LÄN</t>
        </is>
      </c>
      <c r="E534" t="inlineStr">
        <is>
          <t>GOTLAND</t>
        </is>
      </c>
      <c r="G534" t="n">
        <v>2.9</v>
      </c>
      <c r="H534" t="n">
        <v>0</v>
      </c>
      <c r="I534" t="n">
        <v>0</v>
      </c>
      <c r="J534" t="n">
        <v>0</v>
      </c>
      <c r="K534" t="n">
        <v>0</v>
      </c>
      <c r="L534" t="n">
        <v>0</v>
      </c>
      <c r="M534" t="n">
        <v>0</v>
      </c>
      <c r="N534" t="n">
        <v>0</v>
      </c>
      <c r="O534" t="n">
        <v>0</v>
      </c>
      <c r="P534" t="n">
        <v>0</v>
      </c>
      <c r="Q534" t="n">
        <v>0</v>
      </c>
      <c r="R534" s="2" t="inlineStr"/>
    </row>
    <row r="535" ht="15" customHeight="1">
      <c r="A535" t="inlineStr">
        <is>
          <t>A 10653-2023</t>
        </is>
      </c>
      <c r="B535" s="1" t="n">
        <v>44988.48859953704</v>
      </c>
      <c r="C535" s="1" t="n">
        <v>45891</v>
      </c>
      <c r="D535" t="inlineStr">
        <is>
          <t>GOTLANDS LÄN</t>
        </is>
      </c>
      <c r="E535" t="inlineStr">
        <is>
          <t>GOTLAND</t>
        </is>
      </c>
      <c r="F535" t="inlineStr">
        <is>
          <t>Kyrkan</t>
        </is>
      </c>
      <c r="G535" t="n">
        <v>3</v>
      </c>
      <c r="H535" t="n">
        <v>0</v>
      </c>
      <c r="I535" t="n">
        <v>0</v>
      </c>
      <c r="J535" t="n">
        <v>0</v>
      </c>
      <c r="K535" t="n">
        <v>0</v>
      </c>
      <c r="L535" t="n">
        <v>0</v>
      </c>
      <c r="M535" t="n">
        <v>0</v>
      </c>
      <c r="N535" t="n">
        <v>0</v>
      </c>
      <c r="O535" t="n">
        <v>0</v>
      </c>
      <c r="P535" t="n">
        <v>0</v>
      </c>
      <c r="Q535" t="n">
        <v>0</v>
      </c>
      <c r="R535" s="2" t="inlineStr"/>
    </row>
    <row r="536" ht="15" customHeight="1">
      <c r="A536" t="inlineStr">
        <is>
          <t>A 65249-2023</t>
        </is>
      </c>
      <c r="B536" s="1" t="n">
        <v>45290</v>
      </c>
      <c r="C536" s="1" t="n">
        <v>45891</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30488-2025</t>
        </is>
      </c>
      <c r="B537" s="1" t="n">
        <v>45830</v>
      </c>
      <c r="C537" s="1" t="n">
        <v>45891</v>
      </c>
      <c r="D537" t="inlineStr">
        <is>
          <t>GOTLANDS LÄN</t>
        </is>
      </c>
      <c r="E537" t="inlineStr">
        <is>
          <t>GOTLAND</t>
        </is>
      </c>
      <c r="F537" t="inlineStr">
        <is>
          <t>Kyrkan</t>
        </is>
      </c>
      <c r="G537" t="n">
        <v>3.9</v>
      </c>
      <c r="H537" t="n">
        <v>0</v>
      </c>
      <c r="I537" t="n">
        <v>0</v>
      </c>
      <c r="J537" t="n">
        <v>0</v>
      </c>
      <c r="K537" t="n">
        <v>0</v>
      </c>
      <c r="L537" t="n">
        <v>0</v>
      </c>
      <c r="M537" t="n">
        <v>0</v>
      </c>
      <c r="N537" t="n">
        <v>0</v>
      </c>
      <c r="O537" t="n">
        <v>0</v>
      </c>
      <c r="P537" t="n">
        <v>0</v>
      </c>
      <c r="Q537" t="n">
        <v>0</v>
      </c>
      <c r="R537" s="2" t="inlineStr"/>
    </row>
    <row r="538" ht="15" customHeight="1">
      <c r="A538" t="inlineStr">
        <is>
          <t>A 15001-2025</t>
        </is>
      </c>
      <c r="B538" s="1" t="n">
        <v>45743</v>
      </c>
      <c r="C538" s="1" t="n">
        <v>45891</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2035-2025</t>
        </is>
      </c>
      <c r="B539" s="1" t="n">
        <v>45672</v>
      </c>
      <c r="C539" s="1" t="n">
        <v>45891</v>
      </c>
      <c r="D539" t="inlineStr">
        <is>
          <t>GOTLANDS LÄN</t>
        </is>
      </c>
      <c r="E539" t="inlineStr">
        <is>
          <t>GOTLAND</t>
        </is>
      </c>
      <c r="G539" t="n">
        <v>7.5</v>
      </c>
      <c r="H539" t="n">
        <v>0</v>
      </c>
      <c r="I539" t="n">
        <v>0</v>
      </c>
      <c r="J539" t="n">
        <v>0</v>
      </c>
      <c r="K539" t="n">
        <v>0</v>
      </c>
      <c r="L539" t="n">
        <v>0</v>
      </c>
      <c r="M539" t="n">
        <v>0</v>
      </c>
      <c r="N539" t="n">
        <v>0</v>
      </c>
      <c r="O539" t="n">
        <v>0</v>
      </c>
      <c r="P539" t="n">
        <v>0</v>
      </c>
      <c r="Q539" t="n">
        <v>0</v>
      </c>
      <c r="R539" s="2" t="inlineStr"/>
    </row>
    <row r="540" ht="15" customHeight="1">
      <c r="A540" t="inlineStr">
        <is>
          <t>A 30489-2025</t>
        </is>
      </c>
      <c r="B540" s="1" t="n">
        <v>45830</v>
      </c>
      <c r="C540" s="1" t="n">
        <v>45891</v>
      </c>
      <c r="D540" t="inlineStr">
        <is>
          <t>GOTLANDS LÄN</t>
        </is>
      </c>
      <c r="E540" t="inlineStr">
        <is>
          <t>GOTLAND</t>
        </is>
      </c>
      <c r="G540" t="n">
        <v>4.6</v>
      </c>
      <c r="H540" t="n">
        <v>0</v>
      </c>
      <c r="I540" t="n">
        <v>0</v>
      </c>
      <c r="J540" t="n">
        <v>0</v>
      </c>
      <c r="K540" t="n">
        <v>0</v>
      </c>
      <c r="L540" t="n">
        <v>0</v>
      </c>
      <c r="M540" t="n">
        <v>0</v>
      </c>
      <c r="N540" t="n">
        <v>0</v>
      </c>
      <c r="O540" t="n">
        <v>0</v>
      </c>
      <c r="P540" t="n">
        <v>0</v>
      </c>
      <c r="Q540" t="n">
        <v>0</v>
      </c>
      <c r="R540" s="2" t="inlineStr"/>
    </row>
    <row r="541" ht="15" customHeight="1">
      <c r="A541" t="inlineStr">
        <is>
          <t>A 4990-2025</t>
        </is>
      </c>
      <c r="B541" s="1" t="n">
        <v>45691</v>
      </c>
      <c r="C541" s="1" t="n">
        <v>45891</v>
      </c>
      <c r="D541" t="inlineStr">
        <is>
          <t>GOTLANDS LÄN</t>
        </is>
      </c>
      <c r="E541" t="inlineStr">
        <is>
          <t>GOTLAND</t>
        </is>
      </c>
      <c r="G541" t="n">
        <v>7.7</v>
      </c>
      <c r="H541" t="n">
        <v>0</v>
      </c>
      <c r="I541" t="n">
        <v>0</v>
      </c>
      <c r="J541" t="n">
        <v>0</v>
      </c>
      <c r="K541" t="n">
        <v>0</v>
      </c>
      <c r="L541" t="n">
        <v>0</v>
      </c>
      <c r="M541" t="n">
        <v>0</v>
      </c>
      <c r="N541" t="n">
        <v>0</v>
      </c>
      <c r="O541" t="n">
        <v>0</v>
      </c>
      <c r="P541" t="n">
        <v>0</v>
      </c>
      <c r="Q541" t="n">
        <v>0</v>
      </c>
      <c r="R541" s="2" t="inlineStr"/>
    </row>
    <row r="542" ht="15" customHeight="1">
      <c r="A542" t="inlineStr">
        <is>
          <t>A 13910-2025</t>
        </is>
      </c>
      <c r="B542" s="1" t="n">
        <v>45737</v>
      </c>
      <c r="C542" s="1" t="n">
        <v>45891</v>
      </c>
      <c r="D542" t="inlineStr">
        <is>
          <t>GOTLANDS LÄN</t>
        </is>
      </c>
      <c r="E542" t="inlineStr">
        <is>
          <t>GOTLAND</t>
        </is>
      </c>
      <c r="F542" t="inlineStr">
        <is>
          <t>Kommuner</t>
        </is>
      </c>
      <c r="G542" t="n">
        <v>3.2</v>
      </c>
      <c r="H542" t="n">
        <v>0</v>
      </c>
      <c r="I542" t="n">
        <v>0</v>
      </c>
      <c r="J542" t="n">
        <v>0</v>
      </c>
      <c r="K542" t="n">
        <v>0</v>
      </c>
      <c r="L542" t="n">
        <v>0</v>
      </c>
      <c r="M542" t="n">
        <v>0</v>
      </c>
      <c r="N542" t="n">
        <v>0</v>
      </c>
      <c r="O542" t="n">
        <v>0</v>
      </c>
      <c r="P542" t="n">
        <v>0</v>
      </c>
      <c r="Q542" t="n">
        <v>0</v>
      </c>
      <c r="R542" s="2" t="inlineStr"/>
    </row>
    <row r="543" ht="15" customHeight="1">
      <c r="A543" t="inlineStr">
        <is>
          <t>A 30135-2025</t>
        </is>
      </c>
      <c r="B543" s="1" t="n">
        <v>45826</v>
      </c>
      <c r="C543" s="1" t="n">
        <v>45891</v>
      </c>
      <c r="D543" t="inlineStr">
        <is>
          <t>GOTLANDS LÄN</t>
        </is>
      </c>
      <c r="E543" t="inlineStr">
        <is>
          <t>GOTLAND</t>
        </is>
      </c>
      <c r="G543" t="n">
        <v>2.7</v>
      </c>
      <c r="H543" t="n">
        <v>0</v>
      </c>
      <c r="I543" t="n">
        <v>0</v>
      </c>
      <c r="J543" t="n">
        <v>0</v>
      </c>
      <c r="K543" t="n">
        <v>0</v>
      </c>
      <c r="L543" t="n">
        <v>0</v>
      </c>
      <c r="M543" t="n">
        <v>0</v>
      </c>
      <c r="N543" t="n">
        <v>0</v>
      </c>
      <c r="O543" t="n">
        <v>0</v>
      </c>
      <c r="P543" t="n">
        <v>0</v>
      </c>
      <c r="Q543" t="n">
        <v>0</v>
      </c>
      <c r="R543" s="2" t="inlineStr"/>
    </row>
    <row r="544" ht="15" customHeight="1">
      <c r="A544" t="inlineStr">
        <is>
          <t>A 43081-2022</t>
        </is>
      </c>
      <c r="B544" s="1" t="n">
        <v>44833</v>
      </c>
      <c r="C544" s="1" t="n">
        <v>45891</v>
      </c>
      <c r="D544" t="inlineStr">
        <is>
          <t>GOTLANDS LÄN</t>
        </is>
      </c>
      <c r="E544" t="inlineStr">
        <is>
          <t>GOTLAND</t>
        </is>
      </c>
      <c r="G544" t="n">
        <v>6.8</v>
      </c>
      <c r="H544" t="n">
        <v>0</v>
      </c>
      <c r="I544" t="n">
        <v>0</v>
      </c>
      <c r="J544" t="n">
        <v>0</v>
      </c>
      <c r="K544" t="n">
        <v>0</v>
      </c>
      <c r="L544" t="n">
        <v>0</v>
      </c>
      <c r="M544" t="n">
        <v>0</v>
      </c>
      <c r="N544" t="n">
        <v>0</v>
      </c>
      <c r="O544" t="n">
        <v>0</v>
      </c>
      <c r="P544" t="n">
        <v>0</v>
      </c>
      <c r="Q544" t="n">
        <v>0</v>
      </c>
      <c r="R544" s="2" t="inlineStr"/>
    </row>
    <row r="545" ht="15" customHeight="1">
      <c r="A545" t="inlineStr">
        <is>
          <t>A 32958-2021</t>
        </is>
      </c>
      <c r="B545" s="1" t="n">
        <v>44376</v>
      </c>
      <c r="C545" s="1" t="n">
        <v>45891</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32686-2025</t>
        </is>
      </c>
      <c r="B546" s="1" t="n">
        <v>45838</v>
      </c>
      <c r="C546" s="1" t="n">
        <v>45891</v>
      </c>
      <c r="D546" t="inlineStr">
        <is>
          <t>GOTLANDS LÄN</t>
        </is>
      </c>
      <c r="E546" t="inlineStr">
        <is>
          <t>GOTLAND</t>
        </is>
      </c>
      <c r="G546" t="n">
        <v>2.2</v>
      </c>
      <c r="H546" t="n">
        <v>0</v>
      </c>
      <c r="I546" t="n">
        <v>0</v>
      </c>
      <c r="J546" t="n">
        <v>0</v>
      </c>
      <c r="K546" t="n">
        <v>0</v>
      </c>
      <c r="L546" t="n">
        <v>0</v>
      </c>
      <c r="M546" t="n">
        <v>0</v>
      </c>
      <c r="N546" t="n">
        <v>0</v>
      </c>
      <c r="O546" t="n">
        <v>0</v>
      </c>
      <c r="P546" t="n">
        <v>0</v>
      </c>
      <c r="Q546" t="n">
        <v>0</v>
      </c>
      <c r="R546" s="2" t="inlineStr"/>
    </row>
    <row r="547" ht="15" customHeight="1">
      <c r="A547" t="inlineStr">
        <is>
          <t>A 1728-2025</t>
        </is>
      </c>
      <c r="B547" s="1" t="n">
        <v>45671.3565162037</v>
      </c>
      <c r="C547" s="1" t="n">
        <v>45891</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5884-2025</t>
        </is>
      </c>
      <c r="B548" s="1" t="n">
        <v>45695.37482638889</v>
      </c>
      <c r="C548" s="1" t="n">
        <v>45891</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5897-2025</t>
        </is>
      </c>
      <c r="B549" s="1" t="n">
        <v>45695.39273148148</v>
      </c>
      <c r="C549" s="1" t="n">
        <v>45891</v>
      </c>
      <c r="D549" t="inlineStr">
        <is>
          <t>GOTLANDS LÄN</t>
        </is>
      </c>
      <c r="E549" t="inlineStr">
        <is>
          <t>GOTLAND</t>
        </is>
      </c>
      <c r="G549" t="n">
        <v>3.7</v>
      </c>
      <c r="H549" t="n">
        <v>0</v>
      </c>
      <c r="I549" t="n">
        <v>0</v>
      </c>
      <c r="J549" t="n">
        <v>0</v>
      </c>
      <c r="K549" t="n">
        <v>0</v>
      </c>
      <c r="L549" t="n">
        <v>0</v>
      </c>
      <c r="M549" t="n">
        <v>0</v>
      </c>
      <c r="N549" t="n">
        <v>0</v>
      </c>
      <c r="O549" t="n">
        <v>0</v>
      </c>
      <c r="P549" t="n">
        <v>0</v>
      </c>
      <c r="Q549" t="n">
        <v>0</v>
      </c>
      <c r="R549" s="2" t="inlineStr"/>
    </row>
    <row r="550" ht="15" customHeight="1">
      <c r="A550" t="inlineStr">
        <is>
          <t>A 17780-2022</t>
        </is>
      </c>
      <c r="B550" s="1" t="n">
        <v>44682.82622685185</v>
      </c>
      <c r="C550" s="1" t="n">
        <v>45891</v>
      </c>
      <c r="D550" t="inlineStr">
        <is>
          <t>GOTLANDS LÄN</t>
        </is>
      </c>
      <c r="E550" t="inlineStr">
        <is>
          <t>GOTLAND</t>
        </is>
      </c>
      <c r="G550" t="n">
        <v>2.2</v>
      </c>
      <c r="H550" t="n">
        <v>0</v>
      </c>
      <c r="I550" t="n">
        <v>0</v>
      </c>
      <c r="J550" t="n">
        <v>0</v>
      </c>
      <c r="K550" t="n">
        <v>0</v>
      </c>
      <c r="L550" t="n">
        <v>0</v>
      </c>
      <c r="M550" t="n">
        <v>0</v>
      </c>
      <c r="N550" t="n">
        <v>0</v>
      </c>
      <c r="O550" t="n">
        <v>0</v>
      </c>
      <c r="P550" t="n">
        <v>0</v>
      </c>
      <c r="Q550" t="n">
        <v>0</v>
      </c>
      <c r="R550" s="2" t="inlineStr"/>
    </row>
    <row r="551" ht="15" customHeight="1">
      <c r="A551" t="inlineStr">
        <is>
          <t>A 32379-2025</t>
        </is>
      </c>
      <c r="B551" s="1" t="n">
        <v>45837</v>
      </c>
      <c r="C551" s="1" t="n">
        <v>45891</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49693-2023</t>
        </is>
      </c>
      <c r="B552" s="1" t="n">
        <v>45212.38138888889</v>
      </c>
      <c r="C552" s="1" t="n">
        <v>45891</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49697-2023</t>
        </is>
      </c>
      <c r="B553" s="1" t="n">
        <v>45212.38909722222</v>
      </c>
      <c r="C553" s="1" t="n">
        <v>45891</v>
      </c>
      <c r="D553" t="inlineStr">
        <is>
          <t>GOTLANDS LÄN</t>
        </is>
      </c>
      <c r="E553" t="inlineStr">
        <is>
          <t>GOTLAND</t>
        </is>
      </c>
      <c r="G553" t="n">
        <v>4.4</v>
      </c>
      <c r="H553" t="n">
        <v>0</v>
      </c>
      <c r="I553" t="n">
        <v>0</v>
      </c>
      <c r="J553" t="n">
        <v>0</v>
      </c>
      <c r="K553" t="n">
        <v>0</v>
      </c>
      <c r="L553" t="n">
        <v>0</v>
      </c>
      <c r="M553" t="n">
        <v>0</v>
      </c>
      <c r="N553" t="n">
        <v>0</v>
      </c>
      <c r="O553" t="n">
        <v>0</v>
      </c>
      <c r="P553" t="n">
        <v>0</v>
      </c>
      <c r="Q553" t="n">
        <v>0</v>
      </c>
      <c r="R553" s="2" t="inlineStr"/>
    </row>
    <row r="554" ht="15" customHeight="1">
      <c r="A554" t="inlineStr">
        <is>
          <t>A 59986-2022</t>
        </is>
      </c>
      <c r="B554" s="1" t="n">
        <v>44909</v>
      </c>
      <c r="C554" s="1" t="n">
        <v>45891</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32467-2025</t>
        </is>
      </c>
      <c r="B555" s="1" t="n">
        <v>45838.42111111111</v>
      </c>
      <c r="C555" s="1" t="n">
        <v>45891</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14536-2021</t>
        </is>
      </c>
      <c r="B556" s="1" t="n">
        <v>44279.66168981481</v>
      </c>
      <c r="C556" s="1" t="n">
        <v>45891</v>
      </c>
      <c r="D556" t="inlineStr">
        <is>
          <t>GOTLANDS LÄN</t>
        </is>
      </c>
      <c r="E556" t="inlineStr">
        <is>
          <t>GOTLAND</t>
        </is>
      </c>
      <c r="G556" t="n">
        <v>8.5</v>
      </c>
      <c r="H556" t="n">
        <v>0</v>
      </c>
      <c r="I556" t="n">
        <v>0</v>
      </c>
      <c r="J556" t="n">
        <v>0</v>
      </c>
      <c r="K556" t="n">
        <v>0</v>
      </c>
      <c r="L556" t="n">
        <v>0</v>
      </c>
      <c r="M556" t="n">
        <v>0</v>
      </c>
      <c r="N556" t="n">
        <v>0</v>
      </c>
      <c r="O556" t="n">
        <v>0</v>
      </c>
      <c r="P556" t="n">
        <v>0</v>
      </c>
      <c r="Q556" t="n">
        <v>0</v>
      </c>
      <c r="R556" s="2" t="inlineStr"/>
    </row>
    <row r="557" ht="15" customHeight="1">
      <c r="A557" t="inlineStr">
        <is>
          <t>A 32378-2025</t>
        </is>
      </c>
      <c r="B557" s="1" t="n">
        <v>45837</v>
      </c>
      <c r="C557" s="1" t="n">
        <v>45891</v>
      </c>
      <c r="D557" t="inlineStr">
        <is>
          <t>GOTLANDS LÄN</t>
        </is>
      </c>
      <c r="E557" t="inlineStr">
        <is>
          <t>GOTLAND</t>
        </is>
      </c>
      <c r="G557" t="n">
        <v>4.1</v>
      </c>
      <c r="H557" t="n">
        <v>0</v>
      </c>
      <c r="I557" t="n">
        <v>0</v>
      </c>
      <c r="J557" t="n">
        <v>0</v>
      </c>
      <c r="K557" t="n">
        <v>0</v>
      </c>
      <c r="L557" t="n">
        <v>0</v>
      </c>
      <c r="M557" t="n">
        <v>0</v>
      </c>
      <c r="N557" t="n">
        <v>0</v>
      </c>
      <c r="O557" t="n">
        <v>0</v>
      </c>
      <c r="P557" t="n">
        <v>0</v>
      </c>
      <c r="Q557" t="n">
        <v>0</v>
      </c>
      <c r="R557" s="2" t="inlineStr"/>
    </row>
    <row r="558" ht="15" customHeight="1">
      <c r="A558" t="inlineStr">
        <is>
          <t>A 16109-2025</t>
        </is>
      </c>
      <c r="B558" s="1" t="n">
        <v>45750</v>
      </c>
      <c r="C558" s="1" t="n">
        <v>45891</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33078-2025</t>
        </is>
      </c>
      <c r="B559" s="1" t="n">
        <v>45840</v>
      </c>
      <c r="C559" s="1" t="n">
        <v>45891</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20660-2025</t>
        </is>
      </c>
      <c r="B560" s="1" t="n">
        <v>45776</v>
      </c>
      <c r="C560" s="1" t="n">
        <v>45891</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33007-2025</t>
        </is>
      </c>
      <c r="B561" s="1" t="n">
        <v>45840</v>
      </c>
      <c r="C561" s="1" t="n">
        <v>45891</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33011-2025</t>
        </is>
      </c>
      <c r="B562" s="1" t="n">
        <v>45840</v>
      </c>
      <c r="C562" s="1" t="n">
        <v>45891</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45891</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2292-2021</t>
        </is>
      </c>
      <c r="B564" s="1" t="n">
        <v>44212</v>
      </c>
      <c r="C564" s="1" t="n">
        <v>45891</v>
      </c>
      <c r="D564" t="inlineStr">
        <is>
          <t>GOTLANDS LÄN</t>
        </is>
      </c>
      <c r="E564" t="inlineStr">
        <is>
          <t>GOTLAND</t>
        </is>
      </c>
      <c r="G564" t="n">
        <v>3</v>
      </c>
      <c r="H564" t="n">
        <v>0</v>
      </c>
      <c r="I564" t="n">
        <v>0</v>
      </c>
      <c r="J564" t="n">
        <v>0</v>
      </c>
      <c r="K564" t="n">
        <v>0</v>
      </c>
      <c r="L564" t="n">
        <v>0</v>
      </c>
      <c r="M564" t="n">
        <v>0</v>
      </c>
      <c r="N564" t="n">
        <v>0</v>
      </c>
      <c r="O564" t="n">
        <v>0</v>
      </c>
      <c r="P564" t="n">
        <v>0</v>
      </c>
      <c r="Q564" t="n">
        <v>0</v>
      </c>
      <c r="R564" s="2" t="inlineStr"/>
    </row>
    <row r="565" ht="15" customHeight="1">
      <c r="A565" t="inlineStr">
        <is>
          <t>A 42041-2024</t>
        </is>
      </c>
      <c r="B565" s="1" t="n">
        <v>45561</v>
      </c>
      <c r="C565" s="1" t="n">
        <v>45891</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61694-2023</t>
        </is>
      </c>
      <c r="B566" s="1" t="n">
        <v>45264</v>
      </c>
      <c r="C566" s="1" t="n">
        <v>45891</v>
      </c>
      <c r="D566" t="inlineStr">
        <is>
          <t>GOTLANDS LÄN</t>
        </is>
      </c>
      <c r="E566" t="inlineStr">
        <is>
          <t>GOTLAND</t>
        </is>
      </c>
      <c r="G566" t="n">
        <v>4.6</v>
      </c>
      <c r="H566" t="n">
        <v>0</v>
      </c>
      <c r="I566" t="n">
        <v>0</v>
      </c>
      <c r="J566" t="n">
        <v>0</v>
      </c>
      <c r="K566" t="n">
        <v>0</v>
      </c>
      <c r="L566" t="n">
        <v>0</v>
      </c>
      <c r="M566" t="n">
        <v>0</v>
      </c>
      <c r="N566" t="n">
        <v>0</v>
      </c>
      <c r="O566" t="n">
        <v>0</v>
      </c>
      <c r="P566" t="n">
        <v>0</v>
      </c>
      <c r="Q566" t="n">
        <v>0</v>
      </c>
      <c r="R566" s="2" t="inlineStr"/>
    </row>
    <row r="567" ht="15" customHeight="1">
      <c r="A567" t="inlineStr">
        <is>
          <t>A 38649-2025</t>
        </is>
      </c>
      <c r="B567" s="1" t="n">
        <v>45884</v>
      </c>
      <c r="C567" s="1" t="n">
        <v>45891</v>
      </c>
      <c r="D567" t="inlineStr">
        <is>
          <t>GOTLANDS LÄN</t>
        </is>
      </c>
      <c r="E567" t="inlineStr">
        <is>
          <t>GOTLAND</t>
        </is>
      </c>
      <c r="G567" t="n">
        <v>1.5</v>
      </c>
      <c r="H567" t="n">
        <v>0</v>
      </c>
      <c r="I567" t="n">
        <v>0</v>
      </c>
      <c r="J567" t="n">
        <v>0</v>
      </c>
      <c r="K567" t="n">
        <v>0</v>
      </c>
      <c r="L567" t="n">
        <v>0</v>
      </c>
      <c r="M567" t="n">
        <v>0</v>
      </c>
      <c r="N567" t="n">
        <v>0</v>
      </c>
      <c r="O567" t="n">
        <v>0</v>
      </c>
      <c r="P567" t="n">
        <v>0</v>
      </c>
      <c r="Q567" t="n">
        <v>0</v>
      </c>
      <c r="R567" s="2" t="inlineStr"/>
    </row>
    <row r="568" ht="15" customHeight="1">
      <c r="A568" t="inlineStr">
        <is>
          <t>A 64555-2023</t>
        </is>
      </c>
      <c r="B568" s="1" t="n">
        <v>45281</v>
      </c>
      <c r="C568" s="1" t="n">
        <v>45891</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64831-2023</t>
        </is>
      </c>
      <c r="B569" s="1" t="n">
        <v>45282.44924768519</v>
      </c>
      <c r="C569" s="1" t="n">
        <v>45891</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14804-2021</t>
        </is>
      </c>
      <c r="B570" s="1" t="n">
        <v>44280</v>
      </c>
      <c r="C570" s="1" t="n">
        <v>45891</v>
      </c>
      <c r="D570" t="inlineStr">
        <is>
          <t>GOTLANDS LÄN</t>
        </is>
      </c>
      <c r="E570" t="inlineStr">
        <is>
          <t>GOTLAND</t>
        </is>
      </c>
      <c r="G570" t="n">
        <v>2.2</v>
      </c>
      <c r="H570" t="n">
        <v>0</v>
      </c>
      <c r="I570" t="n">
        <v>0</v>
      </c>
      <c r="J570" t="n">
        <v>0</v>
      </c>
      <c r="K570" t="n">
        <v>0</v>
      </c>
      <c r="L570" t="n">
        <v>0</v>
      </c>
      <c r="M570" t="n">
        <v>0</v>
      </c>
      <c r="N570" t="n">
        <v>0</v>
      </c>
      <c r="O570" t="n">
        <v>0</v>
      </c>
      <c r="P570" t="n">
        <v>0</v>
      </c>
      <c r="Q570" t="n">
        <v>0</v>
      </c>
      <c r="R570" s="2" t="inlineStr"/>
    </row>
    <row r="571" ht="15" customHeight="1">
      <c r="A571" t="inlineStr">
        <is>
          <t>A 999-2023</t>
        </is>
      </c>
      <c r="B571" s="1" t="n">
        <v>44935</v>
      </c>
      <c r="C571" s="1" t="n">
        <v>45891</v>
      </c>
      <c r="D571" t="inlineStr">
        <is>
          <t>GOTLANDS LÄN</t>
        </is>
      </c>
      <c r="E571" t="inlineStr">
        <is>
          <t>GOTLAND</t>
        </is>
      </c>
      <c r="G571" t="n">
        <v>4.7</v>
      </c>
      <c r="H571" t="n">
        <v>0</v>
      </c>
      <c r="I571" t="n">
        <v>0</v>
      </c>
      <c r="J571" t="n">
        <v>0</v>
      </c>
      <c r="K571" t="n">
        <v>0</v>
      </c>
      <c r="L571" t="n">
        <v>0</v>
      </c>
      <c r="M571" t="n">
        <v>0</v>
      </c>
      <c r="N571" t="n">
        <v>0</v>
      </c>
      <c r="O571" t="n">
        <v>0</v>
      </c>
      <c r="P571" t="n">
        <v>0</v>
      </c>
      <c r="Q571" t="n">
        <v>0</v>
      </c>
      <c r="R571" s="2" t="inlineStr"/>
    </row>
    <row r="572" ht="15" customHeight="1">
      <c r="A572" t="inlineStr">
        <is>
          <t>A 27602-2023</t>
        </is>
      </c>
      <c r="B572" s="1" t="n">
        <v>45097</v>
      </c>
      <c r="C572" s="1" t="n">
        <v>45891</v>
      </c>
      <c r="D572" t="inlineStr">
        <is>
          <t>GOTLANDS LÄN</t>
        </is>
      </c>
      <c r="E572" t="inlineStr">
        <is>
          <t>GOTLAND</t>
        </is>
      </c>
      <c r="G572" t="n">
        <v>2.7</v>
      </c>
      <c r="H572" t="n">
        <v>0</v>
      </c>
      <c r="I572" t="n">
        <v>0</v>
      </c>
      <c r="J572" t="n">
        <v>0</v>
      </c>
      <c r="K572" t="n">
        <v>0</v>
      </c>
      <c r="L572" t="n">
        <v>0</v>
      </c>
      <c r="M572" t="n">
        <v>0</v>
      </c>
      <c r="N572" t="n">
        <v>0</v>
      </c>
      <c r="O572" t="n">
        <v>0</v>
      </c>
      <c r="P572" t="n">
        <v>0</v>
      </c>
      <c r="Q572" t="n">
        <v>0</v>
      </c>
      <c r="R572" s="2" t="inlineStr"/>
    </row>
    <row r="573" ht="15" customHeight="1">
      <c r="A573" t="inlineStr">
        <is>
          <t>A 4377-2023</t>
        </is>
      </c>
      <c r="B573" s="1" t="n">
        <v>44955.5502662037</v>
      </c>
      <c r="C573" s="1" t="n">
        <v>45891</v>
      </c>
      <c r="D573" t="inlineStr">
        <is>
          <t>GOTLANDS LÄN</t>
        </is>
      </c>
      <c r="E573" t="inlineStr">
        <is>
          <t>GOTLAND</t>
        </is>
      </c>
      <c r="F573" t="inlineStr">
        <is>
          <t>Kyrkan</t>
        </is>
      </c>
      <c r="G573" t="n">
        <v>0.6</v>
      </c>
      <c r="H573" t="n">
        <v>0</v>
      </c>
      <c r="I573" t="n">
        <v>0</v>
      </c>
      <c r="J573" t="n">
        <v>0</v>
      </c>
      <c r="K573" t="n">
        <v>0</v>
      </c>
      <c r="L573" t="n">
        <v>0</v>
      </c>
      <c r="M573" t="n">
        <v>0</v>
      </c>
      <c r="N573" t="n">
        <v>0</v>
      </c>
      <c r="O573" t="n">
        <v>0</v>
      </c>
      <c r="P573" t="n">
        <v>0</v>
      </c>
      <c r="Q573" t="n">
        <v>0</v>
      </c>
      <c r="R573" s="2" t="inlineStr"/>
    </row>
    <row r="574" ht="15" customHeight="1">
      <c r="A574" t="inlineStr">
        <is>
          <t>A 4387-2023</t>
        </is>
      </c>
      <c r="B574" s="1" t="n">
        <v>44955.73359953704</v>
      </c>
      <c r="C574" s="1" t="n">
        <v>45891</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39479-2022</t>
        </is>
      </c>
      <c r="B575" s="1" t="n">
        <v>44818</v>
      </c>
      <c r="C575" s="1" t="n">
        <v>45891</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39278-2025</t>
        </is>
      </c>
      <c r="B576" s="1" t="n">
        <v>45889</v>
      </c>
      <c r="C576" s="1" t="n">
        <v>45891</v>
      </c>
      <c r="D576" t="inlineStr">
        <is>
          <t>GOTLANDS LÄN</t>
        </is>
      </c>
      <c r="E576" t="inlineStr">
        <is>
          <t>GOTLAND</t>
        </is>
      </c>
      <c r="G576" t="n">
        <v>3.7</v>
      </c>
      <c r="H576" t="n">
        <v>0</v>
      </c>
      <c r="I576" t="n">
        <v>0</v>
      </c>
      <c r="J576" t="n">
        <v>0</v>
      </c>
      <c r="K576" t="n">
        <v>0</v>
      </c>
      <c r="L576" t="n">
        <v>0</v>
      </c>
      <c r="M576" t="n">
        <v>0</v>
      </c>
      <c r="N576" t="n">
        <v>0</v>
      </c>
      <c r="O576" t="n">
        <v>0</v>
      </c>
      <c r="P576" t="n">
        <v>0</v>
      </c>
      <c r="Q576" t="n">
        <v>0</v>
      </c>
      <c r="R576" s="2" t="inlineStr"/>
    </row>
    <row r="577" ht="15" customHeight="1">
      <c r="A577" t="inlineStr">
        <is>
          <t>A 15413-2025</t>
        </is>
      </c>
      <c r="B577" s="1" t="n">
        <v>45747.451875</v>
      </c>
      <c r="C577" s="1" t="n">
        <v>45891</v>
      </c>
      <c r="D577" t="inlineStr">
        <is>
          <t>GOTLANDS LÄN</t>
        </is>
      </c>
      <c r="E577" t="inlineStr">
        <is>
          <t>GOTLAND</t>
        </is>
      </c>
      <c r="G577" t="n">
        <v>0.6</v>
      </c>
      <c r="H577" t="n">
        <v>0</v>
      </c>
      <c r="I577" t="n">
        <v>0</v>
      </c>
      <c r="J577" t="n">
        <v>0</v>
      </c>
      <c r="K577" t="n">
        <v>0</v>
      </c>
      <c r="L577" t="n">
        <v>0</v>
      </c>
      <c r="M577" t="n">
        <v>0</v>
      </c>
      <c r="N577" t="n">
        <v>0</v>
      </c>
      <c r="O577" t="n">
        <v>0</v>
      </c>
      <c r="P577" t="n">
        <v>0</v>
      </c>
      <c r="Q577" t="n">
        <v>0</v>
      </c>
      <c r="R577" s="2" t="inlineStr"/>
    </row>
    <row r="578" ht="15" customHeight="1">
      <c r="A578" t="inlineStr">
        <is>
          <t>A 51963-2024</t>
        </is>
      </c>
      <c r="B578" s="1" t="n">
        <v>45607.64833333333</v>
      </c>
      <c r="C578" s="1" t="n">
        <v>45891</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22883-2024</t>
        </is>
      </c>
      <c r="B579" s="1" t="n">
        <v>45448.66368055555</v>
      </c>
      <c r="C579" s="1" t="n">
        <v>45891</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811-2023</t>
        </is>
      </c>
      <c r="B580" s="1" t="n">
        <v>44931</v>
      </c>
      <c r="C580" s="1" t="n">
        <v>45891</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46389-2021</t>
        </is>
      </c>
      <c r="B581" s="1" t="n">
        <v>44443</v>
      </c>
      <c r="C581" s="1" t="n">
        <v>45891</v>
      </c>
      <c r="D581" t="inlineStr">
        <is>
          <t>GOTLANDS LÄN</t>
        </is>
      </c>
      <c r="E581" t="inlineStr">
        <is>
          <t>GOTLAND</t>
        </is>
      </c>
      <c r="F581" t="inlineStr">
        <is>
          <t>Kyrkan</t>
        </is>
      </c>
      <c r="G581" t="n">
        <v>2.1</v>
      </c>
      <c r="H581" t="n">
        <v>0</v>
      </c>
      <c r="I581" t="n">
        <v>0</v>
      </c>
      <c r="J581" t="n">
        <v>0</v>
      </c>
      <c r="K581" t="n">
        <v>0</v>
      </c>
      <c r="L581" t="n">
        <v>0</v>
      </c>
      <c r="M581" t="n">
        <v>0</v>
      </c>
      <c r="N581" t="n">
        <v>0</v>
      </c>
      <c r="O581" t="n">
        <v>0</v>
      </c>
      <c r="P581" t="n">
        <v>0</v>
      </c>
      <c r="Q581" t="n">
        <v>0</v>
      </c>
      <c r="R581" s="2" t="inlineStr"/>
    </row>
    <row r="582" ht="15" customHeight="1">
      <c r="A582" t="inlineStr">
        <is>
          <t>A 26810-2021</t>
        </is>
      </c>
      <c r="B582" s="1" t="n">
        <v>44349.55087962963</v>
      </c>
      <c r="C582" s="1" t="n">
        <v>45891</v>
      </c>
      <c r="D582" t="inlineStr">
        <is>
          <t>GOTLANDS LÄN</t>
        </is>
      </c>
      <c r="E582" t="inlineStr">
        <is>
          <t>GOTLAND</t>
        </is>
      </c>
      <c r="G582" t="n">
        <v>3.5</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44963.69503472222</v>
      </c>
      <c r="C583" s="1" t="n">
        <v>45891</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33853-2024</t>
        </is>
      </c>
      <c r="B584" s="1" t="n">
        <v>45520.64298611111</v>
      </c>
      <c r="C584" s="1" t="n">
        <v>45891</v>
      </c>
      <c r="D584" t="inlineStr">
        <is>
          <t>GOTLANDS LÄN</t>
        </is>
      </c>
      <c r="E584" t="inlineStr">
        <is>
          <t>GOTLAND</t>
        </is>
      </c>
      <c r="G584" t="n">
        <v>3.9</v>
      </c>
      <c r="H584" t="n">
        <v>0</v>
      </c>
      <c r="I584" t="n">
        <v>0</v>
      </c>
      <c r="J584" t="n">
        <v>0</v>
      </c>
      <c r="K584" t="n">
        <v>0</v>
      </c>
      <c r="L584" t="n">
        <v>0</v>
      </c>
      <c r="M584" t="n">
        <v>0</v>
      </c>
      <c r="N584" t="n">
        <v>0</v>
      </c>
      <c r="O584" t="n">
        <v>0</v>
      </c>
      <c r="P584" t="n">
        <v>0</v>
      </c>
      <c r="Q584" t="n">
        <v>0</v>
      </c>
      <c r="R584" s="2" t="inlineStr"/>
    </row>
    <row r="585" ht="15" customHeight="1">
      <c r="A585" t="inlineStr">
        <is>
          <t>A 18918-2025</t>
        </is>
      </c>
      <c r="B585" s="1" t="n">
        <v>45764</v>
      </c>
      <c r="C585" s="1" t="n">
        <v>45891</v>
      </c>
      <c r="D585" t="inlineStr">
        <is>
          <t>GOTLANDS LÄN</t>
        </is>
      </c>
      <c r="E585" t="inlineStr">
        <is>
          <t>GOTLAND</t>
        </is>
      </c>
      <c r="G585" t="n">
        <v>1.7</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45891</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10655-2023</t>
        </is>
      </c>
      <c r="B587" s="1" t="n">
        <v>44988.49543981482</v>
      </c>
      <c r="C587" s="1" t="n">
        <v>45891</v>
      </c>
      <c r="D587" t="inlineStr">
        <is>
          <t>GOTLANDS LÄN</t>
        </is>
      </c>
      <c r="E587" t="inlineStr">
        <is>
          <t>GOTLAND</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44944.55361111111</v>
      </c>
      <c r="C588" s="1" t="n">
        <v>45891</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26891-2024</t>
        </is>
      </c>
      <c r="B589" s="1" t="n">
        <v>45470.65540509259</v>
      </c>
      <c r="C589" s="1" t="n">
        <v>45891</v>
      </c>
      <c r="D589" t="inlineStr">
        <is>
          <t>GOTLANDS LÄN</t>
        </is>
      </c>
      <c r="E589" t="inlineStr">
        <is>
          <t>GOTLAND</t>
        </is>
      </c>
      <c r="G589" t="n">
        <v>0.8</v>
      </c>
      <c r="H589" t="n">
        <v>0</v>
      </c>
      <c r="I589" t="n">
        <v>0</v>
      </c>
      <c r="J589" t="n">
        <v>0</v>
      </c>
      <c r="K589" t="n">
        <v>0</v>
      </c>
      <c r="L589" t="n">
        <v>0</v>
      </c>
      <c r="M589" t="n">
        <v>0</v>
      </c>
      <c r="N589" t="n">
        <v>0</v>
      </c>
      <c r="O589" t="n">
        <v>0</v>
      </c>
      <c r="P589" t="n">
        <v>0</v>
      </c>
      <c r="Q589" t="n">
        <v>0</v>
      </c>
      <c r="R589" s="2" t="inlineStr"/>
    </row>
    <row r="590" ht="15" customHeight="1">
      <c r="A590" t="inlineStr">
        <is>
          <t>A 42007-2023</t>
        </is>
      </c>
      <c r="B590" s="1" t="n">
        <v>45177</v>
      </c>
      <c r="C590" s="1" t="n">
        <v>45891</v>
      </c>
      <c r="D590" t="inlineStr">
        <is>
          <t>GOTLANDS LÄN</t>
        </is>
      </c>
      <c r="E590" t="inlineStr">
        <is>
          <t>GOTLAND</t>
        </is>
      </c>
      <c r="G590" t="n">
        <v>0.8</v>
      </c>
      <c r="H590" t="n">
        <v>0</v>
      </c>
      <c r="I590" t="n">
        <v>0</v>
      </c>
      <c r="J590" t="n">
        <v>0</v>
      </c>
      <c r="K590" t="n">
        <v>0</v>
      </c>
      <c r="L590" t="n">
        <v>0</v>
      </c>
      <c r="M590" t="n">
        <v>0</v>
      </c>
      <c r="N590" t="n">
        <v>0</v>
      </c>
      <c r="O590" t="n">
        <v>0</v>
      </c>
      <c r="P590" t="n">
        <v>0</v>
      </c>
      <c r="Q590" t="n">
        <v>0</v>
      </c>
      <c r="R590" s="2" t="inlineStr"/>
    </row>
    <row r="591" ht="15" customHeight="1">
      <c r="A591" t="inlineStr">
        <is>
          <t>A 9887-2025</t>
        </is>
      </c>
      <c r="B591" s="1" t="n">
        <v>45716</v>
      </c>
      <c r="C591" s="1" t="n">
        <v>45891</v>
      </c>
      <c r="D591" t="inlineStr">
        <is>
          <t>GOTLANDS LÄN</t>
        </is>
      </c>
      <c r="E591" t="inlineStr">
        <is>
          <t>GOTLAND</t>
        </is>
      </c>
      <c r="G591" t="n">
        <v>7.5</v>
      </c>
      <c r="H591" t="n">
        <v>0</v>
      </c>
      <c r="I591" t="n">
        <v>0</v>
      </c>
      <c r="J591" t="n">
        <v>0</v>
      </c>
      <c r="K591" t="n">
        <v>0</v>
      </c>
      <c r="L591" t="n">
        <v>0</v>
      </c>
      <c r="M591" t="n">
        <v>0</v>
      </c>
      <c r="N591" t="n">
        <v>0</v>
      </c>
      <c r="O591" t="n">
        <v>0</v>
      </c>
      <c r="P591" t="n">
        <v>0</v>
      </c>
      <c r="Q591" t="n">
        <v>0</v>
      </c>
      <c r="R591" s="2" t="inlineStr"/>
    </row>
    <row r="592" ht="15" customHeight="1">
      <c r="A592" t="inlineStr">
        <is>
          <t>A 38165-2023</t>
        </is>
      </c>
      <c r="B592" s="1" t="n">
        <v>45161</v>
      </c>
      <c r="C592" s="1" t="n">
        <v>45891</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27596-2023</t>
        </is>
      </c>
      <c r="B593" s="1" t="n">
        <v>45097</v>
      </c>
      <c r="C593" s="1" t="n">
        <v>45891</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24825-2024</t>
        </is>
      </c>
      <c r="B594" s="1" t="n">
        <v>45461</v>
      </c>
      <c r="C594" s="1" t="n">
        <v>45891</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6696-2023</t>
        </is>
      </c>
      <c r="B595" s="1" t="n">
        <v>44966.66425925926</v>
      </c>
      <c r="C595" s="1" t="n">
        <v>45891</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21247-2022</t>
        </is>
      </c>
      <c r="B596" s="1" t="n">
        <v>44705.38832175926</v>
      </c>
      <c r="C596" s="1" t="n">
        <v>45891</v>
      </c>
      <c r="D596" t="inlineStr">
        <is>
          <t>GOTLANDS LÄN</t>
        </is>
      </c>
      <c r="E596" t="inlineStr">
        <is>
          <t>GOTLAND</t>
        </is>
      </c>
      <c r="G596" t="n">
        <v>16.2</v>
      </c>
      <c r="H596" t="n">
        <v>0</v>
      </c>
      <c r="I596" t="n">
        <v>0</v>
      </c>
      <c r="J596" t="n">
        <v>0</v>
      </c>
      <c r="K596" t="n">
        <v>0</v>
      </c>
      <c r="L596" t="n">
        <v>0</v>
      </c>
      <c r="M596" t="n">
        <v>0</v>
      </c>
      <c r="N596" t="n">
        <v>0</v>
      </c>
      <c r="O596" t="n">
        <v>0</v>
      </c>
      <c r="P596" t="n">
        <v>0</v>
      </c>
      <c r="Q596" t="n">
        <v>0</v>
      </c>
      <c r="R596" s="2" t="inlineStr"/>
    </row>
    <row r="597" ht="15" customHeight="1">
      <c r="A597" t="inlineStr">
        <is>
          <t>A 456-2023</t>
        </is>
      </c>
      <c r="B597" s="1" t="n">
        <v>44929.87122685185</v>
      </c>
      <c r="C597" s="1" t="n">
        <v>45891</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2714-2023</t>
        </is>
      </c>
      <c r="B598" s="1" t="n">
        <v>44944.54896990741</v>
      </c>
      <c r="C598" s="1" t="n">
        <v>45891</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4421-2024</t>
        </is>
      </c>
      <c r="B599" s="1" t="n">
        <v>45327.45173611111</v>
      </c>
      <c r="C599" s="1" t="n">
        <v>45891</v>
      </c>
      <c r="D599" t="inlineStr">
        <is>
          <t>GOTLANDS LÄN</t>
        </is>
      </c>
      <c r="E599" t="inlineStr">
        <is>
          <t>GOTLAND</t>
        </is>
      </c>
      <c r="G599" t="n">
        <v>5.1</v>
      </c>
      <c r="H599" t="n">
        <v>0</v>
      </c>
      <c r="I599" t="n">
        <v>0</v>
      </c>
      <c r="J599" t="n">
        <v>0</v>
      </c>
      <c r="K599" t="n">
        <v>0</v>
      </c>
      <c r="L599" t="n">
        <v>0</v>
      </c>
      <c r="M599" t="n">
        <v>0</v>
      </c>
      <c r="N599" t="n">
        <v>0</v>
      </c>
      <c r="O599" t="n">
        <v>0</v>
      </c>
      <c r="P599" t="n">
        <v>0</v>
      </c>
      <c r="Q599" t="n">
        <v>0</v>
      </c>
      <c r="R599" s="2" t="inlineStr"/>
    </row>
    <row r="600" ht="15" customHeight="1">
      <c r="A600" t="inlineStr">
        <is>
          <t>A 51782-2023</t>
        </is>
      </c>
      <c r="B600" s="1" t="n">
        <v>45222.80952546297</v>
      </c>
      <c r="C600" s="1" t="n">
        <v>45891</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54268-2022</t>
        </is>
      </c>
      <c r="B601" s="1" t="n">
        <v>44882</v>
      </c>
      <c r="C601" s="1" t="n">
        <v>45891</v>
      </c>
      <c r="D601" t="inlineStr">
        <is>
          <t>GOTLANDS LÄN</t>
        </is>
      </c>
      <c r="E601" t="inlineStr">
        <is>
          <t>GOTLAND</t>
        </is>
      </c>
      <c r="G601" t="n">
        <v>2.7</v>
      </c>
      <c r="H601" t="n">
        <v>0</v>
      </c>
      <c r="I601" t="n">
        <v>0</v>
      </c>
      <c r="J601" t="n">
        <v>0</v>
      </c>
      <c r="K601" t="n">
        <v>0</v>
      </c>
      <c r="L601" t="n">
        <v>0</v>
      </c>
      <c r="M601" t="n">
        <v>0</v>
      </c>
      <c r="N601" t="n">
        <v>0</v>
      </c>
      <c r="O601" t="n">
        <v>0</v>
      </c>
      <c r="P601" t="n">
        <v>0</v>
      </c>
      <c r="Q601" t="n">
        <v>0</v>
      </c>
      <c r="R601" s="2" t="inlineStr"/>
    </row>
    <row r="602">
      <c r="A602" t="inlineStr">
        <is>
          <t>A 57534-2022</t>
        </is>
      </c>
      <c r="B602" s="1" t="n">
        <v>44896</v>
      </c>
      <c r="C602" s="1" t="n">
        <v>45891</v>
      </c>
      <c r="D602" t="inlineStr">
        <is>
          <t>GOTLANDS LÄN</t>
        </is>
      </c>
      <c r="E602" t="inlineStr">
        <is>
          <t>GOTLAND</t>
        </is>
      </c>
      <c r="G602" t="n">
        <v>0.6</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2025-08-22T08:29:26Z</dcterms:created>
  <dcterms:modified xmlns:dcterms="http://purl.org/dc/terms/" xmlns:xsi="http://www.w3.org/2001/XMLSchema-instance" xsi:type="dcterms:W3CDTF">2025-08-22T08:29:26Z</dcterms:modified>
</cp:coreProperties>
</file>