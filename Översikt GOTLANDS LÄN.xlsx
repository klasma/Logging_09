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46186</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46186</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46186</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46186</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46186</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46186</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46186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46186</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46186</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46186</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46186</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46186</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46186</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46186</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17762-2024</t>
        </is>
      </c>
      <c r="B22" s="1" t="n">
        <v>45418</v>
      </c>
      <c r="C22" s="1" t="n">
        <v>46186</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15629-2024</t>
        </is>
      </c>
      <c r="B23" s="1" t="n">
        <v>45402.78372685185</v>
      </c>
      <c r="C23" s="1" t="n">
        <v>46186</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46186</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46186</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46186</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46186</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35141-2022</t>
        </is>
      </c>
      <c r="B28" s="1" t="n">
        <v>44797.53318287037</v>
      </c>
      <c r="C28" s="1" t="n">
        <v>46186</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44928-2022</t>
        </is>
      </c>
      <c r="B29" s="1" t="n">
        <v>44841</v>
      </c>
      <c r="C29" s="1" t="n">
        <v>46186</v>
      </c>
      <c r="D29" t="inlineStr">
        <is>
          <t>GOTLANDS LÄN</t>
        </is>
      </c>
      <c r="E29" t="inlineStr">
        <is>
          <t>GOTLAND</t>
        </is>
      </c>
      <c r="G29" t="n">
        <v>3.7</v>
      </c>
      <c r="H29" t="n">
        <v>1</v>
      </c>
      <c r="I29" t="n">
        <v>6</v>
      </c>
      <c r="J29" t="n">
        <v>3</v>
      </c>
      <c r="K29" t="n">
        <v>2</v>
      </c>
      <c r="L29" t="n">
        <v>1</v>
      </c>
      <c r="M29" t="n">
        <v>0</v>
      </c>
      <c r="N29" t="n">
        <v>0</v>
      </c>
      <c r="O29" t="n">
        <v>7</v>
      </c>
      <c r="P29" t="n">
        <v>3</v>
      </c>
      <c r="Q29" t="n">
        <v>13</v>
      </c>
      <c r="R29" s="2" t="inlineStr">
        <is>
          <t>Barkkvastmossa
Gulsträngad fagerspindling
Tvillingspindling
Odörspindling
Puderspindling
Ängsstarr
Frostig asplav
Anisspindling
Axag
Blå slemspindling
Kattfotslav
Kärrlilja
Svavelriska</t>
        </is>
      </c>
      <c r="S29">
        <f>HYPERLINK("https://klasma.github.io/Logging_0980/artfynd/A 44928-2022 artfynd.xlsx", "A 44928-2022")</f>
        <v/>
      </c>
      <c r="T29">
        <f>HYPERLINK("https://klasma.github.io/Logging_0980/kartor/A 44928-2022 karta.png", "A 44928-2022")</f>
        <v/>
      </c>
      <c r="V29">
        <f>HYPERLINK("https://klasma.github.io/Logging_0980/klagomål/A 44928-2022 FSC-klagomål.docx", "A 44928-2022")</f>
        <v/>
      </c>
      <c r="W29">
        <f>HYPERLINK("https://klasma.github.io/Logging_0980/klagomålsmail/A 44928-2022 FSC-klagomål mail.docx", "A 44928-2022")</f>
        <v/>
      </c>
      <c r="X29">
        <f>HYPERLINK("https://klasma.github.io/Logging_0980/tillsyn/A 44928-2022 tillsynsbegäran.docx", "A 44928-2022")</f>
        <v/>
      </c>
      <c r="Y29">
        <f>HYPERLINK("https://klasma.github.io/Logging_0980/tillsynsmail/A 44928-2022 tillsynsbegäran mail.docx", "A 44928-2022")</f>
        <v/>
      </c>
    </row>
    <row r="30" ht="15" customHeight="1">
      <c r="A30" t="inlineStr">
        <is>
          <t>A 44204-2022</t>
        </is>
      </c>
      <c r="B30" s="1" t="n">
        <v>44839</v>
      </c>
      <c r="C30" s="1" t="n">
        <v>46186</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46186</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46186</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46186</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46186</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46186</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46186</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46186</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10274-2026</t>
        </is>
      </c>
      <c r="B38" s="1" t="n">
        <v>46076</v>
      </c>
      <c r="C38" s="1" t="n">
        <v>46186</v>
      </c>
      <c r="D38" t="inlineStr">
        <is>
          <t>GOTLANDS LÄN</t>
        </is>
      </c>
      <c r="E38" t="inlineStr">
        <is>
          <t>GOTLAND</t>
        </is>
      </c>
      <c r="G38" t="n">
        <v>9.800000000000001</v>
      </c>
      <c r="H38" t="n">
        <v>4</v>
      </c>
      <c r="I38" t="n">
        <v>3</v>
      </c>
      <c r="J38" t="n">
        <v>4</v>
      </c>
      <c r="K38" t="n">
        <v>1</v>
      </c>
      <c r="L38" t="n">
        <v>0</v>
      </c>
      <c r="M38" t="n">
        <v>0</v>
      </c>
      <c r="N38" t="n">
        <v>0</v>
      </c>
      <c r="O38" t="n">
        <v>5</v>
      </c>
      <c r="P38" t="n">
        <v>1</v>
      </c>
      <c r="Q38" t="n">
        <v>11</v>
      </c>
      <c r="R38" s="2" t="inlineStr">
        <is>
          <t>Gråfingerört
Backstarr
Backtimjan
Reliktbock
Spillkråka
Axag
Grönpyrola
Kragjordstjärna
Alvarstånds
Nattviol
Sankt pers nycklar</t>
        </is>
      </c>
      <c r="S38">
        <f>HYPERLINK("https://klasma.github.io/Logging_0980/artfynd/A 10274-2026 artfynd.xlsx", "A 10274-2026")</f>
        <v/>
      </c>
      <c r="T38">
        <f>HYPERLINK("https://klasma.github.io/Logging_0980/kartor/A 10274-2026 karta.png", "A 10274-2026")</f>
        <v/>
      </c>
      <c r="V38">
        <f>HYPERLINK("https://klasma.github.io/Logging_0980/klagomål/A 10274-2026 FSC-klagomål.docx", "A 10274-2026")</f>
        <v/>
      </c>
      <c r="W38">
        <f>HYPERLINK("https://klasma.github.io/Logging_0980/klagomålsmail/A 10274-2026 FSC-klagomål mail.docx", "A 10274-2026")</f>
        <v/>
      </c>
      <c r="X38">
        <f>HYPERLINK("https://klasma.github.io/Logging_0980/tillsyn/A 10274-2026 tillsynsbegäran.docx", "A 10274-2026")</f>
        <v/>
      </c>
      <c r="Y38">
        <f>HYPERLINK("https://klasma.github.io/Logging_0980/tillsynsmail/A 10274-2026 tillsynsbegäran mail.docx", "A 10274-2026")</f>
        <v/>
      </c>
      <c r="Z38">
        <f>HYPERLINK("https://klasma.github.io/Logging_0980/fåglar/A 10274-2026 prioriterade fågelarter.docx", "A 10274-2026")</f>
        <v/>
      </c>
    </row>
    <row r="39" ht="15" customHeight="1">
      <c r="A39" t="inlineStr">
        <is>
          <t>A 6052-2024</t>
        </is>
      </c>
      <c r="B39" s="1" t="n">
        <v>45336</v>
      </c>
      <c r="C39" s="1" t="n">
        <v>46186</v>
      </c>
      <c r="D39" t="inlineStr">
        <is>
          <t>GOTLANDS LÄN</t>
        </is>
      </c>
      <c r="E39" t="inlineStr">
        <is>
          <t>GOTLAND</t>
        </is>
      </c>
      <c r="G39" t="n">
        <v>10.3</v>
      </c>
      <c r="H39" t="n">
        <v>1</v>
      </c>
      <c r="I39" t="n">
        <v>3</v>
      </c>
      <c r="J39" t="n">
        <v>6</v>
      </c>
      <c r="K39" t="n">
        <v>2</v>
      </c>
      <c r="L39" t="n">
        <v>0</v>
      </c>
      <c r="M39" t="n">
        <v>0</v>
      </c>
      <c r="N39" t="n">
        <v>0</v>
      </c>
      <c r="O39" t="n">
        <v>8</v>
      </c>
      <c r="P39" t="n">
        <v>2</v>
      </c>
      <c r="Q39" t="n">
        <v>11</v>
      </c>
      <c r="R39" s="2" t="inlineStr">
        <is>
          <t>Lansettfibbla
Narrspindling
Ladlav
Odörspindling
Smedbock
Svinrot
Tallticka
Vippärt
Anisspindling
Nästrot
Vårärt</t>
        </is>
      </c>
      <c r="S39">
        <f>HYPERLINK("https://klasma.github.io/Logging_0980/artfynd/A 6052-2024 artfynd.xlsx", "A 6052-2024")</f>
        <v/>
      </c>
      <c r="T39">
        <f>HYPERLINK("https://klasma.github.io/Logging_0980/kartor/A 6052-2024 karta.png", "A 6052-2024")</f>
        <v/>
      </c>
      <c r="V39">
        <f>HYPERLINK("https://klasma.github.io/Logging_0980/klagomål/A 6052-2024 FSC-klagomål.docx", "A 6052-2024")</f>
        <v/>
      </c>
      <c r="W39">
        <f>HYPERLINK("https://klasma.github.io/Logging_0980/klagomålsmail/A 6052-2024 FSC-klagomål mail.docx", "A 6052-2024")</f>
        <v/>
      </c>
      <c r="X39">
        <f>HYPERLINK("https://klasma.github.io/Logging_0980/tillsyn/A 6052-2024 tillsynsbegäran.docx", "A 6052-2024")</f>
        <v/>
      </c>
      <c r="Y39">
        <f>HYPERLINK("https://klasma.github.io/Logging_0980/tillsynsmail/A 6052-2024 tillsynsbegäran mail.docx", "A 6052-2024")</f>
        <v/>
      </c>
    </row>
    <row r="40" ht="15" customHeight="1">
      <c r="A40" t="inlineStr">
        <is>
          <t>A 43201-2023</t>
        </is>
      </c>
      <c r="B40" s="1" t="n">
        <v>45183</v>
      </c>
      <c r="C40" s="1" t="n">
        <v>46186</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584-2023</t>
        </is>
      </c>
      <c r="B41" s="1" t="n">
        <v>44930</v>
      </c>
      <c r="C41" s="1" t="n">
        <v>46186</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17766-2024</t>
        </is>
      </c>
      <c r="B42" s="1" t="n">
        <v>45418</v>
      </c>
      <c r="C42" s="1" t="n">
        <v>46186</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46186</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45248-2024</t>
        </is>
      </c>
      <c r="B44" s="1" t="n">
        <v>45576</v>
      </c>
      <c r="C44" s="1" t="n">
        <v>46186</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14354-2024</t>
        </is>
      </c>
      <c r="B45" s="1" t="n">
        <v>45393</v>
      </c>
      <c r="C45" s="1" t="n">
        <v>46186</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27280-2023</t>
        </is>
      </c>
      <c r="B46" s="1" t="n">
        <v>45096</v>
      </c>
      <c r="C46" s="1" t="n">
        <v>46186</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46186</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59132-2024</t>
        </is>
      </c>
      <c r="B48" s="1" t="n">
        <v>45637</v>
      </c>
      <c r="C48" s="1" t="n">
        <v>46186</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46186</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27168-2022</t>
        </is>
      </c>
      <c r="B50" s="1" t="n">
        <v>44741</v>
      </c>
      <c r="C50" s="1" t="n">
        <v>46186</v>
      </c>
      <c r="D50" t="inlineStr">
        <is>
          <t>GOTLANDS LÄN</t>
        </is>
      </c>
      <c r="E50" t="inlineStr">
        <is>
          <t>GOTLAND</t>
        </is>
      </c>
      <c r="G50" t="n">
        <v>2.2</v>
      </c>
      <c r="H50" t="n">
        <v>5</v>
      </c>
      <c r="I50" t="n">
        <v>2</v>
      </c>
      <c r="J50" t="n">
        <v>2</v>
      </c>
      <c r="K50" t="n">
        <v>1</v>
      </c>
      <c r="L50" t="n">
        <v>0</v>
      </c>
      <c r="M50" t="n">
        <v>0</v>
      </c>
      <c r="N50" t="n">
        <v>0</v>
      </c>
      <c r="O50" t="n">
        <v>3</v>
      </c>
      <c r="P50" t="n">
        <v>1</v>
      </c>
      <c r="Q50" t="n">
        <v>8</v>
      </c>
      <c r="R50" s="2" t="inlineStr">
        <is>
          <t>Gotlandsmåra
Solvända
Svinrot
Purpurknipprot
Vit skogslilja
Brudsporre
Fläcknycklar
Kärrknipprot</t>
        </is>
      </c>
      <c r="S50">
        <f>HYPERLINK("https://klasma.github.io/Logging_0980/artfynd/A 27168-2022 artfynd.xlsx", "A 27168-2022")</f>
        <v/>
      </c>
      <c r="T50">
        <f>HYPERLINK("https://klasma.github.io/Logging_0980/kartor/A 27168-2022 karta.png", "A 27168-2022")</f>
        <v/>
      </c>
      <c r="V50">
        <f>HYPERLINK("https://klasma.github.io/Logging_0980/klagomål/A 27168-2022 FSC-klagomål.docx", "A 27168-2022")</f>
        <v/>
      </c>
      <c r="W50">
        <f>HYPERLINK("https://klasma.github.io/Logging_0980/klagomålsmail/A 27168-2022 FSC-klagomål mail.docx", "A 27168-2022")</f>
        <v/>
      </c>
      <c r="X50">
        <f>HYPERLINK("https://klasma.github.io/Logging_0980/tillsyn/A 27168-2022 tillsynsbegäran.docx", "A 27168-2022")</f>
        <v/>
      </c>
      <c r="Y50">
        <f>HYPERLINK("https://klasma.github.io/Logging_0980/tillsynsmail/A 27168-2022 tillsynsbegäran mail.docx", "A 27168-2022")</f>
        <v/>
      </c>
    </row>
    <row r="51" ht="15" customHeight="1">
      <c r="A51" t="inlineStr">
        <is>
          <t>A 2649-2023</t>
        </is>
      </c>
      <c r="B51" s="1" t="n">
        <v>44943</v>
      </c>
      <c r="C51" s="1" t="n">
        <v>46186</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46186</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1769-2022</t>
        </is>
      </c>
      <c r="B53" s="1" t="n">
        <v>44574</v>
      </c>
      <c r="C53" s="1" t="n">
        <v>46186</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46186</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46186</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46186</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46186</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46186</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46186</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2085-2023</t>
        </is>
      </c>
      <c r="B60" s="1" t="n">
        <v>44939</v>
      </c>
      <c r="C60" s="1" t="n">
        <v>46186</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46186</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7038-2023</t>
        </is>
      </c>
      <c r="B62" s="1" t="n">
        <v>44968</v>
      </c>
      <c r="C62" s="1" t="n">
        <v>46186</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46186</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57773-2025</t>
        </is>
      </c>
      <c r="B64" s="1" t="n">
        <v>45981.56349537037</v>
      </c>
      <c r="C64" s="1" t="n">
        <v>46186</v>
      </c>
      <c r="D64" t="inlineStr">
        <is>
          <t>GOTLANDS LÄN</t>
        </is>
      </c>
      <c r="E64" t="inlineStr">
        <is>
          <t>GOTLAND</t>
        </is>
      </c>
      <c r="G64" t="n">
        <v>4.4</v>
      </c>
      <c r="H64" t="n">
        <v>0</v>
      </c>
      <c r="I64" t="n">
        <v>4</v>
      </c>
      <c r="J64" t="n">
        <v>0</v>
      </c>
      <c r="K64" t="n">
        <v>2</v>
      </c>
      <c r="L64" t="n">
        <v>0</v>
      </c>
      <c r="M64" t="n">
        <v>0</v>
      </c>
      <c r="N64" t="n">
        <v>0</v>
      </c>
      <c r="O64" t="n">
        <v>2</v>
      </c>
      <c r="P64" t="n">
        <v>2</v>
      </c>
      <c r="Q64" t="n">
        <v>6</v>
      </c>
      <c r="R64" s="2" t="inlineStr">
        <is>
          <t>Duvspindling
Mörkfjällig olivspindling
Besk kastanjemusseron
Olivspindling
Rödgul trumpetsvamp
Strimspindling</t>
        </is>
      </c>
      <c r="S64">
        <f>HYPERLINK("https://klasma.github.io/Logging_0980/artfynd/A 57773-2025 artfynd.xlsx", "A 57773-2025")</f>
        <v/>
      </c>
      <c r="T64">
        <f>HYPERLINK("https://klasma.github.io/Logging_0980/kartor/A 57773-2025 karta.png", "A 57773-2025")</f>
        <v/>
      </c>
      <c r="V64">
        <f>HYPERLINK("https://klasma.github.io/Logging_0980/klagomål/A 57773-2025 FSC-klagomål.docx", "A 57773-2025")</f>
        <v/>
      </c>
      <c r="W64">
        <f>HYPERLINK("https://klasma.github.io/Logging_0980/klagomålsmail/A 57773-2025 FSC-klagomål mail.docx", "A 57773-2025")</f>
        <v/>
      </c>
      <c r="X64">
        <f>HYPERLINK("https://klasma.github.io/Logging_0980/tillsyn/A 57773-2025 tillsynsbegäran.docx", "A 57773-2025")</f>
        <v/>
      </c>
      <c r="Y64">
        <f>HYPERLINK("https://klasma.github.io/Logging_0980/tillsynsmail/A 57773-2025 tillsynsbegäran mail.docx", "A 57773-2025")</f>
        <v/>
      </c>
    </row>
    <row r="65" ht="15" customHeight="1">
      <c r="A65" t="inlineStr">
        <is>
          <t>A 63149-2025</t>
        </is>
      </c>
      <c r="B65" s="1" t="n">
        <v>46010</v>
      </c>
      <c r="C65" s="1" t="n">
        <v>46186</v>
      </c>
      <c r="D65" t="inlineStr">
        <is>
          <t>GOTLANDS LÄN</t>
        </is>
      </c>
      <c r="E65" t="inlineStr">
        <is>
          <t>GOTLAND</t>
        </is>
      </c>
      <c r="G65" t="n">
        <v>4.3</v>
      </c>
      <c r="H65" t="n">
        <v>4</v>
      </c>
      <c r="I65" t="n">
        <v>2</v>
      </c>
      <c r="J65" t="n">
        <v>3</v>
      </c>
      <c r="K65" t="n">
        <v>0</v>
      </c>
      <c r="L65" t="n">
        <v>0</v>
      </c>
      <c r="M65" t="n">
        <v>0</v>
      </c>
      <c r="N65" t="n">
        <v>0</v>
      </c>
      <c r="O65" t="n">
        <v>3</v>
      </c>
      <c r="P65" t="n">
        <v>0</v>
      </c>
      <c r="Q65" t="n">
        <v>6</v>
      </c>
      <c r="R65" s="2" t="inlineStr">
        <is>
          <t>Gulsparv
Spillkråka
Svinrot
Anisspindling
Skogsknipprot
Sankt pers nycklar</t>
        </is>
      </c>
      <c r="S65">
        <f>HYPERLINK("https://klasma.github.io/Logging_0980/artfynd/A 63149-2025 artfynd.xlsx", "A 63149-2025")</f>
        <v/>
      </c>
      <c r="T65">
        <f>HYPERLINK("https://klasma.github.io/Logging_0980/kartor/A 63149-2025 karta.png", "A 63149-2025")</f>
        <v/>
      </c>
      <c r="V65">
        <f>HYPERLINK("https://klasma.github.io/Logging_0980/klagomål/A 63149-2025 FSC-klagomål.docx", "A 63149-2025")</f>
        <v/>
      </c>
      <c r="W65">
        <f>HYPERLINK("https://klasma.github.io/Logging_0980/klagomålsmail/A 63149-2025 FSC-klagomål mail.docx", "A 63149-2025")</f>
        <v/>
      </c>
      <c r="X65">
        <f>HYPERLINK("https://klasma.github.io/Logging_0980/tillsyn/A 63149-2025 tillsynsbegäran.docx", "A 63149-2025")</f>
        <v/>
      </c>
      <c r="Y65">
        <f>HYPERLINK("https://klasma.github.io/Logging_0980/tillsynsmail/A 63149-2025 tillsynsbegäran mail.docx", "A 63149-2025")</f>
        <v/>
      </c>
      <c r="Z65">
        <f>HYPERLINK("https://klasma.github.io/Logging_0980/fåglar/A 63149-2025 prioriterade fågelarter.docx", "A 63149-2025")</f>
        <v/>
      </c>
    </row>
    <row r="66" ht="15" customHeight="1">
      <c r="A66" t="inlineStr">
        <is>
          <t>A 54527-2023</t>
        </is>
      </c>
      <c r="B66" s="1" t="n">
        <v>45233</v>
      </c>
      <c r="C66" s="1" t="n">
        <v>46186</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54527-2023</t>
        </is>
      </c>
      <c r="B67" s="1" t="n">
        <v>45233</v>
      </c>
      <c r="C67" s="1" t="n">
        <v>46186</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66091-2021</t>
        </is>
      </c>
      <c r="B68" s="1" t="n">
        <v>44517</v>
      </c>
      <c r="C68" s="1" t="n">
        <v>46186</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32326-2024</t>
        </is>
      </c>
      <c r="B69" s="1" t="n">
        <v>45512</v>
      </c>
      <c r="C69" s="1" t="n">
        <v>46186</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46186</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46186</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6839-2026</t>
        </is>
      </c>
      <c r="B72" s="1" t="n">
        <v>46057.41193287037</v>
      </c>
      <c r="C72" s="1" t="n">
        <v>46186</v>
      </c>
      <c r="D72" t="inlineStr">
        <is>
          <t>GOTLANDS LÄN</t>
        </is>
      </c>
      <c r="E72" t="inlineStr">
        <is>
          <t>GOTLAND</t>
        </is>
      </c>
      <c r="G72" t="n">
        <v>4.9</v>
      </c>
      <c r="H72" t="n">
        <v>0</v>
      </c>
      <c r="I72" t="n">
        <v>1</v>
      </c>
      <c r="J72" t="n">
        <v>2</v>
      </c>
      <c r="K72" t="n">
        <v>2</v>
      </c>
      <c r="L72" t="n">
        <v>0</v>
      </c>
      <c r="M72" t="n">
        <v>0</v>
      </c>
      <c r="N72" t="n">
        <v>0</v>
      </c>
      <c r="O72" t="n">
        <v>4</v>
      </c>
      <c r="P72" t="n">
        <v>2</v>
      </c>
      <c r="Q72" t="n">
        <v>5</v>
      </c>
      <c r="R72" s="2" t="inlineStr">
        <is>
          <t>Mörk kraterlav
Skogskorn
Ekvaxskivling
Mjölmusseron
Besk kastanjemusseron</t>
        </is>
      </c>
      <c r="S72">
        <f>HYPERLINK("https://klasma.github.io/Logging_0980/artfynd/A 6839-2026 artfynd.xlsx", "A 6839-2026")</f>
        <v/>
      </c>
      <c r="T72">
        <f>HYPERLINK("https://klasma.github.io/Logging_0980/kartor/A 6839-2026 karta.png", "A 6839-2026")</f>
        <v/>
      </c>
      <c r="V72">
        <f>HYPERLINK("https://klasma.github.io/Logging_0980/klagomål/A 6839-2026 FSC-klagomål.docx", "A 6839-2026")</f>
        <v/>
      </c>
      <c r="W72">
        <f>HYPERLINK("https://klasma.github.io/Logging_0980/klagomålsmail/A 6839-2026 FSC-klagomål mail.docx", "A 6839-2026")</f>
        <v/>
      </c>
      <c r="X72">
        <f>HYPERLINK("https://klasma.github.io/Logging_0980/tillsyn/A 6839-2026 tillsynsbegäran.docx", "A 6839-2026")</f>
        <v/>
      </c>
      <c r="Y72">
        <f>HYPERLINK("https://klasma.github.io/Logging_0980/tillsynsmail/A 6839-2026 tillsynsbegäran mail.docx", "A 6839-2026")</f>
        <v/>
      </c>
    </row>
    <row r="73" ht="15" customHeight="1">
      <c r="A73" t="inlineStr">
        <is>
          <t>A 2213-2023</t>
        </is>
      </c>
      <c r="B73" s="1" t="n">
        <v>44942</v>
      </c>
      <c r="C73" s="1" t="n">
        <v>46186</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42936-2024</t>
        </is>
      </c>
      <c r="B74" s="1" t="n">
        <v>45567</v>
      </c>
      <c r="C74" s="1" t="n">
        <v>46186</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26987-2026</t>
        </is>
      </c>
      <c r="B75" s="1" t="n">
        <v>46185.60334490741</v>
      </c>
      <c r="C75" s="1" t="n">
        <v>46186</v>
      </c>
      <c r="D75" t="inlineStr">
        <is>
          <t>GOTLANDS LÄN</t>
        </is>
      </c>
      <c r="E75" t="inlineStr">
        <is>
          <t>GOTLAND</t>
        </is>
      </c>
      <c r="G75" t="n">
        <v>4.6</v>
      </c>
      <c r="H75" t="n">
        <v>1</v>
      </c>
      <c r="I75" t="n">
        <v>2</v>
      </c>
      <c r="J75" t="n">
        <v>2</v>
      </c>
      <c r="K75" t="n">
        <v>1</v>
      </c>
      <c r="L75" t="n">
        <v>0</v>
      </c>
      <c r="M75" t="n">
        <v>0</v>
      </c>
      <c r="N75" t="n">
        <v>0</v>
      </c>
      <c r="O75" t="n">
        <v>3</v>
      </c>
      <c r="P75" t="n">
        <v>1</v>
      </c>
      <c r="Q75" t="n">
        <v>5</v>
      </c>
      <c r="R75" s="2" t="inlineStr">
        <is>
          <t>Granrotspindling
Odörspindling
Spillkråka
Blå slemspindling
Svavelriska</t>
        </is>
      </c>
      <c r="S75">
        <f>HYPERLINK("https://klasma.github.io/Logging_0980/artfynd/A 26987-2026 artfynd.xlsx", "A 26987-2026")</f>
        <v/>
      </c>
      <c r="T75">
        <f>HYPERLINK("https://klasma.github.io/Logging_0980/kartor/A 26987-2026 karta.png", "A 26987-2026")</f>
        <v/>
      </c>
      <c r="V75">
        <f>HYPERLINK("https://klasma.github.io/Logging_0980/klagomål/A 26987-2026 FSC-klagomål.docx", "A 26987-2026")</f>
        <v/>
      </c>
      <c r="W75">
        <f>HYPERLINK("https://klasma.github.io/Logging_0980/klagomålsmail/A 26987-2026 FSC-klagomål mail.docx", "A 26987-2026")</f>
        <v/>
      </c>
      <c r="X75">
        <f>HYPERLINK("https://klasma.github.io/Logging_0980/tillsyn/A 26987-2026 tillsynsbegäran.docx", "A 26987-2026")</f>
        <v/>
      </c>
      <c r="Y75">
        <f>HYPERLINK("https://klasma.github.io/Logging_0980/tillsynsmail/A 26987-2026 tillsynsbegäran mail.docx", "A 26987-2026")</f>
        <v/>
      </c>
      <c r="Z75">
        <f>HYPERLINK("https://klasma.github.io/Logging_0980/fåglar/A 26987-2026 prioriterade fågelarter.docx", "A 26987-2026")</f>
        <v/>
      </c>
    </row>
    <row r="76" ht="15" customHeight="1">
      <c r="A76" t="inlineStr">
        <is>
          <t>A 54055-2022</t>
        </is>
      </c>
      <c r="B76" s="1" t="n">
        <v>44881</v>
      </c>
      <c r="C76" s="1" t="n">
        <v>46186</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29331-2021</t>
        </is>
      </c>
      <c r="B77" s="1" t="n">
        <v>44361</v>
      </c>
      <c r="C77" s="1" t="n">
        <v>46186</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5904-2024</t>
        </is>
      </c>
      <c r="B78" s="1" t="n">
        <v>45335</v>
      </c>
      <c r="C78" s="1" t="n">
        <v>46186</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54523-2023</t>
        </is>
      </c>
      <c r="B79" s="1" t="n">
        <v>45233</v>
      </c>
      <c r="C79" s="1" t="n">
        <v>46186</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56717-2024</t>
        </is>
      </c>
      <c r="B80" s="1" t="n">
        <v>45628.3166550926</v>
      </c>
      <c r="C80" s="1" t="n">
        <v>46186</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2485-2025</t>
        </is>
      </c>
      <c r="B81" s="1" t="n">
        <v>45673</v>
      </c>
      <c r="C81" s="1" t="n">
        <v>46186</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46186</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46186</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63152-2025</t>
        </is>
      </c>
      <c r="B84" s="1" t="n">
        <v>46010</v>
      </c>
      <c r="C84" s="1" t="n">
        <v>46186</v>
      </c>
      <c r="D84" t="inlineStr">
        <is>
          <t>GOTLANDS LÄN</t>
        </is>
      </c>
      <c r="E84" t="inlineStr">
        <is>
          <t>GOTLAND</t>
        </is>
      </c>
      <c r="G84" t="n">
        <v>1.5</v>
      </c>
      <c r="H84" t="n">
        <v>3</v>
      </c>
      <c r="I84" t="n">
        <v>1</v>
      </c>
      <c r="J84" t="n">
        <v>2</v>
      </c>
      <c r="K84" t="n">
        <v>0</v>
      </c>
      <c r="L84" t="n">
        <v>0</v>
      </c>
      <c r="M84" t="n">
        <v>0</v>
      </c>
      <c r="N84" t="n">
        <v>0</v>
      </c>
      <c r="O84" t="n">
        <v>2</v>
      </c>
      <c r="P84" t="n">
        <v>0</v>
      </c>
      <c r="Q84" t="n">
        <v>4</v>
      </c>
      <c r="R84" s="2" t="inlineStr">
        <is>
          <t>Spillkråka
Svinrot
Nästrot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20833-2024</t>
        </is>
      </c>
      <c r="B85" s="1" t="n">
        <v>45439</v>
      </c>
      <c r="C85" s="1" t="n">
        <v>46186</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57463-2025</t>
        </is>
      </c>
      <c r="B86" s="1" t="n">
        <v>45980</v>
      </c>
      <c r="C86" s="1" t="n">
        <v>46186</v>
      </c>
      <c r="D86" t="inlineStr">
        <is>
          <t>GOTLANDS LÄN</t>
        </is>
      </c>
      <c r="E86" t="inlineStr">
        <is>
          <t>GOTLAND</t>
        </is>
      </c>
      <c r="G86" t="n">
        <v>3.8</v>
      </c>
      <c r="H86" t="n">
        <v>0</v>
      </c>
      <c r="I86" t="n">
        <v>1</v>
      </c>
      <c r="J86" t="n">
        <v>1</v>
      </c>
      <c r="K86" t="n">
        <v>2</v>
      </c>
      <c r="L86" t="n">
        <v>0</v>
      </c>
      <c r="M86" t="n">
        <v>0</v>
      </c>
      <c r="N86" t="n">
        <v>0</v>
      </c>
      <c r="O86" t="n">
        <v>3</v>
      </c>
      <c r="P86" t="n">
        <v>2</v>
      </c>
      <c r="Q86" t="n">
        <v>4</v>
      </c>
      <c r="R86" s="2" t="inlineStr">
        <is>
          <t>Gulsträngad fagerspindling
Tvillingspindling
Odörspindling
Blå slemspindling</t>
        </is>
      </c>
      <c r="S86">
        <f>HYPERLINK("https://klasma.github.io/Logging_0980/artfynd/A 57463-2025 artfynd.xlsx", "A 57463-2025")</f>
        <v/>
      </c>
      <c r="T86">
        <f>HYPERLINK("https://klasma.github.io/Logging_0980/kartor/A 57463-2025 karta.png", "A 57463-2025")</f>
        <v/>
      </c>
      <c r="V86">
        <f>HYPERLINK("https://klasma.github.io/Logging_0980/klagomål/A 57463-2025 FSC-klagomål.docx", "A 57463-2025")</f>
        <v/>
      </c>
      <c r="W86">
        <f>HYPERLINK("https://klasma.github.io/Logging_0980/klagomålsmail/A 57463-2025 FSC-klagomål mail.docx", "A 57463-2025")</f>
        <v/>
      </c>
      <c r="X86">
        <f>HYPERLINK("https://klasma.github.io/Logging_0980/tillsyn/A 57463-2025 tillsynsbegäran.docx", "A 57463-2025")</f>
        <v/>
      </c>
      <c r="Y86">
        <f>HYPERLINK("https://klasma.github.io/Logging_0980/tillsynsmail/A 57463-2025 tillsynsbegäran mail.docx", "A 57463-2025")</f>
        <v/>
      </c>
    </row>
    <row r="87" ht="15" customHeight="1">
      <c r="A87" t="inlineStr">
        <is>
          <t>A 1971-2023</t>
        </is>
      </c>
      <c r="B87" s="1" t="n">
        <v>44939</v>
      </c>
      <c r="C87" s="1" t="n">
        <v>46186</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6836-2026</t>
        </is>
      </c>
      <c r="B88" s="1" t="n">
        <v>46057</v>
      </c>
      <c r="C88" s="1" t="n">
        <v>46186</v>
      </c>
      <c r="D88" t="inlineStr">
        <is>
          <t>GOTLANDS LÄN</t>
        </is>
      </c>
      <c r="E88" t="inlineStr">
        <is>
          <t>GOTLAND</t>
        </is>
      </c>
      <c r="G88" t="n">
        <v>3.8</v>
      </c>
      <c r="H88" t="n">
        <v>1</v>
      </c>
      <c r="I88" t="n">
        <v>3</v>
      </c>
      <c r="J88" t="n">
        <v>0</v>
      </c>
      <c r="K88" t="n">
        <v>1</v>
      </c>
      <c r="L88" t="n">
        <v>0</v>
      </c>
      <c r="M88" t="n">
        <v>0</v>
      </c>
      <c r="N88" t="n">
        <v>0</v>
      </c>
      <c r="O88" t="n">
        <v>1</v>
      </c>
      <c r="P88" t="n">
        <v>1</v>
      </c>
      <c r="Q88" t="n">
        <v>4</v>
      </c>
      <c r="R88" s="2" t="inlineStr">
        <is>
          <t>Knärot
Fransig jordstjärna
Rödgul trumpetsvamp
Svavelriska</t>
        </is>
      </c>
      <c r="S88">
        <f>HYPERLINK("https://klasma.github.io/Logging_0980/artfynd/A 6836-2026 artfynd.xlsx", "A 6836-2026")</f>
        <v/>
      </c>
      <c r="T88">
        <f>HYPERLINK("https://klasma.github.io/Logging_0980/kartor/A 6836-2026 karta.png", "A 6836-2026")</f>
        <v/>
      </c>
      <c r="U88">
        <f>HYPERLINK("https://klasma.github.io/Logging_0980/knärot/A 6836-2026 karta knärot.png", "A 6836-2026")</f>
        <v/>
      </c>
      <c r="V88">
        <f>HYPERLINK("https://klasma.github.io/Logging_0980/klagomål/A 6836-2026 FSC-klagomål.docx", "A 6836-2026")</f>
        <v/>
      </c>
      <c r="W88">
        <f>HYPERLINK("https://klasma.github.io/Logging_0980/klagomålsmail/A 6836-2026 FSC-klagomål mail.docx", "A 6836-2026")</f>
        <v/>
      </c>
      <c r="X88">
        <f>HYPERLINK("https://klasma.github.io/Logging_0980/tillsyn/A 6836-2026 tillsynsbegäran.docx", "A 6836-2026")</f>
        <v/>
      </c>
      <c r="Y88">
        <f>HYPERLINK("https://klasma.github.io/Logging_0980/tillsynsmail/A 6836-2026 tillsynsbegäran mail.docx", "A 6836-2026")</f>
        <v/>
      </c>
    </row>
    <row r="89" ht="15" customHeight="1">
      <c r="A89" t="inlineStr">
        <is>
          <t>A 186-2023</t>
        </is>
      </c>
      <c r="B89" s="1" t="n">
        <v>44928</v>
      </c>
      <c r="C89" s="1" t="n">
        <v>46186</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8265-2023</t>
        </is>
      </c>
      <c r="B90" s="1" t="n">
        <v>44974</v>
      </c>
      <c r="C90" s="1" t="n">
        <v>46186</v>
      </c>
      <c r="D90" t="inlineStr">
        <is>
          <t>GOTLANDS LÄN</t>
        </is>
      </c>
      <c r="E90" t="inlineStr">
        <is>
          <t>GOTLAND</t>
        </is>
      </c>
      <c r="G90" t="n">
        <v>3.3</v>
      </c>
      <c r="H90" t="n">
        <v>4</v>
      </c>
      <c r="I90" t="n">
        <v>3</v>
      </c>
      <c r="J90" t="n">
        <v>0</v>
      </c>
      <c r="K90" t="n">
        <v>0</v>
      </c>
      <c r="L90" t="n">
        <v>0</v>
      </c>
      <c r="M90" t="n">
        <v>0</v>
      </c>
      <c r="N90" t="n">
        <v>0</v>
      </c>
      <c r="O90" t="n">
        <v>0</v>
      </c>
      <c r="P90" t="n">
        <v>0</v>
      </c>
      <c r="Q90" t="n">
        <v>4</v>
      </c>
      <c r="R90" s="2" t="inlineStr">
        <is>
          <t>Flugblomster
Purpurknipprot
Tvåblad
Salepsrot</t>
        </is>
      </c>
      <c r="S90">
        <f>HYPERLINK("https://klasma.github.io/Logging_0980/artfynd/A 8265-2023 artfynd.xlsx", "A 8265-2023")</f>
        <v/>
      </c>
      <c r="T90">
        <f>HYPERLINK("https://klasma.github.io/Logging_0980/kartor/A 8265-2023 karta.png", "A 8265-2023")</f>
        <v/>
      </c>
      <c r="V90">
        <f>HYPERLINK("https://klasma.github.io/Logging_0980/klagomål/A 8265-2023 FSC-klagomål.docx", "A 8265-2023")</f>
        <v/>
      </c>
      <c r="W90">
        <f>HYPERLINK("https://klasma.github.io/Logging_0980/klagomålsmail/A 8265-2023 FSC-klagomål mail.docx", "A 8265-2023")</f>
        <v/>
      </c>
      <c r="X90">
        <f>HYPERLINK("https://klasma.github.io/Logging_0980/tillsyn/A 8265-2023 tillsynsbegäran.docx", "A 8265-2023")</f>
        <v/>
      </c>
      <c r="Y90">
        <f>HYPERLINK("https://klasma.github.io/Logging_0980/tillsynsmail/A 8265-2023 tillsynsbegäran mail.docx", "A 8265-2023")</f>
        <v/>
      </c>
    </row>
    <row r="91" ht="15" customHeight="1">
      <c r="A91" t="inlineStr">
        <is>
          <t>A 44323-2021</t>
        </is>
      </c>
      <c r="B91" s="1" t="n">
        <v>44434</v>
      </c>
      <c r="C91" s="1" t="n">
        <v>46186</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46186</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46186</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43013-2022</t>
        </is>
      </c>
      <c r="B94" s="1" t="n">
        <v>44833</v>
      </c>
      <c r="C94" s="1" t="n">
        <v>46186</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73144-2021</t>
        </is>
      </c>
      <c r="B95" s="1" t="n">
        <v>44550</v>
      </c>
      <c r="C95" s="1" t="n">
        <v>46186</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49709-2025</t>
        </is>
      </c>
      <c r="B96" s="1" t="n">
        <v>45939.68228009259</v>
      </c>
      <c r="C96" s="1" t="n">
        <v>46186</v>
      </c>
      <c r="D96" t="inlineStr">
        <is>
          <t>GOTLANDS LÄN</t>
        </is>
      </c>
      <c r="E96" t="inlineStr">
        <is>
          <t>GOTLAND</t>
        </is>
      </c>
      <c r="G96" t="n">
        <v>10.2</v>
      </c>
      <c r="H96" t="n">
        <v>0</v>
      </c>
      <c r="I96" t="n">
        <v>2</v>
      </c>
      <c r="J96" t="n">
        <v>1</v>
      </c>
      <c r="K96" t="n">
        <v>0</v>
      </c>
      <c r="L96" t="n">
        <v>0</v>
      </c>
      <c r="M96" t="n">
        <v>0</v>
      </c>
      <c r="N96" t="n">
        <v>0</v>
      </c>
      <c r="O96" t="n">
        <v>1</v>
      </c>
      <c r="P96" t="n">
        <v>0</v>
      </c>
      <c r="Q96" t="n">
        <v>3</v>
      </c>
      <c r="R96" s="2" t="inlineStr">
        <is>
          <t>Tallticka
Blåmossa
Grovticka</t>
        </is>
      </c>
      <c r="S96">
        <f>HYPERLINK("https://klasma.github.io/Logging_0980/artfynd/A 49709-2025 artfynd.xlsx", "A 49709-2025")</f>
        <v/>
      </c>
      <c r="T96">
        <f>HYPERLINK("https://klasma.github.io/Logging_0980/kartor/A 49709-2025 karta.png", "A 49709-2025")</f>
        <v/>
      </c>
      <c r="V96">
        <f>HYPERLINK("https://klasma.github.io/Logging_0980/klagomål/A 49709-2025 FSC-klagomål.docx", "A 49709-2025")</f>
        <v/>
      </c>
      <c r="W96">
        <f>HYPERLINK("https://klasma.github.io/Logging_0980/klagomålsmail/A 49709-2025 FSC-klagomål mail.docx", "A 49709-2025")</f>
        <v/>
      </c>
      <c r="X96">
        <f>HYPERLINK("https://klasma.github.io/Logging_0980/tillsyn/A 49709-2025 tillsynsbegäran.docx", "A 49709-2025")</f>
        <v/>
      </c>
      <c r="Y96">
        <f>HYPERLINK("https://klasma.github.io/Logging_0980/tillsynsmail/A 49709-2025 tillsynsbegäran mail.docx", "A 49709-2025")</f>
        <v/>
      </c>
    </row>
    <row r="97" ht="15" customHeight="1">
      <c r="A97" t="inlineStr">
        <is>
          <t>A 13499-2022</t>
        </is>
      </c>
      <c r="B97" s="1" t="n">
        <v>44647.79203703703</v>
      </c>
      <c r="C97" s="1" t="n">
        <v>46186</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46186</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48126-2022</t>
        </is>
      </c>
      <c r="B99" s="1" t="n">
        <v>44857</v>
      </c>
      <c r="C99" s="1" t="n">
        <v>46186</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17975-2024</t>
        </is>
      </c>
      <c r="B100" s="1" t="n">
        <v>45419.85546296297</v>
      </c>
      <c r="C100" s="1" t="n">
        <v>46186</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20831-2024</t>
        </is>
      </c>
      <c r="B101" s="1" t="n">
        <v>45439</v>
      </c>
      <c r="C101" s="1" t="n">
        <v>46186</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17982-2023</t>
        </is>
      </c>
      <c r="B102" s="1" t="n">
        <v>45040</v>
      </c>
      <c r="C102" s="1" t="n">
        <v>46186</v>
      </c>
      <c r="D102" t="inlineStr">
        <is>
          <t>GOTLANDS LÄN</t>
        </is>
      </c>
      <c r="E102" t="inlineStr">
        <is>
          <t>GOTLAND</t>
        </is>
      </c>
      <c r="G102" t="n">
        <v>2.2</v>
      </c>
      <c r="H102" t="n">
        <v>0</v>
      </c>
      <c r="I102" t="n">
        <v>0</v>
      </c>
      <c r="J102" t="n">
        <v>2</v>
      </c>
      <c r="K102" t="n">
        <v>0</v>
      </c>
      <c r="L102" t="n">
        <v>0</v>
      </c>
      <c r="M102" t="n">
        <v>1</v>
      </c>
      <c r="N102" t="n">
        <v>0</v>
      </c>
      <c r="O102" t="n">
        <v>3</v>
      </c>
      <c r="P102" t="n">
        <v>1</v>
      </c>
      <c r="Q102" t="n">
        <v>3</v>
      </c>
      <c r="R102" s="2" t="inlineStr">
        <is>
          <t>Lundalm
Krusfrö
Ängsskära</t>
        </is>
      </c>
      <c r="S102">
        <f>HYPERLINK("https://klasma.github.io/Logging_0980/artfynd/A 17982-2023 artfynd.xlsx", "A 17982-2023")</f>
        <v/>
      </c>
      <c r="T102">
        <f>HYPERLINK("https://klasma.github.io/Logging_0980/kartor/A 17982-2023 karta.png", "A 17982-2023")</f>
        <v/>
      </c>
      <c r="V102">
        <f>HYPERLINK("https://klasma.github.io/Logging_0980/klagomål/A 17982-2023 FSC-klagomål.docx", "A 17982-2023")</f>
        <v/>
      </c>
      <c r="W102">
        <f>HYPERLINK("https://klasma.github.io/Logging_0980/klagomålsmail/A 17982-2023 FSC-klagomål mail.docx", "A 17982-2023")</f>
        <v/>
      </c>
      <c r="X102">
        <f>HYPERLINK("https://klasma.github.io/Logging_0980/tillsyn/A 17982-2023 tillsynsbegäran.docx", "A 17982-2023")</f>
        <v/>
      </c>
      <c r="Y102">
        <f>HYPERLINK("https://klasma.github.io/Logging_0980/tillsynsmail/A 17982-2023 tillsynsbegäran mail.docx", "A 17982-2023")</f>
        <v/>
      </c>
    </row>
    <row r="103" ht="15" customHeight="1">
      <c r="A103" t="inlineStr">
        <is>
          <t>A 53552-2021</t>
        </is>
      </c>
      <c r="B103" s="1" t="n">
        <v>44468</v>
      </c>
      <c r="C103" s="1" t="n">
        <v>46186</v>
      </c>
      <c r="D103" t="inlineStr">
        <is>
          <t>GOTLANDS LÄN</t>
        </is>
      </c>
      <c r="E103" t="inlineStr">
        <is>
          <t>GOTLAND</t>
        </is>
      </c>
      <c r="G103" t="n">
        <v>6.2</v>
      </c>
      <c r="H103" t="n">
        <v>2</v>
      </c>
      <c r="I103" t="n">
        <v>0</v>
      </c>
      <c r="J103" t="n">
        <v>1</v>
      </c>
      <c r="K103" t="n">
        <v>0</v>
      </c>
      <c r="L103" t="n">
        <v>0</v>
      </c>
      <c r="M103" t="n">
        <v>0</v>
      </c>
      <c r="N103" t="n">
        <v>0</v>
      </c>
      <c r="O103" t="n">
        <v>1</v>
      </c>
      <c r="P103" t="n">
        <v>0</v>
      </c>
      <c r="Q103" t="n">
        <v>3</v>
      </c>
      <c r="R103" s="2" t="inlineStr">
        <is>
          <t>Bredbrämad bastardsvärmare
Grönvit nattviol
Gullviva</t>
        </is>
      </c>
      <c r="S103">
        <f>HYPERLINK("https://klasma.github.io/Logging_0980/artfynd/A 53552-2021 artfynd.xlsx", "A 53552-2021")</f>
        <v/>
      </c>
      <c r="T103">
        <f>HYPERLINK("https://klasma.github.io/Logging_0980/kartor/A 53552-2021 karta.png", "A 53552-2021")</f>
        <v/>
      </c>
      <c r="V103">
        <f>HYPERLINK("https://klasma.github.io/Logging_0980/klagomål/A 53552-2021 FSC-klagomål.docx", "A 53552-2021")</f>
        <v/>
      </c>
      <c r="W103">
        <f>HYPERLINK("https://klasma.github.io/Logging_0980/klagomålsmail/A 53552-2021 FSC-klagomål mail.docx", "A 53552-2021")</f>
        <v/>
      </c>
      <c r="X103">
        <f>HYPERLINK("https://klasma.github.io/Logging_0980/tillsyn/A 53552-2021 tillsynsbegäran.docx", "A 53552-2021")</f>
        <v/>
      </c>
      <c r="Y103">
        <f>HYPERLINK("https://klasma.github.io/Logging_0980/tillsynsmail/A 53552-2021 tillsynsbegäran mail.docx", "A 53552-2021")</f>
        <v/>
      </c>
    </row>
    <row r="104" ht="15" customHeight="1">
      <c r="A104" t="inlineStr">
        <is>
          <t>A 12315-2024</t>
        </is>
      </c>
      <c r="B104" s="1" t="n">
        <v>45378.6434837963</v>
      </c>
      <c r="C104" s="1" t="n">
        <v>46186</v>
      </c>
      <c r="D104" t="inlineStr">
        <is>
          <t>GOTLANDS LÄN</t>
        </is>
      </c>
      <c r="E104" t="inlineStr">
        <is>
          <t>GOTLAND</t>
        </is>
      </c>
      <c r="G104" t="n">
        <v>6</v>
      </c>
      <c r="H104" t="n">
        <v>3</v>
      </c>
      <c r="I104" t="n">
        <v>1</v>
      </c>
      <c r="J104" t="n">
        <v>1</v>
      </c>
      <c r="K104" t="n">
        <v>0</v>
      </c>
      <c r="L104" t="n">
        <v>0</v>
      </c>
      <c r="M104" t="n">
        <v>0</v>
      </c>
      <c r="N104" t="n">
        <v>0</v>
      </c>
      <c r="O104" t="n">
        <v>1</v>
      </c>
      <c r="P104" t="n">
        <v>0</v>
      </c>
      <c r="Q104" t="n">
        <v>3</v>
      </c>
      <c r="R104" s="2" t="inlineStr">
        <is>
          <t>Buskskvätta
Tvåblad
Fläcknycklar</t>
        </is>
      </c>
      <c r="S104">
        <f>HYPERLINK("https://klasma.github.io/Logging_0980/artfynd/A 12315-2024 artfynd.xlsx", "A 12315-2024")</f>
        <v/>
      </c>
      <c r="T104">
        <f>HYPERLINK("https://klasma.github.io/Logging_0980/kartor/A 12315-2024 karta.png", "A 12315-2024")</f>
        <v/>
      </c>
      <c r="V104">
        <f>HYPERLINK("https://klasma.github.io/Logging_0980/klagomål/A 12315-2024 FSC-klagomål.docx", "A 12315-2024")</f>
        <v/>
      </c>
      <c r="W104">
        <f>HYPERLINK("https://klasma.github.io/Logging_0980/klagomålsmail/A 12315-2024 FSC-klagomål mail.docx", "A 12315-2024")</f>
        <v/>
      </c>
      <c r="X104">
        <f>HYPERLINK("https://klasma.github.io/Logging_0980/tillsyn/A 12315-2024 tillsynsbegäran.docx", "A 12315-2024")</f>
        <v/>
      </c>
      <c r="Y104">
        <f>HYPERLINK("https://klasma.github.io/Logging_0980/tillsynsmail/A 12315-2024 tillsynsbegäran mail.docx", "A 12315-2024")</f>
        <v/>
      </c>
      <c r="Z104">
        <f>HYPERLINK("https://klasma.github.io/Logging_0980/fåglar/A 12315-2024 prioriterade fågelarter.docx", "A 12315-2024")</f>
        <v/>
      </c>
    </row>
    <row r="105" ht="15" customHeight="1">
      <c r="A105" t="inlineStr">
        <is>
          <t>A 26992-2026</t>
        </is>
      </c>
      <c r="B105" s="1" t="n">
        <v>46185.61268518519</v>
      </c>
      <c r="C105" s="1" t="n">
        <v>46186</v>
      </c>
      <c r="D105" t="inlineStr">
        <is>
          <t>GOTLANDS LÄN</t>
        </is>
      </c>
      <c r="E105" t="inlineStr">
        <is>
          <t>GOTLAND</t>
        </is>
      </c>
      <c r="G105" t="n">
        <v>0.8</v>
      </c>
      <c r="H105" t="n">
        <v>2</v>
      </c>
      <c r="I105" t="n">
        <v>1</v>
      </c>
      <c r="J105" t="n">
        <v>1</v>
      </c>
      <c r="K105" t="n">
        <v>0</v>
      </c>
      <c r="L105" t="n">
        <v>0</v>
      </c>
      <c r="M105" t="n">
        <v>0</v>
      </c>
      <c r="N105" t="n">
        <v>0</v>
      </c>
      <c r="O105" t="n">
        <v>1</v>
      </c>
      <c r="P105" t="n">
        <v>0</v>
      </c>
      <c r="Q105" t="n">
        <v>3</v>
      </c>
      <c r="R105" s="2" t="inlineStr">
        <is>
          <t>Svinrot
Nästrot
Blåsippa</t>
        </is>
      </c>
      <c r="S105">
        <f>HYPERLINK("https://klasma.github.io/Logging_0980/artfynd/A 26992-2026 artfynd.xlsx", "A 26992-2026")</f>
        <v/>
      </c>
      <c r="T105">
        <f>HYPERLINK("https://klasma.github.io/Logging_0980/kartor/A 26992-2026 karta.png", "A 26992-2026")</f>
        <v/>
      </c>
      <c r="V105">
        <f>HYPERLINK("https://klasma.github.io/Logging_0980/klagomål/A 26992-2026 FSC-klagomål.docx", "A 26992-2026")</f>
        <v/>
      </c>
      <c r="W105">
        <f>HYPERLINK("https://klasma.github.io/Logging_0980/klagomålsmail/A 26992-2026 FSC-klagomål mail.docx", "A 26992-2026")</f>
        <v/>
      </c>
      <c r="X105">
        <f>HYPERLINK("https://klasma.github.io/Logging_0980/tillsyn/A 26992-2026 tillsynsbegäran.docx", "A 26992-2026")</f>
        <v/>
      </c>
      <c r="Y105">
        <f>HYPERLINK("https://klasma.github.io/Logging_0980/tillsynsmail/A 26992-2026 tillsynsbegäran mail.docx", "A 26992-2026")</f>
        <v/>
      </c>
    </row>
    <row r="106" ht="15" customHeight="1">
      <c r="A106" t="inlineStr">
        <is>
          <t>A 29870-2021</t>
        </is>
      </c>
      <c r="B106" s="1" t="n">
        <v>44362</v>
      </c>
      <c r="C106" s="1" t="n">
        <v>46186</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60665-2021</t>
        </is>
      </c>
      <c r="B107" s="1" t="n">
        <v>44496</v>
      </c>
      <c r="C107" s="1" t="n">
        <v>46186</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46186</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28261-2024</t>
        </is>
      </c>
      <c r="B109" s="1" t="n">
        <v>45477</v>
      </c>
      <c r="C109" s="1" t="n">
        <v>46186</v>
      </c>
      <c r="D109" t="inlineStr">
        <is>
          <t>GOTLANDS LÄN</t>
        </is>
      </c>
      <c r="E109" t="inlineStr">
        <is>
          <t>GOTLAND</t>
        </is>
      </c>
      <c r="G109" t="n">
        <v>22.8</v>
      </c>
      <c r="H109" t="n">
        <v>0</v>
      </c>
      <c r="I109" t="n">
        <v>0</v>
      </c>
      <c r="J109" t="n">
        <v>2</v>
      </c>
      <c r="K109" t="n">
        <v>0</v>
      </c>
      <c r="L109" t="n">
        <v>0</v>
      </c>
      <c r="M109" t="n">
        <v>0</v>
      </c>
      <c r="N109" t="n">
        <v>0</v>
      </c>
      <c r="O109" t="n">
        <v>2</v>
      </c>
      <c r="P109" t="n">
        <v>0</v>
      </c>
      <c r="Q109" t="n">
        <v>2</v>
      </c>
      <c r="R109" s="2" t="inlineStr">
        <is>
          <t>Grådådra
Åkerkulla</t>
        </is>
      </c>
      <c r="S109">
        <f>HYPERLINK("https://klasma.github.io/Logging_0980/artfynd/A 28261-2024 artfynd.xlsx", "A 28261-2024")</f>
        <v/>
      </c>
      <c r="T109">
        <f>HYPERLINK("https://klasma.github.io/Logging_0980/kartor/A 28261-2024 karta.png", "A 28261-2024")</f>
        <v/>
      </c>
      <c r="V109">
        <f>HYPERLINK("https://klasma.github.io/Logging_0980/klagomål/A 28261-2024 FSC-klagomål.docx", "A 28261-2024")</f>
        <v/>
      </c>
      <c r="W109">
        <f>HYPERLINK("https://klasma.github.io/Logging_0980/klagomålsmail/A 28261-2024 FSC-klagomål mail.docx", "A 28261-2024")</f>
        <v/>
      </c>
      <c r="X109">
        <f>HYPERLINK("https://klasma.github.io/Logging_0980/tillsyn/A 28261-2024 tillsynsbegäran.docx", "A 28261-2024")</f>
        <v/>
      </c>
      <c r="Y109">
        <f>HYPERLINK("https://klasma.github.io/Logging_0980/tillsynsmail/A 28261-2024 tillsynsbegäran mail.docx", "A 28261-2024")</f>
        <v/>
      </c>
    </row>
    <row r="110" ht="15" customHeight="1">
      <c r="A110" t="inlineStr">
        <is>
          <t>A 55649-2024</t>
        </is>
      </c>
      <c r="B110" s="1" t="n">
        <v>45622.63053240741</v>
      </c>
      <c r="C110" s="1" t="n">
        <v>46186</v>
      </c>
      <c r="D110" t="inlineStr">
        <is>
          <t>GOTLANDS LÄN</t>
        </is>
      </c>
      <c r="E110" t="inlineStr">
        <is>
          <t>GOTLAND</t>
        </is>
      </c>
      <c r="G110" t="n">
        <v>4.6</v>
      </c>
      <c r="H110" t="n">
        <v>2</v>
      </c>
      <c r="I110" t="n">
        <v>0</v>
      </c>
      <c r="J110" t="n">
        <v>0</v>
      </c>
      <c r="K110" t="n">
        <v>0</v>
      </c>
      <c r="L110" t="n">
        <v>0</v>
      </c>
      <c r="M110" t="n">
        <v>0</v>
      </c>
      <c r="N110" t="n">
        <v>0</v>
      </c>
      <c r="O110" t="n">
        <v>0</v>
      </c>
      <c r="P110" t="n">
        <v>0</v>
      </c>
      <c r="Q110" t="n">
        <v>2</v>
      </c>
      <c r="R110" s="2" t="inlineStr">
        <is>
          <t>Sankt pers nycklar
Blåsippa</t>
        </is>
      </c>
      <c r="S110">
        <f>HYPERLINK("https://klasma.github.io/Logging_0980/artfynd/A 55649-2024 artfynd.xlsx", "A 55649-2024")</f>
        <v/>
      </c>
      <c r="T110">
        <f>HYPERLINK("https://klasma.github.io/Logging_0980/kartor/A 55649-2024 karta.png", "A 55649-2024")</f>
        <v/>
      </c>
      <c r="V110">
        <f>HYPERLINK("https://klasma.github.io/Logging_0980/klagomål/A 55649-2024 FSC-klagomål.docx", "A 55649-2024")</f>
        <v/>
      </c>
      <c r="W110">
        <f>HYPERLINK("https://klasma.github.io/Logging_0980/klagomålsmail/A 55649-2024 FSC-klagomål mail.docx", "A 55649-2024")</f>
        <v/>
      </c>
      <c r="X110">
        <f>HYPERLINK("https://klasma.github.io/Logging_0980/tillsyn/A 55649-2024 tillsynsbegäran.docx", "A 55649-2024")</f>
        <v/>
      </c>
      <c r="Y110">
        <f>HYPERLINK("https://klasma.github.io/Logging_0980/tillsynsmail/A 55649-2024 tillsynsbegäran mail.docx", "A 55649-2024")</f>
        <v/>
      </c>
    </row>
    <row r="111" ht="15" customHeight="1">
      <c r="A111" t="inlineStr">
        <is>
          <t>A 20429-2025</t>
        </is>
      </c>
      <c r="B111" s="1" t="n">
        <v>45775.47728009259</v>
      </c>
      <c r="C111" s="1" t="n">
        <v>46186</v>
      </c>
      <c r="D111" t="inlineStr">
        <is>
          <t>GOTLANDS LÄN</t>
        </is>
      </c>
      <c r="E111" t="inlineStr">
        <is>
          <t>GOTLAND</t>
        </is>
      </c>
      <c r="G111" t="n">
        <v>1.4</v>
      </c>
      <c r="H111" t="n">
        <v>2</v>
      </c>
      <c r="I111" t="n">
        <v>0</v>
      </c>
      <c r="J111" t="n">
        <v>0</v>
      </c>
      <c r="K111" t="n">
        <v>0</v>
      </c>
      <c r="L111" t="n">
        <v>0</v>
      </c>
      <c r="M111" t="n">
        <v>0</v>
      </c>
      <c r="N111" t="n">
        <v>0</v>
      </c>
      <c r="O111" t="n">
        <v>0</v>
      </c>
      <c r="P111" t="n">
        <v>0</v>
      </c>
      <c r="Q111" t="n">
        <v>2</v>
      </c>
      <c r="R111" s="2" t="inlineStr">
        <is>
          <t>Lopplummer (aggregat)
Äkta lopplummer</t>
        </is>
      </c>
      <c r="S111">
        <f>HYPERLINK("https://klasma.github.io/Logging_0980/artfynd/A 20429-2025 artfynd.xlsx", "A 20429-2025")</f>
        <v/>
      </c>
      <c r="T111">
        <f>HYPERLINK("https://klasma.github.io/Logging_0980/kartor/A 20429-2025 karta.png", "A 20429-2025")</f>
        <v/>
      </c>
      <c r="V111">
        <f>HYPERLINK("https://klasma.github.io/Logging_0980/klagomål/A 20429-2025 FSC-klagomål.docx", "A 20429-2025")</f>
        <v/>
      </c>
      <c r="W111">
        <f>HYPERLINK("https://klasma.github.io/Logging_0980/klagomålsmail/A 20429-2025 FSC-klagomål mail.docx", "A 20429-2025")</f>
        <v/>
      </c>
      <c r="X111">
        <f>HYPERLINK("https://klasma.github.io/Logging_0980/tillsyn/A 20429-2025 tillsynsbegäran.docx", "A 20429-2025")</f>
        <v/>
      </c>
      <c r="Y111">
        <f>HYPERLINK("https://klasma.github.io/Logging_0980/tillsynsmail/A 20429-2025 tillsynsbegäran mail.docx", "A 20429-2025")</f>
        <v/>
      </c>
    </row>
    <row r="112" ht="15" customHeight="1">
      <c r="A112" t="inlineStr">
        <is>
          <t>A 7070-2022</t>
        </is>
      </c>
      <c r="B112" s="1" t="n">
        <v>44603</v>
      </c>
      <c r="C112" s="1" t="n">
        <v>46186</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12914-2025</t>
        </is>
      </c>
      <c r="B113" s="1" t="n">
        <v>45733</v>
      </c>
      <c r="C113" s="1" t="n">
        <v>46186</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63162-2025</t>
        </is>
      </c>
      <c r="B114" s="1" t="n">
        <v>46010.37629629629</v>
      </c>
      <c r="C114" s="1" t="n">
        <v>46186</v>
      </c>
      <c r="D114" t="inlineStr">
        <is>
          <t>GOTLANDS LÄN</t>
        </is>
      </c>
      <c r="E114" t="inlineStr">
        <is>
          <t>GOTLAND</t>
        </is>
      </c>
      <c r="G114" t="n">
        <v>3.5</v>
      </c>
      <c r="H114" t="n">
        <v>0</v>
      </c>
      <c r="I114" t="n">
        <v>1</v>
      </c>
      <c r="J114" t="n">
        <v>0</v>
      </c>
      <c r="K114" t="n">
        <v>1</v>
      </c>
      <c r="L114" t="n">
        <v>0</v>
      </c>
      <c r="M114" t="n">
        <v>0</v>
      </c>
      <c r="N114" t="n">
        <v>0</v>
      </c>
      <c r="O114" t="n">
        <v>1</v>
      </c>
      <c r="P114" t="n">
        <v>1</v>
      </c>
      <c r="Q114" t="n">
        <v>2</v>
      </c>
      <c r="R114" s="2" t="inlineStr">
        <is>
          <t>Gotlandsmåra
Myskmadra</t>
        </is>
      </c>
      <c r="S114">
        <f>HYPERLINK("https://klasma.github.io/Logging_0980/artfynd/A 63162-2025 artfynd.xlsx", "A 63162-2025")</f>
        <v/>
      </c>
      <c r="T114">
        <f>HYPERLINK("https://klasma.github.io/Logging_0980/kartor/A 63162-2025 karta.png", "A 63162-2025")</f>
        <v/>
      </c>
      <c r="V114">
        <f>HYPERLINK("https://klasma.github.io/Logging_0980/klagomål/A 63162-2025 FSC-klagomål.docx", "A 63162-2025")</f>
        <v/>
      </c>
      <c r="W114">
        <f>HYPERLINK("https://klasma.github.io/Logging_0980/klagomålsmail/A 63162-2025 FSC-klagomål mail.docx", "A 63162-2025")</f>
        <v/>
      </c>
      <c r="X114">
        <f>HYPERLINK("https://klasma.github.io/Logging_0980/tillsyn/A 63162-2025 tillsynsbegäran.docx", "A 63162-2025")</f>
        <v/>
      </c>
      <c r="Y114">
        <f>HYPERLINK("https://klasma.github.io/Logging_0980/tillsynsmail/A 63162-2025 tillsynsbegäran mail.docx", "A 63162-2025")</f>
        <v/>
      </c>
    </row>
    <row r="115" ht="15" customHeight="1">
      <c r="A115" t="inlineStr">
        <is>
          <t>A 62760-2025</t>
        </is>
      </c>
      <c r="B115" s="1" t="n">
        <v>46008</v>
      </c>
      <c r="C115" s="1" t="n">
        <v>46186</v>
      </c>
      <c r="D115" t="inlineStr">
        <is>
          <t>GOTLANDS LÄN</t>
        </is>
      </c>
      <c r="E115" t="inlineStr">
        <is>
          <t>GOTLAND</t>
        </is>
      </c>
      <c r="F115" t="inlineStr">
        <is>
          <t>Övriga Aktiebolag</t>
        </is>
      </c>
      <c r="G115" t="n">
        <v>4.6</v>
      </c>
      <c r="H115" t="n">
        <v>1</v>
      </c>
      <c r="I115" t="n">
        <v>2</v>
      </c>
      <c r="J115" t="n">
        <v>0</v>
      </c>
      <c r="K115" t="n">
        <v>0</v>
      </c>
      <c r="L115" t="n">
        <v>0</v>
      </c>
      <c r="M115" t="n">
        <v>0</v>
      </c>
      <c r="N115" t="n">
        <v>0</v>
      </c>
      <c r="O115" t="n">
        <v>0</v>
      </c>
      <c r="P115" t="n">
        <v>0</v>
      </c>
      <c r="Q115" t="n">
        <v>2</v>
      </c>
      <c r="R115" s="2" t="inlineStr">
        <is>
          <t>Nästrot
Vårärt</t>
        </is>
      </c>
      <c r="S115">
        <f>HYPERLINK("https://klasma.github.io/Logging_0980/artfynd/A 62760-2025 artfynd.xlsx", "A 62760-2025")</f>
        <v/>
      </c>
      <c r="T115">
        <f>HYPERLINK("https://klasma.github.io/Logging_0980/kartor/A 62760-2025 karta.png", "A 62760-2025")</f>
        <v/>
      </c>
      <c r="V115">
        <f>HYPERLINK("https://klasma.github.io/Logging_0980/klagomål/A 62760-2025 FSC-klagomål.docx", "A 62760-2025")</f>
        <v/>
      </c>
      <c r="W115">
        <f>HYPERLINK("https://klasma.github.io/Logging_0980/klagomålsmail/A 62760-2025 FSC-klagomål mail.docx", "A 62760-2025")</f>
        <v/>
      </c>
      <c r="X115">
        <f>HYPERLINK("https://klasma.github.io/Logging_0980/tillsyn/A 62760-2025 tillsynsbegäran.docx", "A 62760-2025")</f>
        <v/>
      </c>
      <c r="Y115">
        <f>HYPERLINK("https://klasma.github.io/Logging_0980/tillsynsmail/A 62760-2025 tillsynsbegäran mail.docx", "A 62760-2025")</f>
        <v/>
      </c>
    </row>
    <row r="116" ht="15" customHeight="1">
      <c r="A116" t="inlineStr">
        <is>
          <t>A 54357-2024</t>
        </is>
      </c>
      <c r="B116" s="1" t="n">
        <v>45617.40662037037</v>
      </c>
      <c r="C116" s="1" t="n">
        <v>46186</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16997-2026</t>
        </is>
      </c>
      <c r="B117" s="1" t="n">
        <v>46114.42539351852</v>
      </c>
      <c r="C117" s="1" t="n">
        <v>46186</v>
      </c>
      <c r="D117" t="inlineStr">
        <is>
          <t>GOTLANDS LÄN</t>
        </is>
      </c>
      <c r="E117" t="inlineStr">
        <is>
          <t>GOTLAND</t>
        </is>
      </c>
      <c r="G117" t="n">
        <v>0.7</v>
      </c>
      <c r="H117" t="n">
        <v>0</v>
      </c>
      <c r="I117" t="n">
        <v>1</v>
      </c>
      <c r="J117" t="n">
        <v>0</v>
      </c>
      <c r="K117" t="n">
        <v>0</v>
      </c>
      <c r="L117" t="n">
        <v>1</v>
      </c>
      <c r="M117" t="n">
        <v>0</v>
      </c>
      <c r="N117" t="n">
        <v>0</v>
      </c>
      <c r="O117" t="n">
        <v>1</v>
      </c>
      <c r="P117" t="n">
        <v>1</v>
      </c>
      <c r="Q117" t="n">
        <v>2</v>
      </c>
      <c r="R117" s="2" t="inlineStr">
        <is>
          <t>Ask
Hasselticka</t>
        </is>
      </c>
      <c r="S117">
        <f>HYPERLINK("https://klasma.github.io/Logging_0980/artfynd/A 16997-2026 artfynd.xlsx", "A 16997-2026")</f>
        <v/>
      </c>
      <c r="T117">
        <f>HYPERLINK("https://klasma.github.io/Logging_0980/kartor/A 16997-2026 karta.png", "A 16997-2026")</f>
        <v/>
      </c>
      <c r="V117">
        <f>HYPERLINK("https://klasma.github.io/Logging_0980/klagomål/A 16997-2026 FSC-klagomål.docx", "A 16997-2026")</f>
        <v/>
      </c>
      <c r="W117">
        <f>HYPERLINK("https://klasma.github.io/Logging_0980/klagomålsmail/A 16997-2026 FSC-klagomål mail.docx", "A 16997-2026")</f>
        <v/>
      </c>
      <c r="X117">
        <f>HYPERLINK("https://klasma.github.io/Logging_0980/tillsyn/A 16997-2026 tillsynsbegäran.docx", "A 16997-2026")</f>
        <v/>
      </c>
      <c r="Y117">
        <f>HYPERLINK("https://klasma.github.io/Logging_0980/tillsynsmail/A 16997-2026 tillsynsbegäran mail.docx", "A 16997-2026")</f>
        <v/>
      </c>
    </row>
    <row r="118" ht="15" customHeight="1">
      <c r="A118" t="inlineStr">
        <is>
          <t>A 20838-2024</t>
        </is>
      </c>
      <c r="B118" s="1" t="n">
        <v>45439</v>
      </c>
      <c r="C118" s="1" t="n">
        <v>46186</v>
      </c>
      <c r="D118" t="inlineStr">
        <is>
          <t>GOTLANDS LÄN</t>
        </is>
      </c>
      <c r="E118" t="inlineStr">
        <is>
          <t>GOTLAND</t>
        </is>
      </c>
      <c r="G118" t="n">
        <v>0.7</v>
      </c>
      <c r="H118" t="n">
        <v>2</v>
      </c>
      <c r="I118" t="n">
        <v>1</v>
      </c>
      <c r="J118" t="n">
        <v>1</v>
      </c>
      <c r="K118" t="n">
        <v>0</v>
      </c>
      <c r="L118" t="n">
        <v>0</v>
      </c>
      <c r="M118" t="n">
        <v>0</v>
      </c>
      <c r="N118" t="n">
        <v>0</v>
      </c>
      <c r="O118" t="n">
        <v>1</v>
      </c>
      <c r="P118" t="n">
        <v>0</v>
      </c>
      <c r="Q118" t="n">
        <v>2</v>
      </c>
      <c r="R118" s="2" t="inlineStr">
        <is>
          <t>Spillkråka
Skogsknipprot</t>
        </is>
      </c>
      <c r="S118">
        <f>HYPERLINK("https://klasma.github.io/Logging_0980/artfynd/A 20838-2024 artfynd.xlsx", "A 20838-2024")</f>
        <v/>
      </c>
      <c r="T118">
        <f>HYPERLINK("https://klasma.github.io/Logging_0980/kartor/A 20838-2024 karta.png", "A 20838-2024")</f>
        <v/>
      </c>
      <c r="V118">
        <f>HYPERLINK("https://klasma.github.io/Logging_0980/klagomål/A 20838-2024 FSC-klagomål.docx", "A 20838-2024")</f>
        <v/>
      </c>
      <c r="W118">
        <f>HYPERLINK("https://klasma.github.io/Logging_0980/klagomålsmail/A 20838-2024 FSC-klagomål mail.docx", "A 20838-2024")</f>
        <v/>
      </c>
      <c r="X118">
        <f>HYPERLINK("https://klasma.github.io/Logging_0980/tillsyn/A 20838-2024 tillsynsbegäran.docx", "A 20838-2024")</f>
        <v/>
      </c>
      <c r="Y118">
        <f>HYPERLINK("https://klasma.github.io/Logging_0980/tillsynsmail/A 20838-2024 tillsynsbegäran mail.docx", "A 20838-2024")</f>
        <v/>
      </c>
      <c r="Z118">
        <f>HYPERLINK("https://klasma.github.io/Logging_0980/fåglar/A 20838-2024 prioriterade fågelarter.docx", "A 20838-2024")</f>
        <v/>
      </c>
    </row>
    <row r="119" ht="15" customHeight="1">
      <c r="A119" t="inlineStr">
        <is>
          <t>A 17328-2026</t>
        </is>
      </c>
      <c r="B119" s="1" t="n">
        <v>46119</v>
      </c>
      <c r="C119" s="1" t="n">
        <v>46186</v>
      </c>
      <c r="D119" t="inlineStr">
        <is>
          <t>GOTLANDS LÄN</t>
        </is>
      </c>
      <c r="E119" t="inlineStr">
        <is>
          <t>GOTLAND</t>
        </is>
      </c>
      <c r="F119" t="inlineStr">
        <is>
          <t>Kyrkan</t>
        </is>
      </c>
      <c r="G119" t="n">
        <v>4</v>
      </c>
      <c r="H119" t="n">
        <v>1</v>
      </c>
      <c r="I119" t="n">
        <v>0</v>
      </c>
      <c r="J119" t="n">
        <v>2</v>
      </c>
      <c r="K119" t="n">
        <v>0</v>
      </c>
      <c r="L119" t="n">
        <v>0</v>
      </c>
      <c r="M119" t="n">
        <v>0</v>
      </c>
      <c r="N119" t="n">
        <v>0</v>
      </c>
      <c r="O119" t="n">
        <v>2</v>
      </c>
      <c r="P119" t="n">
        <v>0</v>
      </c>
      <c r="Q119" t="n">
        <v>2</v>
      </c>
      <c r="R119" s="2" t="inlineStr">
        <is>
          <t>Backtimjan
Spillkråka</t>
        </is>
      </c>
      <c r="S119">
        <f>HYPERLINK("https://klasma.github.io/Logging_0980/artfynd/A 17328-2026 artfynd.xlsx", "A 17328-2026")</f>
        <v/>
      </c>
      <c r="T119">
        <f>HYPERLINK("https://klasma.github.io/Logging_0980/kartor/A 17328-2026 karta.png", "A 17328-2026")</f>
        <v/>
      </c>
      <c r="V119">
        <f>HYPERLINK("https://klasma.github.io/Logging_0980/klagomål/A 17328-2026 FSC-klagomål.docx", "A 17328-2026")</f>
        <v/>
      </c>
      <c r="W119">
        <f>HYPERLINK("https://klasma.github.io/Logging_0980/klagomålsmail/A 17328-2026 FSC-klagomål mail.docx", "A 17328-2026")</f>
        <v/>
      </c>
      <c r="X119">
        <f>HYPERLINK("https://klasma.github.io/Logging_0980/tillsyn/A 17328-2026 tillsynsbegäran.docx", "A 17328-2026")</f>
        <v/>
      </c>
      <c r="Y119">
        <f>HYPERLINK("https://klasma.github.io/Logging_0980/tillsynsmail/A 17328-2026 tillsynsbegäran mail.docx", "A 17328-2026")</f>
        <v/>
      </c>
      <c r="Z119">
        <f>HYPERLINK("https://klasma.github.io/Logging_0980/fåglar/A 17328-2026 prioriterade fågelarter.docx", "A 17328-2026")</f>
        <v/>
      </c>
    </row>
    <row r="120" ht="15" customHeight="1">
      <c r="A120" t="inlineStr">
        <is>
          <t>A 26077-2024</t>
        </is>
      </c>
      <c r="B120" s="1" t="n">
        <v>45467</v>
      </c>
      <c r="C120" s="1" t="n">
        <v>46186</v>
      </c>
      <c r="D120" t="inlineStr">
        <is>
          <t>GOTLANDS LÄN</t>
        </is>
      </c>
      <c r="E120" t="inlineStr">
        <is>
          <t>GOTLAND</t>
        </is>
      </c>
      <c r="G120" t="n">
        <v>4.6</v>
      </c>
      <c r="H120" t="n">
        <v>0</v>
      </c>
      <c r="I120" t="n">
        <v>0</v>
      </c>
      <c r="J120" t="n">
        <v>1</v>
      </c>
      <c r="K120" t="n">
        <v>0</v>
      </c>
      <c r="L120" t="n">
        <v>1</v>
      </c>
      <c r="M120" t="n">
        <v>0</v>
      </c>
      <c r="N120" t="n">
        <v>0</v>
      </c>
      <c r="O120" t="n">
        <v>2</v>
      </c>
      <c r="P120" t="n">
        <v>1</v>
      </c>
      <c r="Q120" t="n">
        <v>2</v>
      </c>
      <c r="R120" s="2" t="inlineStr">
        <is>
          <t>Ask
Tallticka</t>
        </is>
      </c>
      <c r="S120">
        <f>HYPERLINK("https://klasma.github.io/Logging_0980/artfynd/A 26077-2024 artfynd.xlsx", "A 26077-2024")</f>
        <v/>
      </c>
      <c r="T120">
        <f>HYPERLINK("https://klasma.github.io/Logging_0980/kartor/A 26077-2024 karta.png", "A 26077-2024")</f>
        <v/>
      </c>
      <c r="V120">
        <f>HYPERLINK("https://klasma.github.io/Logging_0980/klagomål/A 26077-2024 FSC-klagomål.docx", "A 26077-2024")</f>
        <v/>
      </c>
      <c r="W120">
        <f>HYPERLINK("https://klasma.github.io/Logging_0980/klagomålsmail/A 26077-2024 FSC-klagomål mail.docx", "A 26077-2024")</f>
        <v/>
      </c>
      <c r="X120">
        <f>HYPERLINK("https://klasma.github.io/Logging_0980/tillsyn/A 26077-2024 tillsynsbegäran.docx", "A 26077-2024")</f>
        <v/>
      </c>
      <c r="Y120">
        <f>HYPERLINK("https://klasma.github.io/Logging_0980/tillsynsmail/A 26077-2024 tillsynsbegäran mail.docx", "A 26077-2024")</f>
        <v/>
      </c>
    </row>
    <row r="121" ht="15" customHeight="1">
      <c r="A121" t="inlineStr">
        <is>
          <t>A 43219-2023</t>
        </is>
      </c>
      <c r="B121" s="1" t="n">
        <v>45183</v>
      </c>
      <c r="C121" s="1" t="n">
        <v>46186</v>
      </c>
      <c r="D121" t="inlineStr">
        <is>
          <t>GOTLANDS LÄN</t>
        </is>
      </c>
      <c r="E121" t="inlineStr">
        <is>
          <t>GOTLAND</t>
        </is>
      </c>
      <c r="G121" t="n">
        <v>3.6</v>
      </c>
      <c r="H121" t="n">
        <v>1</v>
      </c>
      <c r="I121" t="n">
        <v>0</v>
      </c>
      <c r="J121" t="n">
        <v>1</v>
      </c>
      <c r="K121" t="n">
        <v>0</v>
      </c>
      <c r="L121" t="n">
        <v>0</v>
      </c>
      <c r="M121" t="n">
        <v>0</v>
      </c>
      <c r="N121" t="n">
        <v>0</v>
      </c>
      <c r="O121" t="n">
        <v>1</v>
      </c>
      <c r="P121" t="n">
        <v>0</v>
      </c>
      <c r="Q121" t="n">
        <v>2</v>
      </c>
      <c r="R121" s="2" t="inlineStr">
        <is>
          <t>Axveronika
Skogsduva</t>
        </is>
      </c>
      <c r="S121">
        <f>HYPERLINK("https://klasma.github.io/Logging_0980/artfynd/A 43219-2023 artfynd.xlsx", "A 43219-2023")</f>
        <v/>
      </c>
      <c r="T121">
        <f>HYPERLINK("https://klasma.github.io/Logging_0980/kartor/A 43219-2023 karta.png", "A 43219-2023")</f>
        <v/>
      </c>
      <c r="V121">
        <f>HYPERLINK("https://klasma.github.io/Logging_0980/klagomål/A 43219-2023 FSC-klagomål.docx", "A 43219-2023")</f>
        <v/>
      </c>
      <c r="W121">
        <f>HYPERLINK("https://klasma.github.io/Logging_0980/klagomålsmail/A 43219-2023 FSC-klagomål mail.docx", "A 43219-2023")</f>
        <v/>
      </c>
      <c r="X121">
        <f>HYPERLINK("https://klasma.github.io/Logging_0980/tillsyn/A 43219-2023 tillsynsbegäran.docx", "A 43219-2023")</f>
        <v/>
      </c>
      <c r="Y121">
        <f>HYPERLINK("https://klasma.github.io/Logging_0980/tillsynsmail/A 43219-2023 tillsynsbegäran mail.docx", "A 43219-2023")</f>
        <v/>
      </c>
      <c r="Z121">
        <f>HYPERLINK("https://klasma.github.io/Logging_0980/fåglar/A 43219-2023 prioriterade fågelarter.docx", "A 43219-2023")</f>
        <v/>
      </c>
    </row>
    <row r="122" ht="15" customHeight="1">
      <c r="A122" t="inlineStr">
        <is>
          <t>A 28276-2024</t>
        </is>
      </c>
      <c r="B122" s="1" t="n">
        <v>45477</v>
      </c>
      <c r="C122" s="1" t="n">
        <v>46186</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46362-2021</t>
        </is>
      </c>
      <c r="B123" s="1" t="n">
        <v>44442</v>
      </c>
      <c r="C123" s="1" t="n">
        <v>46186</v>
      </c>
      <c r="D123" t="inlineStr">
        <is>
          <t>GOTLANDS LÄN</t>
        </is>
      </c>
      <c r="E123" t="inlineStr">
        <is>
          <t>GOTLAND</t>
        </is>
      </c>
      <c r="G123" t="n">
        <v>2.1</v>
      </c>
      <c r="H123" t="n">
        <v>0</v>
      </c>
      <c r="I123" t="n">
        <v>0</v>
      </c>
      <c r="J123" t="n">
        <v>1</v>
      </c>
      <c r="K123" t="n">
        <v>0</v>
      </c>
      <c r="L123" t="n">
        <v>0</v>
      </c>
      <c r="M123" t="n">
        <v>0</v>
      </c>
      <c r="N123" t="n">
        <v>0</v>
      </c>
      <c r="O123" t="n">
        <v>1</v>
      </c>
      <c r="P123" t="n">
        <v>0</v>
      </c>
      <c r="Q123" t="n">
        <v>1</v>
      </c>
      <c r="R123" s="2" t="inlineStr">
        <is>
          <t>Igelkott</t>
        </is>
      </c>
      <c r="S123">
        <f>HYPERLINK("https://klasma.github.io/Logging_0980/artfynd/A 46362-2021 artfynd.xlsx", "A 46362-2021")</f>
        <v/>
      </c>
      <c r="T123">
        <f>HYPERLINK("https://klasma.github.io/Logging_0980/kartor/A 46362-2021 karta.png", "A 46362-2021")</f>
        <v/>
      </c>
      <c r="V123">
        <f>HYPERLINK("https://klasma.github.io/Logging_0980/klagomål/A 46362-2021 FSC-klagomål.docx", "A 46362-2021")</f>
        <v/>
      </c>
      <c r="W123">
        <f>HYPERLINK("https://klasma.github.io/Logging_0980/klagomålsmail/A 46362-2021 FSC-klagomål mail.docx", "A 46362-2021")</f>
        <v/>
      </c>
      <c r="X123">
        <f>HYPERLINK("https://klasma.github.io/Logging_0980/tillsyn/A 46362-2021 tillsynsbegäran.docx", "A 46362-2021")</f>
        <v/>
      </c>
      <c r="Y123">
        <f>HYPERLINK("https://klasma.github.io/Logging_0980/tillsynsmail/A 46362-2021 tillsynsbegäran mail.docx", "A 46362-2021")</f>
        <v/>
      </c>
    </row>
    <row r="124" ht="15" customHeight="1">
      <c r="A124" t="inlineStr">
        <is>
          <t>A 22883-2024</t>
        </is>
      </c>
      <c r="B124" s="1" t="n">
        <v>45448.66368055555</v>
      </c>
      <c r="C124" s="1" t="n">
        <v>46186</v>
      </c>
      <c r="D124" t="inlineStr">
        <is>
          <t>GOTLANDS LÄN</t>
        </is>
      </c>
      <c r="E124" t="inlineStr">
        <is>
          <t>GOTLAND</t>
        </is>
      </c>
      <c r="G124" t="n">
        <v>0.5</v>
      </c>
      <c r="H124" t="n">
        <v>0</v>
      </c>
      <c r="I124" t="n">
        <v>0</v>
      </c>
      <c r="J124" t="n">
        <v>0</v>
      </c>
      <c r="K124" t="n">
        <v>1</v>
      </c>
      <c r="L124" t="n">
        <v>0</v>
      </c>
      <c r="M124" t="n">
        <v>0</v>
      </c>
      <c r="N124" t="n">
        <v>0</v>
      </c>
      <c r="O124" t="n">
        <v>1</v>
      </c>
      <c r="P124" t="n">
        <v>1</v>
      </c>
      <c r="Q124" t="n">
        <v>1</v>
      </c>
      <c r="R124" s="2" t="inlineStr">
        <is>
          <t>Gotlandsmåra</t>
        </is>
      </c>
      <c r="S124">
        <f>HYPERLINK("https://klasma.github.io/Logging_0980/artfynd/A 22883-2024 artfynd.xlsx", "A 22883-2024")</f>
        <v/>
      </c>
      <c r="T124">
        <f>HYPERLINK("https://klasma.github.io/Logging_0980/kartor/A 22883-2024 karta.png", "A 22883-2024")</f>
        <v/>
      </c>
      <c r="V124">
        <f>HYPERLINK("https://klasma.github.io/Logging_0980/klagomål/A 22883-2024 FSC-klagomål.docx", "A 22883-2024")</f>
        <v/>
      </c>
      <c r="W124">
        <f>HYPERLINK("https://klasma.github.io/Logging_0980/klagomålsmail/A 22883-2024 FSC-klagomål mail.docx", "A 22883-2024")</f>
        <v/>
      </c>
      <c r="X124">
        <f>HYPERLINK("https://klasma.github.io/Logging_0980/tillsyn/A 22883-2024 tillsynsbegäran.docx", "A 22883-2024")</f>
        <v/>
      </c>
      <c r="Y124">
        <f>HYPERLINK("https://klasma.github.io/Logging_0980/tillsynsmail/A 22883-2024 tillsynsbegäran mail.docx", "A 22883-2024")</f>
        <v/>
      </c>
    </row>
    <row r="125" ht="15" customHeight="1">
      <c r="A125" t="inlineStr">
        <is>
          <t>A 24245-2022</t>
        </is>
      </c>
      <c r="B125" s="1" t="n">
        <v>44725</v>
      </c>
      <c r="C125" s="1" t="n">
        <v>46186</v>
      </c>
      <c r="D125" t="inlineStr">
        <is>
          <t>GOTLANDS LÄN</t>
        </is>
      </c>
      <c r="E125" t="inlineStr">
        <is>
          <t>GOTLAND</t>
        </is>
      </c>
      <c r="G125" t="n">
        <v>4.9</v>
      </c>
      <c r="H125" t="n">
        <v>0</v>
      </c>
      <c r="I125" t="n">
        <v>0</v>
      </c>
      <c r="J125" t="n">
        <v>0</v>
      </c>
      <c r="K125" t="n">
        <v>0</v>
      </c>
      <c r="L125" t="n">
        <v>1</v>
      </c>
      <c r="M125" t="n">
        <v>0</v>
      </c>
      <c r="N125" t="n">
        <v>0</v>
      </c>
      <c r="O125" t="n">
        <v>1</v>
      </c>
      <c r="P125" t="n">
        <v>1</v>
      </c>
      <c r="Q125" t="n">
        <v>1</v>
      </c>
      <c r="R125" s="2" t="inlineStr">
        <is>
          <t>Slät taggsvamp</t>
        </is>
      </c>
      <c r="S125">
        <f>HYPERLINK("https://klasma.github.io/Logging_0980/artfynd/A 24245-2022 artfynd.xlsx", "A 24245-2022")</f>
        <v/>
      </c>
      <c r="T125">
        <f>HYPERLINK("https://klasma.github.io/Logging_0980/kartor/A 24245-2022 karta.png", "A 24245-2022")</f>
        <v/>
      </c>
      <c r="V125">
        <f>HYPERLINK("https://klasma.github.io/Logging_0980/klagomål/A 24245-2022 FSC-klagomål.docx", "A 24245-2022")</f>
        <v/>
      </c>
      <c r="W125">
        <f>HYPERLINK("https://klasma.github.io/Logging_0980/klagomålsmail/A 24245-2022 FSC-klagomål mail.docx", "A 24245-2022")</f>
        <v/>
      </c>
      <c r="X125">
        <f>HYPERLINK("https://klasma.github.io/Logging_0980/tillsyn/A 24245-2022 tillsynsbegäran.docx", "A 24245-2022")</f>
        <v/>
      </c>
      <c r="Y125">
        <f>HYPERLINK("https://klasma.github.io/Logging_0980/tillsynsmail/A 24245-2022 tillsynsbegäran mail.docx", "A 24245-2022")</f>
        <v/>
      </c>
    </row>
    <row r="126" ht="15" customHeight="1">
      <c r="A126" t="inlineStr">
        <is>
          <t>A 63576-2021</t>
        </is>
      </c>
      <c r="B126" s="1" t="n">
        <v>44508</v>
      </c>
      <c r="C126" s="1" t="n">
        <v>46186</v>
      </c>
      <c r="D126" t="inlineStr">
        <is>
          <t>GOTLANDS LÄN</t>
        </is>
      </c>
      <c r="E126" t="inlineStr">
        <is>
          <t>GOTLAND</t>
        </is>
      </c>
      <c r="F126" t="inlineStr">
        <is>
          <t>Kyrkan</t>
        </is>
      </c>
      <c r="G126" t="n">
        <v>4.1</v>
      </c>
      <c r="H126" t="n">
        <v>1</v>
      </c>
      <c r="I126" t="n">
        <v>0</v>
      </c>
      <c r="J126" t="n">
        <v>1</v>
      </c>
      <c r="K126" t="n">
        <v>0</v>
      </c>
      <c r="L126" t="n">
        <v>0</v>
      </c>
      <c r="M126" t="n">
        <v>0</v>
      </c>
      <c r="N126" t="n">
        <v>0</v>
      </c>
      <c r="O126" t="n">
        <v>1</v>
      </c>
      <c r="P126" t="n">
        <v>0</v>
      </c>
      <c r="Q126" t="n">
        <v>1</v>
      </c>
      <c r="R126" s="2" t="inlineStr">
        <is>
          <t>Dårgräsfjäril</t>
        </is>
      </c>
      <c r="S126">
        <f>HYPERLINK("https://klasma.github.io/Logging_0980/artfynd/A 63576-2021 artfynd.xlsx", "A 63576-2021")</f>
        <v/>
      </c>
      <c r="T126">
        <f>HYPERLINK("https://klasma.github.io/Logging_0980/kartor/A 63576-2021 karta.png", "A 63576-2021")</f>
        <v/>
      </c>
      <c r="V126">
        <f>HYPERLINK("https://klasma.github.io/Logging_0980/klagomål/A 63576-2021 FSC-klagomål.docx", "A 63576-2021")</f>
        <v/>
      </c>
      <c r="W126">
        <f>HYPERLINK("https://klasma.github.io/Logging_0980/klagomålsmail/A 63576-2021 FSC-klagomål mail.docx", "A 63576-2021")</f>
        <v/>
      </c>
      <c r="X126">
        <f>HYPERLINK("https://klasma.github.io/Logging_0980/tillsyn/A 63576-2021 tillsynsbegäran.docx", "A 63576-2021")</f>
        <v/>
      </c>
      <c r="Y126">
        <f>HYPERLINK("https://klasma.github.io/Logging_0980/tillsynsmail/A 63576-2021 tillsynsbegäran mail.docx", "A 63576-2021")</f>
        <v/>
      </c>
    </row>
    <row r="127" ht="15" customHeight="1">
      <c r="A127" t="inlineStr">
        <is>
          <t>A 10440-2024</t>
        </is>
      </c>
      <c r="B127" s="1" t="n">
        <v>45366.32818287037</v>
      </c>
      <c r="C127" s="1" t="n">
        <v>46186</v>
      </c>
      <c r="D127" t="inlineStr">
        <is>
          <t>GOTLANDS LÄN</t>
        </is>
      </c>
      <c r="E127" t="inlineStr">
        <is>
          <t>GOTLAND</t>
        </is>
      </c>
      <c r="G127" t="n">
        <v>2.5</v>
      </c>
      <c r="H127" t="n">
        <v>1</v>
      </c>
      <c r="I127" t="n">
        <v>0</v>
      </c>
      <c r="J127" t="n">
        <v>1</v>
      </c>
      <c r="K127" t="n">
        <v>0</v>
      </c>
      <c r="L127" t="n">
        <v>0</v>
      </c>
      <c r="M127" t="n">
        <v>0</v>
      </c>
      <c r="N127" t="n">
        <v>0</v>
      </c>
      <c r="O127" t="n">
        <v>1</v>
      </c>
      <c r="P127" t="n">
        <v>0</v>
      </c>
      <c r="Q127" t="n">
        <v>1</v>
      </c>
      <c r="R127" s="2" t="inlineStr">
        <is>
          <t>Mindre hackspett</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44308-2021</t>
        </is>
      </c>
      <c r="B128" s="1" t="n">
        <v>44434</v>
      </c>
      <c r="C128" s="1" t="n">
        <v>46186</v>
      </c>
      <c r="D128" t="inlineStr">
        <is>
          <t>GOTLANDS LÄN</t>
        </is>
      </c>
      <c r="E128" t="inlineStr">
        <is>
          <t>GOTLAND</t>
        </is>
      </c>
      <c r="G128" t="n">
        <v>5.9</v>
      </c>
      <c r="H128" t="n">
        <v>0</v>
      </c>
      <c r="I128" t="n">
        <v>1</v>
      </c>
      <c r="J128" t="n">
        <v>0</v>
      </c>
      <c r="K128" t="n">
        <v>0</v>
      </c>
      <c r="L128" t="n">
        <v>0</v>
      </c>
      <c r="M128" t="n">
        <v>0</v>
      </c>
      <c r="N128" t="n">
        <v>0</v>
      </c>
      <c r="O128" t="n">
        <v>0</v>
      </c>
      <c r="P128" t="n">
        <v>0</v>
      </c>
      <c r="Q128" t="n">
        <v>1</v>
      </c>
      <c r="R128" s="2" t="inlineStr">
        <is>
          <t>Svavelriska</t>
        </is>
      </c>
      <c r="S128">
        <f>HYPERLINK("https://klasma.github.io/Logging_0980/artfynd/A 44308-2021 artfynd.xlsx", "A 44308-2021")</f>
        <v/>
      </c>
      <c r="T128">
        <f>HYPERLINK("https://klasma.github.io/Logging_0980/kartor/A 44308-2021 karta.png", "A 44308-2021")</f>
        <v/>
      </c>
      <c r="V128">
        <f>HYPERLINK("https://klasma.github.io/Logging_0980/klagomål/A 44308-2021 FSC-klagomål.docx", "A 44308-2021")</f>
        <v/>
      </c>
      <c r="W128">
        <f>HYPERLINK("https://klasma.github.io/Logging_0980/klagomålsmail/A 44308-2021 FSC-klagomål mail.docx", "A 44308-2021")</f>
        <v/>
      </c>
      <c r="X128">
        <f>HYPERLINK("https://klasma.github.io/Logging_0980/tillsyn/A 44308-2021 tillsynsbegäran.docx", "A 44308-2021")</f>
        <v/>
      </c>
      <c r="Y128">
        <f>HYPERLINK("https://klasma.github.io/Logging_0980/tillsynsmail/A 44308-2021 tillsynsbegäran mail.docx", "A 44308-2021")</f>
        <v/>
      </c>
    </row>
    <row r="129" ht="15" customHeight="1">
      <c r="A129" t="inlineStr">
        <is>
          <t>A 35467-2021</t>
        </is>
      </c>
      <c r="B129" s="1" t="n">
        <v>44385</v>
      </c>
      <c r="C129" s="1" t="n">
        <v>46186</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46527-2023</t>
        </is>
      </c>
      <c r="B130" s="1" t="n">
        <v>45197</v>
      </c>
      <c r="C130" s="1" t="n">
        <v>46186</v>
      </c>
      <c r="D130" t="inlineStr">
        <is>
          <t>GOTLANDS LÄN</t>
        </is>
      </c>
      <c r="E130" t="inlineStr">
        <is>
          <t>GOTLAND</t>
        </is>
      </c>
      <c r="G130" t="n">
        <v>0.9</v>
      </c>
      <c r="H130" t="n">
        <v>0</v>
      </c>
      <c r="I130" t="n">
        <v>0</v>
      </c>
      <c r="J130" t="n">
        <v>1</v>
      </c>
      <c r="K130" t="n">
        <v>0</v>
      </c>
      <c r="L130" t="n">
        <v>0</v>
      </c>
      <c r="M130" t="n">
        <v>0</v>
      </c>
      <c r="N130" t="n">
        <v>0</v>
      </c>
      <c r="O130" t="n">
        <v>1</v>
      </c>
      <c r="P130" t="n">
        <v>0</v>
      </c>
      <c r="Q130" t="n">
        <v>1</v>
      </c>
      <c r="R130" s="2" t="inlineStr">
        <is>
          <t>Guldgräshoppa</t>
        </is>
      </c>
      <c r="S130">
        <f>HYPERLINK("https://klasma.github.io/Logging_0980/artfynd/A 46527-2023 artfynd.xlsx", "A 46527-2023")</f>
        <v/>
      </c>
      <c r="T130">
        <f>HYPERLINK("https://klasma.github.io/Logging_0980/kartor/A 46527-2023 karta.png", "A 46527-2023")</f>
        <v/>
      </c>
      <c r="V130">
        <f>HYPERLINK("https://klasma.github.io/Logging_0980/klagomål/A 46527-2023 FSC-klagomål.docx", "A 46527-2023")</f>
        <v/>
      </c>
      <c r="W130">
        <f>HYPERLINK("https://klasma.github.io/Logging_0980/klagomålsmail/A 46527-2023 FSC-klagomål mail.docx", "A 46527-2023")</f>
        <v/>
      </c>
      <c r="X130">
        <f>HYPERLINK("https://klasma.github.io/Logging_0980/tillsyn/A 46527-2023 tillsynsbegäran.docx", "A 46527-2023")</f>
        <v/>
      </c>
      <c r="Y130">
        <f>HYPERLINK("https://klasma.github.io/Logging_0980/tillsynsmail/A 46527-2023 tillsynsbegäran mail.docx", "A 46527-2023")</f>
        <v/>
      </c>
    </row>
    <row r="131" ht="15" customHeight="1">
      <c r="A131" t="inlineStr">
        <is>
          <t>A 6303-2024</t>
        </is>
      </c>
      <c r="B131" s="1" t="n">
        <v>45338.35376157407</v>
      </c>
      <c r="C131" s="1" t="n">
        <v>46186</v>
      </c>
      <c r="D131" t="inlineStr">
        <is>
          <t>GOTLANDS LÄN</t>
        </is>
      </c>
      <c r="E131" t="inlineStr">
        <is>
          <t>GOTLAND</t>
        </is>
      </c>
      <c r="G131" t="n">
        <v>0.6</v>
      </c>
      <c r="H131" t="n">
        <v>0</v>
      </c>
      <c r="I131" t="n">
        <v>1</v>
      </c>
      <c r="J131" t="n">
        <v>0</v>
      </c>
      <c r="K131" t="n">
        <v>0</v>
      </c>
      <c r="L131" t="n">
        <v>0</v>
      </c>
      <c r="M131" t="n">
        <v>0</v>
      </c>
      <c r="N131" t="n">
        <v>0</v>
      </c>
      <c r="O131" t="n">
        <v>0</v>
      </c>
      <c r="P131" t="n">
        <v>0</v>
      </c>
      <c r="Q131" t="n">
        <v>1</v>
      </c>
      <c r="R131" s="2" t="inlineStr">
        <is>
          <t>Strävlosta</t>
        </is>
      </c>
      <c r="S131">
        <f>HYPERLINK("https://klasma.github.io/Logging_0980/artfynd/A 6303-2024 artfynd.xlsx", "A 6303-2024")</f>
        <v/>
      </c>
      <c r="T131">
        <f>HYPERLINK("https://klasma.github.io/Logging_0980/kartor/A 6303-2024 karta.png", "A 6303-2024")</f>
        <v/>
      </c>
      <c r="V131">
        <f>HYPERLINK("https://klasma.github.io/Logging_0980/klagomål/A 6303-2024 FSC-klagomål.docx", "A 6303-2024")</f>
        <v/>
      </c>
      <c r="W131">
        <f>HYPERLINK("https://klasma.github.io/Logging_0980/klagomålsmail/A 6303-2024 FSC-klagomål mail.docx", "A 6303-2024")</f>
        <v/>
      </c>
      <c r="X131">
        <f>HYPERLINK("https://klasma.github.io/Logging_0980/tillsyn/A 6303-2024 tillsynsbegäran.docx", "A 6303-2024")</f>
        <v/>
      </c>
      <c r="Y131">
        <f>HYPERLINK("https://klasma.github.io/Logging_0980/tillsynsmail/A 6303-2024 tillsynsbegäran mail.docx", "A 6303-2024")</f>
        <v/>
      </c>
    </row>
    <row r="132" ht="15" customHeight="1">
      <c r="A132" t="inlineStr">
        <is>
          <t>A 62552-2022</t>
        </is>
      </c>
      <c r="B132" s="1" t="n">
        <v>44924</v>
      </c>
      <c r="C132" s="1" t="n">
        <v>46186</v>
      </c>
      <c r="D132" t="inlineStr">
        <is>
          <t>GOTLANDS LÄN</t>
        </is>
      </c>
      <c r="E132" t="inlineStr">
        <is>
          <t>GOTLAND</t>
        </is>
      </c>
      <c r="G132" t="n">
        <v>1.6</v>
      </c>
      <c r="H132" t="n">
        <v>0</v>
      </c>
      <c r="I132" t="n">
        <v>0</v>
      </c>
      <c r="J132" t="n">
        <v>1</v>
      </c>
      <c r="K132" t="n">
        <v>0</v>
      </c>
      <c r="L132" t="n">
        <v>0</v>
      </c>
      <c r="M132" t="n">
        <v>0</v>
      </c>
      <c r="N132" t="n">
        <v>0</v>
      </c>
      <c r="O132" t="n">
        <v>1</v>
      </c>
      <c r="P132" t="n">
        <v>0</v>
      </c>
      <c r="Q132" t="n">
        <v>1</v>
      </c>
      <c r="R132" s="2" t="inlineStr">
        <is>
          <t>Äggspindling</t>
        </is>
      </c>
      <c r="S132">
        <f>HYPERLINK("https://klasma.github.io/Logging_0980/artfynd/A 62552-2022 artfynd.xlsx", "A 62552-2022")</f>
        <v/>
      </c>
      <c r="T132">
        <f>HYPERLINK("https://klasma.github.io/Logging_0980/kartor/A 62552-2022 karta.png", "A 62552-2022")</f>
        <v/>
      </c>
      <c r="V132">
        <f>HYPERLINK("https://klasma.github.io/Logging_0980/klagomål/A 62552-2022 FSC-klagomål.docx", "A 62552-2022")</f>
        <v/>
      </c>
      <c r="W132">
        <f>HYPERLINK("https://klasma.github.io/Logging_0980/klagomålsmail/A 62552-2022 FSC-klagomål mail.docx", "A 62552-2022")</f>
        <v/>
      </c>
      <c r="X132">
        <f>HYPERLINK("https://klasma.github.io/Logging_0980/tillsyn/A 62552-2022 tillsynsbegäran.docx", "A 62552-2022")</f>
        <v/>
      </c>
      <c r="Y132">
        <f>HYPERLINK("https://klasma.github.io/Logging_0980/tillsynsmail/A 62552-2022 tillsynsbegäran mail.docx", "A 62552-2022")</f>
        <v/>
      </c>
    </row>
    <row r="133" ht="15" customHeight="1">
      <c r="A133" t="inlineStr">
        <is>
          <t>A 25977-2024</t>
        </is>
      </c>
      <c r="B133" s="1" t="n">
        <v>45467.69356481481</v>
      </c>
      <c r="C133" s="1" t="n">
        <v>46186</v>
      </c>
      <c r="D133" t="inlineStr">
        <is>
          <t>GOTLANDS LÄN</t>
        </is>
      </c>
      <c r="E133" t="inlineStr">
        <is>
          <t>GOTLAND</t>
        </is>
      </c>
      <c r="G133" t="n">
        <v>3</v>
      </c>
      <c r="H133" t="n">
        <v>1</v>
      </c>
      <c r="I133" t="n">
        <v>0</v>
      </c>
      <c r="J133" t="n">
        <v>0</v>
      </c>
      <c r="K133" t="n">
        <v>0</v>
      </c>
      <c r="L133" t="n">
        <v>0</v>
      </c>
      <c r="M133" t="n">
        <v>0</v>
      </c>
      <c r="N133" t="n">
        <v>0</v>
      </c>
      <c r="O133" t="n">
        <v>0</v>
      </c>
      <c r="P133" t="n">
        <v>0</v>
      </c>
      <c r="Q133" t="n">
        <v>1</v>
      </c>
      <c r="R133" s="2" t="inlineStr">
        <is>
          <t>Nattviol</t>
        </is>
      </c>
      <c r="S133">
        <f>HYPERLINK("https://klasma.github.io/Logging_0980/artfynd/A 25977-2024 artfynd.xlsx", "A 25977-2024")</f>
        <v/>
      </c>
      <c r="T133">
        <f>HYPERLINK("https://klasma.github.io/Logging_0980/kartor/A 25977-2024 karta.png", "A 25977-2024")</f>
        <v/>
      </c>
      <c r="V133">
        <f>HYPERLINK("https://klasma.github.io/Logging_0980/klagomål/A 25977-2024 FSC-klagomål.docx", "A 25977-2024")</f>
        <v/>
      </c>
      <c r="W133">
        <f>HYPERLINK("https://klasma.github.io/Logging_0980/klagomålsmail/A 25977-2024 FSC-klagomål mail.docx", "A 25977-2024")</f>
        <v/>
      </c>
      <c r="X133">
        <f>HYPERLINK("https://klasma.github.io/Logging_0980/tillsyn/A 25977-2024 tillsynsbegäran.docx", "A 25977-2024")</f>
        <v/>
      </c>
      <c r="Y133">
        <f>HYPERLINK("https://klasma.github.io/Logging_0980/tillsynsmail/A 25977-2024 tillsynsbegäran mail.docx", "A 25977-2024")</f>
        <v/>
      </c>
    </row>
    <row r="134" ht="15" customHeight="1">
      <c r="A134" t="inlineStr">
        <is>
          <t>A 27589-2023</t>
        </is>
      </c>
      <c r="B134" s="1" t="n">
        <v>45097</v>
      </c>
      <c r="C134" s="1" t="n">
        <v>46186</v>
      </c>
      <c r="D134" t="inlineStr">
        <is>
          <t>GOTLANDS LÄN</t>
        </is>
      </c>
      <c r="E134" t="inlineStr">
        <is>
          <t>GOTLAND</t>
        </is>
      </c>
      <c r="G134" t="n">
        <v>5.4</v>
      </c>
      <c r="H134" t="n">
        <v>0</v>
      </c>
      <c r="I134" t="n">
        <v>0</v>
      </c>
      <c r="J134" t="n">
        <v>0</v>
      </c>
      <c r="K134" t="n">
        <v>0</v>
      </c>
      <c r="L134" t="n">
        <v>0</v>
      </c>
      <c r="M134" t="n">
        <v>1</v>
      </c>
      <c r="N134" t="n">
        <v>0</v>
      </c>
      <c r="O134" t="n">
        <v>1</v>
      </c>
      <c r="P134" t="n">
        <v>1</v>
      </c>
      <c r="Q134" t="n">
        <v>1</v>
      </c>
      <c r="R134" s="2" t="inlineStr">
        <is>
          <t>Skogsalm</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6739-2025</t>
        </is>
      </c>
      <c r="B135" s="1" t="n">
        <v>45700</v>
      </c>
      <c r="C135" s="1" t="n">
        <v>46186</v>
      </c>
      <c r="D135" t="inlineStr">
        <is>
          <t>GOTLANDS LÄN</t>
        </is>
      </c>
      <c r="E135" t="inlineStr">
        <is>
          <t>GOTLAND</t>
        </is>
      </c>
      <c r="G135" t="n">
        <v>4.5</v>
      </c>
      <c r="H135" t="n">
        <v>1</v>
      </c>
      <c r="I135" t="n">
        <v>0</v>
      </c>
      <c r="J135" t="n">
        <v>0</v>
      </c>
      <c r="K135" t="n">
        <v>0</v>
      </c>
      <c r="L135" t="n">
        <v>0</v>
      </c>
      <c r="M135" t="n">
        <v>0</v>
      </c>
      <c r="N135" t="n">
        <v>0</v>
      </c>
      <c r="O135" t="n">
        <v>0</v>
      </c>
      <c r="P135" t="n">
        <v>0</v>
      </c>
      <c r="Q135" t="n">
        <v>1</v>
      </c>
      <c r="R135" s="2" t="inlineStr">
        <is>
          <t>Röd glada</t>
        </is>
      </c>
      <c r="S135">
        <f>HYPERLINK("https://klasma.github.io/Logging_0980/artfynd/A 6739-2025 artfynd.xlsx", "A 6739-2025")</f>
        <v/>
      </c>
      <c r="T135">
        <f>HYPERLINK("https://klasma.github.io/Logging_0980/kartor/A 6739-2025 karta.png", "A 6739-2025")</f>
        <v/>
      </c>
      <c r="V135">
        <f>HYPERLINK("https://klasma.github.io/Logging_0980/klagomål/A 6739-2025 FSC-klagomål.docx", "A 6739-2025")</f>
        <v/>
      </c>
      <c r="W135">
        <f>HYPERLINK("https://klasma.github.io/Logging_0980/klagomålsmail/A 6739-2025 FSC-klagomål mail.docx", "A 6739-2025")</f>
        <v/>
      </c>
      <c r="X135">
        <f>HYPERLINK("https://klasma.github.io/Logging_0980/tillsyn/A 6739-2025 tillsynsbegäran.docx", "A 6739-2025")</f>
        <v/>
      </c>
      <c r="Y135">
        <f>HYPERLINK("https://klasma.github.io/Logging_0980/tillsynsmail/A 6739-2025 tillsynsbegäran mail.docx", "A 6739-2025")</f>
        <v/>
      </c>
      <c r="Z135">
        <f>HYPERLINK("https://klasma.github.io/Logging_0980/fåglar/A 6739-2025 prioriterade fågelarter.docx", "A 6739-2025")</f>
        <v/>
      </c>
    </row>
    <row r="136" ht="15" customHeight="1">
      <c r="A136" t="inlineStr">
        <is>
          <t>A 65927-2021</t>
        </is>
      </c>
      <c r="B136" s="1" t="n">
        <v>44516</v>
      </c>
      <c r="C136" s="1" t="n">
        <v>46186</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947-2023</t>
        </is>
      </c>
      <c r="B137" s="1" t="n">
        <v>44934</v>
      </c>
      <c r="C137" s="1" t="n">
        <v>46186</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61561-2023</t>
        </is>
      </c>
      <c r="B138" s="1" t="n">
        <v>45265</v>
      </c>
      <c r="C138" s="1" t="n">
        <v>46186</v>
      </c>
      <c r="D138" t="inlineStr">
        <is>
          <t>GOTLANDS LÄN</t>
        </is>
      </c>
      <c r="E138" t="inlineStr">
        <is>
          <t>GOTLAND</t>
        </is>
      </c>
      <c r="G138" t="n">
        <v>7.4</v>
      </c>
      <c r="H138" t="n">
        <v>0</v>
      </c>
      <c r="I138" t="n">
        <v>0</v>
      </c>
      <c r="J138" t="n">
        <v>1</v>
      </c>
      <c r="K138" t="n">
        <v>0</v>
      </c>
      <c r="L138" t="n">
        <v>0</v>
      </c>
      <c r="M138" t="n">
        <v>0</v>
      </c>
      <c r="N138" t="n">
        <v>0</v>
      </c>
      <c r="O138" t="n">
        <v>1</v>
      </c>
      <c r="P138" t="n">
        <v>0</v>
      </c>
      <c r="Q138" t="n">
        <v>1</v>
      </c>
      <c r="R138" s="2" t="inlineStr">
        <is>
          <t>Loppstarr</t>
        </is>
      </c>
      <c r="S138">
        <f>HYPERLINK("https://klasma.github.io/Logging_0980/artfynd/A 61561-2023 artfynd.xlsx", "A 61561-2023")</f>
        <v/>
      </c>
      <c r="T138">
        <f>HYPERLINK("https://klasma.github.io/Logging_0980/kartor/A 61561-2023 karta.png", "A 61561-2023")</f>
        <v/>
      </c>
      <c r="V138">
        <f>HYPERLINK("https://klasma.github.io/Logging_0980/klagomål/A 61561-2023 FSC-klagomål.docx", "A 61561-2023")</f>
        <v/>
      </c>
      <c r="W138">
        <f>HYPERLINK("https://klasma.github.io/Logging_0980/klagomålsmail/A 61561-2023 FSC-klagomål mail.docx", "A 61561-2023")</f>
        <v/>
      </c>
      <c r="X138">
        <f>HYPERLINK("https://klasma.github.io/Logging_0980/tillsyn/A 61561-2023 tillsynsbegäran.docx", "A 61561-2023")</f>
        <v/>
      </c>
      <c r="Y138">
        <f>HYPERLINK("https://klasma.github.io/Logging_0980/tillsynsmail/A 61561-2023 tillsynsbegäran mail.docx", "A 61561-2023")</f>
        <v/>
      </c>
    </row>
    <row r="139" ht="15" customHeight="1">
      <c r="A139" t="inlineStr">
        <is>
          <t>A 11708-2026</t>
        </is>
      </c>
      <c r="B139" s="1" t="n">
        <v>46084</v>
      </c>
      <c r="C139" s="1" t="n">
        <v>46186</v>
      </c>
      <c r="D139" t="inlineStr">
        <is>
          <t>GOTLANDS LÄN</t>
        </is>
      </c>
      <c r="E139" t="inlineStr">
        <is>
          <t>GOTLAND</t>
        </is>
      </c>
      <c r="G139" t="n">
        <v>8.4</v>
      </c>
      <c r="H139" t="n">
        <v>1</v>
      </c>
      <c r="I139" t="n">
        <v>0</v>
      </c>
      <c r="J139" t="n">
        <v>1</v>
      </c>
      <c r="K139" t="n">
        <v>0</v>
      </c>
      <c r="L139" t="n">
        <v>0</v>
      </c>
      <c r="M139" t="n">
        <v>0</v>
      </c>
      <c r="N139" t="n">
        <v>0</v>
      </c>
      <c r="O139" t="n">
        <v>1</v>
      </c>
      <c r="P139" t="n">
        <v>0</v>
      </c>
      <c r="Q139" t="n">
        <v>1</v>
      </c>
      <c r="R139" s="2" t="inlineStr">
        <is>
          <t>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9862-2024</t>
        </is>
      </c>
      <c r="B140" s="1" t="n">
        <v>45363</v>
      </c>
      <c r="C140" s="1" t="n">
        <v>46186</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34141-2024</t>
        </is>
      </c>
      <c r="B141" s="1" t="n">
        <v>45524.36229166666</v>
      </c>
      <c r="C141" s="1" t="n">
        <v>46186</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13482-2026</t>
        </is>
      </c>
      <c r="B142" s="1" t="n">
        <v>46094</v>
      </c>
      <c r="C142" s="1" t="n">
        <v>46186</v>
      </c>
      <c r="D142" t="inlineStr">
        <is>
          <t>GOTLANDS LÄN</t>
        </is>
      </c>
      <c r="E142" t="inlineStr">
        <is>
          <t>GOTLAND</t>
        </is>
      </c>
      <c r="G142" t="n">
        <v>1.7</v>
      </c>
      <c r="H142" t="n">
        <v>1</v>
      </c>
      <c r="I142" t="n">
        <v>0</v>
      </c>
      <c r="J142" t="n">
        <v>1</v>
      </c>
      <c r="K142" t="n">
        <v>0</v>
      </c>
      <c r="L142" t="n">
        <v>0</v>
      </c>
      <c r="M142" t="n">
        <v>0</v>
      </c>
      <c r="N142" t="n">
        <v>0</v>
      </c>
      <c r="O142" t="n">
        <v>1</v>
      </c>
      <c r="P142" t="n">
        <v>0</v>
      </c>
      <c r="Q142" t="n">
        <v>1</v>
      </c>
      <c r="R142" s="2" t="inlineStr">
        <is>
          <t>Spillkråka</t>
        </is>
      </c>
      <c r="S142">
        <f>HYPERLINK("https://klasma.github.io/Logging_0980/artfynd/A 13482-2026 artfynd.xlsx", "A 13482-2026")</f>
        <v/>
      </c>
      <c r="T142">
        <f>HYPERLINK("https://klasma.github.io/Logging_0980/kartor/A 13482-2026 karta.png", "A 13482-2026")</f>
        <v/>
      </c>
      <c r="V142">
        <f>HYPERLINK("https://klasma.github.io/Logging_0980/klagomål/A 13482-2026 FSC-klagomål.docx", "A 13482-2026")</f>
        <v/>
      </c>
      <c r="W142">
        <f>HYPERLINK("https://klasma.github.io/Logging_0980/klagomålsmail/A 13482-2026 FSC-klagomål mail.docx", "A 13482-2026")</f>
        <v/>
      </c>
      <c r="X142">
        <f>HYPERLINK("https://klasma.github.io/Logging_0980/tillsyn/A 13482-2026 tillsynsbegäran.docx", "A 13482-2026")</f>
        <v/>
      </c>
      <c r="Y142">
        <f>HYPERLINK("https://klasma.github.io/Logging_0980/tillsynsmail/A 13482-2026 tillsynsbegäran mail.docx", "A 13482-2026")</f>
        <v/>
      </c>
      <c r="Z142">
        <f>HYPERLINK("https://klasma.github.io/Logging_0980/fåglar/A 13482-2026 prioriterade fågelarter.docx", "A 13482-2026")</f>
        <v/>
      </c>
    </row>
    <row r="143" ht="15" customHeight="1">
      <c r="A143" t="inlineStr">
        <is>
          <t>A 2476-2025</t>
        </is>
      </c>
      <c r="B143" s="1" t="n">
        <v>45673</v>
      </c>
      <c r="C143" s="1" t="n">
        <v>46186</v>
      </c>
      <c r="D143" t="inlineStr">
        <is>
          <t>GOTLANDS LÄN</t>
        </is>
      </c>
      <c r="E143" t="inlineStr">
        <is>
          <t>GOTLAND</t>
        </is>
      </c>
      <c r="G143" t="n">
        <v>3.1</v>
      </c>
      <c r="H143" t="n">
        <v>0</v>
      </c>
      <c r="I143" t="n">
        <v>1</v>
      </c>
      <c r="J143" t="n">
        <v>0</v>
      </c>
      <c r="K143" t="n">
        <v>0</v>
      </c>
      <c r="L143" t="n">
        <v>0</v>
      </c>
      <c r="M143" t="n">
        <v>0</v>
      </c>
      <c r="N143" t="n">
        <v>0</v>
      </c>
      <c r="O143" t="n">
        <v>0</v>
      </c>
      <c r="P143" t="n">
        <v>0</v>
      </c>
      <c r="Q143" t="n">
        <v>1</v>
      </c>
      <c r="R143" s="2" t="inlineStr">
        <is>
          <t>Kryddspindling</t>
        </is>
      </c>
      <c r="S143">
        <f>HYPERLINK("https://klasma.github.io/Logging_0980/artfynd/A 2476-2025 artfynd.xlsx", "A 2476-2025")</f>
        <v/>
      </c>
      <c r="T143">
        <f>HYPERLINK("https://klasma.github.io/Logging_0980/kartor/A 2476-2025 karta.png", "A 2476-2025")</f>
        <v/>
      </c>
      <c r="V143">
        <f>HYPERLINK("https://klasma.github.io/Logging_0980/klagomål/A 2476-2025 FSC-klagomål.docx", "A 2476-2025")</f>
        <v/>
      </c>
      <c r="W143">
        <f>HYPERLINK("https://klasma.github.io/Logging_0980/klagomålsmail/A 2476-2025 FSC-klagomål mail.docx", "A 2476-2025")</f>
        <v/>
      </c>
      <c r="X143">
        <f>HYPERLINK("https://klasma.github.io/Logging_0980/tillsyn/A 2476-2025 tillsynsbegäran.docx", "A 2476-2025")</f>
        <v/>
      </c>
      <c r="Y143">
        <f>HYPERLINK("https://klasma.github.io/Logging_0980/tillsynsmail/A 2476-2025 tillsynsbegäran mail.docx", "A 2476-2025")</f>
        <v/>
      </c>
    </row>
    <row r="144" ht="15" customHeight="1">
      <c r="A144" t="inlineStr">
        <is>
          <t>A 44304-2021</t>
        </is>
      </c>
      <c r="B144" s="1" t="n">
        <v>44434</v>
      </c>
      <c r="C144" s="1" t="n">
        <v>46186</v>
      </c>
      <c r="D144" t="inlineStr">
        <is>
          <t>GOTLANDS LÄN</t>
        </is>
      </c>
      <c r="E144" t="inlineStr">
        <is>
          <t>GOTLAND</t>
        </is>
      </c>
      <c r="G144" t="n">
        <v>5.8</v>
      </c>
      <c r="H144" t="n">
        <v>0</v>
      </c>
      <c r="I144" t="n">
        <v>0</v>
      </c>
      <c r="J144" t="n">
        <v>1</v>
      </c>
      <c r="K144" t="n">
        <v>0</v>
      </c>
      <c r="L144" t="n">
        <v>0</v>
      </c>
      <c r="M144" t="n">
        <v>0</v>
      </c>
      <c r="N144" t="n">
        <v>0</v>
      </c>
      <c r="O144" t="n">
        <v>1</v>
      </c>
      <c r="P144" t="n">
        <v>0</v>
      </c>
      <c r="Q144" t="n">
        <v>1</v>
      </c>
      <c r="R144" s="2" t="inlineStr">
        <is>
          <t>Svinrot</t>
        </is>
      </c>
      <c r="S144">
        <f>HYPERLINK("https://klasma.github.io/Logging_0980/artfynd/A 44304-2021 artfynd.xlsx", "A 44304-2021")</f>
        <v/>
      </c>
      <c r="T144">
        <f>HYPERLINK("https://klasma.github.io/Logging_0980/kartor/A 44304-2021 karta.png", "A 44304-2021")</f>
        <v/>
      </c>
      <c r="V144">
        <f>HYPERLINK("https://klasma.github.io/Logging_0980/klagomål/A 44304-2021 FSC-klagomål.docx", "A 44304-2021")</f>
        <v/>
      </c>
      <c r="W144">
        <f>HYPERLINK("https://klasma.github.io/Logging_0980/klagomålsmail/A 44304-2021 FSC-klagomål mail.docx", "A 44304-2021")</f>
        <v/>
      </c>
      <c r="X144">
        <f>HYPERLINK("https://klasma.github.io/Logging_0980/tillsyn/A 44304-2021 tillsynsbegäran.docx", "A 44304-2021")</f>
        <v/>
      </c>
      <c r="Y144">
        <f>HYPERLINK("https://klasma.github.io/Logging_0980/tillsynsmail/A 44304-2021 tillsynsbegäran mail.docx", "A 44304-2021")</f>
        <v/>
      </c>
    </row>
    <row r="145" ht="15" customHeight="1">
      <c r="A145" t="inlineStr">
        <is>
          <t>A 22281-2026</t>
        </is>
      </c>
      <c r="B145" s="1" t="n">
        <v>46154</v>
      </c>
      <c r="C145" s="1" t="n">
        <v>46186</v>
      </c>
      <c r="D145" t="inlineStr">
        <is>
          <t>GOTLANDS LÄN</t>
        </is>
      </c>
      <c r="E145" t="inlineStr">
        <is>
          <t>GOTLAND</t>
        </is>
      </c>
      <c r="G145" t="n">
        <v>8.1</v>
      </c>
      <c r="H145" t="n">
        <v>0</v>
      </c>
      <c r="I145" t="n">
        <v>0</v>
      </c>
      <c r="J145" t="n">
        <v>1</v>
      </c>
      <c r="K145" t="n">
        <v>0</v>
      </c>
      <c r="L145" t="n">
        <v>0</v>
      </c>
      <c r="M145" t="n">
        <v>0</v>
      </c>
      <c r="N145" t="n">
        <v>0</v>
      </c>
      <c r="O145" t="n">
        <v>1</v>
      </c>
      <c r="P145" t="n">
        <v>0</v>
      </c>
      <c r="Q145" t="n">
        <v>1</v>
      </c>
      <c r="R145" s="2" t="inlineStr">
        <is>
          <t>Vasstandad trädbasbagge</t>
        </is>
      </c>
      <c r="S145">
        <f>HYPERLINK("https://klasma.github.io/Logging_0980/artfynd/A 22281-2026 artfynd.xlsx", "A 22281-2026")</f>
        <v/>
      </c>
      <c r="T145">
        <f>HYPERLINK("https://klasma.github.io/Logging_0980/kartor/A 22281-2026 karta.png", "A 22281-2026")</f>
        <v/>
      </c>
      <c r="V145">
        <f>HYPERLINK("https://klasma.github.io/Logging_0980/klagomål/A 22281-2026 FSC-klagomål.docx", "A 22281-2026")</f>
        <v/>
      </c>
      <c r="W145">
        <f>HYPERLINK("https://klasma.github.io/Logging_0980/klagomålsmail/A 22281-2026 FSC-klagomål mail.docx", "A 22281-2026")</f>
        <v/>
      </c>
      <c r="X145">
        <f>HYPERLINK("https://klasma.github.io/Logging_0980/tillsyn/A 22281-2026 tillsynsbegäran.docx", "A 22281-2026")</f>
        <v/>
      </c>
      <c r="Y145">
        <f>HYPERLINK("https://klasma.github.io/Logging_0980/tillsynsmail/A 22281-2026 tillsynsbegäran mail.docx", "A 22281-2026")</f>
        <v/>
      </c>
    </row>
    <row r="146" ht="15" customHeight="1">
      <c r="A146" t="inlineStr">
        <is>
          <t>A 447-2023</t>
        </is>
      </c>
      <c r="B146" s="1" t="n">
        <v>44929</v>
      </c>
      <c r="C146" s="1" t="n">
        <v>46186</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17854-2026</t>
        </is>
      </c>
      <c r="B147" s="1" t="n">
        <v>46121</v>
      </c>
      <c r="C147" s="1" t="n">
        <v>46186</v>
      </c>
      <c r="D147" t="inlineStr">
        <is>
          <t>GOTLANDS LÄN</t>
        </is>
      </c>
      <c r="E147" t="inlineStr">
        <is>
          <t>GOTLAND</t>
        </is>
      </c>
      <c r="G147" t="n">
        <v>6.6</v>
      </c>
      <c r="H147" t="n">
        <v>0</v>
      </c>
      <c r="I147" t="n">
        <v>1</v>
      </c>
      <c r="J147" t="n">
        <v>0</v>
      </c>
      <c r="K147" t="n">
        <v>0</v>
      </c>
      <c r="L147" t="n">
        <v>0</v>
      </c>
      <c r="M147" t="n">
        <v>0</v>
      </c>
      <c r="N147" t="n">
        <v>0</v>
      </c>
      <c r="O147" t="n">
        <v>0</v>
      </c>
      <c r="P147" t="n">
        <v>0</v>
      </c>
      <c r="Q147" t="n">
        <v>1</v>
      </c>
      <c r="R147" s="2" t="inlineStr">
        <is>
          <t>Blå slemspindling</t>
        </is>
      </c>
      <c r="S147">
        <f>HYPERLINK("https://klasma.github.io/Logging_0980/artfynd/A 17854-2026 artfynd.xlsx", "A 17854-2026")</f>
        <v/>
      </c>
      <c r="T147">
        <f>HYPERLINK("https://klasma.github.io/Logging_0980/kartor/A 17854-2026 karta.png", "A 17854-2026")</f>
        <v/>
      </c>
      <c r="V147">
        <f>HYPERLINK("https://klasma.github.io/Logging_0980/klagomål/A 17854-2026 FSC-klagomål.docx", "A 17854-2026")</f>
        <v/>
      </c>
      <c r="W147">
        <f>HYPERLINK("https://klasma.github.io/Logging_0980/klagomålsmail/A 17854-2026 FSC-klagomål mail.docx", "A 17854-2026")</f>
        <v/>
      </c>
      <c r="X147">
        <f>HYPERLINK("https://klasma.github.io/Logging_0980/tillsyn/A 17854-2026 tillsynsbegäran.docx", "A 17854-2026")</f>
        <v/>
      </c>
      <c r="Y147">
        <f>HYPERLINK("https://klasma.github.io/Logging_0980/tillsynsmail/A 17854-2026 tillsynsbegäran mail.docx", "A 17854-2026")</f>
        <v/>
      </c>
    </row>
    <row r="148" ht="15" customHeight="1">
      <c r="A148" t="inlineStr">
        <is>
          <t>A 34809-2024</t>
        </is>
      </c>
      <c r="B148" s="1" t="n">
        <v>45526</v>
      </c>
      <c r="C148" s="1" t="n">
        <v>46186</v>
      </c>
      <c r="D148" t="inlineStr">
        <is>
          <t>GOTLANDS LÄN</t>
        </is>
      </c>
      <c r="E148" t="inlineStr">
        <is>
          <t>GOTLAND</t>
        </is>
      </c>
      <c r="G148" t="n">
        <v>9.9</v>
      </c>
      <c r="H148" t="n">
        <v>1</v>
      </c>
      <c r="I148" t="n">
        <v>0</v>
      </c>
      <c r="J148" t="n">
        <v>1</v>
      </c>
      <c r="K148" t="n">
        <v>0</v>
      </c>
      <c r="L148" t="n">
        <v>0</v>
      </c>
      <c r="M148" t="n">
        <v>0</v>
      </c>
      <c r="N148" t="n">
        <v>0</v>
      </c>
      <c r="O148" t="n">
        <v>1</v>
      </c>
      <c r="P148" t="n">
        <v>0</v>
      </c>
      <c r="Q148" t="n">
        <v>1</v>
      </c>
      <c r="R148" s="2" t="inlineStr">
        <is>
          <t>Brun ögontröst</t>
        </is>
      </c>
      <c r="S148">
        <f>HYPERLINK("https://klasma.github.io/Logging_0980/artfynd/A 34809-2024 artfynd.xlsx", "A 34809-2024")</f>
        <v/>
      </c>
      <c r="T148">
        <f>HYPERLINK("https://klasma.github.io/Logging_0980/kartor/A 34809-2024 karta.png", "A 34809-2024")</f>
        <v/>
      </c>
      <c r="V148">
        <f>HYPERLINK("https://klasma.github.io/Logging_0980/klagomål/A 34809-2024 FSC-klagomål.docx", "A 34809-2024")</f>
        <v/>
      </c>
      <c r="W148">
        <f>HYPERLINK("https://klasma.github.io/Logging_0980/klagomålsmail/A 34809-2024 FSC-klagomål mail.docx", "A 34809-2024")</f>
        <v/>
      </c>
      <c r="X148">
        <f>HYPERLINK("https://klasma.github.io/Logging_0980/tillsyn/A 34809-2024 tillsynsbegäran.docx", "A 34809-2024")</f>
        <v/>
      </c>
      <c r="Y148">
        <f>HYPERLINK("https://klasma.github.io/Logging_0980/tillsynsmail/A 34809-2024 tillsynsbegäran mail.docx", "A 34809-2024")</f>
        <v/>
      </c>
    </row>
    <row r="149" ht="15" customHeight="1">
      <c r="A149" t="inlineStr">
        <is>
          <t>A 18036-2026</t>
        </is>
      </c>
      <c r="B149" s="1" t="n">
        <v>46125.39576388889</v>
      </c>
      <c r="C149" s="1" t="n">
        <v>46186</v>
      </c>
      <c r="D149" t="inlineStr">
        <is>
          <t>GOTLANDS LÄN</t>
        </is>
      </c>
      <c r="E149" t="inlineStr">
        <is>
          <t>GOTLAND</t>
        </is>
      </c>
      <c r="G149" t="n">
        <v>1.8</v>
      </c>
      <c r="H149" t="n">
        <v>0</v>
      </c>
      <c r="I149" t="n">
        <v>0</v>
      </c>
      <c r="J149" t="n">
        <v>1</v>
      </c>
      <c r="K149" t="n">
        <v>0</v>
      </c>
      <c r="L149" t="n">
        <v>0</v>
      </c>
      <c r="M149" t="n">
        <v>0</v>
      </c>
      <c r="N149" t="n">
        <v>0</v>
      </c>
      <c r="O149" t="n">
        <v>1</v>
      </c>
      <c r="P149" t="n">
        <v>0</v>
      </c>
      <c r="Q149" t="n">
        <v>1</v>
      </c>
      <c r="R149" s="2" t="inlineStr">
        <is>
          <t>Sommarfibbla</t>
        </is>
      </c>
      <c r="S149">
        <f>HYPERLINK("https://klasma.github.io/Logging_0980/artfynd/A 18036-2026 artfynd.xlsx", "A 18036-2026")</f>
        <v/>
      </c>
      <c r="T149">
        <f>HYPERLINK("https://klasma.github.io/Logging_0980/kartor/A 18036-2026 karta.png", "A 18036-2026")</f>
        <v/>
      </c>
      <c r="V149">
        <f>HYPERLINK("https://klasma.github.io/Logging_0980/klagomål/A 18036-2026 FSC-klagomål.docx", "A 18036-2026")</f>
        <v/>
      </c>
      <c r="W149">
        <f>HYPERLINK("https://klasma.github.io/Logging_0980/klagomålsmail/A 18036-2026 FSC-klagomål mail.docx", "A 18036-2026")</f>
        <v/>
      </c>
      <c r="X149">
        <f>HYPERLINK("https://klasma.github.io/Logging_0980/tillsyn/A 18036-2026 tillsynsbegäran.docx", "A 18036-2026")</f>
        <v/>
      </c>
      <c r="Y149">
        <f>HYPERLINK("https://klasma.github.io/Logging_0980/tillsynsmail/A 18036-2026 tillsynsbegäran mail.docx", "A 18036-2026")</f>
        <v/>
      </c>
    </row>
    <row r="150" ht="15" customHeight="1">
      <c r="A150" t="inlineStr">
        <is>
          <t>A 49304-2024</t>
        </is>
      </c>
      <c r="B150" s="1" t="n">
        <v>45595.54996527778</v>
      </c>
      <c r="C150" s="1" t="n">
        <v>46186</v>
      </c>
      <c r="D150" t="inlineStr">
        <is>
          <t>GOTLANDS LÄN</t>
        </is>
      </c>
      <c r="E150" t="inlineStr">
        <is>
          <t>GOTLAND</t>
        </is>
      </c>
      <c r="G150" t="n">
        <v>10.8</v>
      </c>
      <c r="H150" t="n">
        <v>0</v>
      </c>
      <c r="I150" t="n">
        <v>0</v>
      </c>
      <c r="J150" t="n">
        <v>1</v>
      </c>
      <c r="K150" t="n">
        <v>0</v>
      </c>
      <c r="L150" t="n">
        <v>0</v>
      </c>
      <c r="M150" t="n">
        <v>0</v>
      </c>
      <c r="N150" t="n">
        <v>0</v>
      </c>
      <c r="O150" t="n">
        <v>1</v>
      </c>
      <c r="P150" t="n">
        <v>0</v>
      </c>
      <c r="Q150" t="n">
        <v>1</v>
      </c>
      <c r="R150" s="2" t="inlineStr">
        <is>
          <t>Åkerranunkel</t>
        </is>
      </c>
      <c r="S150">
        <f>HYPERLINK("https://klasma.github.io/Logging_0980/artfynd/A 49304-2024 artfynd.xlsx", "A 49304-2024")</f>
        <v/>
      </c>
      <c r="T150">
        <f>HYPERLINK("https://klasma.github.io/Logging_0980/kartor/A 49304-2024 karta.png", "A 49304-2024")</f>
        <v/>
      </c>
      <c r="V150">
        <f>HYPERLINK("https://klasma.github.io/Logging_0980/klagomål/A 49304-2024 FSC-klagomål.docx", "A 49304-2024")</f>
        <v/>
      </c>
      <c r="W150">
        <f>HYPERLINK("https://klasma.github.io/Logging_0980/klagomålsmail/A 49304-2024 FSC-klagomål mail.docx", "A 49304-2024")</f>
        <v/>
      </c>
      <c r="X150">
        <f>HYPERLINK("https://klasma.github.io/Logging_0980/tillsyn/A 49304-2024 tillsynsbegäran.docx", "A 49304-2024")</f>
        <v/>
      </c>
      <c r="Y150">
        <f>HYPERLINK("https://klasma.github.io/Logging_0980/tillsynsmail/A 49304-2024 tillsynsbegäran mail.docx", "A 49304-2024")</f>
        <v/>
      </c>
    </row>
    <row r="151" ht="15" customHeight="1">
      <c r="A151" t="inlineStr">
        <is>
          <t>A 22782-2023</t>
        </is>
      </c>
      <c r="B151" s="1" t="n">
        <v>45072</v>
      </c>
      <c r="C151" s="1" t="n">
        <v>46186</v>
      </c>
      <c r="D151" t="inlineStr">
        <is>
          <t>GOTLANDS LÄN</t>
        </is>
      </c>
      <c r="E151" t="inlineStr">
        <is>
          <t>GOTLAND</t>
        </is>
      </c>
      <c r="F151" t="inlineStr">
        <is>
          <t>Kyrkan</t>
        </is>
      </c>
      <c r="G151" t="n">
        <v>3.1</v>
      </c>
      <c r="H151" t="n">
        <v>1</v>
      </c>
      <c r="I151" t="n">
        <v>0</v>
      </c>
      <c r="J151" t="n">
        <v>0</v>
      </c>
      <c r="K151" t="n">
        <v>0</v>
      </c>
      <c r="L151" t="n">
        <v>0</v>
      </c>
      <c r="M151" t="n">
        <v>0</v>
      </c>
      <c r="N151" t="n">
        <v>0</v>
      </c>
      <c r="O151" t="n">
        <v>0</v>
      </c>
      <c r="P151" t="n">
        <v>0</v>
      </c>
      <c r="Q151" t="n">
        <v>1</v>
      </c>
      <c r="R151" s="2" t="inlineStr">
        <is>
          <t>Ängsnycklar × skogsnycklar</t>
        </is>
      </c>
      <c r="S151">
        <f>HYPERLINK("https://klasma.github.io/Logging_0980/artfynd/A 22782-2023 artfynd.xlsx", "A 22782-2023")</f>
        <v/>
      </c>
      <c r="T151">
        <f>HYPERLINK("https://klasma.github.io/Logging_0980/kartor/A 22782-2023 karta.png", "A 22782-2023")</f>
        <v/>
      </c>
      <c r="V151">
        <f>HYPERLINK("https://klasma.github.io/Logging_0980/klagomål/A 22782-2023 FSC-klagomål.docx", "A 22782-2023")</f>
        <v/>
      </c>
      <c r="W151">
        <f>HYPERLINK("https://klasma.github.io/Logging_0980/klagomålsmail/A 22782-2023 FSC-klagomål mail.docx", "A 22782-2023")</f>
        <v/>
      </c>
      <c r="X151">
        <f>HYPERLINK("https://klasma.github.io/Logging_0980/tillsyn/A 22782-2023 tillsynsbegäran.docx", "A 22782-2023")</f>
        <v/>
      </c>
      <c r="Y151">
        <f>HYPERLINK("https://klasma.github.io/Logging_0980/tillsynsmail/A 22782-2023 tillsynsbegäran mail.docx", "A 22782-2023")</f>
        <v/>
      </c>
    </row>
    <row r="152" ht="15" customHeight="1">
      <c r="A152" t="inlineStr">
        <is>
          <t>A 44088-2022</t>
        </is>
      </c>
      <c r="B152" s="1" t="n">
        <v>44839</v>
      </c>
      <c r="C152" s="1" t="n">
        <v>46186</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1477-2024</t>
        </is>
      </c>
      <c r="B153" s="1" t="n">
        <v>45305.37987268518</v>
      </c>
      <c r="C153" s="1" t="n">
        <v>46186</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7637-2025</t>
        </is>
      </c>
      <c r="B154" s="1" t="n">
        <v>45705.77181712963</v>
      </c>
      <c r="C154" s="1" t="n">
        <v>46186</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61796-2022</t>
        </is>
      </c>
      <c r="B155" s="1" t="n">
        <v>44917</v>
      </c>
      <c r="C155" s="1" t="n">
        <v>46186</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10218-2025</t>
        </is>
      </c>
      <c r="B156" s="1" t="n">
        <v>45720</v>
      </c>
      <c r="C156" s="1" t="n">
        <v>46186</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12379-2024</t>
        </is>
      </c>
      <c r="B157" s="1" t="n">
        <v>45379.28155092592</v>
      </c>
      <c r="C157" s="1" t="n">
        <v>46186</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64700-2021</t>
        </is>
      </c>
      <c r="B158" s="1" t="n">
        <v>44511</v>
      </c>
      <c r="C158" s="1" t="n">
        <v>46186</v>
      </c>
      <c r="D158" t="inlineStr">
        <is>
          <t>GOTLANDS LÄN</t>
        </is>
      </c>
      <c r="E158" t="inlineStr">
        <is>
          <t>GOTLAND</t>
        </is>
      </c>
      <c r="F158" t="inlineStr">
        <is>
          <t>Naturvårdsverket</t>
        </is>
      </c>
      <c r="G158" t="n">
        <v>2.4</v>
      </c>
      <c r="H158" t="n">
        <v>1</v>
      </c>
      <c r="I158" t="n">
        <v>0</v>
      </c>
      <c r="J158" t="n">
        <v>0</v>
      </c>
      <c r="K158" t="n">
        <v>1</v>
      </c>
      <c r="L158" t="n">
        <v>0</v>
      </c>
      <c r="M158" t="n">
        <v>0</v>
      </c>
      <c r="N158" t="n">
        <v>0</v>
      </c>
      <c r="O158" t="n">
        <v>1</v>
      </c>
      <c r="P158" t="n">
        <v>1</v>
      </c>
      <c r="Q158" t="n">
        <v>1</v>
      </c>
      <c r="R158" s="2" t="inlineStr">
        <is>
          <t>Kalkdån</t>
        </is>
      </c>
      <c r="S158">
        <f>HYPERLINK("https://klasma.github.io/Logging_0980/artfynd/A 64700-2021 artfynd.xlsx", "A 64700-2021")</f>
        <v/>
      </c>
      <c r="T158">
        <f>HYPERLINK("https://klasma.github.io/Logging_0980/kartor/A 64700-2021 karta.png", "A 64700-2021")</f>
        <v/>
      </c>
      <c r="V158">
        <f>HYPERLINK("https://klasma.github.io/Logging_0980/klagomål/A 64700-2021 FSC-klagomål.docx", "A 64700-2021")</f>
        <v/>
      </c>
      <c r="W158">
        <f>HYPERLINK("https://klasma.github.io/Logging_0980/klagomålsmail/A 64700-2021 FSC-klagomål mail.docx", "A 64700-2021")</f>
        <v/>
      </c>
      <c r="X158">
        <f>HYPERLINK("https://klasma.github.io/Logging_0980/tillsyn/A 64700-2021 tillsynsbegäran.docx", "A 64700-2021")</f>
        <v/>
      </c>
      <c r="Y158">
        <f>HYPERLINK("https://klasma.github.io/Logging_0980/tillsynsmail/A 64700-2021 tillsynsbegäran mail.docx", "A 64700-2021")</f>
        <v/>
      </c>
    </row>
    <row r="159" ht="15" customHeight="1">
      <c r="A159" t="inlineStr">
        <is>
          <t>A 35574-2024</t>
        </is>
      </c>
      <c r="B159" s="1" t="n">
        <v>45531</v>
      </c>
      <c r="C159" s="1" t="n">
        <v>46186</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37591-2023</t>
        </is>
      </c>
      <c r="B160" s="1" t="n">
        <v>45159</v>
      </c>
      <c r="C160" s="1" t="n">
        <v>46186</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15637-2024</t>
        </is>
      </c>
      <c r="B161" s="1" t="n">
        <v>45403.6684837963</v>
      </c>
      <c r="C161" s="1" t="n">
        <v>46186</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49847-2023</t>
        </is>
      </c>
      <c r="B162" s="1" t="n">
        <v>45212</v>
      </c>
      <c r="C162" s="1" t="n">
        <v>46186</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10995-2023</t>
        </is>
      </c>
      <c r="B163" s="1" t="n">
        <v>44986</v>
      </c>
      <c r="C163" s="1" t="n">
        <v>46186</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36313-2021</t>
        </is>
      </c>
      <c r="B164" s="1" t="n">
        <v>44390</v>
      </c>
      <c r="C164" s="1" t="n">
        <v>46186</v>
      </c>
      <c r="D164" t="inlineStr">
        <is>
          <t>GOTLANDS LÄN</t>
        </is>
      </c>
      <c r="E164" t="inlineStr">
        <is>
          <t>GOTLAND</t>
        </is>
      </c>
      <c r="G164" t="n">
        <v>2.2</v>
      </c>
      <c r="H164" t="n">
        <v>0</v>
      </c>
      <c r="I164" t="n">
        <v>0</v>
      </c>
      <c r="J164" t="n">
        <v>0</v>
      </c>
      <c r="K164" t="n">
        <v>0</v>
      </c>
      <c r="L164" t="n">
        <v>0</v>
      </c>
      <c r="M164" t="n">
        <v>0</v>
      </c>
      <c r="N164" t="n">
        <v>0</v>
      </c>
      <c r="O164" t="n">
        <v>0</v>
      </c>
      <c r="P164" t="n">
        <v>0</v>
      </c>
      <c r="Q164" t="n">
        <v>0</v>
      </c>
      <c r="R164" s="2" t="inlineStr"/>
    </row>
    <row r="165" ht="15" customHeight="1">
      <c r="A165" t="inlineStr">
        <is>
          <t>A 31981-2021</t>
        </is>
      </c>
      <c r="B165" s="1" t="n">
        <v>44370</v>
      </c>
      <c r="C165" s="1" t="n">
        <v>46186</v>
      </c>
      <c r="D165" t="inlineStr">
        <is>
          <t>GOTLANDS LÄN</t>
        </is>
      </c>
      <c r="E165" t="inlineStr">
        <is>
          <t>GOTLAND</t>
        </is>
      </c>
      <c r="G165" t="n">
        <v>6.1</v>
      </c>
      <c r="H165" t="n">
        <v>0</v>
      </c>
      <c r="I165" t="n">
        <v>0</v>
      </c>
      <c r="J165" t="n">
        <v>0</v>
      </c>
      <c r="K165" t="n">
        <v>0</v>
      </c>
      <c r="L165" t="n">
        <v>0</v>
      </c>
      <c r="M165" t="n">
        <v>0</v>
      </c>
      <c r="N165" t="n">
        <v>0</v>
      </c>
      <c r="O165" t="n">
        <v>0</v>
      </c>
      <c r="P165" t="n">
        <v>0</v>
      </c>
      <c r="Q165" t="n">
        <v>0</v>
      </c>
      <c r="R165" s="2" t="inlineStr"/>
    </row>
    <row r="166" ht="15" customHeight="1">
      <c r="A166" t="inlineStr">
        <is>
          <t>A 50892-2021</t>
        </is>
      </c>
      <c r="B166" s="1" t="n">
        <v>44459</v>
      </c>
      <c r="C166" s="1" t="n">
        <v>46186</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46186</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16858-2022</t>
        </is>
      </c>
      <c r="B168" s="1" t="n">
        <v>44674.62</v>
      </c>
      <c r="C168" s="1" t="n">
        <v>46186</v>
      </c>
      <c r="D168" t="inlineStr">
        <is>
          <t>GOTLANDS LÄN</t>
        </is>
      </c>
      <c r="E168" t="inlineStr">
        <is>
          <t>GOTLAND</t>
        </is>
      </c>
      <c r="G168" t="n">
        <v>1.4</v>
      </c>
      <c r="H168" t="n">
        <v>0</v>
      </c>
      <c r="I168" t="n">
        <v>0</v>
      </c>
      <c r="J168" t="n">
        <v>0</v>
      </c>
      <c r="K168" t="n">
        <v>0</v>
      </c>
      <c r="L168" t="n">
        <v>0</v>
      </c>
      <c r="M168" t="n">
        <v>0</v>
      </c>
      <c r="N168" t="n">
        <v>0</v>
      </c>
      <c r="O168" t="n">
        <v>0</v>
      </c>
      <c r="P168" t="n">
        <v>0</v>
      </c>
      <c r="Q168" t="n">
        <v>0</v>
      </c>
      <c r="R168" s="2" t="inlineStr"/>
    </row>
    <row r="169" ht="15" customHeight="1">
      <c r="A169" t="inlineStr">
        <is>
          <t>A 24235-2022</t>
        </is>
      </c>
      <c r="B169" s="1" t="n">
        <v>44725</v>
      </c>
      <c r="C169" s="1" t="n">
        <v>46186</v>
      </c>
      <c r="D169" t="inlineStr">
        <is>
          <t>GOTLANDS LÄN</t>
        </is>
      </c>
      <c r="E169" t="inlineStr">
        <is>
          <t>GOTLAND</t>
        </is>
      </c>
      <c r="G169" t="n">
        <v>0.8</v>
      </c>
      <c r="H169" t="n">
        <v>0</v>
      </c>
      <c r="I169" t="n">
        <v>0</v>
      </c>
      <c r="J169" t="n">
        <v>0</v>
      </c>
      <c r="K169" t="n">
        <v>0</v>
      </c>
      <c r="L169" t="n">
        <v>0</v>
      </c>
      <c r="M169" t="n">
        <v>0</v>
      </c>
      <c r="N169" t="n">
        <v>0</v>
      </c>
      <c r="O169" t="n">
        <v>0</v>
      </c>
      <c r="P169" t="n">
        <v>0</v>
      </c>
      <c r="Q169" t="n">
        <v>0</v>
      </c>
      <c r="R169" s="2" t="inlineStr"/>
    </row>
    <row r="170" ht="15" customHeight="1">
      <c r="A170" t="inlineStr">
        <is>
          <t>A 32647-2021</t>
        </is>
      </c>
      <c r="B170" s="1" t="n">
        <v>44375</v>
      </c>
      <c r="C170" s="1" t="n">
        <v>46186</v>
      </c>
      <c r="D170" t="inlineStr">
        <is>
          <t>GOTLANDS LÄN</t>
        </is>
      </c>
      <c r="E170" t="inlineStr">
        <is>
          <t>GOTLAND</t>
        </is>
      </c>
      <c r="G170" t="n">
        <v>1.7</v>
      </c>
      <c r="H170" t="n">
        <v>0</v>
      </c>
      <c r="I170" t="n">
        <v>0</v>
      </c>
      <c r="J170" t="n">
        <v>0</v>
      </c>
      <c r="K170" t="n">
        <v>0</v>
      </c>
      <c r="L170" t="n">
        <v>0</v>
      </c>
      <c r="M170" t="n">
        <v>0</v>
      </c>
      <c r="N170" t="n">
        <v>0</v>
      </c>
      <c r="O170" t="n">
        <v>0</v>
      </c>
      <c r="P170" t="n">
        <v>0</v>
      </c>
      <c r="Q170" t="n">
        <v>0</v>
      </c>
      <c r="R170" s="2" t="inlineStr"/>
    </row>
    <row r="171" ht="15" customHeight="1">
      <c r="A171" t="inlineStr">
        <is>
          <t>A 39909-2021</t>
        </is>
      </c>
      <c r="B171" s="1" t="n">
        <v>44417.82444444444</v>
      </c>
      <c r="C171" s="1" t="n">
        <v>46186</v>
      </c>
      <c r="D171" t="inlineStr">
        <is>
          <t>GOTLANDS LÄN</t>
        </is>
      </c>
      <c r="E171" t="inlineStr">
        <is>
          <t>GOTLAND</t>
        </is>
      </c>
      <c r="G171" t="n">
        <v>1.1</v>
      </c>
      <c r="H171" t="n">
        <v>0</v>
      </c>
      <c r="I171" t="n">
        <v>0</v>
      </c>
      <c r="J171" t="n">
        <v>0</v>
      </c>
      <c r="K171" t="n">
        <v>0</v>
      </c>
      <c r="L171" t="n">
        <v>0</v>
      </c>
      <c r="M171" t="n">
        <v>0</v>
      </c>
      <c r="N171" t="n">
        <v>0</v>
      </c>
      <c r="O171" t="n">
        <v>0</v>
      </c>
      <c r="P171" t="n">
        <v>0</v>
      </c>
      <c r="Q171" t="n">
        <v>0</v>
      </c>
      <c r="R171" s="2" t="inlineStr"/>
    </row>
    <row r="172" ht="15" customHeight="1">
      <c r="A172" t="inlineStr">
        <is>
          <t>A 22498-2022</t>
        </is>
      </c>
      <c r="B172" s="1" t="n">
        <v>44713.64682870371</v>
      </c>
      <c r="C172" s="1" t="n">
        <v>46186</v>
      </c>
      <c r="D172" t="inlineStr">
        <is>
          <t>GOTLANDS LÄN</t>
        </is>
      </c>
      <c r="E172" t="inlineStr">
        <is>
          <t>GOTLAND</t>
        </is>
      </c>
      <c r="G172" t="n">
        <v>0.7</v>
      </c>
      <c r="H172" t="n">
        <v>0</v>
      </c>
      <c r="I172" t="n">
        <v>0</v>
      </c>
      <c r="J172" t="n">
        <v>0</v>
      </c>
      <c r="K172" t="n">
        <v>0</v>
      </c>
      <c r="L172" t="n">
        <v>0</v>
      </c>
      <c r="M172" t="n">
        <v>0</v>
      </c>
      <c r="N172" t="n">
        <v>0</v>
      </c>
      <c r="O172" t="n">
        <v>0</v>
      </c>
      <c r="P172" t="n">
        <v>0</v>
      </c>
      <c r="Q172" t="n">
        <v>0</v>
      </c>
      <c r="R172" s="2" t="inlineStr"/>
    </row>
    <row r="173" ht="15" customHeight="1">
      <c r="A173" t="inlineStr">
        <is>
          <t>A 42688-2021</t>
        </is>
      </c>
      <c r="B173" s="1" t="n">
        <v>44428</v>
      </c>
      <c r="C173" s="1" t="n">
        <v>46186</v>
      </c>
      <c r="D173" t="inlineStr">
        <is>
          <t>GOTLANDS LÄN</t>
        </is>
      </c>
      <c r="E173" t="inlineStr">
        <is>
          <t>GOTLAND</t>
        </is>
      </c>
      <c r="G173" t="n">
        <v>0.6</v>
      </c>
      <c r="H173" t="n">
        <v>0</v>
      </c>
      <c r="I173" t="n">
        <v>0</v>
      </c>
      <c r="J173" t="n">
        <v>0</v>
      </c>
      <c r="K173" t="n">
        <v>0</v>
      </c>
      <c r="L173" t="n">
        <v>0</v>
      </c>
      <c r="M173" t="n">
        <v>0</v>
      </c>
      <c r="N173" t="n">
        <v>0</v>
      </c>
      <c r="O173" t="n">
        <v>0</v>
      </c>
      <c r="P173" t="n">
        <v>0</v>
      </c>
      <c r="Q173" t="n">
        <v>0</v>
      </c>
      <c r="R173" s="2" t="inlineStr"/>
    </row>
    <row r="174" ht="15" customHeight="1">
      <c r="A174" t="inlineStr">
        <is>
          <t>A 24123-2022</t>
        </is>
      </c>
      <c r="B174" s="1" t="n">
        <v>44725.4384375</v>
      </c>
      <c r="C174" s="1" t="n">
        <v>46186</v>
      </c>
      <c r="D174" t="inlineStr">
        <is>
          <t>GOTLANDS LÄN</t>
        </is>
      </c>
      <c r="E174" t="inlineStr">
        <is>
          <t>GOTLAND</t>
        </is>
      </c>
      <c r="G174" t="n">
        <v>6</v>
      </c>
      <c r="H174" t="n">
        <v>0</v>
      </c>
      <c r="I174" t="n">
        <v>0</v>
      </c>
      <c r="J174" t="n">
        <v>0</v>
      </c>
      <c r="K174" t="n">
        <v>0</v>
      </c>
      <c r="L174" t="n">
        <v>0</v>
      </c>
      <c r="M174" t="n">
        <v>0</v>
      </c>
      <c r="N174" t="n">
        <v>0</v>
      </c>
      <c r="O174" t="n">
        <v>0</v>
      </c>
      <c r="P174" t="n">
        <v>0</v>
      </c>
      <c r="Q174" t="n">
        <v>0</v>
      </c>
      <c r="R174" s="2" t="inlineStr"/>
    </row>
    <row r="175" ht="15" customHeight="1">
      <c r="A175" t="inlineStr">
        <is>
          <t>A 44207-2022</t>
        </is>
      </c>
      <c r="B175" s="1" t="n">
        <v>44839</v>
      </c>
      <c r="C175" s="1" t="n">
        <v>46186</v>
      </c>
      <c r="D175" t="inlineStr">
        <is>
          <t>GOTLANDS LÄN</t>
        </is>
      </c>
      <c r="E175" t="inlineStr">
        <is>
          <t>GOTLAND</t>
        </is>
      </c>
      <c r="G175" t="n">
        <v>3.8</v>
      </c>
      <c r="H175" t="n">
        <v>0</v>
      </c>
      <c r="I175" t="n">
        <v>0</v>
      </c>
      <c r="J175" t="n">
        <v>0</v>
      </c>
      <c r="K175" t="n">
        <v>0</v>
      </c>
      <c r="L175" t="n">
        <v>0</v>
      </c>
      <c r="M175" t="n">
        <v>0</v>
      </c>
      <c r="N175" t="n">
        <v>0</v>
      </c>
      <c r="O175" t="n">
        <v>0</v>
      </c>
      <c r="P175" t="n">
        <v>0</v>
      </c>
      <c r="Q175" t="n">
        <v>0</v>
      </c>
      <c r="R175" s="2" t="inlineStr"/>
    </row>
    <row r="176" ht="15" customHeight="1">
      <c r="A176" t="inlineStr">
        <is>
          <t>A 32691-2021</t>
        </is>
      </c>
      <c r="B176" s="1" t="n">
        <v>44375</v>
      </c>
      <c r="C176" s="1" t="n">
        <v>46186</v>
      </c>
      <c r="D176" t="inlineStr">
        <is>
          <t>GOTLANDS LÄN</t>
        </is>
      </c>
      <c r="E176" t="inlineStr">
        <is>
          <t>GOTLAND</t>
        </is>
      </c>
      <c r="G176" t="n">
        <v>0.8</v>
      </c>
      <c r="H176" t="n">
        <v>0</v>
      </c>
      <c r="I176" t="n">
        <v>0</v>
      </c>
      <c r="J176" t="n">
        <v>0</v>
      </c>
      <c r="K176" t="n">
        <v>0</v>
      </c>
      <c r="L176" t="n">
        <v>0</v>
      </c>
      <c r="M176" t="n">
        <v>0</v>
      </c>
      <c r="N176" t="n">
        <v>0</v>
      </c>
      <c r="O176" t="n">
        <v>0</v>
      </c>
      <c r="P176" t="n">
        <v>0</v>
      </c>
      <c r="Q176" t="n">
        <v>0</v>
      </c>
      <c r="R176" s="2" t="inlineStr"/>
    </row>
    <row r="177" ht="15" customHeight="1">
      <c r="A177" t="inlineStr">
        <is>
          <t>A 60607-2021</t>
        </is>
      </c>
      <c r="B177" s="1" t="n">
        <v>44496.58627314815</v>
      </c>
      <c r="C177" s="1" t="n">
        <v>46186</v>
      </c>
      <c r="D177" t="inlineStr">
        <is>
          <t>GOTLANDS LÄN</t>
        </is>
      </c>
      <c r="E177" t="inlineStr">
        <is>
          <t>GOTLAND</t>
        </is>
      </c>
      <c r="G177" t="n">
        <v>0.6</v>
      </c>
      <c r="H177" t="n">
        <v>0</v>
      </c>
      <c r="I177" t="n">
        <v>0</v>
      </c>
      <c r="J177" t="n">
        <v>0</v>
      </c>
      <c r="K177" t="n">
        <v>0</v>
      </c>
      <c r="L177" t="n">
        <v>0</v>
      </c>
      <c r="M177" t="n">
        <v>0</v>
      </c>
      <c r="N177" t="n">
        <v>0</v>
      </c>
      <c r="O177" t="n">
        <v>0</v>
      </c>
      <c r="P177" t="n">
        <v>0</v>
      </c>
      <c r="Q177" t="n">
        <v>0</v>
      </c>
      <c r="R177" s="2" t="inlineStr"/>
    </row>
    <row r="178" ht="15" customHeight="1">
      <c r="A178" t="inlineStr">
        <is>
          <t>A 47369-2021</t>
        </is>
      </c>
      <c r="B178" s="1" t="n">
        <v>44447</v>
      </c>
      <c r="C178" s="1" t="n">
        <v>46186</v>
      </c>
      <c r="D178" t="inlineStr">
        <is>
          <t>GOTLANDS LÄN</t>
        </is>
      </c>
      <c r="E178" t="inlineStr">
        <is>
          <t>GOTLAND</t>
        </is>
      </c>
      <c r="G178" t="n">
        <v>2.3</v>
      </c>
      <c r="H178" t="n">
        <v>0</v>
      </c>
      <c r="I178" t="n">
        <v>0</v>
      </c>
      <c r="J178" t="n">
        <v>0</v>
      </c>
      <c r="K178" t="n">
        <v>0</v>
      </c>
      <c r="L178" t="n">
        <v>0</v>
      </c>
      <c r="M178" t="n">
        <v>0</v>
      </c>
      <c r="N178" t="n">
        <v>0</v>
      </c>
      <c r="O178" t="n">
        <v>0</v>
      </c>
      <c r="P178" t="n">
        <v>0</v>
      </c>
      <c r="Q178" t="n">
        <v>0</v>
      </c>
      <c r="R178" s="2" t="inlineStr"/>
    </row>
    <row r="179" ht="15" customHeight="1">
      <c r="A179" t="inlineStr">
        <is>
          <t>A 11029-2022</t>
        </is>
      </c>
      <c r="B179" s="1" t="n">
        <v>44628</v>
      </c>
      <c r="C179" s="1" t="n">
        <v>46186</v>
      </c>
      <c r="D179" t="inlineStr">
        <is>
          <t>GOTLANDS LÄN</t>
        </is>
      </c>
      <c r="E179" t="inlineStr">
        <is>
          <t>GOTLAND</t>
        </is>
      </c>
      <c r="G179" t="n">
        <v>1.8</v>
      </c>
      <c r="H179" t="n">
        <v>0</v>
      </c>
      <c r="I179" t="n">
        <v>0</v>
      </c>
      <c r="J179" t="n">
        <v>0</v>
      </c>
      <c r="K179" t="n">
        <v>0</v>
      </c>
      <c r="L179" t="n">
        <v>0</v>
      </c>
      <c r="M179" t="n">
        <v>0</v>
      </c>
      <c r="N179" t="n">
        <v>0</v>
      </c>
      <c r="O179" t="n">
        <v>0</v>
      </c>
      <c r="P179" t="n">
        <v>0</v>
      </c>
      <c r="Q179" t="n">
        <v>0</v>
      </c>
      <c r="R179" s="2" t="inlineStr"/>
    </row>
    <row r="180" ht="15" customHeight="1">
      <c r="A180" t="inlineStr">
        <is>
          <t>A 31239-2022</t>
        </is>
      </c>
      <c r="B180" s="1" t="n">
        <v>44771.49383101852</v>
      </c>
      <c r="C180" s="1" t="n">
        <v>46186</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58224-2021</t>
        </is>
      </c>
      <c r="B181" s="1" t="n">
        <v>44487</v>
      </c>
      <c r="C181" s="1" t="n">
        <v>46186</v>
      </c>
      <c r="D181" t="inlineStr">
        <is>
          <t>GOTLANDS LÄN</t>
        </is>
      </c>
      <c r="E181" t="inlineStr">
        <is>
          <t>GOTLAND</t>
        </is>
      </c>
      <c r="G181" t="n">
        <v>1.4</v>
      </c>
      <c r="H181" t="n">
        <v>0</v>
      </c>
      <c r="I181" t="n">
        <v>0</v>
      </c>
      <c r="J181" t="n">
        <v>0</v>
      </c>
      <c r="K181" t="n">
        <v>0</v>
      </c>
      <c r="L181" t="n">
        <v>0</v>
      </c>
      <c r="M181" t="n">
        <v>0</v>
      </c>
      <c r="N181" t="n">
        <v>0</v>
      </c>
      <c r="O181" t="n">
        <v>0</v>
      </c>
      <c r="P181" t="n">
        <v>0</v>
      </c>
      <c r="Q181" t="n">
        <v>0</v>
      </c>
      <c r="R181" s="2" t="inlineStr"/>
    </row>
    <row r="182" ht="15" customHeight="1">
      <c r="A182" t="inlineStr">
        <is>
          <t>A 58815-2021</t>
        </is>
      </c>
      <c r="B182" s="1" t="n">
        <v>44489</v>
      </c>
      <c r="C182" s="1" t="n">
        <v>46186</v>
      </c>
      <c r="D182" t="inlineStr">
        <is>
          <t>GOTLANDS LÄN</t>
        </is>
      </c>
      <c r="E182" t="inlineStr">
        <is>
          <t>GOTLAND</t>
        </is>
      </c>
      <c r="G182" t="n">
        <v>4.1</v>
      </c>
      <c r="H182" t="n">
        <v>0</v>
      </c>
      <c r="I182" t="n">
        <v>0</v>
      </c>
      <c r="J182" t="n">
        <v>0</v>
      </c>
      <c r="K182" t="n">
        <v>0</v>
      </c>
      <c r="L182" t="n">
        <v>0</v>
      </c>
      <c r="M182" t="n">
        <v>0</v>
      </c>
      <c r="N182" t="n">
        <v>0</v>
      </c>
      <c r="O182" t="n">
        <v>0</v>
      </c>
      <c r="P182" t="n">
        <v>0</v>
      </c>
      <c r="Q182" t="n">
        <v>0</v>
      </c>
      <c r="R182" s="2" t="inlineStr"/>
    </row>
    <row r="183" ht="15" customHeight="1">
      <c r="A183" t="inlineStr">
        <is>
          <t>A 71010-2021</t>
        </is>
      </c>
      <c r="B183" s="1" t="n">
        <v>44538.63775462963</v>
      </c>
      <c r="C183" s="1" t="n">
        <v>46186</v>
      </c>
      <c r="D183" t="inlineStr">
        <is>
          <t>GOTLANDS LÄN</t>
        </is>
      </c>
      <c r="E183" t="inlineStr">
        <is>
          <t>GOTLAND</t>
        </is>
      </c>
      <c r="G183" t="n">
        <v>0.5</v>
      </c>
      <c r="H183" t="n">
        <v>0</v>
      </c>
      <c r="I183" t="n">
        <v>0</v>
      </c>
      <c r="J183" t="n">
        <v>0</v>
      </c>
      <c r="K183" t="n">
        <v>0</v>
      </c>
      <c r="L183" t="n">
        <v>0</v>
      </c>
      <c r="M183" t="n">
        <v>0</v>
      </c>
      <c r="N183" t="n">
        <v>0</v>
      </c>
      <c r="O183" t="n">
        <v>0</v>
      </c>
      <c r="P183" t="n">
        <v>0</v>
      </c>
      <c r="Q183" t="n">
        <v>0</v>
      </c>
      <c r="R183" s="2" t="inlineStr"/>
    </row>
    <row r="184" ht="15" customHeight="1">
      <c r="A184" t="inlineStr">
        <is>
          <t>A 22495-2022</t>
        </is>
      </c>
      <c r="B184" s="1" t="n">
        <v>44713.6452199074</v>
      </c>
      <c r="C184" s="1" t="n">
        <v>46186</v>
      </c>
      <c r="D184" t="inlineStr">
        <is>
          <t>GOTLANDS LÄN</t>
        </is>
      </c>
      <c r="E184" t="inlineStr">
        <is>
          <t>GOTLAND</t>
        </is>
      </c>
      <c r="G184" t="n">
        <v>0.5</v>
      </c>
      <c r="H184" t="n">
        <v>0</v>
      </c>
      <c r="I184" t="n">
        <v>0</v>
      </c>
      <c r="J184" t="n">
        <v>0</v>
      </c>
      <c r="K184" t="n">
        <v>0</v>
      </c>
      <c r="L184" t="n">
        <v>0</v>
      </c>
      <c r="M184" t="n">
        <v>0</v>
      </c>
      <c r="N184" t="n">
        <v>0</v>
      </c>
      <c r="O184" t="n">
        <v>0</v>
      </c>
      <c r="P184" t="n">
        <v>0</v>
      </c>
      <c r="Q184" t="n">
        <v>0</v>
      </c>
      <c r="R184" s="2" t="inlineStr"/>
    </row>
    <row r="185" ht="15" customHeight="1">
      <c r="A185" t="inlineStr">
        <is>
          <t>A 44942-2022</t>
        </is>
      </c>
      <c r="B185" s="1" t="n">
        <v>44841</v>
      </c>
      <c r="C185" s="1" t="n">
        <v>46186</v>
      </c>
      <c r="D185" t="inlineStr">
        <is>
          <t>GOTLANDS LÄN</t>
        </is>
      </c>
      <c r="E185" t="inlineStr">
        <is>
          <t>GOTLAND</t>
        </is>
      </c>
      <c r="G185" t="n">
        <v>2</v>
      </c>
      <c r="H185" t="n">
        <v>0</v>
      </c>
      <c r="I185" t="n">
        <v>0</v>
      </c>
      <c r="J185" t="n">
        <v>0</v>
      </c>
      <c r="K185" t="n">
        <v>0</v>
      </c>
      <c r="L185" t="n">
        <v>0</v>
      </c>
      <c r="M185" t="n">
        <v>0</v>
      </c>
      <c r="N185" t="n">
        <v>0</v>
      </c>
      <c r="O185" t="n">
        <v>0</v>
      </c>
      <c r="P185" t="n">
        <v>0</v>
      </c>
      <c r="Q185" t="n">
        <v>0</v>
      </c>
      <c r="R185" s="2" t="inlineStr"/>
    </row>
    <row r="186" ht="15" customHeight="1">
      <c r="A186" t="inlineStr">
        <is>
          <t>A 53225-2022</t>
        </is>
      </c>
      <c r="B186" s="1" t="n">
        <v>44876</v>
      </c>
      <c r="C186" s="1" t="n">
        <v>46186</v>
      </c>
      <c r="D186" t="inlineStr">
        <is>
          <t>GOTLANDS LÄN</t>
        </is>
      </c>
      <c r="E186" t="inlineStr">
        <is>
          <t>GOTLAND</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30055-2021</t>
        </is>
      </c>
      <c r="B187" s="1" t="n">
        <v>44363</v>
      </c>
      <c r="C187" s="1" t="n">
        <v>46186</v>
      </c>
      <c r="D187" t="inlineStr">
        <is>
          <t>GOTLANDS LÄN</t>
        </is>
      </c>
      <c r="E187" t="inlineStr">
        <is>
          <t>GOTLAND</t>
        </is>
      </c>
      <c r="G187" t="n">
        <v>1.8</v>
      </c>
      <c r="H187" t="n">
        <v>0</v>
      </c>
      <c r="I187" t="n">
        <v>0</v>
      </c>
      <c r="J187" t="n">
        <v>0</v>
      </c>
      <c r="K187" t="n">
        <v>0</v>
      </c>
      <c r="L187" t="n">
        <v>0</v>
      </c>
      <c r="M187" t="n">
        <v>0</v>
      </c>
      <c r="N187" t="n">
        <v>0</v>
      </c>
      <c r="O187" t="n">
        <v>0</v>
      </c>
      <c r="P187" t="n">
        <v>0</v>
      </c>
      <c r="Q187" t="n">
        <v>0</v>
      </c>
      <c r="R187" s="2" t="inlineStr"/>
    </row>
    <row r="188" ht="15" customHeight="1">
      <c r="A188" t="inlineStr">
        <is>
          <t>A 65393-2021</t>
        </is>
      </c>
      <c r="B188" s="1" t="n">
        <v>44515</v>
      </c>
      <c r="C188" s="1" t="n">
        <v>46186</v>
      </c>
      <c r="D188" t="inlineStr">
        <is>
          <t>GOTLANDS LÄN</t>
        </is>
      </c>
      <c r="E188" t="inlineStr">
        <is>
          <t>GOTLAND</t>
        </is>
      </c>
      <c r="G188" t="n">
        <v>1.1</v>
      </c>
      <c r="H188" t="n">
        <v>0</v>
      </c>
      <c r="I188" t="n">
        <v>0</v>
      </c>
      <c r="J188" t="n">
        <v>0</v>
      </c>
      <c r="K188" t="n">
        <v>0</v>
      </c>
      <c r="L188" t="n">
        <v>0</v>
      </c>
      <c r="M188" t="n">
        <v>0</v>
      </c>
      <c r="N188" t="n">
        <v>0</v>
      </c>
      <c r="O188" t="n">
        <v>0</v>
      </c>
      <c r="P188" t="n">
        <v>0</v>
      </c>
      <c r="Q188" t="n">
        <v>0</v>
      </c>
      <c r="R188" s="2" t="inlineStr"/>
    </row>
    <row r="189" ht="15" customHeight="1">
      <c r="A189" t="inlineStr">
        <is>
          <t>A 17354-2022</t>
        </is>
      </c>
      <c r="B189" s="1" t="n">
        <v>44678</v>
      </c>
      <c r="C189" s="1" t="n">
        <v>46186</v>
      </c>
      <c r="D189" t="inlineStr">
        <is>
          <t>GOTLANDS LÄN</t>
        </is>
      </c>
      <c r="E189" t="inlineStr">
        <is>
          <t>GOTLAND</t>
        </is>
      </c>
      <c r="G189" t="n">
        <v>7.1</v>
      </c>
      <c r="H189" t="n">
        <v>0</v>
      </c>
      <c r="I189" t="n">
        <v>0</v>
      </c>
      <c r="J189" t="n">
        <v>0</v>
      </c>
      <c r="K189" t="n">
        <v>0</v>
      </c>
      <c r="L189" t="n">
        <v>0</v>
      </c>
      <c r="M189" t="n">
        <v>0</v>
      </c>
      <c r="N189" t="n">
        <v>0</v>
      </c>
      <c r="O189" t="n">
        <v>0</v>
      </c>
      <c r="P189" t="n">
        <v>0</v>
      </c>
      <c r="Q189" t="n">
        <v>0</v>
      </c>
      <c r="R189" s="2" t="inlineStr"/>
    </row>
    <row r="190" ht="15" customHeight="1">
      <c r="A190" t="inlineStr">
        <is>
          <t>A 14413-2022</t>
        </is>
      </c>
      <c r="B190" s="1" t="n">
        <v>44652</v>
      </c>
      <c r="C190" s="1" t="n">
        <v>46186</v>
      </c>
      <c r="D190" t="inlineStr">
        <is>
          <t>GOTLANDS LÄN</t>
        </is>
      </c>
      <c r="E190" t="inlineStr">
        <is>
          <t>GOTLAND</t>
        </is>
      </c>
      <c r="G190" t="n">
        <v>3.1</v>
      </c>
      <c r="H190" t="n">
        <v>0</v>
      </c>
      <c r="I190" t="n">
        <v>0</v>
      </c>
      <c r="J190" t="n">
        <v>0</v>
      </c>
      <c r="K190" t="n">
        <v>0</v>
      </c>
      <c r="L190" t="n">
        <v>0</v>
      </c>
      <c r="M190" t="n">
        <v>0</v>
      </c>
      <c r="N190" t="n">
        <v>0</v>
      </c>
      <c r="O190" t="n">
        <v>0</v>
      </c>
      <c r="P190" t="n">
        <v>0</v>
      </c>
      <c r="Q190" t="n">
        <v>0</v>
      </c>
      <c r="R190" s="2" t="inlineStr"/>
    </row>
    <row r="191" ht="15" customHeight="1">
      <c r="A191" t="inlineStr">
        <is>
          <t>A 56951-2021</t>
        </is>
      </c>
      <c r="B191" s="1" t="n">
        <v>44482.37388888889</v>
      </c>
      <c r="C191" s="1" t="n">
        <v>46186</v>
      </c>
      <c r="D191" t="inlineStr">
        <is>
          <t>GOTLANDS LÄN</t>
        </is>
      </c>
      <c r="E191" t="inlineStr">
        <is>
          <t>GOTLAND</t>
        </is>
      </c>
      <c r="G191" t="n">
        <v>2.1</v>
      </c>
      <c r="H191" t="n">
        <v>0</v>
      </c>
      <c r="I191" t="n">
        <v>0</v>
      </c>
      <c r="J191" t="n">
        <v>0</v>
      </c>
      <c r="K191" t="n">
        <v>0</v>
      </c>
      <c r="L191" t="n">
        <v>0</v>
      </c>
      <c r="M191" t="n">
        <v>0</v>
      </c>
      <c r="N191" t="n">
        <v>0</v>
      </c>
      <c r="O191" t="n">
        <v>0</v>
      </c>
      <c r="P191" t="n">
        <v>0</v>
      </c>
      <c r="Q191" t="n">
        <v>0</v>
      </c>
      <c r="R191" s="2" t="inlineStr"/>
    </row>
    <row r="192" ht="15" customHeight="1">
      <c r="A192" t="inlineStr">
        <is>
          <t>A 13498-2022</t>
        </is>
      </c>
      <c r="B192" s="1" t="n">
        <v>44647.78866898148</v>
      </c>
      <c r="C192" s="1" t="n">
        <v>46186</v>
      </c>
      <c r="D192" t="inlineStr">
        <is>
          <t>GOTLANDS LÄN</t>
        </is>
      </c>
      <c r="E192" t="inlineStr">
        <is>
          <t>GOTLAND</t>
        </is>
      </c>
      <c r="G192" t="n">
        <v>1.2</v>
      </c>
      <c r="H192" t="n">
        <v>0</v>
      </c>
      <c r="I192" t="n">
        <v>0</v>
      </c>
      <c r="J192" t="n">
        <v>0</v>
      </c>
      <c r="K192" t="n">
        <v>0</v>
      </c>
      <c r="L192" t="n">
        <v>0</v>
      </c>
      <c r="M192" t="n">
        <v>0</v>
      </c>
      <c r="N192" t="n">
        <v>0</v>
      </c>
      <c r="O192" t="n">
        <v>0</v>
      </c>
      <c r="P192" t="n">
        <v>0</v>
      </c>
      <c r="Q192" t="n">
        <v>0</v>
      </c>
      <c r="R192" s="2" t="inlineStr"/>
    </row>
    <row r="193" ht="15" customHeight="1">
      <c r="A193" t="inlineStr">
        <is>
          <t>A 13500-2022</t>
        </is>
      </c>
      <c r="B193" s="1" t="n">
        <v>44647.79513888889</v>
      </c>
      <c r="C193" s="1" t="n">
        <v>46186</v>
      </c>
      <c r="D193" t="inlineStr">
        <is>
          <t>GOTLANDS LÄN</t>
        </is>
      </c>
      <c r="E193" t="inlineStr">
        <is>
          <t>GOTLAND</t>
        </is>
      </c>
      <c r="G193" t="n">
        <v>1.2</v>
      </c>
      <c r="H193" t="n">
        <v>0</v>
      </c>
      <c r="I193" t="n">
        <v>0</v>
      </c>
      <c r="J193" t="n">
        <v>0</v>
      </c>
      <c r="K193" t="n">
        <v>0</v>
      </c>
      <c r="L193" t="n">
        <v>0</v>
      </c>
      <c r="M193" t="n">
        <v>0</v>
      </c>
      <c r="N193" t="n">
        <v>0</v>
      </c>
      <c r="O193" t="n">
        <v>0</v>
      </c>
      <c r="P193" t="n">
        <v>0</v>
      </c>
      <c r="Q193" t="n">
        <v>0</v>
      </c>
      <c r="R193" s="2" t="inlineStr"/>
    </row>
    <row r="194" ht="15" customHeight="1">
      <c r="A194" t="inlineStr">
        <is>
          <t>A 57219-2021</t>
        </is>
      </c>
      <c r="B194" s="1" t="n">
        <v>44483</v>
      </c>
      <c r="C194" s="1" t="n">
        <v>46186</v>
      </c>
      <c r="D194" t="inlineStr">
        <is>
          <t>GOTLANDS LÄN</t>
        </is>
      </c>
      <c r="E194" t="inlineStr">
        <is>
          <t>GOTLAND</t>
        </is>
      </c>
      <c r="F194" t="inlineStr">
        <is>
          <t>Kyrkan</t>
        </is>
      </c>
      <c r="G194" t="n">
        <v>4</v>
      </c>
      <c r="H194" t="n">
        <v>0</v>
      </c>
      <c r="I194" t="n">
        <v>0</v>
      </c>
      <c r="J194" t="n">
        <v>0</v>
      </c>
      <c r="K194" t="n">
        <v>0</v>
      </c>
      <c r="L194" t="n">
        <v>0</v>
      </c>
      <c r="M194" t="n">
        <v>0</v>
      </c>
      <c r="N194" t="n">
        <v>0</v>
      </c>
      <c r="O194" t="n">
        <v>0</v>
      </c>
      <c r="P194" t="n">
        <v>0</v>
      </c>
      <c r="Q194" t="n">
        <v>0</v>
      </c>
      <c r="R194" s="2" t="inlineStr"/>
    </row>
    <row r="195" ht="15" customHeight="1">
      <c r="A195" t="inlineStr">
        <is>
          <t>A 17901-2023</t>
        </is>
      </c>
      <c r="B195" s="1" t="n">
        <v>45039</v>
      </c>
      <c r="C195" s="1" t="n">
        <v>46186</v>
      </c>
      <c r="D195" t="inlineStr">
        <is>
          <t>GOTLANDS LÄN</t>
        </is>
      </c>
      <c r="E195" t="inlineStr">
        <is>
          <t>GOTLAND</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456-2023</t>
        </is>
      </c>
      <c r="B196" s="1" t="n">
        <v>44929.87122685185</v>
      </c>
      <c r="C196" s="1" t="n">
        <v>46186</v>
      </c>
      <c r="D196" t="inlineStr">
        <is>
          <t>GOTLANDS LÄN</t>
        </is>
      </c>
      <c r="E196" t="inlineStr">
        <is>
          <t>GOTLAND</t>
        </is>
      </c>
      <c r="G196" t="n">
        <v>3.2</v>
      </c>
      <c r="H196" t="n">
        <v>0</v>
      </c>
      <c r="I196" t="n">
        <v>0</v>
      </c>
      <c r="J196" t="n">
        <v>0</v>
      </c>
      <c r="K196" t="n">
        <v>0</v>
      </c>
      <c r="L196" t="n">
        <v>0</v>
      </c>
      <c r="M196" t="n">
        <v>0</v>
      </c>
      <c r="N196" t="n">
        <v>0</v>
      </c>
      <c r="O196" t="n">
        <v>0</v>
      </c>
      <c r="P196" t="n">
        <v>0</v>
      </c>
      <c r="Q196" t="n">
        <v>0</v>
      </c>
      <c r="R196" s="2" t="inlineStr"/>
    </row>
    <row r="197" ht="15" customHeight="1">
      <c r="A197" t="inlineStr">
        <is>
          <t>A 61596-2023</t>
        </is>
      </c>
      <c r="B197" s="1" t="n">
        <v>45265</v>
      </c>
      <c r="C197" s="1" t="n">
        <v>46186</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58476-2022</t>
        </is>
      </c>
      <c r="B198" s="1" t="n">
        <v>44902</v>
      </c>
      <c r="C198" s="1" t="n">
        <v>46186</v>
      </c>
      <c r="D198" t="inlineStr">
        <is>
          <t>GOTLANDS LÄN</t>
        </is>
      </c>
      <c r="E198" t="inlineStr">
        <is>
          <t>GOTLAND</t>
        </is>
      </c>
      <c r="G198" t="n">
        <v>0.9</v>
      </c>
      <c r="H198" t="n">
        <v>0</v>
      </c>
      <c r="I198" t="n">
        <v>0</v>
      </c>
      <c r="J198" t="n">
        <v>0</v>
      </c>
      <c r="K198" t="n">
        <v>0</v>
      </c>
      <c r="L198" t="n">
        <v>0</v>
      </c>
      <c r="M198" t="n">
        <v>0</v>
      </c>
      <c r="N198" t="n">
        <v>0</v>
      </c>
      <c r="O198" t="n">
        <v>0</v>
      </c>
      <c r="P198" t="n">
        <v>0</v>
      </c>
      <c r="Q198" t="n">
        <v>0</v>
      </c>
      <c r="R198" s="2" t="inlineStr"/>
    </row>
    <row r="199" ht="15" customHeight="1">
      <c r="A199" t="inlineStr">
        <is>
          <t>A 873-2024</t>
        </is>
      </c>
      <c r="B199" s="1" t="n">
        <v>45301</v>
      </c>
      <c r="C199" s="1" t="n">
        <v>46186</v>
      </c>
      <c r="D199" t="inlineStr">
        <is>
          <t>GOTLANDS LÄN</t>
        </is>
      </c>
      <c r="E199" t="inlineStr">
        <is>
          <t>GOTLAND</t>
        </is>
      </c>
      <c r="G199" t="n">
        <v>2.7</v>
      </c>
      <c r="H199" t="n">
        <v>0</v>
      </c>
      <c r="I199" t="n">
        <v>0</v>
      </c>
      <c r="J199" t="n">
        <v>0</v>
      </c>
      <c r="K199" t="n">
        <v>0</v>
      </c>
      <c r="L199" t="n">
        <v>0</v>
      </c>
      <c r="M199" t="n">
        <v>0</v>
      </c>
      <c r="N199" t="n">
        <v>0</v>
      </c>
      <c r="O199" t="n">
        <v>0</v>
      </c>
      <c r="P199" t="n">
        <v>0</v>
      </c>
      <c r="Q199" t="n">
        <v>0</v>
      </c>
      <c r="R199" s="2" t="inlineStr"/>
    </row>
    <row r="200" ht="15" customHeight="1">
      <c r="A200" t="inlineStr">
        <is>
          <t>A 44228-2022</t>
        </is>
      </c>
      <c r="B200" s="1" t="n">
        <v>44839.51599537037</v>
      </c>
      <c r="C200" s="1" t="n">
        <v>46186</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61386-2023</t>
        </is>
      </c>
      <c r="B201" s="1" t="n">
        <v>45264</v>
      </c>
      <c r="C201" s="1" t="n">
        <v>46186</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63229-2021</t>
        </is>
      </c>
      <c r="B202" s="1" t="n">
        <v>44508.34518518519</v>
      </c>
      <c r="C202" s="1" t="n">
        <v>46186</v>
      </c>
      <c r="D202" t="inlineStr">
        <is>
          <t>GOTLANDS LÄN</t>
        </is>
      </c>
      <c r="E202" t="inlineStr">
        <is>
          <t>GOTLAND</t>
        </is>
      </c>
      <c r="F202" t="inlineStr">
        <is>
          <t>Kyrkan</t>
        </is>
      </c>
      <c r="G202" t="n">
        <v>3.8</v>
      </c>
      <c r="H202" t="n">
        <v>0</v>
      </c>
      <c r="I202" t="n">
        <v>0</v>
      </c>
      <c r="J202" t="n">
        <v>0</v>
      </c>
      <c r="K202" t="n">
        <v>0</v>
      </c>
      <c r="L202" t="n">
        <v>0</v>
      </c>
      <c r="M202" t="n">
        <v>0</v>
      </c>
      <c r="N202" t="n">
        <v>0</v>
      </c>
      <c r="O202" t="n">
        <v>0</v>
      </c>
      <c r="P202" t="n">
        <v>0</v>
      </c>
      <c r="Q202" t="n">
        <v>0</v>
      </c>
      <c r="R202" s="2" t="inlineStr"/>
    </row>
    <row r="203" ht="15" customHeight="1">
      <c r="A203" t="inlineStr">
        <is>
          <t>A 32378-2025</t>
        </is>
      </c>
      <c r="B203" s="1" t="n">
        <v>45837</v>
      </c>
      <c r="C203" s="1" t="n">
        <v>46186</v>
      </c>
      <c r="D203" t="inlineStr">
        <is>
          <t>GOTLANDS LÄN</t>
        </is>
      </c>
      <c r="E203" t="inlineStr">
        <is>
          <t>GOTLAND</t>
        </is>
      </c>
      <c r="G203" t="n">
        <v>4.1</v>
      </c>
      <c r="H203" t="n">
        <v>0</v>
      </c>
      <c r="I203" t="n">
        <v>0</v>
      </c>
      <c r="J203" t="n">
        <v>0</v>
      </c>
      <c r="K203" t="n">
        <v>0</v>
      </c>
      <c r="L203" t="n">
        <v>0</v>
      </c>
      <c r="M203" t="n">
        <v>0</v>
      </c>
      <c r="N203" t="n">
        <v>0</v>
      </c>
      <c r="O203" t="n">
        <v>0</v>
      </c>
      <c r="P203" t="n">
        <v>0</v>
      </c>
      <c r="Q203" t="n">
        <v>0</v>
      </c>
      <c r="R203" s="2" t="inlineStr"/>
    </row>
    <row r="204" ht="15" customHeight="1">
      <c r="A204" t="inlineStr">
        <is>
          <t>A 35550-2025</t>
        </is>
      </c>
      <c r="B204" s="1" t="n">
        <v>45856.49324074074</v>
      </c>
      <c r="C204" s="1" t="n">
        <v>46186</v>
      </c>
      <c r="D204" t="inlineStr">
        <is>
          <t>GOTLANDS LÄN</t>
        </is>
      </c>
      <c r="E204" t="inlineStr">
        <is>
          <t>GOTLAND</t>
        </is>
      </c>
      <c r="G204" t="n">
        <v>3.2</v>
      </c>
      <c r="H204" t="n">
        <v>0</v>
      </c>
      <c r="I204" t="n">
        <v>0</v>
      </c>
      <c r="J204" t="n">
        <v>0</v>
      </c>
      <c r="K204" t="n">
        <v>0</v>
      </c>
      <c r="L204" t="n">
        <v>0</v>
      </c>
      <c r="M204" t="n">
        <v>0</v>
      </c>
      <c r="N204" t="n">
        <v>0</v>
      </c>
      <c r="O204" t="n">
        <v>0</v>
      </c>
      <c r="P204" t="n">
        <v>0</v>
      </c>
      <c r="Q204" t="n">
        <v>0</v>
      </c>
      <c r="R204" s="2" t="inlineStr"/>
    </row>
    <row r="205" ht="15" customHeight="1">
      <c r="A205" t="inlineStr">
        <is>
          <t>A 27593-2023</t>
        </is>
      </c>
      <c r="B205" s="1" t="n">
        <v>45097</v>
      </c>
      <c r="C205" s="1" t="n">
        <v>46186</v>
      </c>
      <c r="D205" t="inlineStr">
        <is>
          <t>GOTLANDS LÄN</t>
        </is>
      </c>
      <c r="E205" t="inlineStr">
        <is>
          <t>GOTLAND</t>
        </is>
      </c>
      <c r="G205" t="n">
        <v>3.1</v>
      </c>
      <c r="H205" t="n">
        <v>0</v>
      </c>
      <c r="I205" t="n">
        <v>0</v>
      </c>
      <c r="J205" t="n">
        <v>0</v>
      </c>
      <c r="K205" t="n">
        <v>0</v>
      </c>
      <c r="L205" t="n">
        <v>0</v>
      </c>
      <c r="M205" t="n">
        <v>0</v>
      </c>
      <c r="N205" t="n">
        <v>0</v>
      </c>
      <c r="O205" t="n">
        <v>0</v>
      </c>
      <c r="P205" t="n">
        <v>0</v>
      </c>
      <c r="Q205" t="n">
        <v>0</v>
      </c>
      <c r="R205" s="2" t="inlineStr"/>
    </row>
    <row r="206" ht="15" customHeight="1">
      <c r="A206" t="inlineStr">
        <is>
          <t>A 47578-2025</t>
        </is>
      </c>
      <c r="B206" s="1" t="n">
        <v>45931</v>
      </c>
      <c r="C206" s="1" t="n">
        <v>46186</v>
      </c>
      <c r="D206" t="inlineStr">
        <is>
          <t>GOTLANDS LÄN</t>
        </is>
      </c>
      <c r="E206" t="inlineStr">
        <is>
          <t>GOTLAND</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25129-2023</t>
        </is>
      </c>
      <c r="B207" s="1" t="n">
        <v>45086.44261574074</v>
      </c>
      <c r="C207" s="1" t="n">
        <v>46186</v>
      </c>
      <c r="D207" t="inlineStr">
        <is>
          <t>GOTLANDS LÄN</t>
        </is>
      </c>
      <c r="E207" t="inlineStr">
        <is>
          <t>GOTLAND</t>
        </is>
      </c>
      <c r="G207" t="n">
        <v>1.5</v>
      </c>
      <c r="H207" t="n">
        <v>0</v>
      </c>
      <c r="I207" t="n">
        <v>0</v>
      </c>
      <c r="J207" t="n">
        <v>0</v>
      </c>
      <c r="K207" t="n">
        <v>0</v>
      </c>
      <c r="L207" t="n">
        <v>0</v>
      </c>
      <c r="M207" t="n">
        <v>0</v>
      </c>
      <c r="N207" t="n">
        <v>0</v>
      </c>
      <c r="O207" t="n">
        <v>0</v>
      </c>
      <c r="P207" t="n">
        <v>0</v>
      </c>
      <c r="Q207" t="n">
        <v>0</v>
      </c>
      <c r="R207" s="2" t="inlineStr"/>
    </row>
    <row r="208" ht="15" customHeight="1">
      <c r="A208" t="inlineStr">
        <is>
          <t>A 21164-2024</t>
        </is>
      </c>
      <c r="B208" s="1" t="n">
        <v>45440</v>
      </c>
      <c r="C208" s="1" t="n">
        <v>46186</v>
      </c>
      <c r="D208" t="inlineStr">
        <is>
          <t>GOTLANDS LÄN</t>
        </is>
      </c>
      <c r="E208" t="inlineStr">
        <is>
          <t>GOTLAND</t>
        </is>
      </c>
      <c r="G208" t="n">
        <v>6.3</v>
      </c>
      <c r="H208" t="n">
        <v>0</v>
      </c>
      <c r="I208" t="n">
        <v>0</v>
      </c>
      <c r="J208" t="n">
        <v>0</v>
      </c>
      <c r="K208" t="n">
        <v>0</v>
      </c>
      <c r="L208" t="n">
        <v>0</v>
      </c>
      <c r="M208" t="n">
        <v>0</v>
      </c>
      <c r="N208" t="n">
        <v>0</v>
      </c>
      <c r="O208" t="n">
        <v>0</v>
      </c>
      <c r="P208" t="n">
        <v>0</v>
      </c>
      <c r="Q208" t="n">
        <v>0</v>
      </c>
      <c r="R208" s="2" t="inlineStr"/>
    </row>
    <row r="209" ht="15" customHeight="1">
      <c r="A209" t="inlineStr">
        <is>
          <t>A 17541-2024</t>
        </is>
      </c>
      <c r="B209" s="1" t="n">
        <v>45415</v>
      </c>
      <c r="C209" s="1" t="n">
        <v>46186</v>
      </c>
      <c r="D209" t="inlineStr">
        <is>
          <t>GOTLANDS LÄN</t>
        </is>
      </c>
      <c r="E209" t="inlineStr">
        <is>
          <t>GOTLAND</t>
        </is>
      </c>
      <c r="G209" t="n">
        <v>2.6</v>
      </c>
      <c r="H209" t="n">
        <v>0</v>
      </c>
      <c r="I209" t="n">
        <v>0</v>
      </c>
      <c r="J209" t="n">
        <v>0</v>
      </c>
      <c r="K209" t="n">
        <v>0</v>
      </c>
      <c r="L209" t="n">
        <v>0</v>
      </c>
      <c r="M209" t="n">
        <v>0</v>
      </c>
      <c r="N209" t="n">
        <v>0</v>
      </c>
      <c r="O209" t="n">
        <v>0</v>
      </c>
      <c r="P209" t="n">
        <v>0</v>
      </c>
      <c r="Q209" t="n">
        <v>0</v>
      </c>
      <c r="R209" s="2" t="inlineStr"/>
    </row>
    <row r="210" ht="15" customHeight="1">
      <c r="A210" t="inlineStr">
        <is>
          <t>A 33011-2025</t>
        </is>
      </c>
      <c r="B210" s="1" t="n">
        <v>45840</v>
      </c>
      <c r="C210" s="1" t="n">
        <v>46186</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49690-2025</t>
        </is>
      </c>
      <c r="B211" s="1" t="n">
        <v>45939.66730324074</v>
      </c>
      <c r="C211" s="1" t="n">
        <v>46186</v>
      </c>
      <c r="D211" t="inlineStr">
        <is>
          <t>GOTLANDS LÄN</t>
        </is>
      </c>
      <c r="E211" t="inlineStr">
        <is>
          <t>GOTLAND</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20356-2022</t>
        </is>
      </c>
      <c r="B212" s="1" t="n">
        <v>44699</v>
      </c>
      <c r="C212" s="1" t="n">
        <v>46186</v>
      </c>
      <c r="D212" t="inlineStr">
        <is>
          <t>GOTLANDS LÄN</t>
        </is>
      </c>
      <c r="E212" t="inlineStr">
        <is>
          <t>GOTLAND</t>
        </is>
      </c>
      <c r="F212" t="inlineStr">
        <is>
          <t>Övriga Aktiebolag</t>
        </is>
      </c>
      <c r="G212" t="n">
        <v>4.4</v>
      </c>
      <c r="H212" t="n">
        <v>0</v>
      </c>
      <c r="I212" t="n">
        <v>0</v>
      </c>
      <c r="J212" t="n">
        <v>0</v>
      </c>
      <c r="K212" t="n">
        <v>0</v>
      </c>
      <c r="L212" t="n">
        <v>0</v>
      </c>
      <c r="M212" t="n">
        <v>0</v>
      </c>
      <c r="N212" t="n">
        <v>0</v>
      </c>
      <c r="O212" t="n">
        <v>0</v>
      </c>
      <c r="P212" t="n">
        <v>0</v>
      </c>
      <c r="Q212" t="n">
        <v>0</v>
      </c>
      <c r="R212" s="2" t="inlineStr"/>
    </row>
    <row r="213" ht="15" customHeight="1">
      <c r="A213" t="inlineStr">
        <is>
          <t>A 49730-2025</t>
        </is>
      </c>
      <c r="B213" s="1" t="n">
        <v>45939.87613425926</v>
      </c>
      <c r="C213" s="1" t="n">
        <v>46186</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21389-2025</t>
        </is>
      </c>
      <c r="B214" s="1" t="n">
        <v>45782</v>
      </c>
      <c r="C214" s="1" t="n">
        <v>46186</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35142-2025</t>
        </is>
      </c>
      <c r="B215" s="1" t="n">
        <v>45852.65532407408</v>
      </c>
      <c r="C215" s="1" t="n">
        <v>46186</v>
      </c>
      <c r="D215" t="inlineStr">
        <is>
          <t>GOTLANDS LÄN</t>
        </is>
      </c>
      <c r="E215" t="inlineStr">
        <is>
          <t>GOTLAND</t>
        </is>
      </c>
      <c r="G215" t="n">
        <v>2.4</v>
      </c>
      <c r="H215" t="n">
        <v>0</v>
      </c>
      <c r="I215" t="n">
        <v>0</v>
      </c>
      <c r="J215" t="n">
        <v>0</v>
      </c>
      <c r="K215" t="n">
        <v>0</v>
      </c>
      <c r="L215" t="n">
        <v>0</v>
      </c>
      <c r="M215" t="n">
        <v>0</v>
      </c>
      <c r="N215" t="n">
        <v>0</v>
      </c>
      <c r="O215" t="n">
        <v>0</v>
      </c>
      <c r="P215" t="n">
        <v>0</v>
      </c>
      <c r="Q215" t="n">
        <v>0</v>
      </c>
      <c r="R215" s="2" t="inlineStr"/>
    </row>
    <row r="216" ht="15" customHeight="1">
      <c r="A216" t="inlineStr">
        <is>
          <t>A 50928-2025</t>
        </is>
      </c>
      <c r="B216" s="1" t="n">
        <v>45946.67896990741</v>
      </c>
      <c r="C216" s="1" t="n">
        <v>46186</v>
      </c>
      <c r="D216" t="inlineStr">
        <is>
          <t>GOTLANDS LÄN</t>
        </is>
      </c>
      <c r="E216" t="inlineStr">
        <is>
          <t>GOTLAND</t>
        </is>
      </c>
      <c r="G216" t="n">
        <v>1.3</v>
      </c>
      <c r="H216" t="n">
        <v>0</v>
      </c>
      <c r="I216" t="n">
        <v>0</v>
      </c>
      <c r="J216" t="n">
        <v>0</v>
      </c>
      <c r="K216" t="n">
        <v>0</v>
      </c>
      <c r="L216" t="n">
        <v>0</v>
      </c>
      <c r="M216" t="n">
        <v>0</v>
      </c>
      <c r="N216" t="n">
        <v>0</v>
      </c>
      <c r="O216" t="n">
        <v>0</v>
      </c>
      <c r="P216" t="n">
        <v>0</v>
      </c>
      <c r="Q216" t="n">
        <v>0</v>
      </c>
      <c r="R216" s="2" t="inlineStr"/>
    </row>
    <row r="217" ht="15" customHeight="1">
      <c r="A217" t="inlineStr">
        <is>
          <t>A 35141-2025</t>
        </is>
      </c>
      <c r="B217" s="1" t="n">
        <v>45852.65206018519</v>
      </c>
      <c r="C217" s="1" t="n">
        <v>46186</v>
      </c>
      <c r="D217" t="inlineStr">
        <is>
          <t>GOTLANDS LÄN</t>
        </is>
      </c>
      <c r="E217" t="inlineStr">
        <is>
          <t>GOTLAND</t>
        </is>
      </c>
      <c r="G217" t="n">
        <v>1</v>
      </c>
      <c r="H217" t="n">
        <v>0</v>
      </c>
      <c r="I217" t="n">
        <v>0</v>
      </c>
      <c r="J217" t="n">
        <v>0</v>
      </c>
      <c r="K217" t="n">
        <v>0</v>
      </c>
      <c r="L217" t="n">
        <v>0</v>
      </c>
      <c r="M217" t="n">
        <v>0</v>
      </c>
      <c r="N217" t="n">
        <v>0</v>
      </c>
      <c r="O217" t="n">
        <v>0</v>
      </c>
      <c r="P217" t="n">
        <v>0</v>
      </c>
      <c r="Q217" t="n">
        <v>0</v>
      </c>
      <c r="R217" s="2" t="inlineStr"/>
    </row>
    <row r="218" ht="15" customHeight="1">
      <c r="A218" t="inlineStr">
        <is>
          <t>A 54073-2022</t>
        </is>
      </c>
      <c r="B218" s="1" t="n">
        <v>44881.50380787037</v>
      </c>
      <c r="C218" s="1" t="n">
        <v>46186</v>
      </c>
      <c r="D218" t="inlineStr">
        <is>
          <t>GOTLANDS LÄN</t>
        </is>
      </c>
      <c r="E218" t="inlineStr">
        <is>
          <t>GOTLAND</t>
        </is>
      </c>
      <c r="G218" t="n">
        <v>3.8</v>
      </c>
      <c r="H218" t="n">
        <v>0</v>
      </c>
      <c r="I218" t="n">
        <v>0</v>
      </c>
      <c r="J218" t="n">
        <v>0</v>
      </c>
      <c r="K218" t="n">
        <v>0</v>
      </c>
      <c r="L218" t="n">
        <v>0</v>
      </c>
      <c r="M218" t="n">
        <v>0</v>
      </c>
      <c r="N218" t="n">
        <v>0</v>
      </c>
      <c r="O218" t="n">
        <v>0</v>
      </c>
      <c r="P218" t="n">
        <v>0</v>
      </c>
      <c r="Q218" t="n">
        <v>0</v>
      </c>
      <c r="R218" s="2" t="inlineStr"/>
    </row>
    <row r="219" ht="15" customHeight="1">
      <c r="A219" t="inlineStr">
        <is>
          <t>A 3964-2024</t>
        </is>
      </c>
      <c r="B219" s="1" t="n">
        <v>45322</v>
      </c>
      <c r="C219" s="1" t="n">
        <v>46186</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39816-2025</t>
        </is>
      </c>
      <c r="B220" s="1" t="n">
        <v>45891</v>
      </c>
      <c r="C220" s="1" t="n">
        <v>46186</v>
      </c>
      <c r="D220" t="inlineStr">
        <is>
          <t>GOTLANDS LÄN</t>
        </is>
      </c>
      <c r="E220" t="inlineStr">
        <is>
          <t>GOTLAND</t>
        </is>
      </c>
      <c r="G220" t="n">
        <v>0.9</v>
      </c>
      <c r="H220" t="n">
        <v>0</v>
      </c>
      <c r="I220" t="n">
        <v>0</v>
      </c>
      <c r="J220" t="n">
        <v>0</v>
      </c>
      <c r="K220" t="n">
        <v>0</v>
      </c>
      <c r="L220" t="n">
        <v>0</v>
      </c>
      <c r="M220" t="n">
        <v>0</v>
      </c>
      <c r="N220" t="n">
        <v>0</v>
      </c>
      <c r="O220" t="n">
        <v>0</v>
      </c>
      <c r="P220" t="n">
        <v>0</v>
      </c>
      <c r="Q220" t="n">
        <v>0</v>
      </c>
      <c r="R220" s="2" t="inlineStr"/>
    </row>
    <row r="221" ht="15" customHeight="1">
      <c r="A221" t="inlineStr">
        <is>
          <t>A 40372-2025</t>
        </is>
      </c>
      <c r="B221" s="1" t="n">
        <v>45895.5162037037</v>
      </c>
      <c r="C221" s="1" t="n">
        <v>46186</v>
      </c>
      <c r="D221" t="inlineStr">
        <is>
          <t>GOTLANDS LÄN</t>
        </is>
      </c>
      <c r="E221" t="inlineStr">
        <is>
          <t>GOTLAND</t>
        </is>
      </c>
      <c r="G221" t="n">
        <v>3.3</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46186</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40373-2025</t>
        </is>
      </c>
      <c r="B223" s="1" t="n">
        <v>45895.51821759259</v>
      </c>
      <c r="C223" s="1" t="n">
        <v>46186</v>
      </c>
      <c r="D223" t="inlineStr">
        <is>
          <t>GOTLANDS LÄN</t>
        </is>
      </c>
      <c r="E223" t="inlineStr">
        <is>
          <t>GOTLAND</t>
        </is>
      </c>
      <c r="G223" t="n">
        <v>0.6</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46186</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46186</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40499-2025</t>
        </is>
      </c>
      <c r="B226" s="1" t="n">
        <v>45896.32517361111</v>
      </c>
      <c r="C226" s="1" t="n">
        <v>46186</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49874-2024</t>
        </is>
      </c>
      <c r="B227" s="1" t="n">
        <v>45597.49274305555</v>
      </c>
      <c r="C227" s="1" t="n">
        <v>46186</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39278-2025</t>
        </is>
      </c>
      <c r="B228" s="1" t="n">
        <v>45889</v>
      </c>
      <c r="C228" s="1" t="n">
        <v>46186</v>
      </c>
      <c r="D228" t="inlineStr">
        <is>
          <t>GOTLANDS LÄN</t>
        </is>
      </c>
      <c r="E228" t="inlineStr">
        <is>
          <t>GOTLAND</t>
        </is>
      </c>
      <c r="G228" t="n">
        <v>3.7</v>
      </c>
      <c r="H228" t="n">
        <v>0</v>
      </c>
      <c r="I228" t="n">
        <v>0</v>
      </c>
      <c r="J228" t="n">
        <v>0</v>
      </c>
      <c r="K228" t="n">
        <v>0</v>
      </c>
      <c r="L228" t="n">
        <v>0</v>
      </c>
      <c r="M228" t="n">
        <v>0</v>
      </c>
      <c r="N228" t="n">
        <v>0</v>
      </c>
      <c r="O228" t="n">
        <v>0</v>
      </c>
      <c r="P228" t="n">
        <v>0</v>
      </c>
      <c r="Q228" t="n">
        <v>0</v>
      </c>
      <c r="R228" s="2" t="inlineStr"/>
    </row>
    <row r="229" ht="15" customHeight="1">
      <c r="A229" t="inlineStr">
        <is>
          <t>A 51782-2023</t>
        </is>
      </c>
      <c r="B229" s="1" t="n">
        <v>45222.80952546297</v>
      </c>
      <c r="C229" s="1" t="n">
        <v>46186</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60675-2021</t>
        </is>
      </c>
      <c r="B230" s="1" t="n">
        <v>44496.64855324074</v>
      </c>
      <c r="C230" s="1" t="n">
        <v>46186</v>
      </c>
      <c r="D230" t="inlineStr">
        <is>
          <t>GOTLANDS LÄN</t>
        </is>
      </c>
      <c r="E230" t="inlineStr">
        <is>
          <t>GOTLAND</t>
        </is>
      </c>
      <c r="G230" t="n">
        <v>4.6</v>
      </c>
      <c r="H230" t="n">
        <v>0</v>
      </c>
      <c r="I230" t="n">
        <v>0</v>
      </c>
      <c r="J230" t="n">
        <v>0</v>
      </c>
      <c r="K230" t="n">
        <v>0</v>
      </c>
      <c r="L230" t="n">
        <v>0</v>
      </c>
      <c r="M230" t="n">
        <v>0</v>
      </c>
      <c r="N230" t="n">
        <v>0</v>
      </c>
      <c r="O230" t="n">
        <v>0</v>
      </c>
      <c r="P230" t="n">
        <v>0</v>
      </c>
      <c r="Q230" t="n">
        <v>0</v>
      </c>
      <c r="R230" s="2" t="inlineStr"/>
    </row>
    <row r="231" ht="15" customHeight="1">
      <c r="A231" t="inlineStr">
        <is>
          <t>A 5217-2023</t>
        </is>
      </c>
      <c r="B231" s="1" t="n">
        <v>44959.39582175926</v>
      </c>
      <c r="C231" s="1" t="n">
        <v>46186</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14638-2025</t>
        </is>
      </c>
      <c r="B232" s="1" t="n">
        <v>45742</v>
      </c>
      <c r="C232" s="1" t="n">
        <v>46186</v>
      </c>
      <c r="D232" t="inlineStr">
        <is>
          <t>GOTLANDS LÄN</t>
        </is>
      </c>
      <c r="E232" t="inlineStr">
        <is>
          <t>GOTLAND</t>
        </is>
      </c>
      <c r="G232" t="n">
        <v>13.4</v>
      </c>
      <c r="H232" t="n">
        <v>0</v>
      </c>
      <c r="I232" t="n">
        <v>0</v>
      </c>
      <c r="J232" t="n">
        <v>0</v>
      </c>
      <c r="K232" t="n">
        <v>0</v>
      </c>
      <c r="L232" t="n">
        <v>0</v>
      </c>
      <c r="M232" t="n">
        <v>0</v>
      </c>
      <c r="N232" t="n">
        <v>0</v>
      </c>
      <c r="O232" t="n">
        <v>0</v>
      </c>
      <c r="P232" t="n">
        <v>0</v>
      </c>
      <c r="Q232" t="n">
        <v>0</v>
      </c>
      <c r="R232" s="2" t="inlineStr"/>
    </row>
    <row r="233" ht="15" customHeight="1">
      <c r="A233" t="inlineStr">
        <is>
          <t>A 4421-2024</t>
        </is>
      </c>
      <c r="B233" s="1" t="n">
        <v>45327.45173611111</v>
      </c>
      <c r="C233" s="1" t="n">
        <v>46186</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21420-2024</t>
        </is>
      </c>
      <c r="B234" s="1" t="n">
        <v>45441.38293981482</v>
      </c>
      <c r="C234" s="1" t="n">
        <v>46186</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10656-2024</t>
        </is>
      </c>
      <c r="B235" s="1" t="n">
        <v>45368</v>
      </c>
      <c r="C235" s="1" t="n">
        <v>46186</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57356-2023</t>
        </is>
      </c>
      <c r="B236" s="1" t="n">
        <v>45240</v>
      </c>
      <c r="C236" s="1" t="n">
        <v>46186</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28506-2023</t>
        </is>
      </c>
      <c r="B237" s="1" t="n">
        <v>45103</v>
      </c>
      <c r="C237" s="1" t="n">
        <v>46186</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20165-2022</t>
        </is>
      </c>
      <c r="B238" s="1" t="n">
        <v>44698.49854166667</v>
      </c>
      <c r="C238" s="1" t="n">
        <v>46186</v>
      </c>
      <c r="D238" t="inlineStr">
        <is>
          <t>GOTLANDS LÄN</t>
        </is>
      </c>
      <c r="E238" t="inlineStr">
        <is>
          <t>GOTLAND</t>
        </is>
      </c>
      <c r="G238" t="n">
        <v>4.1</v>
      </c>
      <c r="H238" t="n">
        <v>0</v>
      </c>
      <c r="I238" t="n">
        <v>0</v>
      </c>
      <c r="J238" t="n">
        <v>0</v>
      </c>
      <c r="K238" t="n">
        <v>0</v>
      </c>
      <c r="L238" t="n">
        <v>0</v>
      </c>
      <c r="M238" t="n">
        <v>0</v>
      </c>
      <c r="N238" t="n">
        <v>0</v>
      </c>
      <c r="O238" t="n">
        <v>0</v>
      </c>
      <c r="P238" t="n">
        <v>0</v>
      </c>
      <c r="Q238" t="n">
        <v>0</v>
      </c>
      <c r="R238" s="2" t="inlineStr"/>
    </row>
    <row r="239" ht="15" customHeight="1">
      <c r="A239" t="inlineStr">
        <is>
          <t>A 23188-2025</t>
        </is>
      </c>
      <c r="B239" s="1" t="n">
        <v>45791</v>
      </c>
      <c r="C239" s="1" t="n">
        <v>46186</v>
      </c>
      <c r="D239" t="inlineStr">
        <is>
          <t>GOTLANDS LÄN</t>
        </is>
      </c>
      <c r="E239" t="inlineStr">
        <is>
          <t>GOTLAND</t>
        </is>
      </c>
      <c r="G239" t="n">
        <v>6.2</v>
      </c>
      <c r="H239" t="n">
        <v>0</v>
      </c>
      <c r="I239" t="n">
        <v>0</v>
      </c>
      <c r="J239" t="n">
        <v>0</v>
      </c>
      <c r="K239" t="n">
        <v>0</v>
      </c>
      <c r="L239" t="n">
        <v>0</v>
      </c>
      <c r="M239" t="n">
        <v>0</v>
      </c>
      <c r="N239" t="n">
        <v>0</v>
      </c>
      <c r="O239" t="n">
        <v>0</v>
      </c>
      <c r="P239" t="n">
        <v>0</v>
      </c>
      <c r="Q239" t="n">
        <v>0</v>
      </c>
      <c r="R239" s="2" t="inlineStr"/>
    </row>
    <row r="240" ht="15" customHeight="1">
      <c r="A240" t="inlineStr">
        <is>
          <t>A 10158-2025</t>
        </is>
      </c>
      <c r="B240" s="1" t="n">
        <v>45719</v>
      </c>
      <c r="C240" s="1" t="n">
        <v>46186</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31264-2021</t>
        </is>
      </c>
      <c r="B241" s="1" t="n">
        <v>44368</v>
      </c>
      <c r="C241" s="1" t="n">
        <v>46186</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33876-2024</t>
        </is>
      </c>
      <c r="B242" s="1" t="n">
        <v>45521.87988425926</v>
      </c>
      <c r="C242" s="1" t="n">
        <v>46186</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43223-2023</t>
        </is>
      </c>
      <c r="B243" s="1" t="n">
        <v>45183.45642361111</v>
      </c>
      <c r="C243" s="1" t="n">
        <v>46186</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56688-2025</t>
        </is>
      </c>
      <c r="B244" s="1" t="n">
        <v>45975.84331018518</v>
      </c>
      <c r="C244" s="1" t="n">
        <v>46186</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56799-2025</t>
        </is>
      </c>
      <c r="B245" s="1" t="n">
        <v>45978.43392361111</v>
      </c>
      <c r="C245" s="1" t="n">
        <v>46186</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61962-2024</t>
        </is>
      </c>
      <c r="B246" s="1" t="n">
        <v>45653.54340277778</v>
      </c>
      <c r="C246" s="1" t="n">
        <v>46186</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43951-2025</t>
        </is>
      </c>
      <c r="B247" s="1" t="n">
        <v>45915.38119212963</v>
      </c>
      <c r="C247" s="1" t="n">
        <v>46186</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59469-2024</t>
        </is>
      </c>
      <c r="B248" s="1" t="n">
        <v>45638</v>
      </c>
      <c r="C248" s="1" t="n">
        <v>46186</v>
      </c>
      <c r="D248" t="inlineStr">
        <is>
          <t>GOTLANDS LÄN</t>
        </is>
      </c>
      <c r="E248" t="inlineStr">
        <is>
          <t>GOTLAND</t>
        </is>
      </c>
      <c r="G248" t="n">
        <v>0.4</v>
      </c>
      <c r="H248" t="n">
        <v>0</v>
      </c>
      <c r="I248" t="n">
        <v>0</v>
      </c>
      <c r="J248" t="n">
        <v>0</v>
      </c>
      <c r="K248" t="n">
        <v>0</v>
      </c>
      <c r="L248" t="n">
        <v>0</v>
      </c>
      <c r="M248" t="n">
        <v>0</v>
      </c>
      <c r="N248" t="n">
        <v>0</v>
      </c>
      <c r="O248" t="n">
        <v>0</v>
      </c>
      <c r="P248" t="n">
        <v>0</v>
      </c>
      <c r="Q248" t="n">
        <v>0</v>
      </c>
      <c r="R248" s="2" t="inlineStr"/>
    </row>
    <row r="249" ht="15" customHeight="1">
      <c r="A249" t="inlineStr">
        <is>
          <t>A 5751-2024</t>
        </is>
      </c>
      <c r="B249" s="1" t="n">
        <v>45335.32702546296</v>
      </c>
      <c r="C249" s="1" t="n">
        <v>46186</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46186</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28485-2023</t>
        </is>
      </c>
      <c r="B251" s="1" t="n">
        <v>45103.43731481482</v>
      </c>
      <c r="C251" s="1" t="n">
        <v>46186</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46186</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23856-2025</t>
        </is>
      </c>
      <c r="B253" s="1" t="n">
        <v>45793</v>
      </c>
      <c r="C253" s="1" t="n">
        <v>46186</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36319-2025</t>
        </is>
      </c>
      <c r="B254" s="1" t="n">
        <v>45868</v>
      </c>
      <c r="C254" s="1" t="n">
        <v>46186</v>
      </c>
      <c r="D254" t="inlineStr">
        <is>
          <t>GOTLANDS LÄN</t>
        </is>
      </c>
      <c r="E254" t="inlineStr">
        <is>
          <t>GOTLAND</t>
        </is>
      </c>
      <c r="G254" t="n">
        <v>2.9</v>
      </c>
      <c r="H254" t="n">
        <v>0</v>
      </c>
      <c r="I254" t="n">
        <v>0</v>
      </c>
      <c r="J254" t="n">
        <v>0</v>
      </c>
      <c r="K254" t="n">
        <v>0</v>
      </c>
      <c r="L254" t="n">
        <v>0</v>
      </c>
      <c r="M254" t="n">
        <v>0</v>
      </c>
      <c r="N254" t="n">
        <v>0</v>
      </c>
      <c r="O254" t="n">
        <v>0</v>
      </c>
      <c r="P254" t="n">
        <v>0</v>
      </c>
      <c r="Q254" t="n">
        <v>0</v>
      </c>
      <c r="R254" s="2" t="inlineStr"/>
    </row>
    <row r="255" ht="15" customHeight="1">
      <c r="A255" t="inlineStr">
        <is>
          <t>A 26391-2025</t>
        </is>
      </c>
      <c r="B255" s="1" t="n">
        <v>45806</v>
      </c>
      <c r="C255" s="1" t="n">
        <v>46186</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46836-2025</t>
        </is>
      </c>
      <c r="B256" s="1" t="n">
        <v>45928.31511574074</v>
      </c>
      <c r="C256" s="1" t="n">
        <v>46186</v>
      </c>
      <c r="D256" t="inlineStr">
        <is>
          <t>GOTLANDS LÄN</t>
        </is>
      </c>
      <c r="E256" t="inlineStr">
        <is>
          <t>GOTLAND</t>
        </is>
      </c>
      <c r="G256" t="n">
        <v>2.8</v>
      </c>
      <c r="H256" t="n">
        <v>0</v>
      </c>
      <c r="I256" t="n">
        <v>0</v>
      </c>
      <c r="J256" t="n">
        <v>0</v>
      </c>
      <c r="K256" t="n">
        <v>0</v>
      </c>
      <c r="L256" t="n">
        <v>0</v>
      </c>
      <c r="M256" t="n">
        <v>0</v>
      </c>
      <c r="N256" t="n">
        <v>0</v>
      </c>
      <c r="O256" t="n">
        <v>0</v>
      </c>
      <c r="P256" t="n">
        <v>0</v>
      </c>
      <c r="Q256" t="n">
        <v>0</v>
      </c>
      <c r="R256" s="2" t="inlineStr"/>
    </row>
    <row r="257" ht="15" customHeight="1">
      <c r="A257" t="inlineStr">
        <is>
          <t>A 47637-2025</t>
        </is>
      </c>
      <c r="B257" s="1" t="n">
        <v>45931.49753472222</v>
      </c>
      <c r="C257" s="1" t="n">
        <v>46186</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49693-2023</t>
        </is>
      </c>
      <c r="B258" s="1" t="n">
        <v>45212.38138888889</v>
      </c>
      <c r="C258" s="1" t="n">
        <v>46186</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49697-2023</t>
        </is>
      </c>
      <c r="B259" s="1" t="n">
        <v>45212.38909722222</v>
      </c>
      <c r="C259" s="1" t="n">
        <v>46186</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34312-2024</t>
        </is>
      </c>
      <c r="B260" s="1" t="n">
        <v>45524.69703703704</v>
      </c>
      <c r="C260" s="1" t="n">
        <v>46186</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23698-2025</t>
        </is>
      </c>
      <c r="B261" s="1" t="n">
        <v>45793</v>
      </c>
      <c r="C261" s="1" t="n">
        <v>46186</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63002-2025</t>
        </is>
      </c>
      <c r="B262" s="1" t="n">
        <v>46009.56564814815</v>
      </c>
      <c r="C262" s="1" t="n">
        <v>46186</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15073-2025</t>
        </is>
      </c>
      <c r="B263" s="1" t="n">
        <v>45743</v>
      </c>
      <c r="C263" s="1" t="n">
        <v>46186</v>
      </c>
      <c r="D263" t="inlineStr">
        <is>
          <t>GOTLANDS LÄN</t>
        </is>
      </c>
      <c r="E263" t="inlineStr">
        <is>
          <t>GOTLAND</t>
        </is>
      </c>
      <c r="G263" t="n">
        <v>12.1</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46186</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24825-2024</t>
        </is>
      </c>
      <c r="B265" s="1" t="n">
        <v>45461</v>
      </c>
      <c r="C265" s="1" t="n">
        <v>46186</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22031-2024</t>
        </is>
      </c>
      <c r="B266" s="1" t="n">
        <v>45443.60075231481</v>
      </c>
      <c r="C266" s="1" t="n">
        <v>46186</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17688-2024</t>
        </is>
      </c>
      <c r="B267" s="1" t="n">
        <v>45418.43575231481</v>
      </c>
      <c r="C267" s="1" t="n">
        <v>46186</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38649-2025</t>
        </is>
      </c>
      <c r="B268" s="1" t="n">
        <v>45884</v>
      </c>
      <c r="C268" s="1" t="n">
        <v>46186</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61078-2025</t>
        </is>
      </c>
      <c r="B269" s="1" t="n">
        <v>46000</v>
      </c>
      <c r="C269" s="1" t="n">
        <v>46186</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27694-2024</t>
        </is>
      </c>
      <c r="B270" s="1" t="n">
        <v>45475</v>
      </c>
      <c r="C270" s="1" t="n">
        <v>46186</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36-2026</t>
        </is>
      </c>
      <c r="B271" s="1" t="n">
        <v>46024.38886574074</v>
      </c>
      <c r="C271" s="1" t="n">
        <v>46186</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39764-2022</t>
        </is>
      </c>
      <c r="B272" s="1" t="n">
        <v>44819</v>
      </c>
      <c r="C272" s="1" t="n">
        <v>46186</v>
      </c>
      <c r="D272" t="inlineStr">
        <is>
          <t>GOTLANDS LÄN</t>
        </is>
      </c>
      <c r="E272" t="inlineStr">
        <is>
          <t>GOTLAND</t>
        </is>
      </c>
      <c r="F272" t="inlineStr">
        <is>
          <t>Kyrkan</t>
        </is>
      </c>
      <c r="G272" t="n">
        <v>3.7</v>
      </c>
      <c r="H272" t="n">
        <v>0</v>
      </c>
      <c r="I272" t="n">
        <v>0</v>
      </c>
      <c r="J272" t="n">
        <v>0</v>
      </c>
      <c r="K272" t="n">
        <v>0</v>
      </c>
      <c r="L272" t="n">
        <v>0</v>
      </c>
      <c r="M272" t="n">
        <v>0</v>
      </c>
      <c r="N272" t="n">
        <v>0</v>
      </c>
      <c r="O272" t="n">
        <v>0</v>
      </c>
      <c r="P272" t="n">
        <v>0</v>
      </c>
      <c r="Q272" t="n">
        <v>0</v>
      </c>
      <c r="R272" s="2" t="inlineStr"/>
    </row>
    <row r="273" ht="15" customHeight="1">
      <c r="A273" t="inlineStr">
        <is>
          <t>A 6099-2024</t>
        </is>
      </c>
      <c r="B273" s="1" t="n">
        <v>45337</v>
      </c>
      <c r="C273" s="1" t="n">
        <v>46186</v>
      </c>
      <c r="D273" t="inlineStr">
        <is>
          <t>GOTLANDS LÄN</t>
        </is>
      </c>
      <c r="E273" t="inlineStr">
        <is>
          <t>GOTLAND</t>
        </is>
      </c>
      <c r="G273" t="n">
        <v>12.6</v>
      </c>
      <c r="H273" t="n">
        <v>0</v>
      </c>
      <c r="I273" t="n">
        <v>0</v>
      </c>
      <c r="J273" t="n">
        <v>0</v>
      </c>
      <c r="K273" t="n">
        <v>0</v>
      </c>
      <c r="L273" t="n">
        <v>0</v>
      </c>
      <c r="M273" t="n">
        <v>0</v>
      </c>
      <c r="N273" t="n">
        <v>0</v>
      </c>
      <c r="O273" t="n">
        <v>0</v>
      </c>
      <c r="P273" t="n">
        <v>0</v>
      </c>
      <c r="Q273" t="n">
        <v>0</v>
      </c>
      <c r="R273" s="2" t="inlineStr"/>
    </row>
    <row r="274" ht="15" customHeight="1">
      <c r="A274" t="inlineStr">
        <is>
          <t>A 8260-2023</t>
        </is>
      </c>
      <c r="B274" s="1" t="n">
        <v>44974.61608796296</v>
      </c>
      <c r="C274" s="1" t="n">
        <v>46186</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22287-2022</t>
        </is>
      </c>
      <c r="B275" s="1" t="n">
        <v>44712</v>
      </c>
      <c r="C275" s="1" t="n">
        <v>46186</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57534-2022</t>
        </is>
      </c>
      <c r="B276" s="1" t="n">
        <v>44896</v>
      </c>
      <c r="C276" s="1" t="n">
        <v>46186</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6749-2025</t>
        </is>
      </c>
      <c r="B277" s="1" t="n">
        <v>45700</v>
      </c>
      <c r="C277" s="1" t="n">
        <v>46186</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5462-2025</t>
        </is>
      </c>
      <c r="B278" s="1" t="n">
        <v>45693.29331018519</v>
      </c>
      <c r="C278" s="1" t="n">
        <v>46186</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46186</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2415-2026</t>
        </is>
      </c>
      <c r="B280" s="1" t="n">
        <v>46036.76203703704</v>
      </c>
      <c r="C280" s="1" t="n">
        <v>46186</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46186</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46186</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1000-2024</t>
        </is>
      </c>
      <c r="B283" s="1" t="n">
        <v>45301.63371527778</v>
      </c>
      <c r="C283" s="1" t="n">
        <v>46186</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1010-2024</t>
        </is>
      </c>
      <c r="B284" s="1" t="n">
        <v>45301</v>
      </c>
      <c r="C284" s="1" t="n">
        <v>46186</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65249-2023</t>
        </is>
      </c>
      <c r="B285" s="1" t="n">
        <v>45290</v>
      </c>
      <c r="C285" s="1" t="n">
        <v>46186</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46186</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12596-2023</t>
        </is>
      </c>
      <c r="B287" s="1" t="n">
        <v>45000.43310185185</v>
      </c>
      <c r="C287" s="1" t="n">
        <v>46186</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8045-2022</t>
        </is>
      </c>
      <c r="B288" s="1" t="n">
        <v>44609</v>
      </c>
      <c r="C288" s="1" t="n">
        <v>46186</v>
      </c>
      <c r="D288" t="inlineStr">
        <is>
          <t>GOTLANDS LÄN</t>
        </is>
      </c>
      <c r="E288" t="inlineStr">
        <is>
          <t>GOTLAND</t>
        </is>
      </c>
      <c r="G288" t="n">
        <v>7</v>
      </c>
      <c r="H288" t="n">
        <v>0</v>
      </c>
      <c r="I288" t="n">
        <v>0</v>
      </c>
      <c r="J288" t="n">
        <v>0</v>
      </c>
      <c r="K288" t="n">
        <v>0</v>
      </c>
      <c r="L288" t="n">
        <v>0</v>
      </c>
      <c r="M288" t="n">
        <v>0</v>
      </c>
      <c r="N288" t="n">
        <v>0</v>
      </c>
      <c r="O288" t="n">
        <v>0</v>
      </c>
      <c r="P288" t="n">
        <v>0</v>
      </c>
      <c r="Q288" t="n">
        <v>0</v>
      </c>
      <c r="R288" s="2" t="inlineStr"/>
    </row>
    <row r="289" ht="15" customHeight="1">
      <c r="A289" t="inlineStr">
        <is>
          <t>A 4646-2026</t>
        </is>
      </c>
      <c r="B289" s="1" t="n">
        <v>46048.40357638889</v>
      </c>
      <c r="C289" s="1" t="n">
        <v>46186</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4634-2026</t>
        </is>
      </c>
      <c r="B290" s="1" t="n">
        <v>46048.39304398148</v>
      </c>
      <c r="C290" s="1" t="n">
        <v>46186</v>
      </c>
      <c r="D290" t="inlineStr">
        <is>
          <t>GOTLANDS LÄN</t>
        </is>
      </c>
      <c r="E290" t="inlineStr">
        <is>
          <t>GOTLAND</t>
        </is>
      </c>
      <c r="G290" t="n">
        <v>7.8</v>
      </c>
      <c r="H290" t="n">
        <v>0</v>
      </c>
      <c r="I290" t="n">
        <v>0</v>
      </c>
      <c r="J290" t="n">
        <v>0</v>
      </c>
      <c r="K290" t="n">
        <v>0</v>
      </c>
      <c r="L290" t="n">
        <v>0</v>
      </c>
      <c r="M290" t="n">
        <v>0</v>
      </c>
      <c r="N290" t="n">
        <v>0</v>
      </c>
      <c r="O290" t="n">
        <v>0</v>
      </c>
      <c r="P290" t="n">
        <v>0</v>
      </c>
      <c r="Q290" t="n">
        <v>0</v>
      </c>
      <c r="R290" s="2" t="inlineStr"/>
    </row>
    <row r="291" ht="15" customHeight="1">
      <c r="A291" t="inlineStr">
        <is>
          <t>A 4670-2026</t>
        </is>
      </c>
      <c r="B291" s="1" t="n">
        <v>46048.41733796296</v>
      </c>
      <c r="C291" s="1" t="n">
        <v>46186</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999-2024</t>
        </is>
      </c>
      <c r="B292" s="1" t="n">
        <v>45301</v>
      </c>
      <c r="C292" s="1" t="n">
        <v>46186</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65901-2021</t>
        </is>
      </c>
      <c r="B293" s="1" t="n">
        <v>44516</v>
      </c>
      <c r="C293" s="1" t="n">
        <v>46186</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47762-2023</t>
        </is>
      </c>
      <c r="B294" s="1" t="n">
        <v>45203.86256944444</v>
      </c>
      <c r="C294" s="1" t="n">
        <v>46186</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40294-2022</t>
        </is>
      </c>
      <c r="B295" s="1" t="n">
        <v>44821</v>
      </c>
      <c r="C295" s="1" t="n">
        <v>46186</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27602-2023</t>
        </is>
      </c>
      <c r="B296" s="1" t="n">
        <v>45097</v>
      </c>
      <c r="C296" s="1" t="n">
        <v>46186</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58780-2024</t>
        </is>
      </c>
      <c r="B297" s="1" t="n">
        <v>45635.84113425926</v>
      </c>
      <c r="C297" s="1" t="n">
        <v>46186</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12322-2025</t>
        </is>
      </c>
      <c r="B298" s="1" t="n">
        <v>45730</v>
      </c>
      <c r="C298" s="1" t="n">
        <v>46186</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46186</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30282-2022</t>
        </is>
      </c>
      <c r="B300" s="1" t="n">
        <v>44760</v>
      </c>
      <c r="C300" s="1" t="n">
        <v>46186</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6207-2026</t>
        </is>
      </c>
      <c r="B301" s="1" t="n">
        <v>46055.42083333333</v>
      </c>
      <c r="C301" s="1" t="n">
        <v>46186</v>
      </c>
      <c r="D301" t="inlineStr">
        <is>
          <t>GOTLANDS LÄN</t>
        </is>
      </c>
      <c r="E301" t="inlineStr">
        <is>
          <t>GOTLAND</t>
        </is>
      </c>
      <c r="G301" t="n">
        <v>7.6</v>
      </c>
      <c r="H301" t="n">
        <v>0</v>
      </c>
      <c r="I301" t="n">
        <v>0</v>
      </c>
      <c r="J301" t="n">
        <v>0</v>
      </c>
      <c r="K301" t="n">
        <v>0</v>
      </c>
      <c r="L301" t="n">
        <v>0</v>
      </c>
      <c r="M301" t="n">
        <v>0</v>
      </c>
      <c r="N301" t="n">
        <v>0</v>
      </c>
      <c r="O301" t="n">
        <v>0</v>
      </c>
      <c r="P301" t="n">
        <v>0</v>
      </c>
      <c r="Q301" t="n">
        <v>0</v>
      </c>
      <c r="R301" s="2" t="inlineStr"/>
    </row>
    <row r="302" ht="15" customHeight="1">
      <c r="A302" t="inlineStr">
        <is>
          <t>A 6218-2026</t>
        </is>
      </c>
      <c r="B302" s="1" t="n">
        <v>46055.42859953704</v>
      </c>
      <c r="C302" s="1" t="n">
        <v>46186</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46186</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7835-2024</t>
        </is>
      </c>
      <c r="B304" s="1" t="n">
        <v>45349.83138888889</v>
      </c>
      <c r="C304" s="1" t="n">
        <v>46186</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10650-2022</t>
        </is>
      </c>
      <c r="B305" s="1" t="n">
        <v>44624.57945601852</v>
      </c>
      <c r="C305" s="1" t="n">
        <v>46186</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7850-2025</t>
        </is>
      </c>
      <c r="B306" s="1" t="n">
        <v>45706</v>
      </c>
      <c r="C306" s="1" t="n">
        <v>46186</v>
      </c>
      <c r="D306" t="inlineStr">
        <is>
          <t>GOTLANDS LÄN</t>
        </is>
      </c>
      <c r="E306" t="inlineStr">
        <is>
          <t>GOTLAND</t>
        </is>
      </c>
      <c r="G306" t="n">
        <v>0.5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46186</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46186</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28425-2023</t>
        </is>
      </c>
      <c r="B309" s="1" t="n">
        <v>45102</v>
      </c>
      <c r="C309" s="1" t="n">
        <v>46186</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13037-2025</t>
        </is>
      </c>
      <c r="B310" s="1" t="n">
        <v>45734</v>
      </c>
      <c r="C310" s="1" t="n">
        <v>46186</v>
      </c>
      <c r="D310" t="inlineStr">
        <is>
          <t>GOTLANDS LÄN</t>
        </is>
      </c>
      <c r="E310" t="inlineStr">
        <is>
          <t>GOTLAND</t>
        </is>
      </c>
      <c r="G310" t="n">
        <v>9.5</v>
      </c>
      <c r="H310" t="n">
        <v>0</v>
      </c>
      <c r="I310" t="n">
        <v>0</v>
      </c>
      <c r="J310" t="n">
        <v>0</v>
      </c>
      <c r="K310" t="n">
        <v>0</v>
      </c>
      <c r="L310" t="n">
        <v>0</v>
      </c>
      <c r="M310" t="n">
        <v>0</v>
      </c>
      <c r="N310" t="n">
        <v>0</v>
      </c>
      <c r="O310" t="n">
        <v>0</v>
      </c>
      <c r="P310" t="n">
        <v>0</v>
      </c>
      <c r="Q310" t="n">
        <v>0</v>
      </c>
      <c r="R310" s="2" t="inlineStr"/>
    </row>
    <row r="311" ht="15" customHeight="1">
      <c r="A311" t="inlineStr">
        <is>
          <t>A 7627-2026</t>
        </is>
      </c>
      <c r="B311" s="1" t="n">
        <v>46062.35465277778</v>
      </c>
      <c r="C311" s="1" t="n">
        <v>46186</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2135-2026</t>
        </is>
      </c>
      <c r="B312" s="1" t="n">
        <v>46036</v>
      </c>
      <c r="C312" s="1" t="n">
        <v>46186</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46186</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46186</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10746-2025</t>
        </is>
      </c>
      <c r="B315" s="1" t="n">
        <v>45722.42766203704</v>
      </c>
      <c r="C315" s="1" t="n">
        <v>46186</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58160-2024</t>
        </is>
      </c>
      <c r="B316" s="1" t="n">
        <v>45632.44927083333</v>
      </c>
      <c r="C316" s="1" t="n">
        <v>46186</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9540-2026</t>
        </is>
      </c>
      <c r="B317" s="1" t="n">
        <v>46071.61961805556</v>
      </c>
      <c r="C317" s="1" t="n">
        <v>46186</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9521-2026</t>
        </is>
      </c>
      <c r="B318" s="1" t="n">
        <v>46071.59969907408</v>
      </c>
      <c r="C318" s="1" t="n">
        <v>46186</v>
      </c>
      <c r="D318" t="inlineStr">
        <is>
          <t>GOTLANDS LÄN</t>
        </is>
      </c>
      <c r="E318" t="inlineStr">
        <is>
          <t>GOTLAND</t>
        </is>
      </c>
      <c r="G318" t="n">
        <v>3.9</v>
      </c>
      <c r="H318" t="n">
        <v>0</v>
      </c>
      <c r="I318" t="n">
        <v>0</v>
      </c>
      <c r="J318" t="n">
        <v>0</v>
      </c>
      <c r="K318" t="n">
        <v>0</v>
      </c>
      <c r="L318" t="n">
        <v>0</v>
      </c>
      <c r="M318" t="n">
        <v>0</v>
      </c>
      <c r="N318" t="n">
        <v>0</v>
      </c>
      <c r="O318" t="n">
        <v>0</v>
      </c>
      <c r="P318" t="n">
        <v>0</v>
      </c>
      <c r="Q318" t="n">
        <v>0</v>
      </c>
      <c r="R318" s="2" t="inlineStr"/>
    </row>
    <row r="319" ht="15" customHeight="1">
      <c r="A319" t="inlineStr">
        <is>
          <t>A 9524-2026</t>
        </is>
      </c>
      <c r="B319" s="1" t="n">
        <v>46071.60108796296</v>
      </c>
      <c r="C319" s="1" t="n">
        <v>46186</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9543-2026</t>
        </is>
      </c>
      <c r="B320" s="1" t="n">
        <v>46071.62486111111</v>
      </c>
      <c r="C320" s="1" t="n">
        <v>46186</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9518-2026</t>
        </is>
      </c>
      <c r="B321" s="1" t="n">
        <v>46071.59653935185</v>
      </c>
      <c r="C321" s="1" t="n">
        <v>46186</v>
      </c>
      <c r="D321" t="inlineStr">
        <is>
          <t>GOTLANDS LÄN</t>
        </is>
      </c>
      <c r="E321" t="inlineStr">
        <is>
          <t>GOTLAND</t>
        </is>
      </c>
      <c r="G321" t="n">
        <v>6.2</v>
      </c>
      <c r="H321" t="n">
        <v>0</v>
      </c>
      <c r="I321" t="n">
        <v>0</v>
      </c>
      <c r="J321" t="n">
        <v>0</v>
      </c>
      <c r="K321" t="n">
        <v>0</v>
      </c>
      <c r="L321" t="n">
        <v>0</v>
      </c>
      <c r="M321" t="n">
        <v>0</v>
      </c>
      <c r="N321" t="n">
        <v>0</v>
      </c>
      <c r="O321" t="n">
        <v>0</v>
      </c>
      <c r="P321" t="n">
        <v>0</v>
      </c>
      <c r="Q321" t="n">
        <v>0</v>
      </c>
      <c r="R321" s="2" t="inlineStr"/>
    </row>
    <row r="322" ht="15" customHeight="1">
      <c r="A322" t="inlineStr">
        <is>
          <t>A 9519-2026</t>
        </is>
      </c>
      <c r="B322" s="1" t="n">
        <v>46071.59820601852</v>
      </c>
      <c r="C322" s="1" t="n">
        <v>46186</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43229-2023</t>
        </is>
      </c>
      <c r="B323" s="1" t="n">
        <v>45183.46704861111</v>
      </c>
      <c r="C323" s="1" t="n">
        <v>46186</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9901-2026</t>
        </is>
      </c>
      <c r="B324" s="1" t="n">
        <v>46073.40391203704</v>
      </c>
      <c r="C324" s="1" t="n">
        <v>46186</v>
      </c>
      <c r="D324" t="inlineStr">
        <is>
          <t>GOTLANDS LÄN</t>
        </is>
      </c>
      <c r="E324" t="inlineStr">
        <is>
          <t>GOTLAND</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41038-2023</t>
        </is>
      </c>
      <c r="B325" s="1" t="n">
        <v>45173.60959490741</v>
      </c>
      <c r="C325" s="1" t="n">
        <v>46186</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10284-2026</t>
        </is>
      </c>
      <c r="B326" s="1" t="n">
        <v>46076</v>
      </c>
      <c r="C326" s="1" t="n">
        <v>46186</v>
      </c>
      <c r="D326" t="inlineStr">
        <is>
          <t>GOTLANDS LÄN</t>
        </is>
      </c>
      <c r="E326" t="inlineStr">
        <is>
          <t>GOTLAND</t>
        </is>
      </c>
      <c r="G326" t="n">
        <v>5.2</v>
      </c>
      <c r="H326" t="n">
        <v>0</v>
      </c>
      <c r="I326" t="n">
        <v>0</v>
      </c>
      <c r="J326" t="n">
        <v>0</v>
      </c>
      <c r="K326" t="n">
        <v>0</v>
      </c>
      <c r="L326" t="n">
        <v>0</v>
      </c>
      <c r="M326" t="n">
        <v>0</v>
      </c>
      <c r="N326" t="n">
        <v>0</v>
      </c>
      <c r="O326" t="n">
        <v>0</v>
      </c>
      <c r="P326" t="n">
        <v>0</v>
      </c>
      <c r="Q326" t="n">
        <v>0</v>
      </c>
      <c r="R326" s="2" t="inlineStr"/>
    </row>
    <row r="327" ht="15" customHeight="1">
      <c r="A327" t="inlineStr">
        <is>
          <t>A 57652-2023</t>
        </is>
      </c>
      <c r="B327" s="1" t="n">
        <v>45246</v>
      </c>
      <c r="C327" s="1" t="n">
        <v>46186</v>
      </c>
      <c r="D327" t="inlineStr">
        <is>
          <t>GOTLANDS LÄN</t>
        </is>
      </c>
      <c r="E327" t="inlineStr">
        <is>
          <t>GOTLAND</t>
        </is>
      </c>
      <c r="G327" t="n">
        <v>7.2</v>
      </c>
      <c r="H327" t="n">
        <v>0</v>
      </c>
      <c r="I327" t="n">
        <v>0</v>
      </c>
      <c r="J327" t="n">
        <v>0</v>
      </c>
      <c r="K327" t="n">
        <v>0</v>
      </c>
      <c r="L327" t="n">
        <v>0</v>
      </c>
      <c r="M327" t="n">
        <v>0</v>
      </c>
      <c r="N327" t="n">
        <v>0</v>
      </c>
      <c r="O327" t="n">
        <v>0</v>
      </c>
      <c r="P327" t="n">
        <v>0</v>
      </c>
      <c r="Q327" t="n">
        <v>0</v>
      </c>
      <c r="R327" s="2" t="inlineStr"/>
    </row>
    <row r="328" ht="15" customHeight="1">
      <c r="A328" t="inlineStr">
        <is>
          <t>A 46189-2022</t>
        </is>
      </c>
      <c r="B328" s="1" t="n">
        <v>44847</v>
      </c>
      <c r="C328" s="1" t="n">
        <v>46186</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11424-2026</t>
        </is>
      </c>
      <c r="B329" s="1" t="n">
        <v>46083.48068287037</v>
      </c>
      <c r="C329" s="1" t="n">
        <v>46186</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57522-2022</t>
        </is>
      </c>
      <c r="B330" s="1" t="n">
        <v>44896</v>
      </c>
      <c r="C330" s="1" t="n">
        <v>46186</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14797-2024</t>
        </is>
      </c>
      <c r="B331" s="1" t="n">
        <v>45397.87030092593</v>
      </c>
      <c r="C331" s="1" t="n">
        <v>46186</v>
      </c>
      <c r="D331" t="inlineStr">
        <is>
          <t>GOTLANDS LÄN</t>
        </is>
      </c>
      <c r="E331" t="inlineStr">
        <is>
          <t>GOTLAND</t>
        </is>
      </c>
      <c r="G331" t="n">
        <v>8.1</v>
      </c>
      <c r="H331" t="n">
        <v>0</v>
      </c>
      <c r="I331" t="n">
        <v>0</v>
      </c>
      <c r="J331" t="n">
        <v>0</v>
      </c>
      <c r="K331" t="n">
        <v>0</v>
      </c>
      <c r="L331" t="n">
        <v>0</v>
      </c>
      <c r="M331" t="n">
        <v>0</v>
      </c>
      <c r="N331" t="n">
        <v>0</v>
      </c>
      <c r="O331" t="n">
        <v>0</v>
      </c>
      <c r="P331" t="n">
        <v>0</v>
      </c>
      <c r="Q331" t="n">
        <v>0</v>
      </c>
      <c r="R331" s="2" t="inlineStr"/>
    </row>
    <row r="332" ht="15" customHeight="1">
      <c r="A332" t="inlineStr">
        <is>
          <t>A 3067-2026</t>
        </is>
      </c>
      <c r="B332" s="1" t="n">
        <v>46040.59025462963</v>
      </c>
      <c r="C332" s="1" t="n">
        <v>46186</v>
      </c>
      <c r="D332" t="inlineStr">
        <is>
          <t>GOTLANDS LÄN</t>
        </is>
      </c>
      <c r="E332" t="inlineStr">
        <is>
          <t>GOTLAND</t>
        </is>
      </c>
      <c r="G332" t="n">
        <v>7.8</v>
      </c>
      <c r="H332" t="n">
        <v>0</v>
      </c>
      <c r="I332" t="n">
        <v>0</v>
      </c>
      <c r="J332" t="n">
        <v>0</v>
      </c>
      <c r="K332" t="n">
        <v>0</v>
      </c>
      <c r="L332" t="n">
        <v>0</v>
      </c>
      <c r="M332" t="n">
        <v>0</v>
      </c>
      <c r="N332" t="n">
        <v>0</v>
      </c>
      <c r="O332" t="n">
        <v>0</v>
      </c>
      <c r="P332" t="n">
        <v>0</v>
      </c>
      <c r="Q332" t="n">
        <v>0</v>
      </c>
      <c r="R332" s="2" t="inlineStr"/>
    </row>
    <row r="333" ht="15" customHeight="1">
      <c r="A333" t="inlineStr">
        <is>
          <t>A 16109-2025</t>
        </is>
      </c>
      <c r="B333" s="1" t="n">
        <v>45750</v>
      </c>
      <c r="C333" s="1" t="n">
        <v>46186</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12135-2026</t>
        </is>
      </c>
      <c r="B334" s="1" t="n">
        <v>46086</v>
      </c>
      <c r="C334" s="1" t="n">
        <v>46186</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11982-2026</t>
        </is>
      </c>
      <c r="B335" s="1" t="n">
        <v>46085.6434375</v>
      </c>
      <c r="C335" s="1" t="n">
        <v>46186</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7837-2024</t>
        </is>
      </c>
      <c r="B336" s="1" t="n">
        <v>45349.83787037037</v>
      </c>
      <c r="C336" s="1" t="n">
        <v>46186</v>
      </c>
      <c r="D336" t="inlineStr">
        <is>
          <t>GOTLANDS LÄN</t>
        </is>
      </c>
      <c r="E336" t="inlineStr">
        <is>
          <t>GOTLAND</t>
        </is>
      </c>
      <c r="G336" t="n">
        <v>5</v>
      </c>
      <c r="H336" t="n">
        <v>0</v>
      </c>
      <c r="I336" t="n">
        <v>0</v>
      </c>
      <c r="J336" t="n">
        <v>0</v>
      </c>
      <c r="K336" t="n">
        <v>0</v>
      </c>
      <c r="L336" t="n">
        <v>0</v>
      </c>
      <c r="M336" t="n">
        <v>0</v>
      </c>
      <c r="N336" t="n">
        <v>0</v>
      </c>
      <c r="O336" t="n">
        <v>0</v>
      </c>
      <c r="P336" t="n">
        <v>0</v>
      </c>
      <c r="Q336" t="n">
        <v>0</v>
      </c>
      <c r="R336" s="2" t="inlineStr"/>
    </row>
    <row r="337" ht="15" customHeight="1">
      <c r="A337" t="inlineStr">
        <is>
          <t>A 42201-2023</t>
        </is>
      </c>
      <c r="B337" s="1" t="n">
        <v>45179</v>
      </c>
      <c r="C337" s="1" t="n">
        <v>46186</v>
      </c>
      <c r="D337" t="inlineStr">
        <is>
          <t>GOTLANDS LÄN</t>
        </is>
      </c>
      <c r="E337" t="inlineStr">
        <is>
          <t>GOTLAND</t>
        </is>
      </c>
      <c r="G337" t="n">
        <v>11.9</v>
      </c>
      <c r="H337" t="n">
        <v>0</v>
      </c>
      <c r="I337" t="n">
        <v>0</v>
      </c>
      <c r="J337" t="n">
        <v>0</v>
      </c>
      <c r="K337" t="n">
        <v>0</v>
      </c>
      <c r="L337" t="n">
        <v>0</v>
      </c>
      <c r="M337" t="n">
        <v>0</v>
      </c>
      <c r="N337" t="n">
        <v>0</v>
      </c>
      <c r="O337" t="n">
        <v>0</v>
      </c>
      <c r="P337" t="n">
        <v>0</v>
      </c>
      <c r="Q337" t="n">
        <v>0</v>
      </c>
      <c r="R337" s="2" t="inlineStr"/>
    </row>
    <row r="338" ht="15" customHeight="1">
      <c r="A338" t="inlineStr">
        <is>
          <t>A 1394-2023</t>
        </is>
      </c>
      <c r="B338" s="1" t="n">
        <v>44936.72997685185</v>
      </c>
      <c r="C338" s="1" t="n">
        <v>46186</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2676-2023</t>
        </is>
      </c>
      <c r="B339" s="1" t="n">
        <v>44944</v>
      </c>
      <c r="C339" s="1" t="n">
        <v>46186</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4387-2023</t>
        </is>
      </c>
      <c r="B340" s="1" t="n">
        <v>44955.73359953704</v>
      </c>
      <c r="C340" s="1" t="n">
        <v>46186</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49411-2023</t>
        </is>
      </c>
      <c r="B341" s="1" t="n">
        <v>45205</v>
      </c>
      <c r="C341" s="1" t="n">
        <v>46186</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37728-2024</t>
        </is>
      </c>
      <c r="B342" s="1" t="n">
        <v>45541</v>
      </c>
      <c r="C342" s="1" t="n">
        <v>46186</v>
      </c>
      <c r="D342" t="inlineStr">
        <is>
          <t>GOTLANDS LÄN</t>
        </is>
      </c>
      <c r="E342" t="inlineStr">
        <is>
          <t>GOTLAND</t>
        </is>
      </c>
      <c r="G342" t="n">
        <v>0.4</v>
      </c>
      <c r="H342" t="n">
        <v>0</v>
      </c>
      <c r="I342" t="n">
        <v>0</v>
      </c>
      <c r="J342" t="n">
        <v>0</v>
      </c>
      <c r="K342" t="n">
        <v>0</v>
      </c>
      <c r="L342" t="n">
        <v>0</v>
      </c>
      <c r="M342" t="n">
        <v>0</v>
      </c>
      <c r="N342" t="n">
        <v>0</v>
      </c>
      <c r="O342" t="n">
        <v>0</v>
      </c>
      <c r="P342" t="n">
        <v>0</v>
      </c>
      <c r="Q342" t="n">
        <v>0</v>
      </c>
      <c r="R342" s="2" t="inlineStr"/>
    </row>
    <row r="343" ht="15" customHeight="1">
      <c r="A343" t="inlineStr">
        <is>
          <t>A 63000-2025</t>
        </is>
      </c>
      <c r="B343" s="1" t="n">
        <v>46009</v>
      </c>
      <c r="C343" s="1" t="n">
        <v>46186</v>
      </c>
      <c r="D343" t="inlineStr">
        <is>
          <t>GOTLANDS LÄN</t>
        </is>
      </c>
      <c r="E343" t="inlineStr">
        <is>
          <t>GOTLAND</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62751-2025</t>
        </is>
      </c>
      <c r="B344" s="1" t="n">
        <v>46008</v>
      </c>
      <c r="C344" s="1" t="n">
        <v>46186</v>
      </c>
      <c r="D344" t="inlineStr">
        <is>
          <t>GOTLANDS LÄN</t>
        </is>
      </c>
      <c r="E344" t="inlineStr">
        <is>
          <t>GOTLAND</t>
        </is>
      </c>
      <c r="F344" t="inlineStr">
        <is>
          <t>Övriga Aktiebolag</t>
        </is>
      </c>
      <c r="G344" t="n">
        <v>7.8</v>
      </c>
      <c r="H344" t="n">
        <v>0</v>
      </c>
      <c r="I344" t="n">
        <v>0</v>
      </c>
      <c r="J344" t="n">
        <v>0</v>
      </c>
      <c r="K344" t="n">
        <v>0</v>
      </c>
      <c r="L344" t="n">
        <v>0</v>
      </c>
      <c r="M344" t="n">
        <v>0</v>
      </c>
      <c r="N344" t="n">
        <v>0</v>
      </c>
      <c r="O344" t="n">
        <v>0</v>
      </c>
      <c r="P344" t="n">
        <v>0</v>
      </c>
      <c r="Q344" t="n">
        <v>0</v>
      </c>
      <c r="R344" s="2" t="inlineStr"/>
    </row>
    <row r="345" ht="15" customHeight="1">
      <c r="A345" t="inlineStr">
        <is>
          <t>A 13486-2026</t>
        </is>
      </c>
      <c r="B345" s="1" t="n">
        <v>46094</v>
      </c>
      <c r="C345" s="1" t="n">
        <v>46186</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22275-2023</t>
        </is>
      </c>
      <c r="B346" s="1" t="n">
        <v>45070.39875</v>
      </c>
      <c r="C346" s="1" t="n">
        <v>46186</v>
      </c>
      <c r="D346" t="inlineStr">
        <is>
          <t>GOTLANDS LÄN</t>
        </is>
      </c>
      <c r="E346" t="inlineStr">
        <is>
          <t>GOTLAND</t>
        </is>
      </c>
      <c r="G346" t="n">
        <v>7.2</v>
      </c>
      <c r="H346" t="n">
        <v>0</v>
      </c>
      <c r="I346" t="n">
        <v>0</v>
      </c>
      <c r="J346" t="n">
        <v>0</v>
      </c>
      <c r="K346" t="n">
        <v>0</v>
      </c>
      <c r="L346" t="n">
        <v>0</v>
      </c>
      <c r="M346" t="n">
        <v>0</v>
      </c>
      <c r="N346" t="n">
        <v>0</v>
      </c>
      <c r="O346" t="n">
        <v>0</v>
      </c>
      <c r="P346" t="n">
        <v>0</v>
      </c>
      <c r="Q346" t="n">
        <v>0</v>
      </c>
      <c r="R346" s="2" t="inlineStr"/>
    </row>
    <row r="347" ht="15" customHeight="1">
      <c r="A347" t="inlineStr">
        <is>
          <t>A 14635-2023</t>
        </is>
      </c>
      <c r="B347" s="1" t="n">
        <v>45013.69365740741</v>
      </c>
      <c r="C347" s="1" t="n">
        <v>46186</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46186</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46186</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46186</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61682-2024</t>
        </is>
      </c>
      <c r="B351" s="1" t="n">
        <v>45647.48824074074</v>
      </c>
      <c r="C351" s="1" t="n">
        <v>46186</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15434-2024</t>
        </is>
      </c>
      <c r="B352" s="1" t="n">
        <v>45401.38836805556</v>
      </c>
      <c r="C352" s="1" t="n">
        <v>46186</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46186</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7034-2023</t>
        </is>
      </c>
      <c r="B354" s="1" t="n">
        <v>44968.32108796296</v>
      </c>
      <c r="C354" s="1" t="n">
        <v>46186</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7042-2023</t>
        </is>
      </c>
      <c r="B355" s="1" t="n">
        <v>44968</v>
      </c>
      <c r="C355" s="1" t="n">
        <v>46186</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46186</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54074-2022</t>
        </is>
      </c>
      <c r="B357" s="1" t="n">
        <v>44881</v>
      </c>
      <c r="C357" s="1" t="n">
        <v>46186</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61694-2023</t>
        </is>
      </c>
      <c r="B358" s="1" t="n">
        <v>45264</v>
      </c>
      <c r="C358" s="1" t="n">
        <v>46186</v>
      </c>
      <c r="D358" t="inlineStr">
        <is>
          <t>GOTLANDS LÄN</t>
        </is>
      </c>
      <c r="E358" t="inlineStr">
        <is>
          <t>GOTLAND</t>
        </is>
      </c>
      <c r="G358" t="n">
        <v>4.6</v>
      </c>
      <c r="H358" t="n">
        <v>0</v>
      </c>
      <c r="I358" t="n">
        <v>0</v>
      </c>
      <c r="J358" t="n">
        <v>0</v>
      </c>
      <c r="K358" t="n">
        <v>0</v>
      </c>
      <c r="L358" t="n">
        <v>0</v>
      </c>
      <c r="M358" t="n">
        <v>0</v>
      </c>
      <c r="N358" t="n">
        <v>0</v>
      </c>
      <c r="O358" t="n">
        <v>0</v>
      </c>
      <c r="P358" t="n">
        <v>0</v>
      </c>
      <c r="Q358" t="n">
        <v>0</v>
      </c>
      <c r="R358" s="2" t="inlineStr"/>
    </row>
    <row r="359" ht="15" customHeight="1">
      <c r="A359" t="inlineStr">
        <is>
          <t>A 64208-2021</t>
        </is>
      </c>
      <c r="B359" s="1" t="n">
        <v>44510</v>
      </c>
      <c r="C359" s="1" t="n">
        <v>46186</v>
      </c>
      <c r="D359" t="inlineStr">
        <is>
          <t>GOTLANDS LÄN</t>
        </is>
      </c>
      <c r="E359" t="inlineStr">
        <is>
          <t>GOTLAND</t>
        </is>
      </c>
      <c r="G359" t="n">
        <v>4.7</v>
      </c>
      <c r="H359" t="n">
        <v>0</v>
      </c>
      <c r="I359" t="n">
        <v>0</v>
      </c>
      <c r="J359" t="n">
        <v>0</v>
      </c>
      <c r="K359" t="n">
        <v>0</v>
      </c>
      <c r="L359" t="n">
        <v>0</v>
      </c>
      <c r="M359" t="n">
        <v>0</v>
      </c>
      <c r="N359" t="n">
        <v>0</v>
      </c>
      <c r="O359" t="n">
        <v>0</v>
      </c>
      <c r="P359" t="n">
        <v>0</v>
      </c>
      <c r="Q359" t="n">
        <v>0</v>
      </c>
      <c r="R359" s="2" t="inlineStr"/>
    </row>
    <row r="360" ht="15" customHeight="1">
      <c r="A360" t="inlineStr">
        <is>
          <t>A 54268-2022</t>
        </is>
      </c>
      <c r="B360" s="1" t="n">
        <v>44882</v>
      </c>
      <c r="C360" s="1" t="n">
        <v>46186</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46186</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1462-2025</t>
        </is>
      </c>
      <c r="B362" s="1" t="n">
        <v>45670.36319444444</v>
      </c>
      <c r="C362" s="1" t="n">
        <v>46186</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46186</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811-2023</t>
        </is>
      </c>
      <c r="B364" s="1" t="n">
        <v>44931</v>
      </c>
      <c r="C364" s="1" t="n">
        <v>46186</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35290-2025</t>
        </is>
      </c>
      <c r="B365" s="1" t="n">
        <v>45854.38502314815</v>
      </c>
      <c r="C365" s="1" t="n">
        <v>46186</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21396-2026</t>
        </is>
      </c>
      <c r="B366" s="1" t="n">
        <v>46148.30710648148</v>
      </c>
      <c r="C366" s="1" t="n">
        <v>46186</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30104-2025</t>
        </is>
      </c>
      <c r="B367" s="1" t="n">
        <v>45826.68806712963</v>
      </c>
      <c r="C367" s="1" t="n">
        <v>46186</v>
      </c>
      <c r="D367" t="inlineStr">
        <is>
          <t>GOTLANDS LÄN</t>
        </is>
      </c>
      <c r="E367" t="inlineStr">
        <is>
          <t>GOTLAND</t>
        </is>
      </c>
      <c r="G367" t="n">
        <v>15.4</v>
      </c>
      <c r="H367" t="n">
        <v>0</v>
      </c>
      <c r="I367" t="n">
        <v>0</v>
      </c>
      <c r="J367" t="n">
        <v>0</v>
      </c>
      <c r="K367" t="n">
        <v>0</v>
      </c>
      <c r="L367" t="n">
        <v>0</v>
      </c>
      <c r="M367" t="n">
        <v>0</v>
      </c>
      <c r="N367" t="n">
        <v>0</v>
      </c>
      <c r="O367" t="n">
        <v>0</v>
      </c>
      <c r="P367" t="n">
        <v>0</v>
      </c>
      <c r="Q367" t="n">
        <v>0</v>
      </c>
      <c r="R367" s="2" t="inlineStr"/>
    </row>
    <row r="368" ht="15" customHeight="1">
      <c r="A368" t="inlineStr">
        <is>
          <t>A 32669-2024</t>
        </is>
      </c>
      <c r="B368" s="1" t="n">
        <v>45514</v>
      </c>
      <c r="C368" s="1" t="n">
        <v>46186</v>
      </c>
      <c r="D368" t="inlineStr">
        <is>
          <t>GOTLANDS LÄN</t>
        </is>
      </c>
      <c r="E368" t="inlineStr">
        <is>
          <t>GOTLAND</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5905-2024</t>
        </is>
      </c>
      <c r="B369" s="1" t="n">
        <v>45335.88993055555</v>
      </c>
      <c r="C369" s="1" t="n">
        <v>46186</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3431-2025</t>
        </is>
      </c>
      <c r="B370" s="1" t="n">
        <v>45680.42935185185</v>
      </c>
      <c r="C370" s="1" t="n">
        <v>46186</v>
      </c>
      <c r="D370" t="inlineStr">
        <is>
          <t>GOTLANDS LÄN</t>
        </is>
      </c>
      <c r="E370" t="inlineStr">
        <is>
          <t>GOTLAND</t>
        </is>
      </c>
      <c r="G370" t="n">
        <v>4.8</v>
      </c>
      <c r="H370" t="n">
        <v>0</v>
      </c>
      <c r="I370" t="n">
        <v>0</v>
      </c>
      <c r="J370" t="n">
        <v>0</v>
      </c>
      <c r="K370" t="n">
        <v>0</v>
      </c>
      <c r="L370" t="n">
        <v>0</v>
      </c>
      <c r="M370" t="n">
        <v>0</v>
      </c>
      <c r="N370" t="n">
        <v>0</v>
      </c>
      <c r="O370" t="n">
        <v>0</v>
      </c>
      <c r="P370" t="n">
        <v>0</v>
      </c>
      <c r="Q370" t="n">
        <v>0</v>
      </c>
      <c r="R370" s="2" t="inlineStr"/>
    </row>
    <row r="371" ht="15" customHeight="1">
      <c r="A371" t="inlineStr">
        <is>
          <t>A 34407-2023</t>
        </is>
      </c>
      <c r="B371" s="1" t="n">
        <v>45132</v>
      </c>
      <c r="C371" s="1" t="n">
        <v>46186</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30892-2024</t>
        </is>
      </c>
      <c r="B372" s="1" t="n">
        <v>45491</v>
      </c>
      <c r="C372" s="1" t="n">
        <v>46186</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32958-2021</t>
        </is>
      </c>
      <c r="B373" s="1" t="n">
        <v>44376</v>
      </c>
      <c r="C373" s="1" t="n">
        <v>46186</v>
      </c>
      <c r="D373" t="inlineStr">
        <is>
          <t>GOTLANDS LÄN</t>
        </is>
      </c>
      <c r="E373" t="inlineStr">
        <is>
          <t>GOTLAND</t>
        </is>
      </c>
      <c r="G373" t="n">
        <v>2.2</v>
      </c>
      <c r="H373" t="n">
        <v>0</v>
      </c>
      <c r="I373" t="n">
        <v>0</v>
      </c>
      <c r="J373" t="n">
        <v>0</v>
      </c>
      <c r="K373" t="n">
        <v>0</v>
      </c>
      <c r="L373" t="n">
        <v>0</v>
      </c>
      <c r="M373" t="n">
        <v>0</v>
      </c>
      <c r="N373" t="n">
        <v>0</v>
      </c>
      <c r="O373" t="n">
        <v>0</v>
      </c>
      <c r="P373" t="n">
        <v>0</v>
      </c>
      <c r="Q373" t="n">
        <v>0</v>
      </c>
      <c r="R373" s="2" t="inlineStr"/>
    </row>
    <row r="374" ht="15" customHeight="1">
      <c r="A374" t="inlineStr">
        <is>
          <t>A 7858-2025</t>
        </is>
      </c>
      <c r="B374" s="1" t="n">
        <v>45706.68633101852</v>
      </c>
      <c r="C374" s="1" t="n">
        <v>46186</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46545-2024</t>
        </is>
      </c>
      <c r="B375" s="1" t="n">
        <v>45582.65831018519</v>
      </c>
      <c r="C375" s="1" t="n">
        <v>46186</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4662-2026</t>
        </is>
      </c>
      <c r="B376" s="1" t="n">
        <v>46048.40949074074</v>
      </c>
      <c r="C376" s="1" t="n">
        <v>46186</v>
      </c>
      <c r="D376" t="inlineStr">
        <is>
          <t>GOTLANDS LÄN</t>
        </is>
      </c>
      <c r="E376" t="inlineStr">
        <is>
          <t>GOTLAND</t>
        </is>
      </c>
      <c r="G376" t="n">
        <v>7.6</v>
      </c>
      <c r="H376" t="n">
        <v>0</v>
      </c>
      <c r="I376" t="n">
        <v>0</v>
      </c>
      <c r="J376" t="n">
        <v>0</v>
      </c>
      <c r="K376" t="n">
        <v>0</v>
      </c>
      <c r="L376" t="n">
        <v>0</v>
      </c>
      <c r="M376" t="n">
        <v>0</v>
      </c>
      <c r="N376" t="n">
        <v>0</v>
      </c>
      <c r="O376" t="n">
        <v>0</v>
      </c>
      <c r="P376" t="n">
        <v>0</v>
      </c>
      <c r="Q376" t="n">
        <v>0</v>
      </c>
      <c r="R376" s="2" t="inlineStr"/>
    </row>
    <row r="377" ht="15" customHeight="1">
      <c r="A377" t="inlineStr">
        <is>
          <t>A 999-2023</t>
        </is>
      </c>
      <c r="B377" s="1" t="n">
        <v>44935</v>
      </c>
      <c r="C377" s="1" t="n">
        <v>46186</v>
      </c>
      <c r="D377" t="inlineStr">
        <is>
          <t>GOTLANDS LÄN</t>
        </is>
      </c>
      <c r="E377" t="inlineStr">
        <is>
          <t>GOTLAND</t>
        </is>
      </c>
      <c r="G377" t="n">
        <v>4.7</v>
      </c>
      <c r="H377" t="n">
        <v>0</v>
      </c>
      <c r="I377" t="n">
        <v>0</v>
      </c>
      <c r="J377" t="n">
        <v>0</v>
      </c>
      <c r="K377" t="n">
        <v>0</v>
      </c>
      <c r="L377" t="n">
        <v>0</v>
      </c>
      <c r="M377" t="n">
        <v>0</v>
      </c>
      <c r="N377" t="n">
        <v>0</v>
      </c>
      <c r="O377" t="n">
        <v>0</v>
      </c>
      <c r="P377" t="n">
        <v>0</v>
      </c>
      <c r="Q377" t="n">
        <v>0</v>
      </c>
      <c r="R377" s="2" t="inlineStr"/>
    </row>
    <row r="378" ht="15" customHeight="1">
      <c r="A378" t="inlineStr">
        <is>
          <t>A 2125-2025</t>
        </is>
      </c>
      <c r="B378" s="1" t="n">
        <v>45672.64940972222</v>
      </c>
      <c r="C378" s="1" t="n">
        <v>46186</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22351-2026</t>
        </is>
      </c>
      <c r="B379" s="1" t="n">
        <v>46154.58350694444</v>
      </c>
      <c r="C379" s="1" t="n">
        <v>46186</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22348-2026</t>
        </is>
      </c>
      <c r="B380" s="1" t="n">
        <v>46154.58071759259</v>
      </c>
      <c r="C380" s="1" t="n">
        <v>46186</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12155-2023</t>
        </is>
      </c>
      <c r="B381" s="1" t="n">
        <v>44998.49106481481</v>
      </c>
      <c r="C381" s="1" t="n">
        <v>46186</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22275-2026</t>
        </is>
      </c>
      <c r="B382" s="1" t="n">
        <v>46154.41924768518</v>
      </c>
      <c r="C382" s="1" t="n">
        <v>46186</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2774-2024</t>
        </is>
      </c>
      <c r="B383" s="1" t="n">
        <v>45314.62375</v>
      </c>
      <c r="C383" s="1" t="n">
        <v>46186</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9947-2024</t>
        </is>
      </c>
      <c r="B384" s="1" t="n">
        <v>45363</v>
      </c>
      <c r="C384" s="1" t="n">
        <v>46186</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42007-2023</t>
        </is>
      </c>
      <c r="B385" s="1" t="n">
        <v>45177</v>
      </c>
      <c r="C385" s="1" t="n">
        <v>46186</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17000-2026</t>
        </is>
      </c>
      <c r="B386" s="1" t="n">
        <v>46114.42690972222</v>
      </c>
      <c r="C386" s="1" t="n">
        <v>46186</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16993-2026</t>
        </is>
      </c>
      <c r="B387" s="1" t="n">
        <v>46114.41918981481</v>
      </c>
      <c r="C387" s="1" t="n">
        <v>46186</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46186</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46186</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46186</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46186</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46186</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18742-2025</t>
        </is>
      </c>
      <c r="B393" s="1" t="n">
        <v>45763</v>
      </c>
      <c r="C393" s="1" t="n">
        <v>46186</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35129-2025</t>
        </is>
      </c>
      <c r="B394" s="1" t="n">
        <v>45852.63224537037</v>
      </c>
      <c r="C394" s="1" t="n">
        <v>46186</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15083-2025</t>
        </is>
      </c>
      <c r="B395" s="1" t="n">
        <v>45743</v>
      </c>
      <c r="C395" s="1" t="n">
        <v>46186</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22887-2026</t>
        </is>
      </c>
      <c r="B396" s="1" t="n">
        <v>46160.47591435185</v>
      </c>
      <c r="C396" s="1" t="n">
        <v>46186</v>
      </c>
      <c r="D396" t="inlineStr">
        <is>
          <t>GOTLANDS LÄN</t>
        </is>
      </c>
      <c r="E396" t="inlineStr">
        <is>
          <t>GOTLAND</t>
        </is>
      </c>
      <c r="G396" t="n">
        <v>3.6</v>
      </c>
      <c r="H396" t="n">
        <v>0</v>
      </c>
      <c r="I396" t="n">
        <v>0</v>
      </c>
      <c r="J396" t="n">
        <v>0</v>
      </c>
      <c r="K396" t="n">
        <v>0</v>
      </c>
      <c r="L396" t="n">
        <v>0</v>
      </c>
      <c r="M396" t="n">
        <v>0</v>
      </c>
      <c r="N396" t="n">
        <v>0</v>
      </c>
      <c r="O396" t="n">
        <v>0</v>
      </c>
      <c r="P396" t="n">
        <v>0</v>
      </c>
      <c r="Q396" t="n">
        <v>0</v>
      </c>
      <c r="R396" s="2" t="inlineStr"/>
    </row>
    <row r="397" ht="15" customHeight="1">
      <c r="A397" t="inlineStr">
        <is>
          <t>A 23103-2026</t>
        </is>
      </c>
      <c r="B397" s="1" t="n">
        <v>46161.57108796296</v>
      </c>
      <c r="C397" s="1" t="n">
        <v>46186</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23504-2026</t>
        </is>
      </c>
      <c r="B398" s="1" t="n">
        <v>46163.45875</v>
      </c>
      <c r="C398" s="1" t="n">
        <v>46186</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1066-2024</t>
        </is>
      </c>
      <c r="B399" s="1" t="n">
        <v>45302.285</v>
      </c>
      <c r="C399" s="1" t="n">
        <v>46186</v>
      </c>
      <c r="D399" t="inlineStr">
        <is>
          <t>GOTLANDS LÄN</t>
        </is>
      </c>
      <c r="E399" t="inlineStr">
        <is>
          <t>GOTLAND</t>
        </is>
      </c>
      <c r="G399" t="n">
        <v>1.4</v>
      </c>
      <c r="H399" t="n">
        <v>0</v>
      </c>
      <c r="I399" t="n">
        <v>0</v>
      </c>
      <c r="J399" t="n">
        <v>0</v>
      </c>
      <c r="K399" t="n">
        <v>0</v>
      </c>
      <c r="L399" t="n">
        <v>0</v>
      </c>
      <c r="M399" t="n">
        <v>0</v>
      </c>
      <c r="N399" t="n">
        <v>0</v>
      </c>
      <c r="O399" t="n">
        <v>0</v>
      </c>
      <c r="P399" t="n">
        <v>0</v>
      </c>
      <c r="Q399" t="n">
        <v>0</v>
      </c>
      <c r="R399" s="2" t="inlineStr"/>
    </row>
    <row r="400" ht="15" customHeight="1">
      <c r="A400" t="inlineStr">
        <is>
          <t>A 37202-2024</t>
        </is>
      </c>
      <c r="B400" s="1" t="n">
        <v>45539.67310185185</v>
      </c>
      <c r="C400" s="1" t="n">
        <v>46186</v>
      </c>
      <c r="D400" t="inlineStr">
        <is>
          <t>GOTLANDS LÄN</t>
        </is>
      </c>
      <c r="E400" t="inlineStr">
        <is>
          <t>GOTLAND</t>
        </is>
      </c>
      <c r="G400" t="n">
        <v>0.3</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46186</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46400-2023</t>
        </is>
      </c>
      <c r="B402" s="1" t="n">
        <v>45197.49290509259</v>
      </c>
      <c r="C402" s="1" t="n">
        <v>46186</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46186</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30489-2025</t>
        </is>
      </c>
      <c r="B404" s="1" t="n">
        <v>45830</v>
      </c>
      <c r="C404" s="1" t="n">
        <v>46186</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21142-2025</t>
        </is>
      </c>
      <c r="B405" s="1" t="n">
        <v>45779</v>
      </c>
      <c r="C405" s="1" t="n">
        <v>46186</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6108-2025</t>
        </is>
      </c>
      <c r="B406" s="1" t="n">
        <v>45698.29880787037</v>
      </c>
      <c r="C406" s="1" t="n">
        <v>46186</v>
      </c>
      <c r="D406" t="inlineStr">
        <is>
          <t>GOTLANDS LÄN</t>
        </is>
      </c>
      <c r="E406" t="inlineStr">
        <is>
          <t>GOTLAND</t>
        </is>
      </c>
      <c r="G406" t="n">
        <v>2.8</v>
      </c>
      <c r="H406" t="n">
        <v>0</v>
      </c>
      <c r="I406" t="n">
        <v>0</v>
      </c>
      <c r="J406" t="n">
        <v>0</v>
      </c>
      <c r="K406" t="n">
        <v>0</v>
      </c>
      <c r="L406" t="n">
        <v>0</v>
      </c>
      <c r="M406" t="n">
        <v>0</v>
      </c>
      <c r="N406" t="n">
        <v>0</v>
      </c>
      <c r="O406" t="n">
        <v>0</v>
      </c>
      <c r="P406" t="n">
        <v>0</v>
      </c>
      <c r="Q406" t="n">
        <v>0</v>
      </c>
      <c r="R406" s="2" t="inlineStr"/>
    </row>
    <row r="407" ht="15" customHeight="1">
      <c r="A407" t="inlineStr">
        <is>
          <t>A 17343-2025</t>
        </is>
      </c>
      <c r="B407" s="1" t="n">
        <v>45756.6687037037</v>
      </c>
      <c r="C407" s="1" t="n">
        <v>46186</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46186</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20307-2025</t>
        </is>
      </c>
      <c r="B409" s="1" t="n">
        <v>45774.95546296296</v>
      </c>
      <c r="C409" s="1" t="n">
        <v>46186</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44919-2022</t>
        </is>
      </c>
      <c r="B410" s="1" t="n">
        <v>44841</v>
      </c>
      <c r="C410" s="1" t="n">
        <v>46186</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16501-2023</t>
        </is>
      </c>
      <c r="B411" s="1" t="n">
        <v>45029</v>
      </c>
      <c r="C411" s="1" t="n">
        <v>46186</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27095-2022</t>
        </is>
      </c>
      <c r="B412" s="1" t="n">
        <v>44741</v>
      </c>
      <c r="C412" s="1" t="n">
        <v>46186</v>
      </c>
      <c r="D412" t="inlineStr">
        <is>
          <t>GOTLANDS LÄN</t>
        </is>
      </c>
      <c r="E412" t="inlineStr">
        <is>
          <t>GOTLAND</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1291-2023</t>
        </is>
      </c>
      <c r="B413" s="1" t="n">
        <v>44936.47561342592</v>
      </c>
      <c r="C413" s="1" t="n">
        <v>46186</v>
      </c>
      <c r="D413" t="inlineStr">
        <is>
          <t>GOTLANDS LÄN</t>
        </is>
      </c>
      <c r="E413" t="inlineStr">
        <is>
          <t>GOTLAND</t>
        </is>
      </c>
      <c r="G413" t="n">
        <v>7.4</v>
      </c>
      <c r="H413" t="n">
        <v>0</v>
      </c>
      <c r="I413" t="n">
        <v>0</v>
      </c>
      <c r="J413" t="n">
        <v>0</v>
      </c>
      <c r="K413" t="n">
        <v>0</v>
      </c>
      <c r="L413" t="n">
        <v>0</v>
      </c>
      <c r="M413" t="n">
        <v>0</v>
      </c>
      <c r="N413" t="n">
        <v>0</v>
      </c>
      <c r="O413" t="n">
        <v>0</v>
      </c>
      <c r="P413" t="n">
        <v>0</v>
      </c>
      <c r="Q413" t="n">
        <v>0</v>
      </c>
      <c r="R413" s="2" t="inlineStr"/>
    </row>
    <row r="414" ht="15" customHeight="1">
      <c r="A414" t="inlineStr">
        <is>
          <t>A 5891-2025</t>
        </is>
      </c>
      <c r="B414" s="1" t="n">
        <v>45695.38327546296</v>
      </c>
      <c r="C414" s="1" t="n">
        <v>46186</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2719-2023</t>
        </is>
      </c>
      <c r="B415" s="1" t="n">
        <v>44944.55361111111</v>
      </c>
      <c r="C415" s="1" t="n">
        <v>46186</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49314-2024</t>
        </is>
      </c>
      <c r="B416" s="1" t="n">
        <v>45595.55893518519</v>
      </c>
      <c r="C416" s="1" t="n">
        <v>46186</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29809-2022</t>
        </is>
      </c>
      <c r="B417" s="1" t="n">
        <v>44755.8713425926</v>
      </c>
      <c r="C417" s="1" t="n">
        <v>46186</v>
      </c>
      <c r="D417" t="inlineStr">
        <is>
          <t>GOTLANDS LÄN</t>
        </is>
      </c>
      <c r="E417" t="inlineStr">
        <is>
          <t>GOTLAND</t>
        </is>
      </c>
      <c r="G417" t="n">
        <v>11.5</v>
      </c>
      <c r="H417" t="n">
        <v>0</v>
      </c>
      <c r="I417" t="n">
        <v>0</v>
      </c>
      <c r="J417" t="n">
        <v>0</v>
      </c>
      <c r="K417" t="n">
        <v>0</v>
      </c>
      <c r="L417" t="n">
        <v>0</v>
      </c>
      <c r="M417" t="n">
        <v>0</v>
      </c>
      <c r="N417" t="n">
        <v>0</v>
      </c>
      <c r="O417" t="n">
        <v>0</v>
      </c>
      <c r="P417" t="n">
        <v>0</v>
      </c>
      <c r="Q417" t="n">
        <v>0</v>
      </c>
      <c r="R417" s="2" t="inlineStr"/>
    </row>
    <row r="418" ht="15" customHeight="1">
      <c r="A418" t="inlineStr">
        <is>
          <t>A 18804-2026</t>
        </is>
      </c>
      <c r="B418" s="1" t="n">
        <v>46128.62366898148</v>
      </c>
      <c r="C418" s="1" t="n">
        <v>46186</v>
      </c>
      <c r="D418" t="inlineStr">
        <is>
          <t>GOTLANDS LÄN</t>
        </is>
      </c>
      <c r="E418" t="inlineStr">
        <is>
          <t>GOTLAND</t>
        </is>
      </c>
      <c r="F418" t="inlineStr">
        <is>
          <t>Kyrkan</t>
        </is>
      </c>
      <c r="G418" t="n">
        <v>2.6</v>
      </c>
      <c r="H418" t="n">
        <v>0</v>
      </c>
      <c r="I418" t="n">
        <v>0</v>
      </c>
      <c r="J418" t="n">
        <v>0</v>
      </c>
      <c r="K418" t="n">
        <v>0</v>
      </c>
      <c r="L418" t="n">
        <v>0</v>
      </c>
      <c r="M418" t="n">
        <v>0</v>
      </c>
      <c r="N418" t="n">
        <v>0</v>
      </c>
      <c r="O418" t="n">
        <v>0</v>
      </c>
      <c r="P418" t="n">
        <v>0</v>
      </c>
      <c r="Q418" t="n">
        <v>0</v>
      </c>
      <c r="R418" s="2" t="inlineStr"/>
    </row>
    <row r="419" ht="15" customHeight="1">
      <c r="A419" t="inlineStr">
        <is>
          <t>A 4639-2026</t>
        </is>
      </c>
      <c r="B419" s="1" t="n">
        <v>46048.39880787037</v>
      </c>
      <c r="C419" s="1" t="n">
        <v>46186</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24448-2026</t>
        </is>
      </c>
      <c r="B420" s="1" t="n">
        <v>46170.35354166666</v>
      </c>
      <c r="C420" s="1" t="n">
        <v>46186</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62836-2025</t>
        </is>
      </c>
      <c r="B421" s="1" t="n">
        <v>46008</v>
      </c>
      <c r="C421" s="1" t="n">
        <v>46186</v>
      </c>
      <c r="D421" t="inlineStr">
        <is>
          <t>GOTLANDS LÄN</t>
        </is>
      </c>
      <c r="E421" t="inlineStr">
        <is>
          <t>GOTLAND</t>
        </is>
      </c>
      <c r="G421" t="n">
        <v>6.5</v>
      </c>
      <c r="H421" t="n">
        <v>0</v>
      </c>
      <c r="I421" t="n">
        <v>0</v>
      </c>
      <c r="J421" t="n">
        <v>0</v>
      </c>
      <c r="K421" t="n">
        <v>0</v>
      </c>
      <c r="L421" t="n">
        <v>0</v>
      </c>
      <c r="M421" t="n">
        <v>0</v>
      </c>
      <c r="N421" t="n">
        <v>0</v>
      </c>
      <c r="O421" t="n">
        <v>0</v>
      </c>
      <c r="P421" t="n">
        <v>0</v>
      </c>
      <c r="Q421" t="n">
        <v>0</v>
      </c>
      <c r="R421" s="2" t="inlineStr"/>
    </row>
    <row r="422" ht="15" customHeight="1">
      <c r="A422" t="inlineStr">
        <is>
          <t>A 16361-2024</t>
        </is>
      </c>
      <c r="B422" s="1" t="n">
        <v>45407</v>
      </c>
      <c r="C422" s="1" t="n">
        <v>46186</v>
      </c>
      <c r="D422" t="inlineStr">
        <is>
          <t>GOTLANDS LÄN</t>
        </is>
      </c>
      <c r="E422" t="inlineStr">
        <is>
          <t>GOTLAND</t>
        </is>
      </c>
      <c r="G422" t="n">
        <v>6</v>
      </c>
      <c r="H422" t="n">
        <v>0</v>
      </c>
      <c r="I422" t="n">
        <v>0</v>
      </c>
      <c r="J422" t="n">
        <v>0</v>
      </c>
      <c r="K422" t="n">
        <v>0</v>
      </c>
      <c r="L422" t="n">
        <v>0</v>
      </c>
      <c r="M422" t="n">
        <v>0</v>
      </c>
      <c r="N422" t="n">
        <v>0</v>
      </c>
      <c r="O422" t="n">
        <v>0</v>
      </c>
      <c r="P422" t="n">
        <v>0</v>
      </c>
      <c r="Q422" t="n">
        <v>0</v>
      </c>
      <c r="R422" s="2" t="inlineStr"/>
    </row>
    <row r="423" ht="15" customHeight="1">
      <c r="A423" t="inlineStr">
        <is>
          <t>A 43081-2022</t>
        </is>
      </c>
      <c r="B423" s="1" t="n">
        <v>44833</v>
      </c>
      <c r="C423" s="1" t="n">
        <v>46186</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19322-2026</t>
        </is>
      </c>
      <c r="B424" s="1" t="n">
        <v>46129</v>
      </c>
      <c r="C424" s="1" t="n">
        <v>46186</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1175-2025</t>
        </is>
      </c>
      <c r="B425" s="1" t="n">
        <v>45667.34449074074</v>
      </c>
      <c r="C425" s="1" t="n">
        <v>46186</v>
      </c>
      <c r="D425" t="inlineStr">
        <is>
          <t>GOTLANDS LÄN</t>
        </is>
      </c>
      <c r="E425" t="inlineStr">
        <is>
          <t>GOTLAND</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3150-2025</t>
        </is>
      </c>
      <c r="B426" s="1" t="n">
        <v>45679.28974537037</v>
      </c>
      <c r="C426" s="1" t="n">
        <v>46186</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17943-2026</t>
        </is>
      </c>
      <c r="B427" s="1" t="n">
        <v>46122</v>
      </c>
      <c r="C427" s="1" t="n">
        <v>46186</v>
      </c>
      <c r="D427" t="inlineStr">
        <is>
          <t>GOTLANDS LÄN</t>
        </is>
      </c>
      <c r="E427" t="inlineStr">
        <is>
          <t>GOTLAND</t>
        </is>
      </c>
      <c r="G427" t="n">
        <v>2.8</v>
      </c>
      <c r="H427" t="n">
        <v>0</v>
      </c>
      <c r="I427" t="n">
        <v>0</v>
      </c>
      <c r="J427" t="n">
        <v>0</v>
      </c>
      <c r="K427" t="n">
        <v>0</v>
      </c>
      <c r="L427" t="n">
        <v>0</v>
      </c>
      <c r="M427" t="n">
        <v>0</v>
      </c>
      <c r="N427" t="n">
        <v>0</v>
      </c>
      <c r="O427" t="n">
        <v>0</v>
      </c>
      <c r="P427" t="n">
        <v>0</v>
      </c>
      <c r="Q427" t="n">
        <v>0</v>
      </c>
      <c r="R427" s="2" t="inlineStr"/>
    </row>
    <row r="428" ht="15" customHeight="1">
      <c r="A428" t="inlineStr">
        <is>
          <t>A 42041-2024</t>
        </is>
      </c>
      <c r="B428" s="1" t="n">
        <v>45561</v>
      </c>
      <c r="C428" s="1" t="n">
        <v>46186</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12599-2025</t>
        </is>
      </c>
      <c r="B429" s="1" t="n">
        <v>45733.29546296296</v>
      </c>
      <c r="C429" s="1" t="n">
        <v>46186</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5863-2026</t>
        </is>
      </c>
      <c r="B430" s="1" t="n">
        <v>46052</v>
      </c>
      <c r="C430" s="1" t="n">
        <v>46186</v>
      </c>
      <c r="D430" t="inlineStr">
        <is>
          <t>GOTLANDS LÄN</t>
        </is>
      </c>
      <c r="E430" t="inlineStr">
        <is>
          <t>GOTLAND</t>
        </is>
      </c>
      <c r="G430" t="n">
        <v>1.8</v>
      </c>
      <c r="H430" t="n">
        <v>0</v>
      </c>
      <c r="I430" t="n">
        <v>0</v>
      </c>
      <c r="J430" t="n">
        <v>0</v>
      </c>
      <c r="K430" t="n">
        <v>0</v>
      </c>
      <c r="L430" t="n">
        <v>0</v>
      </c>
      <c r="M430" t="n">
        <v>0</v>
      </c>
      <c r="N430" t="n">
        <v>0</v>
      </c>
      <c r="O430" t="n">
        <v>0</v>
      </c>
      <c r="P430" t="n">
        <v>0</v>
      </c>
      <c r="Q430" t="n">
        <v>0</v>
      </c>
      <c r="R430" s="2" t="inlineStr"/>
    </row>
    <row r="431" ht="15" customHeight="1">
      <c r="A431" t="inlineStr">
        <is>
          <t>A 7625-2026</t>
        </is>
      </c>
      <c r="B431" s="1" t="n">
        <v>46062.35135416667</v>
      </c>
      <c r="C431" s="1" t="n">
        <v>46186</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62754-2025</t>
        </is>
      </c>
      <c r="B432" s="1" t="n">
        <v>46008</v>
      </c>
      <c r="C432" s="1" t="n">
        <v>46186</v>
      </c>
      <c r="D432" t="inlineStr">
        <is>
          <t>GOTLANDS LÄN</t>
        </is>
      </c>
      <c r="E432" t="inlineStr">
        <is>
          <t>GOTLAND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46186</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26467-2025</t>
        </is>
      </c>
      <c r="B434" s="1" t="n">
        <v>45807.44640046296</v>
      </c>
      <c r="C434" s="1" t="n">
        <v>46186</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46186</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63516-2023</t>
        </is>
      </c>
      <c r="B436" s="1" t="n">
        <v>45274</v>
      </c>
      <c r="C436" s="1" t="n">
        <v>46186</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53935-2024</t>
        </is>
      </c>
      <c r="B437" s="1" t="n">
        <v>45615</v>
      </c>
      <c r="C437" s="1" t="n">
        <v>46186</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25796-2025</t>
        </is>
      </c>
      <c r="B438" s="1" t="n">
        <v>45804.39543981481</v>
      </c>
      <c r="C438" s="1" t="n">
        <v>46186</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1854-2026</t>
        </is>
      </c>
      <c r="B439" s="1" t="n">
        <v>46035</v>
      </c>
      <c r="C439" s="1" t="n">
        <v>46186</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46186</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48734-2022</t>
        </is>
      </c>
      <c r="B441" s="1" t="n">
        <v>44855</v>
      </c>
      <c r="C441" s="1" t="n">
        <v>46186</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23516-2023</t>
        </is>
      </c>
      <c r="B442" s="1" t="n">
        <v>45076.93391203704</v>
      </c>
      <c r="C442" s="1" t="n">
        <v>46186</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43231-2023</t>
        </is>
      </c>
      <c r="B443" s="1" t="n">
        <v>45183.47025462963</v>
      </c>
      <c r="C443" s="1" t="n">
        <v>46186</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64555-2023</t>
        </is>
      </c>
      <c r="B444" s="1" t="n">
        <v>45281</v>
      </c>
      <c r="C444" s="1" t="n">
        <v>46186</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457-2023</t>
        </is>
      </c>
      <c r="B445" s="1" t="n">
        <v>44929.87238425926</v>
      </c>
      <c r="C445" s="1" t="n">
        <v>46186</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459-2023</t>
        </is>
      </c>
      <c r="B446" s="1" t="n">
        <v>44929.87423611111</v>
      </c>
      <c r="C446" s="1" t="n">
        <v>46186</v>
      </c>
      <c r="D446" t="inlineStr">
        <is>
          <t>GOTLANDS LÄN</t>
        </is>
      </c>
      <c r="E446" t="inlineStr">
        <is>
          <t>GOTLAND</t>
        </is>
      </c>
      <c r="G446" t="n">
        <v>4.2</v>
      </c>
      <c r="H446" t="n">
        <v>0</v>
      </c>
      <c r="I446" t="n">
        <v>0</v>
      </c>
      <c r="J446" t="n">
        <v>0</v>
      </c>
      <c r="K446" t="n">
        <v>0</v>
      </c>
      <c r="L446" t="n">
        <v>0</v>
      </c>
      <c r="M446" t="n">
        <v>0</v>
      </c>
      <c r="N446" t="n">
        <v>0</v>
      </c>
      <c r="O446" t="n">
        <v>0</v>
      </c>
      <c r="P446" t="n">
        <v>0</v>
      </c>
      <c r="Q446" t="n">
        <v>0</v>
      </c>
      <c r="R446" s="2" t="inlineStr"/>
    </row>
    <row r="447" ht="15" customHeight="1">
      <c r="A447" t="inlineStr">
        <is>
          <t>A 876-2024</t>
        </is>
      </c>
      <c r="B447" s="1" t="n">
        <v>45301</v>
      </c>
      <c r="C447" s="1" t="n">
        <v>46186</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26891-2024</t>
        </is>
      </c>
      <c r="B448" s="1" t="n">
        <v>45470.65540509259</v>
      </c>
      <c r="C448" s="1" t="n">
        <v>46186</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5923-2023</t>
        </is>
      </c>
      <c r="B449" s="1" t="n">
        <v>44963.69503472222</v>
      </c>
      <c r="C449" s="1" t="n">
        <v>46186</v>
      </c>
      <c r="D449" t="inlineStr">
        <is>
          <t>GOTLANDS LÄN</t>
        </is>
      </c>
      <c r="E449" t="inlineStr">
        <is>
          <t>GOTLAND</t>
        </is>
      </c>
      <c r="G449" t="n">
        <v>2.6</v>
      </c>
      <c r="H449" t="n">
        <v>0</v>
      </c>
      <c r="I449" t="n">
        <v>0</v>
      </c>
      <c r="J449" t="n">
        <v>0</v>
      </c>
      <c r="K449" t="n">
        <v>0</v>
      </c>
      <c r="L449" t="n">
        <v>0</v>
      </c>
      <c r="M449" t="n">
        <v>0</v>
      </c>
      <c r="N449" t="n">
        <v>0</v>
      </c>
      <c r="O449" t="n">
        <v>0</v>
      </c>
      <c r="P449" t="n">
        <v>0</v>
      </c>
      <c r="Q449" t="n">
        <v>0</v>
      </c>
      <c r="R449" s="2" t="inlineStr"/>
    </row>
    <row r="450" ht="15" customHeight="1">
      <c r="A450" t="inlineStr">
        <is>
          <t>A 50482-2024</t>
        </is>
      </c>
      <c r="B450" s="1" t="n">
        <v>45601.48114583334</v>
      </c>
      <c r="C450" s="1" t="n">
        <v>46186</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2180-2025</t>
        </is>
      </c>
      <c r="B451" s="1" t="n">
        <v>45673</v>
      </c>
      <c r="C451" s="1" t="n">
        <v>46186</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5943-2024</t>
        </is>
      </c>
      <c r="B452" s="1" t="n">
        <v>45336</v>
      </c>
      <c r="C452" s="1" t="n">
        <v>46186</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38234-2023</t>
        </is>
      </c>
      <c r="B453" s="1" t="n">
        <v>45161.56663194444</v>
      </c>
      <c r="C453" s="1" t="n">
        <v>46186</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1273-2023</t>
        </is>
      </c>
      <c r="B454" s="1" t="n">
        <v>44936</v>
      </c>
      <c r="C454" s="1" t="n">
        <v>46186</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13910-2025</t>
        </is>
      </c>
      <c r="B455" s="1" t="n">
        <v>45737</v>
      </c>
      <c r="C455" s="1" t="n">
        <v>46186</v>
      </c>
      <c r="D455" t="inlineStr">
        <is>
          <t>GOTLANDS LÄN</t>
        </is>
      </c>
      <c r="E455" t="inlineStr">
        <is>
          <t>GOTLAND</t>
        </is>
      </c>
      <c r="F455" t="inlineStr">
        <is>
          <t>Kommuner</t>
        </is>
      </c>
      <c r="G455" t="n">
        <v>3.2</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46186</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23978-2023</t>
        </is>
      </c>
      <c r="B457" s="1" t="n">
        <v>45078</v>
      </c>
      <c r="C457" s="1" t="n">
        <v>46186</v>
      </c>
      <c r="D457" t="inlineStr">
        <is>
          <t>GOTLANDS LÄN</t>
        </is>
      </c>
      <c r="E457" t="inlineStr">
        <is>
          <t>GOTLAND</t>
        </is>
      </c>
      <c r="F457" t="inlineStr">
        <is>
          <t>Naturvårdsverket</t>
        </is>
      </c>
      <c r="G457" t="n">
        <v>1.7</v>
      </c>
      <c r="H457" t="n">
        <v>0</v>
      </c>
      <c r="I457" t="n">
        <v>0</v>
      </c>
      <c r="J457" t="n">
        <v>0</v>
      </c>
      <c r="K457" t="n">
        <v>0</v>
      </c>
      <c r="L457" t="n">
        <v>0</v>
      </c>
      <c r="M457" t="n">
        <v>0</v>
      </c>
      <c r="N457" t="n">
        <v>0</v>
      </c>
      <c r="O457" t="n">
        <v>0</v>
      </c>
      <c r="P457" t="n">
        <v>0</v>
      </c>
      <c r="Q457" t="n">
        <v>0</v>
      </c>
      <c r="R457" s="2" t="inlineStr"/>
    </row>
    <row r="458" ht="15" customHeight="1">
      <c r="A458" t="inlineStr">
        <is>
          <t>A 49884-2023</t>
        </is>
      </c>
      <c r="B458" s="1" t="n">
        <v>45213</v>
      </c>
      <c r="C458" s="1" t="n">
        <v>46186</v>
      </c>
      <c r="D458" t="inlineStr">
        <is>
          <t>GOTLANDS LÄN</t>
        </is>
      </c>
      <c r="E458" t="inlineStr">
        <is>
          <t>GOTLAND</t>
        </is>
      </c>
      <c r="G458" t="n">
        <v>8.9</v>
      </c>
      <c r="H458" t="n">
        <v>0</v>
      </c>
      <c r="I458" t="n">
        <v>0</v>
      </c>
      <c r="J458" t="n">
        <v>0</v>
      </c>
      <c r="K458" t="n">
        <v>0</v>
      </c>
      <c r="L458" t="n">
        <v>0</v>
      </c>
      <c r="M458" t="n">
        <v>0</v>
      </c>
      <c r="N458" t="n">
        <v>0</v>
      </c>
      <c r="O458" t="n">
        <v>0</v>
      </c>
      <c r="P458" t="n">
        <v>0</v>
      </c>
      <c r="Q458" t="n">
        <v>0</v>
      </c>
      <c r="R458" s="2" t="inlineStr"/>
    </row>
    <row r="459" ht="15" customHeight="1">
      <c r="A459" t="inlineStr">
        <is>
          <t>A 12846-2025</t>
        </is>
      </c>
      <c r="B459" s="1" t="n">
        <v>45733.65049768519</v>
      </c>
      <c r="C459" s="1" t="n">
        <v>46186</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45112-2024</t>
        </is>
      </c>
      <c r="B460" s="1" t="n">
        <v>45575</v>
      </c>
      <c r="C460" s="1" t="n">
        <v>46186</v>
      </c>
      <c r="D460" t="inlineStr">
        <is>
          <t>GOTLANDS LÄN</t>
        </is>
      </c>
      <c r="E460" t="inlineStr">
        <is>
          <t>GOTLAND</t>
        </is>
      </c>
      <c r="G460" t="n">
        <v>5.1</v>
      </c>
      <c r="H460" t="n">
        <v>0</v>
      </c>
      <c r="I460" t="n">
        <v>0</v>
      </c>
      <c r="J460" t="n">
        <v>0</v>
      </c>
      <c r="K460" t="n">
        <v>0</v>
      </c>
      <c r="L460" t="n">
        <v>0</v>
      </c>
      <c r="M460" t="n">
        <v>0</v>
      </c>
      <c r="N460" t="n">
        <v>0</v>
      </c>
      <c r="O460" t="n">
        <v>0</v>
      </c>
      <c r="P460" t="n">
        <v>0</v>
      </c>
      <c r="Q460" t="n">
        <v>0</v>
      </c>
      <c r="R460" s="2" t="inlineStr"/>
    </row>
    <row r="461" ht="15" customHeight="1">
      <c r="A461" t="inlineStr">
        <is>
          <t>A 43200-2023</t>
        </is>
      </c>
      <c r="B461" s="1" t="n">
        <v>45183</v>
      </c>
      <c r="C461" s="1" t="n">
        <v>46186</v>
      </c>
      <c r="D461" t="inlineStr">
        <is>
          <t>GOTLANDS LÄN</t>
        </is>
      </c>
      <c r="E461" t="inlineStr">
        <is>
          <t>GOTLAND</t>
        </is>
      </c>
      <c r="G461" t="n">
        <v>0.5</v>
      </c>
      <c r="H461" t="n">
        <v>0</v>
      </c>
      <c r="I461" t="n">
        <v>0</v>
      </c>
      <c r="J461" t="n">
        <v>0</v>
      </c>
      <c r="K461" t="n">
        <v>0</v>
      </c>
      <c r="L461" t="n">
        <v>0</v>
      </c>
      <c r="M461" t="n">
        <v>0</v>
      </c>
      <c r="N461" t="n">
        <v>0</v>
      </c>
      <c r="O461" t="n">
        <v>0</v>
      </c>
      <c r="P461" t="n">
        <v>0</v>
      </c>
      <c r="Q461" t="n">
        <v>0</v>
      </c>
      <c r="R461" s="2" t="inlineStr"/>
    </row>
    <row r="462" ht="15" customHeight="1">
      <c r="A462" t="inlineStr">
        <is>
          <t>A 48843-2024</t>
        </is>
      </c>
      <c r="B462" s="1" t="n">
        <v>45593</v>
      </c>
      <c r="C462" s="1" t="n">
        <v>46186</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46186</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20225-2025</t>
        </is>
      </c>
      <c r="B464" s="1" t="n">
        <v>45772.65802083333</v>
      </c>
      <c r="C464" s="1" t="n">
        <v>46186</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10653-2023</t>
        </is>
      </c>
      <c r="B465" s="1" t="n">
        <v>44988.48859953704</v>
      </c>
      <c r="C465" s="1" t="n">
        <v>46186</v>
      </c>
      <c r="D465" t="inlineStr">
        <is>
          <t>GOTLANDS LÄN</t>
        </is>
      </c>
      <c r="E465" t="inlineStr">
        <is>
          <t>GOTLAND</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883-2025</t>
        </is>
      </c>
      <c r="B466" s="1" t="n">
        <v>45665</v>
      </c>
      <c r="C466" s="1" t="n">
        <v>46186</v>
      </c>
      <c r="D466" t="inlineStr">
        <is>
          <t>GOTLANDS LÄN</t>
        </is>
      </c>
      <c r="E466" t="inlineStr">
        <is>
          <t>GOTLAND</t>
        </is>
      </c>
      <c r="G466" t="n">
        <v>1.3</v>
      </c>
      <c r="H466" t="n">
        <v>0</v>
      </c>
      <c r="I466" t="n">
        <v>0</v>
      </c>
      <c r="J466" t="n">
        <v>0</v>
      </c>
      <c r="K466" t="n">
        <v>0</v>
      </c>
      <c r="L466" t="n">
        <v>0</v>
      </c>
      <c r="M466" t="n">
        <v>0</v>
      </c>
      <c r="N466" t="n">
        <v>0</v>
      </c>
      <c r="O466" t="n">
        <v>0</v>
      </c>
      <c r="P466" t="n">
        <v>0</v>
      </c>
      <c r="Q466" t="n">
        <v>0</v>
      </c>
      <c r="R466" s="2" t="inlineStr"/>
    </row>
    <row r="467" ht="15" customHeight="1">
      <c r="A467" t="inlineStr">
        <is>
          <t>A 6959-2026</t>
        </is>
      </c>
      <c r="B467" s="1" t="n">
        <v>46057.580625</v>
      </c>
      <c r="C467" s="1" t="n">
        <v>46186</v>
      </c>
      <c r="D467" t="inlineStr">
        <is>
          <t>GOTLANDS LÄN</t>
        </is>
      </c>
      <c r="E467" t="inlineStr">
        <is>
          <t>GOTLAND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35512-2023</t>
        </is>
      </c>
      <c r="B468" s="1" t="n">
        <v>45147.25623842593</v>
      </c>
      <c r="C468" s="1" t="n">
        <v>46186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46186</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11874-2024</t>
        </is>
      </c>
      <c r="B470" s="1" t="n">
        <v>45376.46956018519</v>
      </c>
      <c r="C470" s="1" t="n">
        <v>46186</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32379-2025</t>
        </is>
      </c>
      <c r="B471" s="1" t="n">
        <v>45837</v>
      </c>
      <c r="C471" s="1" t="n">
        <v>46186</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1677-2023</t>
        </is>
      </c>
      <c r="B472" s="1" t="n">
        <v>44938</v>
      </c>
      <c r="C472" s="1" t="n">
        <v>46186</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46186</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46186</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46186</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46186</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38165-2023</t>
        </is>
      </c>
      <c r="B477" s="1" t="n">
        <v>45161</v>
      </c>
      <c r="C477" s="1" t="n">
        <v>46186</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46186</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43901-2023</t>
        </is>
      </c>
      <c r="B479" s="1" t="n">
        <v>45187</v>
      </c>
      <c r="C479" s="1" t="n">
        <v>46186</v>
      </c>
      <c r="D479" t="inlineStr">
        <is>
          <t>GOTLANDS LÄN</t>
        </is>
      </c>
      <c r="E479" t="inlineStr">
        <is>
          <t>GOTLAND</t>
        </is>
      </c>
      <c r="G479" t="n">
        <v>5.4</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46186</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37222-2021</t>
        </is>
      </c>
      <c r="B481" s="1" t="n">
        <v>44396</v>
      </c>
      <c r="C481" s="1" t="n">
        <v>46186</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46396-2023</t>
        </is>
      </c>
      <c r="B482" s="1" t="n">
        <v>45197</v>
      </c>
      <c r="C482" s="1" t="n">
        <v>46186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58388-2022</t>
        </is>
      </c>
      <c r="B483" s="1" t="n">
        <v>44894</v>
      </c>
      <c r="C483" s="1" t="n">
        <v>46186</v>
      </c>
      <c r="D483" t="inlineStr">
        <is>
          <t>GOTLANDS LÄN</t>
        </is>
      </c>
      <c r="E483" t="inlineStr">
        <is>
          <t>GOTLAND</t>
        </is>
      </c>
      <c r="F483" t="inlineStr">
        <is>
          <t>Övriga statliga verk och myndigheter</t>
        </is>
      </c>
      <c r="G483" t="n">
        <v>3.1</v>
      </c>
      <c r="H483" t="n">
        <v>0</v>
      </c>
      <c r="I483" t="n">
        <v>0</v>
      </c>
      <c r="J483" t="n">
        <v>0</v>
      </c>
      <c r="K483" t="n">
        <v>0</v>
      </c>
      <c r="L483" t="n">
        <v>0</v>
      </c>
      <c r="M483" t="n">
        <v>0</v>
      </c>
      <c r="N483" t="n">
        <v>0</v>
      </c>
      <c r="O483" t="n">
        <v>0</v>
      </c>
      <c r="P483" t="n">
        <v>0</v>
      </c>
      <c r="Q483" t="n">
        <v>0</v>
      </c>
      <c r="R483" s="2" t="inlineStr"/>
    </row>
    <row r="484" ht="15" customHeight="1">
      <c r="A484" t="inlineStr">
        <is>
          <t>A 58132-2023</t>
        </is>
      </c>
      <c r="B484" s="1" t="n">
        <v>45250</v>
      </c>
      <c r="C484" s="1" t="n">
        <v>46186</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22899-2023</t>
        </is>
      </c>
      <c r="B485" s="1" t="n">
        <v>45072</v>
      </c>
      <c r="C485" s="1" t="n">
        <v>46186</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28285-2024</t>
        </is>
      </c>
      <c r="B486" s="1" t="n">
        <v>45477</v>
      </c>
      <c r="C486" s="1" t="n">
        <v>46186</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51963-2024</t>
        </is>
      </c>
      <c r="B487" s="1" t="n">
        <v>45607.64833333333</v>
      </c>
      <c r="C487" s="1" t="n">
        <v>46186</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1734-2025</t>
        </is>
      </c>
      <c r="B488" s="1" t="n">
        <v>45671.3840625</v>
      </c>
      <c r="C488" s="1" t="n">
        <v>46186</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30365-2024</t>
        </is>
      </c>
      <c r="B489" s="1" t="n">
        <v>45491.3716087963</v>
      </c>
      <c r="C489" s="1" t="n">
        <v>46186</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2674-2023</t>
        </is>
      </c>
      <c r="B490" s="1" t="n">
        <v>44944</v>
      </c>
      <c r="C490" s="1" t="n">
        <v>46186</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61100-2022</t>
        </is>
      </c>
      <c r="B491" s="1" t="n">
        <v>44915</v>
      </c>
      <c r="C491" s="1" t="n">
        <v>46186</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10655-2023</t>
        </is>
      </c>
      <c r="B492" s="1" t="n">
        <v>44988.49543981482</v>
      </c>
      <c r="C492" s="1" t="n">
        <v>46186</v>
      </c>
      <c r="D492" t="inlineStr">
        <is>
          <t>GOTLANDS LÄN</t>
        </is>
      </c>
      <c r="E492" t="inlineStr">
        <is>
          <t>GOTLAND</t>
        </is>
      </c>
      <c r="F492" t="inlineStr">
        <is>
          <t>Kyrkan</t>
        </is>
      </c>
      <c r="G492" t="n">
        <v>2</v>
      </c>
      <c r="H492" t="n">
        <v>0</v>
      </c>
      <c r="I492" t="n">
        <v>0</v>
      </c>
      <c r="J492" t="n">
        <v>0</v>
      </c>
      <c r="K492" t="n">
        <v>0</v>
      </c>
      <c r="L492" t="n">
        <v>0</v>
      </c>
      <c r="M492" t="n">
        <v>0</v>
      </c>
      <c r="N492" t="n">
        <v>0</v>
      </c>
      <c r="O492" t="n">
        <v>0</v>
      </c>
      <c r="P492" t="n">
        <v>0</v>
      </c>
      <c r="Q492" t="n">
        <v>0</v>
      </c>
      <c r="R492" s="2" t="inlineStr"/>
    </row>
    <row r="493" ht="15" customHeight="1">
      <c r="A493" t="inlineStr">
        <is>
          <t>A 44649-2021</t>
        </is>
      </c>
      <c r="B493" s="1" t="n">
        <v>44437</v>
      </c>
      <c r="C493" s="1" t="n">
        <v>46186</v>
      </c>
      <c r="D493" t="inlineStr">
        <is>
          <t>GOTLANDS LÄN</t>
        </is>
      </c>
      <c r="E493" t="inlineStr">
        <is>
          <t>GOTLAND</t>
        </is>
      </c>
      <c r="G493" t="n">
        <v>8.1</v>
      </c>
      <c r="H493" t="n">
        <v>0</v>
      </c>
      <c r="I493" t="n">
        <v>0</v>
      </c>
      <c r="J493" t="n">
        <v>0</v>
      </c>
      <c r="K493" t="n">
        <v>0</v>
      </c>
      <c r="L493" t="n">
        <v>0</v>
      </c>
      <c r="M493" t="n">
        <v>0</v>
      </c>
      <c r="N493" t="n">
        <v>0</v>
      </c>
      <c r="O493" t="n">
        <v>0</v>
      </c>
      <c r="P493" t="n">
        <v>0</v>
      </c>
      <c r="Q493" t="n">
        <v>0</v>
      </c>
      <c r="R493" s="2" t="inlineStr"/>
    </row>
    <row r="494" ht="15" customHeight="1">
      <c r="A494" t="inlineStr">
        <is>
          <t>A 8484-2025</t>
        </is>
      </c>
      <c r="B494" s="1" t="n">
        <v>45709</v>
      </c>
      <c r="C494" s="1" t="n">
        <v>46186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50744-2024</t>
        </is>
      </c>
      <c r="B495" s="1" t="n">
        <v>45602.4187037037</v>
      </c>
      <c r="C495" s="1" t="n">
        <v>46186</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46186</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46186</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46186</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46186</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46186</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1681-2023</t>
        </is>
      </c>
      <c r="B501" s="1" t="n">
        <v>44938.39715277778</v>
      </c>
      <c r="C501" s="1" t="n">
        <v>46186</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46186</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18918-2025</t>
        </is>
      </c>
      <c r="B503" s="1" t="n">
        <v>45764</v>
      </c>
      <c r="C503" s="1" t="n">
        <v>46186</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11013-2024</t>
        </is>
      </c>
      <c r="B504" s="1" t="n">
        <v>45370</v>
      </c>
      <c r="C504" s="1" t="n">
        <v>46186</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45084-2024</t>
        </is>
      </c>
      <c r="B505" s="1" t="n">
        <v>45575</v>
      </c>
      <c r="C505" s="1" t="n">
        <v>46186</v>
      </c>
      <c r="D505" t="inlineStr">
        <is>
          <t>GOTLANDS LÄN</t>
        </is>
      </c>
      <c r="E505" t="inlineStr">
        <is>
          <t>GOTLAND</t>
        </is>
      </c>
      <c r="G505" t="n">
        <v>6.8</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46186</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5386-2023</t>
        </is>
      </c>
      <c r="B507" s="1" t="n">
        <v>44959</v>
      </c>
      <c r="C507" s="1" t="n">
        <v>46186</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5884-2025</t>
        </is>
      </c>
      <c r="B508" s="1" t="n">
        <v>45695.37482638889</v>
      </c>
      <c r="C508" s="1" t="n">
        <v>46186</v>
      </c>
      <c r="D508" t="inlineStr">
        <is>
          <t>GOTLANDS LÄN</t>
        </is>
      </c>
      <c r="E508" t="inlineStr">
        <is>
          <t>GOTLAND</t>
        </is>
      </c>
      <c r="G508" t="n">
        <v>2.1</v>
      </c>
      <c r="H508" t="n">
        <v>0</v>
      </c>
      <c r="I508" t="n">
        <v>0</v>
      </c>
      <c r="J508" t="n">
        <v>0</v>
      </c>
      <c r="K508" t="n">
        <v>0</v>
      </c>
      <c r="L508" t="n">
        <v>0</v>
      </c>
      <c r="M508" t="n">
        <v>0</v>
      </c>
      <c r="N508" t="n">
        <v>0</v>
      </c>
      <c r="O508" t="n">
        <v>0</v>
      </c>
      <c r="P508" t="n">
        <v>0</v>
      </c>
      <c r="Q508" t="n">
        <v>0</v>
      </c>
      <c r="R508" s="2" t="inlineStr"/>
    </row>
    <row r="509" ht="15" customHeight="1">
      <c r="A509" t="inlineStr">
        <is>
          <t>A 5897-2025</t>
        </is>
      </c>
      <c r="B509" s="1" t="n">
        <v>45695.39273148148</v>
      </c>
      <c r="C509" s="1" t="n">
        <v>46186</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5909-2025</t>
        </is>
      </c>
      <c r="B510" s="1" t="n">
        <v>45695.40634259259</v>
      </c>
      <c r="C510" s="1" t="n">
        <v>46186</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60086-2022</t>
        </is>
      </c>
      <c r="B511" s="1" t="n">
        <v>44909</v>
      </c>
      <c r="C511" s="1" t="n">
        <v>46186</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22704-2023</t>
        </is>
      </c>
      <c r="B512" s="1" t="n">
        <v>45071</v>
      </c>
      <c r="C512" s="1" t="n">
        <v>46186</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46186</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46186</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12209-2024</t>
        </is>
      </c>
      <c r="B515" s="1" t="n">
        <v>45378</v>
      </c>
      <c r="C515" s="1" t="n">
        <v>46186</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12210-2024</t>
        </is>
      </c>
      <c r="B516" s="1" t="n">
        <v>45378</v>
      </c>
      <c r="C516" s="1" t="n">
        <v>46186</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46186</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46186</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20993-2023</t>
        </is>
      </c>
      <c r="B519" s="1" t="n">
        <v>45056</v>
      </c>
      <c r="C519" s="1" t="n">
        <v>46186</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4420-2025</t>
        </is>
      </c>
      <c r="B520" s="1" t="n">
        <v>45686.47157407407</v>
      </c>
      <c r="C520" s="1" t="n">
        <v>46186</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14427-2024</t>
        </is>
      </c>
      <c r="B521" s="1" t="n">
        <v>45394</v>
      </c>
      <c r="C521" s="1" t="n">
        <v>46186</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49257-2024</t>
        </is>
      </c>
      <c r="B522" s="1" t="n">
        <v>45595.47627314815</v>
      </c>
      <c r="C522" s="1" t="n">
        <v>46186</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49315-2024</t>
        </is>
      </c>
      <c r="B523" s="1" t="n">
        <v>45595</v>
      </c>
      <c r="C523" s="1" t="n">
        <v>46186</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46186</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56115-2023</t>
        </is>
      </c>
      <c r="B525" s="1" t="n">
        <v>45236</v>
      </c>
      <c r="C525" s="1" t="n">
        <v>46186</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64969-2023</t>
        </is>
      </c>
      <c r="B526" s="1" t="n">
        <v>45284.54009259259</v>
      </c>
      <c r="C526" s="1" t="n">
        <v>46186</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46186</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46949-2024</t>
        </is>
      </c>
      <c r="B528" s="1" t="n">
        <v>45585</v>
      </c>
      <c r="C528" s="1" t="n">
        <v>46186</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46186</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46186</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46389-2021</t>
        </is>
      </c>
      <c r="B531" s="1" t="n">
        <v>44443</v>
      </c>
      <c r="C531" s="1" t="n">
        <v>46186</v>
      </c>
      <c r="D531" t="inlineStr">
        <is>
          <t>GOTLANDS LÄN</t>
        </is>
      </c>
      <c r="E531" t="inlineStr">
        <is>
          <t>GOTLAND</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45190.69520833333</v>
      </c>
      <c r="C532" s="1" t="n">
        <v>46186</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46186</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61897-2024</t>
        </is>
      </c>
      <c r="B534" s="1" t="n">
        <v>45652.75685185185</v>
      </c>
      <c r="C534" s="1" t="n">
        <v>46186</v>
      </c>
      <c r="D534" t="inlineStr">
        <is>
          <t>GOTLANDS LÄN</t>
        </is>
      </c>
      <c r="E534" t="inlineStr">
        <is>
          <t>GOTLAND</t>
        </is>
      </c>
      <c r="G534" t="n">
        <v>6.4</v>
      </c>
      <c r="H534" t="n">
        <v>0</v>
      </c>
      <c r="I534" t="n">
        <v>0</v>
      </c>
      <c r="J534" t="n">
        <v>0</v>
      </c>
      <c r="K534" t="n">
        <v>0</v>
      </c>
      <c r="L534" t="n">
        <v>0</v>
      </c>
      <c r="M534" t="n">
        <v>0</v>
      </c>
      <c r="N534" t="n">
        <v>0</v>
      </c>
      <c r="O534" t="n">
        <v>0</v>
      </c>
      <c r="P534" t="n">
        <v>0</v>
      </c>
      <c r="Q534" t="n">
        <v>0</v>
      </c>
      <c r="R534" s="2" t="inlineStr"/>
    </row>
    <row r="535" ht="15" customHeight="1">
      <c r="A535" t="inlineStr">
        <is>
          <t>A 12032-2025</t>
        </is>
      </c>
      <c r="B535" s="1" t="n">
        <v>45728.64472222222</v>
      </c>
      <c r="C535" s="1" t="n">
        <v>46186</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c r="A536" t="inlineStr">
        <is>
          <t>A 15595-2024</t>
        </is>
      </c>
      <c r="B536" s="1" t="n">
        <v>45401.81480324074</v>
      </c>
      <c r="C536" s="1" t="n">
        <v>46186</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2026-06-13T09:24:26Z</dcterms:created>
  <dcterms:modified xmlns:dcterms="http://purl.org/dc/terms/" xmlns:xsi="http://www.w3.org/2001/XMLSchema-instance" xsi:type="dcterms:W3CDTF">2026-06-13T09:24:26Z</dcterms:modified>
</cp:coreProperties>
</file>