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46163</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46163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46163</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46163</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46163</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46163</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46163</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46163</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46163</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46163</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46163</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46163</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46163</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8645-2025</t>
        </is>
      </c>
      <c r="B19" s="1" t="n">
        <v>45712</v>
      </c>
      <c r="C19" s="1" t="n">
        <v>46163</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46163</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34100-2024</t>
        </is>
      </c>
      <c r="B21" s="1" t="n">
        <v>45523</v>
      </c>
      <c r="C21" s="1" t="n">
        <v>46163</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46163</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46163</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46163</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46163</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61697-2023</t>
        </is>
      </c>
      <c r="B26" s="1" t="n">
        <v>45265</v>
      </c>
      <c r="C26" s="1" t="n">
        <v>46163</v>
      </c>
      <c r="D26" t="inlineStr">
        <is>
          <t>GOTLANDS LÄN</t>
        </is>
      </c>
      <c r="E26" t="inlineStr">
        <is>
          <t>GOTLAND</t>
        </is>
      </c>
      <c r="G26" t="n">
        <v>8.699999999999999</v>
      </c>
      <c r="H26" t="n">
        <v>2</v>
      </c>
      <c r="I26" t="n">
        <v>3</v>
      </c>
      <c r="J26" t="n">
        <v>4</v>
      </c>
      <c r="K26" t="n">
        <v>7</v>
      </c>
      <c r="L26" t="n">
        <v>1</v>
      </c>
      <c r="M26" t="n">
        <v>0</v>
      </c>
      <c r="N26" t="n">
        <v>0</v>
      </c>
      <c r="O26" t="n">
        <v>12</v>
      </c>
      <c r="P26" t="n">
        <v>8</v>
      </c>
      <c r="Q26" t="n">
        <v>15</v>
      </c>
      <c r="R26" s="2" t="inlineStr">
        <is>
          <t>Ryl
Duvspindling
Granrotspindling
Gulsträngad fagerspindling
Läderdoftande fingersvamp
Svartgrön spindling
Tallkejsarspindling
Violettrandad spindling
Denisespindling
Odörspindling
Röd skogslilja
Säfferot
Anisspindling
Murgröna
Nästrot</t>
        </is>
      </c>
      <c r="S26">
        <f>HYPERLINK("https://klasma.github.io/Logging_0980/artfynd/A 61697-2023 artfynd.xlsx", "A 61697-2023")</f>
        <v/>
      </c>
      <c r="T26">
        <f>HYPERLINK("https://klasma.github.io/Logging_0980/kartor/A 61697-2023 karta.png", "A 61697-2023")</f>
        <v/>
      </c>
      <c r="V26">
        <f>HYPERLINK("https://klasma.github.io/Logging_0980/klagomål/A 61697-2023 FSC-klagomål.docx", "A 61697-2023")</f>
        <v/>
      </c>
      <c r="W26">
        <f>HYPERLINK("https://klasma.github.io/Logging_0980/klagomålsmail/A 61697-2023 FSC-klagomål mail.docx", "A 61697-2023")</f>
        <v/>
      </c>
      <c r="X26">
        <f>HYPERLINK("https://klasma.github.io/Logging_0980/tillsyn/A 61697-2023 tillsynsbegäran.docx", "A 61697-2023")</f>
        <v/>
      </c>
      <c r="Y26">
        <f>HYPERLINK("https://klasma.github.io/Logging_0980/tillsynsmail/A 61697-2023 tillsynsbegäran mail.docx", "A 61697-2023")</f>
        <v/>
      </c>
    </row>
    <row r="27" ht="15" customHeight="1">
      <c r="A27" t="inlineStr">
        <is>
          <t>A 17762-2024</t>
        </is>
      </c>
      <c r="B27" s="1" t="n">
        <v>45418</v>
      </c>
      <c r="C27" s="1" t="n">
        <v>46163</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62132-2023</t>
        </is>
      </c>
      <c r="B28" s="1" t="n">
        <v>45267</v>
      </c>
      <c r="C28" s="1" t="n">
        <v>46163</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25779-2022</t>
        </is>
      </c>
      <c r="B29" s="1" t="n">
        <v>44733</v>
      </c>
      <c r="C29" s="1" t="n">
        <v>46163</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2222-2024</t>
        </is>
      </c>
      <c r="B30" s="1" t="n">
        <v>45309</v>
      </c>
      <c r="C30" s="1" t="n">
        <v>46163</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44928-2022</t>
        </is>
      </c>
      <c r="B31" s="1" t="n">
        <v>44841</v>
      </c>
      <c r="C31" s="1" t="n">
        <v>46163</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46163</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46163</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44204-2022</t>
        </is>
      </c>
      <c r="B34" s="1" t="n">
        <v>44839</v>
      </c>
      <c r="C34" s="1" t="n">
        <v>46163</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3324-2023</t>
        </is>
      </c>
      <c r="B35" s="1" t="n">
        <v>44949</v>
      </c>
      <c r="C35" s="1" t="n">
        <v>46163</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46163</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46163</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46163</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46163</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46163</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11176-2024</t>
        </is>
      </c>
      <c r="B41" s="1" t="n">
        <v>45371</v>
      </c>
      <c r="C41" s="1" t="n">
        <v>46163</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6052-2024</t>
        </is>
      </c>
      <c r="B42" s="1" t="n">
        <v>45336</v>
      </c>
      <c r="C42" s="1" t="n">
        <v>46163</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10274-2026</t>
        </is>
      </c>
      <c r="B43" s="1" t="n">
        <v>46076.58261574074</v>
      </c>
      <c r="C43" s="1" t="n">
        <v>46163</v>
      </c>
      <c r="D43" t="inlineStr">
        <is>
          <t>GOTLANDS LÄN</t>
        </is>
      </c>
      <c r="E43" t="inlineStr">
        <is>
          <t>GOTLAND</t>
        </is>
      </c>
      <c r="G43" t="n">
        <v>9.800000000000001</v>
      </c>
      <c r="H43" t="n">
        <v>4</v>
      </c>
      <c r="I43" t="n">
        <v>3</v>
      </c>
      <c r="J43" t="n">
        <v>4</v>
      </c>
      <c r="K43" t="n">
        <v>1</v>
      </c>
      <c r="L43" t="n">
        <v>0</v>
      </c>
      <c r="M43" t="n">
        <v>0</v>
      </c>
      <c r="N43" t="n">
        <v>0</v>
      </c>
      <c r="O43" t="n">
        <v>5</v>
      </c>
      <c r="P43" t="n">
        <v>1</v>
      </c>
      <c r="Q43" t="n">
        <v>11</v>
      </c>
      <c r="R43" s="2" t="inlineStr">
        <is>
          <t>Gråfingerört
Backstarr
Backtimjan
Reliktbock
Spillkråka
Axag
Grönpyrola
Kragjordstjärna
Alvarstånds
Nattviol
Sankt pers nycklar</t>
        </is>
      </c>
      <c r="S43">
        <f>HYPERLINK("https://klasma.github.io/Logging_0980/artfynd/A 10274-2026 artfynd.xlsx", "A 10274-2026")</f>
        <v/>
      </c>
      <c r="T43">
        <f>HYPERLINK("https://klasma.github.io/Logging_0980/kartor/A 10274-2026 karta.png", "A 10274-2026")</f>
        <v/>
      </c>
      <c r="V43">
        <f>HYPERLINK("https://klasma.github.io/Logging_0980/klagomål/A 10274-2026 FSC-klagomål.docx", "A 10274-2026")</f>
        <v/>
      </c>
      <c r="W43">
        <f>HYPERLINK("https://klasma.github.io/Logging_0980/klagomålsmail/A 10274-2026 FSC-klagomål mail.docx", "A 10274-2026")</f>
        <v/>
      </c>
      <c r="X43">
        <f>HYPERLINK("https://klasma.github.io/Logging_0980/tillsyn/A 10274-2026 tillsynsbegäran.docx", "A 10274-2026")</f>
        <v/>
      </c>
      <c r="Y43">
        <f>HYPERLINK("https://klasma.github.io/Logging_0980/tillsynsmail/A 10274-2026 tillsynsbegäran mail.docx", "A 10274-2026")</f>
        <v/>
      </c>
      <c r="Z43">
        <f>HYPERLINK("https://klasma.github.io/Logging_0980/fåglar/A 10274-2026 prioriterade fågelarter.docx", "A 10274-2026")</f>
        <v/>
      </c>
    </row>
    <row r="44" ht="15" customHeight="1">
      <c r="A44" t="inlineStr">
        <is>
          <t>A 43201-2023</t>
        </is>
      </c>
      <c r="B44" s="1" t="n">
        <v>45183</v>
      </c>
      <c r="C44" s="1" t="n">
        <v>46163</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52223-2025</t>
        </is>
      </c>
      <c r="B45" s="1" t="n">
        <v>45953.44509259259</v>
      </c>
      <c r="C45" s="1" t="n">
        <v>46163</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584-2023</t>
        </is>
      </c>
      <c r="B46" s="1" t="n">
        <v>44930</v>
      </c>
      <c r="C46" s="1" t="n">
        <v>46163</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45248-2024</t>
        </is>
      </c>
      <c r="B47" s="1" t="n">
        <v>45576</v>
      </c>
      <c r="C47" s="1" t="n">
        <v>46163</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1719-2025</t>
        </is>
      </c>
      <c r="B48" s="1" t="n">
        <v>45671</v>
      </c>
      <c r="C48" s="1" t="n">
        <v>46163</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46163</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46163</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14354-2024</t>
        </is>
      </c>
      <c r="B51" s="1" t="n">
        <v>45393</v>
      </c>
      <c r="C51" s="1" t="n">
        <v>46163</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33153-2024</t>
        </is>
      </c>
      <c r="B52" s="1" t="n">
        <v>45518</v>
      </c>
      <c r="C52" s="1" t="n">
        <v>46163</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46163</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46163</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46163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46163</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46163</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46163</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46163</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46163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46163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46163</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46163</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46163</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46163</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46163</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46163</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46163</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46163</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46163</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46163</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46163</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53584-2025</t>
        </is>
      </c>
      <c r="B73" s="1" t="n">
        <v>45960.43130787037</v>
      </c>
      <c r="C73" s="1" t="n">
        <v>46163</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46163</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57773-2025</t>
        </is>
      </c>
      <c r="B75" s="1" t="n">
        <v>45981.56349537037</v>
      </c>
      <c r="C75" s="1" t="n">
        <v>46163</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54527-2023</t>
        </is>
      </c>
      <c r="B76" s="1" t="n">
        <v>45233</v>
      </c>
      <c r="C76" s="1" t="n">
        <v>46163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66091-2021</t>
        </is>
      </c>
      <c r="B77" s="1" t="n">
        <v>44517</v>
      </c>
      <c r="C77" s="1" t="n">
        <v>46163</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32326-2024</t>
        </is>
      </c>
      <c r="B78" s="1" t="n">
        <v>45512</v>
      </c>
      <c r="C78" s="1" t="n">
        <v>46163</v>
      </c>
      <c r="D78" t="inlineStr">
        <is>
          <t>GOTLANDS LÄN</t>
        </is>
      </c>
      <c r="E78" t="inlineStr">
        <is>
          <t>GOTLAND</t>
        </is>
      </c>
      <c r="G78" t="n">
        <v>9.199999999999999</v>
      </c>
      <c r="H78" t="n">
        <v>3</v>
      </c>
      <c r="I78" t="n">
        <v>2</v>
      </c>
      <c r="J78" t="n">
        <v>2</v>
      </c>
      <c r="K78" t="n">
        <v>0</v>
      </c>
      <c r="L78" t="n">
        <v>0</v>
      </c>
      <c r="M78" t="n">
        <v>0</v>
      </c>
      <c r="N78" t="n">
        <v>0</v>
      </c>
      <c r="O78" t="n">
        <v>2</v>
      </c>
      <c r="P78" t="n">
        <v>0</v>
      </c>
      <c r="Q78" t="n">
        <v>5</v>
      </c>
      <c r="R78" s="2" t="inlineStr">
        <is>
          <t>Jordtistel
Svinrot
Purpurknipprot
Skogsknipprot
Brudsporre</t>
        </is>
      </c>
      <c r="S78">
        <f>HYPERLINK("https://klasma.github.io/Logging_0980/artfynd/A 32326-2024 artfynd.xlsx", "A 32326-2024")</f>
        <v/>
      </c>
      <c r="T78">
        <f>HYPERLINK("https://klasma.github.io/Logging_0980/kartor/A 32326-2024 karta.png", "A 32326-2024")</f>
        <v/>
      </c>
      <c r="V78">
        <f>HYPERLINK("https://klasma.github.io/Logging_0980/klagomål/A 32326-2024 FSC-klagomål.docx", "A 32326-2024")</f>
        <v/>
      </c>
      <c r="W78">
        <f>HYPERLINK("https://klasma.github.io/Logging_0980/klagomålsmail/A 32326-2024 FSC-klagomål mail.docx", "A 32326-2024")</f>
        <v/>
      </c>
      <c r="X78">
        <f>HYPERLINK("https://klasma.github.io/Logging_0980/tillsyn/A 32326-2024 tillsynsbegäran.docx", "A 32326-2024")</f>
        <v/>
      </c>
      <c r="Y78">
        <f>HYPERLINK("https://klasma.github.io/Logging_0980/tillsynsmail/A 32326-2024 tillsynsbegäran mail.docx", "A 32326-2024")</f>
        <v/>
      </c>
    </row>
    <row r="79" ht="15" customHeight="1">
      <c r="A79" t="inlineStr">
        <is>
          <t>A 35293-2025</t>
        </is>
      </c>
      <c r="B79" s="1" t="n">
        <v>45854.39438657407</v>
      </c>
      <c r="C79" s="1" t="n">
        <v>46163</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39425-2023</t>
        </is>
      </c>
      <c r="B80" s="1" t="n">
        <v>45166</v>
      </c>
      <c r="C80" s="1" t="n">
        <v>46163</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46163</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52245-2025</t>
        </is>
      </c>
      <c r="B82" s="1" t="n">
        <v>45953.47115740741</v>
      </c>
      <c r="C82" s="1" t="n">
        <v>46163</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42936-2024</t>
        </is>
      </c>
      <c r="B83" s="1" t="n">
        <v>45567</v>
      </c>
      <c r="C83" s="1" t="n">
        <v>46163</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6839-2026</t>
        </is>
      </c>
      <c r="B84" s="1" t="n">
        <v>46057.41193287037</v>
      </c>
      <c r="C84" s="1" t="n">
        <v>46163</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54055-2022</t>
        </is>
      </c>
      <c r="B85" s="1" t="n">
        <v>44881</v>
      </c>
      <c r="C85" s="1" t="n">
        <v>46163</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16375-2025</t>
        </is>
      </c>
      <c r="B86" s="1" t="n">
        <v>45751.41064814815</v>
      </c>
      <c r="C86" s="1" t="n">
        <v>46163</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29331-2021</t>
        </is>
      </c>
      <c r="B87" s="1" t="n">
        <v>44361</v>
      </c>
      <c r="C87" s="1" t="n">
        <v>46163</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56717-2024</t>
        </is>
      </c>
      <c r="B88" s="1" t="n">
        <v>45628.3166550926</v>
      </c>
      <c r="C88" s="1" t="n">
        <v>46163</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40099-2025</t>
        </is>
      </c>
      <c r="B89" s="1" t="n">
        <v>45894.48462962963</v>
      </c>
      <c r="C89" s="1" t="n">
        <v>46163</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20833-2024</t>
        </is>
      </c>
      <c r="B90" s="1" t="n">
        <v>45439</v>
      </c>
      <c r="C90" s="1" t="n">
        <v>46163</v>
      </c>
      <c r="D90" t="inlineStr">
        <is>
          <t>GOTLANDS LÄN</t>
        </is>
      </c>
      <c r="E90" t="inlineStr">
        <is>
          <t>GOTLAND</t>
        </is>
      </c>
      <c r="G90" t="n">
        <v>0.9</v>
      </c>
      <c r="H90" t="n">
        <v>3</v>
      </c>
      <c r="I90" t="n">
        <v>1</v>
      </c>
      <c r="J90" t="n">
        <v>3</v>
      </c>
      <c r="K90" t="n">
        <v>0</v>
      </c>
      <c r="L90" t="n">
        <v>0</v>
      </c>
      <c r="M90" t="n">
        <v>0</v>
      </c>
      <c r="N90" t="n">
        <v>0</v>
      </c>
      <c r="O90" t="n">
        <v>3</v>
      </c>
      <c r="P90" t="n">
        <v>0</v>
      </c>
      <c r="Q90" t="n">
        <v>4</v>
      </c>
      <c r="R90" s="2" t="inlineStr">
        <is>
          <t>Dårgräsfjäril
Spillkråka
Svinrot
Skogsknipprot</t>
        </is>
      </c>
      <c r="S90">
        <f>HYPERLINK("https://klasma.github.io/Logging_0980/artfynd/A 20833-2024 artfynd.xlsx", "A 20833-2024")</f>
        <v/>
      </c>
      <c r="T90">
        <f>HYPERLINK("https://klasma.github.io/Logging_0980/kartor/A 20833-2024 karta.png", "A 20833-2024")</f>
        <v/>
      </c>
      <c r="V90">
        <f>HYPERLINK("https://klasma.github.io/Logging_0980/klagomål/A 20833-2024 FSC-klagomål.docx", "A 20833-2024")</f>
        <v/>
      </c>
      <c r="W90">
        <f>HYPERLINK("https://klasma.github.io/Logging_0980/klagomålsmail/A 20833-2024 FSC-klagomål mail.docx", "A 20833-2024")</f>
        <v/>
      </c>
      <c r="X90">
        <f>HYPERLINK("https://klasma.github.io/Logging_0980/tillsyn/A 20833-2024 tillsynsbegäran.docx", "A 20833-2024")</f>
        <v/>
      </c>
      <c r="Y90">
        <f>HYPERLINK("https://klasma.github.io/Logging_0980/tillsynsmail/A 20833-2024 tillsynsbegäran mail.docx", "A 20833-2024")</f>
        <v/>
      </c>
      <c r="Z90">
        <f>HYPERLINK("https://klasma.github.io/Logging_0980/fåglar/A 20833-2024 prioriterade fågelarter.docx", "A 20833-2024")</f>
        <v/>
      </c>
    </row>
    <row r="91" ht="15" customHeight="1">
      <c r="A91" t="inlineStr">
        <is>
          <t>A 2485-2025</t>
        </is>
      </c>
      <c r="B91" s="1" t="n">
        <v>45673</v>
      </c>
      <c r="C91" s="1" t="n">
        <v>46163</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5904-2024</t>
        </is>
      </c>
      <c r="B92" s="1" t="n">
        <v>45335</v>
      </c>
      <c r="C92" s="1" t="n">
        <v>46163</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6159-2023</t>
        </is>
      </c>
      <c r="B93" s="1" t="n">
        <v>44964</v>
      </c>
      <c r="C93" s="1" t="n">
        <v>46163</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46163</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13203-2026</t>
        </is>
      </c>
      <c r="B95" s="1" t="n">
        <v>46093</v>
      </c>
      <c r="C95" s="1" t="n">
        <v>46163</v>
      </c>
      <c r="D95" t="inlineStr">
        <is>
          <t>GOTLANDS LÄN</t>
        </is>
      </c>
      <c r="E95" t="inlineStr">
        <is>
          <t>GOTLAND</t>
        </is>
      </c>
      <c r="G95" t="n">
        <v>4.5</v>
      </c>
      <c r="H95" t="n">
        <v>2</v>
      </c>
      <c r="I95" t="n">
        <v>1</v>
      </c>
      <c r="J95" t="n">
        <v>1</v>
      </c>
      <c r="K95" t="n">
        <v>1</v>
      </c>
      <c r="L95" t="n">
        <v>0</v>
      </c>
      <c r="M95" t="n">
        <v>0</v>
      </c>
      <c r="N95" t="n">
        <v>0</v>
      </c>
      <c r="O95" t="n">
        <v>2</v>
      </c>
      <c r="P95" t="n">
        <v>1</v>
      </c>
      <c r="Q95" t="n">
        <v>4</v>
      </c>
      <c r="R95" s="2" t="inlineStr">
        <is>
          <t>Gotlandsmåra
Svinrot
Nästrot
Grönvit nattviol</t>
        </is>
      </c>
      <c r="S95">
        <f>HYPERLINK("https://klasma.github.io/Logging_0980/artfynd/A 13203-2026 artfynd.xlsx", "A 13203-2026")</f>
        <v/>
      </c>
      <c r="T95">
        <f>HYPERLINK("https://klasma.github.io/Logging_0980/kartor/A 13203-2026 karta.png", "A 13203-2026")</f>
        <v/>
      </c>
      <c r="V95">
        <f>HYPERLINK("https://klasma.github.io/Logging_0980/klagomål/A 13203-2026 FSC-klagomål.docx", "A 13203-2026")</f>
        <v/>
      </c>
      <c r="W95">
        <f>HYPERLINK("https://klasma.github.io/Logging_0980/klagomålsmail/A 13203-2026 FSC-klagomål mail.docx", "A 13203-2026")</f>
        <v/>
      </c>
      <c r="X95">
        <f>HYPERLINK("https://klasma.github.io/Logging_0980/tillsyn/A 13203-2026 tillsynsbegäran.docx", "A 13203-2026")</f>
        <v/>
      </c>
      <c r="Y95">
        <f>HYPERLINK("https://klasma.github.io/Logging_0980/tillsynsmail/A 13203-2026 tillsynsbegäran mail.docx", "A 13203-2026")</f>
        <v/>
      </c>
    </row>
    <row r="96" ht="15" customHeight="1">
      <c r="A96" t="inlineStr">
        <is>
          <t>A 1971-2023</t>
        </is>
      </c>
      <c r="B96" s="1" t="n">
        <v>44939</v>
      </c>
      <c r="C96" s="1" t="n">
        <v>46163</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186-2023</t>
        </is>
      </c>
      <c r="B97" s="1" t="n">
        <v>44928</v>
      </c>
      <c r="C97" s="1" t="n">
        <v>46163</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54523-2023</t>
        </is>
      </c>
      <c r="B98" s="1" t="n">
        <v>45233</v>
      </c>
      <c r="C98" s="1" t="n">
        <v>46163</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57463-2025</t>
        </is>
      </c>
      <c r="B99" s="1" t="n">
        <v>45980</v>
      </c>
      <c r="C99" s="1" t="n">
        <v>46163</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6836-2026</t>
        </is>
      </c>
      <c r="B100" s="1" t="n">
        <v>46057</v>
      </c>
      <c r="C100" s="1" t="n">
        <v>46163</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52250-2025</t>
        </is>
      </c>
      <c r="B101" s="1" t="n">
        <v>45953.48998842593</v>
      </c>
      <c r="C101" s="1" t="n">
        <v>46163</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8265-2023</t>
        </is>
      </c>
      <c r="B102" s="1" t="n">
        <v>44974</v>
      </c>
      <c r="C102" s="1" t="n">
        <v>46163</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46163</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46163</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46163</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46163</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73144-2021</t>
        </is>
      </c>
      <c r="B107" s="1" t="n">
        <v>44550</v>
      </c>
      <c r="C107" s="1" t="n">
        <v>46163</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43013-2022</t>
        </is>
      </c>
      <c r="B108" s="1" t="n">
        <v>44833</v>
      </c>
      <c r="C108" s="1" t="n">
        <v>46163</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13499-2022</t>
        </is>
      </c>
      <c r="B109" s="1" t="n">
        <v>44647.79203703703</v>
      </c>
      <c r="C109" s="1" t="n">
        <v>46163</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5235-2025</t>
        </is>
      </c>
      <c r="B110" s="1" t="n">
        <v>45692.26797453704</v>
      </c>
      <c r="C110" s="1" t="n">
        <v>46163</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48126-2022</t>
        </is>
      </c>
      <c r="B111" s="1" t="n">
        <v>44857</v>
      </c>
      <c r="C111" s="1" t="n">
        <v>46163</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30490-2025</t>
        </is>
      </c>
      <c r="B112" s="1" t="n">
        <v>45830</v>
      </c>
      <c r="C112" s="1" t="n">
        <v>46163</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20831-2024</t>
        </is>
      </c>
      <c r="B113" s="1" t="n">
        <v>45439</v>
      </c>
      <c r="C113" s="1" t="n">
        <v>46163</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46163</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17975-2024</t>
        </is>
      </c>
      <c r="B115" s="1" t="n">
        <v>45419.85546296297</v>
      </c>
      <c r="C115" s="1" t="n">
        <v>46163</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49709-2025</t>
        </is>
      </c>
      <c r="B116" s="1" t="n">
        <v>45939.68228009259</v>
      </c>
      <c r="C116" s="1" t="n">
        <v>46163</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46163</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1520-2026</t>
        </is>
      </c>
      <c r="B118" s="1" t="n">
        <v>46034.35891203704</v>
      </c>
      <c r="C118" s="1" t="n">
        <v>46163</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53552-2021</t>
        </is>
      </c>
      <c r="B119" s="1" t="n">
        <v>44468</v>
      </c>
      <c r="C119" s="1" t="n">
        <v>46163</v>
      </c>
      <c r="D119" t="inlineStr">
        <is>
          <t>GOTLANDS LÄN</t>
        </is>
      </c>
      <c r="E119" t="inlineStr">
        <is>
          <t>GOTLAND</t>
        </is>
      </c>
      <c r="G119" t="n">
        <v>6.2</v>
      </c>
      <c r="H119" t="n">
        <v>2</v>
      </c>
      <c r="I119" t="n">
        <v>0</v>
      </c>
      <c r="J119" t="n">
        <v>1</v>
      </c>
      <c r="K119" t="n">
        <v>0</v>
      </c>
      <c r="L119" t="n">
        <v>0</v>
      </c>
      <c r="M119" t="n">
        <v>0</v>
      </c>
      <c r="N119" t="n">
        <v>0</v>
      </c>
      <c r="O119" t="n">
        <v>1</v>
      </c>
      <c r="P119" t="n">
        <v>0</v>
      </c>
      <c r="Q119" t="n">
        <v>3</v>
      </c>
      <c r="R119" s="2" t="inlineStr">
        <is>
          <t>Bredbrämad bastardsvärmare
Grönvit nattviol
Gullviva</t>
        </is>
      </c>
      <c r="S119">
        <f>HYPERLINK("https://klasma.github.io/Logging_0980/artfynd/A 53552-2021 artfynd.xlsx", "A 53552-2021")</f>
        <v/>
      </c>
      <c r="T119">
        <f>HYPERLINK("https://klasma.github.io/Logging_0980/kartor/A 53552-2021 karta.png", "A 53552-2021")</f>
        <v/>
      </c>
      <c r="V119">
        <f>HYPERLINK("https://klasma.github.io/Logging_0980/klagomål/A 53552-2021 FSC-klagomål.docx", "A 53552-2021")</f>
        <v/>
      </c>
      <c r="W119">
        <f>HYPERLINK("https://klasma.github.io/Logging_0980/klagomålsmail/A 53552-2021 FSC-klagomål mail.docx", "A 53552-2021")</f>
        <v/>
      </c>
      <c r="X119">
        <f>HYPERLINK("https://klasma.github.io/Logging_0980/tillsyn/A 53552-2021 tillsynsbegäran.docx", "A 53552-2021")</f>
        <v/>
      </c>
      <c r="Y119">
        <f>HYPERLINK("https://klasma.github.io/Logging_0980/tillsynsmail/A 53552-2021 tillsynsbegäran mail.docx", "A 53552-2021")</f>
        <v/>
      </c>
    </row>
    <row r="120" ht="15" customHeight="1">
      <c r="A120" t="inlineStr">
        <is>
          <t>A 12315-2024</t>
        </is>
      </c>
      <c r="B120" s="1" t="n">
        <v>45378.6434837963</v>
      </c>
      <c r="C120" s="1" t="n">
        <v>46163</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29870-2021</t>
        </is>
      </c>
      <c r="B121" s="1" t="n">
        <v>44362</v>
      </c>
      <c r="C121" s="1" t="n">
        <v>46163</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46163</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46163</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46163</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46163</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55649-2024</t>
        </is>
      </c>
      <c r="B126" s="1" t="n">
        <v>45622.63053240741</v>
      </c>
      <c r="C126" s="1" t="n">
        <v>46163</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7070-2022</t>
        </is>
      </c>
      <c r="B127" s="1" t="n">
        <v>44603</v>
      </c>
      <c r="C127" s="1" t="n">
        <v>46163</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12914-2025</t>
        </is>
      </c>
      <c r="B128" s="1" t="n">
        <v>45733</v>
      </c>
      <c r="C128" s="1" t="n">
        <v>46163</v>
      </c>
      <c r="D128" t="inlineStr">
        <is>
          <t>GOTLANDS LÄN</t>
        </is>
      </c>
      <c r="E128" t="inlineStr">
        <is>
          <t>GOTLAND</t>
        </is>
      </c>
      <c r="G128" t="n">
        <v>24.8</v>
      </c>
      <c r="H128" t="n">
        <v>2</v>
      </c>
      <c r="I128" t="n">
        <v>1</v>
      </c>
      <c r="J128" t="n">
        <v>0</v>
      </c>
      <c r="K128" t="n">
        <v>0</v>
      </c>
      <c r="L128" t="n">
        <v>0</v>
      </c>
      <c r="M128" t="n">
        <v>0</v>
      </c>
      <c r="N128" t="n">
        <v>0</v>
      </c>
      <c r="O128" t="n">
        <v>0</v>
      </c>
      <c r="P128" t="n">
        <v>0</v>
      </c>
      <c r="Q128" t="n">
        <v>2</v>
      </c>
      <c r="R128" s="2" t="inlineStr">
        <is>
          <t>Purpurknipprot
Brudsporre</t>
        </is>
      </c>
      <c r="S128">
        <f>HYPERLINK("https://klasma.github.io/Logging_0980/artfynd/A 12914-2025 artfynd.xlsx", "A 12914-2025")</f>
        <v/>
      </c>
      <c r="T128">
        <f>HYPERLINK("https://klasma.github.io/Logging_0980/kartor/A 12914-2025 karta.png", "A 12914-2025")</f>
        <v/>
      </c>
      <c r="V128">
        <f>HYPERLINK("https://klasma.github.io/Logging_0980/klagomål/A 12914-2025 FSC-klagomål.docx", "A 12914-2025")</f>
        <v/>
      </c>
      <c r="W128">
        <f>HYPERLINK("https://klasma.github.io/Logging_0980/klagomålsmail/A 12914-2025 FSC-klagomål mail.docx", "A 12914-2025")</f>
        <v/>
      </c>
      <c r="X128">
        <f>HYPERLINK("https://klasma.github.io/Logging_0980/tillsyn/A 12914-2025 tillsynsbegäran.docx", "A 12914-2025")</f>
        <v/>
      </c>
      <c r="Y128">
        <f>HYPERLINK("https://klasma.github.io/Logging_0980/tillsynsmail/A 12914-2025 tillsynsbegäran mail.docx", "A 12914-2025")</f>
        <v/>
      </c>
    </row>
    <row r="129" ht="15" customHeight="1">
      <c r="A129" t="inlineStr">
        <is>
          <t>A 63162-2025</t>
        </is>
      </c>
      <c r="B129" s="1" t="n">
        <v>46010.37629629629</v>
      </c>
      <c r="C129" s="1" t="n">
        <v>46163</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62760-2025</t>
        </is>
      </c>
      <c r="B130" s="1" t="n">
        <v>46008</v>
      </c>
      <c r="C130" s="1" t="n">
        <v>46163</v>
      </c>
      <c r="D130" t="inlineStr">
        <is>
          <t>GOTLANDS LÄN</t>
        </is>
      </c>
      <c r="E130" t="inlineStr">
        <is>
          <t>GOTLAND</t>
        </is>
      </c>
      <c r="F130" t="inlineStr">
        <is>
          <t>Övriga Aktiebolag</t>
        </is>
      </c>
      <c r="G130" t="n">
        <v>4.6</v>
      </c>
      <c r="H130" t="n">
        <v>1</v>
      </c>
      <c r="I130" t="n">
        <v>2</v>
      </c>
      <c r="J130" t="n">
        <v>0</v>
      </c>
      <c r="K130" t="n">
        <v>0</v>
      </c>
      <c r="L130" t="n">
        <v>0</v>
      </c>
      <c r="M130" t="n">
        <v>0</v>
      </c>
      <c r="N130" t="n">
        <v>0</v>
      </c>
      <c r="O130" t="n">
        <v>0</v>
      </c>
      <c r="P130" t="n">
        <v>0</v>
      </c>
      <c r="Q130" t="n">
        <v>2</v>
      </c>
      <c r="R130" s="2" t="inlineStr">
        <is>
          <t>Nästrot
Vårärt</t>
        </is>
      </c>
      <c r="S130">
        <f>HYPERLINK("https://klasma.github.io/Logging_0980/artfynd/A 62760-2025 artfynd.xlsx", "A 62760-2025")</f>
        <v/>
      </c>
      <c r="T130">
        <f>HYPERLINK("https://klasma.github.io/Logging_0980/kartor/A 62760-2025 karta.png", "A 62760-2025")</f>
        <v/>
      </c>
      <c r="V130">
        <f>HYPERLINK("https://klasma.github.io/Logging_0980/klagomål/A 62760-2025 FSC-klagomål.docx", "A 62760-2025")</f>
        <v/>
      </c>
      <c r="W130">
        <f>HYPERLINK("https://klasma.github.io/Logging_0980/klagomålsmail/A 62760-2025 FSC-klagomål mail.docx", "A 62760-2025")</f>
        <v/>
      </c>
      <c r="X130">
        <f>HYPERLINK("https://klasma.github.io/Logging_0980/tillsyn/A 62760-2025 tillsynsbegäran.docx", "A 62760-2025")</f>
        <v/>
      </c>
      <c r="Y130">
        <f>HYPERLINK("https://klasma.github.io/Logging_0980/tillsynsmail/A 62760-2025 tillsynsbegäran mail.docx", "A 62760-2025")</f>
        <v/>
      </c>
    </row>
    <row r="131" ht="15" customHeight="1">
      <c r="A131" t="inlineStr">
        <is>
          <t>A 54357-2024</t>
        </is>
      </c>
      <c r="B131" s="1" t="n">
        <v>45617.40662037037</v>
      </c>
      <c r="C131" s="1" t="n">
        <v>46163</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20429-2025</t>
        </is>
      </c>
      <c r="B132" s="1" t="n">
        <v>45775.47728009259</v>
      </c>
      <c r="C132" s="1" t="n">
        <v>46163</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20838-2024</t>
        </is>
      </c>
      <c r="B133" s="1" t="n">
        <v>45439</v>
      </c>
      <c r="C133" s="1" t="n">
        <v>46163</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16997-2026</t>
        </is>
      </c>
      <c r="B134" s="1" t="n">
        <v>46114.42539351852</v>
      </c>
      <c r="C134" s="1" t="n">
        <v>46163</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26077-2024</t>
        </is>
      </c>
      <c r="B135" s="1" t="n">
        <v>45467</v>
      </c>
      <c r="C135" s="1" t="n">
        <v>46163</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17328-2026</t>
        </is>
      </c>
      <c r="B136" s="1" t="n">
        <v>46119.61216435185</v>
      </c>
      <c r="C136" s="1" t="n">
        <v>46163</v>
      </c>
      <c r="D136" t="inlineStr">
        <is>
          <t>GOTLANDS LÄN</t>
        </is>
      </c>
      <c r="E136" t="inlineStr">
        <is>
          <t>GOTLAND</t>
        </is>
      </c>
      <c r="F136" t="inlineStr">
        <is>
          <t>Kyrkan</t>
        </is>
      </c>
      <c r="G136" t="n">
        <v>4</v>
      </c>
      <c r="H136" t="n">
        <v>1</v>
      </c>
      <c r="I136" t="n">
        <v>0</v>
      </c>
      <c r="J136" t="n">
        <v>2</v>
      </c>
      <c r="K136" t="n">
        <v>0</v>
      </c>
      <c r="L136" t="n">
        <v>0</v>
      </c>
      <c r="M136" t="n">
        <v>0</v>
      </c>
      <c r="N136" t="n">
        <v>0</v>
      </c>
      <c r="O136" t="n">
        <v>2</v>
      </c>
      <c r="P136" t="n">
        <v>0</v>
      </c>
      <c r="Q136" t="n">
        <v>2</v>
      </c>
      <c r="R136" s="2" t="inlineStr">
        <is>
          <t>Backtimjan
Spillkråka</t>
        </is>
      </c>
      <c r="S136">
        <f>HYPERLINK("https://klasma.github.io/Logging_0980/artfynd/A 17328-2026 artfynd.xlsx", "A 17328-2026")</f>
        <v/>
      </c>
      <c r="T136">
        <f>HYPERLINK("https://klasma.github.io/Logging_0980/kartor/A 17328-2026 karta.png", "A 17328-2026")</f>
        <v/>
      </c>
      <c r="V136">
        <f>HYPERLINK("https://klasma.github.io/Logging_0980/klagomål/A 17328-2026 FSC-klagomål.docx", "A 17328-2026")</f>
        <v/>
      </c>
      <c r="W136">
        <f>HYPERLINK("https://klasma.github.io/Logging_0980/klagomålsmail/A 17328-2026 FSC-klagomål mail.docx", "A 17328-2026")</f>
        <v/>
      </c>
      <c r="X136">
        <f>HYPERLINK("https://klasma.github.io/Logging_0980/tillsyn/A 17328-2026 tillsynsbegäran.docx", "A 17328-2026")</f>
        <v/>
      </c>
      <c r="Y136">
        <f>HYPERLINK("https://klasma.github.io/Logging_0980/tillsynsmail/A 17328-2026 tillsynsbegäran mail.docx", "A 17328-2026")</f>
        <v/>
      </c>
      <c r="Z136">
        <f>HYPERLINK("https://klasma.github.io/Logging_0980/fåglar/A 17328-2026 prioriterade fågelarter.docx", "A 17328-2026")</f>
        <v/>
      </c>
    </row>
    <row r="137" ht="15" customHeight="1">
      <c r="A137" t="inlineStr">
        <is>
          <t>A 43219-2023</t>
        </is>
      </c>
      <c r="B137" s="1" t="n">
        <v>45183</v>
      </c>
      <c r="C137" s="1" t="n">
        <v>46163</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46163</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46163</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46163</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46163</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46163</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44308-2021</t>
        </is>
      </c>
      <c r="B143" s="1" t="n">
        <v>44434</v>
      </c>
      <c r="C143" s="1" t="n">
        <v>46163</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46527-2023</t>
        </is>
      </c>
      <c r="B144" s="1" t="n">
        <v>45197</v>
      </c>
      <c r="C144" s="1" t="n">
        <v>46163</v>
      </c>
      <c r="D144" t="inlineStr">
        <is>
          <t>GOTLANDS LÄN</t>
        </is>
      </c>
      <c r="E144" t="inlineStr">
        <is>
          <t>GOTLAND</t>
        </is>
      </c>
      <c r="G144" t="n">
        <v>0.9</v>
      </c>
      <c r="H144" t="n">
        <v>0</v>
      </c>
      <c r="I144" t="n">
        <v>0</v>
      </c>
      <c r="J144" t="n">
        <v>1</v>
      </c>
      <c r="K144" t="n">
        <v>0</v>
      </c>
      <c r="L144" t="n">
        <v>0</v>
      </c>
      <c r="M144" t="n">
        <v>0</v>
      </c>
      <c r="N144" t="n">
        <v>0</v>
      </c>
      <c r="O144" t="n">
        <v>1</v>
      </c>
      <c r="P144" t="n">
        <v>0</v>
      </c>
      <c r="Q144" t="n">
        <v>1</v>
      </c>
      <c r="R144" s="2" t="inlineStr">
        <is>
          <t>Guldgräshoppa</t>
        </is>
      </c>
      <c r="S144">
        <f>HYPERLINK("https://klasma.github.io/Logging_0980/artfynd/A 46527-2023 artfynd.xlsx", "A 46527-2023")</f>
        <v/>
      </c>
      <c r="T144">
        <f>HYPERLINK("https://klasma.github.io/Logging_0980/kartor/A 46527-2023 karta.png", "A 46527-2023")</f>
        <v/>
      </c>
      <c r="V144">
        <f>HYPERLINK("https://klasma.github.io/Logging_0980/klagomål/A 46527-2023 FSC-klagomål.docx", "A 46527-2023")</f>
        <v/>
      </c>
      <c r="W144">
        <f>HYPERLINK("https://klasma.github.io/Logging_0980/klagomålsmail/A 46527-2023 FSC-klagomål mail.docx", "A 46527-2023")</f>
        <v/>
      </c>
      <c r="X144">
        <f>HYPERLINK("https://klasma.github.io/Logging_0980/tillsyn/A 46527-2023 tillsynsbegäran.docx", "A 46527-2023")</f>
        <v/>
      </c>
      <c r="Y144">
        <f>HYPERLINK("https://klasma.github.io/Logging_0980/tillsynsmail/A 46527-2023 tillsynsbegäran mail.docx", "A 46527-2023")</f>
        <v/>
      </c>
    </row>
    <row r="145" ht="15" customHeight="1">
      <c r="A145" t="inlineStr">
        <is>
          <t>A 6303-2024</t>
        </is>
      </c>
      <c r="B145" s="1" t="n">
        <v>45338.35376157407</v>
      </c>
      <c r="C145" s="1" t="n">
        <v>46163</v>
      </c>
      <c r="D145" t="inlineStr">
        <is>
          <t>GOTLANDS LÄN</t>
        </is>
      </c>
      <c r="E145" t="inlineStr">
        <is>
          <t>GOTLAND</t>
        </is>
      </c>
      <c r="G145" t="n">
        <v>0.6</v>
      </c>
      <c r="H145" t="n">
        <v>0</v>
      </c>
      <c r="I145" t="n">
        <v>1</v>
      </c>
      <c r="J145" t="n">
        <v>0</v>
      </c>
      <c r="K145" t="n">
        <v>0</v>
      </c>
      <c r="L145" t="n">
        <v>0</v>
      </c>
      <c r="M145" t="n">
        <v>0</v>
      </c>
      <c r="N145" t="n">
        <v>0</v>
      </c>
      <c r="O145" t="n">
        <v>0</v>
      </c>
      <c r="P145" t="n">
        <v>0</v>
      </c>
      <c r="Q145" t="n">
        <v>1</v>
      </c>
      <c r="R145" s="2" t="inlineStr">
        <is>
          <t>Strävlosta</t>
        </is>
      </c>
      <c r="S145">
        <f>HYPERLINK("https://klasma.github.io/Logging_0980/artfynd/A 6303-2024 artfynd.xlsx", "A 6303-2024")</f>
        <v/>
      </c>
      <c r="T145">
        <f>HYPERLINK("https://klasma.github.io/Logging_0980/kartor/A 6303-2024 karta.png", "A 6303-2024")</f>
        <v/>
      </c>
      <c r="V145">
        <f>HYPERLINK("https://klasma.github.io/Logging_0980/klagomål/A 6303-2024 FSC-klagomål.docx", "A 6303-2024")</f>
        <v/>
      </c>
      <c r="W145">
        <f>HYPERLINK("https://klasma.github.io/Logging_0980/klagomålsmail/A 6303-2024 FSC-klagomål mail.docx", "A 6303-2024")</f>
        <v/>
      </c>
      <c r="X145">
        <f>HYPERLINK("https://klasma.github.io/Logging_0980/tillsyn/A 6303-2024 tillsynsbegäran.docx", "A 6303-2024")</f>
        <v/>
      </c>
      <c r="Y145">
        <f>HYPERLINK("https://klasma.github.io/Logging_0980/tillsynsmail/A 6303-2024 tillsynsbegäran mail.docx", "A 6303-2024")</f>
        <v/>
      </c>
    </row>
    <row r="146" ht="15" customHeight="1">
      <c r="A146" t="inlineStr">
        <is>
          <t>A 62552-2022</t>
        </is>
      </c>
      <c r="B146" s="1" t="n">
        <v>44924</v>
      </c>
      <c r="C146" s="1" t="n">
        <v>46163</v>
      </c>
      <c r="D146" t="inlineStr">
        <is>
          <t>GOTLANDS LÄN</t>
        </is>
      </c>
      <c r="E146" t="inlineStr">
        <is>
          <t>GOTLAND</t>
        </is>
      </c>
      <c r="G146" t="n">
        <v>1.6</v>
      </c>
      <c r="H146" t="n">
        <v>0</v>
      </c>
      <c r="I146" t="n">
        <v>0</v>
      </c>
      <c r="J146" t="n">
        <v>1</v>
      </c>
      <c r="K146" t="n">
        <v>0</v>
      </c>
      <c r="L146" t="n">
        <v>0</v>
      </c>
      <c r="M146" t="n">
        <v>0</v>
      </c>
      <c r="N146" t="n">
        <v>0</v>
      </c>
      <c r="O146" t="n">
        <v>1</v>
      </c>
      <c r="P146" t="n">
        <v>0</v>
      </c>
      <c r="Q146" t="n">
        <v>1</v>
      </c>
      <c r="R146" s="2" t="inlineStr">
        <is>
          <t>Äggspindling</t>
        </is>
      </c>
      <c r="S146">
        <f>HYPERLINK("https://klasma.github.io/Logging_0980/artfynd/A 62552-2022 artfynd.xlsx", "A 62552-2022")</f>
        <v/>
      </c>
      <c r="T146">
        <f>HYPERLINK("https://klasma.github.io/Logging_0980/kartor/A 62552-2022 karta.png", "A 62552-2022")</f>
        <v/>
      </c>
      <c r="V146">
        <f>HYPERLINK("https://klasma.github.io/Logging_0980/klagomål/A 62552-2022 FSC-klagomål.docx", "A 62552-2022")</f>
        <v/>
      </c>
      <c r="W146">
        <f>HYPERLINK("https://klasma.github.io/Logging_0980/klagomålsmail/A 62552-2022 FSC-klagomål mail.docx", "A 62552-2022")</f>
        <v/>
      </c>
      <c r="X146">
        <f>HYPERLINK("https://klasma.github.io/Logging_0980/tillsyn/A 62552-2022 tillsynsbegäran.docx", "A 62552-2022")</f>
        <v/>
      </c>
      <c r="Y146">
        <f>HYPERLINK("https://klasma.github.io/Logging_0980/tillsynsmail/A 62552-2022 tillsynsbegäran mail.docx", "A 62552-2022")</f>
        <v/>
      </c>
    </row>
    <row r="147" ht="15" customHeight="1">
      <c r="A147" t="inlineStr">
        <is>
          <t>A 25977-2024</t>
        </is>
      </c>
      <c r="B147" s="1" t="n">
        <v>45467.69356481481</v>
      </c>
      <c r="C147" s="1" t="n">
        <v>46163</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27589-2023</t>
        </is>
      </c>
      <c r="B148" s="1" t="n">
        <v>45097</v>
      </c>
      <c r="C148" s="1" t="n">
        <v>46163</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39812-2025</t>
        </is>
      </c>
      <c r="B149" s="1" t="n">
        <v>45891</v>
      </c>
      <c r="C149" s="1" t="n">
        <v>46163</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9862-2024</t>
        </is>
      </c>
      <c r="B150" s="1" t="n">
        <v>45363</v>
      </c>
      <c r="C150" s="1" t="n">
        <v>46163</v>
      </c>
      <c r="D150" t="inlineStr">
        <is>
          <t>GOTLANDS LÄN</t>
        </is>
      </c>
      <c r="E150" t="inlineStr">
        <is>
          <t>GOTLAND</t>
        </is>
      </c>
      <c r="G150" t="n">
        <v>3.5</v>
      </c>
      <c r="H150" t="n">
        <v>1</v>
      </c>
      <c r="I150" t="n">
        <v>0</v>
      </c>
      <c r="J150" t="n">
        <v>0</v>
      </c>
      <c r="K150" t="n">
        <v>0</v>
      </c>
      <c r="L150" t="n">
        <v>0</v>
      </c>
      <c r="M150" t="n">
        <v>0</v>
      </c>
      <c r="N150" t="n">
        <v>0</v>
      </c>
      <c r="O150" t="n">
        <v>0</v>
      </c>
      <c r="P150" t="n">
        <v>0</v>
      </c>
      <c r="Q150" t="n">
        <v>1</v>
      </c>
      <c r="R150" s="2" t="inlineStr">
        <is>
          <t>Nattviol</t>
        </is>
      </c>
      <c r="S150">
        <f>HYPERLINK("https://klasma.github.io/Logging_0980/artfynd/A 9862-2024 artfynd.xlsx", "A 9862-2024")</f>
        <v/>
      </c>
      <c r="T150">
        <f>HYPERLINK("https://klasma.github.io/Logging_0980/kartor/A 9862-2024 karta.png", "A 9862-2024")</f>
        <v/>
      </c>
      <c r="V150">
        <f>HYPERLINK("https://klasma.github.io/Logging_0980/klagomål/A 9862-2024 FSC-klagomål.docx", "A 9862-2024")</f>
        <v/>
      </c>
      <c r="W150">
        <f>HYPERLINK("https://klasma.github.io/Logging_0980/klagomålsmail/A 9862-2024 FSC-klagomål mail.docx", "A 9862-2024")</f>
        <v/>
      </c>
      <c r="X150">
        <f>HYPERLINK("https://klasma.github.io/Logging_0980/tillsyn/A 9862-2024 tillsynsbegäran.docx", "A 9862-2024")</f>
        <v/>
      </c>
      <c r="Y150">
        <f>HYPERLINK("https://klasma.github.io/Logging_0980/tillsynsmail/A 9862-2024 tillsynsbegäran mail.docx", "A 9862-2024")</f>
        <v/>
      </c>
    </row>
    <row r="151" ht="15" customHeight="1">
      <c r="A151" t="inlineStr">
        <is>
          <t>A 34141-2024</t>
        </is>
      </c>
      <c r="B151" s="1" t="n">
        <v>45524.36229166666</v>
      </c>
      <c r="C151" s="1" t="n">
        <v>46163</v>
      </c>
      <c r="D151" t="inlineStr">
        <is>
          <t>GOTLANDS LÄN</t>
        </is>
      </c>
      <c r="E151" t="inlineStr">
        <is>
          <t>GOTLAND</t>
        </is>
      </c>
      <c r="G151" t="n">
        <v>0.9</v>
      </c>
      <c r="H151" t="n">
        <v>0</v>
      </c>
      <c r="I151" t="n">
        <v>1</v>
      </c>
      <c r="J151" t="n">
        <v>0</v>
      </c>
      <c r="K151" t="n">
        <v>0</v>
      </c>
      <c r="L151" t="n">
        <v>0</v>
      </c>
      <c r="M151" t="n">
        <v>0</v>
      </c>
      <c r="N151" t="n">
        <v>0</v>
      </c>
      <c r="O151" t="n">
        <v>0</v>
      </c>
      <c r="P151" t="n">
        <v>0</v>
      </c>
      <c r="Q151" t="n">
        <v>1</v>
      </c>
      <c r="R151" s="2" t="inlineStr">
        <is>
          <t>Strävlosta</t>
        </is>
      </c>
      <c r="S151">
        <f>HYPERLINK("https://klasma.github.io/Logging_0980/artfynd/A 34141-2024 artfynd.xlsx", "A 34141-2024")</f>
        <v/>
      </c>
      <c r="T151">
        <f>HYPERLINK("https://klasma.github.io/Logging_0980/kartor/A 34141-2024 karta.png", "A 34141-2024")</f>
        <v/>
      </c>
      <c r="V151">
        <f>HYPERLINK("https://klasma.github.io/Logging_0980/klagomål/A 34141-2024 FSC-klagomål.docx", "A 34141-2024")</f>
        <v/>
      </c>
      <c r="W151">
        <f>HYPERLINK("https://klasma.github.io/Logging_0980/klagomålsmail/A 34141-2024 FSC-klagomål mail.docx", "A 34141-2024")</f>
        <v/>
      </c>
      <c r="X151">
        <f>HYPERLINK("https://klasma.github.io/Logging_0980/tillsyn/A 34141-2024 tillsynsbegäran.docx", "A 34141-2024")</f>
        <v/>
      </c>
      <c r="Y151">
        <f>HYPERLINK("https://klasma.github.io/Logging_0980/tillsynsmail/A 34141-2024 tillsynsbegäran mail.docx", "A 34141-2024")</f>
        <v/>
      </c>
    </row>
    <row r="152" ht="15" customHeight="1">
      <c r="A152" t="inlineStr">
        <is>
          <t>A 65927-2021</t>
        </is>
      </c>
      <c r="B152" s="1" t="n">
        <v>44516</v>
      </c>
      <c r="C152" s="1" t="n">
        <v>46163</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947-2023</t>
        </is>
      </c>
      <c r="B153" s="1" t="n">
        <v>44934</v>
      </c>
      <c r="C153" s="1" t="n">
        <v>46163</v>
      </c>
      <c r="D153" t="inlineStr">
        <is>
          <t>GOTLANDS LÄN</t>
        </is>
      </c>
      <c r="E153" t="inlineStr">
        <is>
          <t>GOTLAND</t>
        </is>
      </c>
      <c r="G153" t="n">
        <v>0.7</v>
      </c>
      <c r="H153" t="n">
        <v>1</v>
      </c>
      <c r="I153" t="n">
        <v>0</v>
      </c>
      <c r="J153" t="n">
        <v>0</v>
      </c>
      <c r="K153" t="n">
        <v>1</v>
      </c>
      <c r="L153" t="n">
        <v>0</v>
      </c>
      <c r="M153" t="n">
        <v>0</v>
      </c>
      <c r="N153" t="n">
        <v>0</v>
      </c>
      <c r="O153" t="n">
        <v>1</v>
      </c>
      <c r="P153" t="n">
        <v>1</v>
      </c>
      <c r="Q153" t="n">
        <v>1</v>
      </c>
      <c r="R153" s="2" t="inlineStr">
        <is>
          <t>Garderönn</t>
        </is>
      </c>
      <c r="S153">
        <f>HYPERLINK("https://klasma.github.io/Logging_0980/artfynd/A 947-2023 artfynd.xlsx", "A 947-2023")</f>
        <v/>
      </c>
      <c r="T153">
        <f>HYPERLINK("https://klasma.github.io/Logging_0980/kartor/A 947-2023 karta.png", "A 947-2023")</f>
        <v/>
      </c>
      <c r="V153">
        <f>HYPERLINK("https://klasma.github.io/Logging_0980/klagomål/A 947-2023 FSC-klagomål.docx", "A 947-2023")</f>
        <v/>
      </c>
      <c r="W153">
        <f>HYPERLINK("https://klasma.github.io/Logging_0980/klagomålsmail/A 947-2023 FSC-klagomål mail.docx", "A 947-2023")</f>
        <v/>
      </c>
      <c r="X153">
        <f>HYPERLINK("https://klasma.github.io/Logging_0980/tillsyn/A 947-2023 tillsynsbegäran.docx", "A 947-2023")</f>
        <v/>
      </c>
      <c r="Y153">
        <f>HYPERLINK("https://klasma.github.io/Logging_0980/tillsynsmail/A 947-2023 tillsynsbegäran mail.docx", "A 947-2023")</f>
        <v/>
      </c>
    </row>
    <row r="154" ht="15" customHeight="1">
      <c r="A154" t="inlineStr">
        <is>
          <t>A 35467-2021</t>
        </is>
      </c>
      <c r="B154" s="1" t="n">
        <v>44385</v>
      </c>
      <c r="C154" s="1" t="n">
        <v>46163</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61561-2023</t>
        </is>
      </c>
      <c r="B155" s="1" t="n">
        <v>45265</v>
      </c>
      <c r="C155" s="1" t="n">
        <v>46163</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44619-2025</t>
        </is>
      </c>
      <c r="B156" s="1" t="n">
        <v>45917</v>
      </c>
      <c r="C156" s="1" t="n">
        <v>46163</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Ögonpyrola</t>
        </is>
      </c>
      <c r="S156">
        <f>HYPERLINK("https://klasma.github.io/Logging_0980/artfynd/A 44619-2025 artfynd.xlsx", "A 44619-2025")</f>
        <v/>
      </c>
      <c r="T156">
        <f>HYPERLINK("https://klasma.github.io/Logging_0980/kartor/A 44619-2025 karta.png", "A 44619-2025")</f>
        <v/>
      </c>
      <c r="V156">
        <f>HYPERLINK("https://klasma.github.io/Logging_0980/klagomål/A 44619-2025 FSC-klagomål.docx", "A 44619-2025")</f>
        <v/>
      </c>
      <c r="W156">
        <f>HYPERLINK("https://klasma.github.io/Logging_0980/klagomålsmail/A 44619-2025 FSC-klagomål mail.docx", "A 44619-2025")</f>
        <v/>
      </c>
      <c r="X156">
        <f>HYPERLINK("https://klasma.github.io/Logging_0980/tillsyn/A 44619-2025 tillsynsbegäran.docx", "A 44619-2025")</f>
        <v/>
      </c>
      <c r="Y156">
        <f>HYPERLINK("https://klasma.github.io/Logging_0980/tillsynsmail/A 44619-2025 tillsynsbegäran mail.docx", "A 44619-2025")</f>
        <v/>
      </c>
    </row>
    <row r="157" ht="15" customHeight="1">
      <c r="A157" t="inlineStr">
        <is>
          <t>A 12924-2025</t>
        </is>
      </c>
      <c r="B157" s="1" t="n">
        <v>45734</v>
      </c>
      <c r="C157" s="1" t="n">
        <v>46163</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10013-2026</t>
        </is>
      </c>
      <c r="B158" s="1" t="n">
        <v>46073</v>
      </c>
      <c r="C158" s="1" t="n">
        <v>46163</v>
      </c>
      <c r="D158" t="inlineStr">
        <is>
          <t>GOTLANDS LÄN</t>
        </is>
      </c>
      <c r="E158" t="inlineStr">
        <is>
          <t>GOTLAND</t>
        </is>
      </c>
      <c r="G158" t="n">
        <v>10.5</v>
      </c>
      <c r="H158" t="n">
        <v>0</v>
      </c>
      <c r="I158" t="n">
        <v>0</v>
      </c>
      <c r="J158" t="n">
        <v>0</v>
      </c>
      <c r="K158" t="n">
        <v>1</v>
      </c>
      <c r="L158" t="n">
        <v>0</v>
      </c>
      <c r="M158" t="n">
        <v>0</v>
      </c>
      <c r="N158" t="n">
        <v>0</v>
      </c>
      <c r="O158" t="n">
        <v>1</v>
      </c>
      <c r="P158" t="n">
        <v>1</v>
      </c>
      <c r="Q158" t="n">
        <v>1</v>
      </c>
      <c r="R158" s="2" t="inlineStr">
        <is>
          <t>Skogskorn</t>
        </is>
      </c>
      <c r="S158">
        <f>HYPERLINK("https://klasma.github.io/Logging_0980/artfynd/A 10013-2026 artfynd.xlsx", "A 10013-2026")</f>
        <v/>
      </c>
      <c r="T158">
        <f>HYPERLINK("https://klasma.github.io/Logging_0980/kartor/A 10013-2026 karta.png", "A 10013-2026")</f>
        <v/>
      </c>
      <c r="V158">
        <f>HYPERLINK("https://klasma.github.io/Logging_0980/klagomål/A 10013-2026 FSC-klagomål.docx", "A 10013-2026")</f>
        <v/>
      </c>
      <c r="W158">
        <f>HYPERLINK("https://klasma.github.io/Logging_0980/klagomålsmail/A 10013-2026 FSC-klagomål mail.docx", "A 10013-2026")</f>
        <v/>
      </c>
      <c r="X158">
        <f>HYPERLINK("https://klasma.github.io/Logging_0980/tillsyn/A 10013-2026 tillsynsbegäran.docx", "A 10013-2026")</f>
        <v/>
      </c>
      <c r="Y158">
        <f>HYPERLINK("https://klasma.github.io/Logging_0980/tillsynsmail/A 10013-2026 tillsynsbegäran mail.docx", "A 10013-2026")</f>
        <v/>
      </c>
    </row>
    <row r="159" ht="15" customHeight="1">
      <c r="A159" t="inlineStr">
        <is>
          <t>A 17854-2026</t>
        </is>
      </c>
      <c r="B159" s="1" t="n">
        <v>46121</v>
      </c>
      <c r="C159" s="1" t="n">
        <v>46163</v>
      </c>
      <c r="D159" t="inlineStr">
        <is>
          <t>GOTLANDS LÄN</t>
        </is>
      </c>
      <c r="E159" t="inlineStr">
        <is>
          <t>GOTLAND</t>
        </is>
      </c>
      <c r="G159" t="n">
        <v>6.6</v>
      </c>
      <c r="H159" t="n">
        <v>0</v>
      </c>
      <c r="I159" t="n">
        <v>1</v>
      </c>
      <c r="J159" t="n">
        <v>0</v>
      </c>
      <c r="K159" t="n">
        <v>0</v>
      </c>
      <c r="L159" t="n">
        <v>0</v>
      </c>
      <c r="M159" t="n">
        <v>0</v>
      </c>
      <c r="N159" t="n">
        <v>0</v>
      </c>
      <c r="O159" t="n">
        <v>0</v>
      </c>
      <c r="P159" t="n">
        <v>0</v>
      </c>
      <c r="Q159" t="n">
        <v>1</v>
      </c>
      <c r="R159" s="2" t="inlineStr">
        <is>
          <t>Blå slemspindling</t>
        </is>
      </c>
      <c r="S159">
        <f>HYPERLINK("https://klasma.github.io/Logging_0980/artfynd/A 17854-2026 artfynd.xlsx", "A 17854-2026")</f>
        <v/>
      </c>
      <c r="T159">
        <f>HYPERLINK("https://klasma.github.io/Logging_0980/kartor/A 17854-2026 karta.png", "A 17854-2026")</f>
        <v/>
      </c>
      <c r="V159">
        <f>HYPERLINK("https://klasma.github.io/Logging_0980/klagomål/A 17854-2026 FSC-klagomål.docx", "A 17854-2026")</f>
        <v/>
      </c>
      <c r="W159">
        <f>HYPERLINK("https://klasma.github.io/Logging_0980/klagomålsmail/A 17854-2026 FSC-klagomål mail.docx", "A 17854-2026")</f>
        <v/>
      </c>
      <c r="X159">
        <f>HYPERLINK("https://klasma.github.io/Logging_0980/tillsyn/A 17854-2026 tillsynsbegäran.docx", "A 17854-2026")</f>
        <v/>
      </c>
      <c r="Y159">
        <f>HYPERLINK("https://klasma.github.io/Logging_0980/tillsynsmail/A 17854-2026 tillsynsbegäran mail.docx", "A 17854-2026")</f>
        <v/>
      </c>
    </row>
    <row r="160" ht="15" customHeight="1">
      <c r="A160" t="inlineStr">
        <is>
          <t>A 12324-2025</t>
        </is>
      </c>
      <c r="B160" s="1" t="n">
        <v>45730</v>
      </c>
      <c r="C160" s="1" t="n">
        <v>46163</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11708-2026</t>
        </is>
      </c>
      <c r="B161" s="1" t="n">
        <v>46084</v>
      </c>
      <c r="C161" s="1" t="n">
        <v>46163</v>
      </c>
      <c r="D161" t="inlineStr">
        <is>
          <t>GOTLANDS LÄN</t>
        </is>
      </c>
      <c r="E161" t="inlineStr">
        <is>
          <t>GOTLAND</t>
        </is>
      </c>
      <c r="G161" t="n">
        <v>8.4</v>
      </c>
      <c r="H161" t="n">
        <v>1</v>
      </c>
      <c r="I161" t="n">
        <v>0</v>
      </c>
      <c r="J161" t="n">
        <v>1</v>
      </c>
      <c r="K161" t="n">
        <v>0</v>
      </c>
      <c r="L161" t="n">
        <v>0</v>
      </c>
      <c r="M161" t="n">
        <v>0</v>
      </c>
      <c r="N161" t="n">
        <v>0</v>
      </c>
      <c r="O161" t="n">
        <v>1</v>
      </c>
      <c r="P161" t="n">
        <v>0</v>
      </c>
      <c r="Q161" t="n">
        <v>1</v>
      </c>
      <c r="R161" s="2" t="inlineStr">
        <is>
          <t>Bredarun</t>
        </is>
      </c>
      <c r="S161">
        <f>HYPERLINK("https://klasma.github.io/Logging_0980/artfynd/A 11708-2026 artfynd.xlsx", "A 11708-2026")</f>
        <v/>
      </c>
      <c r="T161">
        <f>HYPERLINK("https://klasma.github.io/Logging_0980/kartor/A 11708-2026 karta.png", "A 11708-2026")</f>
        <v/>
      </c>
      <c r="V161">
        <f>HYPERLINK("https://klasma.github.io/Logging_0980/klagomål/A 11708-2026 FSC-klagomål.docx", "A 11708-2026")</f>
        <v/>
      </c>
      <c r="W161">
        <f>HYPERLINK("https://klasma.github.io/Logging_0980/klagomålsmail/A 11708-2026 FSC-klagomål mail.docx", "A 11708-2026")</f>
        <v/>
      </c>
      <c r="X161">
        <f>HYPERLINK("https://klasma.github.io/Logging_0980/tillsyn/A 11708-2026 tillsynsbegäran.docx", "A 11708-2026")</f>
        <v/>
      </c>
      <c r="Y161">
        <f>HYPERLINK("https://klasma.github.io/Logging_0980/tillsynsmail/A 11708-2026 tillsynsbegäran mail.docx", "A 11708-2026")</f>
        <v/>
      </c>
    </row>
    <row r="162" ht="15" customHeight="1">
      <c r="A162" t="inlineStr">
        <is>
          <t>A 18036-2026</t>
        </is>
      </c>
      <c r="B162" s="1" t="n">
        <v>46125.39576388889</v>
      </c>
      <c r="C162" s="1" t="n">
        <v>46163</v>
      </c>
      <c r="D162" t="inlineStr">
        <is>
          <t>GOTLANDS LÄN</t>
        </is>
      </c>
      <c r="E162" t="inlineStr">
        <is>
          <t>GOTLAND</t>
        </is>
      </c>
      <c r="G162" t="n">
        <v>1.8</v>
      </c>
      <c r="H162" t="n">
        <v>0</v>
      </c>
      <c r="I162" t="n">
        <v>0</v>
      </c>
      <c r="J162" t="n">
        <v>1</v>
      </c>
      <c r="K162" t="n">
        <v>0</v>
      </c>
      <c r="L162" t="n">
        <v>0</v>
      </c>
      <c r="M162" t="n">
        <v>0</v>
      </c>
      <c r="N162" t="n">
        <v>0</v>
      </c>
      <c r="O162" t="n">
        <v>1</v>
      </c>
      <c r="P162" t="n">
        <v>0</v>
      </c>
      <c r="Q162" t="n">
        <v>1</v>
      </c>
      <c r="R162" s="2" t="inlineStr">
        <is>
          <t>Sommarfibbla</t>
        </is>
      </c>
      <c r="S162">
        <f>HYPERLINK("https://klasma.github.io/Logging_0980/artfynd/A 18036-2026 artfynd.xlsx", "A 18036-2026")</f>
        <v/>
      </c>
      <c r="T162">
        <f>HYPERLINK("https://klasma.github.io/Logging_0980/kartor/A 18036-2026 karta.png", "A 18036-2026")</f>
        <v/>
      </c>
      <c r="V162">
        <f>HYPERLINK("https://klasma.github.io/Logging_0980/klagomål/A 18036-2026 FSC-klagomål.docx", "A 18036-2026")</f>
        <v/>
      </c>
      <c r="W162">
        <f>HYPERLINK("https://klasma.github.io/Logging_0980/klagomålsmail/A 18036-2026 FSC-klagomål mail.docx", "A 18036-2026")</f>
        <v/>
      </c>
      <c r="X162">
        <f>HYPERLINK("https://klasma.github.io/Logging_0980/tillsyn/A 18036-2026 tillsynsbegäran.docx", "A 18036-2026")</f>
        <v/>
      </c>
      <c r="Y162">
        <f>HYPERLINK("https://klasma.github.io/Logging_0980/tillsynsmail/A 18036-2026 tillsynsbegäran mail.docx", "A 18036-2026")</f>
        <v/>
      </c>
    </row>
    <row r="163" ht="15" customHeight="1">
      <c r="A163" t="inlineStr">
        <is>
          <t>A 49726-2025</t>
        </is>
      </c>
      <c r="B163" s="1" t="n">
        <v>45939.84466435185</v>
      </c>
      <c r="C163" s="1" t="n">
        <v>46163</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2476-2025</t>
        </is>
      </c>
      <c r="B164" s="1" t="n">
        <v>45673</v>
      </c>
      <c r="C164" s="1" t="n">
        <v>46163</v>
      </c>
      <c r="D164" t="inlineStr">
        <is>
          <t>GOTLANDS LÄN</t>
        </is>
      </c>
      <c r="E164" t="inlineStr">
        <is>
          <t>GOTLAND</t>
        </is>
      </c>
      <c r="G164" t="n">
        <v>3.1</v>
      </c>
      <c r="H164" t="n">
        <v>0</v>
      </c>
      <c r="I164" t="n">
        <v>1</v>
      </c>
      <c r="J164" t="n">
        <v>0</v>
      </c>
      <c r="K164" t="n">
        <v>0</v>
      </c>
      <c r="L164" t="n">
        <v>0</v>
      </c>
      <c r="M164" t="n">
        <v>0</v>
      </c>
      <c r="N164" t="n">
        <v>0</v>
      </c>
      <c r="O164" t="n">
        <v>0</v>
      </c>
      <c r="P164" t="n">
        <v>0</v>
      </c>
      <c r="Q164" t="n">
        <v>1</v>
      </c>
      <c r="R164" s="2" t="inlineStr">
        <is>
          <t>Kryddspindling</t>
        </is>
      </c>
      <c r="S164">
        <f>HYPERLINK("https://klasma.github.io/Logging_0980/artfynd/A 2476-2025 artfynd.xlsx", "A 2476-2025")</f>
        <v/>
      </c>
      <c r="T164">
        <f>HYPERLINK("https://klasma.github.io/Logging_0980/kartor/A 2476-2025 karta.png", "A 2476-2025")</f>
        <v/>
      </c>
      <c r="V164">
        <f>HYPERLINK("https://klasma.github.io/Logging_0980/klagomål/A 2476-2025 FSC-klagomål.docx", "A 2476-2025")</f>
        <v/>
      </c>
      <c r="W164">
        <f>HYPERLINK("https://klasma.github.io/Logging_0980/klagomålsmail/A 2476-2025 FSC-klagomål mail.docx", "A 2476-2025")</f>
        <v/>
      </c>
      <c r="X164">
        <f>HYPERLINK("https://klasma.github.io/Logging_0980/tillsyn/A 2476-2025 tillsynsbegäran.docx", "A 2476-2025")</f>
        <v/>
      </c>
      <c r="Y164">
        <f>HYPERLINK("https://klasma.github.io/Logging_0980/tillsynsmail/A 2476-2025 tillsynsbegäran mail.docx", "A 2476-2025")</f>
        <v/>
      </c>
    </row>
    <row r="165" ht="15" customHeight="1">
      <c r="A165" t="inlineStr">
        <is>
          <t>A 44304-2021</t>
        </is>
      </c>
      <c r="B165" s="1" t="n">
        <v>44434</v>
      </c>
      <c r="C165" s="1" t="n">
        <v>46163</v>
      </c>
      <c r="D165" t="inlineStr">
        <is>
          <t>GOTLANDS LÄN</t>
        </is>
      </c>
      <c r="E165" t="inlineStr">
        <is>
          <t>GOTLAND</t>
        </is>
      </c>
      <c r="G165" t="n">
        <v>5.8</v>
      </c>
      <c r="H165" t="n">
        <v>0</v>
      </c>
      <c r="I165" t="n">
        <v>0</v>
      </c>
      <c r="J165" t="n">
        <v>1</v>
      </c>
      <c r="K165" t="n">
        <v>0</v>
      </c>
      <c r="L165" t="n">
        <v>0</v>
      </c>
      <c r="M165" t="n">
        <v>0</v>
      </c>
      <c r="N165" t="n">
        <v>0</v>
      </c>
      <c r="O165" t="n">
        <v>1</v>
      </c>
      <c r="P165" t="n">
        <v>0</v>
      </c>
      <c r="Q165" t="n">
        <v>1</v>
      </c>
      <c r="R165" s="2" t="inlineStr">
        <is>
          <t>Svinrot</t>
        </is>
      </c>
      <c r="S165">
        <f>HYPERLINK("https://klasma.github.io/Logging_0980/artfynd/A 44304-2021 artfynd.xlsx", "A 44304-2021")</f>
        <v/>
      </c>
      <c r="T165">
        <f>HYPERLINK("https://klasma.github.io/Logging_0980/kartor/A 44304-2021 karta.png", "A 44304-2021")</f>
        <v/>
      </c>
      <c r="V165">
        <f>HYPERLINK("https://klasma.github.io/Logging_0980/klagomål/A 44304-2021 FSC-klagomål.docx", "A 44304-2021")</f>
        <v/>
      </c>
      <c r="W165">
        <f>HYPERLINK("https://klasma.github.io/Logging_0980/klagomålsmail/A 44304-2021 FSC-klagomål mail.docx", "A 44304-2021")</f>
        <v/>
      </c>
      <c r="X165">
        <f>HYPERLINK("https://klasma.github.io/Logging_0980/tillsyn/A 44304-2021 tillsynsbegäran.docx", "A 44304-2021")</f>
        <v/>
      </c>
      <c r="Y165">
        <f>HYPERLINK("https://klasma.github.io/Logging_0980/tillsynsmail/A 44304-2021 tillsynsbegäran mail.docx", "A 44304-2021")</f>
        <v/>
      </c>
    </row>
    <row r="166" ht="15" customHeight="1">
      <c r="A166" t="inlineStr">
        <is>
          <t>A 13482-2026</t>
        </is>
      </c>
      <c r="B166" s="1" t="n">
        <v>46094</v>
      </c>
      <c r="C166" s="1" t="n">
        <v>46163</v>
      </c>
      <c r="D166" t="inlineStr">
        <is>
          <t>GOTLANDS LÄN</t>
        </is>
      </c>
      <c r="E166" t="inlineStr">
        <is>
          <t>GOTLAND</t>
        </is>
      </c>
      <c r="G166" t="n">
        <v>1.7</v>
      </c>
      <c r="H166" t="n">
        <v>1</v>
      </c>
      <c r="I166" t="n">
        <v>0</v>
      </c>
      <c r="J166" t="n">
        <v>1</v>
      </c>
      <c r="K166" t="n">
        <v>0</v>
      </c>
      <c r="L166" t="n">
        <v>0</v>
      </c>
      <c r="M166" t="n">
        <v>0</v>
      </c>
      <c r="N166" t="n">
        <v>0</v>
      </c>
      <c r="O166" t="n">
        <v>1</v>
      </c>
      <c r="P166" t="n">
        <v>0</v>
      </c>
      <c r="Q166" t="n">
        <v>1</v>
      </c>
      <c r="R166" s="2" t="inlineStr">
        <is>
          <t>Spillkråka</t>
        </is>
      </c>
      <c r="S166">
        <f>HYPERLINK("https://klasma.github.io/Logging_0980/artfynd/A 13482-2026 artfynd.xlsx", "A 13482-2026")</f>
        <v/>
      </c>
      <c r="T166">
        <f>HYPERLINK("https://klasma.github.io/Logging_0980/kartor/A 13482-2026 karta.png", "A 13482-2026")</f>
        <v/>
      </c>
      <c r="V166">
        <f>HYPERLINK("https://klasma.github.io/Logging_0980/klagomål/A 13482-2026 FSC-klagomål.docx", "A 13482-2026")</f>
        <v/>
      </c>
      <c r="W166">
        <f>HYPERLINK("https://klasma.github.io/Logging_0980/klagomålsmail/A 13482-2026 FSC-klagomål mail.docx", "A 13482-2026")</f>
        <v/>
      </c>
      <c r="X166">
        <f>HYPERLINK("https://klasma.github.io/Logging_0980/tillsyn/A 13482-2026 tillsynsbegäran.docx", "A 13482-2026")</f>
        <v/>
      </c>
      <c r="Y166">
        <f>HYPERLINK("https://klasma.github.io/Logging_0980/tillsynsmail/A 13482-2026 tillsynsbegäran mail.docx", "A 13482-2026")</f>
        <v/>
      </c>
      <c r="Z166">
        <f>HYPERLINK("https://klasma.github.io/Logging_0980/fåglar/A 13482-2026 prioriterade fågelarter.docx", "A 13482-2026")</f>
        <v/>
      </c>
    </row>
    <row r="167" ht="15" customHeight="1">
      <c r="A167" t="inlineStr">
        <is>
          <t>A 447-2023</t>
        </is>
      </c>
      <c r="B167" s="1" t="n">
        <v>44929</v>
      </c>
      <c r="C167" s="1" t="n">
        <v>46163</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46163</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49304-2024</t>
        </is>
      </c>
      <c r="B169" s="1" t="n">
        <v>45595.54996527778</v>
      </c>
      <c r="C169" s="1" t="n">
        <v>46163</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46163</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46163</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1477-2024</t>
        </is>
      </c>
      <c r="B172" s="1" t="n">
        <v>45305.37987268518</v>
      </c>
      <c r="C172" s="1" t="n">
        <v>46163</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63149-2025</t>
        </is>
      </c>
      <c r="B173" s="1" t="n">
        <v>46010</v>
      </c>
      <c r="C173" s="1" t="n">
        <v>46163</v>
      </c>
      <c r="D173" t="inlineStr">
        <is>
          <t>GOTLANDS LÄN</t>
        </is>
      </c>
      <c r="E173" t="inlineStr">
        <is>
          <t>GOTLAND</t>
        </is>
      </c>
      <c r="G173" t="n">
        <v>4.3</v>
      </c>
      <c r="H173" t="n">
        <v>0</v>
      </c>
      <c r="I173" t="n">
        <v>1</v>
      </c>
      <c r="J173" t="n">
        <v>0</v>
      </c>
      <c r="K173" t="n">
        <v>0</v>
      </c>
      <c r="L173" t="n">
        <v>0</v>
      </c>
      <c r="M173" t="n">
        <v>0</v>
      </c>
      <c r="N173" t="n">
        <v>0</v>
      </c>
      <c r="O173" t="n">
        <v>0</v>
      </c>
      <c r="P173" t="n">
        <v>0</v>
      </c>
      <c r="Q173" t="n">
        <v>1</v>
      </c>
      <c r="R173" s="2" t="inlineStr">
        <is>
          <t>Anisspindling</t>
        </is>
      </c>
      <c r="S173">
        <f>HYPERLINK("https://klasma.github.io/Logging_0980/artfynd/A 63149-2025 artfynd.xlsx", "A 63149-2025")</f>
        <v/>
      </c>
      <c r="T173">
        <f>HYPERLINK("https://klasma.github.io/Logging_0980/kartor/A 63149-2025 karta.png", "A 63149-2025")</f>
        <v/>
      </c>
      <c r="V173">
        <f>HYPERLINK("https://klasma.github.io/Logging_0980/klagomål/A 63149-2025 FSC-klagomål.docx", "A 63149-2025")</f>
        <v/>
      </c>
      <c r="W173">
        <f>HYPERLINK("https://klasma.github.io/Logging_0980/klagomålsmail/A 63149-2025 FSC-klagomål mail.docx", "A 63149-2025")</f>
        <v/>
      </c>
      <c r="X173">
        <f>HYPERLINK("https://klasma.github.io/Logging_0980/tillsyn/A 63149-2025 tillsynsbegäran.docx", "A 63149-2025")</f>
        <v/>
      </c>
      <c r="Y173">
        <f>HYPERLINK("https://klasma.github.io/Logging_0980/tillsynsmail/A 63149-2025 tillsynsbegäran mail.docx", "A 63149-2025")</f>
        <v/>
      </c>
    </row>
    <row r="174" ht="15" customHeight="1">
      <c r="A174" t="inlineStr">
        <is>
          <t>A 22281-2026</t>
        </is>
      </c>
      <c r="B174" s="1" t="n">
        <v>46154</v>
      </c>
      <c r="C174" s="1" t="n">
        <v>46163</v>
      </c>
      <c r="D174" t="inlineStr">
        <is>
          <t>GOTLANDS LÄN</t>
        </is>
      </c>
      <c r="E174" t="inlineStr">
        <is>
          <t>GOTLAND</t>
        </is>
      </c>
      <c r="G174" t="n">
        <v>8.1</v>
      </c>
      <c r="H174" t="n">
        <v>0</v>
      </c>
      <c r="I174" t="n">
        <v>0</v>
      </c>
      <c r="J174" t="n">
        <v>1</v>
      </c>
      <c r="K174" t="n">
        <v>0</v>
      </c>
      <c r="L174" t="n">
        <v>0</v>
      </c>
      <c r="M174" t="n">
        <v>0</v>
      </c>
      <c r="N174" t="n">
        <v>0</v>
      </c>
      <c r="O174" t="n">
        <v>1</v>
      </c>
      <c r="P174" t="n">
        <v>0</v>
      </c>
      <c r="Q174" t="n">
        <v>1</v>
      </c>
      <c r="R174" s="2" t="inlineStr">
        <is>
          <t>Vasstandad trädbasbagge</t>
        </is>
      </c>
      <c r="S174">
        <f>HYPERLINK("https://klasma.github.io/Logging_0980/artfynd/A 22281-2026 artfynd.xlsx", "A 22281-2026")</f>
        <v/>
      </c>
      <c r="T174">
        <f>HYPERLINK("https://klasma.github.io/Logging_0980/kartor/A 22281-2026 karta.png", "A 22281-2026")</f>
        <v/>
      </c>
      <c r="V174">
        <f>HYPERLINK("https://klasma.github.io/Logging_0980/klagomål/A 22281-2026 FSC-klagomål.docx", "A 22281-2026")</f>
        <v/>
      </c>
      <c r="W174">
        <f>HYPERLINK("https://klasma.github.io/Logging_0980/klagomålsmail/A 22281-2026 FSC-klagomål mail.docx", "A 22281-2026")</f>
        <v/>
      </c>
      <c r="X174">
        <f>HYPERLINK("https://klasma.github.io/Logging_0980/tillsyn/A 22281-2026 tillsynsbegäran.docx", "A 22281-2026")</f>
        <v/>
      </c>
      <c r="Y174">
        <f>HYPERLINK("https://klasma.github.io/Logging_0980/tillsynsmail/A 22281-2026 tillsynsbegäran mail.docx", "A 22281-2026")</f>
        <v/>
      </c>
    </row>
    <row r="175" ht="15" customHeight="1">
      <c r="A175" t="inlineStr">
        <is>
          <t>A 7637-2025</t>
        </is>
      </c>
      <c r="B175" s="1" t="n">
        <v>45705.77181712963</v>
      </c>
      <c r="C175" s="1" t="n">
        <v>46163</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46163</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46163</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46163</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46163</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46163</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46163</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46163</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46163</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46163</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46163</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46163</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46163</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26461-2025</t>
        </is>
      </c>
      <c r="B188" s="1" t="n">
        <v>45807.43337962963</v>
      </c>
      <c r="C188" s="1" t="n">
        <v>46163</v>
      </c>
      <c r="D188" t="inlineStr">
        <is>
          <t>GOTLANDS LÄN</t>
        </is>
      </c>
      <c r="E188" t="inlineStr">
        <is>
          <t>GOTLAND</t>
        </is>
      </c>
      <c r="G188" t="n">
        <v>4.1</v>
      </c>
      <c r="H188" t="n">
        <v>0</v>
      </c>
      <c r="I188" t="n">
        <v>0</v>
      </c>
      <c r="J188" t="n">
        <v>0</v>
      </c>
      <c r="K188" t="n">
        <v>1</v>
      </c>
      <c r="L188" t="n">
        <v>0</v>
      </c>
      <c r="M188" t="n">
        <v>0</v>
      </c>
      <c r="N188" t="n">
        <v>0</v>
      </c>
      <c r="O188" t="n">
        <v>1</v>
      </c>
      <c r="P188" t="n">
        <v>1</v>
      </c>
      <c r="Q188" t="n">
        <v>1</v>
      </c>
      <c r="R188" s="2" t="inlineStr">
        <is>
          <t>Gotlandsmåra</t>
        </is>
      </c>
      <c r="S188">
        <f>HYPERLINK("https://klasma.github.io/Logging_0980/artfynd/A 26461-2025 artfynd.xlsx", "A 26461-2025")</f>
        <v/>
      </c>
      <c r="T188">
        <f>HYPERLINK("https://klasma.github.io/Logging_0980/kartor/A 26461-2025 karta.png", "A 26461-2025")</f>
        <v/>
      </c>
      <c r="V188">
        <f>HYPERLINK("https://klasma.github.io/Logging_0980/klagomål/A 26461-2025 FSC-klagomål.docx", "A 26461-2025")</f>
        <v/>
      </c>
      <c r="W188">
        <f>HYPERLINK("https://klasma.github.io/Logging_0980/klagomålsmail/A 26461-2025 FSC-klagomål mail.docx", "A 26461-2025")</f>
        <v/>
      </c>
      <c r="X188">
        <f>HYPERLINK("https://klasma.github.io/Logging_0980/tillsyn/A 26461-2025 tillsynsbegäran.docx", "A 26461-2025")</f>
        <v/>
      </c>
      <c r="Y188">
        <f>HYPERLINK("https://klasma.github.io/Logging_0980/tillsynsmail/A 26461-2025 tillsynsbegäran mail.docx", "A 26461-2025")</f>
        <v/>
      </c>
    </row>
    <row r="189" ht="15" customHeight="1">
      <c r="A189" t="inlineStr">
        <is>
          <t>A 36313-2021</t>
        </is>
      </c>
      <c r="B189" s="1" t="n">
        <v>44390</v>
      </c>
      <c r="C189" s="1" t="n">
        <v>46163</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46163</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46163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46163</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46163</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46163</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46163</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46163</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46163</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46163</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46163</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46163</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46163</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46163</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46163</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46163</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46163</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46163</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46163</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46163</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71010-2021</t>
        </is>
      </c>
      <c r="B209" s="1" t="n">
        <v>44538.63775462963</v>
      </c>
      <c r="C209" s="1" t="n">
        <v>46163</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22495-2022</t>
        </is>
      </c>
      <c r="B210" s="1" t="n">
        <v>44713.6452199074</v>
      </c>
      <c r="C210" s="1" t="n">
        <v>46163</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44942-2022</t>
        </is>
      </c>
      <c r="B211" s="1" t="n">
        <v>44841</v>
      </c>
      <c r="C211" s="1" t="n">
        <v>46163</v>
      </c>
      <c r="D211" t="inlineStr">
        <is>
          <t>GOTLANDS LÄN</t>
        </is>
      </c>
      <c r="E211" t="inlineStr">
        <is>
          <t>GOTLAND</t>
        </is>
      </c>
      <c r="G211" t="n">
        <v>2</v>
      </c>
      <c r="H211" t="n">
        <v>0</v>
      </c>
      <c r="I211" t="n">
        <v>0</v>
      </c>
      <c r="J211" t="n">
        <v>0</v>
      </c>
      <c r="K211" t="n">
        <v>0</v>
      </c>
      <c r="L211" t="n">
        <v>0</v>
      </c>
      <c r="M211" t="n">
        <v>0</v>
      </c>
      <c r="N211" t="n">
        <v>0</v>
      </c>
      <c r="O211" t="n">
        <v>0</v>
      </c>
      <c r="P211" t="n">
        <v>0</v>
      </c>
      <c r="Q211" t="n">
        <v>0</v>
      </c>
      <c r="R211" s="2" t="inlineStr"/>
    </row>
    <row r="212" ht="15" customHeight="1">
      <c r="A212" t="inlineStr">
        <is>
          <t>A 53225-2022</t>
        </is>
      </c>
      <c r="B212" s="1" t="n">
        <v>44876</v>
      </c>
      <c r="C212" s="1" t="n">
        <v>46163</v>
      </c>
      <c r="D212" t="inlineStr">
        <is>
          <t>GOTLANDS LÄN</t>
        </is>
      </c>
      <c r="E212" t="inlineStr">
        <is>
          <t>GOTLAND</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46163</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65393-2021</t>
        </is>
      </c>
      <c r="B214" s="1" t="n">
        <v>44515</v>
      </c>
      <c r="C214" s="1" t="n">
        <v>46163</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17354-2022</t>
        </is>
      </c>
      <c r="B215" s="1" t="n">
        <v>44678</v>
      </c>
      <c r="C215" s="1" t="n">
        <v>46163</v>
      </c>
      <c r="D215" t="inlineStr">
        <is>
          <t>GOTLANDS LÄN</t>
        </is>
      </c>
      <c r="E215" t="inlineStr">
        <is>
          <t>GOTLAND</t>
        </is>
      </c>
      <c r="G215" t="n">
        <v>7.1</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46163</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46163</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46163</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46163</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57219-2021</t>
        </is>
      </c>
      <c r="B220" s="1" t="n">
        <v>44483</v>
      </c>
      <c r="C220" s="1" t="n">
        <v>46163</v>
      </c>
      <c r="D220" t="inlineStr">
        <is>
          <t>GOTLANDS LÄN</t>
        </is>
      </c>
      <c r="E220" t="inlineStr">
        <is>
          <t>GOTLAND</t>
        </is>
      </c>
      <c r="F220" t="inlineStr">
        <is>
          <t>Kyrkan</t>
        </is>
      </c>
      <c r="G220" t="n">
        <v>4</v>
      </c>
      <c r="H220" t="n">
        <v>0</v>
      </c>
      <c r="I220" t="n">
        <v>0</v>
      </c>
      <c r="J220" t="n">
        <v>0</v>
      </c>
      <c r="K220" t="n">
        <v>0</v>
      </c>
      <c r="L220" t="n">
        <v>0</v>
      </c>
      <c r="M220" t="n">
        <v>0</v>
      </c>
      <c r="N220" t="n">
        <v>0</v>
      </c>
      <c r="O220" t="n">
        <v>0</v>
      </c>
      <c r="P220" t="n">
        <v>0</v>
      </c>
      <c r="Q220" t="n">
        <v>0</v>
      </c>
      <c r="R220" s="2" t="inlineStr"/>
    </row>
    <row r="221" ht="15" customHeight="1">
      <c r="A221" t="inlineStr">
        <is>
          <t>A 456-2023</t>
        </is>
      </c>
      <c r="B221" s="1" t="n">
        <v>44929.87122685185</v>
      </c>
      <c r="C221" s="1" t="n">
        <v>46163</v>
      </c>
      <c r="D221" t="inlineStr">
        <is>
          <t>GOTLANDS LÄN</t>
        </is>
      </c>
      <c r="E221" t="inlineStr">
        <is>
          <t>GOTLAND</t>
        </is>
      </c>
      <c r="G221" t="n">
        <v>3.2</v>
      </c>
      <c r="H221" t="n">
        <v>0</v>
      </c>
      <c r="I221" t="n">
        <v>0</v>
      </c>
      <c r="J221" t="n">
        <v>0</v>
      </c>
      <c r="K221" t="n">
        <v>0</v>
      </c>
      <c r="L221" t="n">
        <v>0</v>
      </c>
      <c r="M221" t="n">
        <v>0</v>
      </c>
      <c r="N221" t="n">
        <v>0</v>
      </c>
      <c r="O221" t="n">
        <v>0</v>
      </c>
      <c r="P221" t="n">
        <v>0</v>
      </c>
      <c r="Q221" t="n">
        <v>0</v>
      </c>
      <c r="R221" s="2" t="inlineStr"/>
    </row>
    <row r="222" ht="15" customHeight="1">
      <c r="A222" t="inlineStr">
        <is>
          <t>A 58476-2022</t>
        </is>
      </c>
      <c r="B222" s="1" t="n">
        <v>44902</v>
      </c>
      <c r="C222" s="1" t="n">
        <v>46163</v>
      </c>
      <c r="D222" t="inlineStr">
        <is>
          <t>GOTLANDS LÄN</t>
        </is>
      </c>
      <c r="E222" t="inlineStr">
        <is>
          <t>GOTLAND</t>
        </is>
      </c>
      <c r="G222" t="n">
        <v>0.9</v>
      </c>
      <c r="H222" t="n">
        <v>0</v>
      </c>
      <c r="I222" t="n">
        <v>0</v>
      </c>
      <c r="J222" t="n">
        <v>0</v>
      </c>
      <c r="K222" t="n">
        <v>0</v>
      </c>
      <c r="L222" t="n">
        <v>0</v>
      </c>
      <c r="M222" t="n">
        <v>0</v>
      </c>
      <c r="N222" t="n">
        <v>0</v>
      </c>
      <c r="O222" t="n">
        <v>0</v>
      </c>
      <c r="P222" t="n">
        <v>0</v>
      </c>
      <c r="Q222" t="n">
        <v>0</v>
      </c>
      <c r="R222" s="2" t="inlineStr"/>
    </row>
    <row r="223" ht="15" customHeight="1">
      <c r="A223" t="inlineStr">
        <is>
          <t>A 61596-2023</t>
        </is>
      </c>
      <c r="B223" s="1" t="n">
        <v>45265</v>
      </c>
      <c r="C223" s="1" t="n">
        <v>46163</v>
      </c>
      <c r="D223" t="inlineStr">
        <is>
          <t>GOTLANDS LÄN</t>
        </is>
      </c>
      <c r="E223" t="inlineStr">
        <is>
          <t>GOTLAND</t>
        </is>
      </c>
      <c r="G223" t="n">
        <v>1.7</v>
      </c>
      <c r="H223" t="n">
        <v>0</v>
      </c>
      <c r="I223" t="n">
        <v>0</v>
      </c>
      <c r="J223" t="n">
        <v>0</v>
      </c>
      <c r="K223" t="n">
        <v>0</v>
      </c>
      <c r="L223" t="n">
        <v>0</v>
      </c>
      <c r="M223" t="n">
        <v>0</v>
      </c>
      <c r="N223" t="n">
        <v>0</v>
      </c>
      <c r="O223" t="n">
        <v>0</v>
      </c>
      <c r="P223" t="n">
        <v>0</v>
      </c>
      <c r="Q223" t="n">
        <v>0</v>
      </c>
      <c r="R223" s="2" t="inlineStr"/>
    </row>
    <row r="224" ht="15" customHeight="1">
      <c r="A224" t="inlineStr">
        <is>
          <t>A 873-2024</t>
        </is>
      </c>
      <c r="B224" s="1" t="n">
        <v>45301</v>
      </c>
      <c r="C224" s="1" t="n">
        <v>46163</v>
      </c>
      <c r="D224" t="inlineStr">
        <is>
          <t>GOTLANDS LÄN</t>
        </is>
      </c>
      <c r="E224" t="inlineStr">
        <is>
          <t>GOTLAND</t>
        </is>
      </c>
      <c r="G224" t="n">
        <v>2.7</v>
      </c>
      <c r="H224" t="n">
        <v>0</v>
      </c>
      <c r="I224" t="n">
        <v>0</v>
      </c>
      <c r="J224" t="n">
        <v>0</v>
      </c>
      <c r="K224" t="n">
        <v>0</v>
      </c>
      <c r="L224" t="n">
        <v>0</v>
      </c>
      <c r="M224" t="n">
        <v>0</v>
      </c>
      <c r="N224" t="n">
        <v>0</v>
      </c>
      <c r="O224" t="n">
        <v>0</v>
      </c>
      <c r="P224" t="n">
        <v>0</v>
      </c>
      <c r="Q224" t="n">
        <v>0</v>
      </c>
      <c r="R224" s="2" t="inlineStr"/>
    </row>
    <row r="225" ht="15" customHeight="1">
      <c r="A225" t="inlineStr">
        <is>
          <t>A 63229-2021</t>
        </is>
      </c>
      <c r="B225" s="1" t="n">
        <v>44508.34518518519</v>
      </c>
      <c r="C225" s="1" t="n">
        <v>46163</v>
      </c>
      <c r="D225" t="inlineStr">
        <is>
          <t>GOTLANDS LÄN</t>
        </is>
      </c>
      <c r="E225" t="inlineStr">
        <is>
          <t>GOTLAND</t>
        </is>
      </c>
      <c r="F225" t="inlineStr">
        <is>
          <t>Kyrkan</t>
        </is>
      </c>
      <c r="G225" t="n">
        <v>3.8</v>
      </c>
      <c r="H225" t="n">
        <v>0</v>
      </c>
      <c r="I225" t="n">
        <v>0</v>
      </c>
      <c r="J225" t="n">
        <v>0</v>
      </c>
      <c r="K225" t="n">
        <v>0</v>
      </c>
      <c r="L225" t="n">
        <v>0</v>
      </c>
      <c r="M225" t="n">
        <v>0</v>
      </c>
      <c r="N225" t="n">
        <v>0</v>
      </c>
      <c r="O225" t="n">
        <v>0</v>
      </c>
      <c r="P225" t="n">
        <v>0</v>
      </c>
      <c r="Q225" t="n">
        <v>0</v>
      </c>
      <c r="R225" s="2" t="inlineStr"/>
    </row>
    <row r="226" ht="15" customHeight="1">
      <c r="A226" t="inlineStr">
        <is>
          <t>A 44228-2022</t>
        </is>
      </c>
      <c r="B226" s="1" t="n">
        <v>44839.51599537037</v>
      </c>
      <c r="C226" s="1" t="n">
        <v>46163</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61386-2023</t>
        </is>
      </c>
      <c r="B227" s="1" t="n">
        <v>45264</v>
      </c>
      <c r="C227" s="1" t="n">
        <v>46163</v>
      </c>
      <c r="D227" t="inlineStr">
        <is>
          <t>GOTLANDS LÄN</t>
        </is>
      </c>
      <c r="E227" t="inlineStr">
        <is>
          <t>GOTLAND</t>
        </is>
      </c>
      <c r="G227" t="n">
        <v>0.7</v>
      </c>
      <c r="H227" t="n">
        <v>0</v>
      </c>
      <c r="I227" t="n">
        <v>0</v>
      </c>
      <c r="J227" t="n">
        <v>0</v>
      </c>
      <c r="K227" t="n">
        <v>0</v>
      </c>
      <c r="L227" t="n">
        <v>0</v>
      </c>
      <c r="M227" t="n">
        <v>0</v>
      </c>
      <c r="N227" t="n">
        <v>0</v>
      </c>
      <c r="O227" t="n">
        <v>0</v>
      </c>
      <c r="P227" t="n">
        <v>0</v>
      </c>
      <c r="Q227" t="n">
        <v>0</v>
      </c>
      <c r="R227" s="2" t="inlineStr"/>
    </row>
    <row r="228" ht="15" customHeight="1">
      <c r="A228" t="inlineStr">
        <is>
          <t>A 27593-2023</t>
        </is>
      </c>
      <c r="B228" s="1" t="n">
        <v>45097</v>
      </c>
      <c r="C228" s="1" t="n">
        <v>46163</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25129-2023</t>
        </is>
      </c>
      <c r="B229" s="1" t="n">
        <v>45086.44261574074</v>
      </c>
      <c r="C229" s="1" t="n">
        <v>46163</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56009-2024</t>
        </is>
      </c>
      <c r="B230" s="1" t="n">
        <v>45623.80864583333</v>
      </c>
      <c r="C230" s="1" t="n">
        <v>46163</v>
      </c>
      <c r="D230" t="inlineStr">
        <is>
          <t>GOTLANDS LÄN</t>
        </is>
      </c>
      <c r="E230" t="inlineStr">
        <is>
          <t>GOTLAND</t>
        </is>
      </c>
      <c r="G230" t="n">
        <v>2.8</v>
      </c>
      <c r="H230" t="n">
        <v>0</v>
      </c>
      <c r="I230" t="n">
        <v>0</v>
      </c>
      <c r="J230" t="n">
        <v>0</v>
      </c>
      <c r="K230" t="n">
        <v>0</v>
      </c>
      <c r="L230" t="n">
        <v>0</v>
      </c>
      <c r="M230" t="n">
        <v>0</v>
      </c>
      <c r="N230" t="n">
        <v>0</v>
      </c>
      <c r="O230" t="n">
        <v>0</v>
      </c>
      <c r="P230" t="n">
        <v>0</v>
      </c>
      <c r="Q230" t="n">
        <v>0</v>
      </c>
      <c r="R230" s="2" t="inlineStr"/>
    </row>
    <row r="231" ht="15" customHeight="1">
      <c r="A231" t="inlineStr">
        <is>
          <t>A 54073-2022</t>
        </is>
      </c>
      <c r="B231" s="1" t="n">
        <v>44881.50380787037</v>
      </c>
      <c r="C231" s="1" t="n">
        <v>46163</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45106-2024</t>
        </is>
      </c>
      <c r="B232" s="1" t="n">
        <v>45575</v>
      </c>
      <c r="C232" s="1" t="n">
        <v>46163</v>
      </c>
      <c r="D232" t="inlineStr">
        <is>
          <t>GOTLANDS LÄN</t>
        </is>
      </c>
      <c r="E232" t="inlineStr">
        <is>
          <t>GOTLAND</t>
        </is>
      </c>
      <c r="G232" t="n">
        <v>10</v>
      </c>
      <c r="H232" t="n">
        <v>0</v>
      </c>
      <c r="I232" t="n">
        <v>0</v>
      </c>
      <c r="J232" t="n">
        <v>0</v>
      </c>
      <c r="K232" t="n">
        <v>0</v>
      </c>
      <c r="L232" t="n">
        <v>0</v>
      </c>
      <c r="M232" t="n">
        <v>0</v>
      </c>
      <c r="N232" t="n">
        <v>0</v>
      </c>
      <c r="O232" t="n">
        <v>0</v>
      </c>
      <c r="P232" t="n">
        <v>0</v>
      </c>
      <c r="Q232" t="n">
        <v>0</v>
      </c>
      <c r="R232" s="2" t="inlineStr"/>
    </row>
    <row r="233" ht="15" customHeight="1">
      <c r="A233" t="inlineStr">
        <is>
          <t>A 45112-2024</t>
        </is>
      </c>
      <c r="B233" s="1" t="n">
        <v>45575</v>
      </c>
      <c r="C233" s="1" t="n">
        <v>46163</v>
      </c>
      <c r="D233" t="inlineStr">
        <is>
          <t>GOTLANDS LÄN</t>
        </is>
      </c>
      <c r="E233" t="inlineStr">
        <is>
          <t>GOTLAND</t>
        </is>
      </c>
      <c r="G233" t="n">
        <v>5.1</v>
      </c>
      <c r="H233" t="n">
        <v>0</v>
      </c>
      <c r="I233" t="n">
        <v>0</v>
      </c>
      <c r="J233" t="n">
        <v>0</v>
      </c>
      <c r="K233" t="n">
        <v>0</v>
      </c>
      <c r="L233" t="n">
        <v>0</v>
      </c>
      <c r="M233" t="n">
        <v>0</v>
      </c>
      <c r="N233" t="n">
        <v>0</v>
      </c>
      <c r="O233" t="n">
        <v>0</v>
      </c>
      <c r="P233" t="n">
        <v>0</v>
      </c>
      <c r="Q233" t="n">
        <v>0</v>
      </c>
      <c r="R233" s="2" t="inlineStr"/>
    </row>
    <row r="234" ht="15" customHeight="1">
      <c r="A234" t="inlineStr">
        <is>
          <t>A 3964-2024</t>
        </is>
      </c>
      <c r="B234" s="1" t="n">
        <v>45322</v>
      </c>
      <c r="C234" s="1" t="n">
        <v>46163</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7026-2023</t>
        </is>
      </c>
      <c r="B235" s="1" t="n">
        <v>44968.30340277778</v>
      </c>
      <c r="C235" s="1" t="n">
        <v>46163</v>
      </c>
      <c r="D235" t="inlineStr">
        <is>
          <t>GOTLANDS LÄN</t>
        </is>
      </c>
      <c r="E235" t="inlineStr">
        <is>
          <t>GOTLAND</t>
        </is>
      </c>
      <c r="G235" t="n">
        <v>2.9</v>
      </c>
      <c r="H235" t="n">
        <v>0</v>
      </c>
      <c r="I235" t="n">
        <v>0</v>
      </c>
      <c r="J235" t="n">
        <v>0</v>
      </c>
      <c r="K235" t="n">
        <v>0</v>
      </c>
      <c r="L235" t="n">
        <v>0</v>
      </c>
      <c r="M235" t="n">
        <v>0</v>
      </c>
      <c r="N235" t="n">
        <v>0</v>
      </c>
      <c r="O235" t="n">
        <v>0</v>
      </c>
      <c r="P235" t="n">
        <v>0</v>
      </c>
      <c r="Q235" t="n">
        <v>0</v>
      </c>
      <c r="R235" s="2" t="inlineStr"/>
    </row>
    <row r="236" ht="15" customHeight="1">
      <c r="A236" t="inlineStr">
        <is>
          <t>A 52892-2021</t>
        </is>
      </c>
      <c r="B236" s="1" t="n">
        <v>44467.49048611111</v>
      </c>
      <c r="C236" s="1" t="n">
        <v>46163</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1351-2025</t>
        </is>
      </c>
      <c r="B237" s="1" t="n">
        <v>45667.62246527777</v>
      </c>
      <c r="C237" s="1" t="n">
        <v>46163</v>
      </c>
      <c r="D237" t="inlineStr">
        <is>
          <t>GOTLANDS LÄN</t>
        </is>
      </c>
      <c r="E237" t="inlineStr">
        <is>
          <t>GOTLAND</t>
        </is>
      </c>
      <c r="G237" t="n">
        <v>1.3</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46163</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49874-2024</t>
        </is>
      </c>
      <c r="B239" s="1" t="n">
        <v>45597.49274305555</v>
      </c>
      <c r="C239" s="1" t="n">
        <v>46163</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51782-2023</t>
        </is>
      </c>
      <c r="B240" s="1" t="n">
        <v>45222.80952546297</v>
      </c>
      <c r="C240" s="1" t="n">
        <v>46163</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60675-2021</t>
        </is>
      </c>
      <c r="B241" s="1" t="n">
        <v>44496.64855324074</v>
      </c>
      <c r="C241" s="1" t="n">
        <v>46163</v>
      </c>
      <c r="D241" t="inlineStr">
        <is>
          <t>GOTLANDS LÄN</t>
        </is>
      </c>
      <c r="E241" t="inlineStr">
        <is>
          <t>GOTLAND</t>
        </is>
      </c>
      <c r="G241" t="n">
        <v>4.6</v>
      </c>
      <c r="H241" t="n">
        <v>0</v>
      </c>
      <c r="I241" t="n">
        <v>0</v>
      </c>
      <c r="J241" t="n">
        <v>0</v>
      </c>
      <c r="K241" t="n">
        <v>0</v>
      </c>
      <c r="L241" t="n">
        <v>0</v>
      </c>
      <c r="M241" t="n">
        <v>0</v>
      </c>
      <c r="N241" t="n">
        <v>0</v>
      </c>
      <c r="O241" t="n">
        <v>0</v>
      </c>
      <c r="P241" t="n">
        <v>0</v>
      </c>
      <c r="Q241" t="n">
        <v>0</v>
      </c>
      <c r="R241" s="2" t="inlineStr"/>
    </row>
    <row r="242" ht="15" customHeight="1">
      <c r="A242" t="inlineStr">
        <is>
          <t>A 4421-2024</t>
        </is>
      </c>
      <c r="B242" s="1" t="n">
        <v>45327.45173611111</v>
      </c>
      <c r="C242" s="1" t="n">
        <v>46163</v>
      </c>
      <c r="D242" t="inlineStr">
        <is>
          <t>GOTLANDS LÄN</t>
        </is>
      </c>
      <c r="E242" t="inlineStr">
        <is>
          <t>GOTLAND</t>
        </is>
      </c>
      <c r="G242" t="n">
        <v>5.1</v>
      </c>
      <c r="H242" t="n">
        <v>0</v>
      </c>
      <c r="I242" t="n">
        <v>0</v>
      </c>
      <c r="J242" t="n">
        <v>0</v>
      </c>
      <c r="K242" t="n">
        <v>0</v>
      </c>
      <c r="L242" t="n">
        <v>0</v>
      </c>
      <c r="M242" t="n">
        <v>0</v>
      </c>
      <c r="N242" t="n">
        <v>0</v>
      </c>
      <c r="O242" t="n">
        <v>0</v>
      </c>
      <c r="P242" t="n">
        <v>0</v>
      </c>
      <c r="Q242" t="n">
        <v>0</v>
      </c>
      <c r="R242" s="2" t="inlineStr"/>
    </row>
    <row r="243" ht="15" customHeight="1">
      <c r="A243" t="inlineStr">
        <is>
          <t>A 5217-2023</t>
        </is>
      </c>
      <c r="B243" s="1" t="n">
        <v>44959.39582175926</v>
      </c>
      <c r="C243" s="1" t="n">
        <v>46163</v>
      </c>
      <c r="D243" t="inlineStr">
        <is>
          <t>GOTLANDS LÄN</t>
        </is>
      </c>
      <c r="E243" t="inlineStr">
        <is>
          <t>GOTLAND</t>
        </is>
      </c>
      <c r="G243" t="n">
        <v>1.9</v>
      </c>
      <c r="H243" t="n">
        <v>0</v>
      </c>
      <c r="I243" t="n">
        <v>0</v>
      </c>
      <c r="J243" t="n">
        <v>0</v>
      </c>
      <c r="K243" t="n">
        <v>0</v>
      </c>
      <c r="L243" t="n">
        <v>0</v>
      </c>
      <c r="M243" t="n">
        <v>0</v>
      </c>
      <c r="N243" t="n">
        <v>0</v>
      </c>
      <c r="O243" t="n">
        <v>0</v>
      </c>
      <c r="P243" t="n">
        <v>0</v>
      </c>
      <c r="Q243" t="n">
        <v>0</v>
      </c>
      <c r="R243" s="2" t="inlineStr"/>
    </row>
    <row r="244" ht="15" customHeight="1">
      <c r="A244" t="inlineStr">
        <is>
          <t>A 20165-2022</t>
        </is>
      </c>
      <c r="B244" s="1" t="n">
        <v>44698.49854166667</v>
      </c>
      <c r="C244" s="1" t="n">
        <v>46163</v>
      </c>
      <c r="D244" t="inlineStr">
        <is>
          <t>GOTLANDS LÄN</t>
        </is>
      </c>
      <c r="E244" t="inlineStr">
        <is>
          <t>GOTLAND</t>
        </is>
      </c>
      <c r="G244" t="n">
        <v>4.1</v>
      </c>
      <c r="H244" t="n">
        <v>0</v>
      </c>
      <c r="I244" t="n">
        <v>0</v>
      </c>
      <c r="J244" t="n">
        <v>0</v>
      </c>
      <c r="K244" t="n">
        <v>0</v>
      </c>
      <c r="L244" t="n">
        <v>0</v>
      </c>
      <c r="M244" t="n">
        <v>0</v>
      </c>
      <c r="N244" t="n">
        <v>0</v>
      </c>
      <c r="O244" t="n">
        <v>0</v>
      </c>
      <c r="P244" t="n">
        <v>0</v>
      </c>
      <c r="Q244" t="n">
        <v>0</v>
      </c>
      <c r="R244" s="2" t="inlineStr"/>
    </row>
    <row r="245" ht="15" customHeight="1">
      <c r="A245" t="inlineStr">
        <is>
          <t>A 14638-2025</t>
        </is>
      </c>
      <c r="B245" s="1" t="n">
        <v>45742</v>
      </c>
      <c r="C245" s="1" t="n">
        <v>46163</v>
      </c>
      <c r="D245" t="inlineStr">
        <is>
          <t>GOTLANDS LÄN</t>
        </is>
      </c>
      <c r="E245" t="inlineStr">
        <is>
          <t>GOTLAND</t>
        </is>
      </c>
      <c r="G245" t="n">
        <v>13.4</v>
      </c>
      <c r="H245" t="n">
        <v>0</v>
      </c>
      <c r="I245" t="n">
        <v>0</v>
      </c>
      <c r="J245" t="n">
        <v>0</v>
      </c>
      <c r="K245" t="n">
        <v>0</v>
      </c>
      <c r="L245" t="n">
        <v>0</v>
      </c>
      <c r="M245" t="n">
        <v>0</v>
      </c>
      <c r="N245" t="n">
        <v>0</v>
      </c>
      <c r="O245" t="n">
        <v>0</v>
      </c>
      <c r="P245" t="n">
        <v>0</v>
      </c>
      <c r="Q245" t="n">
        <v>0</v>
      </c>
      <c r="R245" s="2" t="inlineStr"/>
    </row>
    <row r="246" ht="15" customHeight="1">
      <c r="A246" t="inlineStr">
        <is>
          <t>A 33876-2024</t>
        </is>
      </c>
      <c r="B246" s="1" t="n">
        <v>45521.87988425926</v>
      </c>
      <c r="C246" s="1" t="n">
        <v>46163</v>
      </c>
      <c r="D246" t="inlineStr">
        <is>
          <t>GOTLANDS LÄN</t>
        </is>
      </c>
      <c r="E246" t="inlineStr">
        <is>
          <t>GOTLAND</t>
        </is>
      </c>
      <c r="G246" t="n">
        <v>1.3</v>
      </c>
      <c r="H246" t="n">
        <v>0</v>
      </c>
      <c r="I246" t="n">
        <v>0</v>
      </c>
      <c r="J246" t="n">
        <v>0</v>
      </c>
      <c r="K246" t="n">
        <v>0</v>
      </c>
      <c r="L246" t="n">
        <v>0</v>
      </c>
      <c r="M246" t="n">
        <v>0</v>
      </c>
      <c r="N246" t="n">
        <v>0</v>
      </c>
      <c r="O246" t="n">
        <v>0</v>
      </c>
      <c r="P246" t="n">
        <v>0</v>
      </c>
      <c r="Q246" t="n">
        <v>0</v>
      </c>
      <c r="R246" s="2" t="inlineStr"/>
    </row>
    <row r="247" ht="15" customHeight="1">
      <c r="A247" t="inlineStr">
        <is>
          <t>A 61962-2024</t>
        </is>
      </c>
      <c r="B247" s="1" t="n">
        <v>45653.54340277778</v>
      </c>
      <c r="C247" s="1" t="n">
        <v>46163</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31264-2021</t>
        </is>
      </c>
      <c r="B248" s="1" t="n">
        <v>44368</v>
      </c>
      <c r="C248" s="1" t="n">
        <v>46163</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43223-2023</t>
        </is>
      </c>
      <c r="B249" s="1" t="n">
        <v>45183.45642361111</v>
      </c>
      <c r="C249" s="1" t="n">
        <v>46163</v>
      </c>
      <c r="D249" t="inlineStr">
        <is>
          <t>GOTLANDS LÄN</t>
        </is>
      </c>
      <c r="E249" t="inlineStr">
        <is>
          <t>GOTLAND</t>
        </is>
      </c>
      <c r="G249" t="n">
        <v>1.8</v>
      </c>
      <c r="H249" t="n">
        <v>0</v>
      </c>
      <c r="I249" t="n">
        <v>0</v>
      </c>
      <c r="J249" t="n">
        <v>0</v>
      </c>
      <c r="K249" t="n">
        <v>0</v>
      </c>
      <c r="L249" t="n">
        <v>0</v>
      </c>
      <c r="M249" t="n">
        <v>0</v>
      </c>
      <c r="N249" t="n">
        <v>0</v>
      </c>
      <c r="O249" t="n">
        <v>0</v>
      </c>
      <c r="P249" t="n">
        <v>0</v>
      </c>
      <c r="Q249" t="n">
        <v>0</v>
      </c>
      <c r="R249" s="2" t="inlineStr"/>
    </row>
    <row r="250" ht="15" customHeight="1">
      <c r="A250" t="inlineStr">
        <is>
          <t>A 27930-2021</t>
        </is>
      </c>
      <c r="B250" s="1" t="n">
        <v>44354</v>
      </c>
      <c r="C250" s="1" t="n">
        <v>46163</v>
      </c>
      <c r="D250" t="inlineStr">
        <is>
          <t>GOTLANDS LÄN</t>
        </is>
      </c>
      <c r="E250" t="inlineStr">
        <is>
          <t>GOTLAND</t>
        </is>
      </c>
      <c r="G250" t="n">
        <v>2.5</v>
      </c>
      <c r="H250" t="n">
        <v>0</v>
      </c>
      <c r="I250" t="n">
        <v>0</v>
      </c>
      <c r="J250" t="n">
        <v>0</v>
      </c>
      <c r="K250" t="n">
        <v>0</v>
      </c>
      <c r="L250" t="n">
        <v>0</v>
      </c>
      <c r="M250" t="n">
        <v>0</v>
      </c>
      <c r="N250" t="n">
        <v>0</v>
      </c>
      <c r="O250" t="n">
        <v>0</v>
      </c>
      <c r="P250" t="n">
        <v>0</v>
      </c>
      <c r="Q250" t="n">
        <v>0</v>
      </c>
      <c r="R250" s="2" t="inlineStr"/>
    </row>
    <row r="251" ht="15" customHeight="1">
      <c r="A251" t="inlineStr">
        <is>
          <t>A 59469-2024</t>
        </is>
      </c>
      <c r="B251" s="1" t="n">
        <v>45638</v>
      </c>
      <c r="C251" s="1" t="n">
        <v>46163</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4990-2025</t>
        </is>
      </c>
      <c r="B252" s="1" t="n">
        <v>45691</v>
      </c>
      <c r="C252" s="1" t="n">
        <v>46163</v>
      </c>
      <c r="D252" t="inlineStr">
        <is>
          <t>GOTLANDS LÄN</t>
        </is>
      </c>
      <c r="E252" t="inlineStr">
        <is>
          <t>GOTLAND</t>
        </is>
      </c>
      <c r="G252" t="n">
        <v>7.7</v>
      </c>
      <c r="H252" t="n">
        <v>0</v>
      </c>
      <c r="I252" t="n">
        <v>0</v>
      </c>
      <c r="J252" t="n">
        <v>0</v>
      </c>
      <c r="K252" t="n">
        <v>0</v>
      </c>
      <c r="L252" t="n">
        <v>0</v>
      </c>
      <c r="M252" t="n">
        <v>0</v>
      </c>
      <c r="N252" t="n">
        <v>0</v>
      </c>
      <c r="O252" t="n">
        <v>0</v>
      </c>
      <c r="P252" t="n">
        <v>0</v>
      </c>
      <c r="Q252" t="n">
        <v>0</v>
      </c>
      <c r="R252" s="2" t="inlineStr"/>
    </row>
    <row r="253" ht="15" customHeight="1">
      <c r="A253" t="inlineStr">
        <is>
          <t>A 5751-2024</t>
        </is>
      </c>
      <c r="B253" s="1" t="n">
        <v>45335.32702546296</v>
      </c>
      <c r="C253" s="1" t="n">
        <v>46163</v>
      </c>
      <c r="D253" t="inlineStr">
        <is>
          <t>GOTLANDS LÄN</t>
        </is>
      </c>
      <c r="E253" t="inlineStr">
        <is>
          <t>GOTLAND</t>
        </is>
      </c>
      <c r="G253" t="n">
        <v>4.2</v>
      </c>
      <c r="H253" t="n">
        <v>0</v>
      </c>
      <c r="I253" t="n">
        <v>0</v>
      </c>
      <c r="J253" t="n">
        <v>0</v>
      </c>
      <c r="K253" t="n">
        <v>0</v>
      </c>
      <c r="L253" t="n">
        <v>0</v>
      </c>
      <c r="M253" t="n">
        <v>0</v>
      </c>
      <c r="N253" t="n">
        <v>0</v>
      </c>
      <c r="O253" t="n">
        <v>0</v>
      </c>
      <c r="P253" t="n">
        <v>0</v>
      </c>
      <c r="Q253" t="n">
        <v>0</v>
      </c>
      <c r="R253" s="2" t="inlineStr"/>
    </row>
    <row r="254" ht="15" customHeight="1">
      <c r="A254" t="inlineStr">
        <is>
          <t>A 6696-2023</t>
        </is>
      </c>
      <c r="B254" s="1" t="n">
        <v>44966.66425925926</v>
      </c>
      <c r="C254" s="1" t="n">
        <v>46163</v>
      </c>
      <c r="D254" t="inlineStr">
        <is>
          <t>GOTLANDS LÄN</t>
        </is>
      </c>
      <c r="E254" t="inlineStr">
        <is>
          <t>GOTLAND</t>
        </is>
      </c>
      <c r="G254" t="n">
        <v>1.5</v>
      </c>
      <c r="H254" t="n">
        <v>0</v>
      </c>
      <c r="I254" t="n">
        <v>0</v>
      </c>
      <c r="J254" t="n">
        <v>0</v>
      </c>
      <c r="K254" t="n">
        <v>0</v>
      </c>
      <c r="L254" t="n">
        <v>0</v>
      </c>
      <c r="M254" t="n">
        <v>0</v>
      </c>
      <c r="N254" t="n">
        <v>0</v>
      </c>
      <c r="O254" t="n">
        <v>0</v>
      </c>
      <c r="P254" t="n">
        <v>0</v>
      </c>
      <c r="Q254" t="n">
        <v>0</v>
      </c>
      <c r="R254" s="2" t="inlineStr"/>
    </row>
    <row r="255" ht="15" customHeight="1">
      <c r="A255" t="inlineStr">
        <is>
          <t>A 28480-2023</t>
        </is>
      </c>
      <c r="B255" s="1" t="n">
        <v>45103</v>
      </c>
      <c r="C255" s="1" t="n">
        <v>46163</v>
      </c>
      <c r="D255" t="inlineStr">
        <is>
          <t>GOTLANDS LÄN</t>
        </is>
      </c>
      <c r="E255" t="inlineStr">
        <is>
          <t>GOTLAND</t>
        </is>
      </c>
      <c r="G255" t="n">
        <v>5.7</v>
      </c>
      <c r="H255" t="n">
        <v>0</v>
      </c>
      <c r="I255" t="n">
        <v>0</v>
      </c>
      <c r="J255" t="n">
        <v>0</v>
      </c>
      <c r="K255" t="n">
        <v>0</v>
      </c>
      <c r="L255" t="n">
        <v>0</v>
      </c>
      <c r="M255" t="n">
        <v>0</v>
      </c>
      <c r="N255" t="n">
        <v>0</v>
      </c>
      <c r="O255" t="n">
        <v>0</v>
      </c>
      <c r="P255" t="n">
        <v>0</v>
      </c>
      <c r="Q255" t="n">
        <v>0</v>
      </c>
      <c r="R255" s="2" t="inlineStr"/>
    </row>
    <row r="256" ht="15" customHeight="1">
      <c r="A256" t="inlineStr">
        <is>
          <t>A 28485-2023</t>
        </is>
      </c>
      <c r="B256" s="1" t="n">
        <v>45103.43731481482</v>
      </c>
      <c r="C256" s="1" t="n">
        <v>46163</v>
      </c>
      <c r="D256" t="inlineStr">
        <is>
          <t>GOTLANDS LÄN</t>
        </is>
      </c>
      <c r="E256" t="inlineStr">
        <is>
          <t>GOTLAND</t>
        </is>
      </c>
      <c r="G256" t="n">
        <v>2.3</v>
      </c>
      <c r="H256" t="n">
        <v>0</v>
      </c>
      <c r="I256" t="n">
        <v>0</v>
      </c>
      <c r="J256" t="n">
        <v>0</v>
      </c>
      <c r="K256" t="n">
        <v>0</v>
      </c>
      <c r="L256" t="n">
        <v>0</v>
      </c>
      <c r="M256" t="n">
        <v>0</v>
      </c>
      <c r="N256" t="n">
        <v>0</v>
      </c>
      <c r="O256" t="n">
        <v>0</v>
      </c>
      <c r="P256" t="n">
        <v>0</v>
      </c>
      <c r="Q256" t="n">
        <v>0</v>
      </c>
      <c r="R256" s="2" t="inlineStr"/>
    </row>
    <row r="257" ht="15" customHeight="1">
      <c r="A257" t="inlineStr">
        <is>
          <t>A 38165-2023</t>
        </is>
      </c>
      <c r="B257" s="1" t="n">
        <v>45161</v>
      </c>
      <c r="C257" s="1" t="n">
        <v>46163</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48503-2023</t>
        </is>
      </c>
      <c r="B258" s="1" t="n">
        <v>45207</v>
      </c>
      <c r="C258" s="1" t="n">
        <v>46163</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24825-2024</t>
        </is>
      </c>
      <c r="B259" s="1" t="n">
        <v>45461</v>
      </c>
      <c r="C259" s="1" t="n">
        <v>46163</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22031-2024</t>
        </is>
      </c>
      <c r="B260" s="1" t="n">
        <v>45443.60075231481</v>
      </c>
      <c r="C260" s="1" t="n">
        <v>46163</v>
      </c>
      <c r="D260" t="inlineStr">
        <is>
          <t>GOTLANDS LÄN</t>
        </is>
      </c>
      <c r="E260" t="inlineStr">
        <is>
          <t>GOTLAND</t>
        </is>
      </c>
      <c r="G260" t="n">
        <v>2.3</v>
      </c>
      <c r="H260" t="n">
        <v>0</v>
      </c>
      <c r="I260" t="n">
        <v>0</v>
      </c>
      <c r="J260" t="n">
        <v>0</v>
      </c>
      <c r="K260" t="n">
        <v>0</v>
      </c>
      <c r="L260" t="n">
        <v>0</v>
      </c>
      <c r="M260" t="n">
        <v>0</v>
      </c>
      <c r="N260" t="n">
        <v>0</v>
      </c>
      <c r="O260" t="n">
        <v>0</v>
      </c>
      <c r="P260" t="n">
        <v>0</v>
      </c>
      <c r="Q260" t="n">
        <v>0</v>
      </c>
      <c r="R260" s="2" t="inlineStr"/>
    </row>
    <row r="261" ht="15" customHeight="1">
      <c r="A261" t="inlineStr">
        <is>
          <t>A 17688-2024</t>
        </is>
      </c>
      <c r="B261" s="1" t="n">
        <v>45418.43575231481</v>
      </c>
      <c r="C261" s="1" t="n">
        <v>46163</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27694-2024</t>
        </is>
      </c>
      <c r="B262" s="1" t="n">
        <v>45475</v>
      </c>
      <c r="C262" s="1" t="n">
        <v>46163</v>
      </c>
      <c r="D262" t="inlineStr">
        <is>
          <t>GOTLANDS LÄN</t>
        </is>
      </c>
      <c r="E262" t="inlineStr">
        <is>
          <t>GOTLAND</t>
        </is>
      </c>
      <c r="G262" t="n">
        <v>1.2</v>
      </c>
      <c r="H262" t="n">
        <v>0</v>
      </c>
      <c r="I262" t="n">
        <v>0</v>
      </c>
      <c r="J262" t="n">
        <v>0</v>
      </c>
      <c r="K262" t="n">
        <v>0</v>
      </c>
      <c r="L262" t="n">
        <v>0</v>
      </c>
      <c r="M262" t="n">
        <v>0</v>
      </c>
      <c r="N262" t="n">
        <v>0</v>
      </c>
      <c r="O262" t="n">
        <v>0</v>
      </c>
      <c r="P262" t="n">
        <v>0</v>
      </c>
      <c r="Q262" t="n">
        <v>0</v>
      </c>
      <c r="R262" s="2" t="inlineStr"/>
    </row>
    <row r="263" ht="15" customHeight="1">
      <c r="A263" t="inlineStr">
        <is>
          <t>A 8260-2023</t>
        </is>
      </c>
      <c r="B263" s="1" t="n">
        <v>44974.61608796296</v>
      </c>
      <c r="C263" s="1" t="n">
        <v>46163</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39764-2022</t>
        </is>
      </c>
      <c r="B264" s="1" t="n">
        <v>44819</v>
      </c>
      <c r="C264" s="1" t="n">
        <v>46163</v>
      </c>
      <c r="D264" t="inlineStr">
        <is>
          <t>GOTLANDS LÄN</t>
        </is>
      </c>
      <c r="E264" t="inlineStr">
        <is>
          <t>GOTLAND</t>
        </is>
      </c>
      <c r="F264" t="inlineStr">
        <is>
          <t>Kyrkan</t>
        </is>
      </c>
      <c r="G264" t="n">
        <v>3.7</v>
      </c>
      <c r="H264" t="n">
        <v>0</v>
      </c>
      <c r="I264" t="n">
        <v>0</v>
      </c>
      <c r="J264" t="n">
        <v>0</v>
      </c>
      <c r="K264" t="n">
        <v>0</v>
      </c>
      <c r="L264" t="n">
        <v>0</v>
      </c>
      <c r="M264" t="n">
        <v>0</v>
      </c>
      <c r="N264" t="n">
        <v>0</v>
      </c>
      <c r="O264" t="n">
        <v>0</v>
      </c>
      <c r="P264" t="n">
        <v>0</v>
      </c>
      <c r="Q264" t="n">
        <v>0</v>
      </c>
      <c r="R264" s="2" t="inlineStr"/>
    </row>
    <row r="265" ht="15" customHeight="1">
      <c r="A265" t="inlineStr">
        <is>
          <t>A 22287-2022</t>
        </is>
      </c>
      <c r="B265" s="1" t="n">
        <v>44712</v>
      </c>
      <c r="C265" s="1" t="n">
        <v>46163</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6099-2024</t>
        </is>
      </c>
      <c r="B266" s="1" t="n">
        <v>45337</v>
      </c>
      <c r="C266" s="1" t="n">
        <v>46163</v>
      </c>
      <c r="D266" t="inlineStr">
        <is>
          <t>GOTLANDS LÄN</t>
        </is>
      </c>
      <c r="E266" t="inlineStr">
        <is>
          <t>GOTLAND</t>
        </is>
      </c>
      <c r="G266" t="n">
        <v>12.6</v>
      </c>
      <c r="H266" t="n">
        <v>0</v>
      </c>
      <c r="I266" t="n">
        <v>0</v>
      </c>
      <c r="J266" t="n">
        <v>0</v>
      </c>
      <c r="K266" t="n">
        <v>0</v>
      </c>
      <c r="L266" t="n">
        <v>0</v>
      </c>
      <c r="M266" t="n">
        <v>0</v>
      </c>
      <c r="N266" t="n">
        <v>0</v>
      </c>
      <c r="O266" t="n">
        <v>0</v>
      </c>
      <c r="P266" t="n">
        <v>0</v>
      </c>
      <c r="Q266" t="n">
        <v>0</v>
      </c>
      <c r="R266" s="2" t="inlineStr"/>
    </row>
    <row r="267" ht="15" customHeight="1">
      <c r="A267" t="inlineStr">
        <is>
          <t>A 57534-2022</t>
        </is>
      </c>
      <c r="B267" s="1" t="n">
        <v>44896</v>
      </c>
      <c r="C267" s="1" t="n">
        <v>46163</v>
      </c>
      <c r="D267" t="inlineStr">
        <is>
          <t>GOTLANDS LÄN</t>
        </is>
      </c>
      <c r="E267" t="inlineStr">
        <is>
          <t>GOTLAND</t>
        </is>
      </c>
      <c r="G267" t="n">
        <v>0.6</v>
      </c>
      <c r="H267" t="n">
        <v>0</v>
      </c>
      <c r="I267" t="n">
        <v>0</v>
      </c>
      <c r="J267" t="n">
        <v>0</v>
      </c>
      <c r="K267" t="n">
        <v>0</v>
      </c>
      <c r="L267" t="n">
        <v>0</v>
      </c>
      <c r="M267" t="n">
        <v>0</v>
      </c>
      <c r="N267" t="n">
        <v>0</v>
      </c>
      <c r="O267" t="n">
        <v>0</v>
      </c>
      <c r="P267" t="n">
        <v>0</v>
      </c>
      <c r="Q267" t="n">
        <v>0</v>
      </c>
      <c r="R267" s="2" t="inlineStr"/>
    </row>
    <row r="268" ht="15" customHeight="1">
      <c r="A268" t="inlineStr">
        <is>
          <t>A 29207-2025</t>
        </is>
      </c>
      <c r="B268" s="1" t="n">
        <v>45823</v>
      </c>
      <c r="C268" s="1" t="n">
        <v>46163</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29196-2025</t>
        </is>
      </c>
      <c r="B269" s="1" t="n">
        <v>45822</v>
      </c>
      <c r="C269" s="1" t="n">
        <v>46163</v>
      </c>
      <c r="D269" t="inlineStr">
        <is>
          <t>GOTLANDS LÄN</t>
        </is>
      </c>
      <c r="E269" t="inlineStr">
        <is>
          <t>GOTLAND</t>
        </is>
      </c>
      <c r="G269" t="n">
        <v>0.5</v>
      </c>
      <c r="H269" t="n">
        <v>0</v>
      </c>
      <c r="I269" t="n">
        <v>0</v>
      </c>
      <c r="J269" t="n">
        <v>0</v>
      </c>
      <c r="K269" t="n">
        <v>0</v>
      </c>
      <c r="L269" t="n">
        <v>0</v>
      </c>
      <c r="M269" t="n">
        <v>0</v>
      </c>
      <c r="N269" t="n">
        <v>0</v>
      </c>
      <c r="O269" t="n">
        <v>0</v>
      </c>
      <c r="P269" t="n">
        <v>0</v>
      </c>
      <c r="Q269" t="n">
        <v>0</v>
      </c>
      <c r="R269" s="2" t="inlineStr"/>
    </row>
    <row r="270" ht="15" customHeight="1">
      <c r="A270" t="inlineStr">
        <is>
          <t>A 49693-2023</t>
        </is>
      </c>
      <c r="B270" s="1" t="n">
        <v>45212.38138888889</v>
      </c>
      <c r="C270" s="1" t="n">
        <v>46163</v>
      </c>
      <c r="D270" t="inlineStr">
        <is>
          <t>GOTLANDS LÄN</t>
        </is>
      </c>
      <c r="E270" t="inlineStr">
        <is>
          <t>GOTLAND</t>
        </is>
      </c>
      <c r="G270" t="n">
        <v>2.4</v>
      </c>
      <c r="H270" t="n">
        <v>0</v>
      </c>
      <c r="I270" t="n">
        <v>0</v>
      </c>
      <c r="J270" t="n">
        <v>0</v>
      </c>
      <c r="K270" t="n">
        <v>0</v>
      </c>
      <c r="L270" t="n">
        <v>0</v>
      </c>
      <c r="M270" t="n">
        <v>0</v>
      </c>
      <c r="N270" t="n">
        <v>0</v>
      </c>
      <c r="O270" t="n">
        <v>0</v>
      </c>
      <c r="P270" t="n">
        <v>0</v>
      </c>
      <c r="Q270" t="n">
        <v>0</v>
      </c>
      <c r="R270" s="2" t="inlineStr"/>
    </row>
    <row r="271" ht="15" customHeight="1">
      <c r="A271" t="inlineStr">
        <is>
          <t>A 49697-2023</t>
        </is>
      </c>
      <c r="B271" s="1" t="n">
        <v>45212.38909722222</v>
      </c>
      <c r="C271" s="1" t="n">
        <v>46163</v>
      </c>
      <c r="D271" t="inlineStr">
        <is>
          <t>GOTLANDS LÄN</t>
        </is>
      </c>
      <c r="E271" t="inlineStr">
        <is>
          <t>GOTLAND</t>
        </is>
      </c>
      <c r="G271" t="n">
        <v>4.4</v>
      </c>
      <c r="H271" t="n">
        <v>0</v>
      </c>
      <c r="I271" t="n">
        <v>0</v>
      </c>
      <c r="J271" t="n">
        <v>0</v>
      </c>
      <c r="K271" t="n">
        <v>0</v>
      </c>
      <c r="L271" t="n">
        <v>0</v>
      </c>
      <c r="M271" t="n">
        <v>0</v>
      </c>
      <c r="N271" t="n">
        <v>0</v>
      </c>
      <c r="O271" t="n">
        <v>0</v>
      </c>
      <c r="P271" t="n">
        <v>0</v>
      </c>
      <c r="Q271" t="n">
        <v>0</v>
      </c>
      <c r="R271" s="2" t="inlineStr"/>
    </row>
    <row r="272" ht="15" customHeight="1">
      <c r="A272" t="inlineStr">
        <is>
          <t>A 20356-2022</t>
        </is>
      </c>
      <c r="B272" s="1" t="n">
        <v>44699</v>
      </c>
      <c r="C272" s="1" t="n">
        <v>46163</v>
      </c>
      <c r="D272" t="inlineStr">
        <is>
          <t>GOTLANDS LÄN</t>
        </is>
      </c>
      <c r="E272" t="inlineStr">
        <is>
          <t>GOTLAND</t>
        </is>
      </c>
      <c r="F272" t="inlineStr">
        <is>
          <t>Övriga Aktiebolag</t>
        </is>
      </c>
      <c r="G272" t="n">
        <v>4.4</v>
      </c>
      <c r="H272" t="n">
        <v>0</v>
      </c>
      <c r="I272" t="n">
        <v>0</v>
      </c>
      <c r="J272" t="n">
        <v>0</v>
      </c>
      <c r="K272" t="n">
        <v>0</v>
      </c>
      <c r="L272" t="n">
        <v>0</v>
      </c>
      <c r="M272" t="n">
        <v>0</v>
      </c>
      <c r="N272" t="n">
        <v>0</v>
      </c>
      <c r="O272" t="n">
        <v>0</v>
      </c>
      <c r="P272" t="n">
        <v>0</v>
      </c>
      <c r="Q272" t="n">
        <v>0</v>
      </c>
      <c r="R272" s="2" t="inlineStr"/>
    </row>
    <row r="273" ht="15" customHeight="1">
      <c r="A273" t="inlineStr">
        <is>
          <t>A 34312-2024</t>
        </is>
      </c>
      <c r="B273" s="1" t="n">
        <v>45524.69703703704</v>
      </c>
      <c r="C273" s="1" t="n">
        <v>46163</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30061-2025</t>
        </is>
      </c>
      <c r="B274" s="1" t="n">
        <v>45826.61488425926</v>
      </c>
      <c r="C274" s="1" t="n">
        <v>46163</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64660-2023</t>
        </is>
      </c>
      <c r="B275" s="1" t="n">
        <v>45281.60122685185</v>
      </c>
      <c r="C275" s="1" t="n">
        <v>46163</v>
      </c>
      <c r="D275" t="inlineStr">
        <is>
          <t>GOTLANDS LÄN</t>
        </is>
      </c>
      <c r="E275" t="inlineStr">
        <is>
          <t>GOTLAND</t>
        </is>
      </c>
      <c r="G275" t="n">
        <v>6.3</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46163</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58160-2024</t>
        </is>
      </c>
      <c r="B277" s="1" t="n">
        <v>45632.44927083333</v>
      </c>
      <c r="C277" s="1" t="n">
        <v>46163</v>
      </c>
      <c r="D277" t="inlineStr">
        <is>
          <t>GOTLANDS LÄN</t>
        </is>
      </c>
      <c r="E277" t="inlineStr">
        <is>
          <t>GOTLAND</t>
        </is>
      </c>
      <c r="G277" t="n">
        <v>5.6</v>
      </c>
      <c r="H277" t="n">
        <v>0</v>
      </c>
      <c r="I277" t="n">
        <v>0</v>
      </c>
      <c r="J277" t="n">
        <v>0</v>
      </c>
      <c r="K277" t="n">
        <v>0</v>
      </c>
      <c r="L277" t="n">
        <v>0</v>
      </c>
      <c r="M277" t="n">
        <v>0</v>
      </c>
      <c r="N277" t="n">
        <v>0</v>
      </c>
      <c r="O277" t="n">
        <v>0</v>
      </c>
      <c r="P277" t="n">
        <v>0</v>
      </c>
      <c r="Q277" t="n">
        <v>0</v>
      </c>
      <c r="R277" s="2" t="inlineStr"/>
    </row>
    <row r="278" ht="15" customHeight="1">
      <c r="A278" t="inlineStr">
        <is>
          <t>A 35141-2025</t>
        </is>
      </c>
      <c r="B278" s="1" t="n">
        <v>45852.65206018519</v>
      </c>
      <c r="C278" s="1" t="n">
        <v>46163</v>
      </c>
      <c r="D278" t="inlineStr">
        <is>
          <t>GOTLANDS LÄN</t>
        </is>
      </c>
      <c r="E278" t="inlineStr">
        <is>
          <t>GOTLAND</t>
        </is>
      </c>
      <c r="G278" t="n">
        <v>1</v>
      </c>
      <c r="H278" t="n">
        <v>0</v>
      </c>
      <c r="I278" t="n">
        <v>0</v>
      </c>
      <c r="J278" t="n">
        <v>0</v>
      </c>
      <c r="K278" t="n">
        <v>0</v>
      </c>
      <c r="L278" t="n">
        <v>0</v>
      </c>
      <c r="M278" t="n">
        <v>0</v>
      </c>
      <c r="N278" t="n">
        <v>0</v>
      </c>
      <c r="O278" t="n">
        <v>0</v>
      </c>
      <c r="P278" t="n">
        <v>0</v>
      </c>
      <c r="Q278" t="n">
        <v>0</v>
      </c>
      <c r="R278" s="2" t="inlineStr"/>
    </row>
    <row r="279" ht="15" customHeight="1">
      <c r="A279" t="inlineStr">
        <is>
          <t>A 7627-2026</t>
        </is>
      </c>
      <c r="B279" s="1" t="n">
        <v>46062.35465277778</v>
      </c>
      <c r="C279" s="1" t="n">
        <v>46163</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63105-2025</t>
        </is>
      </c>
      <c r="B280" s="1" t="n">
        <v>46009</v>
      </c>
      <c r="C280" s="1" t="n">
        <v>46163</v>
      </c>
      <c r="D280" t="inlineStr">
        <is>
          <t>GOTLANDS LÄN</t>
        </is>
      </c>
      <c r="E280" t="inlineStr">
        <is>
          <t>GOTLAND</t>
        </is>
      </c>
      <c r="G280" t="n">
        <v>2.6</v>
      </c>
      <c r="H280" t="n">
        <v>0</v>
      </c>
      <c r="I280" t="n">
        <v>0</v>
      </c>
      <c r="J280" t="n">
        <v>0</v>
      </c>
      <c r="K280" t="n">
        <v>0</v>
      </c>
      <c r="L280" t="n">
        <v>0</v>
      </c>
      <c r="M280" t="n">
        <v>0</v>
      </c>
      <c r="N280" t="n">
        <v>0</v>
      </c>
      <c r="O280" t="n">
        <v>0</v>
      </c>
      <c r="P280" t="n">
        <v>0</v>
      </c>
      <c r="Q280" t="n">
        <v>0</v>
      </c>
      <c r="R280" s="2" t="inlineStr"/>
    </row>
    <row r="281" ht="15" customHeight="1">
      <c r="A281" t="inlineStr">
        <is>
          <t>A 20855-2023</t>
        </is>
      </c>
      <c r="B281" s="1" t="n">
        <v>45058.82172453704</v>
      </c>
      <c r="C281" s="1" t="n">
        <v>46163</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60709-2023</t>
        </is>
      </c>
      <c r="B282" s="1" t="n">
        <v>45260</v>
      </c>
      <c r="C282" s="1" t="n">
        <v>46163</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39849-2025</t>
        </is>
      </c>
      <c r="B283" s="1" t="n">
        <v>45891.58502314815</v>
      </c>
      <c r="C283" s="1" t="n">
        <v>46163</v>
      </c>
      <c r="D283" t="inlineStr">
        <is>
          <t>GOTLANDS LÄN</t>
        </is>
      </c>
      <c r="E283" t="inlineStr">
        <is>
          <t>GOTLAND</t>
        </is>
      </c>
      <c r="G283" t="n">
        <v>6.1</v>
      </c>
      <c r="H283" t="n">
        <v>0</v>
      </c>
      <c r="I283" t="n">
        <v>0</v>
      </c>
      <c r="J283" t="n">
        <v>0</v>
      </c>
      <c r="K283" t="n">
        <v>0</v>
      </c>
      <c r="L283" t="n">
        <v>0</v>
      </c>
      <c r="M283" t="n">
        <v>0</v>
      </c>
      <c r="N283" t="n">
        <v>0</v>
      </c>
      <c r="O283" t="n">
        <v>0</v>
      </c>
      <c r="P283" t="n">
        <v>0</v>
      </c>
      <c r="Q283" t="n">
        <v>0</v>
      </c>
      <c r="R283" s="2" t="inlineStr"/>
    </row>
    <row r="284" ht="15" customHeight="1">
      <c r="A284" t="inlineStr">
        <is>
          <t>A 1000-2024</t>
        </is>
      </c>
      <c r="B284" s="1" t="n">
        <v>45301.63371527778</v>
      </c>
      <c r="C284" s="1" t="n">
        <v>46163</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1010-2024</t>
        </is>
      </c>
      <c r="B285" s="1" t="n">
        <v>45301</v>
      </c>
      <c r="C285" s="1" t="n">
        <v>46163</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65249-2023</t>
        </is>
      </c>
      <c r="B286" s="1" t="n">
        <v>45290</v>
      </c>
      <c r="C286" s="1" t="n">
        <v>46163</v>
      </c>
      <c r="D286" t="inlineStr">
        <is>
          <t>GOTLANDS LÄN</t>
        </is>
      </c>
      <c r="E286" t="inlineStr">
        <is>
          <t>GOTLAND</t>
        </is>
      </c>
      <c r="G286" t="n">
        <v>2.4</v>
      </c>
      <c r="H286" t="n">
        <v>0</v>
      </c>
      <c r="I286" t="n">
        <v>0</v>
      </c>
      <c r="J286" t="n">
        <v>0</v>
      </c>
      <c r="K286" t="n">
        <v>0</v>
      </c>
      <c r="L286" t="n">
        <v>0</v>
      </c>
      <c r="M286" t="n">
        <v>0</v>
      </c>
      <c r="N286" t="n">
        <v>0</v>
      </c>
      <c r="O286" t="n">
        <v>0</v>
      </c>
      <c r="P286" t="n">
        <v>0</v>
      </c>
      <c r="Q286" t="n">
        <v>0</v>
      </c>
      <c r="R286" s="2" t="inlineStr"/>
    </row>
    <row r="287" ht="15" customHeight="1">
      <c r="A287" t="inlineStr">
        <is>
          <t>A 16109-2025</t>
        </is>
      </c>
      <c r="B287" s="1" t="n">
        <v>45750</v>
      </c>
      <c r="C287" s="1" t="n">
        <v>46163</v>
      </c>
      <c r="D287" t="inlineStr">
        <is>
          <t>GOTLANDS LÄN</t>
        </is>
      </c>
      <c r="E287" t="inlineStr">
        <is>
          <t>GOTLAND</t>
        </is>
      </c>
      <c r="G287" t="n">
        <v>4.9</v>
      </c>
      <c r="H287" t="n">
        <v>0</v>
      </c>
      <c r="I287" t="n">
        <v>0</v>
      </c>
      <c r="J287" t="n">
        <v>0</v>
      </c>
      <c r="K287" t="n">
        <v>0</v>
      </c>
      <c r="L287" t="n">
        <v>0</v>
      </c>
      <c r="M287" t="n">
        <v>0</v>
      </c>
      <c r="N287" t="n">
        <v>0</v>
      </c>
      <c r="O287" t="n">
        <v>0</v>
      </c>
      <c r="P287" t="n">
        <v>0</v>
      </c>
      <c r="Q287" t="n">
        <v>0</v>
      </c>
      <c r="R287" s="2" t="inlineStr"/>
    </row>
    <row r="288" ht="15" customHeight="1">
      <c r="A288" t="inlineStr">
        <is>
          <t>A 32467-2025</t>
        </is>
      </c>
      <c r="B288" s="1" t="n">
        <v>45838.42111111111</v>
      </c>
      <c r="C288" s="1" t="n">
        <v>46163</v>
      </c>
      <c r="D288" t="inlineStr">
        <is>
          <t>GOTLANDS LÄN</t>
        </is>
      </c>
      <c r="E288" t="inlineStr">
        <is>
          <t>GOTLAND</t>
        </is>
      </c>
      <c r="G288" t="n">
        <v>4.3</v>
      </c>
      <c r="H288" t="n">
        <v>0</v>
      </c>
      <c r="I288" t="n">
        <v>0</v>
      </c>
      <c r="J288" t="n">
        <v>0</v>
      </c>
      <c r="K288" t="n">
        <v>0</v>
      </c>
      <c r="L288" t="n">
        <v>0</v>
      </c>
      <c r="M288" t="n">
        <v>0</v>
      </c>
      <c r="N288" t="n">
        <v>0</v>
      </c>
      <c r="O288" t="n">
        <v>0</v>
      </c>
      <c r="P288" t="n">
        <v>0</v>
      </c>
      <c r="Q288" t="n">
        <v>0</v>
      </c>
      <c r="R288" s="2" t="inlineStr"/>
    </row>
    <row r="289" ht="15" customHeight="1">
      <c r="A289" t="inlineStr">
        <is>
          <t>A 39814-2025</t>
        </is>
      </c>
      <c r="B289" s="1" t="n">
        <v>45891.52694444444</v>
      </c>
      <c r="C289" s="1" t="n">
        <v>46163</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39819-2025</t>
        </is>
      </c>
      <c r="B290" s="1" t="n">
        <v>45891.53418981482</v>
      </c>
      <c r="C290" s="1" t="n">
        <v>46163</v>
      </c>
      <c r="D290" t="inlineStr">
        <is>
          <t>GOTLANDS LÄN</t>
        </is>
      </c>
      <c r="E290" t="inlineStr">
        <is>
          <t>GOTLAND</t>
        </is>
      </c>
      <c r="G290" t="n">
        <v>3.1</v>
      </c>
      <c r="H290" t="n">
        <v>0</v>
      </c>
      <c r="I290" t="n">
        <v>0</v>
      </c>
      <c r="J290" t="n">
        <v>0</v>
      </c>
      <c r="K290" t="n">
        <v>0</v>
      </c>
      <c r="L290" t="n">
        <v>0</v>
      </c>
      <c r="M290" t="n">
        <v>0</v>
      </c>
      <c r="N290" t="n">
        <v>0</v>
      </c>
      <c r="O290" t="n">
        <v>0</v>
      </c>
      <c r="P290" t="n">
        <v>0</v>
      </c>
      <c r="Q290" t="n">
        <v>0</v>
      </c>
      <c r="R290" s="2" t="inlineStr"/>
    </row>
    <row r="291" ht="15" customHeight="1">
      <c r="A291" t="inlineStr">
        <is>
          <t>A 7625-2026</t>
        </is>
      </c>
      <c r="B291" s="1" t="n">
        <v>46062.35135416667</v>
      </c>
      <c r="C291" s="1" t="n">
        <v>46163</v>
      </c>
      <c r="D291" t="inlineStr">
        <is>
          <t>GOTLANDS LÄN</t>
        </is>
      </c>
      <c r="E291" t="inlineStr">
        <is>
          <t>GOTLAND</t>
        </is>
      </c>
      <c r="G291" t="n">
        <v>2.1</v>
      </c>
      <c r="H291" t="n">
        <v>0</v>
      </c>
      <c r="I291" t="n">
        <v>0</v>
      </c>
      <c r="J291" t="n">
        <v>0</v>
      </c>
      <c r="K291" t="n">
        <v>0</v>
      </c>
      <c r="L291" t="n">
        <v>0</v>
      </c>
      <c r="M291" t="n">
        <v>0</v>
      </c>
      <c r="N291" t="n">
        <v>0</v>
      </c>
      <c r="O291" t="n">
        <v>0</v>
      </c>
      <c r="P291" t="n">
        <v>0</v>
      </c>
      <c r="Q291" t="n">
        <v>0</v>
      </c>
      <c r="R291" s="2" t="inlineStr"/>
    </row>
    <row r="292" ht="15" customHeight="1">
      <c r="A292" t="inlineStr">
        <is>
          <t>A 2135-2026</t>
        </is>
      </c>
      <c r="B292" s="1" t="n">
        <v>46036</v>
      </c>
      <c r="C292" s="1" t="n">
        <v>46163</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30956-2024</t>
        </is>
      </c>
      <c r="B293" s="1" t="n">
        <v>45499.42527777778</v>
      </c>
      <c r="C293" s="1" t="n">
        <v>46163</v>
      </c>
      <c r="D293" t="inlineStr">
        <is>
          <t>GOTLANDS LÄN</t>
        </is>
      </c>
      <c r="E293" t="inlineStr">
        <is>
          <t>GOTLAND</t>
        </is>
      </c>
      <c r="G293" t="n">
        <v>1.2</v>
      </c>
      <c r="H293" t="n">
        <v>0</v>
      </c>
      <c r="I293" t="n">
        <v>0</v>
      </c>
      <c r="J293" t="n">
        <v>0</v>
      </c>
      <c r="K293" t="n">
        <v>0</v>
      </c>
      <c r="L293" t="n">
        <v>0</v>
      </c>
      <c r="M293" t="n">
        <v>0</v>
      </c>
      <c r="N293" t="n">
        <v>0</v>
      </c>
      <c r="O293" t="n">
        <v>0</v>
      </c>
      <c r="P293" t="n">
        <v>0</v>
      </c>
      <c r="Q293" t="n">
        <v>0</v>
      </c>
      <c r="R293" s="2" t="inlineStr"/>
    </row>
    <row r="294" ht="15" customHeight="1">
      <c r="A294" t="inlineStr">
        <is>
          <t>A 39752-2025</t>
        </is>
      </c>
      <c r="B294" s="1" t="n">
        <v>45891</v>
      </c>
      <c r="C294" s="1" t="n">
        <v>46163</v>
      </c>
      <c r="D294" t="inlineStr">
        <is>
          <t>GOTLANDS LÄN</t>
        </is>
      </c>
      <c r="E294" t="inlineStr">
        <is>
          <t>GOTLAND</t>
        </is>
      </c>
      <c r="G294" t="n">
        <v>5.3</v>
      </c>
      <c r="H294" t="n">
        <v>0</v>
      </c>
      <c r="I294" t="n">
        <v>0</v>
      </c>
      <c r="J294" t="n">
        <v>0</v>
      </c>
      <c r="K294" t="n">
        <v>0</v>
      </c>
      <c r="L294" t="n">
        <v>0</v>
      </c>
      <c r="M294" t="n">
        <v>0</v>
      </c>
      <c r="N294" t="n">
        <v>0</v>
      </c>
      <c r="O294" t="n">
        <v>0</v>
      </c>
      <c r="P294" t="n">
        <v>0</v>
      </c>
      <c r="Q294" t="n">
        <v>0</v>
      </c>
      <c r="R294" s="2" t="inlineStr"/>
    </row>
    <row r="295" ht="15" customHeight="1">
      <c r="A295" t="inlineStr">
        <is>
          <t>A 39816-2025</t>
        </is>
      </c>
      <c r="B295" s="1" t="n">
        <v>45891</v>
      </c>
      <c r="C295" s="1" t="n">
        <v>46163</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40372-2025</t>
        </is>
      </c>
      <c r="B296" s="1" t="n">
        <v>45895.5162037037</v>
      </c>
      <c r="C296" s="1" t="n">
        <v>46163</v>
      </c>
      <c r="D296" t="inlineStr">
        <is>
          <t>GOTLANDS LÄN</t>
        </is>
      </c>
      <c r="E296" t="inlineStr">
        <is>
          <t>GOTLAND</t>
        </is>
      </c>
      <c r="G296" t="n">
        <v>3.3</v>
      </c>
      <c r="H296" t="n">
        <v>0</v>
      </c>
      <c r="I296" t="n">
        <v>0</v>
      </c>
      <c r="J296" t="n">
        <v>0</v>
      </c>
      <c r="K296" t="n">
        <v>0</v>
      </c>
      <c r="L296" t="n">
        <v>0</v>
      </c>
      <c r="M296" t="n">
        <v>0</v>
      </c>
      <c r="N296" t="n">
        <v>0</v>
      </c>
      <c r="O296" t="n">
        <v>0</v>
      </c>
      <c r="P296" t="n">
        <v>0</v>
      </c>
      <c r="Q296" t="n">
        <v>0</v>
      </c>
      <c r="R296" s="2" t="inlineStr"/>
    </row>
    <row r="297" ht="15" customHeight="1">
      <c r="A297" t="inlineStr">
        <is>
          <t>A 12596-2023</t>
        </is>
      </c>
      <c r="B297" s="1" t="n">
        <v>45000.43310185185</v>
      </c>
      <c r="C297" s="1" t="n">
        <v>46163</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40373-2025</t>
        </is>
      </c>
      <c r="B298" s="1" t="n">
        <v>45895.51821759259</v>
      </c>
      <c r="C298" s="1" t="n">
        <v>46163</v>
      </c>
      <c r="D298" t="inlineStr">
        <is>
          <t>GOTLANDS LÄN</t>
        </is>
      </c>
      <c r="E298" t="inlineStr">
        <is>
          <t>GOTLAND</t>
        </is>
      </c>
      <c r="G298" t="n">
        <v>0.6</v>
      </c>
      <c r="H298" t="n">
        <v>0</v>
      </c>
      <c r="I298" t="n">
        <v>0</v>
      </c>
      <c r="J298" t="n">
        <v>0</v>
      </c>
      <c r="K298" t="n">
        <v>0</v>
      </c>
      <c r="L298" t="n">
        <v>0</v>
      </c>
      <c r="M298" t="n">
        <v>0</v>
      </c>
      <c r="N298" t="n">
        <v>0</v>
      </c>
      <c r="O298" t="n">
        <v>0</v>
      </c>
      <c r="P298" t="n">
        <v>0</v>
      </c>
      <c r="Q298" t="n">
        <v>0</v>
      </c>
      <c r="R298" s="2" t="inlineStr"/>
    </row>
    <row r="299" ht="15" customHeight="1">
      <c r="A299" t="inlineStr">
        <is>
          <t>A 32379-2025</t>
        </is>
      </c>
      <c r="B299" s="1" t="n">
        <v>45837</v>
      </c>
      <c r="C299" s="1" t="n">
        <v>46163</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8045-2022</t>
        </is>
      </c>
      <c r="B300" s="1" t="n">
        <v>44609</v>
      </c>
      <c r="C300" s="1" t="n">
        <v>46163</v>
      </c>
      <c r="D300" t="inlineStr">
        <is>
          <t>GOTLANDS LÄN</t>
        </is>
      </c>
      <c r="E300" t="inlineStr">
        <is>
          <t>GOTLAND</t>
        </is>
      </c>
      <c r="G300" t="n">
        <v>7</v>
      </c>
      <c r="H300" t="n">
        <v>0</v>
      </c>
      <c r="I300" t="n">
        <v>0</v>
      </c>
      <c r="J300" t="n">
        <v>0</v>
      </c>
      <c r="K300" t="n">
        <v>0</v>
      </c>
      <c r="L300" t="n">
        <v>0</v>
      </c>
      <c r="M300" t="n">
        <v>0</v>
      </c>
      <c r="N300" t="n">
        <v>0</v>
      </c>
      <c r="O300" t="n">
        <v>0</v>
      </c>
      <c r="P300" t="n">
        <v>0</v>
      </c>
      <c r="Q300" t="n">
        <v>0</v>
      </c>
      <c r="R300" s="2" t="inlineStr"/>
    </row>
    <row r="301" ht="15" customHeight="1">
      <c r="A301" t="inlineStr">
        <is>
          <t>A 33007-2025</t>
        </is>
      </c>
      <c r="B301" s="1" t="n">
        <v>45840</v>
      </c>
      <c r="C301" s="1" t="n">
        <v>46163</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40103-2025</t>
        </is>
      </c>
      <c r="B302" s="1" t="n">
        <v>45894.4880324074</v>
      </c>
      <c r="C302" s="1" t="n">
        <v>46163</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40499-2025</t>
        </is>
      </c>
      <c r="B303" s="1" t="n">
        <v>45896.32517361111</v>
      </c>
      <c r="C303" s="1" t="n">
        <v>46163</v>
      </c>
      <c r="D303" t="inlineStr">
        <is>
          <t>GOTLANDS LÄN</t>
        </is>
      </c>
      <c r="E303" t="inlineStr">
        <is>
          <t>GOTLAND</t>
        </is>
      </c>
      <c r="G303" t="n">
        <v>2.6</v>
      </c>
      <c r="H303" t="n">
        <v>0</v>
      </c>
      <c r="I303" t="n">
        <v>0</v>
      </c>
      <c r="J303" t="n">
        <v>0</v>
      </c>
      <c r="K303" t="n">
        <v>0</v>
      </c>
      <c r="L303" t="n">
        <v>0</v>
      </c>
      <c r="M303" t="n">
        <v>0</v>
      </c>
      <c r="N303" t="n">
        <v>0</v>
      </c>
      <c r="O303" t="n">
        <v>0</v>
      </c>
      <c r="P303" t="n">
        <v>0</v>
      </c>
      <c r="Q303" t="n">
        <v>0</v>
      </c>
      <c r="R303" s="2" t="inlineStr"/>
    </row>
    <row r="304" ht="15" customHeight="1">
      <c r="A304" t="inlineStr">
        <is>
          <t>A 999-2024</t>
        </is>
      </c>
      <c r="B304" s="1" t="n">
        <v>45301</v>
      </c>
      <c r="C304" s="1" t="n">
        <v>46163</v>
      </c>
      <c r="D304" t="inlineStr">
        <is>
          <t>GOTLANDS LÄN</t>
        </is>
      </c>
      <c r="E304" t="inlineStr">
        <is>
          <t>GOTLAND</t>
        </is>
      </c>
      <c r="G304" t="n">
        <v>1</v>
      </c>
      <c r="H304" t="n">
        <v>0</v>
      </c>
      <c r="I304" t="n">
        <v>0</v>
      </c>
      <c r="J304" t="n">
        <v>0</v>
      </c>
      <c r="K304" t="n">
        <v>0</v>
      </c>
      <c r="L304" t="n">
        <v>0</v>
      </c>
      <c r="M304" t="n">
        <v>0</v>
      </c>
      <c r="N304" t="n">
        <v>0</v>
      </c>
      <c r="O304" t="n">
        <v>0</v>
      </c>
      <c r="P304" t="n">
        <v>0</v>
      </c>
      <c r="Q304" t="n">
        <v>0</v>
      </c>
      <c r="R304" s="2" t="inlineStr"/>
    </row>
    <row r="305" ht="15" customHeight="1">
      <c r="A305" t="inlineStr">
        <is>
          <t>A 65901-2021</t>
        </is>
      </c>
      <c r="B305" s="1" t="n">
        <v>44516</v>
      </c>
      <c r="C305" s="1" t="n">
        <v>46163</v>
      </c>
      <c r="D305" t="inlineStr">
        <is>
          <t>GOTLANDS LÄN</t>
        </is>
      </c>
      <c r="E305" t="inlineStr">
        <is>
          <t>GOTLAND</t>
        </is>
      </c>
      <c r="G305" t="n">
        <v>4.9</v>
      </c>
      <c r="H305" t="n">
        <v>0</v>
      </c>
      <c r="I305" t="n">
        <v>0</v>
      </c>
      <c r="J305" t="n">
        <v>0</v>
      </c>
      <c r="K305" t="n">
        <v>0</v>
      </c>
      <c r="L305" t="n">
        <v>0</v>
      </c>
      <c r="M305" t="n">
        <v>0</v>
      </c>
      <c r="N305" t="n">
        <v>0</v>
      </c>
      <c r="O305" t="n">
        <v>0</v>
      </c>
      <c r="P305" t="n">
        <v>0</v>
      </c>
      <c r="Q305" t="n">
        <v>0</v>
      </c>
      <c r="R305" s="2" t="inlineStr"/>
    </row>
    <row r="306" ht="15" customHeight="1">
      <c r="A306" t="inlineStr">
        <is>
          <t>A 2134-2026</t>
        </is>
      </c>
      <c r="B306" s="1" t="n">
        <v>46036</v>
      </c>
      <c r="C306" s="1" t="n">
        <v>46163</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47762-2023</t>
        </is>
      </c>
      <c r="B307" s="1" t="n">
        <v>45203.86256944444</v>
      </c>
      <c r="C307" s="1" t="n">
        <v>46163</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40294-2022</t>
        </is>
      </c>
      <c r="B308" s="1" t="n">
        <v>44821</v>
      </c>
      <c r="C308" s="1" t="n">
        <v>46163</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27602-2023</t>
        </is>
      </c>
      <c r="B309" s="1" t="n">
        <v>45097</v>
      </c>
      <c r="C309" s="1" t="n">
        <v>46163</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58780-2024</t>
        </is>
      </c>
      <c r="B310" s="1" t="n">
        <v>45635.84113425926</v>
      </c>
      <c r="C310" s="1" t="n">
        <v>46163</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12322-2025</t>
        </is>
      </c>
      <c r="B311" s="1" t="n">
        <v>45730</v>
      </c>
      <c r="C311" s="1" t="n">
        <v>46163</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24192-2023</t>
        </is>
      </c>
      <c r="B312" s="1" t="n">
        <v>45079</v>
      </c>
      <c r="C312" s="1" t="n">
        <v>46163</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30282-2022</t>
        </is>
      </c>
      <c r="B313" s="1" t="n">
        <v>44760</v>
      </c>
      <c r="C313" s="1" t="n">
        <v>46163</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41551-2025</t>
        </is>
      </c>
      <c r="B314" s="1" t="n">
        <v>45901.58854166666</v>
      </c>
      <c r="C314" s="1" t="n">
        <v>46163</v>
      </c>
      <c r="D314" t="inlineStr">
        <is>
          <t>GOTLANDS LÄN</t>
        </is>
      </c>
      <c r="E314" t="inlineStr">
        <is>
          <t>GOTLAND</t>
        </is>
      </c>
      <c r="G314" t="n">
        <v>5.6</v>
      </c>
      <c r="H314" t="n">
        <v>0</v>
      </c>
      <c r="I314" t="n">
        <v>0</v>
      </c>
      <c r="J314" t="n">
        <v>0</v>
      </c>
      <c r="K314" t="n">
        <v>0</v>
      </c>
      <c r="L314" t="n">
        <v>0</v>
      </c>
      <c r="M314" t="n">
        <v>0</v>
      </c>
      <c r="N314" t="n">
        <v>0</v>
      </c>
      <c r="O314" t="n">
        <v>0</v>
      </c>
      <c r="P314" t="n">
        <v>0</v>
      </c>
      <c r="Q314" t="n">
        <v>0</v>
      </c>
      <c r="R314" s="2" t="inlineStr"/>
    </row>
    <row r="315" ht="15" customHeight="1">
      <c r="A315" t="inlineStr">
        <is>
          <t>A 15413-2025</t>
        </is>
      </c>
      <c r="B315" s="1" t="n">
        <v>45747.451875</v>
      </c>
      <c r="C315" s="1" t="n">
        <v>46163</v>
      </c>
      <c r="D315" t="inlineStr">
        <is>
          <t>GOTLANDS LÄN</t>
        </is>
      </c>
      <c r="E315" t="inlineStr">
        <is>
          <t>GOTLAND</t>
        </is>
      </c>
      <c r="G315" t="n">
        <v>0.6</v>
      </c>
      <c r="H315" t="n">
        <v>0</v>
      </c>
      <c r="I315" t="n">
        <v>0</v>
      </c>
      <c r="J315" t="n">
        <v>0</v>
      </c>
      <c r="K315" t="n">
        <v>0</v>
      </c>
      <c r="L315" t="n">
        <v>0</v>
      </c>
      <c r="M315" t="n">
        <v>0</v>
      </c>
      <c r="N315" t="n">
        <v>0</v>
      </c>
      <c r="O315" t="n">
        <v>0</v>
      </c>
      <c r="P315" t="n">
        <v>0</v>
      </c>
      <c r="Q315" t="n">
        <v>0</v>
      </c>
      <c r="R315" s="2" t="inlineStr"/>
    </row>
    <row r="316" ht="15" customHeight="1">
      <c r="A316" t="inlineStr">
        <is>
          <t>A 7835-2024</t>
        </is>
      </c>
      <c r="B316" s="1" t="n">
        <v>45349.83138888889</v>
      </c>
      <c r="C316" s="1" t="n">
        <v>46163</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10650-2022</t>
        </is>
      </c>
      <c r="B317" s="1" t="n">
        <v>44624.57945601852</v>
      </c>
      <c r="C317" s="1" t="n">
        <v>46163</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35096-2025</t>
        </is>
      </c>
      <c r="B318" s="1" t="n">
        <v>45852.54356481481</v>
      </c>
      <c r="C318" s="1" t="n">
        <v>46163</v>
      </c>
      <c r="D318" t="inlineStr">
        <is>
          <t>GOTLANDS LÄN</t>
        </is>
      </c>
      <c r="E318" t="inlineStr">
        <is>
          <t>GOTLAND</t>
        </is>
      </c>
      <c r="F318" t="inlineStr">
        <is>
          <t>Kyrkan</t>
        </is>
      </c>
      <c r="G318" t="n">
        <v>1</v>
      </c>
      <c r="H318" t="n">
        <v>0</v>
      </c>
      <c r="I318" t="n">
        <v>0</v>
      </c>
      <c r="J318" t="n">
        <v>0</v>
      </c>
      <c r="K318" t="n">
        <v>0</v>
      </c>
      <c r="L318" t="n">
        <v>0</v>
      </c>
      <c r="M318" t="n">
        <v>0</v>
      </c>
      <c r="N318" t="n">
        <v>0</v>
      </c>
      <c r="O318" t="n">
        <v>0</v>
      </c>
      <c r="P318" t="n">
        <v>0</v>
      </c>
      <c r="Q318" t="n">
        <v>0</v>
      </c>
      <c r="R318" s="2" t="inlineStr"/>
    </row>
    <row r="319" ht="15" customHeight="1">
      <c r="A319" t="inlineStr">
        <is>
          <t>A 35123-2025</t>
        </is>
      </c>
      <c r="B319" s="1" t="n">
        <v>45852.614375</v>
      </c>
      <c r="C319" s="1" t="n">
        <v>46163</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39278-2025</t>
        </is>
      </c>
      <c r="B320" s="1" t="n">
        <v>45889</v>
      </c>
      <c r="C320" s="1" t="n">
        <v>46163</v>
      </c>
      <c r="D320" t="inlineStr">
        <is>
          <t>GOTLANDS LÄN</t>
        </is>
      </c>
      <c r="E320" t="inlineStr">
        <is>
          <t>GOTLAND</t>
        </is>
      </c>
      <c r="G320" t="n">
        <v>3.7</v>
      </c>
      <c r="H320" t="n">
        <v>0</v>
      </c>
      <c r="I320" t="n">
        <v>0</v>
      </c>
      <c r="J320" t="n">
        <v>0</v>
      </c>
      <c r="K320" t="n">
        <v>0</v>
      </c>
      <c r="L320" t="n">
        <v>0</v>
      </c>
      <c r="M320" t="n">
        <v>0</v>
      </c>
      <c r="N320" t="n">
        <v>0</v>
      </c>
      <c r="O320" t="n">
        <v>0</v>
      </c>
      <c r="P320" t="n">
        <v>0</v>
      </c>
      <c r="Q320" t="n">
        <v>0</v>
      </c>
      <c r="R320" s="2" t="inlineStr"/>
    </row>
    <row r="321" ht="15" customHeight="1">
      <c r="A321" t="inlineStr">
        <is>
          <t>A 26810-2021</t>
        </is>
      </c>
      <c r="B321" s="1" t="n">
        <v>44349.55087962963</v>
      </c>
      <c r="C321" s="1" t="n">
        <v>46163</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35290-2025</t>
        </is>
      </c>
      <c r="B322" s="1" t="n">
        <v>45854.38502314815</v>
      </c>
      <c r="C322" s="1" t="n">
        <v>46163</v>
      </c>
      <c r="D322" t="inlineStr">
        <is>
          <t>GOTLANDS LÄN</t>
        </is>
      </c>
      <c r="E322" t="inlineStr">
        <is>
          <t>GOTLAND</t>
        </is>
      </c>
      <c r="G322" t="n">
        <v>5.4</v>
      </c>
      <c r="H322" t="n">
        <v>0</v>
      </c>
      <c r="I322" t="n">
        <v>0</v>
      </c>
      <c r="J322" t="n">
        <v>0</v>
      </c>
      <c r="K322" t="n">
        <v>0</v>
      </c>
      <c r="L322" t="n">
        <v>0</v>
      </c>
      <c r="M322" t="n">
        <v>0</v>
      </c>
      <c r="N322" t="n">
        <v>0</v>
      </c>
      <c r="O322" t="n">
        <v>0</v>
      </c>
      <c r="P322" t="n">
        <v>0</v>
      </c>
      <c r="Q322" t="n">
        <v>0</v>
      </c>
      <c r="R322" s="2" t="inlineStr"/>
    </row>
    <row r="323" ht="15" customHeight="1">
      <c r="A323" t="inlineStr">
        <is>
          <t>A 41435-2025</t>
        </is>
      </c>
      <c r="B323" s="1" t="n">
        <v>45901.39974537037</v>
      </c>
      <c r="C323" s="1" t="n">
        <v>46163</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30104-2025</t>
        </is>
      </c>
      <c r="B324" s="1" t="n">
        <v>45826.68806712963</v>
      </c>
      <c r="C324" s="1" t="n">
        <v>46163</v>
      </c>
      <c r="D324" t="inlineStr">
        <is>
          <t>GOTLANDS LÄN</t>
        </is>
      </c>
      <c r="E324" t="inlineStr">
        <is>
          <t>GOTLAND</t>
        </is>
      </c>
      <c r="G324" t="n">
        <v>15.4</v>
      </c>
      <c r="H324" t="n">
        <v>0</v>
      </c>
      <c r="I324" t="n">
        <v>0</v>
      </c>
      <c r="J324" t="n">
        <v>0</v>
      </c>
      <c r="K324" t="n">
        <v>0</v>
      </c>
      <c r="L324" t="n">
        <v>0</v>
      </c>
      <c r="M324" t="n">
        <v>0</v>
      </c>
      <c r="N324" t="n">
        <v>0</v>
      </c>
      <c r="O324" t="n">
        <v>0</v>
      </c>
      <c r="P324" t="n">
        <v>0</v>
      </c>
      <c r="Q324" t="n">
        <v>0</v>
      </c>
      <c r="R324" s="2" t="inlineStr"/>
    </row>
    <row r="325" ht="15" customHeight="1">
      <c r="A325" t="inlineStr">
        <is>
          <t>A 32669-2024</t>
        </is>
      </c>
      <c r="B325" s="1" t="n">
        <v>45514</v>
      </c>
      <c r="C325" s="1" t="n">
        <v>46163</v>
      </c>
      <c r="D325" t="inlineStr">
        <is>
          <t>GOTLANDS LÄN</t>
        </is>
      </c>
      <c r="E325" t="inlineStr">
        <is>
          <t>GOTLAND</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28425-2023</t>
        </is>
      </c>
      <c r="B326" s="1" t="n">
        <v>45102</v>
      </c>
      <c r="C326" s="1" t="n">
        <v>46163</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35537-2025</t>
        </is>
      </c>
      <c r="B327" s="1" t="n">
        <v>45856</v>
      </c>
      <c r="C327" s="1" t="n">
        <v>46163</v>
      </c>
      <c r="D327" t="inlineStr">
        <is>
          <t>GOTLANDS LÄN</t>
        </is>
      </c>
      <c r="E327" t="inlineStr">
        <is>
          <t>GOTLAND</t>
        </is>
      </c>
      <c r="G327" t="n">
        <v>16.8</v>
      </c>
      <c r="H327" t="n">
        <v>0</v>
      </c>
      <c r="I327" t="n">
        <v>0</v>
      </c>
      <c r="J327" t="n">
        <v>0</v>
      </c>
      <c r="K327" t="n">
        <v>0</v>
      </c>
      <c r="L327" t="n">
        <v>0</v>
      </c>
      <c r="M327" t="n">
        <v>0</v>
      </c>
      <c r="N327" t="n">
        <v>0</v>
      </c>
      <c r="O327" t="n">
        <v>0</v>
      </c>
      <c r="P327" t="n">
        <v>0</v>
      </c>
      <c r="Q327" t="n">
        <v>0</v>
      </c>
      <c r="R327" s="2" t="inlineStr"/>
    </row>
    <row r="328" ht="15" customHeight="1">
      <c r="A328" t="inlineStr">
        <is>
          <t>A 13037-2025</t>
        </is>
      </c>
      <c r="B328" s="1" t="n">
        <v>45734</v>
      </c>
      <c r="C328" s="1" t="n">
        <v>46163</v>
      </c>
      <c r="D328" t="inlineStr">
        <is>
          <t>GOTLANDS LÄN</t>
        </is>
      </c>
      <c r="E328" t="inlineStr">
        <is>
          <t>GOTLAND</t>
        </is>
      </c>
      <c r="G328" t="n">
        <v>9.5</v>
      </c>
      <c r="H328" t="n">
        <v>0</v>
      </c>
      <c r="I328" t="n">
        <v>0</v>
      </c>
      <c r="J328" t="n">
        <v>0</v>
      </c>
      <c r="K328" t="n">
        <v>0</v>
      </c>
      <c r="L328" t="n">
        <v>0</v>
      </c>
      <c r="M328" t="n">
        <v>0</v>
      </c>
      <c r="N328" t="n">
        <v>0</v>
      </c>
      <c r="O328" t="n">
        <v>0</v>
      </c>
      <c r="P328" t="n">
        <v>0</v>
      </c>
      <c r="Q328" t="n">
        <v>0</v>
      </c>
      <c r="R328" s="2" t="inlineStr"/>
    </row>
    <row r="329" ht="15" customHeight="1">
      <c r="A329" t="inlineStr">
        <is>
          <t>A 42608-2025</t>
        </is>
      </c>
      <c r="B329" s="1" t="n">
        <v>45905</v>
      </c>
      <c r="C329" s="1" t="n">
        <v>46163</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16373-2025</t>
        </is>
      </c>
      <c r="B330" s="1" t="n">
        <v>45751</v>
      </c>
      <c r="C330" s="1" t="n">
        <v>46163</v>
      </c>
      <c r="D330" t="inlineStr">
        <is>
          <t>GOTLANDS LÄN</t>
        </is>
      </c>
      <c r="E330" t="inlineStr">
        <is>
          <t>GOTLAND</t>
        </is>
      </c>
      <c r="G330" t="n">
        <v>1.5</v>
      </c>
      <c r="H330" t="n">
        <v>0</v>
      </c>
      <c r="I330" t="n">
        <v>0</v>
      </c>
      <c r="J330" t="n">
        <v>0</v>
      </c>
      <c r="K330" t="n">
        <v>0</v>
      </c>
      <c r="L330" t="n">
        <v>0</v>
      </c>
      <c r="M330" t="n">
        <v>0</v>
      </c>
      <c r="N330" t="n">
        <v>0</v>
      </c>
      <c r="O330" t="n">
        <v>0</v>
      </c>
      <c r="P330" t="n">
        <v>0</v>
      </c>
      <c r="Q330" t="n">
        <v>0</v>
      </c>
      <c r="R330" s="2" t="inlineStr"/>
    </row>
    <row r="331" ht="15" customHeight="1">
      <c r="A331" t="inlineStr">
        <is>
          <t>A 30488-2025</t>
        </is>
      </c>
      <c r="B331" s="1" t="n">
        <v>45830</v>
      </c>
      <c r="C331" s="1" t="n">
        <v>46163</v>
      </c>
      <c r="D331" t="inlineStr">
        <is>
          <t>GOTLANDS LÄN</t>
        </is>
      </c>
      <c r="E331" t="inlineStr">
        <is>
          <t>GOTLAND</t>
        </is>
      </c>
      <c r="F331" t="inlineStr">
        <is>
          <t>Kyrkan</t>
        </is>
      </c>
      <c r="G331" t="n">
        <v>3.9</v>
      </c>
      <c r="H331" t="n">
        <v>0</v>
      </c>
      <c r="I331" t="n">
        <v>0</v>
      </c>
      <c r="J331" t="n">
        <v>0</v>
      </c>
      <c r="K331" t="n">
        <v>0</v>
      </c>
      <c r="L331" t="n">
        <v>0</v>
      </c>
      <c r="M331" t="n">
        <v>0</v>
      </c>
      <c r="N331" t="n">
        <v>0</v>
      </c>
      <c r="O331" t="n">
        <v>0</v>
      </c>
      <c r="P331" t="n">
        <v>0</v>
      </c>
      <c r="Q331" t="n">
        <v>0</v>
      </c>
      <c r="R331" s="2" t="inlineStr"/>
    </row>
    <row r="332" ht="15" customHeight="1">
      <c r="A332" t="inlineStr">
        <is>
          <t>A 15216-2025</t>
        </is>
      </c>
      <c r="B332" s="1" t="n">
        <v>45744</v>
      </c>
      <c r="C332" s="1" t="n">
        <v>46163</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15001-2025</t>
        </is>
      </c>
      <c r="B333" s="1" t="n">
        <v>45743</v>
      </c>
      <c r="C333" s="1" t="n">
        <v>46163</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43790-2024</t>
        </is>
      </c>
      <c r="B334" s="1" t="n">
        <v>45571</v>
      </c>
      <c r="C334" s="1" t="n">
        <v>46163</v>
      </c>
      <c r="D334" t="inlineStr">
        <is>
          <t>GOTLANDS LÄN</t>
        </is>
      </c>
      <c r="E334" t="inlineStr">
        <is>
          <t>GOTLAND</t>
        </is>
      </c>
      <c r="G334" t="n">
        <v>3.5</v>
      </c>
      <c r="H334" t="n">
        <v>0</v>
      </c>
      <c r="I334" t="n">
        <v>0</v>
      </c>
      <c r="J334" t="n">
        <v>0</v>
      </c>
      <c r="K334" t="n">
        <v>0</v>
      </c>
      <c r="L334" t="n">
        <v>0</v>
      </c>
      <c r="M334" t="n">
        <v>0</v>
      </c>
      <c r="N334" t="n">
        <v>0</v>
      </c>
      <c r="O334" t="n">
        <v>0</v>
      </c>
      <c r="P334" t="n">
        <v>0</v>
      </c>
      <c r="Q334" t="n">
        <v>0</v>
      </c>
      <c r="R334" s="2" t="inlineStr"/>
    </row>
    <row r="335" ht="15" customHeight="1">
      <c r="A335" t="inlineStr">
        <is>
          <t>A 17847-2025</t>
        </is>
      </c>
      <c r="B335" s="1" t="n">
        <v>45758</v>
      </c>
      <c r="C335" s="1" t="n">
        <v>46163</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10746-2025</t>
        </is>
      </c>
      <c r="B336" s="1" t="n">
        <v>45722.42766203704</v>
      </c>
      <c r="C336" s="1" t="n">
        <v>46163</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18742-2025</t>
        </is>
      </c>
      <c r="B337" s="1" t="n">
        <v>45763</v>
      </c>
      <c r="C337" s="1" t="n">
        <v>46163</v>
      </c>
      <c r="D337" t="inlineStr">
        <is>
          <t>GOTLANDS LÄN</t>
        </is>
      </c>
      <c r="E337" t="inlineStr">
        <is>
          <t>GOTLAND</t>
        </is>
      </c>
      <c r="G337" t="n">
        <v>3.4</v>
      </c>
      <c r="H337" t="n">
        <v>0</v>
      </c>
      <c r="I337" t="n">
        <v>0</v>
      </c>
      <c r="J337" t="n">
        <v>0</v>
      </c>
      <c r="K337" t="n">
        <v>0</v>
      </c>
      <c r="L337" t="n">
        <v>0</v>
      </c>
      <c r="M337" t="n">
        <v>0</v>
      </c>
      <c r="N337" t="n">
        <v>0</v>
      </c>
      <c r="O337" t="n">
        <v>0</v>
      </c>
      <c r="P337" t="n">
        <v>0</v>
      </c>
      <c r="Q337" t="n">
        <v>0</v>
      </c>
      <c r="R337" s="2" t="inlineStr"/>
    </row>
    <row r="338" ht="15" customHeight="1">
      <c r="A338" t="inlineStr">
        <is>
          <t>A 35129-2025</t>
        </is>
      </c>
      <c r="B338" s="1" t="n">
        <v>45852.63224537037</v>
      </c>
      <c r="C338" s="1" t="n">
        <v>46163</v>
      </c>
      <c r="D338" t="inlineStr">
        <is>
          <t>GOTLANDS LÄN</t>
        </is>
      </c>
      <c r="E338" t="inlineStr">
        <is>
          <t>GOTLAND</t>
        </is>
      </c>
      <c r="G338" t="n">
        <v>3.2</v>
      </c>
      <c r="H338" t="n">
        <v>0</v>
      </c>
      <c r="I338" t="n">
        <v>0</v>
      </c>
      <c r="J338" t="n">
        <v>0</v>
      </c>
      <c r="K338" t="n">
        <v>0</v>
      </c>
      <c r="L338" t="n">
        <v>0</v>
      </c>
      <c r="M338" t="n">
        <v>0</v>
      </c>
      <c r="N338" t="n">
        <v>0</v>
      </c>
      <c r="O338" t="n">
        <v>0</v>
      </c>
      <c r="P338" t="n">
        <v>0</v>
      </c>
      <c r="Q338" t="n">
        <v>0</v>
      </c>
      <c r="R338" s="2" t="inlineStr"/>
    </row>
    <row r="339" ht="15" customHeight="1">
      <c r="A339" t="inlineStr">
        <is>
          <t>A 10158-2025</t>
        </is>
      </c>
      <c r="B339" s="1" t="n">
        <v>45719</v>
      </c>
      <c r="C339" s="1" t="n">
        <v>46163</v>
      </c>
      <c r="D339" t="inlineStr">
        <is>
          <t>GOTLANDS LÄN</t>
        </is>
      </c>
      <c r="E339" t="inlineStr">
        <is>
          <t>GOTLAND</t>
        </is>
      </c>
      <c r="G339" t="n">
        <v>3.5</v>
      </c>
      <c r="H339" t="n">
        <v>0</v>
      </c>
      <c r="I339" t="n">
        <v>0</v>
      </c>
      <c r="J339" t="n">
        <v>0</v>
      </c>
      <c r="K339" t="n">
        <v>0</v>
      </c>
      <c r="L339" t="n">
        <v>0</v>
      </c>
      <c r="M339" t="n">
        <v>0</v>
      </c>
      <c r="N339" t="n">
        <v>0</v>
      </c>
      <c r="O339" t="n">
        <v>0</v>
      </c>
      <c r="P339" t="n">
        <v>0</v>
      </c>
      <c r="Q339" t="n">
        <v>0</v>
      </c>
      <c r="R339" s="2" t="inlineStr"/>
    </row>
    <row r="340" ht="15" customHeight="1">
      <c r="A340" t="inlineStr">
        <is>
          <t>A 43911-2025</t>
        </is>
      </c>
      <c r="B340" s="1" t="n">
        <v>45914.3881712963</v>
      </c>
      <c r="C340" s="1" t="n">
        <v>46163</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43229-2023</t>
        </is>
      </c>
      <c r="B341" s="1" t="n">
        <v>45183.46704861111</v>
      </c>
      <c r="C341" s="1" t="n">
        <v>46163</v>
      </c>
      <c r="D341" t="inlineStr">
        <is>
          <t>GOTLANDS LÄN</t>
        </is>
      </c>
      <c r="E341" t="inlineStr">
        <is>
          <t>GOTLAND</t>
        </is>
      </c>
      <c r="G341" t="n">
        <v>7.1</v>
      </c>
      <c r="H341" t="n">
        <v>0</v>
      </c>
      <c r="I341" t="n">
        <v>0</v>
      </c>
      <c r="J341" t="n">
        <v>0</v>
      </c>
      <c r="K341" t="n">
        <v>0</v>
      </c>
      <c r="L341" t="n">
        <v>0</v>
      </c>
      <c r="M341" t="n">
        <v>0</v>
      </c>
      <c r="N341" t="n">
        <v>0</v>
      </c>
      <c r="O341" t="n">
        <v>0</v>
      </c>
      <c r="P341" t="n">
        <v>0</v>
      </c>
      <c r="Q341" t="n">
        <v>0</v>
      </c>
      <c r="R341" s="2" t="inlineStr"/>
    </row>
    <row r="342" ht="15" customHeight="1">
      <c r="A342" t="inlineStr">
        <is>
          <t>A 53561-2025</t>
        </is>
      </c>
      <c r="B342" s="1" t="n">
        <v>45960.4059375</v>
      </c>
      <c r="C342" s="1" t="n">
        <v>46163</v>
      </c>
      <c r="D342" t="inlineStr">
        <is>
          <t>GOTLANDS LÄN</t>
        </is>
      </c>
      <c r="E342" t="inlineStr">
        <is>
          <t>GOTLAND</t>
        </is>
      </c>
      <c r="F342" t="inlineStr">
        <is>
          <t>Övriga Aktiebolag</t>
        </is>
      </c>
      <c r="G342" t="n">
        <v>2.4</v>
      </c>
      <c r="H342" t="n">
        <v>0</v>
      </c>
      <c r="I342" t="n">
        <v>0</v>
      </c>
      <c r="J342" t="n">
        <v>0</v>
      </c>
      <c r="K342" t="n">
        <v>0</v>
      </c>
      <c r="L342" t="n">
        <v>0</v>
      </c>
      <c r="M342" t="n">
        <v>0</v>
      </c>
      <c r="N342" t="n">
        <v>0</v>
      </c>
      <c r="O342" t="n">
        <v>0</v>
      </c>
      <c r="P342" t="n">
        <v>0</v>
      </c>
      <c r="Q342" t="n">
        <v>0</v>
      </c>
      <c r="R342" s="2" t="inlineStr"/>
    </row>
    <row r="343" ht="15" customHeight="1">
      <c r="A343" t="inlineStr">
        <is>
          <t>A 41038-2023</t>
        </is>
      </c>
      <c r="B343" s="1" t="n">
        <v>45173.60959490741</v>
      </c>
      <c r="C343" s="1" t="n">
        <v>46163</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53587-2025</t>
        </is>
      </c>
      <c r="B344" s="1" t="n">
        <v>45960.43681712963</v>
      </c>
      <c r="C344" s="1" t="n">
        <v>46163</v>
      </c>
      <c r="D344" t="inlineStr">
        <is>
          <t>GOTLANDS LÄN</t>
        </is>
      </c>
      <c r="E344" t="inlineStr">
        <is>
          <t>GOTLAND</t>
        </is>
      </c>
      <c r="F344" t="inlineStr">
        <is>
          <t>Övriga Aktiebolag</t>
        </is>
      </c>
      <c r="G344" t="n">
        <v>1.7</v>
      </c>
      <c r="H344" t="n">
        <v>0</v>
      </c>
      <c r="I344" t="n">
        <v>0</v>
      </c>
      <c r="J344" t="n">
        <v>0</v>
      </c>
      <c r="K344" t="n">
        <v>0</v>
      </c>
      <c r="L344" t="n">
        <v>0</v>
      </c>
      <c r="M344" t="n">
        <v>0</v>
      </c>
      <c r="N344" t="n">
        <v>0</v>
      </c>
      <c r="O344" t="n">
        <v>0</v>
      </c>
      <c r="P344" t="n">
        <v>0</v>
      </c>
      <c r="Q344" t="n">
        <v>0</v>
      </c>
      <c r="R344" s="2" t="inlineStr"/>
    </row>
    <row r="345" ht="15" customHeight="1">
      <c r="A345" t="inlineStr">
        <is>
          <t>A 43951-2025</t>
        </is>
      </c>
      <c r="B345" s="1" t="n">
        <v>45915.38119212963</v>
      </c>
      <c r="C345" s="1" t="n">
        <v>46163</v>
      </c>
      <c r="D345" t="inlineStr">
        <is>
          <t>GOTLANDS LÄN</t>
        </is>
      </c>
      <c r="E345" t="inlineStr">
        <is>
          <t>GOTLAND</t>
        </is>
      </c>
      <c r="G345" t="n">
        <v>4.4</v>
      </c>
      <c r="H345" t="n">
        <v>0</v>
      </c>
      <c r="I345" t="n">
        <v>0</v>
      </c>
      <c r="J345" t="n">
        <v>0</v>
      </c>
      <c r="K345" t="n">
        <v>0</v>
      </c>
      <c r="L345" t="n">
        <v>0</v>
      </c>
      <c r="M345" t="n">
        <v>0</v>
      </c>
      <c r="N345" t="n">
        <v>0</v>
      </c>
      <c r="O345" t="n">
        <v>0</v>
      </c>
      <c r="P345" t="n">
        <v>0</v>
      </c>
      <c r="Q345" t="n">
        <v>0</v>
      </c>
      <c r="R345" s="2" t="inlineStr"/>
    </row>
    <row r="346" ht="15" customHeight="1">
      <c r="A346" t="inlineStr">
        <is>
          <t>A 44410-2025</t>
        </is>
      </c>
      <c r="B346" s="1" t="n">
        <v>45916.53699074074</v>
      </c>
      <c r="C346" s="1" t="n">
        <v>46163</v>
      </c>
      <c r="D346" t="inlineStr">
        <is>
          <t>GOTLANDS LÄN</t>
        </is>
      </c>
      <c r="E346" t="inlineStr">
        <is>
          <t>GOTLAND</t>
        </is>
      </c>
      <c r="G346" t="n">
        <v>2.3</v>
      </c>
      <c r="H346" t="n">
        <v>0</v>
      </c>
      <c r="I346" t="n">
        <v>0</v>
      </c>
      <c r="J346" t="n">
        <v>0</v>
      </c>
      <c r="K346" t="n">
        <v>0</v>
      </c>
      <c r="L346" t="n">
        <v>0</v>
      </c>
      <c r="M346" t="n">
        <v>0</v>
      </c>
      <c r="N346" t="n">
        <v>0</v>
      </c>
      <c r="O346" t="n">
        <v>0</v>
      </c>
      <c r="P346" t="n">
        <v>0</v>
      </c>
      <c r="Q346" t="n">
        <v>0</v>
      </c>
      <c r="R346" s="2" t="inlineStr"/>
    </row>
    <row r="347" ht="15" customHeight="1">
      <c r="A347" t="inlineStr">
        <is>
          <t>A 30489-2025</t>
        </is>
      </c>
      <c r="B347" s="1" t="n">
        <v>45830</v>
      </c>
      <c r="C347" s="1" t="n">
        <v>46163</v>
      </c>
      <c r="D347" t="inlineStr">
        <is>
          <t>GOTLANDS LÄN</t>
        </is>
      </c>
      <c r="E347" t="inlineStr">
        <is>
          <t>GOTLAND</t>
        </is>
      </c>
      <c r="G347" t="n">
        <v>4.6</v>
      </c>
      <c r="H347" t="n">
        <v>0</v>
      </c>
      <c r="I347" t="n">
        <v>0</v>
      </c>
      <c r="J347" t="n">
        <v>0</v>
      </c>
      <c r="K347" t="n">
        <v>0</v>
      </c>
      <c r="L347" t="n">
        <v>0</v>
      </c>
      <c r="M347" t="n">
        <v>0</v>
      </c>
      <c r="N347" t="n">
        <v>0</v>
      </c>
      <c r="O347" t="n">
        <v>0</v>
      </c>
      <c r="P347" t="n">
        <v>0</v>
      </c>
      <c r="Q347" t="n">
        <v>0</v>
      </c>
      <c r="R347" s="2" t="inlineStr"/>
    </row>
    <row r="348" ht="15" customHeight="1">
      <c r="A348" t="inlineStr">
        <is>
          <t>A 44405-2025</t>
        </is>
      </c>
      <c r="B348" s="1" t="n">
        <v>45916.52405092592</v>
      </c>
      <c r="C348" s="1" t="n">
        <v>46163</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9540-2026</t>
        </is>
      </c>
      <c r="B349" s="1" t="n">
        <v>46071.61961805556</v>
      </c>
      <c r="C349" s="1" t="n">
        <v>46163</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21142-2025</t>
        </is>
      </c>
      <c r="B350" s="1" t="n">
        <v>45779</v>
      </c>
      <c r="C350" s="1" t="n">
        <v>46163</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6108-2025</t>
        </is>
      </c>
      <c r="B351" s="1" t="n">
        <v>45698.29880787037</v>
      </c>
      <c r="C351" s="1" t="n">
        <v>46163</v>
      </c>
      <c r="D351" t="inlineStr">
        <is>
          <t>GOTLANDS LÄN</t>
        </is>
      </c>
      <c r="E351" t="inlineStr">
        <is>
          <t>GOTLAND</t>
        </is>
      </c>
      <c r="G351" t="n">
        <v>2.8</v>
      </c>
      <c r="H351" t="n">
        <v>0</v>
      </c>
      <c r="I351" t="n">
        <v>0</v>
      </c>
      <c r="J351" t="n">
        <v>0</v>
      </c>
      <c r="K351" t="n">
        <v>0</v>
      </c>
      <c r="L351" t="n">
        <v>0</v>
      </c>
      <c r="M351" t="n">
        <v>0</v>
      </c>
      <c r="N351" t="n">
        <v>0</v>
      </c>
      <c r="O351" t="n">
        <v>0</v>
      </c>
      <c r="P351" t="n">
        <v>0</v>
      </c>
      <c r="Q351" t="n">
        <v>0</v>
      </c>
      <c r="R351" s="2" t="inlineStr"/>
    </row>
    <row r="352" ht="15" customHeight="1">
      <c r="A352" t="inlineStr">
        <is>
          <t>A 17343-2025</t>
        </is>
      </c>
      <c r="B352" s="1" t="n">
        <v>45756.6687037037</v>
      </c>
      <c r="C352" s="1" t="n">
        <v>46163</v>
      </c>
      <c r="D352" t="inlineStr">
        <is>
          <t>GOTLANDS LÄN</t>
        </is>
      </c>
      <c r="E352" t="inlineStr">
        <is>
          <t>GOTLAND</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18938-2025</t>
        </is>
      </c>
      <c r="B353" s="1" t="n">
        <v>45764.49172453704</v>
      </c>
      <c r="C353" s="1" t="n">
        <v>46163</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20307-2025</t>
        </is>
      </c>
      <c r="B354" s="1" t="n">
        <v>45774.95546296296</v>
      </c>
      <c r="C354" s="1" t="n">
        <v>46163</v>
      </c>
      <c r="D354" t="inlineStr">
        <is>
          <t>GOTLANDS LÄN</t>
        </is>
      </c>
      <c r="E354" t="inlineStr">
        <is>
          <t>GOTLAND</t>
        </is>
      </c>
      <c r="G354" t="n">
        <v>6.8</v>
      </c>
      <c r="H354" t="n">
        <v>0</v>
      </c>
      <c r="I354" t="n">
        <v>0</v>
      </c>
      <c r="J354" t="n">
        <v>0</v>
      </c>
      <c r="K354" t="n">
        <v>0</v>
      </c>
      <c r="L354" t="n">
        <v>0</v>
      </c>
      <c r="M354" t="n">
        <v>0</v>
      </c>
      <c r="N354" t="n">
        <v>0</v>
      </c>
      <c r="O354" t="n">
        <v>0</v>
      </c>
      <c r="P354" t="n">
        <v>0</v>
      </c>
      <c r="Q354" t="n">
        <v>0</v>
      </c>
      <c r="R354" s="2" t="inlineStr"/>
    </row>
    <row r="355" ht="15" customHeight="1">
      <c r="A355" t="inlineStr">
        <is>
          <t>A 9521-2026</t>
        </is>
      </c>
      <c r="B355" s="1" t="n">
        <v>46071.59969907408</v>
      </c>
      <c r="C355" s="1" t="n">
        <v>46163</v>
      </c>
      <c r="D355" t="inlineStr">
        <is>
          <t>GOTLANDS LÄN</t>
        </is>
      </c>
      <c r="E355" t="inlineStr">
        <is>
          <t>GOTLAND</t>
        </is>
      </c>
      <c r="G355" t="n">
        <v>3.9</v>
      </c>
      <c r="H355" t="n">
        <v>0</v>
      </c>
      <c r="I355" t="n">
        <v>0</v>
      </c>
      <c r="J355" t="n">
        <v>0</v>
      </c>
      <c r="K355" t="n">
        <v>0</v>
      </c>
      <c r="L355" t="n">
        <v>0</v>
      </c>
      <c r="M355" t="n">
        <v>0</v>
      </c>
      <c r="N355" t="n">
        <v>0</v>
      </c>
      <c r="O355" t="n">
        <v>0</v>
      </c>
      <c r="P355" t="n">
        <v>0</v>
      </c>
      <c r="Q355" t="n">
        <v>0</v>
      </c>
      <c r="R355" s="2" t="inlineStr"/>
    </row>
    <row r="356" ht="15" customHeight="1">
      <c r="A356" t="inlineStr">
        <is>
          <t>A 9524-2026</t>
        </is>
      </c>
      <c r="B356" s="1" t="n">
        <v>46071.60108796296</v>
      </c>
      <c r="C356" s="1" t="n">
        <v>46163</v>
      </c>
      <c r="D356" t="inlineStr">
        <is>
          <t>GOTLANDS LÄN</t>
        </is>
      </c>
      <c r="E356" t="inlineStr">
        <is>
          <t>GOTLAND</t>
        </is>
      </c>
      <c r="G356" t="n">
        <v>2.5</v>
      </c>
      <c r="H356" t="n">
        <v>0</v>
      </c>
      <c r="I356" t="n">
        <v>0</v>
      </c>
      <c r="J356" t="n">
        <v>0</v>
      </c>
      <c r="K356" t="n">
        <v>0</v>
      </c>
      <c r="L356" t="n">
        <v>0</v>
      </c>
      <c r="M356" t="n">
        <v>0</v>
      </c>
      <c r="N356" t="n">
        <v>0</v>
      </c>
      <c r="O356" t="n">
        <v>0</v>
      </c>
      <c r="P356" t="n">
        <v>0</v>
      </c>
      <c r="Q356" t="n">
        <v>0</v>
      </c>
      <c r="R356" s="2" t="inlineStr"/>
    </row>
    <row r="357" ht="15" customHeight="1">
      <c r="A357" t="inlineStr">
        <is>
          <t>A 9543-2026</t>
        </is>
      </c>
      <c r="B357" s="1" t="n">
        <v>46071.62486111111</v>
      </c>
      <c r="C357" s="1" t="n">
        <v>46163</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24966-2023</t>
        </is>
      </c>
      <c r="B358" s="1" t="n">
        <v>45085</v>
      </c>
      <c r="C358" s="1" t="n">
        <v>46163</v>
      </c>
      <c r="D358" t="inlineStr">
        <is>
          <t>GOTLANDS LÄN</t>
        </is>
      </c>
      <c r="E358" t="inlineStr">
        <is>
          <t>GOTLAND</t>
        </is>
      </c>
      <c r="G358" t="n">
        <v>7</v>
      </c>
      <c r="H358" t="n">
        <v>0</v>
      </c>
      <c r="I358" t="n">
        <v>0</v>
      </c>
      <c r="J358" t="n">
        <v>0</v>
      </c>
      <c r="K358" t="n">
        <v>0</v>
      </c>
      <c r="L358" t="n">
        <v>0</v>
      </c>
      <c r="M358" t="n">
        <v>0</v>
      </c>
      <c r="N358" t="n">
        <v>0</v>
      </c>
      <c r="O358" t="n">
        <v>0</v>
      </c>
      <c r="P358" t="n">
        <v>0</v>
      </c>
      <c r="Q358" t="n">
        <v>0</v>
      </c>
      <c r="R358" s="2" t="inlineStr"/>
    </row>
    <row r="359" ht="15" customHeight="1">
      <c r="A359" t="inlineStr">
        <is>
          <t>A 57652-2023</t>
        </is>
      </c>
      <c r="B359" s="1" t="n">
        <v>45246</v>
      </c>
      <c r="C359" s="1" t="n">
        <v>46163</v>
      </c>
      <c r="D359" t="inlineStr">
        <is>
          <t>GOTLANDS LÄN</t>
        </is>
      </c>
      <c r="E359" t="inlineStr">
        <is>
          <t>GOTLAND</t>
        </is>
      </c>
      <c r="G359" t="n">
        <v>7.2</v>
      </c>
      <c r="H359" t="n">
        <v>0</v>
      </c>
      <c r="I359" t="n">
        <v>0</v>
      </c>
      <c r="J359" t="n">
        <v>0</v>
      </c>
      <c r="K359" t="n">
        <v>0</v>
      </c>
      <c r="L359" t="n">
        <v>0</v>
      </c>
      <c r="M359" t="n">
        <v>0</v>
      </c>
      <c r="N359" t="n">
        <v>0</v>
      </c>
      <c r="O359" t="n">
        <v>0</v>
      </c>
      <c r="P359" t="n">
        <v>0</v>
      </c>
      <c r="Q359" t="n">
        <v>0</v>
      </c>
      <c r="R359" s="2" t="inlineStr"/>
    </row>
    <row r="360" ht="15" customHeight="1">
      <c r="A360" t="inlineStr">
        <is>
          <t>A 46189-2022</t>
        </is>
      </c>
      <c r="B360" s="1" t="n">
        <v>44847</v>
      </c>
      <c r="C360" s="1" t="n">
        <v>46163</v>
      </c>
      <c r="D360" t="inlineStr">
        <is>
          <t>GOTLANDS LÄN</t>
        </is>
      </c>
      <c r="E360" t="inlineStr">
        <is>
          <t>GOTLAND</t>
        </is>
      </c>
      <c r="G360" t="n">
        <v>0.4</v>
      </c>
      <c r="H360" t="n">
        <v>0</v>
      </c>
      <c r="I360" t="n">
        <v>0</v>
      </c>
      <c r="J360" t="n">
        <v>0</v>
      </c>
      <c r="K360" t="n">
        <v>0</v>
      </c>
      <c r="L360" t="n">
        <v>0</v>
      </c>
      <c r="M360" t="n">
        <v>0</v>
      </c>
      <c r="N360" t="n">
        <v>0</v>
      </c>
      <c r="O360" t="n">
        <v>0</v>
      </c>
      <c r="P360" t="n">
        <v>0</v>
      </c>
      <c r="Q360" t="n">
        <v>0</v>
      </c>
      <c r="R360" s="2" t="inlineStr"/>
    </row>
    <row r="361" ht="15" customHeight="1">
      <c r="A361" t="inlineStr">
        <is>
          <t>A 9504-2026</t>
        </is>
      </c>
      <c r="B361" s="1" t="n">
        <v>46071.57730324074</v>
      </c>
      <c r="C361" s="1" t="n">
        <v>46163</v>
      </c>
      <c r="D361" t="inlineStr">
        <is>
          <t>GOTLANDS LÄN</t>
        </is>
      </c>
      <c r="E361" t="inlineStr">
        <is>
          <t>GOTLAND</t>
        </is>
      </c>
      <c r="G361" t="n">
        <v>0.6</v>
      </c>
      <c r="H361" t="n">
        <v>0</v>
      </c>
      <c r="I361" t="n">
        <v>0</v>
      </c>
      <c r="J361" t="n">
        <v>0</v>
      </c>
      <c r="K361" t="n">
        <v>0</v>
      </c>
      <c r="L361" t="n">
        <v>0</v>
      </c>
      <c r="M361" t="n">
        <v>0</v>
      </c>
      <c r="N361" t="n">
        <v>0</v>
      </c>
      <c r="O361" t="n">
        <v>0</v>
      </c>
      <c r="P361" t="n">
        <v>0</v>
      </c>
      <c r="Q361" t="n">
        <v>0</v>
      </c>
      <c r="R361" s="2" t="inlineStr"/>
    </row>
    <row r="362" ht="15" customHeight="1">
      <c r="A362" t="inlineStr">
        <is>
          <t>A 9518-2026</t>
        </is>
      </c>
      <c r="B362" s="1" t="n">
        <v>46071.59653935185</v>
      </c>
      <c r="C362" s="1" t="n">
        <v>46163</v>
      </c>
      <c r="D362" t="inlineStr">
        <is>
          <t>GOTLANDS LÄN</t>
        </is>
      </c>
      <c r="E362" t="inlineStr">
        <is>
          <t>GOTLAND</t>
        </is>
      </c>
      <c r="G362" t="n">
        <v>6.2</v>
      </c>
      <c r="H362" t="n">
        <v>0</v>
      </c>
      <c r="I362" t="n">
        <v>0</v>
      </c>
      <c r="J362" t="n">
        <v>0</v>
      </c>
      <c r="K362" t="n">
        <v>0</v>
      </c>
      <c r="L362" t="n">
        <v>0</v>
      </c>
      <c r="M362" t="n">
        <v>0</v>
      </c>
      <c r="N362" t="n">
        <v>0</v>
      </c>
      <c r="O362" t="n">
        <v>0</v>
      </c>
      <c r="P362" t="n">
        <v>0</v>
      </c>
      <c r="Q362" t="n">
        <v>0</v>
      </c>
      <c r="R362" s="2" t="inlineStr"/>
    </row>
    <row r="363" ht="15" customHeight="1">
      <c r="A363" t="inlineStr">
        <is>
          <t>A 9519-2026</t>
        </is>
      </c>
      <c r="B363" s="1" t="n">
        <v>46071.59820601852</v>
      </c>
      <c r="C363" s="1" t="n">
        <v>46163</v>
      </c>
      <c r="D363" t="inlineStr">
        <is>
          <t>GOTLANDS LÄN</t>
        </is>
      </c>
      <c r="E363" t="inlineStr">
        <is>
          <t>GOTLAND</t>
        </is>
      </c>
      <c r="G363" t="n">
        <v>4</v>
      </c>
      <c r="H363" t="n">
        <v>0</v>
      </c>
      <c r="I363" t="n">
        <v>0</v>
      </c>
      <c r="J363" t="n">
        <v>0</v>
      </c>
      <c r="K363" t="n">
        <v>0</v>
      </c>
      <c r="L363" t="n">
        <v>0</v>
      </c>
      <c r="M363" t="n">
        <v>0</v>
      </c>
      <c r="N363" t="n">
        <v>0</v>
      </c>
      <c r="O363" t="n">
        <v>0</v>
      </c>
      <c r="P363" t="n">
        <v>0</v>
      </c>
      <c r="Q363" t="n">
        <v>0</v>
      </c>
      <c r="R363" s="2" t="inlineStr"/>
    </row>
    <row r="364" ht="15" customHeight="1">
      <c r="A364" t="inlineStr">
        <is>
          <t>A 57522-2022</t>
        </is>
      </c>
      <c r="B364" s="1" t="n">
        <v>44896</v>
      </c>
      <c r="C364" s="1" t="n">
        <v>46163</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18993-2025</t>
        </is>
      </c>
      <c r="B365" s="1" t="n">
        <v>45764</v>
      </c>
      <c r="C365" s="1" t="n">
        <v>46163</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30135-2025</t>
        </is>
      </c>
      <c r="B366" s="1" t="n">
        <v>45826</v>
      </c>
      <c r="C366" s="1" t="n">
        <v>46163</v>
      </c>
      <c r="D366" t="inlineStr">
        <is>
          <t>GOTLANDS LÄN</t>
        </is>
      </c>
      <c r="E366" t="inlineStr">
        <is>
          <t>GOTLAND</t>
        </is>
      </c>
      <c r="G366" t="n">
        <v>2.7</v>
      </c>
      <c r="H366" t="n">
        <v>0</v>
      </c>
      <c r="I366" t="n">
        <v>0</v>
      </c>
      <c r="J366" t="n">
        <v>0</v>
      </c>
      <c r="K366" t="n">
        <v>0</v>
      </c>
      <c r="L366" t="n">
        <v>0</v>
      </c>
      <c r="M366" t="n">
        <v>0</v>
      </c>
      <c r="N366" t="n">
        <v>0</v>
      </c>
      <c r="O366" t="n">
        <v>0</v>
      </c>
      <c r="P366" t="n">
        <v>0</v>
      </c>
      <c r="Q366" t="n">
        <v>0</v>
      </c>
      <c r="R366" s="2" t="inlineStr"/>
    </row>
    <row r="367" ht="15" customHeight="1">
      <c r="A367" t="inlineStr">
        <is>
          <t>A 14797-2024</t>
        </is>
      </c>
      <c r="B367" s="1" t="n">
        <v>45397.87030092593</v>
      </c>
      <c r="C367" s="1" t="n">
        <v>46163</v>
      </c>
      <c r="D367" t="inlineStr">
        <is>
          <t>GOTLANDS LÄN</t>
        </is>
      </c>
      <c r="E367" t="inlineStr">
        <is>
          <t>GOTLAND</t>
        </is>
      </c>
      <c r="G367" t="n">
        <v>8.1</v>
      </c>
      <c r="H367" t="n">
        <v>0</v>
      </c>
      <c r="I367" t="n">
        <v>0</v>
      </c>
      <c r="J367" t="n">
        <v>0</v>
      </c>
      <c r="K367" t="n">
        <v>0</v>
      </c>
      <c r="L367" t="n">
        <v>0</v>
      </c>
      <c r="M367" t="n">
        <v>0</v>
      </c>
      <c r="N367" t="n">
        <v>0</v>
      </c>
      <c r="O367" t="n">
        <v>0</v>
      </c>
      <c r="P367" t="n">
        <v>0</v>
      </c>
      <c r="Q367" t="n">
        <v>0</v>
      </c>
      <c r="R367" s="2" t="inlineStr"/>
    </row>
    <row r="368" ht="15" customHeight="1">
      <c r="A368" t="inlineStr">
        <is>
          <t>A 9901-2026</t>
        </is>
      </c>
      <c r="B368" s="1" t="n">
        <v>46073.40391203704</v>
      </c>
      <c r="C368" s="1" t="n">
        <v>46163</v>
      </c>
      <c r="D368" t="inlineStr">
        <is>
          <t>GOTLANDS LÄN</t>
        </is>
      </c>
      <c r="E368" t="inlineStr">
        <is>
          <t>GOTLAND</t>
        </is>
      </c>
      <c r="F368" t="inlineStr">
        <is>
          <t>Kyrkan</t>
        </is>
      </c>
      <c r="G368" t="n">
        <v>0.9</v>
      </c>
      <c r="H368" t="n">
        <v>0</v>
      </c>
      <c r="I368" t="n">
        <v>0</v>
      </c>
      <c r="J368" t="n">
        <v>0</v>
      </c>
      <c r="K368" t="n">
        <v>0</v>
      </c>
      <c r="L368" t="n">
        <v>0</v>
      </c>
      <c r="M368" t="n">
        <v>0</v>
      </c>
      <c r="N368" t="n">
        <v>0</v>
      </c>
      <c r="O368" t="n">
        <v>0</v>
      </c>
      <c r="P368" t="n">
        <v>0</v>
      </c>
      <c r="Q368" t="n">
        <v>0</v>
      </c>
      <c r="R368" s="2" t="inlineStr"/>
    </row>
    <row r="369" ht="15" customHeight="1">
      <c r="A369" t="inlineStr">
        <is>
          <t>A 7837-2024</t>
        </is>
      </c>
      <c r="B369" s="1" t="n">
        <v>45349.83787037037</v>
      </c>
      <c r="C369" s="1" t="n">
        <v>46163</v>
      </c>
      <c r="D369" t="inlineStr">
        <is>
          <t>GOTLANDS LÄN</t>
        </is>
      </c>
      <c r="E369" t="inlineStr">
        <is>
          <t>GOTLAND</t>
        </is>
      </c>
      <c r="G369" t="n">
        <v>5</v>
      </c>
      <c r="H369" t="n">
        <v>0</v>
      </c>
      <c r="I369" t="n">
        <v>0</v>
      </c>
      <c r="J369" t="n">
        <v>0</v>
      </c>
      <c r="K369" t="n">
        <v>0</v>
      </c>
      <c r="L369" t="n">
        <v>0</v>
      </c>
      <c r="M369" t="n">
        <v>0</v>
      </c>
      <c r="N369" t="n">
        <v>0</v>
      </c>
      <c r="O369" t="n">
        <v>0</v>
      </c>
      <c r="P369" t="n">
        <v>0</v>
      </c>
      <c r="Q369" t="n">
        <v>0</v>
      </c>
      <c r="R369" s="2" t="inlineStr"/>
    </row>
    <row r="370" ht="15" customHeight="1">
      <c r="A370" t="inlineStr">
        <is>
          <t>A 12599-2025</t>
        </is>
      </c>
      <c r="B370" s="1" t="n">
        <v>45733.29546296296</v>
      </c>
      <c r="C370" s="1" t="n">
        <v>46163</v>
      </c>
      <c r="D370" t="inlineStr">
        <is>
          <t>GOTLANDS LÄN</t>
        </is>
      </c>
      <c r="E370" t="inlineStr">
        <is>
          <t>GOTLAND</t>
        </is>
      </c>
      <c r="G370" t="n">
        <v>4.7</v>
      </c>
      <c r="H370" t="n">
        <v>0</v>
      </c>
      <c r="I370" t="n">
        <v>0</v>
      </c>
      <c r="J370" t="n">
        <v>0</v>
      </c>
      <c r="K370" t="n">
        <v>0</v>
      </c>
      <c r="L370" t="n">
        <v>0</v>
      </c>
      <c r="M370" t="n">
        <v>0</v>
      </c>
      <c r="N370" t="n">
        <v>0</v>
      </c>
      <c r="O370" t="n">
        <v>0</v>
      </c>
      <c r="P370" t="n">
        <v>0</v>
      </c>
      <c r="Q370" t="n">
        <v>0</v>
      </c>
      <c r="R370" s="2" t="inlineStr"/>
    </row>
    <row r="371" ht="15" customHeight="1">
      <c r="A371" t="inlineStr">
        <is>
          <t>A 1394-2023</t>
        </is>
      </c>
      <c r="B371" s="1" t="n">
        <v>44936.72997685185</v>
      </c>
      <c r="C371" s="1" t="n">
        <v>46163</v>
      </c>
      <c r="D371" t="inlineStr">
        <is>
          <t>GOTLANDS LÄN</t>
        </is>
      </c>
      <c r="E371" t="inlineStr">
        <is>
          <t>GOTLAND</t>
        </is>
      </c>
      <c r="G371" t="n">
        <v>2.1</v>
      </c>
      <c r="H371" t="n">
        <v>0</v>
      </c>
      <c r="I371" t="n">
        <v>0</v>
      </c>
      <c r="J371" t="n">
        <v>0</v>
      </c>
      <c r="K371" t="n">
        <v>0</v>
      </c>
      <c r="L371" t="n">
        <v>0</v>
      </c>
      <c r="M371" t="n">
        <v>0</v>
      </c>
      <c r="N371" t="n">
        <v>0</v>
      </c>
      <c r="O371" t="n">
        <v>0</v>
      </c>
      <c r="P371" t="n">
        <v>0</v>
      </c>
      <c r="Q371" t="n">
        <v>0</v>
      </c>
      <c r="R371" s="2" t="inlineStr"/>
    </row>
    <row r="372" ht="15" customHeight="1">
      <c r="A372" t="inlineStr">
        <is>
          <t>A 2676-2023</t>
        </is>
      </c>
      <c r="B372" s="1" t="n">
        <v>44944</v>
      </c>
      <c r="C372" s="1" t="n">
        <v>46163</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4387-2023</t>
        </is>
      </c>
      <c r="B373" s="1" t="n">
        <v>44955.73359953704</v>
      </c>
      <c r="C373" s="1" t="n">
        <v>46163</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26391-2025</t>
        </is>
      </c>
      <c r="B374" s="1" t="n">
        <v>45806</v>
      </c>
      <c r="C374" s="1" t="n">
        <v>46163</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10284-2026</t>
        </is>
      </c>
      <c r="B375" s="1" t="n">
        <v>46076</v>
      </c>
      <c r="C375" s="1" t="n">
        <v>46163</v>
      </c>
      <c r="D375" t="inlineStr">
        <is>
          <t>GOTLANDS LÄN</t>
        </is>
      </c>
      <c r="E375" t="inlineStr">
        <is>
          <t>GOTLAND</t>
        </is>
      </c>
      <c r="G375" t="n">
        <v>5.2</v>
      </c>
      <c r="H375" t="n">
        <v>0</v>
      </c>
      <c r="I375" t="n">
        <v>0</v>
      </c>
      <c r="J375" t="n">
        <v>0</v>
      </c>
      <c r="K375" t="n">
        <v>0</v>
      </c>
      <c r="L375" t="n">
        <v>0</v>
      </c>
      <c r="M375" t="n">
        <v>0</v>
      </c>
      <c r="N375" t="n">
        <v>0</v>
      </c>
      <c r="O375" t="n">
        <v>0</v>
      </c>
      <c r="P375" t="n">
        <v>0</v>
      </c>
      <c r="Q375" t="n">
        <v>0</v>
      </c>
      <c r="R375" s="2" t="inlineStr"/>
    </row>
    <row r="376" ht="15" customHeight="1">
      <c r="A376" t="inlineStr">
        <is>
          <t>A 49411-2023</t>
        </is>
      </c>
      <c r="B376" s="1" t="n">
        <v>45205</v>
      </c>
      <c r="C376" s="1" t="n">
        <v>46163</v>
      </c>
      <c r="D376" t="inlineStr">
        <is>
          <t>GOTLANDS LÄN</t>
        </is>
      </c>
      <c r="E376" t="inlineStr">
        <is>
          <t>GOTLAND</t>
        </is>
      </c>
      <c r="G376" t="n">
        <v>2</v>
      </c>
      <c r="H376" t="n">
        <v>0</v>
      </c>
      <c r="I376" t="n">
        <v>0</v>
      </c>
      <c r="J376" t="n">
        <v>0</v>
      </c>
      <c r="K376" t="n">
        <v>0</v>
      </c>
      <c r="L376" t="n">
        <v>0</v>
      </c>
      <c r="M376" t="n">
        <v>0</v>
      </c>
      <c r="N376" t="n">
        <v>0</v>
      </c>
      <c r="O376" t="n">
        <v>0</v>
      </c>
      <c r="P376" t="n">
        <v>0</v>
      </c>
      <c r="Q376" t="n">
        <v>0</v>
      </c>
      <c r="R376" s="2" t="inlineStr"/>
    </row>
    <row r="377" ht="15" customHeight="1">
      <c r="A377" t="inlineStr">
        <is>
          <t>A 37728-2024</t>
        </is>
      </c>
      <c r="B377" s="1" t="n">
        <v>45541</v>
      </c>
      <c r="C377" s="1" t="n">
        <v>46163</v>
      </c>
      <c r="D377" t="inlineStr">
        <is>
          <t>GOTLANDS LÄN</t>
        </is>
      </c>
      <c r="E377" t="inlineStr">
        <is>
          <t>GOTLAND</t>
        </is>
      </c>
      <c r="G377" t="n">
        <v>0.4</v>
      </c>
      <c r="H377" t="n">
        <v>0</v>
      </c>
      <c r="I377" t="n">
        <v>0</v>
      </c>
      <c r="J377" t="n">
        <v>0</v>
      </c>
      <c r="K377" t="n">
        <v>0</v>
      </c>
      <c r="L377" t="n">
        <v>0</v>
      </c>
      <c r="M377" t="n">
        <v>0</v>
      </c>
      <c r="N377" t="n">
        <v>0</v>
      </c>
      <c r="O377" t="n">
        <v>0</v>
      </c>
      <c r="P377" t="n">
        <v>0</v>
      </c>
      <c r="Q377" t="n">
        <v>0</v>
      </c>
      <c r="R377" s="2" t="inlineStr"/>
    </row>
    <row r="378" ht="15" customHeight="1">
      <c r="A378" t="inlineStr">
        <is>
          <t>A 10486-2026</t>
        </is>
      </c>
      <c r="B378" s="1" t="n">
        <v>46077.51425925926</v>
      </c>
      <c r="C378" s="1" t="n">
        <v>46163</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2241-2025</t>
        </is>
      </c>
      <c r="B379" s="1" t="n">
        <v>45673.48710648148</v>
      </c>
      <c r="C379" s="1" t="n">
        <v>46163</v>
      </c>
      <c r="D379" t="inlineStr">
        <is>
          <t>GOTLANDS LÄN</t>
        </is>
      </c>
      <c r="E379" t="inlineStr">
        <is>
          <t>GOTLAND</t>
        </is>
      </c>
      <c r="G379" t="n">
        <v>1</v>
      </c>
      <c r="H379" t="n">
        <v>0</v>
      </c>
      <c r="I379" t="n">
        <v>0</v>
      </c>
      <c r="J379" t="n">
        <v>0</v>
      </c>
      <c r="K379" t="n">
        <v>0</v>
      </c>
      <c r="L379" t="n">
        <v>0</v>
      </c>
      <c r="M379" t="n">
        <v>0</v>
      </c>
      <c r="N379" t="n">
        <v>0</v>
      </c>
      <c r="O379" t="n">
        <v>0</v>
      </c>
      <c r="P379" t="n">
        <v>0</v>
      </c>
      <c r="Q379" t="n">
        <v>0</v>
      </c>
      <c r="R379" s="2" t="inlineStr"/>
    </row>
    <row r="380" ht="15" customHeight="1">
      <c r="A380" t="inlineStr">
        <is>
          <t>A 60384-2025</t>
        </is>
      </c>
      <c r="B380" s="1" t="n">
        <v>45995</v>
      </c>
      <c r="C380" s="1" t="n">
        <v>46163</v>
      </c>
      <c r="D380" t="inlineStr">
        <is>
          <t>GOTLANDS LÄN</t>
        </is>
      </c>
      <c r="E380" t="inlineStr">
        <is>
          <t>GOTLAND</t>
        </is>
      </c>
      <c r="G380" t="n">
        <v>2.5</v>
      </c>
      <c r="H380" t="n">
        <v>0</v>
      </c>
      <c r="I380" t="n">
        <v>0</v>
      </c>
      <c r="J380" t="n">
        <v>0</v>
      </c>
      <c r="K380" t="n">
        <v>0</v>
      </c>
      <c r="L380" t="n">
        <v>0</v>
      </c>
      <c r="M380" t="n">
        <v>0</v>
      </c>
      <c r="N380" t="n">
        <v>0</v>
      </c>
      <c r="O380" t="n">
        <v>0</v>
      </c>
      <c r="P380" t="n">
        <v>0</v>
      </c>
      <c r="Q380" t="n">
        <v>0</v>
      </c>
      <c r="R380" s="2" t="inlineStr"/>
    </row>
    <row r="381" ht="15" customHeight="1">
      <c r="A381" t="inlineStr">
        <is>
          <t>A 17935-2026</t>
        </is>
      </c>
      <c r="B381" s="1" t="n">
        <v>46122</v>
      </c>
      <c r="C381" s="1" t="n">
        <v>46163</v>
      </c>
      <c r="D381" t="inlineStr">
        <is>
          <t>GOTLANDS LÄN</t>
        </is>
      </c>
      <c r="E381" t="inlineStr">
        <is>
          <t>GOTLAND</t>
        </is>
      </c>
      <c r="G381" t="n">
        <v>0.9</v>
      </c>
      <c r="H381" t="n">
        <v>0</v>
      </c>
      <c r="I381" t="n">
        <v>0</v>
      </c>
      <c r="J381" t="n">
        <v>0</v>
      </c>
      <c r="K381" t="n">
        <v>0</v>
      </c>
      <c r="L381" t="n">
        <v>0</v>
      </c>
      <c r="M381" t="n">
        <v>0</v>
      </c>
      <c r="N381" t="n">
        <v>0</v>
      </c>
      <c r="O381" t="n">
        <v>0</v>
      </c>
      <c r="P381" t="n">
        <v>0</v>
      </c>
      <c r="Q381" t="n">
        <v>0</v>
      </c>
      <c r="R381" s="2" t="inlineStr"/>
    </row>
    <row r="382" ht="15" customHeight="1">
      <c r="A382" t="inlineStr">
        <is>
          <t>A 17943-2026</t>
        </is>
      </c>
      <c r="B382" s="1" t="n">
        <v>46122</v>
      </c>
      <c r="C382" s="1" t="n">
        <v>46163</v>
      </c>
      <c r="D382" t="inlineStr">
        <is>
          <t>GOTLANDS LÄN</t>
        </is>
      </c>
      <c r="E382" t="inlineStr">
        <is>
          <t>GOTLAND</t>
        </is>
      </c>
      <c r="G382" t="n">
        <v>2.8</v>
      </c>
      <c r="H382" t="n">
        <v>0</v>
      </c>
      <c r="I382" t="n">
        <v>0</v>
      </c>
      <c r="J382" t="n">
        <v>0</v>
      </c>
      <c r="K382" t="n">
        <v>0</v>
      </c>
      <c r="L382" t="n">
        <v>0</v>
      </c>
      <c r="M382" t="n">
        <v>0</v>
      </c>
      <c r="N382" t="n">
        <v>0</v>
      </c>
      <c r="O382" t="n">
        <v>0</v>
      </c>
      <c r="P382" t="n">
        <v>0</v>
      </c>
      <c r="Q382" t="n">
        <v>0</v>
      </c>
      <c r="R382" s="2" t="inlineStr"/>
    </row>
    <row r="383" ht="15" customHeight="1">
      <c r="A383" t="inlineStr">
        <is>
          <t>A 46836-2025</t>
        </is>
      </c>
      <c r="B383" s="1" t="n">
        <v>45928.31511574074</v>
      </c>
      <c r="C383" s="1" t="n">
        <v>46163</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22275-2023</t>
        </is>
      </c>
      <c r="B384" s="1" t="n">
        <v>45070.39875</v>
      </c>
      <c r="C384" s="1" t="n">
        <v>46163</v>
      </c>
      <c r="D384" t="inlineStr">
        <is>
          <t>GOTLANDS LÄN</t>
        </is>
      </c>
      <c r="E384" t="inlineStr">
        <is>
          <t>GOTLAND</t>
        </is>
      </c>
      <c r="G384" t="n">
        <v>7.2</v>
      </c>
      <c r="H384" t="n">
        <v>0</v>
      </c>
      <c r="I384" t="n">
        <v>0</v>
      </c>
      <c r="J384" t="n">
        <v>0</v>
      </c>
      <c r="K384" t="n">
        <v>0</v>
      </c>
      <c r="L384" t="n">
        <v>0</v>
      </c>
      <c r="M384" t="n">
        <v>0</v>
      </c>
      <c r="N384" t="n">
        <v>0</v>
      </c>
      <c r="O384" t="n">
        <v>0</v>
      </c>
      <c r="P384" t="n">
        <v>0</v>
      </c>
      <c r="Q384" t="n">
        <v>0</v>
      </c>
      <c r="R384" s="2" t="inlineStr"/>
    </row>
    <row r="385" ht="15" customHeight="1">
      <c r="A385" t="inlineStr">
        <is>
          <t>A 54584-2025</t>
        </is>
      </c>
      <c r="B385" s="1" t="n">
        <v>45965.71788194445</v>
      </c>
      <c r="C385" s="1" t="n">
        <v>46163</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14635-2023</t>
        </is>
      </c>
      <c r="B386" s="1" t="n">
        <v>45013.69365740741</v>
      </c>
      <c r="C386" s="1" t="n">
        <v>46163</v>
      </c>
      <c r="D386" t="inlineStr">
        <is>
          <t>GOTLANDS LÄN</t>
        </is>
      </c>
      <c r="E386" t="inlineStr">
        <is>
          <t>GOTLAND</t>
        </is>
      </c>
      <c r="G386" t="n">
        <v>3.1</v>
      </c>
      <c r="H386" t="n">
        <v>0</v>
      </c>
      <c r="I386" t="n">
        <v>0</v>
      </c>
      <c r="J386" t="n">
        <v>0</v>
      </c>
      <c r="K386" t="n">
        <v>0</v>
      </c>
      <c r="L386" t="n">
        <v>0</v>
      </c>
      <c r="M386" t="n">
        <v>0</v>
      </c>
      <c r="N386" t="n">
        <v>0</v>
      </c>
      <c r="O386" t="n">
        <v>0</v>
      </c>
      <c r="P386" t="n">
        <v>0</v>
      </c>
      <c r="Q386" t="n">
        <v>0</v>
      </c>
      <c r="R386" s="2" t="inlineStr"/>
    </row>
    <row r="387" ht="15" customHeight="1">
      <c r="A387" t="inlineStr">
        <is>
          <t>A 63763-2023</t>
        </is>
      </c>
      <c r="B387" s="1" t="n">
        <v>45278.33944444444</v>
      </c>
      <c r="C387" s="1" t="n">
        <v>46163</v>
      </c>
      <c r="D387" t="inlineStr">
        <is>
          <t>GOTLANDS LÄN</t>
        </is>
      </c>
      <c r="E387" t="inlineStr">
        <is>
          <t>GOTLAND</t>
        </is>
      </c>
      <c r="G387" t="n">
        <v>0.5</v>
      </c>
      <c r="H387" t="n">
        <v>0</v>
      </c>
      <c r="I387" t="n">
        <v>0</v>
      </c>
      <c r="J387" t="n">
        <v>0</v>
      </c>
      <c r="K387" t="n">
        <v>0</v>
      </c>
      <c r="L387" t="n">
        <v>0</v>
      </c>
      <c r="M387" t="n">
        <v>0</v>
      </c>
      <c r="N387" t="n">
        <v>0</v>
      </c>
      <c r="O387" t="n">
        <v>0</v>
      </c>
      <c r="P387" t="n">
        <v>0</v>
      </c>
      <c r="Q387" t="n">
        <v>0</v>
      </c>
      <c r="R387" s="2" t="inlineStr"/>
    </row>
    <row r="388" ht="15" customHeight="1">
      <c r="A388" t="inlineStr">
        <is>
          <t>A 47637-2025</t>
        </is>
      </c>
      <c r="B388" s="1" t="n">
        <v>45931.49753472222</v>
      </c>
      <c r="C388" s="1" t="n">
        <v>46163</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7635-2025</t>
        </is>
      </c>
      <c r="B389" s="1" t="n">
        <v>45705</v>
      </c>
      <c r="C389" s="1" t="n">
        <v>46163</v>
      </c>
      <c r="D389" t="inlineStr">
        <is>
          <t>GOTLANDS LÄN</t>
        </is>
      </c>
      <c r="E389" t="inlineStr">
        <is>
          <t>GOTLAND</t>
        </is>
      </c>
      <c r="G389" t="n">
        <v>0.9</v>
      </c>
      <c r="H389" t="n">
        <v>0</v>
      </c>
      <c r="I389" t="n">
        <v>0</v>
      </c>
      <c r="J389" t="n">
        <v>0</v>
      </c>
      <c r="K389" t="n">
        <v>0</v>
      </c>
      <c r="L389" t="n">
        <v>0</v>
      </c>
      <c r="M389" t="n">
        <v>0</v>
      </c>
      <c r="N389" t="n">
        <v>0</v>
      </c>
      <c r="O389" t="n">
        <v>0</v>
      </c>
      <c r="P389" t="n">
        <v>0</v>
      </c>
      <c r="Q389" t="n">
        <v>0</v>
      </c>
      <c r="R389" s="2" t="inlineStr"/>
    </row>
    <row r="390" ht="15" customHeight="1">
      <c r="A390" t="inlineStr">
        <is>
          <t>A 7636-2025</t>
        </is>
      </c>
      <c r="B390" s="1" t="n">
        <v>45705.7687962963</v>
      </c>
      <c r="C390" s="1" t="n">
        <v>46163</v>
      </c>
      <c r="D390" t="inlineStr">
        <is>
          <t>GOTLANDS LÄN</t>
        </is>
      </c>
      <c r="E390" t="inlineStr">
        <is>
          <t>GOTLAND</t>
        </is>
      </c>
      <c r="G390" t="n">
        <v>0.6</v>
      </c>
      <c r="H390" t="n">
        <v>0</v>
      </c>
      <c r="I390" t="n">
        <v>0</v>
      </c>
      <c r="J390" t="n">
        <v>0</v>
      </c>
      <c r="K390" t="n">
        <v>0</v>
      </c>
      <c r="L390" t="n">
        <v>0</v>
      </c>
      <c r="M390" t="n">
        <v>0</v>
      </c>
      <c r="N390" t="n">
        <v>0</v>
      </c>
      <c r="O390" t="n">
        <v>0</v>
      </c>
      <c r="P390" t="n">
        <v>0</v>
      </c>
      <c r="Q390" t="n">
        <v>0</v>
      </c>
      <c r="R390" s="2" t="inlineStr"/>
    </row>
    <row r="391" ht="15" customHeight="1">
      <c r="A391" t="inlineStr">
        <is>
          <t>A 7639-2025</t>
        </is>
      </c>
      <c r="B391" s="1" t="n">
        <v>45705.77465277778</v>
      </c>
      <c r="C391" s="1" t="n">
        <v>46163</v>
      </c>
      <c r="D391" t="inlineStr">
        <is>
          <t>GOTLANDS LÄN</t>
        </is>
      </c>
      <c r="E391" t="inlineStr">
        <is>
          <t>GOTLAND</t>
        </is>
      </c>
      <c r="G391" t="n">
        <v>1</v>
      </c>
      <c r="H391" t="n">
        <v>0</v>
      </c>
      <c r="I391" t="n">
        <v>0</v>
      </c>
      <c r="J391" t="n">
        <v>0</v>
      </c>
      <c r="K391" t="n">
        <v>0</v>
      </c>
      <c r="L391" t="n">
        <v>0</v>
      </c>
      <c r="M391" t="n">
        <v>0</v>
      </c>
      <c r="N391" t="n">
        <v>0</v>
      </c>
      <c r="O391" t="n">
        <v>0</v>
      </c>
      <c r="P391" t="n">
        <v>0</v>
      </c>
      <c r="Q391" t="n">
        <v>0</v>
      </c>
      <c r="R391" s="2" t="inlineStr"/>
    </row>
    <row r="392" ht="15" customHeight="1">
      <c r="A392" t="inlineStr">
        <is>
          <t>A 11424-2026</t>
        </is>
      </c>
      <c r="B392" s="1" t="n">
        <v>46083.48068287037</v>
      </c>
      <c r="C392" s="1" t="n">
        <v>46163</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3067-2026</t>
        </is>
      </c>
      <c r="B393" s="1" t="n">
        <v>46040.59025462963</v>
      </c>
      <c r="C393" s="1" t="n">
        <v>46163</v>
      </c>
      <c r="D393" t="inlineStr">
        <is>
          <t>GOTLANDS LÄN</t>
        </is>
      </c>
      <c r="E393" t="inlineStr">
        <is>
          <t>GOTLAND</t>
        </is>
      </c>
      <c r="G393" t="n">
        <v>7.8</v>
      </c>
      <c r="H393" t="n">
        <v>0</v>
      </c>
      <c r="I393" t="n">
        <v>0</v>
      </c>
      <c r="J393" t="n">
        <v>0</v>
      </c>
      <c r="K393" t="n">
        <v>0</v>
      </c>
      <c r="L393" t="n">
        <v>0</v>
      </c>
      <c r="M393" t="n">
        <v>0</v>
      </c>
      <c r="N393" t="n">
        <v>0</v>
      </c>
      <c r="O393" t="n">
        <v>0</v>
      </c>
      <c r="P393" t="n">
        <v>0</v>
      </c>
      <c r="Q393" t="n">
        <v>0</v>
      </c>
      <c r="R393" s="2" t="inlineStr"/>
    </row>
    <row r="394" ht="15" customHeight="1">
      <c r="A394" t="inlineStr">
        <is>
          <t>A 61682-2024</t>
        </is>
      </c>
      <c r="B394" s="1" t="n">
        <v>45647.48824074074</v>
      </c>
      <c r="C394" s="1" t="n">
        <v>46163</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15434-2024</t>
        </is>
      </c>
      <c r="B395" s="1" t="n">
        <v>45401.38836805556</v>
      </c>
      <c r="C395" s="1" t="n">
        <v>46163</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11414-2026</t>
        </is>
      </c>
      <c r="B396" s="1" t="n">
        <v>46083.46336805556</v>
      </c>
      <c r="C396" s="1" t="n">
        <v>46163</v>
      </c>
      <c r="D396" t="inlineStr">
        <is>
          <t>GOTLANDS LÄN</t>
        </is>
      </c>
      <c r="E396" t="inlineStr">
        <is>
          <t>GOTLAND</t>
        </is>
      </c>
      <c r="G396" t="n">
        <v>4.9</v>
      </c>
      <c r="H396" t="n">
        <v>0</v>
      </c>
      <c r="I396" t="n">
        <v>0</v>
      </c>
      <c r="J396" t="n">
        <v>0</v>
      </c>
      <c r="K396" t="n">
        <v>0</v>
      </c>
      <c r="L396" t="n">
        <v>0</v>
      </c>
      <c r="M396" t="n">
        <v>0</v>
      </c>
      <c r="N396" t="n">
        <v>0</v>
      </c>
      <c r="O396" t="n">
        <v>0</v>
      </c>
      <c r="P396" t="n">
        <v>0</v>
      </c>
      <c r="Q396" t="n">
        <v>0</v>
      </c>
      <c r="R396" s="2" t="inlineStr"/>
    </row>
    <row r="397" ht="15" customHeight="1">
      <c r="A397" t="inlineStr">
        <is>
          <t>A 12135-2026</t>
        </is>
      </c>
      <c r="B397" s="1" t="n">
        <v>46086</v>
      </c>
      <c r="C397" s="1" t="n">
        <v>46163</v>
      </c>
      <c r="D397" t="inlineStr">
        <is>
          <t>GOTLANDS LÄN</t>
        </is>
      </c>
      <c r="E397" t="inlineStr">
        <is>
          <t>GOTLAND</t>
        </is>
      </c>
      <c r="G397" t="n">
        <v>3</v>
      </c>
      <c r="H397" t="n">
        <v>0</v>
      </c>
      <c r="I397" t="n">
        <v>0</v>
      </c>
      <c r="J397" t="n">
        <v>0</v>
      </c>
      <c r="K397" t="n">
        <v>0</v>
      </c>
      <c r="L397" t="n">
        <v>0</v>
      </c>
      <c r="M397" t="n">
        <v>0</v>
      </c>
      <c r="N397" t="n">
        <v>0</v>
      </c>
      <c r="O397" t="n">
        <v>0</v>
      </c>
      <c r="P397" t="n">
        <v>0</v>
      </c>
      <c r="Q397" t="n">
        <v>0</v>
      </c>
      <c r="R397" s="2" t="inlineStr"/>
    </row>
    <row r="398" ht="15" customHeight="1">
      <c r="A398" t="inlineStr">
        <is>
          <t>A 7034-2023</t>
        </is>
      </c>
      <c r="B398" s="1" t="n">
        <v>44968.32108796296</v>
      </c>
      <c r="C398" s="1" t="n">
        <v>46163</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7042-2023</t>
        </is>
      </c>
      <c r="B399" s="1" t="n">
        <v>44968</v>
      </c>
      <c r="C399" s="1" t="n">
        <v>46163</v>
      </c>
      <c r="D399" t="inlineStr">
        <is>
          <t>GOTLANDS LÄN</t>
        </is>
      </c>
      <c r="E399" t="inlineStr">
        <is>
          <t>GOTLAND</t>
        </is>
      </c>
      <c r="G399" t="n">
        <v>0.7</v>
      </c>
      <c r="H399" t="n">
        <v>0</v>
      </c>
      <c r="I399" t="n">
        <v>0</v>
      </c>
      <c r="J399" t="n">
        <v>0</v>
      </c>
      <c r="K399" t="n">
        <v>0</v>
      </c>
      <c r="L399" t="n">
        <v>0</v>
      </c>
      <c r="M399" t="n">
        <v>0</v>
      </c>
      <c r="N399" t="n">
        <v>0</v>
      </c>
      <c r="O399" t="n">
        <v>0</v>
      </c>
      <c r="P399" t="n">
        <v>0</v>
      </c>
      <c r="Q399" t="n">
        <v>0</v>
      </c>
      <c r="R399" s="2" t="inlineStr"/>
    </row>
    <row r="400" ht="15" customHeight="1">
      <c r="A400" t="inlineStr">
        <is>
          <t>A 11982-2026</t>
        </is>
      </c>
      <c r="B400" s="1" t="n">
        <v>46085.6434375</v>
      </c>
      <c r="C400" s="1" t="n">
        <v>46163</v>
      </c>
      <c r="D400" t="inlineStr">
        <is>
          <t>GOTLANDS LÄN</t>
        </is>
      </c>
      <c r="E400" t="inlineStr">
        <is>
          <t>GOTLAND</t>
        </is>
      </c>
      <c r="G400" t="n">
        <v>2.2</v>
      </c>
      <c r="H400" t="n">
        <v>0</v>
      </c>
      <c r="I400" t="n">
        <v>0</v>
      </c>
      <c r="J400" t="n">
        <v>0</v>
      </c>
      <c r="K400" t="n">
        <v>0</v>
      </c>
      <c r="L400" t="n">
        <v>0</v>
      </c>
      <c r="M400" t="n">
        <v>0</v>
      </c>
      <c r="N400" t="n">
        <v>0</v>
      </c>
      <c r="O400" t="n">
        <v>0</v>
      </c>
      <c r="P400" t="n">
        <v>0</v>
      </c>
      <c r="Q400" t="n">
        <v>0</v>
      </c>
      <c r="R400" s="2" t="inlineStr"/>
    </row>
    <row r="401" ht="15" customHeight="1">
      <c r="A401" t="inlineStr">
        <is>
          <t>A 18804-2026</t>
        </is>
      </c>
      <c r="B401" s="1" t="n">
        <v>46128.62366898148</v>
      </c>
      <c r="C401" s="1" t="n">
        <v>46163</v>
      </c>
      <c r="D401" t="inlineStr">
        <is>
          <t>GOTLANDS LÄN</t>
        </is>
      </c>
      <c r="E401" t="inlineStr">
        <is>
          <t>GOTLAND</t>
        </is>
      </c>
      <c r="F401" t="inlineStr">
        <is>
          <t>Kyrkan</t>
        </is>
      </c>
      <c r="G401" t="n">
        <v>2.6</v>
      </c>
      <c r="H401" t="n">
        <v>0</v>
      </c>
      <c r="I401" t="n">
        <v>0</v>
      </c>
      <c r="J401" t="n">
        <v>0</v>
      </c>
      <c r="K401" t="n">
        <v>0</v>
      </c>
      <c r="L401" t="n">
        <v>0</v>
      </c>
      <c r="M401" t="n">
        <v>0</v>
      </c>
      <c r="N401" t="n">
        <v>0</v>
      </c>
      <c r="O401" t="n">
        <v>0</v>
      </c>
      <c r="P401" t="n">
        <v>0</v>
      </c>
      <c r="Q401" t="n">
        <v>0</v>
      </c>
      <c r="R401" s="2" t="inlineStr"/>
    </row>
    <row r="402" ht="15" customHeight="1">
      <c r="A402" t="inlineStr">
        <is>
          <t>A 2180-2025</t>
        </is>
      </c>
      <c r="B402" s="1" t="n">
        <v>45673</v>
      </c>
      <c r="C402" s="1" t="n">
        <v>46163</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32378-2025</t>
        </is>
      </c>
      <c r="B403" s="1" t="n">
        <v>45837</v>
      </c>
      <c r="C403" s="1" t="n">
        <v>46163</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54074-2022</t>
        </is>
      </c>
      <c r="B404" s="1" t="n">
        <v>44881</v>
      </c>
      <c r="C404" s="1" t="n">
        <v>46163</v>
      </c>
      <c r="D404" t="inlineStr">
        <is>
          <t>GOTLANDS LÄN</t>
        </is>
      </c>
      <c r="E404" t="inlineStr">
        <is>
          <t>GOTLAND</t>
        </is>
      </c>
      <c r="G404" t="n">
        <v>0.9</v>
      </c>
      <c r="H404" t="n">
        <v>0</v>
      </c>
      <c r="I404" t="n">
        <v>0</v>
      </c>
      <c r="J404" t="n">
        <v>0</v>
      </c>
      <c r="K404" t="n">
        <v>0</v>
      </c>
      <c r="L404" t="n">
        <v>0</v>
      </c>
      <c r="M404" t="n">
        <v>0</v>
      </c>
      <c r="N404" t="n">
        <v>0</v>
      </c>
      <c r="O404" t="n">
        <v>0</v>
      </c>
      <c r="P404" t="n">
        <v>0</v>
      </c>
      <c r="Q404" t="n">
        <v>0</v>
      </c>
      <c r="R404" s="2" t="inlineStr"/>
    </row>
    <row r="405" ht="15" customHeight="1">
      <c r="A405" t="inlineStr">
        <is>
          <t>A 35550-2025</t>
        </is>
      </c>
      <c r="B405" s="1" t="n">
        <v>45856.49324074074</v>
      </c>
      <c r="C405" s="1" t="n">
        <v>46163</v>
      </c>
      <c r="D405" t="inlineStr">
        <is>
          <t>GOTLANDS LÄN</t>
        </is>
      </c>
      <c r="E405" t="inlineStr">
        <is>
          <t>GOTLAND</t>
        </is>
      </c>
      <c r="G405" t="n">
        <v>3.2</v>
      </c>
      <c r="H405" t="n">
        <v>0</v>
      </c>
      <c r="I405" t="n">
        <v>0</v>
      </c>
      <c r="J405" t="n">
        <v>0</v>
      </c>
      <c r="K405" t="n">
        <v>0</v>
      </c>
      <c r="L405" t="n">
        <v>0</v>
      </c>
      <c r="M405" t="n">
        <v>0</v>
      </c>
      <c r="N405" t="n">
        <v>0</v>
      </c>
      <c r="O405" t="n">
        <v>0</v>
      </c>
      <c r="P405" t="n">
        <v>0</v>
      </c>
      <c r="Q405" t="n">
        <v>0</v>
      </c>
      <c r="R405" s="2" t="inlineStr"/>
    </row>
    <row r="406" ht="15" customHeight="1">
      <c r="A406" t="inlineStr">
        <is>
          <t>A 61694-2023</t>
        </is>
      </c>
      <c r="B406" s="1" t="n">
        <v>45264</v>
      </c>
      <c r="C406" s="1" t="n">
        <v>46163</v>
      </c>
      <c r="D406" t="inlineStr">
        <is>
          <t>GOTLANDS LÄN</t>
        </is>
      </c>
      <c r="E406" t="inlineStr">
        <is>
          <t>GOTLAND</t>
        </is>
      </c>
      <c r="G406" t="n">
        <v>4.6</v>
      </c>
      <c r="H406" t="n">
        <v>0</v>
      </c>
      <c r="I406" t="n">
        <v>0</v>
      </c>
      <c r="J406" t="n">
        <v>0</v>
      </c>
      <c r="K406" t="n">
        <v>0</v>
      </c>
      <c r="L406" t="n">
        <v>0</v>
      </c>
      <c r="M406" t="n">
        <v>0</v>
      </c>
      <c r="N406" t="n">
        <v>0</v>
      </c>
      <c r="O406" t="n">
        <v>0</v>
      </c>
      <c r="P406" t="n">
        <v>0</v>
      </c>
      <c r="Q406" t="n">
        <v>0</v>
      </c>
      <c r="R406" s="2" t="inlineStr"/>
    </row>
    <row r="407" ht="15" customHeight="1">
      <c r="A407" t="inlineStr">
        <is>
          <t>A 64208-2021</t>
        </is>
      </c>
      <c r="B407" s="1" t="n">
        <v>44510</v>
      </c>
      <c r="C407" s="1" t="n">
        <v>46163</v>
      </c>
      <c r="D407" t="inlineStr">
        <is>
          <t>GOTLANDS LÄN</t>
        </is>
      </c>
      <c r="E407" t="inlineStr">
        <is>
          <t>GOTLAND</t>
        </is>
      </c>
      <c r="G407" t="n">
        <v>4.7</v>
      </c>
      <c r="H407" t="n">
        <v>0</v>
      </c>
      <c r="I407" t="n">
        <v>0</v>
      </c>
      <c r="J407" t="n">
        <v>0</v>
      </c>
      <c r="K407" t="n">
        <v>0</v>
      </c>
      <c r="L407" t="n">
        <v>0</v>
      </c>
      <c r="M407" t="n">
        <v>0</v>
      </c>
      <c r="N407" t="n">
        <v>0</v>
      </c>
      <c r="O407" t="n">
        <v>0</v>
      </c>
      <c r="P407" t="n">
        <v>0</v>
      </c>
      <c r="Q407" t="n">
        <v>0</v>
      </c>
      <c r="R407" s="2" t="inlineStr"/>
    </row>
    <row r="408" ht="15" customHeight="1">
      <c r="A408" t="inlineStr">
        <is>
          <t>A 54268-2022</t>
        </is>
      </c>
      <c r="B408" s="1" t="n">
        <v>44882</v>
      </c>
      <c r="C408" s="1" t="n">
        <v>46163</v>
      </c>
      <c r="D408" t="inlineStr">
        <is>
          <t>GOTLANDS LÄN</t>
        </is>
      </c>
      <c r="E408" t="inlineStr">
        <is>
          <t>GOTLAND</t>
        </is>
      </c>
      <c r="G408" t="n">
        <v>2.7</v>
      </c>
      <c r="H408" t="n">
        <v>0</v>
      </c>
      <c r="I408" t="n">
        <v>0</v>
      </c>
      <c r="J408" t="n">
        <v>0</v>
      </c>
      <c r="K408" t="n">
        <v>0</v>
      </c>
      <c r="L408" t="n">
        <v>0</v>
      </c>
      <c r="M408" t="n">
        <v>0</v>
      </c>
      <c r="N408" t="n">
        <v>0</v>
      </c>
      <c r="O408" t="n">
        <v>0</v>
      </c>
      <c r="P408" t="n">
        <v>0</v>
      </c>
      <c r="Q408" t="n">
        <v>0</v>
      </c>
      <c r="R408" s="2" t="inlineStr"/>
    </row>
    <row r="409" ht="15" customHeight="1">
      <c r="A409" t="inlineStr">
        <is>
          <t>A 1446-2025</t>
        </is>
      </c>
      <c r="B409" s="1" t="n">
        <v>45669.86035879629</v>
      </c>
      <c r="C409" s="1" t="n">
        <v>46163</v>
      </c>
      <c r="D409" t="inlineStr">
        <is>
          <t>GOTLANDS LÄN</t>
        </is>
      </c>
      <c r="E409" t="inlineStr">
        <is>
          <t>GOTLAND</t>
        </is>
      </c>
      <c r="G409" t="n">
        <v>3.1</v>
      </c>
      <c r="H409" t="n">
        <v>0</v>
      </c>
      <c r="I409" t="n">
        <v>0</v>
      </c>
      <c r="J409" t="n">
        <v>0</v>
      </c>
      <c r="K409" t="n">
        <v>0</v>
      </c>
      <c r="L409" t="n">
        <v>0</v>
      </c>
      <c r="M409" t="n">
        <v>0</v>
      </c>
      <c r="N409" t="n">
        <v>0</v>
      </c>
      <c r="O409" t="n">
        <v>0</v>
      </c>
      <c r="P409" t="n">
        <v>0</v>
      </c>
      <c r="Q409" t="n">
        <v>0</v>
      </c>
      <c r="R409" s="2" t="inlineStr"/>
    </row>
    <row r="410" ht="15" customHeight="1">
      <c r="A410" t="inlineStr">
        <is>
          <t>A 1462-2025</t>
        </is>
      </c>
      <c r="B410" s="1" t="n">
        <v>45670.36319444444</v>
      </c>
      <c r="C410" s="1" t="n">
        <v>46163</v>
      </c>
      <c r="D410" t="inlineStr">
        <is>
          <t>GOTLANDS LÄN</t>
        </is>
      </c>
      <c r="E410" t="inlineStr">
        <is>
          <t>GOTLAND</t>
        </is>
      </c>
      <c r="G410" t="n">
        <v>2.8</v>
      </c>
      <c r="H410" t="n">
        <v>0</v>
      </c>
      <c r="I410" t="n">
        <v>0</v>
      </c>
      <c r="J410" t="n">
        <v>0</v>
      </c>
      <c r="K410" t="n">
        <v>0</v>
      </c>
      <c r="L410" t="n">
        <v>0</v>
      </c>
      <c r="M410" t="n">
        <v>0</v>
      </c>
      <c r="N410" t="n">
        <v>0</v>
      </c>
      <c r="O410" t="n">
        <v>0</v>
      </c>
      <c r="P410" t="n">
        <v>0</v>
      </c>
      <c r="Q410" t="n">
        <v>0</v>
      </c>
      <c r="R410" s="2" t="inlineStr"/>
    </row>
    <row r="411" ht="15" customHeight="1">
      <c r="A411" t="inlineStr">
        <is>
          <t>A 57685-2022</t>
        </is>
      </c>
      <c r="B411" s="1" t="n">
        <v>44897.4777662037</v>
      </c>
      <c r="C411" s="1" t="n">
        <v>46163</v>
      </c>
      <c r="D411" t="inlineStr">
        <is>
          <t>GOTLANDS LÄN</t>
        </is>
      </c>
      <c r="E411" t="inlineStr">
        <is>
          <t>GOTLAND</t>
        </is>
      </c>
      <c r="G411" t="n">
        <v>3.7</v>
      </c>
      <c r="H411" t="n">
        <v>0</v>
      </c>
      <c r="I411" t="n">
        <v>0</v>
      </c>
      <c r="J411" t="n">
        <v>0</v>
      </c>
      <c r="K411" t="n">
        <v>0</v>
      </c>
      <c r="L411" t="n">
        <v>0</v>
      </c>
      <c r="M411" t="n">
        <v>0</v>
      </c>
      <c r="N411" t="n">
        <v>0</v>
      </c>
      <c r="O411" t="n">
        <v>0</v>
      </c>
      <c r="P411" t="n">
        <v>0</v>
      </c>
      <c r="Q411" t="n">
        <v>0</v>
      </c>
      <c r="R411" s="2" t="inlineStr"/>
    </row>
    <row r="412" ht="15" customHeight="1">
      <c r="A412" t="inlineStr">
        <is>
          <t>A 811-2023</t>
        </is>
      </c>
      <c r="B412" s="1" t="n">
        <v>44931</v>
      </c>
      <c r="C412" s="1" t="n">
        <v>46163</v>
      </c>
      <c r="D412" t="inlineStr">
        <is>
          <t>GOTLANDS LÄN</t>
        </is>
      </c>
      <c r="E412" t="inlineStr">
        <is>
          <t>GOTLAND</t>
        </is>
      </c>
      <c r="G412" t="n">
        <v>0.6</v>
      </c>
      <c r="H412" t="n">
        <v>0</v>
      </c>
      <c r="I412" t="n">
        <v>0</v>
      </c>
      <c r="J412" t="n">
        <v>0</v>
      </c>
      <c r="K412" t="n">
        <v>0</v>
      </c>
      <c r="L412" t="n">
        <v>0</v>
      </c>
      <c r="M412" t="n">
        <v>0</v>
      </c>
      <c r="N412" t="n">
        <v>0</v>
      </c>
      <c r="O412" t="n">
        <v>0</v>
      </c>
      <c r="P412" t="n">
        <v>0</v>
      </c>
      <c r="Q412" t="n">
        <v>0</v>
      </c>
      <c r="R412" s="2" t="inlineStr"/>
    </row>
    <row r="413" ht="15" customHeight="1">
      <c r="A413" t="inlineStr">
        <is>
          <t>A 47578-2025</t>
        </is>
      </c>
      <c r="B413" s="1" t="n">
        <v>45931</v>
      </c>
      <c r="C413" s="1" t="n">
        <v>46163</v>
      </c>
      <c r="D413" t="inlineStr">
        <is>
          <t>GOTLANDS LÄN</t>
        </is>
      </c>
      <c r="E413" t="inlineStr">
        <is>
          <t>GOTLAND</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33011-2025</t>
        </is>
      </c>
      <c r="B414" s="1" t="n">
        <v>45840</v>
      </c>
      <c r="C414" s="1" t="n">
        <v>46163</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49690-2025</t>
        </is>
      </c>
      <c r="B415" s="1" t="n">
        <v>45939.66730324074</v>
      </c>
      <c r="C415" s="1" t="n">
        <v>46163</v>
      </c>
      <c r="D415" t="inlineStr">
        <is>
          <t>GOTLANDS LÄN</t>
        </is>
      </c>
      <c r="E415" t="inlineStr">
        <is>
          <t>GOTLAND</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5905-2024</t>
        </is>
      </c>
      <c r="B416" s="1" t="n">
        <v>45335.88993055555</v>
      </c>
      <c r="C416" s="1" t="n">
        <v>46163</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3431-2025</t>
        </is>
      </c>
      <c r="B417" s="1" t="n">
        <v>45680.42935185185</v>
      </c>
      <c r="C417" s="1" t="n">
        <v>46163</v>
      </c>
      <c r="D417" t="inlineStr">
        <is>
          <t>GOTLANDS LÄN</t>
        </is>
      </c>
      <c r="E417" t="inlineStr">
        <is>
          <t>GOTLAND</t>
        </is>
      </c>
      <c r="G417" t="n">
        <v>4.8</v>
      </c>
      <c r="H417" t="n">
        <v>0</v>
      </c>
      <c r="I417" t="n">
        <v>0</v>
      </c>
      <c r="J417" t="n">
        <v>0</v>
      </c>
      <c r="K417" t="n">
        <v>0</v>
      </c>
      <c r="L417" t="n">
        <v>0</v>
      </c>
      <c r="M417" t="n">
        <v>0</v>
      </c>
      <c r="N417" t="n">
        <v>0</v>
      </c>
      <c r="O417" t="n">
        <v>0</v>
      </c>
      <c r="P417" t="n">
        <v>0</v>
      </c>
      <c r="Q417" t="n">
        <v>0</v>
      </c>
      <c r="R417" s="2" t="inlineStr"/>
    </row>
    <row r="418" ht="15" customHeight="1">
      <c r="A418" t="inlineStr">
        <is>
          <t>A 42201-2023</t>
        </is>
      </c>
      <c r="B418" s="1" t="n">
        <v>45179</v>
      </c>
      <c r="C418" s="1" t="n">
        <v>46163</v>
      </c>
      <c r="D418" t="inlineStr">
        <is>
          <t>GOTLANDS LÄN</t>
        </is>
      </c>
      <c r="E418" t="inlineStr">
        <is>
          <t>GOTLAND</t>
        </is>
      </c>
      <c r="G418" t="n">
        <v>11.9</v>
      </c>
      <c r="H418" t="n">
        <v>0</v>
      </c>
      <c r="I418" t="n">
        <v>0</v>
      </c>
      <c r="J418" t="n">
        <v>0</v>
      </c>
      <c r="K418" t="n">
        <v>0</v>
      </c>
      <c r="L418" t="n">
        <v>0</v>
      </c>
      <c r="M418" t="n">
        <v>0</v>
      </c>
      <c r="N418" t="n">
        <v>0</v>
      </c>
      <c r="O418" t="n">
        <v>0</v>
      </c>
      <c r="P418" t="n">
        <v>0</v>
      </c>
      <c r="Q418" t="n">
        <v>0</v>
      </c>
      <c r="R418" s="2" t="inlineStr"/>
    </row>
    <row r="419" ht="15" customHeight="1">
      <c r="A419" t="inlineStr">
        <is>
          <t>A 34407-2023</t>
        </is>
      </c>
      <c r="B419" s="1" t="n">
        <v>45132</v>
      </c>
      <c r="C419" s="1" t="n">
        <v>46163</v>
      </c>
      <c r="D419" t="inlineStr">
        <is>
          <t>GOTLANDS LÄN</t>
        </is>
      </c>
      <c r="E419" t="inlineStr">
        <is>
          <t>GOTLAND</t>
        </is>
      </c>
      <c r="G419" t="n">
        <v>4.4</v>
      </c>
      <c r="H419" t="n">
        <v>0</v>
      </c>
      <c r="I419" t="n">
        <v>0</v>
      </c>
      <c r="J419" t="n">
        <v>0</v>
      </c>
      <c r="K419" t="n">
        <v>0</v>
      </c>
      <c r="L419" t="n">
        <v>0</v>
      </c>
      <c r="M419" t="n">
        <v>0</v>
      </c>
      <c r="N419" t="n">
        <v>0</v>
      </c>
      <c r="O419" t="n">
        <v>0</v>
      </c>
      <c r="P419" t="n">
        <v>0</v>
      </c>
      <c r="Q419" t="n">
        <v>0</v>
      </c>
      <c r="R419" s="2" t="inlineStr"/>
    </row>
    <row r="420" ht="15" customHeight="1">
      <c r="A420" t="inlineStr">
        <is>
          <t>A 30892-2024</t>
        </is>
      </c>
      <c r="B420" s="1" t="n">
        <v>45491</v>
      </c>
      <c r="C420" s="1" t="n">
        <v>46163</v>
      </c>
      <c r="D420" t="inlineStr">
        <is>
          <t>GOTLANDS LÄN</t>
        </is>
      </c>
      <c r="E420" t="inlineStr">
        <is>
          <t>GOTLAND</t>
        </is>
      </c>
      <c r="G420" t="n">
        <v>6.1</v>
      </c>
      <c r="H420" t="n">
        <v>0</v>
      </c>
      <c r="I420" t="n">
        <v>0</v>
      </c>
      <c r="J420" t="n">
        <v>0</v>
      </c>
      <c r="K420" t="n">
        <v>0</v>
      </c>
      <c r="L420" t="n">
        <v>0</v>
      </c>
      <c r="M420" t="n">
        <v>0</v>
      </c>
      <c r="N420" t="n">
        <v>0</v>
      </c>
      <c r="O420" t="n">
        <v>0</v>
      </c>
      <c r="P420" t="n">
        <v>0</v>
      </c>
      <c r="Q420" t="n">
        <v>0</v>
      </c>
      <c r="R420" s="2" t="inlineStr"/>
    </row>
    <row r="421" ht="15" customHeight="1">
      <c r="A421" t="inlineStr">
        <is>
          <t>A 32958-2021</t>
        </is>
      </c>
      <c r="B421" s="1" t="n">
        <v>44376</v>
      </c>
      <c r="C421" s="1" t="n">
        <v>46163</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19322-2026</t>
        </is>
      </c>
      <c r="B422" s="1" t="n">
        <v>46129</v>
      </c>
      <c r="C422" s="1" t="n">
        <v>46163</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49724-2025</t>
        </is>
      </c>
      <c r="B423" s="1" t="n">
        <v>45939.83730324074</v>
      </c>
      <c r="C423" s="1" t="n">
        <v>46163</v>
      </c>
      <c r="D423" t="inlineStr">
        <is>
          <t>GOTLANDS LÄN</t>
        </is>
      </c>
      <c r="E423" t="inlineStr">
        <is>
          <t>GOTLAND</t>
        </is>
      </c>
      <c r="F423" t="inlineStr">
        <is>
          <t>Kyrkan</t>
        </is>
      </c>
      <c r="G423" t="n">
        <v>3.1</v>
      </c>
      <c r="H423" t="n">
        <v>0</v>
      </c>
      <c r="I423" t="n">
        <v>0</v>
      </c>
      <c r="J423" t="n">
        <v>0</v>
      </c>
      <c r="K423" t="n">
        <v>0</v>
      </c>
      <c r="L423" t="n">
        <v>0</v>
      </c>
      <c r="M423" t="n">
        <v>0</v>
      </c>
      <c r="N423" t="n">
        <v>0</v>
      </c>
      <c r="O423" t="n">
        <v>0</v>
      </c>
      <c r="P423" t="n">
        <v>0</v>
      </c>
      <c r="Q423" t="n">
        <v>0</v>
      </c>
      <c r="R423" s="2" t="inlineStr"/>
    </row>
    <row r="424" ht="15" customHeight="1">
      <c r="A424" t="inlineStr">
        <is>
          <t>A 49730-2025</t>
        </is>
      </c>
      <c r="B424" s="1" t="n">
        <v>45939.87613425926</v>
      </c>
      <c r="C424" s="1" t="n">
        <v>46163</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7858-2025</t>
        </is>
      </c>
      <c r="B425" s="1" t="n">
        <v>45706.68633101852</v>
      </c>
      <c r="C425" s="1" t="n">
        <v>46163</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46545-2024</t>
        </is>
      </c>
      <c r="B426" s="1" t="n">
        <v>45582.65831018519</v>
      </c>
      <c r="C426" s="1" t="n">
        <v>46163</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999-2023</t>
        </is>
      </c>
      <c r="B427" s="1" t="n">
        <v>44935</v>
      </c>
      <c r="C427" s="1" t="n">
        <v>46163</v>
      </c>
      <c r="D427" t="inlineStr">
        <is>
          <t>GOTLANDS LÄN</t>
        </is>
      </c>
      <c r="E427" t="inlineStr">
        <is>
          <t>GOTLAND</t>
        </is>
      </c>
      <c r="G427" t="n">
        <v>4.7</v>
      </c>
      <c r="H427" t="n">
        <v>0</v>
      </c>
      <c r="I427" t="n">
        <v>0</v>
      </c>
      <c r="J427" t="n">
        <v>0</v>
      </c>
      <c r="K427" t="n">
        <v>0</v>
      </c>
      <c r="L427" t="n">
        <v>0</v>
      </c>
      <c r="M427" t="n">
        <v>0</v>
      </c>
      <c r="N427" t="n">
        <v>0</v>
      </c>
      <c r="O427" t="n">
        <v>0</v>
      </c>
      <c r="P427" t="n">
        <v>0</v>
      </c>
      <c r="Q427" t="n">
        <v>0</v>
      </c>
      <c r="R427" s="2" t="inlineStr"/>
    </row>
    <row r="428" ht="15" customHeight="1">
      <c r="A428" t="inlineStr">
        <is>
          <t>A 50421-2025</t>
        </is>
      </c>
      <c r="B428" s="1" t="n">
        <v>45944.66049768519</v>
      </c>
      <c r="C428" s="1" t="n">
        <v>46163</v>
      </c>
      <c r="D428" t="inlineStr">
        <is>
          <t>GOTLANDS LÄN</t>
        </is>
      </c>
      <c r="E428" t="inlineStr">
        <is>
          <t>GOTLAND</t>
        </is>
      </c>
      <c r="G428" t="n">
        <v>3.9</v>
      </c>
      <c r="H428" t="n">
        <v>0</v>
      </c>
      <c r="I428" t="n">
        <v>0</v>
      </c>
      <c r="J428" t="n">
        <v>0</v>
      </c>
      <c r="K428" t="n">
        <v>0</v>
      </c>
      <c r="L428" t="n">
        <v>0</v>
      </c>
      <c r="M428" t="n">
        <v>0</v>
      </c>
      <c r="N428" t="n">
        <v>0</v>
      </c>
      <c r="O428" t="n">
        <v>0</v>
      </c>
      <c r="P428" t="n">
        <v>0</v>
      </c>
      <c r="Q428" t="n">
        <v>0</v>
      </c>
      <c r="R428" s="2" t="inlineStr"/>
    </row>
    <row r="429" ht="15" customHeight="1">
      <c r="A429" t="inlineStr">
        <is>
          <t>A 1364-2025</t>
        </is>
      </c>
      <c r="B429" s="1" t="n">
        <v>45667.63929398148</v>
      </c>
      <c r="C429" s="1" t="n">
        <v>46163</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2125-2025</t>
        </is>
      </c>
      <c r="B430" s="1" t="n">
        <v>45672.64940972222</v>
      </c>
      <c r="C430" s="1" t="n">
        <v>46163</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50431-2025</t>
        </is>
      </c>
      <c r="B431" s="1" t="n">
        <v>45944.68453703704</v>
      </c>
      <c r="C431" s="1" t="n">
        <v>46163</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14141-2024</t>
        </is>
      </c>
      <c r="B432" s="1" t="n">
        <v>45392.85193287037</v>
      </c>
      <c r="C432" s="1" t="n">
        <v>46163</v>
      </c>
      <c r="D432" t="inlineStr">
        <is>
          <t>GOTLANDS LÄN</t>
        </is>
      </c>
      <c r="E432" t="inlineStr">
        <is>
          <t>GOTLAND</t>
        </is>
      </c>
      <c r="G432" t="n">
        <v>5.3</v>
      </c>
      <c r="H432" t="n">
        <v>0</v>
      </c>
      <c r="I432" t="n">
        <v>0</v>
      </c>
      <c r="J432" t="n">
        <v>0</v>
      </c>
      <c r="K432" t="n">
        <v>0</v>
      </c>
      <c r="L432" t="n">
        <v>0</v>
      </c>
      <c r="M432" t="n">
        <v>0</v>
      </c>
      <c r="N432" t="n">
        <v>0</v>
      </c>
      <c r="O432" t="n">
        <v>0</v>
      </c>
      <c r="P432" t="n">
        <v>0</v>
      </c>
      <c r="Q432" t="n">
        <v>0</v>
      </c>
      <c r="R432" s="2" t="inlineStr"/>
    </row>
    <row r="433" ht="15" customHeight="1">
      <c r="A433" t="inlineStr">
        <is>
          <t>A 12155-2023</t>
        </is>
      </c>
      <c r="B433" s="1" t="n">
        <v>44998.49106481481</v>
      </c>
      <c r="C433" s="1" t="n">
        <v>46163</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50928-2025</t>
        </is>
      </c>
      <c r="B434" s="1" t="n">
        <v>45946.67896990741</v>
      </c>
      <c r="C434" s="1" t="n">
        <v>46163</v>
      </c>
      <c r="D434" t="inlineStr">
        <is>
          <t>GOTLANDS LÄN</t>
        </is>
      </c>
      <c r="E434" t="inlineStr">
        <is>
          <t>GOTLAND</t>
        </is>
      </c>
      <c r="G434" t="n">
        <v>1.3</v>
      </c>
      <c r="H434" t="n">
        <v>0</v>
      </c>
      <c r="I434" t="n">
        <v>0</v>
      </c>
      <c r="J434" t="n">
        <v>0</v>
      </c>
      <c r="K434" t="n">
        <v>0</v>
      </c>
      <c r="L434" t="n">
        <v>0</v>
      </c>
      <c r="M434" t="n">
        <v>0</v>
      </c>
      <c r="N434" t="n">
        <v>0</v>
      </c>
      <c r="O434" t="n">
        <v>0</v>
      </c>
      <c r="P434" t="n">
        <v>0</v>
      </c>
      <c r="Q434" t="n">
        <v>0</v>
      </c>
      <c r="R434" s="2" t="inlineStr"/>
    </row>
    <row r="435" ht="15" customHeight="1">
      <c r="A435" t="inlineStr">
        <is>
          <t>A 51262-2025</t>
        </is>
      </c>
      <c r="B435" s="1" t="n">
        <v>45949.49872685185</v>
      </c>
      <c r="C435" s="1" t="n">
        <v>46163</v>
      </c>
      <c r="D435" t="inlineStr">
        <is>
          <t>GOTLANDS LÄN</t>
        </is>
      </c>
      <c r="E435" t="inlineStr">
        <is>
          <t>GOTLAND</t>
        </is>
      </c>
      <c r="G435" t="n">
        <v>1.6</v>
      </c>
      <c r="H435" t="n">
        <v>0</v>
      </c>
      <c r="I435" t="n">
        <v>0</v>
      </c>
      <c r="J435" t="n">
        <v>0</v>
      </c>
      <c r="K435" t="n">
        <v>0</v>
      </c>
      <c r="L435" t="n">
        <v>0</v>
      </c>
      <c r="M435" t="n">
        <v>0</v>
      </c>
      <c r="N435" t="n">
        <v>0</v>
      </c>
      <c r="O435" t="n">
        <v>0</v>
      </c>
      <c r="P435" t="n">
        <v>0</v>
      </c>
      <c r="Q435" t="n">
        <v>0</v>
      </c>
      <c r="R435" s="2" t="inlineStr"/>
    </row>
    <row r="436" ht="15" customHeight="1">
      <c r="A436" t="inlineStr">
        <is>
          <t>A 2774-2024</t>
        </is>
      </c>
      <c r="B436" s="1" t="n">
        <v>45314.62375</v>
      </c>
      <c r="C436" s="1" t="n">
        <v>46163</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9947-2024</t>
        </is>
      </c>
      <c r="B437" s="1" t="n">
        <v>45363</v>
      </c>
      <c r="C437" s="1" t="n">
        <v>46163</v>
      </c>
      <c r="D437" t="inlineStr">
        <is>
          <t>GOTLANDS LÄN</t>
        </is>
      </c>
      <c r="E437" t="inlineStr">
        <is>
          <t>GOTLAND</t>
        </is>
      </c>
      <c r="G437" t="n">
        <v>2</v>
      </c>
      <c r="H437" t="n">
        <v>0</v>
      </c>
      <c r="I437" t="n">
        <v>0</v>
      </c>
      <c r="J437" t="n">
        <v>0</v>
      </c>
      <c r="K437" t="n">
        <v>0</v>
      </c>
      <c r="L437" t="n">
        <v>0</v>
      </c>
      <c r="M437" t="n">
        <v>0</v>
      </c>
      <c r="N437" t="n">
        <v>0</v>
      </c>
      <c r="O437" t="n">
        <v>0</v>
      </c>
      <c r="P437" t="n">
        <v>0</v>
      </c>
      <c r="Q437" t="n">
        <v>0</v>
      </c>
      <c r="R437" s="2" t="inlineStr"/>
    </row>
    <row r="438" ht="15" customHeight="1">
      <c r="A438" t="inlineStr">
        <is>
          <t>A 42007-2023</t>
        </is>
      </c>
      <c r="B438" s="1" t="n">
        <v>45177</v>
      </c>
      <c r="C438" s="1" t="n">
        <v>46163</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63000-2025</t>
        </is>
      </c>
      <c r="B439" s="1" t="n">
        <v>46009</v>
      </c>
      <c r="C439" s="1" t="n">
        <v>46163</v>
      </c>
      <c r="D439" t="inlineStr">
        <is>
          <t>GOTLANDS LÄN</t>
        </is>
      </c>
      <c r="E439" t="inlineStr">
        <is>
          <t>GOTLAND</t>
        </is>
      </c>
      <c r="F439" t="inlineStr">
        <is>
          <t>Övriga Aktiebolag</t>
        </is>
      </c>
      <c r="G439" t="n">
        <v>1.7</v>
      </c>
      <c r="H439" t="n">
        <v>0</v>
      </c>
      <c r="I439" t="n">
        <v>0</v>
      </c>
      <c r="J439" t="n">
        <v>0</v>
      </c>
      <c r="K439" t="n">
        <v>0</v>
      </c>
      <c r="L439" t="n">
        <v>0</v>
      </c>
      <c r="M439" t="n">
        <v>0</v>
      </c>
      <c r="N439" t="n">
        <v>0</v>
      </c>
      <c r="O439" t="n">
        <v>0</v>
      </c>
      <c r="P439" t="n">
        <v>0</v>
      </c>
      <c r="Q439" t="n">
        <v>0</v>
      </c>
      <c r="R439" s="2" t="inlineStr"/>
    </row>
    <row r="440" ht="15" customHeight="1">
      <c r="A440" t="inlineStr">
        <is>
          <t>A 52249-2025</t>
        </is>
      </c>
      <c r="B440" s="1" t="n">
        <v>45953.48637731482</v>
      </c>
      <c r="C440" s="1" t="n">
        <v>46163</v>
      </c>
      <c r="D440" t="inlineStr">
        <is>
          <t>GOTLANDS LÄN</t>
        </is>
      </c>
      <c r="E440" t="inlineStr">
        <is>
          <t>GOTLAND</t>
        </is>
      </c>
      <c r="F440" t="inlineStr">
        <is>
          <t>Övriga Aktiebolag</t>
        </is>
      </c>
      <c r="G440" t="n">
        <v>1</v>
      </c>
      <c r="H440" t="n">
        <v>0</v>
      </c>
      <c r="I440" t="n">
        <v>0</v>
      </c>
      <c r="J440" t="n">
        <v>0</v>
      </c>
      <c r="K440" t="n">
        <v>0</v>
      </c>
      <c r="L440" t="n">
        <v>0</v>
      </c>
      <c r="M440" t="n">
        <v>0</v>
      </c>
      <c r="N440" t="n">
        <v>0</v>
      </c>
      <c r="O440" t="n">
        <v>0</v>
      </c>
      <c r="P440" t="n">
        <v>0</v>
      </c>
      <c r="Q440" t="n">
        <v>0</v>
      </c>
      <c r="R440" s="2" t="inlineStr"/>
    </row>
    <row r="441" ht="15" customHeight="1">
      <c r="A441" t="inlineStr">
        <is>
          <t>A 52637-2025</t>
        </is>
      </c>
      <c r="B441" s="1" t="n">
        <v>45954.75099537037</v>
      </c>
      <c r="C441" s="1" t="n">
        <v>46163</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62751-2025</t>
        </is>
      </c>
      <c r="B442" s="1" t="n">
        <v>46008</v>
      </c>
      <c r="C442" s="1" t="n">
        <v>46163</v>
      </c>
      <c r="D442" t="inlineStr">
        <is>
          <t>GOTLANDS LÄN</t>
        </is>
      </c>
      <c r="E442" t="inlineStr">
        <is>
          <t>GOTLAND</t>
        </is>
      </c>
      <c r="F442" t="inlineStr">
        <is>
          <t>Övriga Aktiebolag</t>
        </is>
      </c>
      <c r="G442" t="n">
        <v>7.8</v>
      </c>
      <c r="H442" t="n">
        <v>0</v>
      </c>
      <c r="I442" t="n">
        <v>0</v>
      </c>
      <c r="J442" t="n">
        <v>0</v>
      </c>
      <c r="K442" t="n">
        <v>0</v>
      </c>
      <c r="L442" t="n">
        <v>0</v>
      </c>
      <c r="M442" t="n">
        <v>0</v>
      </c>
      <c r="N442" t="n">
        <v>0</v>
      </c>
      <c r="O442" t="n">
        <v>0</v>
      </c>
      <c r="P442" t="n">
        <v>0</v>
      </c>
      <c r="Q442" t="n">
        <v>0</v>
      </c>
      <c r="R442" s="2" t="inlineStr"/>
    </row>
    <row r="443" ht="15" customHeight="1">
      <c r="A443" t="inlineStr">
        <is>
          <t>A 62754-2025</t>
        </is>
      </c>
      <c r="B443" s="1" t="n">
        <v>46008</v>
      </c>
      <c r="C443" s="1" t="n">
        <v>46163</v>
      </c>
      <c r="D443" t="inlineStr">
        <is>
          <t>GOTLANDS LÄN</t>
        </is>
      </c>
      <c r="E443" t="inlineStr">
        <is>
          <t>GOTLAND</t>
        </is>
      </c>
      <c r="F443" t="inlineStr">
        <is>
          <t>Övriga Aktiebolag</t>
        </is>
      </c>
      <c r="G443" t="n">
        <v>2.9</v>
      </c>
      <c r="H443" t="n">
        <v>0</v>
      </c>
      <c r="I443" t="n">
        <v>0</v>
      </c>
      <c r="J443" t="n">
        <v>0</v>
      </c>
      <c r="K443" t="n">
        <v>0</v>
      </c>
      <c r="L443" t="n">
        <v>0</v>
      </c>
      <c r="M443" t="n">
        <v>0</v>
      </c>
      <c r="N443" t="n">
        <v>0</v>
      </c>
      <c r="O443" t="n">
        <v>0</v>
      </c>
      <c r="P443" t="n">
        <v>0</v>
      </c>
      <c r="Q443" t="n">
        <v>0</v>
      </c>
      <c r="R443" s="2" t="inlineStr"/>
    </row>
    <row r="444" ht="15" customHeight="1">
      <c r="A444" t="inlineStr">
        <is>
          <t>A 15083-2025</t>
        </is>
      </c>
      <c r="B444" s="1" t="n">
        <v>45743</v>
      </c>
      <c r="C444" s="1" t="n">
        <v>46163</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13486-2026</t>
        </is>
      </c>
      <c r="B445" s="1" t="n">
        <v>46094</v>
      </c>
      <c r="C445" s="1" t="n">
        <v>46163</v>
      </c>
      <c r="D445" t="inlineStr">
        <is>
          <t>GOTLANDS LÄN</t>
        </is>
      </c>
      <c r="E445" t="inlineStr">
        <is>
          <t>GOTLAND</t>
        </is>
      </c>
      <c r="G445" t="n">
        <v>1.6</v>
      </c>
      <c r="H445" t="n">
        <v>0</v>
      </c>
      <c r="I445" t="n">
        <v>0</v>
      </c>
      <c r="J445" t="n">
        <v>0</v>
      </c>
      <c r="K445" t="n">
        <v>0</v>
      </c>
      <c r="L445" t="n">
        <v>0</v>
      </c>
      <c r="M445" t="n">
        <v>0</v>
      </c>
      <c r="N445" t="n">
        <v>0</v>
      </c>
      <c r="O445" t="n">
        <v>0</v>
      </c>
      <c r="P445" t="n">
        <v>0</v>
      </c>
      <c r="Q445" t="n">
        <v>0</v>
      </c>
      <c r="R445" s="2" t="inlineStr"/>
    </row>
    <row r="446" ht="15" customHeight="1">
      <c r="A446" t="inlineStr">
        <is>
          <t>A 53577-2025</t>
        </is>
      </c>
      <c r="B446" s="1" t="n">
        <v>45960.42224537037</v>
      </c>
      <c r="C446" s="1" t="n">
        <v>46163</v>
      </c>
      <c r="D446" t="inlineStr">
        <is>
          <t>GOTLANDS LÄN</t>
        </is>
      </c>
      <c r="E446" t="inlineStr">
        <is>
          <t>GOTLAND</t>
        </is>
      </c>
      <c r="F446" t="inlineStr">
        <is>
          <t>Övriga Aktiebolag</t>
        </is>
      </c>
      <c r="G446" t="n">
        <v>3.3</v>
      </c>
      <c r="H446" t="n">
        <v>0</v>
      </c>
      <c r="I446" t="n">
        <v>0</v>
      </c>
      <c r="J446" t="n">
        <v>0</v>
      </c>
      <c r="K446" t="n">
        <v>0</v>
      </c>
      <c r="L446" t="n">
        <v>0</v>
      </c>
      <c r="M446" t="n">
        <v>0</v>
      </c>
      <c r="N446" t="n">
        <v>0</v>
      </c>
      <c r="O446" t="n">
        <v>0</v>
      </c>
      <c r="P446" t="n">
        <v>0</v>
      </c>
      <c r="Q446" t="n">
        <v>0</v>
      </c>
      <c r="R446" s="2" t="inlineStr"/>
    </row>
    <row r="447" ht="15" customHeight="1">
      <c r="A447" t="inlineStr">
        <is>
          <t>A 53569-2025</t>
        </is>
      </c>
      <c r="B447" s="1" t="n">
        <v>45960.41155092593</v>
      </c>
      <c r="C447" s="1" t="n">
        <v>46163</v>
      </c>
      <c r="D447" t="inlineStr">
        <is>
          <t>GOTLANDS LÄN</t>
        </is>
      </c>
      <c r="E447" t="inlineStr">
        <is>
          <t>GOTLAND</t>
        </is>
      </c>
      <c r="F447" t="inlineStr">
        <is>
          <t>Övriga Aktiebolag</t>
        </is>
      </c>
      <c r="G447" t="n">
        <v>11.3</v>
      </c>
      <c r="H447" t="n">
        <v>0</v>
      </c>
      <c r="I447" t="n">
        <v>0</v>
      </c>
      <c r="J447" t="n">
        <v>0</v>
      </c>
      <c r="K447" t="n">
        <v>0</v>
      </c>
      <c r="L447" t="n">
        <v>0</v>
      </c>
      <c r="M447" t="n">
        <v>0</v>
      </c>
      <c r="N447" t="n">
        <v>0</v>
      </c>
      <c r="O447" t="n">
        <v>0</v>
      </c>
      <c r="P447" t="n">
        <v>0</v>
      </c>
      <c r="Q447" t="n">
        <v>0</v>
      </c>
      <c r="R447" s="2" t="inlineStr"/>
    </row>
    <row r="448" ht="15" customHeight="1">
      <c r="A448" t="inlineStr">
        <is>
          <t>A 1066-2024</t>
        </is>
      </c>
      <c r="B448" s="1" t="n">
        <v>45302.285</v>
      </c>
      <c r="C448" s="1" t="n">
        <v>46163</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37202-2024</t>
        </is>
      </c>
      <c r="B449" s="1" t="n">
        <v>45539.67310185185</v>
      </c>
      <c r="C449" s="1" t="n">
        <v>46163</v>
      </c>
      <c r="D449" t="inlineStr">
        <is>
          <t>GOTLANDS LÄN</t>
        </is>
      </c>
      <c r="E449" t="inlineStr">
        <is>
          <t>GOTLAND</t>
        </is>
      </c>
      <c r="G449" t="n">
        <v>0.3</v>
      </c>
      <c r="H449" t="n">
        <v>0</v>
      </c>
      <c r="I449" t="n">
        <v>0</v>
      </c>
      <c r="J449" t="n">
        <v>0</v>
      </c>
      <c r="K449" t="n">
        <v>0</v>
      </c>
      <c r="L449" t="n">
        <v>0</v>
      </c>
      <c r="M449" t="n">
        <v>0</v>
      </c>
      <c r="N449" t="n">
        <v>0</v>
      </c>
      <c r="O449" t="n">
        <v>0</v>
      </c>
      <c r="P449" t="n">
        <v>0</v>
      </c>
      <c r="Q449" t="n">
        <v>0</v>
      </c>
      <c r="R449" s="2" t="inlineStr"/>
    </row>
    <row r="450" ht="15" customHeight="1">
      <c r="A450" t="inlineStr">
        <is>
          <t>A 30815-2023</t>
        </is>
      </c>
      <c r="B450" s="1" t="n">
        <v>45112</v>
      </c>
      <c r="C450" s="1" t="n">
        <v>46163</v>
      </c>
      <c r="D450" t="inlineStr">
        <is>
          <t>GOTLANDS LÄN</t>
        </is>
      </c>
      <c r="E450" t="inlineStr">
        <is>
          <t>GOTLAND</t>
        </is>
      </c>
      <c r="G450" t="n">
        <v>6</v>
      </c>
      <c r="H450" t="n">
        <v>0</v>
      </c>
      <c r="I450" t="n">
        <v>0</v>
      </c>
      <c r="J450" t="n">
        <v>0</v>
      </c>
      <c r="K450" t="n">
        <v>0</v>
      </c>
      <c r="L450" t="n">
        <v>0</v>
      </c>
      <c r="M450" t="n">
        <v>0</v>
      </c>
      <c r="N450" t="n">
        <v>0</v>
      </c>
      <c r="O450" t="n">
        <v>0</v>
      </c>
      <c r="P450" t="n">
        <v>0</v>
      </c>
      <c r="Q450" t="n">
        <v>0</v>
      </c>
      <c r="R450" s="2" t="inlineStr"/>
    </row>
    <row r="451" ht="15" customHeight="1">
      <c r="A451" t="inlineStr">
        <is>
          <t>A 46400-2023</t>
        </is>
      </c>
      <c r="B451" s="1" t="n">
        <v>45197.49290509259</v>
      </c>
      <c r="C451" s="1" t="n">
        <v>46163</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10492-2023</t>
        </is>
      </c>
      <c r="B452" s="1" t="n">
        <v>44987</v>
      </c>
      <c r="C452" s="1" t="n">
        <v>46163</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44919-2022</t>
        </is>
      </c>
      <c r="B453" s="1" t="n">
        <v>44841</v>
      </c>
      <c r="C453" s="1" t="n">
        <v>46163</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16501-2023</t>
        </is>
      </c>
      <c r="B454" s="1" t="n">
        <v>45029</v>
      </c>
      <c r="C454" s="1" t="n">
        <v>46163</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27095-2022</t>
        </is>
      </c>
      <c r="B455" s="1" t="n">
        <v>44741</v>
      </c>
      <c r="C455" s="1" t="n">
        <v>46163</v>
      </c>
      <c r="D455" t="inlineStr">
        <is>
          <t>GOTLANDS LÄN</t>
        </is>
      </c>
      <c r="E455" t="inlineStr">
        <is>
          <t>GOTLAND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458-2023</t>
        </is>
      </c>
      <c r="B456" s="1" t="n">
        <v>44929</v>
      </c>
      <c r="C456" s="1" t="n">
        <v>46163</v>
      </c>
      <c r="D456" t="inlineStr">
        <is>
          <t>GOTLANDS LÄN</t>
        </is>
      </c>
      <c r="E456" t="inlineStr">
        <is>
          <t>GOTLAND</t>
        </is>
      </c>
      <c r="G456" t="n">
        <v>3.6</v>
      </c>
      <c r="H456" t="n">
        <v>0</v>
      </c>
      <c r="I456" t="n">
        <v>0</v>
      </c>
      <c r="J456" t="n">
        <v>0</v>
      </c>
      <c r="K456" t="n">
        <v>0</v>
      </c>
      <c r="L456" t="n">
        <v>0</v>
      </c>
      <c r="M456" t="n">
        <v>0</v>
      </c>
      <c r="N456" t="n">
        <v>0</v>
      </c>
      <c r="O456" t="n">
        <v>0</v>
      </c>
      <c r="P456" t="n">
        <v>0</v>
      </c>
      <c r="Q456" t="n">
        <v>0</v>
      </c>
      <c r="R456" s="2" t="inlineStr"/>
    </row>
    <row r="457" ht="15" customHeight="1">
      <c r="A457" t="inlineStr">
        <is>
          <t>A 1291-2023</t>
        </is>
      </c>
      <c r="B457" s="1" t="n">
        <v>44936.47561342592</v>
      </c>
      <c r="C457" s="1" t="n">
        <v>46163</v>
      </c>
      <c r="D457" t="inlineStr">
        <is>
          <t>GOTLANDS LÄN</t>
        </is>
      </c>
      <c r="E457" t="inlineStr">
        <is>
          <t>GOTLAND</t>
        </is>
      </c>
      <c r="G457" t="n">
        <v>7.4</v>
      </c>
      <c r="H457" t="n">
        <v>0</v>
      </c>
      <c r="I457" t="n">
        <v>0</v>
      </c>
      <c r="J457" t="n">
        <v>0</v>
      </c>
      <c r="K457" t="n">
        <v>0</v>
      </c>
      <c r="L457" t="n">
        <v>0</v>
      </c>
      <c r="M457" t="n">
        <v>0</v>
      </c>
      <c r="N457" t="n">
        <v>0</v>
      </c>
      <c r="O457" t="n">
        <v>0</v>
      </c>
      <c r="P457" t="n">
        <v>0</v>
      </c>
      <c r="Q457" t="n">
        <v>0</v>
      </c>
      <c r="R457" s="2" t="inlineStr"/>
    </row>
    <row r="458" ht="15" customHeight="1">
      <c r="A458" t="inlineStr">
        <is>
          <t>A 32330-2024</t>
        </is>
      </c>
      <c r="B458" s="1" t="n">
        <v>45512</v>
      </c>
      <c r="C458" s="1" t="n">
        <v>46163</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5891-2025</t>
        </is>
      </c>
      <c r="B459" s="1" t="n">
        <v>45695.38327546296</v>
      </c>
      <c r="C459" s="1" t="n">
        <v>46163</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56688-2025</t>
        </is>
      </c>
      <c r="B460" s="1" t="n">
        <v>45975.84331018518</v>
      </c>
      <c r="C460" s="1" t="n">
        <v>46163</v>
      </c>
      <c r="D460" t="inlineStr">
        <is>
          <t>GOTLANDS LÄN</t>
        </is>
      </c>
      <c r="E460" t="inlineStr">
        <is>
          <t>GOTLAND</t>
        </is>
      </c>
      <c r="G460" t="n">
        <v>1.3</v>
      </c>
      <c r="H460" t="n">
        <v>0</v>
      </c>
      <c r="I460" t="n">
        <v>0</v>
      </c>
      <c r="J460" t="n">
        <v>0</v>
      </c>
      <c r="K460" t="n">
        <v>0</v>
      </c>
      <c r="L460" t="n">
        <v>0</v>
      </c>
      <c r="M460" t="n">
        <v>0</v>
      </c>
      <c r="N460" t="n">
        <v>0</v>
      </c>
      <c r="O460" t="n">
        <v>0</v>
      </c>
      <c r="P460" t="n">
        <v>0</v>
      </c>
      <c r="Q460" t="n">
        <v>0</v>
      </c>
      <c r="R460" s="2" t="inlineStr"/>
    </row>
    <row r="461" ht="15" customHeight="1">
      <c r="A461" t="inlineStr">
        <is>
          <t>A 56799-2025</t>
        </is>
      </c>
      <c r="B461" s="1" t="n">
        <v>45978.43392361111</v>
      </c>
      <c r="C461" s="1" t="n">
        <v>46163</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2719-2023</t>
        </is>
      </c>
      <c r="B462" s="1" t="n">
        <v>44944.55361111111</v>
      </c>
      <c r="C462" s="1" t="n">
        <v>46163</v>
      </c>
      <c r="D462" t="inlineStr">
        <is>
          <t>GOTLANDS LÄN</t>
        </is>
      </c>
      <c r="E462" t="inlineStr">
        <is>
          <t>GOTLAND</t>
        </is>
      </c>
      <c r="G462" t="n">
        <v>0.5</v>
      </c>
      <c r="H462" t="n">
        <v>0</v>
      </c>
      <c r="I462" t="n">
        <v>0</v>
      </c>
      <c r="J462" t="n">
        <v>0</v>
      </c>
      <c r="K462" t="n">
        <v>0</v>
      </c>
      <c r="L462" t="n">
        <v>0</v>
      </c>
      <c r="M462" t="n">
        <v>0</v>
      </c>
      <c r="N462" t="n">
        <v>0</v>
      </c>
      <c r="O462" t="n">
        <v>0</v>
      </c>
      <c r="P462" t="n">
        <v>0</v>
      </c>
      <c r="Q462" t="n">
        <v>0</v>
      </c>
      <c r="R462" s="2" t="inlineStr"/>
    </row>
    <row r="463" ht="15" customHeight="1">
      <c r="A463" t="inlineStr">
        <is>
          <t>A 17144-2025</t>
        </is>
      </c>
      <c r="B463" s="1" t="n">
        <v>45755.9499537037</v>
      </c>
      <c r="C463" s="1" t="n">
        <v>46163</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49314-2024</t>
        </is>
      </c>
      <c r="B464" s="1" t="n">
        <v>45595.55893518519</v>
      </c>
      <c r="C464" s="1" t="n">
        <v>46163</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9875-2025</t>
        </is>
      </c>
      <c r="B465" s="1" t="n">
        <v>45716</v>
      </c>
      <c r="C465" s="1" t="n">
        <v>46163</v>
      </c>
      <c r="D465" t="inlineStr">
        <is>
          <t>GOTLANDS LÄN</t>
        </is>
      </c>
      <c r="E465" t="inlineStr">
        <is>
          <t>GOTLAND</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29809-2022</t>
        </is>
      </c>
      <c r="B466" s="1" t="n">
        <v>44755.8713425926</v>
      </c>
      <c r="C466" s="1" t="n">
        <v>46163</v>
      </c>
      <c r="D466" t="inlineStr">
        <is>
          <t>GOTLANDS LÄN</t>
        </is>
      </c>
      <c r="E466" t="inlineStr">
        <is>
          <t>GOTLAND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16361-2024</t>
        </is>
      </c>
      <c r="B467" s="1" t="n">
        <v>45407</v>
      </c>
      <c r="C467" s="1" t="n">
        <v>46163</v>
      </c>
      <c r="D467" t="inlineStr">
        <is>
          <t>GOTLANDS LÄN</t>
        </is>
      </c>
      <c r="E467" t="inlineStr">
        <is>
          <t>GOTLAND</t>
        </is>
      </c>
      <c r="G467" t="n">
        <v>6</v>
      </c>
      <c r="H467" t="n">
        <v>0</v>
      </c>
      <c r="I467" t="n">
        <v>0</v>
      </c>
      <c r="J467" t="n">
        <v>0</v>
      </c>
      <c r="K467" t="n">
        <v>0</v>
      </c>
      <c r="L467" t="n">
        <v>0</v>
      </c>
      <c r="M467" t="n">
        <v>0</v>
      </c>
      <c r="N467" t="n">
        <v>0</v>
      </c>
      <c r="O467" t="n">
        <v>0</v>
      </c>
      <c r="P467" t="n">
        <v>0</v>
      </c>
      <c r="Q467" t="n">
        <v>0</v>
      </c>
      <c r="R467" s="2" t="inlineStr"/>
    </row>
    <row r="468" ht="15" customHeight="1">
      <c r="A468" t="inlineStr">
        <is>
          <t>A 43081-2022</t>
        </is>
      </c>
      <c r="B468" s="1" t="n">
        <v>44833</v>
      </c>
      <c r="C468" s="1" t="n">
        <v>46163</v>
      </c>
      <c r="D468" t="inlineStr">
        <is>
          <t>GOTLANDS LÄN</t>
        </is>
      </c>
      <c r="E468" t="inlineStr">
        <is>
          <t>GOTLAND</t>
        </is>
      </c>
      <c r="G468" t="n">
        <v>6.8</v>
      </c>
      <c r="H468" t="n">
        <v>0</v>
      </c>
      <c r="I468" t="n">
        <v>0</v>
      </c>
      <c r="J468" t="n">
        <v>0</v>
      </c>
      <c r="K468" t="n">
        <v>0</v>
      </c>
      <c r="L468" t="n">
        <v>0</v>
      </c>
      <c r="M468" t="n">
        <v>0</v>
      </c>
      <c r="N468" t="n">
        <v>0</v>
      </c>
      <c r="O468" t="n">
        <v>0</v>
      </c>
      <c r="P468" t="n">
        <v>0</v>
      </c>
      <c r="Q468" t="n">
        <v>0</v>
      </c>
      <c r="R468" s="2" t="inlineStr"/>
    </row>
    <row r="469" ht="15" customHeight="1">
      <c r="A469" t="inlineStr">
        <is>
          <t>A 1175-2025</t>
        </is>
      </c>
      <c r="B469" s="1" t="n">
        <v>45667.34449074074</v>
      </c>
      <c r="C469" s="1" t="n">
        <v>46163</v>
      </c>
      <c r="D469" t="inlineStr">
        <is>
          <t>GOTLANDS LÄN</t>
        </is>
      </c>
      <c r="E469" t="inlineStr">
        <is>
          <t>GOTLAND</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3150-2025</t>
        </is>
      </c>
      <c r="B470" s="1" t="n">
        <v>45679.28974537037</v>
      </c>
      <c r="C470" s="1" t="n">
        <v>46163</v>
      </c>
      <c r="D470" t="inlineStr">
        <is>
          <t>GOTLANDS LÄN</t>
        </is>
      </c>
      <c r="E470" t="inlineStr">
        <is>
          <t>GOTLAND</t>
        </is>
      </c>
      <c r="G470" t="n">
        <v>2.5</v>
      </c>
      <c r="H470" t="n">
        <v>0</v>
      </c>
      <c r="I470" t="n">
        <v>0</v>
      </c>
      <c r="J470" t="n">
        <v>0</v>
      </c>
      <c r="K470" t="n">
        <v>0</v>
      </c>
      <c r="L470" t="n">
        <v>0</v>
      </c>
      <c r="M470" t="n">
        <v>0</v>
      </c>
      <c r="N470" t="n">
        <v>0</v>
      </c>
      <c r="O470" t="n">
        <v>0</v>
      </c>
      <c r="P470" t="n">
        <v>0</v>
      </c>
      <c r="Q470" t="n">
        <v>0</v>
      </c>
      <c r="R470" s="2" t="inlineStr"/>
    </row>
    <row r="471" ht="15" customHeight="1">
      <c r="A471" t="inlineStr">
        <is>
          <t>A 14840-2026</t>
        </is>
      </c>
      <c r="B471" s="1" t="n">
        <v>46104.39498842593</v>
      </c>
      <c r="C471" s="1" t="n">
        <v>46163</v>
      </c>
      <c r="D471" t="inlineStr">
        <is>
          <t>GOTLANDS LÄN</t>
        </is>
      </c>
      <c r="E471" t="inlineStr">
        <is>
          <t>GOTLAND</t>
        </is>
      </c>
      <c r="G471" t="n">
        <v>2.5</v>
      </c>
      <c r="H471" t="n">
        <v>0</v>
      </c>
      <c r="I471" t="n">
        <v>0</v>
      </c>
      <c r="J471" t="n">
        <v>0</v>
      </c>
      <c r="K471" t="n">
        <v>0</v>
      </c>
      <c r="L471" t="n">
        <v>0</v>
      </c>
      <c r="M471" t="n">
        <v>0</v>
      </c>
      <c r="N471" t="n">
        <v>0</v>
      </c>
      <c r="O471" t="n">
        <v>0</v>
      </c>
      <c r="P471" t="n">
        <v>0</v>
      </c>
      <c r="Q471" t="n">
        <v>0</v>
      </c>
      <c r="R471" s="2" t="inlineStr"/>
    </row>
    <row r="472" ht="15" customHeight="1">
      <c r="A472" t="inlineStr">
        <is>
          <t>A 42041-2024</t>
        </is>
      </c>
      <c r="B472" s="1" t="n">
        <v>45561</v>
      </c>
      <c r="C472" s="1" t="n">
        <v>46163</v>
      </c>
      <c r="D472" t="inlineStr">
        <is>
          <t>GOTLANDS LÄN</t>
        </is>
      </c>
      <c r="E472" t="inlineStr">
        <is>
          <t>GOTLAND</t>
        </is>
      </c>
      <c r="G472" t="n">
        <v>3.2</v>
      </c>
      <c r="H472" t="n">
        <v>0</v>
      </c>
      <c r="I472" t="n">
        <v>0</v>
      </c>
      <c r="J472" t="n">
        <v>0</v>
      </c>
      <c r="K472" t="n">
        <v>0</v>
      </c>
      <c r="L472" t="n">
        <v>0</v>
      </c>
      <c r="M472" t="n">
        <v>0</v>
      </c>
      <c r="N472" t="n">
        <v>0</v>
      </c>
      <c r="O472" t="n">
        <v>0</v>
      </c>
      <c r="P472" t="n">
        <v>0</v>
      </c>
      <c r="Q472" t="n">
        <v>0</v>
      </c>
      <c r="R472" s="2" t="inlineStr"/>
    </row>
    <row r="473" ht="15" customHeight="1">
      <c r="A473" t="inlineStr">
        <is>
          <t>A 59197-2025</t>
        </is>
      </c>
      <c r="B473" s="1" t="n">
        <v>45988.59846064815</v>
      </c>
      <c r="C473" s="1" t="n">
        <v>46163</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36319-2025</t>
        </is>
      </c>
      <c r="B474" s="1" t="n">
        <v>45868</v>
      </c>
      <c r="C474" s="1" t="n">
        <v>46163</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15436-2025</t>
        </is>
      </c>
      <c r="B475" s="1" t="n">
        <v>45747.47462962963</v>
      </c>
      <c r="C475" s="1" t="n">
        <v>46163</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21247-2022</t>
        </is>
      </c>
      <c r="B476" s="1" t="n">
        <v>44705.38832175926</v>
      </c>
      <c r="C476" s="1" t="n">
        <v>46163</v>
      </c>
      <c r="D476" t="inlineStr">
        <is>
          <t>GOTLANDS LÄN</t>
        </is>
      </c>
      <c r="E476" t="inlineStr">
        <is>
          <t>GOTLAND</t>
        </is>
      </c>
      <c r="G476" t="n">
        <v>16.2</v>
      </c>
      <c r="H476" t="n">
        <v>0</v>
      </c>
      <c r="I476" t="n">
        <v>0</v>
      </c>
      <c r="J476" t="n">
        <v>0</v>
      </c>
      <c r="K476" t="n">
        <v>0</v>
      </c>
      <c r="L476" t="n">
        <v>0</v>
      </c>
      <c r="M476" t="n">
        <v>0</v>
      </c>
      <c r="N476" t="n">
        <v>0</v>
      </c>
      <c r="O476" t="n">
        <v>0</v>
      </c>
      <c r="P476" t="n">
        <v>0</v>
      </c>
      <c r="Q476" t="n">
        <v>0</v>
      </c>
      <c r="R476" s="2" t="inlineStr"/>
    </row>
    <row r="477" ht="15" customHeight="1">
      <c r="A477" t="inlineStr">
        <is>
          <t>A 21396-2026</t>
        </is>
      </c>
      <c r="B477" s="1" t="n">
        <v>46148.30710648148</v>
      </c>
      <c r="C477" s="1" t="n">
        <v>46163</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17780-2022</t>
        </is>
      </c>
      <c r="B478" s="1" t="n">
        <v>44682.82622685185</v>
      </c>
      <c r="C478" s="1" t="n">
        <v>46163</v>
      </c>
      <c r="D478" t="inlineStr">
        <is>
          <t>GOTLANDS LÄN</t>
        </is>
      </c>
      <c r="E478" t="inlineStr">
        <is>
          <t>GOTLAND</t>
        </is>
      </c>
      <c r="G478" t="n">
        <v>2.2</v>
      </c>
      <c r="H478" t="n">
        <v>0</v>
      </c>
      <c r="I478" t="n">
        <v>0</v>
      </c>
      <c r="J478" t="n">
        <v>0</v>
      </c>
      <c r="K478" t="n">
        <v>0</v>
      </c>
      <c r="L478" t="n">
        <v>0</v>
      </c>
      <c r="M478" t="n">
        <v>0</v>
      </c>
      <c r="N478" t="n">
        <v>0</v>
      </c>
      <c r="O478" t="n">
        <v>0</v>
      </c>
      <c r="P478" t="n">
        <v>0</v>
      </c>
      <c r="Q478" t="n">
        <v>0</v>
      </c>
      <c r="R478" s="2" t="inlineStr"/>
    </row>
    <row r="479" ht="15" customHeight="1">
      <c r="A479" t="inlineStr">
        <is>
          <t>A 63516-2023</t>
        </is>
      </c>
      <c r="B479" s="1" t="n">
        <v>45274</v>
      </c>
      <c r="C479" s="1" t="n">
        <v>46163</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4662-2026</t>
        </is>
      </c>
      <c r="B480" s="1" t="n">
        <v>46048.40949074074</v>
      </c>
      <c r="C480" s="1" t="n">
        <v>46163</v>
      </c>
      <c r="D480" t="inlineStr">
        <is>
          <t>GOTLANDS LÄN</t>
        </is>
      </c>
      <c r="E480" t="inlineStr">
        <is>
          <t>GOTLAND</t>
        </is>
      </c>
      <c r="G480" t="n">
        <v>7.6</v>
      </c>
      <c r="H480" t="n">
        <v>0</v>
      </c>
      <c r="I480" t="n">
        <v>0</v>
      </c>
      <c r="J480" t="n">
        <v>0</v>
      </c>
      <c r="K480" t="n">
        <v>0</v>
      </c>
      <c r="L480" t="n">
        <v>0</v>
      </c>
      <c r="M480" t="n">
        <v>0</v>
      </c>
      <c r="N480" t="n">
        <v>0</v>
      </c>
      <c r="O480" t="n">
        <v>0</v>
      </c>
      <c r="P480" t="n">
        <v>0</v>
      </c>
      <c r="Q480" t="n">
        <v>0</v>
      </c>
      <c r="R480" s="2" t="inlineStr"/>
    </row>
    <row r="481" ht="15" customHeight="1">
      <c r="A481" t="inlineStr">
        <is>
          <t>A 53935-2024</t>
        </is>
      </c>
      <c r="B481" s="1" t="n">
        <v>45615</v>
      </c>
      <c r="C481" s="1" t="n">
        <v>46163</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69112-2021</t>
        </is>
      </c>
      <c r="B482" s="1" t="n">
        <v>44530</v>
      </c>
      <c r="C482" s="1" t="n">
        <v>46163</v>
      </c>
      <c r="D482" t="inlineStr">
        <is>
          <t>GOTLANDS LÄN</t>
        </is>
      </c>
      <c r="E482" t="inlineStr">
        <is>
          <t>GOTLAND</t>
        </is>
      </c>
      <c r="G482" t="n">
        <v>4.2</v>
      </c>
      <c r="H482" t="n">
        <v>0</v>
      </c>
      <c r="I482" t="n">
        <v>0</v>
      </c>
      <c r="J482" t="n">
        <v>0</v>
      </c>
      <c r="K482" t="n">
        <v>0</v>
      </c>
      <c r="L482" t="n">
        <v>0</v>
      </c>
      <c r="M482" t="n">
        <v>0</v>
      </c>
      <c r="N482" t="n">
        <v>0</v>
      </c>
      <c r="O482" t="n">
        <v>0</v>
      </c>
      <c r="P482" t="n">
        <v>0</v>
      </c>
      <c r="Q482" t="n">
        <v>0</v>
      </c>
      <c r="R482" s="2" t="inlineStr"/>
    </row>
    <row r="483" ht="15" customHeight="1">
      <c r="A483" t="inlineStr">
        <is>
          <t>A 48734-2022</t>
        </is>
      </c>
      <c r="B483" s="1" t="n">
        <v>44855</v>
      </c>
      <c r="C483" s="1" t="n">
        <v>46163</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23516-2023</t>
        </is>
      </c>
      <c r="B484" s="1" t="n">
        <v>45076.93391203704</v>
      </c>
      <c r="C484" s="1" t="n">
        <v>46163</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43231-2023</t>
        </is>
      </c>
      <c r="B485" s="1" t="n">
        <v>45183.47025462963</v>
      </c>
      <c r="C485" s="1" t="n">
        <v>46163</v>
      </c>
      <c r="D485" t="inlineStr">
        <is>
          <t>GOTLANDS LÄN</t>
        </is>
      </c>
      <c r="E485" t="inlineStr">
        <is>
          <t>GOTLAND</t>
        </is>
      </c>
      <c r="G485" t="n">
        <v>3.6</v>
      </c>
      <c r="H485" t="n">
        <v>0</v>
      </c>
      <c r="I485" t="n">
        <v>0</v>
      </c>
      <c r="J485" t="n">
        <v>0</v>
      </c>
      <c r="K485" t="n">
        <v>0</v>
      </c>
      <c r="L485" t="n">
        <v>0</v>
      </c>
      <c r="M485" t="n">
        <v>0</v>
      </c>
      <c r="N485" t="n">
        <v>0</v>
      </c>
      <c r="O485" t="n">
        <v>0</v>
      </c>
      <c r="P485" t="n">
        <v>0</v>
      </c>
      <c r="Q485" t="n">
        <v>0</v>
      </c>
      <c r="R485" s="2" t="inlineStr"/>
    </row>
    <row r="486" ht="15" customHeight="1">
      <c r="A486" t="inlineStr">
        <is>
          <t>A 58230-2024</t>
        </is>
      </c>
      <c r="B486" s="1" t="n">
        <v>45632.51625</v>
      </c>
      <c r="C486" s="1" t="n">
        <v>46163</v>
      </c>
      <c r="D486" t="inlineStr">
        <is>
          <t>GOTLANDS LÄN</t>
        </is>
      </c>
      <c r="E486" t="inlineStr">
        <is>
          <t>GOTLAND</t>
        </is>
      </c>
      <c r="G486" t="n">
        <v>7.3</v>
      </c>
      <c r="H486" t="n">
        <v>0</v>
      </c>
      <c r="I486" t="n">
        <v>0</v>
      </c>
      <c r="J486" t="n">
        <v>0</v>
      </c>
      <c r="K486" t="n">
        <v>0</v>
      </c>
      <c r="L486" t="n">
        <v>0</v>
      </c>
      <c r="M486" t="n">
        <v>0</v>
      </c>
      <c r="N486" t="n">
        <v>0</v>
      </c>
      <c r="O486" t="n">
        <v>0</v>
      </c>
      <c r="P486" t="n">
        <v>0</v>
      </c>
      <c r="Q486" t="n">
        <v>0</v>
      </c>
      <c r="R486" s="2" t="inlineStr"/>
    </row>
    <row r="487" ht="15" customHeight="1">
      <c r="A487" t="inlineStr">
        <is>
          <t>A 64555-2023</t>
        </is>
      </c>
      <c r="B487" s="1" t="n">
        <v>45281</v>
      </c>
      <c r="C487" s="1" t="n">
        <v>46163</v>
      </c>
      <c r="D487" t="inlineStr">
        <is>
          <t>GOTLANDS LÄN</t>
        </is>
      </c>
      <c r="E487" t="inlineStr">
        <is>
          <t>GOTLAND</t>
        </is>
      </c>
      <c r="G487" t="n">
        <v>3.5</v>
      </c>
      <c r="H487" t="n">
        <v>0</v>
      </c>
      <c r="I487" t="n">
        <v>0</v>
      </c>
      <c r="J487" t="n">
        <v>0</v>
      </c>
      <c r="K487" t="n">
        <v>0</v>
      </c>
      <c r="L487" t="n">
        <v>0</v>
      </c>
      <c r="M487" t="n">
        <v>0</v>
      </c>
      <c r="N487" t="n">
        <v>0</v>
      </c>
      <c r="O487" t="n">
        <v>0</v>
      </c>
      <c r="P487" t="n">
        <v>0</v>
      </c>
      <c r="Q487" t="n">
        <v>0</v>
      </c>
      <c r="R487" s="2" t="inlineStr"/>
    </row>
    <row r="488" ht="15" customHeight="1">
      <c r="A488" t="inlineStr">
        <is>
          <t>A 1854-2026</t>
        </is>
      </c>
      <c r="B488" s="1" t="n">
        <v>46035.4171875</v>
      </c>
      <c r="C488" s="1" t="n">
        <v>46163</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457-2023</t>
        </is>
      </c>
      <c r="B489" s="1" t="n">
        <v>44929.87238425926</v>
      </c>
      <c r="C489" s="1" t="n">
        <v>46163</v>
      </c>
      <c r="D489" t="inlineStr">
        <is>
          <t>GOTLANDS LÄN</t>
        </is>
      </c>
      <c r="E489" t="inlineStr">
        <is>
          <t>GOTLAND</t>
        </is>
      </c>
      <c r="G489" t="n">
        <v>2.4</v>
      </c>
      <c r="H489" t="n">
        <v>0</v>
      </c>
      <c r="I489" t="n">
        <v>0</v>
      </c>
      <c r="J489" t="n">
        <v>0</v>
      </c>
      <c r="K489" t="n">
        <v>0</v>
      </c>
      <c r="L489" t="n">
        <v>0</v>
      </c>
      <c r="M489" t="n">
        <v>0</v>
      </c>
      <c r="N489" t="n">
        <v>0</v>
      </c>
      <c r="O489" t="n">
        <v>0</v>
      </c>
      <c r="P489" t="n">
        <v>0</v>
      </c>
      <c r="Q489" t="n">
        <v>0</v>
      </c>
      <c r="R489" s="2" t="inlineStr"/>
    </row>
    <row r="490" ht="15" customHeight="1">
      <c r="A490" t="inlineStr">
        <is>
          <t>A 459-2023</t>
        </is>
      </c>
      <c r="B490" s="1" t="n">
        <v>44929.87423611111</v>
      </c>
      <c r="C490" s="1" t="n">
        <v>46163</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22351-2026</t>
        </is>
      </c>
      <c r="B491" s="1" t="n">
        <v>46154.58350694444</v>
      </c>
      <c r="C491" s="1" t="n">
        <v>46163</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22348-2026</t>
        </is>
      </c>
      <c r="B492" s="1" t="n">
        <v>46154.58071759259</v>
      </c>
      <c r="C492" s="1" t="n">
        <v>46163</v>
      </c>
      <c r="D492" t="inlineStr">
        <is>
          <t>GOTLANDS LÄN</t>
        </is>
      </c>
      <c r="E492" t="inlineStr">
        <is>
          <t>GOTLAND</t>
        </is>
      </c>
      <c r="G492" t="n">
        <v>3.3</v>
      </c>
      <c r="H492" t="n">
        <v>0</v>
      </c>
      <c r="I492" t="n">
        <v>0</v>
      </c>
      <c r="J492" t="n">
        <v>0</v>
      </c>
      <c r="K492" t="n">
        <v>0</v>
      </c>
      <c r="L492" t="n">
        <v>0</v>
      </c>
      <c r="M492" t="n">
        <v>0</v>
      </c>
      <c r="N492" t="n">
        <v>0</v>
      </c>
      <c r="O492" t="n">
        <v>0</v>
      </c>
      <c r="P492" t="n">
        <v>0</v>
      </c>
      <c r="Q492" t="n">
        <v>0</v>
      </c>
      <c r="R492" s="2" t="inlineStr"/>
    </row>
    <row r="493" ht="15" customHeight="1">
      <c r="A493" t="inlineStr">
        <is>
          <t>A 62066-2025</t>
        </is>
      </c>
      <c r="B493" s="1" t="n">
        <v>46006.34738425926</v>
      </c>
      <c r="C493" s="1" t="n">
        <v>46163</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62103-2025</t>
        </is>
      </c>
      <c r="B494" s="1" t="n">
        <v>46006</v>
      </c>
      <c r="C494" s="1" t="n">
        <v>46163</v>
      </c>
      <c r="D494" t="inlineStr">
        <is>
          <t>GOTLANDS LÄN</t>
        </is>
      </c>
      <c r="E494" t="inlineStr">
        <is>
          <t>GOTLAND</t>
        </is>
      </c>
      <c r="F494" t="inlineStr">
        <is>
          <t>Övriga Aktiebolag</t>
        </is>
      </c>
      <c r="G494" t="n">
        <v>1.7</v>
      </c>
      <c r="H494" t="n">
        <v>0</v>
      </c>
      <c r="I494" t="n">
        <v>0</v>
      </c>
      <c r="J494" t="n">
        <v>0</v>
      </c>
      <c r="K494" t="n">
        <v>0</v>
      </c>
      <c r="L494" t="n">
        <v>0</v>
      </c>
      <c r="M494" t="n">
        <v>0</v>
      </c>
      <c r="N494" t="n">
        <v>0</v>
      </c>
      <c r="O494" t="n">
        <v>0</v>
      </c>
      <c r="P494" t="n">
        <v>0</v>
      </c>
      <c r="Q494" t="n">
        <v>0</v>
      </c>
      <c r="R494" s="2" t="inlineStr"/>
    </row>
    <row r="495" ht="15" customHeight="1">
      <c r="A495" t="inlineStr">
        <is>
          <t>A 876-2024</t>
        </is>
      </c>
      <c r="B495" s="1" t="n">
        <v>45301</v>
      </c>
      <c r="C495" s="1" t="n">
        <v>46163</v>
      </c>
      <c r="D495" t="inlineStr">
        <is>
          <t>GOTLANDS LÄN</t>
        </is>
      </c>
      <c r="E495" t="inlineStr">
        <is>
          <t>GOTLAND</t>
        </is>
      </c>
      <c r="G495" t="n">
        <v>5.3</v>
      </c>
      <c r="H495" t="n">
        <v>0</v>
      </c>
      <c r="I495" t="n">
        <v>0</v>
      </c>
      <c r="J495" t="n">
        <v>0</v>
      </c>
      <c r="K495" t="n">
        <v>0</v>
      </c>
      <c r="L495" t="n">
        <v>0</v>
      </c>
      <c r="M495" t="n">
        <v>0</v>
      </c>
      <c r="N495" t="n">
        <v>0</v>
      </c>
      <c r="O495" t="n">
        <v>0</v>
      </c>
      <c r="P495" t="n">
        <v>0</v>
      </c>
      <c r="Q495" t="n">
        <v>0</v>
      </c>
      <c r="R495" s="2" t="inlineStr"/>
    </row>
    <row r="496" ht="15" customHeight="1">
      <c r="A496" t="inlineStr">
        <is>
          <t>A 26891-2024</t>
        </is>
      </c>
      <c r="B496" s="1" t="n">
        <v>45470.65540509259</v>
      </c>
      <c r="C496" s="1" t="n">
        <v>46163</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5923-2023</t>
        </is>
      </c>
      <c r="B497" s="1" t="n">
        <v>44963.69503472222</v>
      </c>
      <c r="C497" s="1" t="n">
        <v>46163</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50482-2024</t>
        </is>
      </c>
      <c r="B498" s="1" t="n">
        <v>45601.48114583334</v>
      </c>
      <c r="C498" s="1" t="n">
        <v>46163</v>
      </c>
      <c r="D498" t="inlineStr">
        <is>
          <t>GOTLANDS LÄN</t>
        </is>
      </c>
      <c r="E498" t="inlineStr">
        <is>
          <t>GOTLAND</t>
        </is>
      </c>
      <c r="G498" t="n">
        <v>2.3</v>
      </c>
      <c r="H498" t="n">
        <v>0</v>
      </c>
      <c r="I498" t="n">
        <v>0</v>
      </c>
      <c r="J498" t="n">
        <v>0</v>
      </c>
      <c r="K498" t="n">
        <v>0</v>
      </c>
      <c r="L498" t="n">
        <v>0</v>
      </c>
      <c r="M498" t="n">
        <v>0</v>
      </c>
      <c r="N498" t="n">
        <v>0</v>
      </c>
      <c r="O498" t="n">
        <v>0</v>
      </c>
      <c r="P498" t="n">
        <v>0</v>
      </c>
      <c r="Q498" t="n">
        <v>0</v>
      </c>
      <c r="R498" s="2" t="inlineStr"/>
    </row>
    <row r="499" ht="15" customHeight="1">
      <c r="A499" t="inlineStr">
        <is>
          <t>A 22275-2026</t>
        </is>
      </c>
      <c r="B499" s="1" t="n">
        <v>46154.41924768518</v>
      </c>
      <c r="C499" s="1" t="n">
        <v>46163</v>
      </c>
      <c r="D499" t="inlineStr">
        <is>
          <t>GOTLANDS LÄN</t>
        </is>
      </c>
      <c r="E499" t="inlineStr">
        <is>
          <t>GOTLAND</t>
        </is>
      </c>
      <c r="G499" t="n">
        <v>3.7</v>
      </c>
      <c r="H499" t="n">
        <v>0</v>
      </c>
      <c r="I499" t="n">
        <v>0</v>
      </c>
      <c r="J499" t="n">
        <v>0</v>
      </c>
      <c r="K499" t="n">
        <v>0</v>
      </c>
      <c r="L499" t="n">
        <v>0</v>
      </c>
      <c r="M499" t="n">
        <v>0</v>
      </c>
      <c r="N499" t="n">
        <v>0</v>
      </c>
      <c r="O499" t="n">
        <v>0</v>
      </c>
      <c r="P499" t="n">
        <v>0</v>
      </c>
      <c r="Q499" t="n">
        <v>0</v>
      </c>
      <c r="R499" s="2" t="inlineStr"/>
    </row>
    <row r="500" ht="15" customHeight="1">
      <c r="A500" t="inlineStr">
        <is>
          <t>A 63002-2025</t>
        </is>
      </c>
      <c r="B500" s="1" t="n">
        <v>46009.56564814815</v>
      </c>
      <c r="C500" s="1" t="n">
        <v>46163</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5943-2024</t>
        </is>
      </c>
      <c r="B501" s="1" t="n">
        <v>45336</v>
      </c>
      <c r="C501" s="1" t="n">
        <v>46163</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38234-2023</t>
        </is>
      </c>
      <c r="B502" s="1" t="n">
        <v>45161.56663194444</v>
      </c>
      <c r="C502" s="1" t="n">
        <v>46163</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1273-2023</t>
        </is>
      </c>
      <c r="B503" s="1" t="n">
        <v>44936</v>
      </c>
      <c r="C503" s="1" t="n">
        <v>46163</v>
      </c>
      <c r="D503" t="inlineStr">
        <is>
          <t>GOTLANDS LÄN</t>
        </is>
      </c>
      <c r="E503" t="inlineStr">
        <is>
          <t>GOTLAND</t>
        </is>
      </c>
      <c r="G503" t="n">
        <v>4.5</v>
      </c>
      <c r="H503" t="n">
        <v>0</v>
      </c>
      <c r="I503" t="n">
        <v>0</v>
      </c>
      <c r="J503" t="n">
        <v>0</v>
      </c>
      <c r="K503" t="n">
        <v>0</v>
      </c>
      <c r="L503" t="n">
        <v>0</v>
      </c>
      <c r="M503" t="n">
        <v>0</v>
      </c>
      <c r="N503" t="n">
        <v>0</v>
      </c>
      <c r="O503" t="n">
        <v>0</v>
      </c>
      <c r="P503" t="n">
        <v>0</v>
      </c>
      <c r="Q503" t="n">
        <v>0</v>
      </c>
      <c r="R503" s="2" t="inlineStr"/>
    </row>
    <row r="504" ht="15" customHeight="1">
      <c r="A504" t="inlineStr">
        <is>
          <t>A 4639-2026</t>
        </is>
      </c>
      <c r="B504" s="1" t="n">
        <v>46048.39880787037</v>
      </c>
      <c r="C504" s="1" t="n">
        <v>46163</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38649-2025</t>
        </is>
      </c>
      <c r="B505" s="1" t="n">
        <v>45884</v>
      </c>
      <c r="C505" s="1" t="n">
        <v>46163</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17000-2026</t>
        </is>
      </c>
      <c r="B506" s="1" t="n">
        <v>46114.42690972222</v>
      </c>
      <c r="C506" s="1" t="n">
        <v>46163</v>
      </c>
      <c r="D506" t="inlineStr">
        <is>
          <t>GOTLANDS LÄN</t>
        </is>
      </c>
      <c r="E506" t="inlineStr">
        <is>
          <t>GOTLAND</t>
        </is>
      </c>
      <c r="G506" t="n">
        <v>1.9</v>
      </c>
      <c r="H506" t="n">
        <v>0</v>
      </c>
      <c r="I506" t="n">
        <v>0</v>
      </c>
      <c r="J506" t="n">
        <v>0</v>
      </c>
      <c r="K506" t="n">
        <v>0</v>
      </c>
      <c r="L506" t="n">
        <v>0</v>
      </c>
      <c r="M506" t="n">
        <v>0</v>
      </c>
      <c r="N506" t="n">
        <v>0</v>
      </c>
      <c r="O506" t="n">
        <v>0</v>
      </c>
      <c r="P506" t="n">
        <v>0</v>
      </c>
      <c r="Q506" t="n">
        <v>0</v>
      </c>
      <c r="R506" s="2" t="inlineStr"/>
    </row>
    <row r="507" ht="15" customHeight="1">
      <c r="A507" t="inlineStr">
        <is>
          <t>A 17724-2024</t>
        </is>
      </c>
      <c r="B507" s="1" t="n">
        <v>45418.55096064815</v>
      </c>
      <c r="C507" s="1" t="n">
        <v>46163</v>
      </c>
      <c r="D507" t="inlineStr">
        <is>
          <t>GOTLANDS LÄN</t>
        </is>
      </c>
      <c r="E507" t="inlineStr">
        <is>
          <t>GOTLAND</t>
        </is>
      </c>
      <c r="G507" t="n">
        <v>2</v>
      </c>
      <c r="H507" t="n">
        <v>0</v>
      </c>
      <c r="I507" t="n">
        <v>0</v>
      </c>
      <c r="J507" t="n">
        <v>0</v>
      </c>
      <c r="K507" t="n">
        <v>0</v>
      </c>
      <c r="L507" t="n">
        <v>0</v>
      </c>
      <c r="M507" t="n">
        <v>0</v>
      </c>
      <c r="N507" t="n">
        <v>0</v>
      </c>
      <c r="O507" t="n">
        <v>0</v>
      </c>
      <c r="P507" t="n">
        <v>0</v>
      </c>
      <c r="Q507" t="n">
        <v>0</v>
      </c>
      <c r="R507" s="2" t="inlineStr"/>
    </row>
    <row r="508" ht="15" customHeight="1">
      <c r="A508" t="inlineStr">
        <is>
          <t>A 23978-2023</t>
        </is>
      </c>
      <c r="B508" s="1" t="n">
        <v>45078</v>
      </c>
      <c r="C508" s="1" t="n">
        <v>46163</v>
      </c>
      <c r="D508" t="inlineStr">
        <is>
          <t>GOTLANDS LÄN</t>
        </is>
      </c>
      <c r="E508" t="inlineStr">
        <is>
          <t>GOTLAND</t>
        </is>
      </c>
      <c r="F508" t="inlineStr">
        <is>
          <t>Naturvårdsverket</t>
        </is>
      </c>
      <c r="G508" t="n">
        <v>1.7</v>
      </c>
      <c r="H508" t="n">
        <v>0</v>
      </c>
      <c r="I508" t="n">
        <v>0</v>
      </c>
      <c r="J508" t="n">
        <v>0</v>
      </c>
      <c r="K508" t="n">
        <v>0</v>
      </c>
      <c r="L508" t="n">
        <v>0</v>
      </c>
      <c r="M508" t="n">
        <v>0</v>
      </c>
      <c r="N508" t="n">
        <v>0</v>
      </c>
      <c r="O508" t="n">
        <v>0</v>
      </c>
      <c r="P508" t="n">
        <v>0</v>
      </c>
      <c r="Q508" t="n">
        <v>0</v>
      </c>
      <c r="R508" s="2" t="inlineStr"/>
    </row>
    <row r="509" ht="15" customHeight="1">
      <c r="A509" t="inlineStr">
        <is>
          <t>A 49884-2023</t>
        </is>
      </c>
      <c r="B509" s="1" t="n">
        <v>45213</v>
      </c>
      <c r="C509" s="1" t="n">
        <v>46163</v>
      </c>
      <c r="D509" t="inlineStr">
        <is>
          <t>GOTLANDS LÄN</t>
        </is>
      </c>
      <c r="E509" t="inlineStr">
        <is>
          <t>GOTLAND</t>
        </is>
      </c>
      <c r="G509" t="n">
        <v>8.9</v>
      </c>
      <c r="H509" t="n">
        <v>0</v>
      </c>
      <c r="I509" t="n">
        <v>0</v>
      </c>
      <c r="J509" t="n">
        <v>0</v>
      </c>
      <c r="K509" t="n">
        <v>0</v>
      </c>
      <c r="L509" t="n">
        <v>0</v>
      </c>
      <c r="M509" t="n">
        <v>0</v>
      </c>
      <c r="N509" t="n">
        <v>0</v>
      </c>
      <c r="O509" t="n">
        <v>0</v>
      </c>
      <c r="P509" t="n">
        <v>0</v>
      </c>
      <c r="Q509" t="n">
        <v>0</v>
      </c>
      <c r="R509" s="2" t="inlineStr"/>
    </row>
    <row r="510" ht="15" customHeight="1">
      <c r="A510" t="inlineStr">
        <is>
          <t>A 61078-2025</t>
        </is>
      </c>
      <c r="B510" s="1" t="n">
        <v>46000</v>
      </c>
      <c r="C510" s="1" t="n">
        <v>46163</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12846-2025</t>
        </is>
      </c>
      <c r="B511" s="1" t="n">
        <v>45733.65049768519</v>
      </c>
      <c r="C511" s="1" t="n">
        <v>46163</v>
      </c>
      <c r="D511" t="inlineStr">
        <is>
          <t>GOTLANDS LÄN</t>
        </is>
      </c>
      <c r="E511" t="inlineStr">
        <is>
          <t>GOTLAND</t>
        </is>
      </c>
      <c r="G511" t="n">
        <v>1.7</v>
      </c>
      <c r="H511" t="n">
        <v>0</v>
      </c>
      <c r="I511" t="n">
        <v>0</v>
      </c>
      <c r="J511" t="n">
        <v>0</v>
      </c>
      <c r="K511" t="n">
        <v>0</v>
      </c>
      <c r="L511" t="n">
        <v>0</v>
      </c>
      <c r="M511" t="n">
        <v>0</v>
      </c>
      <c r="N511" t="n">
        <v>0</v>
      </c>
      <c r="O511" t="n">
        <v>0</v>
      </c>
      <c r="P511" t="n">
        <v>0</v>
      </c>
      <c r="Q511" t="n">
        <v>0</v>
      </c>
      <c r="R511" s="2" t="inlineStr"/>
    </row>
    <row r="512" ht="15" customHeight="1">
      <c r="A512" t="inlineStr">
        <is>
          <t>A 16993-2026</t>
        </is>
      </c>
      <c r="B512" s="1" t="n">
        <v>46114.41918981481</v>
      </c>
      <c r="C512" s="1" t="n">
        <v>46163</v>
      </c>
      <c r="D512" t="inlineStr">
        <is>
          <t>GOTLANDS LÄN</t>
        </is>
      </c>
      <c r="E512" t="inlineStr">
        <is>
          <t>GOTLAND</t>
        </is>
      </c>
      <c r="G512" t="n">
        <v>3</v>
      </c>
      <c r="H512" t="n">
        <v>0</v>
      </c>
      <c r="I512" t="n">
        <v>0</v>
      </c>
      <c r="J512" t="n">
        <v>0</v>
      </c>
      <c r="K512" t="n">
        <v>0</v>
      </c>
      <c r="L512" t="n">
        <v>0</v>
      </c>
      <c r="M512" t="n">
        <v>0</v>
      </c>
      <c r="N512" t="n">
        <v>0</v>
      </c>
      <c r="O512" t="n">
        <v>0</v>
      </c>
      <c r="P512" t="n">
        <v>0</v>
      </c>
      <c r="Q512" t="n">
        <v>0</v>
      </c>
      <c r="R512" s="2" t="inlineStr"/>
    </row>
    <row r="513" ht="15" customHeight="1">
      <c r="A513" t="inlineStr">
        <is>
          <t>A 36-2026</t>
        </is>
      </c>
      <c r="B513" s="1" t="n">
        <v>46024.38886574074</v>
      </c>
      <c r="C513" s="1" t="n">
        <v>46163</v>
      </c>
      <c r="D513" t="inlineStr">
        <is>
          <t>GOTLANDS LÄN</t>
        </is>
      </c>
      <c r="E513" t="inlineStr">
        <is>
          <t>GOTLAND</t>
        </is>
      </c>
      <c r="G513" t="n">
        <v>1</v>
      </c>
      <c r="H513" t="n">
        <v>0</v>
      </c>
      <c r="I513" t="n">
        <v>0</v>
      </c>
      <c r="J513" t="n">
        <v>0</v>
      </c>
      <c r="K513" t="n">
        <v>0</v>
      </c>
      <c r="L513" t="n">
        <v>0</v>
      </c>
      <c r="M513" t="n">
        <v>0</v>
      </c>
      <c r="N513" t="n">
        <v>0</v>
      </c>
      <c r="O513" t="n">
        <v>0</v>
      </c>
      <c r="P513" t="n">
        <v>0</v>
      </c>
      <c r="Q513" t="n">
        <v>0</v>
      </c>
      <c r="R513" s="2" t="inlineStr"/>
    </row>
    <row r="514" ht="15" customHeight="1">
      <c r="A514" t="inlineStr">
        <is>
          <t>A 43200-2023</t>
        </is>
      </c>
      <c r="B514" s="1" t="n">
        <v>45183</v>
      </c>
      <c r="C514" s="1" t="n">
        <v>46163</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62674-2025</t>
        </is>
      </c>
      <c r="B515" s="1" t="n">
        <v>46008</v>
      </c>
      <c r="C515" s="1" t="n">
        <v>46163</v>
      </c>
      <c r="D515" t="inlineStr">
        <is>
          <t>GOTLANDS LÄN</t>
        </is>
      </c>
      <c r="E515" t="inlineStr">
        <is>
          <t>GOTLAND</t>
        </is>
      </c>
      <c r="G515" t="n">
        <v>5</v>
      </c>
      <c r="H515" t="n">
        <v>0</v>
      </c>
      <c r="I515" t="n">
        <v>0</v>
      </c>
      <c r="J515" t="n">
        <v>0</v>
      </c>
      <c r="K515" t="n">
        <v>0</v>
      </c>
      <c r="L515" t="n">
        <v>0</v>
      </c>
      <c r="M515" t="n">
        <v>0</v>
      </c>
      <c r="N515" t="n">
        <v>0</v>
      </c>
      <c r="O515" t="n">
        <v>0</v>
      </c>
      <c r="P515" t="n">
        <v>0</v>
      </c>
      <c r="Q515" t="n">
        <v>0</v>
      </c>
      <c r="R515" s="2" t="inlineStr"/>
    </row>
    <row r="516" ht="15" customHeight="1">
      <c r="A516" t="inlineStr">
        <is>
          <t>A 3935-2025</t>
        </is>
      </c>
      <c r="B516" s="1" t="n">
        <v>45684.46070601852</v>
      </c>
      <c r="C516" s="1" t="n">
        <v>46163</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21792-2024</t>
        </is>
      </c>
      <c r="B517" s="1" t="n">
        <v>45442.64326388889</v>
      </c>
      <c r="C517" s="1" t="n">
        <v>46163</v>
      </c>
      <c r="D517" t="inlineStr">
        <is>
          <t>GOTLANDS LÄN</t>
        </is>
      </c>
      <c r="E517" t="inlineStr">
        <is>
          <t>GOTLAND</t>
        </is>
      </c>
      <c r="G517" t="n">
        <v>1</v>
      </c>
      <c r="H517" t="n">
        <v>0</v>
      </c>
      <c r="I517" t="n">
        <v>0</v>
      </c>
      <c r="J517" t="n">
        <v>0</v>
      </c>
      <c r="K517" t="n">
        <v>0</v>
      </c>
      <c r="L517" t="n">
        <v>0</v>
      </c>
      <c r="M517" t="n">
        <v>0</v>
      </c>
      <c r="N517" t="n">
        <v>0</v>
      </c>
      <c r="O517" t="n">
        <v>0</v>
      </c>
      <c r="P517" t="n">
        <v>0</v>
      </c>
      <c r="Q517" t="n">
        <v>0</v>
      </c>
      <c r="R517" s="2" t="inlineStr"/>
    </row>
    <row r="518" ht="15" customHeight="1">
      <c r="A518" t="inlineStr">
        <is>
          <t>A 1355-2026</t>
        </is>
      </c>
      <c r="B518" s="1" t="n">
        <v>46031.59909722222</v>
      </c>
      <c r="C518" s="1" t="n">
        <v>46163</v>
      </c>
      <c r="D518" t="inlineStr">
        <is>
          <t>GOTLANDS LÄN</t>
        </is>
      </c>
      <c r="E518" t="inlineStr">
        <is>
          <t>GOTLAND</t>
        </is>
      </c>
      <c r="G518" t="n">
        <v>3.1</v>
      </c>
      <c r="H518" t="n">
        <v>0</v>
      </c>
      <c r="I518" t="n">
        <v>0</v>
      </c>
      <c r="J518" t="n">
        <v>0</v>
      </c>
      <c r="K518" t="n">
        <v>0</v>
      </c>
      <c r="L518" t="n">
        <v>0</v>
      </c>
      <c r="M518" t="n">
        <v>0</v>
      </c>
      <c r="N518" t="n">
        <v>0</v>
      </c>
      <c r="O518" t="n">
        <v>0</v>
      </c>
      <c r="P518" t="n">
        <v>0</v>
      </c>
      <c r="Q518" t="n">
        <v>0</v>
      </c>
      <c r="R518" s="2" t="inlineStr"/>
    </row>
    <row r="519" ht="15" customHeight="1">
      <c r="A519" t="inlineStr">
        <is>
          <t>A 62836-2025</t>
        </is>
      </c>
      <c r="B519" s="1" t="n">
        <v>46008</v>
      </c>
      <c r="C519" s="1" t="n">
        <v>46163</v>
      </c>
      <c r="D519" t="inlineStr">
        <is>
          <t>GOTLANDS LÄN</t>
        </is>
      </c>
      <c r="E519" t="inlineStr">
        <is>
          <t>GOTLAND</t>
        </is>
      </c>
      <c r="G519" t="n">
        <v>6.5</v>
      </c>
      <c r="H519" t="n">
        <v>0</v>
      </c>
      <c r="I519" t="n">
        <v>0</v>
      </c>
      <c r="J519" t="n">
        <v>0</v>
      </c>
      <c r="K519" t="n">
        <v>0</v>
      </c>
      <c r="L519" t="n">
        <v>0</v>
      </c>
      <c r="M519" t="n">
        <v>0</v>
      </c>
      <c r="N519" t="n">
        <v>0</v>
      </c>
      <c r="O519" t="n">
        <v>0</v>
      </c>
      <c r="P519" t="n">
        <v>0</v>
      </c>
      <c r="Q519" t="n">
        <v>0</v>
      </c>
      <c r="R519" s="2" t="inlineStr"/>
    </row>
    <row r="520" ht="15" customHeight="1">
      <c r="A520" t="inlineStr">
        <is>
          <t>A 22887-2026</t>
        </is>
      </c>
      <c r="B520" s="1" t="n">
        <v>46160.47591435185</v>
      </c>
      <c r="C520" s="1" t="n">
        <v>46163</v>
      </c>
      <c r="D520" t="inlineStr">
        <is>
          <t>GOTLANDS LÄN</t>
        </is>
      </c>
      <c r="E520" t="inlineStr">
        <is>
          <t>GOTLAND</t>
        </is>
      </c>
      <c r="G520" t="n">
        <v>3.6</v>
      </c>
      <c r="H520" t="n">
        <v>0</v>
      </c>
      <c r="I520" t="n">
        <v>0</v>
      </c>
      <c r="J520" t="n">
        <v>0</v>
      </c>
      <c r="K520" t="n">
        <v>0</v>
      </c>
      <c r="L520" t="n">
        <v>0</v>
      </c>
      <c r="M520" t="n">
        <v>0</v>
      </c>
      <c r="N520" t="n">
        <v>0</v>
      </c>
      <c r="O520" t="n">
        <v>0</v>
      </c>
      <c r="P520" t="n">
        <v>0</v>
      </c>
      <c r="Q520" t="n">
        <v>0</v>
      </c>
      <c r="R520" s="2" t="inlineStr"/>
    </row>
    <row r="521" ht="15" customHeight="1">
      <c r="A521" t="inlineStr">
        <is>
          <t>A 63152-2025</t>
        </is>
      </c>
      <c r="B521" s="1" t="n">
        <v>46010</v>
      </c>
      <c r="C521" s="1" t="n">
        <v>46163</v>
      </c>
      <c r="D521" t="inlineStr">
        <is>
          <t>GOTLANDS LÄN</t>
        </is>
      </c>
      <c r="E521" t="inlineStr">
        <is>
          <t>GOTLAND</t>
        </is>
      </c>
      <c r="G521" t="n">
        <v>1.5</v>
      </c>
      <c r="H521" t="n">
        <v>0</v>
      </c>
      <c r="I521" t="n">
        <v>0</v>
      </c>
      <c r="J521" t="n">
        <v>0</v>
      </c>
      <c r="K521" t="n">
        <v>0</v>
      </c>
      <c r="L521" t="n">
        <v>0</v>
      </c>
      <c r="M521" t="n">
        <v>0</v>
      </c>
      <c r="N521" t="n">
        <v>0</v>
      </c>
      <c r="O521" t="n">
        <v>0</v>
      </c>
      <c r="P521" t="n">
        <v>0</v>
      </c>
      <c r="Q521" t="n">
        <v>0</v>
      </c>
      <c r="R521" s="2" t="inlineStr"/>
    </row>
    <row r="522" ht="15" customHeight="1">
      <c r="A522" t="inlineStr">
        <is>
          <t>A 48843-2024</t>
        </is>
      </c>
      <c r="B522" s="1" t="n">
        <v>45593</v>
      </c>
      <c r="C522" s="1" t="n">
        <v>46163</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1898-2026</t>
        </is>
      </c>
      <c r="B523" s="1" t="n">
        <v>46035.52024305556</v>
      </c>
      <c r="C523" s="1" t="n">
        <v>46163</v>
      </c>
      <c r="D523" t="inlineStr">
        <is>
          <t>GOTLANDS LÄN</t>
        </is>
      </c>
      <c r="E523" t="inlineStr">
        <is>
          <t>GOTLAND</t>
        </is>
      </c>
      <c r="G523" t="n">
        <v>3.7</v>
      </c>
      <c r="H523" t="n">
        <v>0</v>
      </c>
      <c r="I523" t="n">
        <v>0</v>
      </c>
      <c r="J523" t="n">
        <v>0</v>
      </c>
      <c r="K523" t="n">
        <v>0</v>
      </c>
      <c r="L523" t="n">
        <v>0</v>
      </c>
      <c r="M523" t="n">
        <v>0</v>
      </c>
      <c r="N523" t="n">
        <v>0</v>
      </c>
      <c r="O523" t="n">
        <v>0</v>
      </c>
      <c r="P523" t="n">
        <v>0</v>
      </c>
      <c r="Q523" t="n">
        <v>0</v>
      </c>
      <c r="R523" s="2" t="inlineStr"/>
    </row>
    <row r="524" ht="15" customHeight="1">
      <c r="A524" t="inlineStr">
        <is>
          <t>A 10653-2023</t>
        </is>
      </c>
      <c r="B524" s="1" t="n">
        <v>44988.48859953704</v>
      </c>
      <c r="C524" s="1" t="n">
        <v>46163</v>
      </c>
      <c r="D524" t="inlineStr">
        <is>
          <t>GOTLANDS LÄN</t>
        </is>
      </c>
      <c r="E524" t="inlineStr">
        <is>
          <t>GOTLAND</t>
        </is>
      </c>
      <c r="F524" t="inlineStr">
        <is>
          <t>Kyrkan</t>
        </is>
      </c>
      <c r="G524" t="n">
        <v>3</v>
      </c>
      <c r="H524" t="n">
        <v>0</v>
      </c>
      <c r="I524" t="n">
        <v>0</v>
      </c>
      <c r="J524" t="n">
        <v>0</v>
      </c>
      <c r="K524" t="n">
        <v>0</v>
      </c>
      <c r="L524" t="n">
        <v>0</v>
      </c>
      <c r="M524" t="n">
        <v>0</v>
      </c>
      <c r="N524" t="n">
        <v>0</v>
      </c>
      <c r="O524" t="n">
        <v>0</v>
      </c>
      <c r="P524" t="n">
        <v>0</v>
      </c>
      <c r="Q524" t="n">
        <v>0</v>
      </c>
      <c r="R524" s="2" t="inlineStr"/>
    </row>
    <row r="525" ht="15" customHeight="1">
      <c r="A525" t="inlineStr">
        <is>
          <t>A 35512-2023</t>
        </is>
      </c>
      <c r="B525" s="1" t="n">
        <v>45147.25623842593</v>
      </c>
      <c r="C525" s="1" t="n">
        <v>46163</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11874-2024</t>
        </is>
      </c>
      <c r="B526" s="1" t="n">
        <v>45376.46956018519</v>
      </c>
      <c r="C526" s="1" t="n">
        <v>46163</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5863-2026</t>
        </is>
      </c>
      <c r="B527" s="1" t="n">
        <v>46052</v>
      </c>
      <c r="C527" s="1" t="n">
        <v>46163</v>
      </c>
      <c r="D527" t="inlineStr">
        <is>
          <t>GOTLANDS LÄN</t>
        </is>
      </c>
      <c r="E527" t="inlineStr">
        <is>
          <t>GOTLAND</t>
        </is>
      </c>
      <c r="G527" t="n">
        <v>1.8</v>
      </c>
      <c r="H527" t="n">
        <v>0</v>
      </c>
      <c r="I527" t="n">
        <v>0</v>
      </c>
      <c r="J527" t="n">
        <v>0</v>
      </c>
      <c r="K527" t="n">
        <v>0</v>
      </c>
      <c r="L527" t="n">
        <v>0</v>
      </c>
      <c r="M527" t="n">
        <v>0</v>
      </c>
      <c r="N527" t="n">
        <v>0</v>
      </c>
      <c r="O527" t="n">
        <v>0</v>
      </c>
      <c r="P527" t="n">
        <v>0</v>
      </c>
      <c r="Q527" t="n">
        <v>0</v>
      </c>
      <c r="R527" s="2" t="inlineStr"/>
    </row>
    <row r="528" ht="15" customHeight="1">
      <c r="A528" t="inlineStr">
        <is>
          <t>A 2415-2026</t>
        </is>
      </c>
      <c r="B528" s="1" t="n">
        <v>46036.76203703704</v>
      </c>
      <c r="C528" s="1" t="n">
        <v>46163</v>
      </c>
      <c r="D528" t="inlineStr">
        <is>
          <t>GOTLANDS LÄN</t>
        </is>
      </c>
      <c r="E528" t="inlineStr">
        <is>
          <t>GOTLAND</t>
        </is>
      </c>
      <c r="G528" t="n">
        <v>6.9</v>
      </c>
      <c r="H528" t="n">
        <v>0</v>
      </c>
      <c r="I528" t="n">
        <v>0</v>
      </c>
      <c r="J528" t="n">
        <v>0</v>
      </c>
      <c r="K528" t="n">
        <v>0</v>
      </c>
      <c r="L528" t="n">
        <v>0</v>
      </c>
      <c r="M528" t="n">
        <v>0</v>
      </c>
      <c r="N528" t="n">
        <v>0</v>
      </c>
      <c r="O528" t="n">
        <v>0</v>
      </c>
      <c r="P528" t="n">
        <v>0</v>
      </c>
      <c r="Q528" t="n">
        <v>0</v>
      </c>
      <c r="R528" s="2" t="inlineStr"/>
    </row>
    <row r="529" ht="15" customHeight="1">
      <c r="A529" t="inlineStr">
        <is>
          <t>A 3253-2026</t>
        </is>
      </c>
      <c r="B529" s="1" t="n">
        <v>46041.58902777778</v>
      </c>
      <c r="C529" s="1" t="n">
        <v>46163</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20225-2025</t>
        </is>
      </c>
      <c r="B530" s="1" t="n">
        <v>45772.65802083333</v>
      </c>
      <c r="C530" s="1" t="n">
        <v>46163</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1677-2023</t>
        </is>
      </c>
      <c r="B531" s="1" t="n">
        <v>44938</v>
      </c>
      <c r="C531" s="1" t="n">
        <v>46163</v>
      </c>
      <c r="D531" t="inlineStr">
        <is>
          <t>GOTLANDS LÄN</t>
        </is>
      </c>
      <c r="E531" t="inlineStr">
        <is>
          <t>GOTLAND</t>
        </is>
      </c>
      <c r="G531" t="n">
        <v>1.6</v>
      </c>
      <c r="H531" t="n">
        <v>0</v>
      </c>
      <c r="I531" t="n">
        <v>0</v>
      </c>
      <c r="J531" t="n">
        <v>0</v>
      </c>
      <c r="K531" t="n">
        <v>0</v>
      </c>
      <c r="L531" t="n">
        <v>0</v>
      </c>
      <c r="M531" t="n">
        <v>0</v>
      </c>
      <c r="N531" t="n">
        <v>0</v>
      </c>
      <c r="O531" t="n">
        <v>0</v>
      </c>
      <c r="P531" t="n">
        <v>0</v>
      </c>
      <c r="Q531" t="n">
        <v>0</v>
      </c>
      <c r="R531" s="2" t="inlineStr"/>
    </row>
    <row r="532" ht="15" customHeight="1">
      <c r="A532" t="inlineStr">
        <is>
          <t>A 64831-2023</t>
        </is>
      </c>
      <c r="B532" s="1" t="n">
        <v>45282.44924768519</v>
      </c>
      <c r="C532" s="1" t="n">
        <v>46163</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8036-2022</t>
        </is>
      </c>
      <c r="B533" s="1" t="n">
        <v>44609.44362268518</v>
      </c>
      <c r="C533" s="1" t="n">
        <v>46163</v>
      </c>
      <c r="D533" t="inlineStr">
        <is>
          <t>GOTLANDS LÄN</t>
        </is>
      </c>
      <c r="E533" t="inlineStr">
        <is>
          <t>GOTLAND</t>
        </is>
      </c>
      <c r="G533" t="n">
        <v>6.1</v>
      </c>
      <c r="H533" t="n">
        <v>0</v>
      </c>
      <c r="I533" t="n">
        <v>0</v>
      </c>
      <c r="J533" t="n">
        <v>0</v>
      </c>
      <c r="K533" t="n">
        <v>0</v>
      </c>
      <c r="L533" t="n">
        <v>0</v>
      </c>
      <c r="M533" t="n">
        <v>0</v>
      </c>
      <c r="N533" t="n">
        <v>0</v>
      </c>
      <c r="O533" t="n">
        <v>0</v>
      </c>
      <c r="P533" t="n">
        <v>0</v>
      </c>
      <c r="Q533" t="n">
        <v>0</v>
      </c>
      <c r="R533" s="2" t="inlineStr"/>
    </row>
    <row r="534" ht="15" customHeight="1">
      <c r="A534" t="inlineStr">
        <is>
          <t>A 23103-2026</t>
        </is>
      </c>
      <c r="B534" s="1" t="n">
        <v>46161.57108796296</v>
      </c>
      <c r="C534" s="1" t="n">
        <v>46163</v>
      </c>
      <c r="D534" t="inlineStr">
        <is>
          <t>GOTLANDS LÄN</t>
        </is>
      </c>
      <c r="E534" t="inlineStr">
        <is>
          <t>GOTLAND</t>
        </is>
      </c>
      <c r="G534" t="n">
        <v>2.3</v>
      </c>
      <c r="H534" t="n">
        <v>0</v>
      </c>
      <c r="I534" t="n">
        <v>0</v>
      </c>
      <c r="J534" t="n">
        <v>0</v>
      </c>
      <c r="K534" t="n">
        <v>0</v>
      </c>
      <c r="L534" t="n">
        <v>0</v>
      </c>
      <c r="M534" t="n">
        <v>0</v>
      </c>
      <c r="N534" t="n">
        <v>0</v>
      </c>
      <c r="O534" t="n">
        <v>0</v>
      </c>
      <c r="P534" t="n">
        <v>0</v>
      </c>
      <c r="Q534" t="n">
        <v>0</v>
      </c>
      <c r="R534" s="2" t="inlineStr"/>
    </row>
    <row r="535" ht="15" customHeight="1">
      <c r="A535" t="inlineStr">
        <is>
          <t>A 46375-2024</t>
        </is>
      </c>
      <c r="B535" s="1" t="n">
        <v>45582</v>
      </c>
      <c r="C535" s="1" t="n">
        <v>46163</v>
      </c>
      <c r="D535" t="inlineStr">
        <is>
          <t>GOTLANDS LÄN</t>
        </is>
      </c>
      <c r="E535" t="inlineStr">
        <is>
          <t>GOTLAND</t>
        </is>
      </c>
      <c r="G535" t="n">
        <v>3</v>
      </c>
      <c r="H535" t="n">
        <v>0</v>
      </c>
      <c r="I535" t="n">
        <v>0</v>
      </c>
      <c r="J535" t="n">
        <v>0</v>
      </c>
      <c r="K535" t="n">
        <v>0</v>
      </c>
      <c r="L535" t="n">
        <v>0</v>
      </c>
      <c r="M535" t="n">
        <v>0</v>
      </c>
      <c r="N535" t="n">
        <v>0</v>
      </c>
      <c r="O535" t="n">
        <v>0</v>
      </c>
      <c r="P535" t="n">
        <v>0</v>
      </c>
      <c r="Q535" t="n">
        <v>0</v>
      </c>
      <c r="R535" s="2" t="inlineStr"/>
    </row>
    <row r="536" ht="15" customHeight="1">
      <c r="A536" t="inlineStr">
        <is>
          <t>A 62915-2021</t>
        </is>
      </c>
      <c r="B536" s="1" t="n">
        <v>44504</v>
      </c>
      <c r="C536" s="1" t="n">
        <v>46163</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7638-2025</t>
        </is>
      </c>
      <c r="B537" s="1" t="n">
        <v>45705.77306712963</v>
      </c>
      <c r="C537" s="1" t="n">
        <v>46163</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1839-2026</t>
        </is>
      </c>
      <c r="B538" s="1" t="n">
        <v>46035.3942824074</v>
      </c>
      <c r="C538" s="1" t="n">
        <v>46163</v>
      </c>
      <c r="D538" t="inlineStr">
        <is>
          <t>GOTLANDS LÄN</t>
        </is>
      </c>
      <c r="E538" t="inlineStr">
        <is>
          <t>GOTLAND</t>
        </is>
      </c>
      <c r="G538" t="n">
        <v>3.5</v>
      </c>
      <c r="H538" t="n">
        <v>0</v>
      </c>
      <c r="I538" t="n">
        <v>0</v>
      </c>
      <c r="J538" t="n">
        <v>0</v>
      </c>
      <c r="K538" t="n">
        <v>0</v>
      </c>
      <c r="L538" t="n">
        <v>0</v>
      </c>
      <c r="M538" t="n">
        <v>0</v>
      </c>
      <c r="N538" t="n">
        <v>0</v>
      </c>
      <c r="O538" t="n">
        <v>0</v>
      </c>
      <c r="P538" t="n">
        <v>0</v>
      </c>
      <c r="Q538" t="n">
        <v>0</v>
      </c>
      <c r="R538" s="2" t="inlineStr"/>
    </row>
    <row r="539" ht="15" customHeight="1">
      <c r="A539" t="inlineStr">
        <is>
          <t>A 4377-2023</t>
        </is>
      </c>
      <c r="B539" s="1" t="n">
        <v>44955.5502662037</v>
      </c>
      <c r="C539" s="1" t="n">
        <v>46163</v>
      </c>
      <c r="D539" t="inlineStr">
        <is>
          <t>GOTLANDS LÄN</t>
        </is>
      </c>
      <c r="E539" t="inlineStr">
        <is>
          <t>GOTLAND</t>
        </is>
      </c>
      <c r="F539" t="inlineStr">
        <is>
          <t>Kyrkan</t>
        </is>
      </c>
      <c r="G539" t="n">
        <v>0.6</v>
      </c>
      <c r="H539" t="n">
        <v>0</v>
      </c>
      <c r="I539" t="n">
        <v>0</v>
      </c>
      <c r="J539" t="n">
        <v>0</v>
      </c>
      <c r="K539" t="n">
        <v>0</v>
      </c>
      <c r="L539" t="n">
        <v>0</v>
      </c>
      <c r="M539" t="n">
        <v>0</v>
      </c>
      <c r="N539" t="n">
        <v>0</v>
      </c>
      <c r="O539" t="n">
        <v>0</v>
      </c>
      <c r="P539" t="n">
        <v>0</v>
      </c>
      <c r="Q539" t="n">
        <v>0</v>
      </c>
      <c r="R539" s="2" t="inlineStr"/>
    </row>
    <row r="540" ht="15" customHeight="1">
      <c r="A540" t="inlineStr">
        <is>
          <t>A 4646-2026</t>
        </is>
      </c>
      <c r="B540" s="1" t="n">
        <v>46048.40357638889</v>
      </c>
      <c r="C540" s="1" t="n">
        <v>46163</v>
      </c>
      <c r="D540" t="inlineStr">
        <is>
          <t>GOTLANDS LÄN</t>
        </is>
      </c>
      <c r="E540" t="inlineStr">
        <is>
          <t>GOTLAND</t>
        </is>
      </c>
      <c r="G540" t="n">
        <v>2.7</v>
      </c>
      <c r="H540" t="n">
        <v>0</v>
      </c>
      <c r="I540" t="n">
        <v>0</v>
      </c>
      <c r="J540" t="n">
        <v>0</v>
      </c>
      <c r="K540" t="n">
        <v>0</v>
      </c>
      <c r="L540" t="n">
        <v>0</v>
      </c>
      <c r="M540" t="n">
        <v>0</v>
      </c>
      <c r="N540" t="n">
        <v>0</v>
      </c>
      <c r="O540" t="n">
        <v>0</v>
      </c>
      <c r="P540" t="n">
        <v>0</v>
      </c>
      <c r="Q540" t="n">
        <v>0</v>
      </c>
      <c r="R540" s="2" t="inlineStr"/>
    </row>
    <row r="541" ht="15" customHeight="1">
      <c r="A541" t="inlineStr">
        <is>
          <t>A 4634-2026</t>
        </is>
      </c>
      <c r="B541" s="1" t="n">
        <v>46048.39304398148</v>
      </c>
      <c r="C541" s="1" t="n">
        <v>46163</v>
      </c>
      <c r="D541" t="inlineStr">
        <is>
          <t>GOTLANDS LÄN</t>
        </is>
      </c>
      <c r="E541" t="inlineStr">
        <is>
          <t>GOTLAND</t>
        </is>
      </c>
      <c r="G541" t="n">
        <v>7.8</v>
      </c>
      <c r="H541" t="n">
        <v>0</v>
      </c>
      <c r="I541" t="n">
        <v>0</v>
      </c>
      <c r="J541" t="n">
        <v>0</v>
      </c>
      <c r="K541" t="n">
        <v>0</v>
      </c>
      <c r="L541" t="n">
        <v>0</v>
      </c>
      <c r="M541" t="n">
        <v>0</v>
      </c>
      <c r="N541" t="n">
        <v>0</v>
      </c>
      <c r="O541" t="n">
        <v>0</v>
      </c>
      <c r="P541" t="n">
        <v>0</v>
      </c>
      <c r="Q541" t="n">
        <v>0</v>
      </c>
      <c r="R541" s="2" t="inlineStr"/>
    </row>
    <row r="542" ht="15" customHeight="1">
      <c r="A542" t="inlineStr">
        <is>
          <t>A 4670-2026</t>
        </is>
      </c>
      <c r="B542" s="1" t="n">
        <v>46048.41733796296</v>
      </c>
      <c r="C542" s="1" t="n">
        <v>46163</v>
      </c>
      <c r="D542" t="inlineStr">
        <is>
          <t>GOTLANDS LÄN</t>
        </is>
      </c>
      <c r="E542" t="inlineStr">
        <is>
          <t>GOTLAND</t>
        </is>
      </c>
      <c r="G542" t="n">
        <v>1.7</v>
      </c>
      <c r="H542" t="n">
        <v>0</v>
      </c>
      <c r="I542" t="n">
        <v>0</v>
      </c>
      <c r="J542" t="n">
        <v>0</v>
      </c>
      <c r="K542" t="n">
        <v>0</v>
      </c>
      <c r="L542" t="n">
        <v>0</v>
      </c>
      <c r="M542" t="n">
        <v>0</v>
      </c>
      <c r="N542" t="n">
        <v>0</v>
      </c>
      <c r="O542" t="n">
        <v>0</v>
      </c>
      <c r="P542" t="n">
        <v>0</v>
      </c>
      <c r="Q542" t="n">
        <v>0</v>
      </c>
      <c r="R542" s="2" t="inlineStr"/>
    </row>
    <row r="543" ht="15" customHeight="1">
      <c r="A543" t="inlineStr">
        <is>
          <t>A 43901-2023</t>
        </is>
      </c>
      <c r="B543" s="1" t="n">
        <v>45187</v>
      </c>
      <c r="C543" s="1" t="n">
        <v>46163</v>
      </c>
      <c r="D543" t="inlineStr">
        <is>
          <t>GOTLANDS LÄN</t>
        </is>
      </c>
      <c r="E543" t="inlineStr">
        <is>
          <t>GOTLAND</t>
        </is>
      </c>
      <c r="G543" t="n">
        <v>5.4</v>
      </c>
      <c r="H543" t="n">
        <v>0</v>
      </c>
      <c r="I543" t="n">
        <v>0</v>
      </c>
      <c r="J543" t="n">
        <v>0</v>
      </c>
      <c r="K543" t="n">
        <v>0</v>
      </c>
      <c r="L543" t="n">
        <v>0</v>
      </c>
      <c r="M543" t="n">
        <v>0</v>
      </c>
      <c r="N543" t="n">
        <v>0</v>
      </c>
      <c r="O543" t="n">
        <v>0</v>
      </c>
      <c r="P543" t="n">
        <v>0</v>
      </c>
      <c r="Q543" t="n">
        <v>0</v>
      </c>
      <c r="R543" s="2" t="inlineStr"/>
    </row>
    <row r="544" ht="15" customHeight="1">
      <c r="A544" t="inlineStr">
        <is>
          <t>A 17532-2024</t>
        </is>
      </c>
      <c r="B544" s="1" t="n">
        <v>45415</v>
      </c>
      <c r="C544" s="1" t="n">
        <v>46163</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45692-2023</t>
        </is>
      </c>
      <c r="B545" s="1" t="n">
        <v>45195</v>
      </c>
      <c r="C545" s="1" t="n">
        <v>46163</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37222-2021</t>
        </is>
      </c>
      <c r="B546" s="1" t="n">
        <v>44396</v>
      </c>
      <c r="C546" s="1" t="n">
        <v>46163</v>
      </c>
      <c r="D546" t="inlineStr">
        <is>
          <t>GOTLANDS LÄN</t>
        </is>
      </c>
      <c r="E546" t="inlineStr">
        <is>
          <t>GOTLAND</t>
        </is>
      </c>
      <c r="G546" t="n">
        <v>3</v>
      </c>
      <c r="H546" t="n">
        <v>0</v>
      </c>
      <c r="I546" t="n">
        <v>0</v>
      </c>
      <c r="J546" t="n">
        <v>0</v>
      </c>
      <c r="K546" t="n">
        <v>0</v>
      </c>
      <c r="L546" t="n">
        <v>0</v>
      </c>
      <c r="M546" t="n">
        <v>0</v>
      </c>
      <c r="N546" t="n">
        <v>0</v>
      </c>
      <c r="O546" t="n">
        <v>0</v>
      </c>
      <c r="P546" t="n">
        <v>0</v>
      </c>
      <c r="Q546" t="n">
        <v>0</v>
      </c>
      <c r="R546" s="2" t="inlineStr"/>
    </row>
    <row r="547" ht="15" customHeight="1">
      <c r="A547" t="inlineStr">
        <is>
          <t>A 46396-2023</t>
        </is>
      </c>
      <c r="B547" s="1" t="n">
        <v>45197</v>
      </c>
      <c r="C547" s="1" t="n">
        <v>46163</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58388-2022</t>
        </is>
      </c>
      <c r="B548" s="1" t="n">
        <v>44894</v>
      </c>
      <c r="C548" s="1" t="n">
        <v>46163</v>
      </c>
      <c r="D548" t="inlineStr">
        <is>
          <t>GOTLANDS LÄN</t>
        </is>
      </c>
      <c r="E548" t="inlineStr">
        <is>
          <t>GOTLAND</t>
        </is>
      </c>
      <c r="F548" t="inlineStr">
        <is>
          <t>Övriga statliga verk och myndigheter</t>
        </is>
      </c>
      <c r="G548" t="n">
        <v>3.1</v>
      </c>
      <c r="H548" t="n">
        <v>0</v>
      </c>
      <c r="I548" t="n">
        <v>0</v>
      </c>
      <c r="J548" t="n">
        <v>0</v>
      </c>
      <c r="K548" t="n">
        <v>0</v>
      </c>
      <c r="L548" t="n">
        <v>0</v>
      </c>
      <c r="M548" t="n">
        <v>0</v>
      </c>
      <c r="N548" t="n">
        <v>0</v>
      </c>
      <c r="O548" t="n">
        <v>0</v>
      </c>
      <c r="P548" t="n">
        <v>0</v>
      </c>
      <c r="Q548" t="n">
        <v>0</v>
      </c>
      <c r="R548" s="2" t="inlineStr"/>
    </row>
    <row r="549" ht="15" customHeight="1">
      <c r="A549" t="inlineStr">
        <is>
          <t>A 6207-2026</t>
        </is>
      </c>
      <c r="B549" s="1" t="n">
        <v>46055.42083333333</v>
      </c>
      <c r="C549" s="1" t="n">
        <v>46163</v>
      </c>
      <c r="D549" t="inlineStr">
        <is>
          <t>GOTLANDS LÄN</t>
        </is>
      </c>
      <c r="E549" t="inlineStr">
        <is>
          <t>GOTLAND</t>
        </is>
      </c>
      <c r="G549" t="n">
        <v>7.6</v>
      </c>
      <c r="H549" t="n">
        <v>0</v>
      </c>
      <c r="I549" t="n">
        <v>0</v>
      </c>
      <c r="J549" t="n">
        <v>0</v>
      </c>
      <c r="K549" t="n">
        <v>0</v>
      </c>
      <c r="L549" t="n">
        <v>0</v>
      </c>
      <c r="M549" t="n">
        <v>0</v>
      </c>
      <c r="N549" t="n">
        <v>0</v>
      </c>
      <c r="O549" t="n">
        <v>0</v>
      </c>
      <c r="P549" t="n">
        <v>0</v>
      </c>
      <c r="Q549" t="n">
        <v>0</v>
      </c>
      <c r="R549" s="2" t="inlineStr"/>
    </row>
    <row r="550" ht="15" customHeight="1">
      <c r="A550" t="inlineStr">
        <is>
          <t>A 6218-2026</t>
        </is>
      </c>
      <c r="B550" s="1" t="n">
        <v>46055.42859953704</v>
      </c>
      <c r="C550" s="1" t="n">
        <v>46163</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6959-2026</t>
        </is>
      </c>
      <c r="B551" s="1" t="n">
        <v>46057.580625</v>
      </c>
      <c r="C551" s="1" t="n">
        <v>46163</v>
      </c>
      <c r="D551" t="inlineStr">
        <is>
          <t>GOTLANDS LÄN</t>
        </is>
      </c>
      <c r="E551" t="inlineStr">
        <is>
          <t>GOTLAND</t>
        </is>
      </c>
      <c r="F551" t="inlineStr">
        <is>
          <t>Kyrkan</t>
        </is>
      </c>
      <c r="G551" t="n">
        <v>1.2</v>
      </c>
      <c r="H551" t="n">
        <v>0</v>
      </c>
      <c r="I551" t="n">
        <v>0</v>
      </c>
      <c r="J551" t="n">
        <v>0</v>
      </c>
      <c r="K551" t="n">
        <v>0</v>
      </c>
      <c r="L551" t="n">
        <v>0</v>
      </c>
      <c r="M551" t="n">
        <v>0</v>
      </c>
      <c r="N551" t="n">
        <v>0</v>
      </c>
      <c r="O551" t="n">
        <v>0</v>
      </c>
      <c r="P551" t="n">
        <v>0</v>
      </c>
      <c r="Q551" t="n">
        <v>0</v>
      </c>
      <c r="R551" s="2" t="inlineStr"/>
    </row>
    <row r="552" ht="15" customHeight="1">
      <c r="A552" t="inlineStr">
        <is>
          <t>A 6960-2026</t>
        </is>
      </c>
      <c r="B552" s="1" t="n">
        <v>46057.58105324074</v>
      </c>
      <c r="C552" s="1" t="n">
        <v>46163</v>
      </c>
      <c r="D552" t="inlineStr">
        <is>
          <t>GOTLANDS LÄN</t>
        </is>
      </c>
      <c r="E552" t="inlineStr">
        <is>
          <t>GOTLAND</t>
        </is>
      </c>
      <c r="F552" t="inlineStr">
        <is>
          <t>Kyrkan</t>
        </is>
      </c>
      <c r="G552" t="n">
        <v>2.4</v>
      </c>
      <c r="H552" t="n">
        <v>0</v>
      </c>
      <c r="I552" t="n">
        <v>0</v>
      </c>
      <c r="J552" t="n">
        <v>0</v>
      </c>
      <c r="K552" t="n">
        <v>0</v>
      </c>
      <c r="L552" t="n">
        <v>0</v>
      </c>
      <c r="M552" t="n">
        <v>0</v>
      </c>
      <c r="N552" t="n">
        <v>0</v>
      </c>
      <c r="O552" t="n">
        <v>0</v>
      </c>
      <c r="P552" t="n">
        <v>0</v>
      </c>
      <c r="Q552" t="n">
        <v>0</v>
      </c>
      <c r="R552" s="2" t="inlineStr"/>
    </row>
    <row r="553" ht="15" customHeight="1">
      <c r="A553" t="inlineStr">
        <is>
          <t>A 53934-2024</t>
        </is>
      </c>
      <c r="B553" s="1" t="n">
        <v>45615</v>
      </c>
      <c r="C553" s="1" t="n">
        <v>46163</v>
      </c>
      <c r="D553" t="inlineStr">
        <is>
          <t>GOTLANDS LÄN</t>
        </is>
      </c>
      <c r="E553" t="inlineStr">
        <is>
          <t>GOTLAND</t>
        </is>
      </c>
      <c r="G553" t="n">
        <v>5</v>
      </c>
      <c r="H553" t="n">
        <v>0</v>
      </c>
      <c r="I553" t="n">
        <v>0</v>
      </c>
      <c r="J553" t="n">
        <v>0</v>
      </c>
      <c r="K553" t="n">
        <v>0</v>
      </c>
      <c r="L553" t="n">
        <v>0</v>
      </c>
      <c r="M553" t="n">
        <v>0</v>
      </c>
      <c r="N553" t="n">
        <v>0</v>
      </c>
      <c r="O553" t="n">
        <v>0</v>
      </c>
      <c r="P553" t="n">
        <v>0</v>
      </c>
      <c r="Q553" t="n">
        <v>0</v>
      </c>
      <c r="R553" s="2" t="inlineStr"/>
    </row>
    <row r="554" ht="15" customHeight="1">
      <c r="A554" t="inlineStr">
        <is>
          <t>A 58132-2023</t>
        </is>
      </c>
      <c r="B554" s="1" t="n">
        <v>45250</v>
      </c>
      <c r="C554" s="1" t="n">
        <v>46163</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22899-2023</t>
        </is>
      </c>
      <c r="B555" s="1" t="n">
        <v>45072</v>
      </c>
      <c r="C555" s="1" t="n">
        <v>46163</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28285-2024</t>
        </is>
      </c>
      <c r="B556" s="1" t="n">
        <v>45477</v>
      </c>
      <c r="C556" s="1" t="n">
        <v>46163</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51963-2024</t>
        </is>
      </c>
      <c r="B557" s="1" t="n">
        <v>45607.64833333333</v>
      </c>
      <c r="C557" s="1" t="n">
        <v>46163</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1734-2025</t>
        </is>
      </c>
      <c r="B558" s="1" t="n">
        <v>45671.3840625</v>
      </c>
      <c r="C558" s="1" t="n">
        <v>46163</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30365-2024</t>
        </is>
      </c>
      <c r="B559" s="1" t="n">
        <v>45491.3716087963</v>
      </c>
      <c r="C559" s="1" t="n">
        <v>46163</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2674-2023</t>
        </is>
      </c>
      <c r="B560" s="1" t="n">
        <v>44944</v>
      </c>
      <c r="C560" s="1" t="n">
        <v>46163</v>
      </c>
      <c r="D560" t="inlineStr">
        <is>
          <t>GOTLANDS LÄN</t>
        </is>
      </c>
      <c r="E560" t="inlineStr">
        <is>
          <t>GOTLAND</t>
        </is>
      </c>
      <c r="G560" t="n">
        <v>2.5</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46163</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46163</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10655-2023</t>
        </is>
      </c>
      <c r="B563" s="1" t="n">
        <v>44988.49543981482</v>
      </c>
      <c r="C563" s="1" t="n">
        <v>46163</v>
      </c>
      <c r="D563" t="inlineStr">
        <is>
          <t>GOTLANDS LÄN</t>
        </is>
      </c>
      <c r="E563" t="inlineStr">
        <is>
          <t>GOTLAND</t>
        </is>
      </c>
      <c r="F563" t="inlineStr">
        <is>
          <t>Kyrkan</t>
        </is>
      </c>
      <c r="G563" t="n">
        <v>2</v>
      </c>
      <c r="H563" t="n">
        <v>0</v>
      </c>
      <c r="I563" t="n">
        <v>0</v>
      </c>
      <c r="J563" t="n">
        <v>0</v>
      </c>
      <c r="K563" t="n">
        <v>0</v>
      </c>
      <c r="L563" t="n">
        <v>0</v>
      </c>
      <c r="M563" t="n">
        <v>0</v>
      </c>
      <c r="N563" t="n">
        <v>0</v>
      </c>
      <c r="O563" t="n">
        <v>0</v>
      </c>
      <c r="P563" t="n">
        <v>0</v>
      </c>
      <c r="Q563" t="n">
        <v>0</v>
      </c>
      <c r="R563" s="2" t="inlineStr"/>
    </row>
    <row r="564" ht="15" customHeight="1">
      <c r="A564" t="inlineStr">
        <is>
          <t>A 44649-2021</t>
        </is>
      </c>
      <c r="B564" s="1" t="n">
        <v>44437</v>
      </c>
      <c r="C564" s="1" t="n">
        <v>46163</v>
      </c>
      <c r="D564" t="inlineStr">
        <is>
          <t>GOTLANDS LÄN</t>
        </is>
      </c>
      <c r="E564" t="inlineStr">
        <is>
          <t>GOTLAND</t>
        </is>
      </c>
      <c r="G564" t="n">
        <v>8.1</v>
      </c>
      <c r="H564" t="n">
        <v>0</v>
      </c>
      <c r="I564" t="n">
        <v>0</v>
      </c>
      <c r="J564" t="n">
        <v>0</v>
      </c>
      <c r="K564" t="n">
        <v>0</v>
      </c>
      <c r="L564" t="n">
        <v>0</v>
      </c>
      <c r="M564" t="n">
        <v>0</v>
      </c>
      <c r="N564" t="n">
        <v>0</v>
      </c>
      <c r="O564" t="n">
        <v>0</v>
      </c>
      <c r="P564" t="n">
        <v>0</v>
      </c>
      <c r="Q564" t="n">
        <v>0</v>
      </c>
      <c r="R564" s="2" t="inlineStr"/>
    </row>
    <row r="565" ht="15" customHeight="1">
      <c r="A565" t="inlineStr">
        <is>
          <t>A 8484-2025</t>
        </is>
      </c>
      <c r="B565" s="1" t="n">
        <v>45709</v>
      </c>
      <c r="C565" s="1" t="n">
        <v>46163</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49962-2023</t>
        </is>
      </c>
      <c r="B566" s="1" t="n">
        <v>45215.38775462963</v>
      </c>
      <c r="C566" s="1" t="n">
        <v>46163</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50744-2024</t>
        </is>
      </c>
      <c r="B567" s="1" t="n">
        <v>45602.4187037037</v>
      </c>
      <c r="C567" s="1" t="n">
        <v>46163</v>
      </c>
      <c r="D567" t="inlineStr">
        <is>
          <t>GOTLANDS LÄN</t>
        </is>
      </c>
      <c r="E567" t="inlineStr">
        <is>
          <t>GOTLAND</t>
        </is>
      </c>
      <c r="G567" t="n">
        <v>3.2</v>
      </c>
      <c r="H567" t="n">
        <v>0</v>
      </c>
      <c r="I567" t="n">
        <v>0</v>
      </c>
      <c r="J567" t="n">
        <v>0</v>
      </c>
      <c r="K567" t="n">
        <v>0</v>
      </c>
      <c r="L567" t="n">
        <v>0</v>
      </c>
      <c r="M567" t="n">
        <v>0</v>
      </c>
      <c r="N567" t="n">
        <v>0</v>
      </c>
      <c r="O567" t="n">
        <v>0</v>
      </c>
      <c r="P567" t="n">
        <v>0</v>
      </c>
      <c r="Q567" t="n">
        <v>0</v>
      </c>
      <c r="R567" s="2" t="inlineStr"/>
    </row>
    <row r="568" ht="15" customHeight="1">
      <c r="A568" t="inlineStr">
        <is>
          <t>A 45244-2024</t>
        </is>
      </c>
      <c r="B568" s="1" t="n">
        <v>45576</v>
      </c>
      <c r="C568" s="1" t="n">
        <v>46163</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38787-2023</t>
        </is>
      </c>
      <c r="B569" s="1" t="n">
        <v>45163</v>
      </c>
      <c r="C569" s="1" t="n">
        <v>46163</v>
      </c>
      <c r="D569" t="inlineStr">
        <is>
          <t>GOTLANDS LÄN</t>
        </is>
      </c>
      <c r="E569" t="inlineStr">
        <is>
          <t>GOTLAND</t>
        </is>
      </c>
      <c r="G569" t="n">
        <v>0.4</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44944.54896990741</v>
      </c>
      <c r="C570" s="1" t="n">
        <v>46163</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22897-2023</t>
        </is>
      </c>
      <c r="B571" s="1" t="n">
        <v>45072.55239583334</v>
      </c>
      <c r="C571" s="1" t="n">
        <v>46163</v>
      </c>
      <c r="D571" t="inlineStr">
        <is>
          <t>GOTLANDS LÄN</t>
        </is>
      </c>
      <c r="E571" t="inlineStr">
        <is>
          <t>GOTLAND</t>
        </is>
      </c>
      <c r="G571" t="n">
        <v>1.1</v>
      </c>
      <c r="H571" t="n">
        <v>0</v>
      </c>
      <c r="I571" t="n">
        <v>0</v>
      </c>
      <c r="J571" t="n">
        <v>0</v>
      </c>
      <c r="K571" t="n">
        <v>0</v>
      </c>
      <c r="L571" t="n">
        <v>0</v>
      </c>
      <c r="M571" t="n">
        <v>0</v>
      </c>
      <c r="N571" t="n">
        <v>0</v>
      </c>
      <c r="O571" t="n">
        <v>0</v>
      </c>
      <c r="P571" t="n">
        <v>0</v>
      </c>
      <c r="Q571" t="n">
        <v>0</v>
      </c>
      <c r="R571" s="2" t="inlineStr"/>
    </row>
    <row r="572" ht="15" customHeight="1">
      <c r="A572" t="inlineStr">
        <is>
          <t>A 4568-2025</t>
        </is>
      </c>
      <c r="B572" s="1" t="n">
        <v>45687</v>
      </c>
      <c r="C572" s="1" t="n">
        <v>46163</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1681-2023</t>
        </is>
      </c>
      <c r="B573" s="1" t="n">
        <v>44938.39715277778</v>
      </c>
      <c r="C573" s="1" t="n">
        <v>46163</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42338-2023</t>
        </is>
      </c>
      <c r="B574" s="1" t="n">
        <v>45180</v>
      </c>
      <c r="C574" s="1" t="n">
        <v>46163</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18918-2025</t>
        </is>
      </c>
      <c r="B575" s="1" t="n">
        <v>45764</v>
      </c>
      <c r="C575" s="1" t="n">
        <v>46163</v>
      </c>
      <c r="D575" t="inlineStr">
        <is>
          <t>GOTLANDS LÄN</t>
        </is>
      </c>
      <c r="E575" t="inlineStr">
        <is>
          <t>GOTLAND</t>
        </is>
      </c>
      <c r="G575" t="n">
        <v>1.7</v>
      </c>
      <c r="H575" t="n">
        <v>0</v>
      </c>
      <c r="I575" t="n">
        <v>0</v>
      </c>
      <c r="J575" t="n">
        <v>0</v>
      </c>
      <c r="K575" t="n">
        <v>0</v>
      </c>
      <c r="L575" t="n">
        <v>0</v>
      </c>
      <c r="M575" t="n">
        <v>0</v>
      </c>
      <c r="N575" t="n">
        <v>0</v>
      </c>
      <c r="O575" t="n">
        <v>0</v>
      </c>
      <c r="P575" t="n">
        <v>0</v>
      </c>
      <c r="Q575" t="n">
        <v>0</v>
      </c>
      <c r="R575" s="2" t="inlineStr"/>
    </row>
    <row r="576" ht="15" customHeight="1">
      <c r="A576" t="inlineStr">
        <is>
          <t>A 11013-2024</t>
        </is>
      </c>
      <c r="B576" s="1" t="n">
        <v>45370</v>
      </c>
      <c r="C576" s="1" t="n">
        <v>46163</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45084-2024</t>
        </is>
      </c>
      <c r="B577" s="1" t="n">
        <v>45575</v>
      </c>
      <c r="C577" s="1" t="n">
        <v>46163</v>
      </c>
      <c r="D577" t="inlineStr">
        <is>
          <t>GOTLANDS LÄN</t>
        </is>
      </c>
      <c r="E577" t="inlineStr">
        <is>
          <t>GOTLAND</t>
        </is>
      </c>
      <c r="G577" t="n">
        <v>6.8</v>
      </c>
      <c r="H577" t="n">
        <v>0</v>
      </c>
      <c r="I577" t="n">
        <v>0</v>
      </c>
      <c r="J577" t="n">
        <v>0</v>
      </c>
      <c r="K577" t="n">
        <v>0</v>
      </c>
      <c r="L577" t="n">
        <v>0</v>
      </c>
      <c r="M577" t="n">
        <v>0</v>
      </c>
      <c r="N577" t="n">
        <v>0</v>
      </c>
      <c r="O577" t="n">
        <v>0</v>
      </c>
      <c r="P577" t="n">
        <v>0</v>
      </c>
      <c r="Q577" t="n">
        <v>0</v>
      </c>
      <c r="R577" s="2" t="inlineStr"/>
    </row>
    <row r="578" ht="15" customHeight="1">
      <c r="A578" t="inlineStr">
        <is>
          <t>A 20356-2022</t>
        </is>
      </c>
      <c r="B578" s="1" t="n">
        <v>44699</v>
      </c>
      <c r="C578" s="1" t="n">
        <v>46163</v>
      </c>
      <c r="D578" t="inlineStr">
        <is>
          <t>GOTLANDS LÄN</t>
        </is>
      </c>
      <c r="E578" t="inlineStr">
        <is>
          <t>GOTLAND</t>
        </is>
      </c>
      <c r="F578" t="inlineStr">
        <is>
          <t>Övriga Aktiebolag</t>
        </is>
      </c>
      <c r="G578" t="n">
        <v>4.4</v>
      </c>
      <c r="H578" t="n">
        <v>0</v>
      </c>
      <c r="I578" t="n">
        <v>0</v>
      </c>
      <c r="J578" t="n">
        <v>0</v>
      </c>
      <c r="K578" t="n">
        <v>0</v>
      </c>
      <c r="L578" t="n">
        <v>0</v>
      </c>
      <c r="M578" t="n">
        <v>0</v>
      </c>
      <c r="N578" t="n">
        <v>0</v>
      </c>
      <c r="O578" t="n">
        <v>0</v>
      </c>
      <c r="P578" t="n">
        <v>0</v>
      </c>
      <c r="Q578" t="n">
        <v>0</v>
      </c>
      <c r="R578" s="2" t="inlineStr"/>
    </row>
    <row r="579" ht="15" customHeight="1">
      <c r="A579" t="inlineStr">
        <is>
          <t>A 4868-2024</t>
        </is>
      </c>
      <c r="B579" s="1" t="n">
        <v>45329</v>
      </c>
      <c r="C579" s="1" t="n">
        <v>46163</v>
      </c>
      <c r="D579" t="inlineStr">
        <is>
          <t>GOTLANDS LÄN</t>
        </is>
      </c>
      <c r="E579" t="inlineStr">
        <is>
          <t>GOTLAND</t>
        </is>
      </c>
      <c r="G579" t="n">
        <v>7.1</v>
      </c>
      <c r="H579" t="n">
        <v>0</v>
      </c>
      <c r="I579" t="n">
        <v>0</v>
      </c>
      <c r="J579" t="n">
        <v>0</v>
      </c>
      <c r="K579" t="n">
        <v>0</v>
      </c>
      <c r="L579" t="n">
        <v>0</v>
      </c>
      <c r="M579" t="n">
        <v>0</v>
      </c>
      <c r="N579" t="n">
        <v>0</v>
      </c>
      <c r="O579" t="n">
        <v>0</v>
      </c>
      <c r="P579" t="n">
        <v>0</v>
      </c>
      <c r="Q579" t="n">
        <v>0</v>
      </c>
      <c r="R579" s="2" t="inlineStr"/>
    </row>
    <row r="580" ht="15" customHeight="1">
      <c r="A580" t="inlineStr">
        <is>
          <t>A 9613-2025</t>
        </is>
      </c>
      <c r="B580" s="1" t="n">
        <v>45715</v>
      </c>
      <c r="C580" s="1" t="n">
        <v>46163</v>
      </c>
      <c r="D580" t="inlineStr">
        <is>
          <t>GOTLANDS LÄN</t>
        </is>
      </c>
      <c r="E580" t="inlineStr">
        <is>
          <t>GOTLAND</t>
        </is>
      </c>
      <c r="G580" t="n">
        <v>3.5</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46163</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58211-2024</t>
        </is>
      </c>
      <c r="B582" s="1" t="n">
        <v>45632.49292824074</v>
      </c>
      <c r="C582" s="1" t="n">
        <v>46163</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11634-2024</t>
        </is>
      </c>
      <c r="B583" s="1" t="n">
        <v>45373</v>
      </c>
      <c r="C583" s="1" t="n">
        <v>46163</v>
      </c>
      <c r="D583" t="inlineStr">
        <is>
          <t>GOTLANDS LÄN</t>
        </is>
      </c>
      <c r="E583" t="inlineStr">
        <is>
          <t>GOTLAND</t>
        </is>
      </c>
      <c r="G583" t="n">
        <v>3</v>
      </c>
      <c r="H583" t="n">
        <v>0</v>
      </c>
      <c r="I583" t="n">
        <v>0</v>
      </c>
      <c r="J583" t="n">
        <v>0</v>
      </c>
      <c r="K583" t="n">
        <v>0</v>
      </c>
      <c r="L583" t="n">
        <v>0</v>
      </c>
      <c r="M583" t="n">
        <v>0</v>
      </c>
      <c r="N583" t="n">
        <v>0</v>
      </c>
      <c r="O583" t="n">
        <v>0</v>
      </c>
      <c r="P583" t="n">
        <v>0</v>
      </c>
      <c r="Q583" t="n">
        <v>0</v>
      </c>
      <c r="R583" s="2" t="inlineStr"/>
    </row>
    <row r="584" ht="15" customHeight="1">
      <c r="A584" t="inlineStr">
        <is>
          <t>A 5884-2025</t>
        </is>
      </c>
      <c r="B584" s="1" t="n">
        <v>45695.37482638889</v>
      </c>
      <c r="C584" s="1" t="n">
        <v>46163</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5897-2025</t>
        </is>
      </c>
      <c r="B585" s="1" t="n">
        <v>45695.39273148148</v>
      </c>
      <c r="C585" s="1" t="n">
        <v>46163</v>
      </c>
      <c r="D585" t="inlineStr">
        <is>
          <t>GOTLANDS LÄN</t>
        </is>
      </c>
      <c r="E585" t="inlineStr">
        <is>
          <t>GOTLAND</t>
        </is>
      </c>
      <c r="G585" t="n">
        <v>3.7</v>
      </c>
      <c r="H585" t="n">
        <v>0</v>
      </c>
      <c r="I585" t="n">
        <v>0</v>
      </c>
      <c r="J585" t="n">
        <v>0</v>
      </c>
      <c r="K585" t="n">
        <v>0</v>
      </c>
      <c r="L585" t="n">
        <v>0</v>
      </c>
      <c r="M585" t="n">
        <v>0</v>
      </c>
      <c r="N585" t="n">
        <v>0</v>
      </c>
      <c r="O585" t="n">
        <v>0</v>
      </c>
      <c r="P585" t="n">
        <v>0</v>
      </c>
      <c r="Q585" t="n">
        <v>0</v>
      </c>
      <c r="R585" s="2" t="inlineStr"/>
    </row>
    <row r="586" ht="15" customHeight="1">
      <c r="A586" t="inlineStr">
        <is>
          <t>A 5909-2025</t>
        </is>
      </c>
      <c r="B586" s="1" t="n">
        <v>45695.40634259259</v>
      </c>
      <c r="C586" s="1" t="n">
        <v>46163</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60086-2022</t>
        </is>
      </c>
      <c r="B587" s="1" t="n">
        <v>44909</v>
      </c>
      <c r="C587" s="1" t="n">
        <v>46163</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22704-2023</t>
        </is>
      </c>
      <c r="B588" s="1" t="n">
        <v>45071</v>
      </c>
      <c r="C588" s="1" t="n">
        <v>46163</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25866-2022</t>
        </is>
      </c>
      <c r="B589" s="1" t="n">
        <v>44733</v>
      </c>
      <c r="C589" s="1" t="n">
        <v>46163</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9887-2025</t>
        </is>
      </c>
      <c r="B590" s="1" t="n">
        <v>45716</v>
      </c>
      <c r="C590" s="1" t="n">
        <v>46163</v>
      </c>
      <c r="D590" t="inlineStr">
        <is>
          <t>GOTLANDS LÄN</t>
        </is>
      </c>
      <c r="E590" t="inlineStr">
        <is>
          <t>GOTLAND</t>
        </is>
      </c>
      <c r="G590" t="n">
        <v>7.5</v>
      </c>
      <c r="H590" t="n">
        <v>0</v>
      </c>
      <c r="I590" t="n">
        <v>0</v>
      </c>
      <c r="J590" t="n">
        <v>0</v>
      </c>
      <c r="K590" t="n">
        <v>0</v>
      </c>
      <c r="L590" t="n">
        <v>0</v>
      </c>
      <c r="M590" t="n">
        <v>0</v>
      </c>
      <c r="N590" t="n">
        <v>0</v>
      </c>
      <c r="O590" t="n">
        <v>0</v>
      </c>
      <c r="P590" t="n">
        <v>0</v>
      </c>
      <c r="Q590" t="n">
        <v>0</v>
      </c>
      <c r="R590" s="2" t="inlineStr"/>
    </row>
    <row r="591" ht="15" customHeight="1">
      <c r="A591" t="inlineStr">
        <is>
          <t>A 12209-2024</t>
        </is>
      </c>
      <c r="B591" s="1" t="n">
        <v>45378</v>
      </c>
      <c r="C591" s="1" t="n">
        <v>46163</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12210-2024</t>
        </is>
      </c>
      <c r="B592" s="1" t="n">
        <v>45378</v>
      </c>
      <c r="C592" s="1" t="n">
        <v>46163</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59986-2022</t>
        </is>
      </c>
      <c r="B593" s="1" t="n">
        <v>44909</v>
      </c>
      <c r="C593" s="1" t="n">
        <v>46163</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31802-2024</t>
        </is>
      </c>
      <c r="B594" s="1" t="n">
        <v>45509</v>
      </c>
      <c r="C594" s="1" t="n">
        <v>46163</v>
      </c>
      <c r="D594" t="inlineStr">
        <is>
          <t>GOTLANDS LÄN</t>
        </is>
      </c>
      <c r="E594" t="inlineStr">
        <is>
          <t>GOTLAND</t>
        </is>
      </c>
      <c r="G594" t="n">
        <v>2.8</v>
      </c>
      <c r="H594" t="n">
        <v>0</v>
      </c>
      <c r="I594" t="n">
        <v>0</v>
      </c>
      <c r="J594" t="n">
        <v>0</v>
      </c>
      <c r="K594" t="n">
        <v>0</v>
      </c>
      <c r="L594" t="n">
        <v>0</v>
      </c>
      <c r="M594" t="n">
        <v>0</v>
      </c>
      <c r="N594" t="n">
        <v>0</v>
      </c>
      <c r="O594" t="n">
        <v>0</v>
      </c>
      <c r="P594" t="n">
        <v>0</v>
      </c>
      <c r="Q594" t="n">
        <v>0</v>
      </c>
      <c r="R594" s="2" t="inlineStr"/>
    </row>
    <row r="595" ht="15" customHeight="1">
      <c r="A595" t="inlineStr">
        <is>
          <t>A 20993-2023</t>
        </is>
      </c>
      <c r="B595" s="1" t="n">
        <v>45056</v>
      </c>
      <c r="C595" s="1" t="n">
        <v>46163</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15042-2025</t>
        </is>
      </c>
      <c r="B596" s="1" t="n">
        <v>45743</v>
      </c>
      <c r="C596" s="1" t="n">
        <v>46163</v>
      </c>
      <c r="D596" t="inlineStr">
        <is>
          <t>GOTLANDS LÄN</t>
        </is>
      </c>
      <c r="E596" t="inlineStr">
        <is>
          <t>GOTLAND</t>
        </is>
      </c>
      <c r="G596" t="n">
        <v>8.5</v>
      </c>
      <c r="H596" t="n">
        <v>0</v>
      </c>
      <c r="I596" t="n">
        <v>0</v>
      </c>
      <c r="J596" t="n">
        <v>0</v>
      </c>
      <c r="K596" t="n">
        <v>0</v>
      </c>
      <c r="L596" t="n">
        <v>0</v>
      </c>
      <c r="M596" t="n">
        <v>0</v>
      </c>
      <c r="N596" t="n">
        <v>0</v>
      </c>
      <c r="O596" t="n">
        <v>0</v>
      </c>
      <c r="P596" t="n">
        <v>0</v>
      </c>
      <c r="Q596" t="n">
        <v>0</v>
      </c>
      <c r="R596" s="2" t="inlineStr"/>
    </row>
    <row r="597" ht="15" customHeight="1">
      <c r="A597" t="inlineStr">
        <is>
          <t>A 12327-2025</t>
        </is>
      </c>
      <c r="B597" s="1" t="n">
        <v>45730</v>
      </c>
      <c r="C597" s="1" t="n">
        <v>46163</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4420-2025</t>
        </is>
      </c>
      <c r="B598" s="1" t="n">
        <v>45686.47157407407</v>
      </c>
      <c r="C598" s="1" t="n">
        <v>46163</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14427-2024</t>
        </is>
      </c>
      <c r="B599" s="1" t="n">
        <v>45394</v>
      </c>
      <c r="C599" s="1" t="n">
        <v>46163</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49257-2024</t>
        </is>
      </c>
      <c r="B600" s="1" t="n">
        <v>45595.47627314815</v>
      </c>
      <c r="C600" s="1" t="n">
        <v>46163</v>
      </c>
      <c r="D600" t="inlineStr">
        <is>
          <t>GOTLANDS LÄN</t>
        </is>
      </c>
      <c r="E600" t="inlineStr">
        <is>
          <t>GOTLAND</t>
        </is>
      </c>
      <c r="G600" t="n">
        <v>6.3</v>
      </c>
      <c r="H600" t="n">
        <v>0</v>
      </c>
      <c r="I600" t="n">
        <v>0</v>
      </c>
      <c r="J600" t="n">
        <v>0</v>
      </c>
      <c r="K600" t="n">
        <v>0</v>
      </c>
      <c r="L600" t="n">
        <v>0</v>
      </c>
      <c r="M600" t="n">
        <v>0</v>
      </c>
      <c r="N600" t="n">
        <v>0</v>
      </c>
      <c r="O600" t="n">
        <v>0</v>
      </c>
      <c r="P600" t="n">
        <v>0</v>
      </c>
      <c r="Q600" t="n">
        <v>0</v>
      </c>
      <c r="R600" s="2" t="inlineStr"/>
    </row>
    <row r="601" ht="15" customHeight="1">
      <c r="A601" t="inlineStr">
        <is>
          <t>A 49315-2024</t>
        </is>
      </c>
      <c r="B601" s="1" t="n">
        <v>45595</v>
      </c>
      <c r="C601" s="1" t="n">
        <v>46163</v>
      </c>
      <c r="D601" t="inlineStr">
        <is>
          <t>GOTLANDS LÄN</t>
        </is>
      </c>
      <c r="E601" t="inlineStr">
        <is>
          <t>GOTLAND</t>
        </is>
      </c>
      <c r="G601" t="n">
        <v>1.5</v>
      </c>
      <c r="H601" t="n">
        <v>0</v>
      </c>
      <c r="I601" t="n">
        <v>0</v>
      </c>
      <c r="J601" t="n">
        <v>0</v>
      </c>
      <c r="K601" t="n">
        <v>0</v>
      </c>
      <c r="L601" t="n">
        <v>0</v>
      </c>
      <c r="M601" t="n">
        <v>0</v>
      </c>
      <c r="N601" t="n">
        <v>0</v>
      </c>
      <c r="O601" t="n">
        <v>0</v>
      </c>
      <c r="P601" t="n">
        <v>0</v>
      </c>
      <c r="Q601" t="n">
        <v>0</v>
      </c>
      <c r="R601" s="2" t="inlineStr"/>
    </row>
    <row r="602" ht="15" customHeight="1">
      <c r="A602" t="inlineStr">
        <is>
          <t>A 27596-2023</t>
        </is>
      </c>
      <c r="B602" s="1" t="n">
        <v>45097</v>
      </c>
      <c r="C602" s="1" t="n">
        <v>46163</v>
      </c>
      <c r="D602" t="inlineStr">
        <is>
          <t>GOTLANDS LÄN</t>
        </is>
      </c>
      <c r="E602" t="inlineStr">
        <is>
          <t>GOTLAND</t>
        </is>
      </c>
      <c r="G602" t="n">
        <v>3.6</v>
      </c>
      <c r="H602" t="n">
        <v>0</v>
      </c>
      <c r="I602" t="n">
        <v>0</v>
      </c>
      <c r="J602" t="n">
        <v>0</v>
      </c>
      <c r="K602" t="n">
        <v>0</v>
      </c>
      <c r="L602" t="n">
        <v>0</v>
      </c>
      <c r="M602" t="n">
        <v>0</v>
      </c>
      <c r="N602" t="n">
        <v>0</v>
      </c>
      <c r="O602" t="n">
        <v>0</v>
      </c>
      <c r="P602" t="n">
        <v>0</v>
      </c>
      <c r="Q602" t="n">
        <v>0</v>
      </c>
      <c r="R602" s="2" t="inlineStr"/>
    </row>
    <row r="603" ht="15" customHeight="1">
      <c r="A603" t="inlineStr">
        <is>
          <t>A 56115-2023</t>
        </is>
      </c>
      <c r="B603" s="1" t="n">
        <v>45236</v>
      </c>
      <c r="C603" s="1" t="n">
        <v>46163</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64969-2023</t>
        </is>
      </c>
      <c r="B604" s="1" t="n">
        <v>45284.54009259259</v>
      </c>
      <c r="C604" s="1" t="n">
        <v>46163</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33853-2024</t>
        </is>
      </c>
      <c r="B605" s="1" t="n">
        <v>45520.64298611111</v>
      </c>
      <c r="C605" s="1" t="n">
        <v>46163</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18223-2025</t>
        </is>
      </c>
      <c r="B606" s="1" t="n">
        <v>45761</v>
      </c>
      <c r="C606" s="1" t="n">
        <v>46163</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46949-2024</t>
        </is>
      </c>
      <c r="B607" s="1" t="n">
        <v>45585</v>
      </c>
      <c r="C607" s="1" t="n">
        <v>46163</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ht="15" customHeight="1">
      <c r="A608" t="inlineStr">
        <is>
          <t>A 39479-2022</t>
        </is>
      </c>
      <c r="B608" s="1" t="n">
        <v>44818</v>
      </c>
      <c r="C608" s="1" t="n">
        <v>46163</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39496-2022</t>
        </is>
      </c>
      <c r="B609" s="1" t="n">
        <v>44818</v>
      </c>
      <c r="C609" s="1" t="n">
        <v>46163</v>
      </c>
      <c r="D609" t="inlineStr">
        <is>
          <t>GOTLANDS LÄN</t>
        </is>
      </c>
      <c r="E609" t="inlineStr">
        <is>
          <t>GOTLAND</t>
        </is>
      </c>
      <c r="G609" t="n">
        <v>2.4</v>
      </c>
      <c r="H609" t="n">
        <v>0</v>
      </c>
      <c r="I609" t="n">
        <v>0</v>
      </c>
      <c r="J609" t="n">
        <v>0</v>
      </c>
      <c r="K609" t="n">
        <v>0</v>
      </c>
      <c r="L609" t="n">
        <v>0</v>
      </c>
      <c r="M609" t="n">
        <v>0</v>
      </c>
      <c r="N609" t="n">
        <v>0</v>
      </c>
      <c r="O609" t="n">
        <v>0</v>
      </c>
      <c r="P609" t="n">
        <v>0</v>
      </c>
      <c r="Q609" t="n">
        <v>0</v>
      </c>
      <c r="R609" s="2" t="inlineStr"/>
    </row>
    <row r="610" ht="15" customHeight="1">
      <c r="A610" t="inlineStr">
        <is>
          <t>A 46389-2021</t>
        </is>
      </c>
      <c r="B610" s="1" t="n">
        <v>44443</v>
      </c>
      <c r="C610" s="1" t="n">
        <v>46163</v>
      </c>
      <c r="D610" t="inlineStr">
        <is>
          <t>GOTLANDS LÄN</t>
        </is>
      </c>
      <c r="E610" t="inlineStr">
        <is>
          <t>GOTLAND</t>
        </is>
      </c>
      <c r="F610" t="inlineStr">
        <is>
          <t>Kyrkan</t>
        </is>
      </c>
      <c r="G610" t="n">
        <v>2.1</v>
      </c>
      <c r="H610" t="n">
        <v>0</v>
      </c>
      <c r="I610" t="n">
        <v>0</v>
      </c>
      <c r="J610" t="n">
        <v>0</v>
      </c>
      <c r="K610" t="n">
        <v>0</v>
      </c>
      <c r="L610" t="n">
        <v>0</v>
      </c>
      <c r="M610" t="n">
        <v>0</v>
      </c>
      <c r="N610" t="n">
        <v>0</v>
      </c>
      <c r="O610" t="n">
        <v>0</v>
      </c>
      <c r="P610" t="n">
        <v>0</v>
      </c>
      <c r="Q610" t="n">
        <v>0</v>
      </c>
      <c r="R610" s="2" t="inlineStr"/>
    </row>
    <row r="611" ht="15" customHeight="1">
      <c r="A611" t="inlineStr">
        <is>
          <t>A 44949-2023</t>
        </is>
      </c>
      <c r="B611" s="1" t="n">
        <v>45190.69520833333</v>
      </c>
      <c r="C611" s="1" t="n">
        <v>46163</v>
      </c>
      <c r="D611" t="inlineStr">
        <is>
          <t>GOTLANDS LÄN</t>
        </is>
      </c>
      <c r="E611" t="inlineStr">
        <is>
          <t>GOTLAND</t>
        </is>
      </c>
      <c r="G611" t="n">
        <v>1.4</v>
      </c>
      <c r="H611" t="n">
        <v>0</v>
      </c>
      <c r="I611" t="n">
        <v>0</v>
      </c>
      <c r="J611" t="n">
        <v>0</v>
      </c>
      <c r="K611" t="n">
        <v>0</v>
      </c>
      <c r="L611" t="n">
        <v>0</v>
      </c>
      <c r="M611" t="n">
        <v>0</v>
      </c>
      <c r="N611" t="n">
        <v>0</v>
      </c>
      <c r="O611" t="n">
        <v>0</v>
      </c>
      <c r="P611" t="n">
        <v>0</v>
      </c>
      <c r="Q611" t="n">
        <v>0</v>
      </c>
      <c r="R611" s="2" t="inlineStr"/>
    </row>
    <row r="612" ht="15" customHeight="1">
      <c r="A612" t="inlineStr">
        <is>
          <t>A 17682-2024</t>
        </is>
      </c>
      <c r="B612" s="1" t="n">
        <v>45418.42966435185</v>
      </c>
      <c r="C612" s="1" t="n">
        <v>46163</v>
      </c>
      <c r="D612" t="inlineStr">
        <is>
          <t>GOTLANDS LÄN</t>
        </is>
      </c>
      <c r="E612" t="inlineStr">
        <is>
          <t>GOTLAND</t>
        </is>
      </c>
      <c r="G612" t="n">
        <v>2.9</v>
      </c>
      <c r="H612" t="n">
        <v>0</v>
      </c>
      <c r="I612" t="n">
        <v>0</v>
      </c>
      <c r="J612" t="n">
        <v>0</v>
      </c>
      <c r="K612" t="n">
        <v>0</v>
      </c>
      <c r="L612" t="n">
        <v>0</v>
      </c>
      <c r="M612" t="n">
        <v>0</v>
      </c>
      <c r="N612" t="n">
        <v>0</v>
      </c>
      <c r="O612" t="n">
        <v>0</v>
      </c>
      <c r="P612" t="n">
        <v>0</v>
      </c>
      <c r="Q612" t="n">
        <v>0</v>
      </c>
      <c r="R612" s="2" t="inlineStr"/>
    </row>
    <row r="613" ht="15" customHeight="1">
      <c r="A613" t="inlineStr">
        <is>
          <t>A 61897-2024</t>
        </is>
      </c>
      <c r="B613" s="1" t="n">
        <v>45652.75685185185</v>
      </c>
      <c r="C613" s="1" t="n">
        <v>46163</v>
      </c>
      <c r="D613" t="inlineStr">
        <is>
          <t>GOTLANDS LÄN</t>
        </is>
      </c>
      <c r="E613" t="inlineStr">
        <is>
          <t>GOTLAND</t>
        </is>
      </c>
      <c r="G613" t="n">
        <v>6.4</v>
      </c>
      <c r="H613" t="n">
        <v>0</v>
      </c>
      <c r="I613" t="n">
        <v>0</v>
      </c>
      <c r="J613" t="n">
        <v>0</v>
      </c>
      <c r="K613" t="n">
        <v>0</v>
      </c>
      <c r="L613" t="n">
        <v>0</v>
      </c>
      <c r="M613" t="n">
        <v>0</v>
      </c>
      <c r="N613" t="n">
        <v>0</v>
      </c>
      <c r="O613" t="n">
        <v>0</v>
      </c>
      <c r="P613" t="n">
        <v>0</v>
      </c>
      <c r="Q613" t="n">
        <v>0</v>
      </c>
      <c r="R613" s="2" t="inlineStr"/>
    </row>
    <row r="614" ht="15" customHeight="1">
      <c r="A614" t="inlineStr">
        <is>
          <t>A 12032-2025</t>
        </is>
      </c>
      <c r="B614" s="1" t="n">
        <v>45728.64472222222</v>
      </c>
      <c r="C614" s="1" t="n">
        <v>46163</v>
      </c>
      <c r="D614" t="inlineStr">
        <is>
          <t>GOTLANDS LÄN</t>
        </is>
      </c>
      <c r="E614" t="inlineStr">
        <is>
          <t>GOTLAND</t>
        </is>
      </c>
      <c r="G614" t="n">
        <v>1.4</v>
      </c>
      <c r="H614" t="n">
        <v>0</v>
      </c>
      <c r="I614" t="n">
        <v>0</v>
      </c>
      <c r="J614" t="n">
        <v>0</v>
      </c>
      <c r="K614" t="n">
        <v>0</v>
      </c>
      <c r="L614" t="n">
        <v>0</v>
      </c>
      <c r="M614" t="n">
        <v>0</v>
      </c>
      <c r="N614" t="n">
        <v>0</v>
      </c>
      <c r="O614" t="n">
        <v>0</v>
      </c>
      <c r="P614" t="n">
        <v>0</v>
      </c>
      <c r="Q614" t="n">
        <v>0</v>
      </c>
      <c r="R614" s="2" t="inlineStr"/>
    </row>
    <row r="615" ht="15" customHeight="1">
      <c r="A615" t="inlineStr">
        <is>
          <t>A 15595-2024</t>
        </is>
      </c>
      <c r="B615" s="1" t="n">
        <v>45401.81480324074</v>
      </c>
      <c r="C615" s="1" t="n">
        <v>46163</v>
      </c>
      <c r="D615" t="inlineStr">
        <is>
          <t>GOTLANDS LÄN</t>
        </is>
      </c>
      <c r="E615" t="inlineStr">
        <is>
          <t>GOTLAND</t>
        </is>
      </c>
      <c r="G615" t="n">
        <v>6.4</v>
      </c>
      <c r="H615" t="n">
        <v>0</v>
      </c>
      <c r="I615" t="n">
        <v>0</v>
      </c>
      <c r="J615" t="n">
        <v>0</v>
      </c>
      <c r="K615" t="n">
        <v>0</v>
      </c>
      <c r="L615" t="n">
        <v>0</v>
      </c>
      <c r="M615" t="n">
        <v>0</v>
      </c>
      <c r="N615" t="n">
        <v>0</v>
      </c>
      <c r="O615" t="n">
        <v>0</v>
      </c>
      <c r="P615" t="n">
        <v>0</v>
      </c>
      <c r="Q615" t="n">
        <v>0</v>
      </c>
      <c r="R615" s="2" t="inlineStr"/>
    </row>
    <row r="616" ht="15" customHeight="1">
      <c r="A616" t="inlineStr">
        <is>
          <t>A 21164-2024</t>
        </is>
      </c>
      <c r="B616" s="1" t="n">
        <v>45440</v>
      </c>
      <c r="C616" s="1" t="n">
        <v>46163</v>
      </c>
      <c r="D616" t="inlineStr">
        <is>
          <t>GOTLANDS LÄN</t>
        </is>
      </c>
      <c r="E616" t="inlineStr">
        <is>
          <t>GOTLAND</t>
        </is>
      </c>
      <c r="G616" t="n">
        <v>6.3</v>
      </c>
      <c r="H616" t="n">
        <v>0</v>
      </c>
      <c r="I616" t="n">
        <v>0</v>
      </c>
      <c r="J616" t="n">
        <v>0</v>
      </c>
      <c r="K616" t="n">
        <v>0</v>
      </c>
      <c r="L616" t="n">
        <v>0</v>
      </c>
      <c r="M616" t="n">
        <v>0</v>
      </c>
      <c r="N616" t="n">
        <v>0</v>
      </c>
      <c r="O616" t="n">
        <v>0</v>
      </c>
      <c r="P616" t="n">
        <v>0</v>
      </c>
      <c r="Q616" t="n">
        <v>0</v>
      </c>
      <c r="R616" s="2" t="inlineStr"/>
    </row>
    <row r="617" ht="15" customHeight="1">
      <c r="A617" t="inlineStr">
        <is>
          <t>A 17541-2024</t>
        </is>
      </c>
      <c r="B617" s="1" t="n">
        <v>45415</v>
      </c>
      <c r="C617" s="1" t="n">
        <v>46163</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883-2025</t>
        </is>
      </c>
      <c r="B618" s="1" t="n">
        <v>45665</v>
      </c>
      <c r="C618" s="1" t="n">
        <v>46163</v>
      </c>
      <c r="D618" t="inlineStr">
        <is>
          <t>GOTLANDS LÄN</t>
        </is>
      </c>
      <c r="E618" t="inlineStr">
        <is>
          <t>GOTLAND</t>
        </is>
      </c>
      <c r="G618" t="n">
        <v>1.3</v>
      </c>
      <c r="H618" t="n">
        <v>0</v>
      </c>
      <c r="I618" t="n">
        <v>0</v>
      </c>
      <c r="J618" t="n">
        <v>0</v>
      </c>
      <c r="K618" t="n">
        <v>0</v>
      </c>
      <c r="L618" t="n">
        <v>0</v>
      </c>
      <c r="M618" t="n">
        <v>0</v>
      </c>
      <c r="N618" t="n">
        <v>0</v>
      </c>
      <c r="O618" t="n">
        <v>0</v>
      </c>
      <c r="P618" t="n">
        <v>0</v>
      </c>
      <c r="Q618" t="n">
        <v>0</v>
      </c>
      <c r="R618" s="2" t="inlineStr"/>
    </row>
    <row r="619" ht="15" customHeight="1">
      <c r="A619" t="inlineStr">
        <is>
          <t>A 13910-2025</t>
        </is>
      </c>
      <c r="B619" s="1" t="n">
        <v>45737</v>
      </c>
      <c r="C619" s="1" t="n">
        <v>46163</v>
      </c>
      <c r="D619" t="inlineStr">
        <is>
          <t>GOTLANDS LÄN</t>
        </is>
      </c>
      <c r="E619" t="inlineStr">
        <is>
          <t>GOTLAND</t>
        </is>
      </c>
      <c r="F619" t="inlineStr">
        <is>
          <t>Kommuner</t>
        </is>
      </c>
      <c r="G619" t="n">
        <v>3.2</v>
      </c>
      <c r="H619" t="n">
        <v>0</v>
      </c>
      <c r="I619" t="n">
        <v>0</v>
      </c>
      <c r="J619" t="n">
        <v>0</v>
      </c>
      <c r="K619" t="n">
        <v>0</v>
      </c>
      <c r="L619" t="n">
        <v>0</v>
      </c>
      <c r="M619" t="n">
        <v>0</v>
      </c>
      <c r="N619" t="n">
        <v>0</v>
      </c>
      <c r="O619" t="n">
        <v>0</v>
      </c>
      <c r="P619" t="n">
        <v>0</v>
      </c>
      <c r="Q619" t="n">
        <v>0</v>
      </c>
      <c r="R619" s="2" t="inlineStr"/>
    </row>
    <row r="620" ht="15" customHeight="1">
      <c r="A620" t="inlineStr">
        <is>
          <t>A 20794-2025</t>
        </is>
      </c>
      <c r="B620" s="1" t="n">
        <v>45776</v>
      </c>
      <c r="C620" s="1" t="n">
        <v>46163</v>
      </c>
      <c r="D620" t="inlineStr">
        <is>
          <t>GOTLANDS LÄN</t>
        </is>
      </c>
      <c r="E620" t="inlineStr">
        <is>
          <t>GOTLAND</t>
        </is>
      </c>
      <c r="G620" t="n">
        <v>6</v>
      </c>
      <c r="H620" t="n">
        <v>0</v>
      </c>
      <c r="I620" t="n">
        <v>0</v>
      </c>
      <c r="J620" t="n">
        <v>0</v>
      </c>
      <c r="K620" t="n">
        <v>0</v>
      </c>
      <c r="L620" t="n">
        <v>0</v>
      </c>
      <c r="M620" t="n">
        <v>0</v>
      </c>
      <c r="N620" t="n">
        <v>0</v>
      </c>
      <c r="O620" t="n">
        <v>0</v>
      </c>
      <c r="P620" t="n">
        <v>0</v>
      </c>
      <c r="Q620" t="n">
        <v>0</v>
      </c>
      <c r="R620" s="2" t="inlineStr"/>
    </row>
    <row r="621" ht="15" customHeight="1">
      <c r="A621" t="inlineStr">
        <is>
          <t>A 20805-2025</t>
        </is>
      </c>
      <c r="B621" s="1" t="n">
        <v>45776</v>
      </c>
      <c r="C621" s="1" t="n">
        <v>46163</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21389-2025</t>
        </is>
      </c>
      <c r="B622" s="1" t="n">
        <v>45782</v>
      </c>
      <c r="C622" s="1" t="n">
        <v>46163</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21651-2025</t>
        </is>
      </c>
      <c r="B623" s="1" t="n">
        <v>45783</v>
      </c>
      <c r="C623" s="1" t="n">
        <v>46163</v>
      </c>
      <c r="D623" t="inlineStr">
        <is>
          <t>GOTLANDS LÄN</t>
        </is>
      </c>
      <c r="E623" t="inlineStr">
        <is>
          <t>GOTLAND</t>
        </is>
      </c>
      <c r="G623" t="n">
        <v>4.2</v>
      </c>
      <c r="H623" t="n">
        <v>0</v>
      </c>
      <c r="I623" t="n">
        <v>0</v>
      </c>
      <c r="J623" t="n">
        <v>0</v>
      </c>
      <c r="K623" t="n">
        <v>0</v>
      </c>
      <c r="L623" t="n">
        <v>0</v>
      </c>
      <c r="M623" t="n">
        <v>0</v>
      </c>
      <c r="N623" t="n">
        <v>0</v>
      </c>
      <c r="O623" t="n">
        <v>0</v>
      </c>
      <c r="P623" t="n">
        <v>0</v>
      </c>
      <c r="Q623" t="n">
        <v>0</v>
      </c>
      <c r="R623" s="2" t="inlineStr"/>
    </row>
    <row r="624" ht="15" customHeight="1">
      <c r="A624" t="inlineStr">
        <is>
          <t>A 21420-2024</t>
        </is>
      </c>
      <c r="B624" s="1" t="n">
        <v>45441.38293981482</v>
      </c>
      <c r="C624" s="1" t="n">
        <v>46163</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10656-2024</t>
        </is>
      </c>
      <c r="B625" s="1" t="n">
        <v>45368</v>
      </c>
      <c r="C625" s="1" t="n">
        <v>46163</v>
      </c>
      <c r="D625" t="inlineStr">
        <is>
          <t>GOTLANDS LÄN</t>
        </is>
      </c>
      <c r="E625" t="inlineStr">
        <is>
          <t>GOTLAND</t>
        </is>
      </c>
      <c r="G625" t="n">
        <v>1.5</v>
      </c>
      <c r="H625" t="n">
        <v>0</v>
      </c>
      <c r="I625" t="n">
        <v>0</v>
      </c>
      <c r="J625" t="n">
        <v>0</v>
      </c>
      <c r="K625" t="n">
        <v>0</v>
      </c>
      <c r="L625" t="n">
        <v>0</v>
      </c>
      <c r="M625" t="n">
        <v>0</v>
      </c>
      <c r="N625" t="n">
        <v>0</v>
      </c>
      <c r="O625" t="n">
        <v>0</v>
      </c>
      <c r="P625" t="n">
        <v>0</v>
      </c>
      <c r="Q625" t="n">
        <v>0</v>
      </c>
      <c r="R625" s="2" t="inlineStr"/>
    </row>
    <row r="626" ht="15" customHeight="1">
      <c r="A626" t="inlineStr">
        <is>
          <t>A 57356-2023</t>
        </is>
      </c>
      <c r="B626" s="1" t="n">
        <v>45240</v>
      </c>
      <c r="C626" s="1" t="n">
        <v>46163</v>
      </c>
      <c r="D626" t="inlineStr">
        <is>
          <t>GOTLANDS LÄN</t>
        </is>
      </c>
      <c r="E626" t="inlineStr">
        <is>
          <t>GOTLAND</t>
        </is>
      </c>
      <c r="G626" t="n">
        <v>6.4</v>
      </c>
      <c r="H626" t="n">
        <v>0</v>
      </c>
      <c r="I626" t="n">
        <v>0</v>
      </c>
      <c r="J626" t="n">
        <v>0</v>
      </c>
      <c r="K626" t="n">
        <v>0</v>
      </c>
      <c r="L626" t="n">
        <v>0</v>
      </c>
      <c r="M626" t="n">
        <v>0</v>
      </c>
      <c r="N626" t="n">
        <v>0</v>
      </c>
      <c r="O626" t="n">
        <v>0</v>
      </c>
      <c r="P626" t="n">
        <v>0</v>
      </c>
      <c r="Q626" t="n">
        <v>0</v>
      </c>
      <c r="R626" s="2" t="inlineStr"/>
    </row>
    <row r="627" ht="15" customHeight="1">
      <c r="A627" t="inlineStr">
        <is>
          <t>A 28506-2023</t>
        </is>
      </c>
      <c r="B627" s="1" t="n">
        <v>45103</v>
      </c>
      <c r="C627" s="1" t="n">
        <v>46163</v>
      </c>
      <c r="D627" t="inlineStr">
        <is>
          <t>GOTLANDS LÄN</t>
        </is>
      </c>
      <c r="E627" t="inlineStr">
        <is>
          <t>GOTLAND</t>
        </is>
      </c>
      <c r="G627" t="n">
        <v>3.2</v>
      </c>
      <c r="H627" t="n">
        <v>0</v>
      </c>
      <c r="I627" t="n">
        <v>0</v>
      </c>
      <c r="J627" t="n">
        <v>0</v>
      </c>
      <c r="K627" t="n">
        <v>0</v>
      </c>
      <c r="L627" t="n">
        <v>0</v>
      </c>
      <c r="M627" t="n">
        <v>0</v>
      </c>
      <c r="N627" t="n">
        <v>0</v>
      </c>
      <c r="O627" t="n">
        <v>0</v>
      </c>
      <c r="P627" t="n">
        <v>0</v>
      </c>
      <c r="Q627" t="n">
        <v>0</v>
      </c>
      <c r="R627" s="2" t="inlineStr"/>
    </row>
    <row r="628" ht="15" customHeight="1">
      <c r="A628" t="inlineStr">
        <is>
          <t>A 23188-2025</t>
        </is>
      </c>
      <c r="B628" s="1" t="n">
        <v>45791</v>
      </c>
      <c r="C628" s="1" t="n">
        <v>46163</v>
      </c>
      <c r="D628" t="inlineStr">
        <is>
          <t>GOTLANDS LÄN</t>
        </is>
      </c>
      <c r="E628" t="inlineStr">
        <is>
          <t>GOTLAND</t>
        </is>
      </c>
      <c r="G628" t="n">
        <v>6.2</v>
      </c>
      <c r="H628" t="n">
        <v>0</v>
      </c>
      <c r="I628" t="n">
        <v>0</v>
      </c>
      <c r="J628" t="n">
        <v>0</v>
      </c>
      <c r="K628" t="n">
        <v>0</v>
      </c>
      <c r="L628" t="n">
        <v>0</v>
      </c>
      <c r="M628" t="n">
        <v>0</v>
      </c>
      <c r="N628" t="n">
        <v>0</v>
      </c>
      <c r="O628" t="n">
        <v>0</v>
      </c>
      <c r="P628" t="n">
        <v>0</v>
      </c>
      <c r="Q628" t="n">
        <v>0</v>
      </c>
      <c r="R628" s="2" t="inlineStr"/>
    </row>
    <row r="629" ht="15" customHeight="1">
      <c r="A629" t="inlineStr">
        <is>
          <t>A 23856-2025</t>
        </is>
      </c>
      <c r="B629" s="1" t="n">
        <v>45793</v>
      </c>
      <c r="C629" s="1" t="n">
        <v>46163</v>
      </c>
      <c r="D629" t="inlineStr">
        <is>
          <t>GOTLANDS LÄN</t>
        </is>
      </c>
      <c r="E629" t="inlineStr">
        <is>
          <t>GOTLAND</t>
        </is>
      </c>
      <c r="G629" t="n">
        <v>4.4</v>
      </c>
      <c r="H629" t="n">
        <v>0</v>
      </c>
      <c r="I629" t="n">
        <v>0</v>
      </c>
      <c r="J629" t="n">
        <v>0</v>
      </c>
      <c r="K629" t="n">
        <v>0</v>
      </c>
      <c r="L629" t="n">
        <v>0</v>
      </c>
      <c r="M629" t="n">
        <v>0</v>
      </c>
      <c r="N629" t="n">
        <v>0</v>
      </c>
      <c r="O629" t="n">
        <v>0</v>
      </c>
      <c r="P629" t="n">
        <v>0</v>
      </c>
      <c r="Q629" t="n">
        <v>0</v>
      </c>
      <c r="R629" s="2" t="inlineStr"/>
    </row>
    <row r="630" ht="15" customHeight="1">
      <c r="A630" t="inlineStr">
        <is>
          <t>A 23473-2025</t>
        </is>
      </c>
      <c r="B630" s="1" t="n">
        <v>45792</v>
      </c>
      <c r="C630" s="1" t="n">
        <v>46163</v>
      </c>
      <c r="D630" t="inlineStr">
        <is>
          <t>GOTLANDS LÄN</t>
        </is>
      </c>
      <c r="E630" t="inlineStr">
        <is>
          <t>GOTLAND</t>
        </is>
      </c>
      <c r="G630" t="n">
        <v>3.6</v>
      </c>
      <c r="H630" t="n">
        <v>0</v>
      </c>
      <c r="I630" t="n">
        <v>0</v>
      </c>
      <c r="J630" t="n">
        <v>0</v>
      </c>
      <c r="K630" t="n">
        <v>0</v>
      </c>
      <c r="L630" t="n">
        <v>0</v>
      </c>
      <c r="M630" t="n">
        <v>0</v>
      </c>
      <c r="N630" t="n">
        <v>0</v>
      </c>
      <c r="O630" t="n">
        <v>0</v>
      </c>
      <c r="P630" t="n">
        <v>0</v>
      </c>
      <c r="Q630" t="n">
        <v>0</v>
      </c>
      <c r="R630" s="2" t="inlineStr"/>
    </row>
    <row r="631" ht="15" customHeight="1">
      <c r="A631" t="inlineStr">
        <is>
          <t>A 23698-2025</t>
        </is>
      </c>
      <c r="B631" s="1" t="n">
        <v>45793</v>
      </c>
      <c r="C631" s="1" t="n">
        <v>46163</v>
      </c>
      <c r="D631" t="inlineStr">
        <is>
          <t>GOTLANDS LÄN</t>
        </is>
      </c>
      <c r="E631" t="inlineStr">
        <is>
          <t>GOTLAND</t>
        </is>
      </c>
      <c r="G631" t="n">
        <v>0.8</v>
      </c>
      <c r="H631" t="n">
        <v>0</v>
      </c>
      <c r="I631" t="n">
        <v>0</v>
      </c>
      <c r="J631" t="n">
        <v>0</v>
      </c>
      <c r="K631" t="n">
        <v>0</v>
      </c>
      <c r="L631" t="n">
        <v>0</v>
      </c>
      <c r="M631" t="n">
        <v>0</v>
      </c>
      <c r="N631" t="n">
        <v>0</v>
      </c>
      <c r="O631" t="n">
        <v>0</v>
      </c>
      <c r="P631" t="n">
        <v>0</v>
      </c>
      <c r="Q631" t="n">
        <v>0</v>
      </c>
      <c r="R631" s="2" t="inlineStr"/>
    </row>
    <row r="632" ht="15" customHeight="1">
      <c r="A632" t="inlineStr">
        <is>
          <t>A 15073-2025</t>
        </is>
      </c>
      <c r="B632" s="1" t="n">
        <v>45743</v>
      </c>
      <c r="C632" s="1" t="n">
        <v>46163</v>
      </c>
      <c r="D632" t="inlineStr">
        <is>
          <t>GOTLANDS LÄN</t>
        </is>
      </c>
      <c r="E632" t="inlineStr">
        <is>
          <t>GOTLAND</t>
        </is>
      </c>
      <c r="G632" t="n">
        <v>12.1</v>
      </c>
      <c r="H632" t="n">
        <v>0</v>
      </c>
      <c r="I632" t="n">
        <v>0</v>
      </c>
      <c r="J632" t="n">
        <v>0</v>
      </c>
      <c r="K632" t="n">
        <v>0</v>
      </c>
      <c r="L632" t="n">
        <v>0</v>
      </c>
      <c r="M632" t="n">
        <v>0</v>
      </c>
      <c r="N632" t="n">
        <v>0</v>
      </c>
      <c r="O632" t="n">
        <v>0</v>
      </c>
      <c r="P632" t="n">
        <v>0</v>
      </c>
      <c r="Q632" t="n">
        <v>0</v>
      </c>
      <c r="R632" s="2" t="inlineStr"/>
    </row>
    <row r="633" ht="15" customHeight="1">
      <c r="A633" t="inlineStr">
        <is>
          <t>A 6749-2025</t>
        </is>
      </c>
      <c r="B633" s="1" t="n">
        <v>45700</v>
      </c>
      <c r="C633" s="1" t="n">
        <v>46163</v>
      </c>
      <c r="D633" t="inlineStr">
        <is>
          <t>GOTLANDS LÄN</t>
        </is>
      </c>
      <c r="E633" t="inlineStr">
        <is>
          <t>GOTLAND</t>
        </is>
      </c>
      <c r="G633" t="n">
        <v>4.5</v>
      </c>
      <c r="H633" t="n">
        <v>0</v>
      </c>
      <c r="I633" t="n">
        <v>0</v>
      </c>
      <c r="J633" t="n">
        <v>0</v>
      </c>
      <c r="K633" t="n">
        <v>0</v>
      </c>
      <c r="L633" t="n">
        <v>0</v>
      </c>
      <c r="M633" t="n">
        <v>0</v>
      </c>
      <c r="N633" t="n">
        <v>0</v>
      </c>
      <c r="O633" t="n">
        <v>0</v>
      </c>
      <c r="P633" t="n">
        <v>0</v>
      </c>
      <c r="Q633" t="n">
        <v>0</v>
      </c>
      <c r="R633" s="2" t="inlineStr"/>
    </row>
    <row r="634" ht="15" customHeight="1">
      <c r="A634" t="inlineStr">
        <is>
          <t>A 5462-2025</t>
        </is>
      </c>
      <c r="B634" s="1" t="n">
        <v>45693.29331018519</v>
      </c>
      <c r="C634" s="1" t="n">
        <v>46163</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25796-2025</t>
        </is>
      </c>
      <c r="B635" s="1" t="n">
        <v>45804.39543981481</v>
      </c>
      <c r="C635" s="1" t="n">
        <v>46163</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26465-2025</t>
        </is>
      </c>
      <c r="B636" s="1" t="n">
        <v>45807.44377314814</v>
      </c>
      <c r="C636" s="1" t="n">
        <v>46163</v>
      </c>
      <c r="D636" t="inlineStr">
        <is>
          <t>GOTLANDS LÄN</t>
        </is>
      </c>
      <c r="E636" t="inlineStr">
        <is>
          <t>GOTLAND</t>
        </is>
      </c>
      <c r="G636" t="n">
        <v>4.5</v>
      </c>
      <c r="H636" t="n">
        <v>0</v>
      </c>
      <c r="I636" t="n">
        <v>0</v>
      </c>
      <c r="J636" t="n">
        <v>0</v>
      </c>
      <c r="K636" t="n">
        <v>0</v>
      </c>
      <c r="L636" t="n">
        <v>0</v>
      </c>
      <c r="M636" t="n">
        <v>0</v>
      </c>
      <c r="N636" t="n">
        <v>0</v>
      </c>
      <c r="O636" t="n">
        <v>0</v>
      </c>
      <c r="P636" t="n">
        <v>0</v>
      </c>
      <c r="Q636" t="n">
        <v>0</v>
      </c>
      <c r="R636" s="2" t="inlineStr"/>
    </row>
    <row r="637" ht="15" customHeight="1">
      <c r="A637" t="inlineStr">
        <is>
          <t>A 26457-2025</t>
        </is>
      </c>
      <c r="B637" s="1" t="n">
        <v>45807.42773148148</v>
      </c>
      <c r="C637" s="1" t="n">
        <v>46163</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26467-2025</t>
        </is>
      </c>
      <c r="B638" s="1" t="n">
        <v>45807.44640046296</v>
      </c>
      <c r="C638" s="1" t="n">
        <v>46163</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26660-2025</t>
        </is>
      </c>
      <c r="B639" s="1" t="n">
        <v>45810.39737268518</v>
      </c>
      <c r="C639" s="1" t="n">
        <v>46163</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27355-2025</t>
        </is>
      </c>
      <c r="B640" s="1" t="n">
        <v>45812</v>
      </c>
      <c r="C640" s="1" t="n">
        <v>46163</v>
      </c>
      <c r="D640" t="inlineStr">
        <is>
          <t>GOTLANDS LÄN</t>
        </is>
      </c>
      <c r="E640" t="inlineStr">
        <is>
          <t>GOTLAND</t>
        </is>
      </c>
      <c r="G640" t="n">
        <v>1.1</v>
      </c>
      <c r="H640" t="n">
        <v>0</v>
      </c>
      <c r="I640" t="n">
        <v>0</v>
      </c>
      <c r="J640" t="n">
        <v>0</v>
      </c>
      <c r="K640" t="n">
        <v>0</v>
      </c>
      <c r="L640" t="n">
        <v>0</v>
      </c>
      <c r="M640" t="n">
        <v>0</v>
      </c>
      <c r="N640" t="n">
        <v>0</v>
      </c>
      <c r="O640" t="n">
        <v>0</v>
      </c>
      <c r="P640" t="n">
        <v>0</v>
      </c>
      <c r="Q640" t="n">
        <v>0</v>
      </c>
      <c r="R640" s="2" t="inlineStr"/>
    </row>
    <row r="641" ht="15" customHeight="1">
      <c r="A641" t="inlineStr">
        <is>
          <t>A 27371-2025</t>
        </is>
      </c>
      <c r="B641" s="1" t="n">
        <v>45812</v>
      </c>
      <c r="C641" s="1" t="n">
        <v>46163</v>
      </c>
      <c r="D641" t="inlineStr">
        <is>
          <t>GOTLANDS LÄN</t>
        </is>
      </c>
      <c r="E641" t="inlineStr">
        <is>
          <t>GOTLAND</t>
        </is>
      </c>
      <c r="G641" t="n">
        <v>8</v>
      </c>
      <c r="H641" t="n">
        <v>0</v>
      </c>
      <c r="I641" t="n">
        <v>0</v>
      </c>
      <c r="J641" t="n">
        <v>0</v>
      </c>
      <c r="K641" t="n">
        <v>0</v>
      </c>
      <c r="L641" t="n">
        <v>0</v>
      </c>
      <c r="M641" t="n">
        <v>0</v>
      </c>
      <c r="N641" t="n">
        <v>0</v>
      </c>
      <c r="O641" t="n">
        <v>0</v>
      </c>
      <c r="P641" t="n">
        <v>0</v>
      </c>
      <c r="Q641" t="n">
        <v>0</v>
      </c>
      <c r="R641" s="2" t="inlineStr"/>
    </row>
    <row r="642" ht="15" customHeight="1">
      <c r="A642" t="inlineStr">
        <is>
          <t>A 7850-2025</t>
        </is>
      </c>
      <c r="B642" s="1" t="n">
        <v>45706</v>
      </c>
      <c r="C642" s="1" t="n">
        <v>46163</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6739-2025</t>
        </is>
      </c>
      <c r="B643" s="1" t="n">
        <v>45700</v>
      </c>
      <c r="C643" s="1" t="n">
        <v>46163</v>
      </c>
      <c r="D643" t="inlineStr">
        <is>
          <t>GOTLANDS LÄN</t>
        </is>
      </c>
      <c r="E643" t="inlineStr">
        <is>
          <t>GOTLAND</t>
        </is>
      </c>
      <c r="G643" t="n">
        <v>4.5</v>
      </c>
      <c r="H643" t="n">
        <v>0</v>
      </c>
      <c r="I643" t="n">
        <v>0</v>
      </c>
      <c r="J643" t="n">
        <v>0</v>
      </c>
      <c r="K643" t="n">
        <v>0</v>
      </c>
      <c r="L643" t="n">
        <v>0</v>
      </c>
      <c r="M643" t="n">
        <v>0</v>
      </c>
      <c r="N643" t="n">
        <v>0</v>
      </c>
      <c r="O643" t="n">
        <v>0</v>
      </c>
      <c r="P643" t="n">
        <v>0</v>
      </c>
      <c r="Q643" t="n">
        <v>0</v>
      </c>
      <c r="R643" s="2" t="inlineStr"/>
    </row>
    <row r="644" ht="15" customHeight="1">
      <c r="A644" t="inlineStr">
        <is>
          <t>A 8444-2025</t>
        </is>
      </c>
      <c r="B644" s="1" t="n">
        <v>45709</v>
      </c>
      <c r="C644" s="1" t="n">
        <v>46163</v>
      </c>
      <c r="D644" t="inlineStr">
        <is>
          <t>GOTLANDS LÄN</t>
        </is>
      </c>
      <c r="E644" t="inlineStr">
        <is>
          <t>GOTLAND</t>
        </is>
      </c>
      <c r="G644" t="n">
        <v>5.2</v>
      </c>
      <c r="H644" t="n">
        <v>0</v>
      </c>
      <c r="I644" t="n">
        <v>0</v>
      </c>
      <c r="J644" t="n">
        <v>0</v>
      </c>
      <c r="K644" t="n">
        <v>0</v>
      </c>
      <c r="L644" t="n">
        <v>0</v>
      </c>
      <c r="M644" t="n">
        <v>0</v>
      </c>
      <c r="N644" t="n">
        <v>0</v>
      </c>
      <c r="O644" t="n">
        <v>0</v>
      </c>
      <c r="P644" t="n">
        <v>0</v>
      </c>
      <c r="Q644" t="n">
        <v>0</v>
      </c>
      <c r="R644" s="2" t="inlineStr"/>
    </row>
    <row r="645">
      <c r="A645" t="inlineStr">
        <is>
          <t>A 19905-2025</t>
        </is>
      </c>
      <c r="B645" s="1" t="n">
        <v>45771</v>
      </c>
      <c r="C645" s="1" t="n">
        <v>46163</v>
      </c>
      <c r="D645" t="inlineStr">
        <is>
          <t>GOTLANDS LÄN</t>
        </is>
      </c>
      <c r="E645" t="inlineStr">
        <is>
          <t>GOTLAND</t>
        </is>
      </c>
      <c r="G645" t="n">
        <v>1.2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2026-05-21T10:52:27Z</dcterms:created>
  <dcterms:modified xmlns:dcterms="http://purl.org/dc/terms/" xmlns:xsi="http://www.w3.org/2001/XMLSchema-instance" xsi:type="dcterms:W3CDTF">2026-05-21T10:52:27Z</dcterms:modified>
</cp:coreProperties>
</file>