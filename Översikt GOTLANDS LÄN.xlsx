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46142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46142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46142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46142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46142</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46142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46142</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46142</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46142</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46142</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46142</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46142</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46142</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46142</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46142</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46142</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46142</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8645-2025</t>
        </is>
      </c>
      <c r="B19" s="1" t="n">
        <v>45712</v>
      </c>
      <c r="C19" s="1" t="n">
        <v>46142</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46142</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24575-2025</t>
        </is>
      </c>
      <c r="B21" s="1" t="n">
        <v>45798</v>
      </c>
      <c r="C21" s="1" t="n">
        <v>46142</v>
      </c>
      <c r="D21" t="inlineStr">
        <is>
          <t>GOTLANDS LÄN</t>
        </is>
      </c>
      <c r="E21" t="inlineStr">
        <is>
          <t>GOTLAND</t>
        </is>
      </c>
      <c r="G21" t="n">
        <v>6.7</v>
      </c>
      <c r="H21" t="n">
        <v>9</v>
      </c>
      <c r="I21" t="n">
        <v>6</v>
      </c>
      <c r="J21" t="n">
        <v>6</v>
      </c>
      <c r="K21" t="n">
        <v>1</v>
      </c>
      <c r="L21" t="n">
        <v>0</v>
      </c>
      <c r="M21" t="n">
        <v>0</v>
      </c>
      <c r="N21" t="n">
        <v>0</v>
      </c>
      <c r="O21" t="n">
        <v>7</v>
      </c>
      <c r="P21" t="n">
        <v>1</v>
      </c>
      <c r="Q21" t="n">
        <v>16</v>
      </c>
      <c r="R21" s="2" t="inlineStr">
        <is>
          <t>Knärot
Jordtistel
Reliktbock
Solvända
Spillkråka
Svinrot
Ängsstarr
Blåmossa
Nästrot
Skogsknipprot
Sårläka
Tvåblad
Vit skogslilja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6153-2024</t>
        </is>
      </c>
      <c r="B22" s="1" t="n">
        <v>45337</v>
      </c>
      <c r="C22" s="1" t="n">
        <v>46142</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34100-2024</t>
        </is>
      </c>
      <c r="B23" s="1" t="n">
        <v>45523</v>
      </c>
      <c r="C23" s="1" t="n">
        <v>46142</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46142</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15629-2024</t>
        </is>
      </c>
      <c r="B25" s="1" t="n">
        <v>45402.78372685185</v>
      </c>
      <c r="C25" s="1" t="n">
        <v>46142</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61697-2023</t>
        </is>
      </c>
      <c r="B26" s="1" t="n">
        <v>45265</v>
      </c>
      <c r="C26" s="1" t="n">
        <v>46142</v>
      </c>
      <c r="D26" t="inlineStr">
        <is>
          <t>GOTLANDS LÄN</t>
        </is>
      </c>
      <c r="E26" t="inlineStr">
        <is>
          <t>GOTLAND</t>
        </is>
      </c>
      <c r="G26" t="n">
        <v>8.699999999999999</v>
      </c>
      <c r="H26" t="n">
        <v>2</v>
      </c>
      <c r="I26" t="n">
        <v>3</v>
      </c>
      <c r="J26" t="n">
        <v>4</v>
      </c>
      <c r="K26" t="n">
        <v>7</v>
      </c>
      <c r="L26" t="n">
        <v>1</v>
      </c>
      <c r="M26" t="n">
        <v>0</v>
      </c>
      <c r="N26" t="n">
        <v>0</v>
      </c>
      <c r="O26" t="n">
        <v>12</v>
      </c>
      <c r="P26" t="n">
        <v>8</v>
      </c>
      <c r="Q26" t="n">
        <v>15</v>
      </c>
      <c r="R26" s="2" t="inlineStr">
        <is>
          <t>Ryl
Duvspindling
Granrotspindling
Gulsträngad fagerspindling
Läderdoftande fingersvamp
Svartgrön spindling
Tallkejsarspindling
Violettrandad spindling
Denisespindling
Odörspindling
Röd skogslilja
Säfferot
Anisspindling
Murgröna
Nästrot</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62132-2023</t>
        </is>
      </c>
      <c r="B27" s="1" t="n">
        <v>45267</v>
      </c>
      <c r="C27" s="1" t="n">
        <v>46142</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17762-2024</t>
        </is>
      </c>
      <c r="B28" s="1" t="n">
        <v>45418</v>
      </c>
      <c r="C28" s="1" t="n">
        <v>46142</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2222-2024</t>
        </is>
      </c>
      <c r="B29" s="1" t="n">
        <v>45309</v>
      </c>
      <c r="C29" s="1" t="n">
        <v>46142</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46142</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46142</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46142</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46142</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46142</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46142</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61664-2023</t>
        </is>
      </c>
      <c r="B36" s="1" t="n">
        <v>45265</v>
      </c>
      <c r="C36" s="1" t="n">
        <v>46142</v>
      </c>
      <c r="D36" t="inlineStr">
        <is>
          <t>GOTLANDS LÄN</t>
        </is>
      </c>
      <c r="E36" t="inlineStr">
        <is>
          <t>GOTLAND</t>
        </is>
      </c>
      <c r="G36" t="n">
        <v>4.8</v>
      </c>
      <c r="H36" t="n">
        <v>6</v>
      </c>
      <c r="I36" t="n">
        <v>5</v>
      </c>
      <c r="J36" t="n">
        <v>4</v>
      </c>
      <c r="K36" t="n">
        <v>0</v>
      </c>
      <c r="L36" t="n">
        <v>0</v>
      </c>
      <c r="M36" t="n">
        <v>0</v>
      </c>
      <c r="N36" t="n">
        <v>0</v>
      </c>
      <c r="O36" t="n">
        <v>4</v>
      </c>
      <c r="P36" t="n">
        <v>0</v>
      </c>
      <c r="Q36" t="n">
        <v>12</v>
      </c>
      <c r="R36" s="2" t="inlineStr">
        <is>
          <t>Majviva
Odörspindling
Spillkråka
Svinrot
Blå slemspindling
Blåmossa
Nästrot
Skogsknipprot
Svavelriska
Brudsporre
Kärrknipprot
Ängsnycklar</t>
        </is>
      </c>
      <c r="S36">
        <f>HYPERLINK("https://klasma.github.io/Logging_0980/artfynd/A 61664-2023 artfynd.xlsx", "A 61664-2023")</f>
        <v/>
      </c>
      <c r="T36">
        <f>HYPERLINK("https://klasma.github.io/Logging_0980/kartor/A 61664-2023 karta.png", "A 61664-2023")</f>
        <v/>
      </c>
      <c r="V36">
        <f>HYPERLINK("https://klasma.github.io/Logging_0980/klagomål/A 61664-2023 FSC-klagomål.docx", "A 61664-2023")</f>
        <v/>
      </c>
      <c r="W36">
        <f>HYPERLINK("https://klasma.github.io/Logging_0980/klagomålsmail/A 61664-2023 FSC-klagomål mail.docx", "A 61664-2023")</f>
        <v/>
      </c>
      <c r="X36">
        <f>HYPERLINK("https://klasma.github.io/Logging_0980/tillsyn/A 61664-2023 tillsynsbegäran.docx", "A 61664-2023")</f>
        <v/>
      </c>
      <c r="Y36">
        <f>HYPERLINK("https://klasma.github.io/Logging_0980/tillsynsmail/A 61664-2023 tillsynsbegäran mail.docx", "A 61664-2023")</f>
        <v/>
      </c>
      <c r="Z36">
        <f>HYPERLINK("https://klasma.github.io/Logging_0980/fåglar/A 61664-2023 prioriterade fågelarter.docx", "A 61664-2023")</f>
        <v/>
      </c>
    </row>
    <row r="37" ht="15" customHeight="1">
      <c r="A37" t="inlineStr">
        <is>
          <t>A 15850-2025</t>
        </is>
      </c>
      <c r="B37" s="1" t="n">
        <v>45748</v>
      </c>
      <c r="C37" s="1" t="n">
        <v>46142</v>
      </c>
      <c r="D37" t="inlineStr">
        <is>
          <t>GOTLANDS LÄN</t>
        </is>
      </c>
      <c r="E37" t="inlineStr">
        <is>
          <t>GOTLAND</t>
        </is>
      </c>
      <c r="G37" t="n">
        <v>5.1</v>
      </c>
      <c r="H37" t="n">
        <v>5</v>
      </c>
      <c r="I37" t="n">
        <v>3</v>
      </c>
      <c r="J37" t="n">
        <v>5</v>
      </c>
      <c r="K37" t="n">
        <v>2</v>
      </c>
      <c r="L37" t="n">
        <v>0</v>
      </c>
      <c r="M37" t="n">
        <v>0</v>
      </c>
      <c r="N37" t="n">
        <v>0</v>
      </c>
      <c r="O37" t="n">
        <v>8</v>
      </c>
      <c r="P37" t="n">
        <v>2</v>
      </c>
      <c r="Q37" t="n">
        <v>12</v>
      </c>
      <c r="R37" s="2" t="inlineStr">
        <is>
          <t>Gulsträngad fagerspindling
Tvillingspindling
Dårgräsfjäril
Gulsparv
Odörspindling
Spillkråka
Svinrot
Trollspindling
Anisspindling
Mindre märgborre
Skogsknipprot
Sankt pers nycklar</t>
        </is>
      </c>
      <c r="S37">
        <f>HYPERLINK("https://klasma.github.io/Logging_0980/artfynd/A 15850-2025 artfynd.xlsx", "A 15850-2025")</f>
        <v/>
      </c>
      <c r="T37">
        <f>HYPERLINK("https://klasma.github.io/Logging_0980/kartor/A 15850-2025 karta.png", "A 15850-2025")</f>
        <v/>
      </c>
      <c r="V37">
        <f>HYPERLINK("https://klasma.github.io/Logging_0980/klagomål/A 15850-2025 FSC-klagomål.docx", "A 15850-2025")</f>
        <v/>
      </c>
      <c r="W37">
        <f>HYPERLINK("https://klasma.github.io/Logging_0980/klagomålsmail/A 15850-2025 FSC-klagomål mail.docx", "A 15850-2025")</f>
        <v/>
      </c>
      <c r="X37">
        <f>HYPERLINK("https://klasma.github.io/Logging_0980/tillsyn/A 15850-2025 tillsynsbegäran.docx", "A 15850-2025")</f>
        <v/>
      </c>
      <c r="Y37">
        <f>HYPERLINK("https://klasma.github.io/Logging_0980/tillsynsmail/A 15850-2025 tillsynsbegäran mail.docx", "A 15850-2025")</f>
        <v/>
      </c>
      <c r="Z37">
        <f>HYPERLINK("https://klasma.github.io/Logging_0980/fåglar/A 15850-2025 prioriterade fågelarter.docx", "A 15850-2025")</f>
        <v/>
      </c>
    </row>
    <row r="38" ht="15" customHeight="1">
      <c r="A38" t="inlineStr">
        <is>
          <t>A 63872-2021</t>
        </is>
      </c>
      <c r="B38" s="1" t="n">
        <v>44509</v>
      </c>
      <c r="C38" s="1" t="n">
        <v>46142</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46142</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46142</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52223-2025</t>
        </is>
      </c>
      <c r="B41" s="1" t="n">
        <v>45953.44509259259</v>
      </c>
      <c r="C41" s="1" t="n">
        <v>46142</v>
      </c>
      <c r="D41" t="inlineStr">
        <is>
          <t>GOTLANDS LÄN</t>
        </is>
      </c>
      <c r="E41" t="inlineStr">
        <is>
          <t>GOTLAND</t>
        </is>
      </c>
      <c r="F41" t="inlineStr">
        <is>
          <t>Övriga Aktiebolag</t>
        </is>
      </c>
      <c r="G41" t="n">
        <v>5.8</v>
      </c>
      <c r="H41" t="n">
        <v>5</v>
      </c>
      <c r="I41" t="n">
        <v>3</v>
      </c>
      <c r="J41" t="n">
        <v>5</v>
      </c>
      <c r="K41" t="n">
        <v>0</v>
      </c>
      <c r="L41" t="n">
        <v>0</v>
      </c>
      <c r="M41" t="n">
        <v>0</v>
      </c>
      <c r="N41" t="n">
        <v>0</v>
      </c>
      <c r="O41" t="n">
        <v>5</v>
      </c>
      <c r="P41" t="n">
        <v>0</v>
      </c>
      <c r="Q41" t="n">
        <v>11</v>
      </c>
      <c r="R41" s="2" t="inlineStr">
        <is>
          <t>Axveronika
Backtimjan
Solvända
Spillkråka
Ängsstarr
Anisspindling
Murgröna
Skogsknipprot
Brudsporre
Kärrknipprot
Ängsnycklar</t>
        </is>
      </c>
      <c r="S41">
        <f>HYPERLINK("https://klasma.github.io/Logging_0980/artfynd/A 52223-2025 artfynd.xlsx", "A 52223-2025")</f>
        <v/>
      </c>
      <c r="T41">
        <f>HYPERLINK("https://klasma.github.io/Logging_0980/kartor/A 52223-2025 karta.png", "A 52223-2025")</f>
        <v/>
      </c>
      <c r="V41">
        <f>HYPERLINK("https://klasma.github.io/Logging_0980/klagomål/A 52223-2025 FSC-klagomål.docx", "A 52223-2025")</f>
        <v/>
      </c>
      <c r="W41">
        <f>HYPERLINK("https://klasma.github.io/Logging_0980/klagomålsmail/A 52223-2025 FSC-klagomål mail.docx", "A 52223-2025")</f>
        <v/>
      </c>
      <c r="X41">
        <f>HYPERLINK("https://klasma.github.io/Logging_0980/tillsyn/A 52223-2025 tillsynsbegäran.docx", "A 52223-2025")</f>
        <v/>
      </c>
      <c r="Y41">
        <f>HYPERLINK("https://klasma.github.io/Logging_0980/tillsynsmail/A 52223-2025 tillsynsbegäran mail.docx", "A 52223-2025")</f>
        <v/>
      </c>
      <c r="Z41">
        <f>HYPERLINK("https://klasma.github.io/Logging_0980/fåglar/A 52223-2025 prioriterade fågelarter.docx", "A 52223-2025")</f>
        <v/>
      </c>
    </row>
    <row r="42" ht="15" customHeight="1">
      <c r="A42" t="inlineStr">
        <is>
          <t>A 6052-2024</t>
        </is>
      </c>
      <c r="B42" s="1" t="n">
        <v>45336</v>
      </c>
      <c r="C42" s="1" t="n">
        <v>46142</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10274-2026</t>
        </is>
      </c>
      <c r="B43" s="1" t="n">
        <v>46076.58261574074</v>
      </c>
      <c r="C43" s="1" t="n">
        <v>46142</v>
      </c>
      <c r="D43" t="inlineStr">
        <is>
          <t>GOTLANDS LÄN</t>
        </is>
      </c>
      <c r="E43" t="inlineStr">
        <is>
          <t>GOTLAND</t>
        </is>
      </c>
      <c r="G43" t="n">
        <v>9.800000000000001</v>
      </c>
      <c r="H43" t="n">
        <v>4</v>
      </c>
      <c r="I43" t="n">
        <v>3</v>
      </c>
      <c r="J43" t="n">
        <v>4</v>
      </c>
      <c r="K43" t="n">
        <v>1</v>
      </c>
      <c r="L43" t="n">
        <v>0</v>
      </c>
      <c r="M43" t="n">
        <v>0</v>
      </c>
      <c r="N43" t="n">
        <v>0</v>
      </c>
      <c r="O43" t="n">
        <v>5</v>
      </c>
      <c r="P43" t="n">
        <v>1</v>
      </c>
      <c r="Q43" t="n">
        <v>11</v>
      </c>
      <c r="R43" s="2" t="inlineStr">
        <is>
          <t>Gråfingerört
Backstarr
Backtimjan
Reliktbock
Spillkråka
Axag
Grönpyrola
Kragjordstjärna
Alvarstånds
Nattviol
Sankt pers nycklar</t>
        </is>
      </c>
      <c r="S43">
        <f>HYPERLINK("https://klasma.github.io/Logging_0980/artfynd/A 10274-2026 artfynd.xlsx", "A 10274-2026")</f>
        <v/>
      </c>
      <c r="T43">
        <f>HYPERLINK("https://klasma.github.io/Logging_0980/kartor/A 10274-2026 karta.png", "A 10274-2026")</f>
        <v/>
      </c>
      <c r="V43">
        <f>HYPERLINK("https://klasma.github.io/Logging_0980/klagomål/A 10274-2026 FSC-klagomål.docx", "A 10274-2026")</f>
        <v/>
      </c>
      <c r="W43">
        <f>HYPERLINK("https://klasma.github.io/Logging_0980/klagomålsmail/A 10274-2026 FSC-klagomål mail.docx", "A 10274-2026")</f>
        <v/>
      </c>
      <c r="X43">
        <f>HYPERLINK("https://klasma.github.io/Logging_0980/tillsyn/A 10274-2026 tillsynsbegäran.docx", "A 10274-2026")</f>
        <v/>
      </c>
      <c r="Y43">
        <f>HYPERLINK("https://klasma.github.io/Logging_0980/tillsynsmail/A 10274-2026 tillsynsbegäran mail.docx", "A 10274-2026")</f>
        <v/>
      </c>
      <c r="Z43">
        <f>HYPERLINK("https://klasma.github.io/Logging_0980/fåglar/A 10274-2026 prioriterade fågelarter.docx", "A 10274-2026")</f>
        <v/>
      </c>
    </row>
    <row r="44" ht="15" customHeight="1">
      <c r="A44" t="inlineStr">
        <is>
          <t>A 11176-2024</t>
        </is>
      </c>
      <c r="B44" s="1" t="n">
        <v>45371</v>
      </c>
      <c r="C44" s="1" t="n">
        <v>46142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43201-2023</t>
        </is>
      </c>
      <c r="B45" s="1" t="n">
        <v>45183</v>
      </c>
      <c r="C45" s="1" t="n">
        <v>46142</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45248-2024</t>
        </is>
      </c>
      <c r="B46" s="1" t="n">
        <v>45576</v>
      </c>
      <c r="C46" s="1" t="n">
        <v>46142</v>
      </c>
      <c r="D46" t="inlineStr">
        <is>
          <t>GOTLANDS LÄN</t>
        </is>
      </c>
      <c r="E46" t="inlineStr">
        <is>
          <t>GOTLAND</t>
        </is>
      </c>
      <c r="G46" t="n">
        <v>9.4</v>
      </c>
      <c r="H46" t="n">
        <v>0</v>
      </c>
      <c r="I46" t="n">
        <v>6</v>
      </c>
      <c r="J46" t="n">
        <v>1</v>
      </c>
      <c r="K46" t="n">
        <v>1</v>
      </c>
      <c r="L46" t="n">
        <v>1</v>
      </c>
      <c r="M46" t="n">
        <v>1</v>
      </c>
      <c r="N46" t="n">
        <v>0</v>
      </c>
      <c r="O46" t="n">
        <v>4</v>
      </c>
      <c r="P46" t="n">
        <v>3</v>
      </c>
      <c r="Q46" t="n">
        <v>10</v>
      </c>
      <c r="R46" s="2" t="inlineStr">
        <is>
          <t>Lundalm
Ask
Mjölspindling
Oxtungssvamp
Blå slemspindling
Bolmörtsskivling
Myskmadra
Stinkbrosking
Toppvaxing
Underviol</t>
        </is>
      </c>
      <c r="S46">
        <f>HYPERLINK("https://klasma.github.io/Logging_0980/artfynd/A 45248-2024 artfynd.xlsx", "A 45248-2024")</f>
        <v/>
      </c>
      <c r="T46">
        <f>HYPERLINK("https://klasma.github.io/Logging_0980/kartor/A 45248-2024 karta.png", "A 45248-2024")</f>
        <v/>
      </c>
      <c r="V46">
        <f>HYPERLINK("https://klasma.github.io/Logging_0980/klagomål/A 45248-2024 FSC-klagomål.docx", "A 45248-2024")</f>
        <v/>
      </c>
      <c r="W46">
        <f>HYPERLINK("https://klasma.github.io/Logging_0980/klagomålsmail/A 45248-2024 FSC-klagomål mail.docx", "A 45248-2024")</f>
        <v/>
      </c>
      <c r="X46">
        <f>HYPERLINK("https://klasma.github.io/Logging_0980/tillsyn/A 45248-2024 tillsynsbegäran.docx", "A 45248-2024")</f>
        <v/>
      </c>
      <c r="Y46">
        <f>HYPERLINK("https://klasma.github.io/Logging_0980/tillsynsmail/A 45248-2024 tillsynsbegäran mail.docx", "A 45248-2024")</f>
        <v/>
      </c>
    </row>
    <row r="47" ht="15" customHeight="1">
      <c r="A47" t="inlineStr">
        <is>
          <t>A 14354-2024</t>
        </is>
      </c>
      <c r="B47" s="1" t="n">
        <v>45393</v>
      </c>
      <c r="C47" s="1" t="n">
        <v>46142</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46142</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27280-2023</t>
        </is>
      </c>
      <c r="B49" s="1" t="n">
        <v>45096</v>
      </c>
      <c r="C49" s="1" t="n">
        <v>46142</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17766-2024</t>
        </is>
      </c>
      <c r="B50" s="1" t="n">
        <v>45418</v>
      </c>
      <c r="C50" s="1" t="n">
        <v>46142</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584-2023</t>
        </is>
      </c>
      <c r="B51" s="1" t="n">
        <v>44930</v>
      </c>
      <c r="C51" s="1" t="n">
        <v>46142</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46142</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46142</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46142</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46142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46142</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46142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46142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46142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27168-2022</t>
        </is>
      </c>
      <c r="B60" s="1" t="n">
        <v>44741</v>
      </c>
      <c r="C60" s="1" t="n">
        <v>46142</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46142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46142</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46142</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46142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46142</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56687-2025</t>
        </is>
      </c>
      <c r="B66" s="1" t="n">
        <v>45975.84065972222</v>
      </c>
      <c r="C66" s="1" t="n">
        <v>46142</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10419-2025</t>
        </is>
      </c>
      <c r="B67" s="1" t="n">
        <v>45720</v>
      </c>
      <c r="C67" s="1" t="n">
        <v>46142</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46142</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46142</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46142</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54527-2023</t>
        </is>
      </c>
      <c r="B71" s="1" t="n">
        <v>45233</v>
      </c>
      <c r="C71" s="1" t="n">
        <v>46142</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46142</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57773-2025</t>
        </is>
      </c>
      <c r="B73" s="1" t="n">
        <v>45981.56349537037</v>
      </c>
      <c r="C73" s="1" t="n">
        <v>46142</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446-2023</t>
        </is>
      </c>
      <c r="B74" s="1" t="n">
        <v>44929</v>
      </c>
      <c r="C74" s="1" t="n">
        <v>46142</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46142</v>
      </c>
      <c r="D75" t="inlineStr">
        <is>
          <t>GOTLANDS LÄN</t>
        </is>
      </c>
      <c r="E75" t="inlineStr">
        <is>
          <t>GOTLAND</t>
        </is>
      </c>
      <c r="F75" t="inlineStr">
        <is>
          <t>Övriga Aktiebolag</t>
        </is>
      </c>
      <c r="G75" t="n">
        <v>18.1</v>
      </c>
      <c r="H75" t="n">
        <v>3</v>
      </c>
      <c r="I75" t="n">
        <v>0</v>
      </c>
      <c r="J75" t="n">
        <v>5</v>
      </c>
      <c r="K75" t="n">
        <v>0</v>
      </c>
      <c r="L75" t="n">
        <v>0</v>
      </c>
      <c r="M75" t="n">
        <v>0</v>
      </c>
      <c r="N75" t="n">
        <v>0</v>
      </c>
      <c r="O75" t="n">
        <v>5</v>
      </c>
      <c r="P75" t="n">
        <v>0</v>
      </c>
      <c r="Q75" t="n">
        <v>6</v>
      </c>
      <c r="R75" s="2" t="inlineStr">
        <is>
          <t>Apollofjäril
Jordtistel
Klasefibbla
Kråka
Majviva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c r="Z75">
        <f>HYPERLINK("https://klasma.github.io/Logging_0980/fåglar/A 53584-2025 prioriterade fågelarter.docx", "A 53584-2025")</f>
        <v/>
      </c>
    </row>
    <row r="76" ht="15" customHeight="1">
      <c r="A76" t="inlineStr">
        <is>
          <t>A 7038-2023</t>
        </is>
      </c>
      <c r="B76" s="1" t="n">
        <v>44968</v>
      </c>
      <c r="C76" s="1" t="n">
        <v>46142</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46142</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46142</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42936-2024</t>
        </is>
      </c>
      <c r="B79" s="1" t="n">
        <v>45567</v>
      </c>
      <c r="C79" s="1" t="n">
        <v>46142</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6839-2026</t>
        </is>
      </c>
      <c r="B80" s="1" t="n">
        <v>46057.41193287037</v>
      </c>
      <c r="C80" s="1" t="n">
        <v>46142</v>
      </c>
      <c r="D80" t="inlineStr">
        <is>
          <t>GOTLANDS LÄN</t>
        </is>
      </c>
      <c r="E80" t="inlineStr">
        <is>
          <t>GOTLAND</t>
        </is>
      </c>
      <c r="G80" t="n">
        <v>4.9</v>
      </c>
      <c r="H80" t="n">
        <v>0</v>
      </c>
      <c r="I80" t="n">
        <v>1</v>
      </c>
      <c r="J80" t="n">
        <v>2</v>
      </c>
      <c r="K80" t="n">
        <v>2</v>
      </c>
      <c r="L80" t="n">
        <v>0</v>
      </c>
      <c r="M80" t="n">
        <v>0</v>
      </c>
      <c r="N80" t="n">
        <v>0</v>
      </c>
      <c r="O80" t="n">
        <v>4</v>
      </c>
      <c r="P80" t="n">
        <v>2</v>
      </c>
      <c r="Q80" t="n">
        <v>5</v>
      </c>
      <c r="R80" s="2" t="inlineStr">
        <is>
          <t>Mörk kraterlav
Skogskorn
Ekvaxskivling
Mjölmusseron
Besk kastanjemusseron</t>
        </is>
      </c>
      <c r="S80">
        <f>HYPERLINK("https://klasma.github.io/Logging_0980/artfynd/A 6839-2026 artfynd.xlsx", "A 6839-2026")</f>
        <v/>
      </c>
      <c r="T80">
        <f>HYPERLINK("https://klasma.github.io/Logging_0980/kartor/A 6839-2026 karta.png", "A 6839-2026")</f>
        <v/>
      </c>
      <c r="V80">
        <f>HYPERLINK("https://klasma.github.io/Logging_0980/klagomål/A 6839-2026 FSC-klagomål.docx", "A 6839-2026")</f>
        <v/>
      </c>
      <c r="W80">
        <f>HYPERLINK("https://klasma.github.io/Logging_0980/klagomålsmail/A 6839-2026 FSC-klagomål mail.docx", "A 6839-2026")</f>
        <v/>
      </c>
      <c r="X80">
        <f>HYPERLINK("https://klasma.github.io/Logging_0980/tillsyn/A 6839-2026 tillsynsbegäran.docx", "A 6839-2026")</f>
        <v/>
      </c>
      <c r="Y80">
        <f>HYPERLINK("https://klasma.github.io/Logging_0980/tillsynsmail/A 6839-2026 tillsynsbegäran mail.docx", "A 6839-2026")</f>
        <v/>
      </c>
    </row>
    <row r="81" ht="15" customHeight="1">
      <c r="A81" t="inlineStr">
        <is>
          <t>A 35293-2025</t>
        </is>
      </c>
      <c r="B81" s="1" t="n">
        <v>45854.39438657407</v>
      </c>
      <c r="C81" s="1" t="n">
        <v>46142</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46142</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52245-2025</t>
        </is>
      </c>
      <c r="B83" s="1" t="n">
        <v>45953.47115740741</v>
      </c>
      <c r="C83" s="1" t="n">
        <v>46142</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2213-2023</t>
        </is>
      </c>
      <c r="B84" s="1" t="n">
        <v>44942</v>
      </c>
      <c r="C84" s="1" t="n">
        <v>46142</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46142</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46142</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29331-2021</t>
        </is>
      </c>
      <c r="B87" s="1" t="n">
        <v>44361</v>
      </c>
      <c r="C87" s="1" t="n">
        <v>46142</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46142</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46142</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46142</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5904-2024</t>
        </is>
      </c>
      <c r="B91" s="1" t="n">
        <v>45335</v>
      </c>
      <c r="C91" s="1" t="n">
        <v>46142</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6836-2026</t>
        </is>
      </c>
      <c r="B92" s="1" t="n">
        <v>46057.40902777778</v>
      </c>
      <c r="C92" s="1" t="n">
        <v>46142</v>
      </c>
      <c r="D92" t="inlineStr">
        <is>
          <t>GOTLANDS LÄN</t>
        </is>
      </c>
      <c r="E92" t="inlineStr">
        <is>
          <t>GOTLAND</t>
        </is>
      </c>
      <c r="G92" t="n">
        <v>3.8</v>
      </c>
      <c r="H92" t="n">
        <v>1</v>
      </c>
      <c r="I92" t="n">
        <v>3</v>
      </c>
      <c r="J92" t="n">
        <v>0</v>
      </c>
      <c r="K92" t="n">
        <v>1</v>
      </c>
      <c r="L92" t="n">
        <v>0</v>
      </c>
      <c r="M92" t="n">
        <v>0</v>
      </c>
      <c r="N92" t="n">
        <v>0</v>
      </c>
      <c r="O92" t="n">
        <v>1</v>
      </c>
      <c r="P92" t="n">
        <v>1</v>
      </c>
      <c r="Q92" t="n">
        <v>4</v>
      </c>
      <c r="R92" s="2" t="inlineStr">
        <is>
          <t>Knärot
Fransig jordstjärna
Rödgul trumpetsvamp
Svavelriska</t>
        </is>
      </c>
      <c r="S92">
        <f>HYPERLINK("https://klasma.github.io/Logging_0980/artfynd/A 6836-2026 artfynd.xlsx", "A 6836-2026")</f>
        <v/>
      </c>
      <c r="T92">
        <f>HYPERLINK("https://klasma.github.io/Logging_0980/kartor/A 6836-2026 karta.png", "A 6836-2026")</f>
        <v/>
      </c>
      <c r="U92">
        <f>HYPERLINK("https://klasma.github.io/Logging_0980/knärot/A 6836-2026 karta knärot.png", "A 6836-2026")</f>
        <v/>
      </c>
      <c r="V92">
        <f>HYPERLINK("https://klasma.github.io/Logging_0980/klagomål/A 6836-2026 FSC-klagomål.docx", "A 6836-2026")</f>
        <v/>
      </c>
      <c r="W92">
        <f>HYPERLINK("https://klasma.github.io/Logging_0980/klagomålsmail/A 6836-2026 FSC-klagomål mail.docx", "A 6836-2026")</f>
        <v/>
      </c>
      <c r="X92">
        <f>HYPERLINK("https://klasma.github.io/Logging_0980/tillsyn/A 6836-2026 tillsynsbegäran.docx", "A 6836-2026")</f>
        <v/>
      </c>
      <c r="Y92">
        <f>HYPERLINK("https://klasma.github.io/Logging_0980/tillsynsmail/A 6836-2026 tillsynsbegäran mail.docx", "A 6836-2026")</f>
        <v/>
      </c>
    </row>
    <row r="93" ht="15" customHeight="1">
      <c r="A93" t="inlineStr">
        <is>
          <t>A 40099-2025</t>
        </is>
      </c>
      <c r="B93" s="1" t="n">
        <v>45894.48462962963</v>
      </c>
      <c r="C93" s="1" t="n">
        <v>46142</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20833-2024</t>
        </is>
      </c>
      <c r="B94" s="1" t="n">
        <v>45439</v>
      </c>
      <c r="C94" s="1" t="n">
        <v>46142</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57463-2025</t>
        </is>
      </c>
      <c r="B95" s="1" t="n">
        <v>45980.54174768519</v>
      </c>
      <c r="C95" s="1" t="n">
        <v>46142</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13203-2026</t>
        </is>
      </c>
      <c r="B96" s="1" t="n">
        <v>46093</v>
      </c>
      <c r="C96" s="1" t="n">
        <v>46142</v>
      </c>
      <c r="D96" t="inlineStr">
        <is>
          <t>GOTLANDS LÄN</t>
        </is>
      </c>
      <c r="E96" t="inlineStr">
        <is>
          <t>GOTLAND</t>
        </is>
      </c>
      <c r="G96" t="n">
        <v>4.5</v>
      </c>
      <c r="H96" t="n">
        <v>2</v>
      </c>
      <c r="I96" t="n">
        <v>1</v>
      </c>
      <c r="J96" t="n">
        <v>1</v>
      </c>
      <c r="K96" t="n">
        <v>1</v>
      </c>
      <c r="L96" t="n">
        <v>0</v>
      </c>
      <c r="M96" t="n">
        <v>0</v>
      </c>
      <c r="N96" t="n">
        <v>0</v>
      </c>
      <c r="O96" t="n">
        <v>2</v>
      </c>
      <c r="P96" t="n">
        <v>1</v>
      </c>
      <c r="Q96" t="n">
        <v>4</v>
      </c>
      <c r="R96" s="2" t="inlineStr">
        <is>
          <t>Gotlandsmåra
Svinrot
Nästrot
Grönvit nattviol</t>
        </is>
      </c>
      <c r="S96">
        <f>HYPERLINK("https://klasma.github.io/Logging_0980/artfynd/A 13203-2026 artfynd.xlsx", "A 13203-2026")</f>
        <v/>
      </c>
      <c r="T96">
        <f>HYPERLINK("https://klasma.github.io/Logging_0980/kartor/A 13203-2026 karta.png", "A 13203-2026")</f>
        <v/>
      </c>
      <c r="V96">
        <f>HYPERLINK("https://klasma.github.io/Logging_0980/klagomål/A 13203-2026 FSC-klagomål.docx", "A 13203-2026")</f>
        <v/>
      </c>
      <c r="W96">
        <f>HYPERLINK("https://klasma.github.io/Logging_0980/klagomålsmail/A 13203-2026 FSC-klagomål mail.docx", "A 13203-2026")</f>
        <v/>
      </c>
      <c r="X96">
        <f>HYPERLINK("https://klasma.github.io/Logging_0980/tillsyn/A 13203-2026 tillsynsbegäran.docx", "A 13203-2026")</f>
        <v/>
      </c>
      <c r="Y96">
        <f>HYPERLINK("https://klasma.github.io/Logging_0980/tillsynsmail/A 13203-2026 tillsynsbegäran mail.docx", "A 13203-2026")</f>
        <v/>
      </c>
    </row>
    <row r="97" ht="15" customHeight="1">
      <c r="A97" t="inlineStr">
        <is>
          <t>A 44933-2022</t>
        </is>
      </c>
      <c r="B97" s="1" t="n">
        <v>44841</v>
      </c>
      <c r="C97" s="1" t="n">
        <v>46142</v>
      </c>
      <c r="D97" t="inlineStr">
        <is>
          <t>GOTLANDS LÄN</t>
        </is>
      </c>
      <c r="E97" t="inlineStr">
        <is>
          <t>GOTLAND</t>
        </is>
      </c>
      <c r="G97" t="n">
        <v>4.5</v>
      </c>
      <c r="H97" t="n">
        <v>1</v>
      </c>
      <c r="I97" t="n">
        <v>2</v>
      </c>
      <c r="J97" t="n">
        <v>2</v>
      </c>
      <c r="K97" t="n">
        <v>0</v>
      </c>
      <c r="L97" t="n">
        <v>0</v>
      </c>
      <c r="M97" t="n">
        <v>0</v>
      </c>
      <c r="N97" t="n">
        <v>0</v>
      </c>
      <c r="O97" t="n">
        <v>2</v>
      </c>
      <c r="P97" t="n">
        <v>0</v>
      </c>
      <c r="Q97" t="n">
        <v>4</v>
      </c>
      <c r="R97" s="2" t="inlineStr">
        <is>
          <t>Ekvaxskivling
Odörspindling
Skarp dropptaggsvamp
Skogsknipprot</t>
        </is>
      </c>
      <c r="S97">
        <f>HYPERLINK("https://klasma.github.io/Logging_0980/artfynd/A 44933-2022 artfynd.xlsx", "A 44933-2022")</f>
        <v/>
      </c>
      <c r="T97">
        <f>HYPERLINK("https://klasma.github.io/Logging_0980/kartor/A 44933-2022 karta.png", "A 44933-2022")</f>
        <v/>
      </c>
      <c r="V97">
        <f>HYPERLINK("https://klasma.github.io/Logging_0980/klagomål/A 44933-2022 FSC-klagomål.docx", "A 44933-2022")</f>
        <v/>
      </c>
      <c r="W97">
        <f>HYPERLINK("https://klasma.github.io/Logging_0980/klagomålsmail/A 44933-2022 FSC-klagomål mail.docx", "A 44933-2022")</f>
        <v/>
      </c>
      <c r="X97">
        <f>HYPERLINK("https://klasma.github.io/Logging_0980/tillsyn/A 44933-2022 tillsynsbegäran.docx", "A 44933-2022")</f>
        <v/>
      </c>
      <c r="Y97">
        <f>HYPERLINK("https://klasma.github.io/Logging_0980/tillsynsmail/A 44933-2022 tillsynsbegäran mail.docx", "A 44933-2022")</f>
        <v/>
      </c>
    </row>
    <row r="98" ht="15" customHeight="1">
      <c r="A98" t="inlineStr">
        <is>
          <t>A 2485-2025</t>
        </is>
      </c>
      <c r="B98" s="1" t="n">
        <v>45673</v>
      </c>
      <c r="C98" s="1" t="n">
        <v>46142</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54523-2023</t>
        </is>
      </c>
      <c r="B99" s="1" t="n">
        <v>45233</v>
      </c>
      <c r="C99" s="1" t="n">
        <v>46142</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52250-2025</t>
        </is>
      </c>
      <c r="B100" s="1" t="n">
        <v>45953.48998842593</v>
      </c>
      <c r="C100" s="1" t="n">
        <v>46142</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8265-2023</t>
        </is>
      </c>
      <c r="B101" s="1" t="n">
        <v>44974</v>
      </c>
      <c r="C101" s="1" t="n">
        <v>46142</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46142</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46142</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46142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46142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46142</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46142</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46142</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20831-2024</t>
        </is>
      </c>
      <c r="B109" s="1" t="n">
        <v>45439</v>
      </c>
      <c r="C109" s="1" t="n">
        <v>46142</v>
      </c>
      <c r="D109" t="inlineStr">
        <is>
          <t>GOTLANDS LÄN</t>
        </is>
      </c>
      <c r="E109" t="inlineStr">
        <is>
          <t>GOTLAND</t>
        </is>
      </c>
      <c r="G109" t="n">
        <v>2.9</v>
      </c>
      <c r="H109" t="n">
        <v>2</v>
      </c>
      <c r="I109" t="n">
        <v>1</v>
      </c>
      <c r="J109" t="n">
        <v>2</v>
      </c>
      <c r="K109" t="n">
        <v>0</v>
      </c>
      <c r="L109" t="n">
        <v>0</v>
      </c>
      <c r="M109" t="n">
        <v>0</v>
      </c>
      <c r="N109" t="n">
        <v>0</v>
      </c>
      <c r="O109" t="n">
        <v>2</v>
      </c>
      <c r="P109" t="n">
        <v>0</v>
      </c>
      <c r="Q109" t="n">
        <v>3</v>
      </c>
      <c r="R109" s="2" t="inlineStr">
        <is>
          <t>Dårgräsfjäril
Svinrot
Skogsknipprot</t>
        </is>
      </c>
      <c r="S109">
        <f>HYPERLINK("https://klasma.github.io/Logging_0980/artfynd/A 20831-2024 artfynd.xlsx", "A 20831-2024")</f>
        <v/>
      </c>
      <c r="T109">
        <f>HYPERLINK("https://klasma.github.io/Logging_0980/kartor/A 20831-2024 karta.png", "A 20831-2024")</f>
        <v/>
      </c>
      <c r="V109">
        <f>HYPERLINK("https://klasma.github.io/Logging_0980/klagomål/A 20831-2024 FSC-klagomål.docx", "A 20831-2024")</f>
        <v/>
      </c>
      <c r="W109">
        <f>HYPERLINK("https://klasma.github.io/Logging_0980/klagomålsmail/A 20831-2024 FSC-klagomål mail.docx", "A 20831-2024")</f>
        <v/>
      </c>
      <c r="X109">
        <f>HYPERLINK("https://klasma.github.io/Logging_0980/tillsyn/A 20831-2024 tillsynsbegäran.docx", "A 20831-2024")</f>
        <v/>
      </c>
      <c r="Y109">
        <f>HYPERLINK("https://klasma.github.io/Logging_0980/tillsynsmail/A 20831-2024 tillsynsbegäran mail.docx", "A 20831-2024")</f>
        <v/>
      </c>
    </row>
    <row r="110" ht="15" customHeight="1">
      <c r="A110" t="inlineStr">
        <is>
          <t>A 43013-2022</t>
        </is>
      </c>
      <c r="B110" s="1" t="n">
        <v>44833</v>
      </c>
      <c r="C110" s="1" t="n">
        <v>46142</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5235-2025</t>
        </is>
      </c>
      <c r="B111" s="1" t="n">
        <v>45692.26797453704</v>
      </c>
      <c r="C111" s="1" t="n">
        <v>46142</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1520-2026</t>
        </is>
      </c>
      <c r="B112" s="1" t="n">
        <v>46034.35891203704</v>
      </c>
      <c r="C112" s="1" t="n">
        <v>46142</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53552-2021</t>
        </is>
      </c>
      <c r="B113" s="1" t="n">
        <v>44468</v>
      </c>
      <c r="C113" s="1" t="n">
        <v>46142</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55334-2024</t>
        </is>
      </c>
      <c r="B114" s="1" t="n">
        <v>45621</v>
      </c>
      <c r="C114" s="1" t="n">
        <v>46142</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17982-2023</t>
        </is>
      </c>
      <c r="B115" s="1" t="n">
        <v>45040</v>
      </c>
      <c r="C115" s="1" t="n">
        <v>46142</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49709-2025</t>
        </is>
      </c>
      <c r="B116" s="1" t="n">
        <v>45939.68228009259</v>
      </c>
      <c r="C116" s="1" t="n">
        <v>46142</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17975-2024</t>
        </is>
      </c>
      <c r="B117" s="1" t="n">
        <v>45419.85546296297</v>
      </c>
      <c r="C117" s="1" t="n">
        <v>46142</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46142</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46142</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46142</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46142</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46142</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46142</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46142</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46142</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62760-2025</t>
        </is>
      </c>
      <c r="B126" s="1" t="n">
        <v>46008</v>
      </c>
      <c r="C126" s="1" t="n">
        <v>46142</v>
      </c>
      <c r="D126" t="inlineStr">
        <is>
          <t>GOTLANDS LÄN</t>
        </is>
      </c>
      <c r="E126" t="inlineStr">
        <is>
          <t>GOTLAND</t>
        </is>
      </c>
      <c r="F126" t="inlineStr">
        <is>
          <t>Övriga Aktiebolag</t>
        </is>
      </c>
      <c r="G126" t="n">
        <v>4.6</v>
      </c>
      <c r="H126" t="n">
        <v>1</v>
      </c>
      <c r="I126" t="n">
        <v>2</v>
      </c>
      <c r="J126" t="n">
        <v>0</v>
      </c>
      <c r="K126" t="n">
        <v>0</v>
      </c>
      <c r="L126" t="n">
        <v>0</v>
      </c>
      <c r="M126" t="n">
        <v>0</v>
      </c>
      <c r="N126" t="n">
        <v>0</v>
      </c>
      <c r="O126" t="n">
        <v>0</v>
      </c>
      <c r="P126" t="n">
        <v>0</v>
      </c>
      <c r="Q126" t="n">
        <v>2</v>
      </c>
      <c r="R126" s="2" t="inlineStr">
        <is>
          <t>Nästrot
Vårärt</t>
        </is>
      </c>
      <c r="S126">
        <f>HYPERLINK("https://klasma.github.io/Logging_0980/artfynd/A 62760-2025 artfynd.xlsx", "A 62760-2025")</f>
        <v/>
      </c>
      <c r="T126">
        <f>HYPERLINK("https://klasma.github.io/Logging_0980/kartor/A 62760-2025 karta.png", "A 62760-2025")</f>
        <v/>
      </c>
      <c r="V126">
        <f>HYPERLINK("https://klasma.github.io/Logging_0980/klagomål/A 62760-2025 FSC-klagomål.docx", "A 62760-2025")</f>
        <v/>
      </c>
      <c r="W126">
        <f>HYPERLINK("https://klasma.github.io/Logging_0980/klagomålsmail/A 62760-2025 FSC-klagomål mail.docx", "A 62760-2025")</f>
        <v/>
      </c>
      <c r="X126">
        <f>HYPERLINK("https://klasma.github.io/Logging_0980/tillsyn/A 62760-2025 tillsynsbegäran.docx", "A 62760-2025")</f>
        <v/>
      </c>
      <c r="Y126">
        <f>HYPERLINK("https://klasma.github.io/Logging_0980/tillsynsmail/A 62760-2025 tillsynsbegäran mail.docx", "A 62760-2025")</f>
        <v/>
      </c>
    </row>
    <row r="127" ht="15" customHeight="1">
      <c r="A127" t="inlineStr">
        <is>
          <t>A 63162-2025</t>
        </is>
      </c>
      <c r="B127" s="1" t="n">
        <v>46010.37629629629</v>
      </c>
      <c r="C127" s="1" t="n">
        <v>46142</v>
      </c>
      <c r="D127" t="inlineStr">
        <is>
          <t>GOTLANDS LÄN</t>
        </is>
      </c>
      <c r="E127" t="inlineStr">
        <is>
          <t>GOTLAND</t>
        </is>
      </c>
      <c r="G127" t="n">
        <v>3.5</v>
      </c>
      <c r="H127" t="n">
        <v>0</v>
      </c>
      <c r="I127" t="n">
        <v>1</v>
      </c>
      <c r="J127" t="n">
        <v>0</v>
      </c>
      <c r="K127" t="n">
        <v>1</v>
      </c>
      <c r="L127" t="n">
        <v>0</v>
      </c>
      <c r="M127" t="n">
        <v>0</v>
      </c>
      <c r="N127" t="n">
        <v>0</v>
      </c>
      <c r="O127" t="n">
        <v>1</v>
      </c>
      <c r="P127" t="n">
        <v>1</v>
      </c>
      <c r="Q127" t="n">
        <v>2</v>
      </c>
      <c r="R127" s="2" t="inlineStr">
        <is>
          <t>Gotlandsmåra
Myskmadra</t>
        </is>
      </c>
      <c r="S127">
        <f>HYPERLINK("https://klasma.github.io/Logging_0980/artfynd/A 63162-2025 artfynd.xlsx", "A 63162-2025")</f>
        <v/>
      </c>
      <c r="T127">
        <f>HYPERLINK("https://klasma.github.io/Logging_0980/kartor/A 63162-2025 karta.png", "A 63162-2025")</f>
        <v/>
      </c>
      <c r="V127">
        <f>HYPERLINK("https://klasma.github.io/Logging_0980/klagomål/A 63162-2025 FSC-klagomål.docx", "A 63162-2025")</f>
        <v/>
      </c>
      <c r="W127">
        <f>HYPERLINK("https://klasma.github.io/Logging_0980/klagomålsmail/A 63162-2025 FSC-klagomål mail.docx", "A 63162-2025")</f>
        <v/>
      </c>
      <c r="X127">
        <f>HYPERLINK("https://klasma.github.io/Logging_0980/tillsyn/A 63162-2025 tillsynsbegäran.docx", "A 63162-2025")</f>
        <v/>
      </c>
      <c r="Y127">
        <f>HYPERLINK("https://klasma.github.io/Logging_0980/tillsynsmail/A 63162-2025 tillsynsbegäran mail.docx", "A 63162-2025")</f>
        <v/>
      </c>
    </row>
    <row r="128" ht="15" customHeight="1">
      <c r="A128" t="inlineStr">
        <is>
          <t>A 16997-2026</t>
        </is>
      </c>
      <c r="B128" s="1" t="n">
        <v>46114.42539351852</v>
      </c>
      <c r="C128" s="1" t="n">
        <v>46142</v>
      </c>
      <c r="D128" t="inlineStr">
        <is>
          <t>GOTLANDS LÄN</t>
        </is>
      </c>
      <c r="E128" t="inlineStr">
        <is>
          <t>GOTLAND</t>
        </is>
      </c>
      <c r="G128" t="n">
        <v>0.7</v>
      </c>
      <c r="H128" t="n">
        <v>0</v>
      </c>
      <c r="I128" t="n">
        <v>1</v>
      </c>
      <c r="J128" t="n">
        <v>0</v>
      </c>
      <c r="K128" t="n">
        <v>0</v>
      </c>
      <c r="L128" t="n">
        <v>1</v>
      </c>
      <c r="M128" t="n">
        <v>0</v>
      </c>
      <c r="N128" t="n">
        <v>0</v>
      </c>
      <c r="O128" t="n">
        <v>1</v>
      </c>
      <c r="P128" t="n">
        <v>1</v>
      </c>
      <c r="Q128" t="n">
        <v>2</v>
      </c>
      <c r="R128" s="2" t="inlineStr">
        <is>
          <t>Ask
Hasselticka</t>
        </is>
      </c>
      <c r="S128">
        <f>HYPERLINK("https://klasma.github.io/Logging_0980/artfynd/A 16997-2026 artfynd.xlsx", "A 16997-2026")</f>
        <v/>
      </c>
      <c r="T128">
        <f>HYPERLINK("https://klasma.github.io/Logging_0980/kartor/A 16997-2026 karta.png", "A 16997-2026")</f>
        <v/>
      </c>
      <c r="V128">
        <f>HYPERLINK("https://klasma.github.io/Logging_0980/klagomål/A 16997-2026 FSC-klagomål.docx", "A 16997-2026")</f>
        <v/>
      </c>
      <c r="W128">
        <f>HYPERLINK("https://klasma.github.io/Logging_0980/klagomålsmail/A 16997-2026 FSC-klagomål mail.docx", "A 16997-2026")</f>
        <v/>
      </c>
      <c r="X128">
        <f>HYPERLINK("https://klasma.github.io/Logging_0980/tillsyn/A 16997-2026 tillsynsbegäran.docx", "A 16997-2026")</f>
        <v/>
      </c>
      <c r="Y128">
        <f>HYPERLINK("https://klasma.github.io/Logging_0980/tillsynsmail/A 16997-2026 tillsynsbegäran mail.docx", "A 16997-2026")</f>
        <v/>
      </c>
    </row>
    <row r="129" ht="15" customHeight="1">
      <c r="A129" t="inlineStr">
        <is>
          <t>A 20838-2024</t>
        </is>
      </c>
      <c r="B129" s="1" t="n">
        <v>45439</v>
      </c>
      <c r="C129" s="1" t="n">
        <v>46142</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46142</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20429-2025</t>
        </is>
      </c>
      <c r="B131" s="1" t="n">
        <v>45775.47728009259</v>
      </c>
      <c r="C131" s="1" t="n">
        <v>46142</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7070-2022</t>
        </is>
      </c>
      <c r="B132" s="1" t="n">
        <v>44603</v>
      </c>
      <c r="C132" s="1" t="n">
        <v>46142</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46142</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46142</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46142</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46142</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46142</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46142</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46142</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46142</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46142</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44304-2021</t>
        </is>
      </c>
      <c r="B142" s="1" t="n">
        <v>44434</v>
      </c>
      <c r="C142" s="1" t="n">
        <v>46142</v>
      </c>
      <c r="D142" t="inlineStr">
        <is>
          <t>GOTLANDS LÄN</t>
        </is>
      </c>
      <c r="E142" t="inlineStr">
        <is>
          <t>GOTLAND</t>
        </is>
      </c>
      <c r="G142" t="n">
        <v>5.8</v>
      </c>
      <c r="H142" t="n">
        <v>0</v>
      </c>
      <c r="I142" t="n">
        <v>0</v>
      </c>
      <c r="J142" t="n">
        <v>1</v>
      </c>
      <c r="K142" t="n">
        <v>0</v>
      </c>
      <c r="L142" t="n">
        <v>0</v>
      </c>
      <c r="M142" t="n">
        <v>0</v>
      </c>
      <c r="N142" t="n">
        <v>0</v>
      </c>
      <c r="O142" t="n">
        <v>1</v>
      </c>
      <c r="P142" t="n">
        <v>0</v>
      </c>
      <c r="Q142" t="n">
        <v>1</v>
      </c>
      <c r="R142" s="2" t="inlineStr">
        <is>
          <t>Svinrot</t>
        </is>
      </c>
      <c r="S142">
        <f>HYPERLINK("https://klasma.github.io/Logging_0980/artfynd/A 44304-2021 artfynd.xlsx", "A 44304-2021")</f>
        <v/>
      </c>
      <c r="T142">
        <f>HYPERLINK("https://klasma.github.io/Logging_0980/kartor/A 44304-2021 karta.png", "A 44304-2021")</f>
        <v/>
      </c>
      <c r="V142">
        <f>HYPERLINK("https://klasma.github.io/Logging_0980/klagomål/A 44304-2021 FSC-klagomål.docx", "A 44304-2021")</f>
        <v/>
      </c>
      <c r="W142">
        <f>HYPERLINK("https://klasma.github.io/Logging_0980/klagomålsmail/A 44304-2021 FSC-klagomål mail.docx", "A 44304-2021")</f>
        <v/>
      </c>
      <c r="X142">
        <f>HYPERLINK("https://klasma.github.io/Logging_0980/tillsyn/A 44304-2021 tillsynsbegäran.docx", "A 44304-2021")</f>
        <v/>
      </c>
      <c r="Y142">
        <f>HYPERLINK("https://klasma.github.io/Logging_0980/tillsynsmail/A 44304-2021 tillsynsbegäran mail.docx", "A 44304-2021")</f>
        <v/>
      </c>
    </row>
    <row r="143" ht="15" customHeight="1">
      <c r="A143" t="inlineStr">
        <is>
          <t>A 25977-2024</t>
        </is>
      </c>
      <c r="B143" s="1" t="n">
        <v>45467.69356481481</v>
      </c>
      <c r="C143" s="1" t="n">
        <v>46142</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26461-2025</t>
        </is>
      </c>
      <c r="B144" s="1" t="n">
        <v>45807.43337962963</v>
      </c>
      <c r="C144" s="1" t="n">
        <v>46142</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65927-2021</t>
        </is>
      </c>
      <c r="B145" s="1" t="n">
        <v>44516</v>
      </c>
      <c r="C145" s="1" t="n">
        <v>46142</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61796-2022</t>
        </is>
      </c>
      <c r="B146" s="1" t="n">
        <v>44917</v>
      </c>
      <c r="C146" s="1" t="n">
        <v>46142</v>
      </c>
      <c r="D146" t="inlineStr">
        <is>
          <t>GOTLANDS LÄN</t>
        </is>
      </c>
      <c r="E146" t="inlineStr">
        <is>
          <t>GOTLAND</t>
        </is>
      </c>
      <c r="G146" t="n">
        <v>1.5</v>
      </c>
      <c r="H146" t="n">
        <v>1</v>
      </c>
      <c r="I146" t="n">
        <v>0</v>
      </c>
      <c r="J146" t="n">
        <v>0</v>
      </c>
      <c r="K146" t="n">
        <v>0</v>
      </c>
      <c r="L146" t="n">
        <v>0</v>
      </c>
      <c r="M146" t="n">
        <v>0</v>
      </c>
      <c r="N146" t="n">
        <v>0</v>
      </c>
      <c r="O146" t="n">
        <v>0</v>
      </c>
      <c r="P146" t="n">
        <v>0</v>
      </c>
      <c r="Q146" t="n">
        <v>1</v>
      </c>
      <c r="R146" s="2" t="inlineStr">
        <is>
          <t>Skogsduva</t>
        </is>
      </c>
      <c r="S146">
        <f>HYPERLINK("https://klasma.github.io/Logging_0980/artfynd/A 61796-2022 artfynd.xlsx", "A 61796-2022")</f>
        <v/>
      </c>
      <c r="T146">
        <f>HYPERLINK("https://klasma.github.io/Logging_0980/kartor/A 61796-2022 karta.png", "A 61796-2022")</f>
        <v/>
      </c>
      <c r="V146">
        <f>HYPERLINK("https://klasma.github.io/Logging_0980/klagomål/A 61796-2022 FSC-klagomål.docx", "A 61796-2022")</f>
        <v/>
      </c>
      <c r="W146">
        <f>HYPERLINK("https://klasma.github.io/Logging_0980/klagomålsmail/A 61796-2022 FSC-klagomål mail.docx", "A 61796-2022")</f>
        <v/>
      </c>
      <c r="X146">
        <f>HYPERLINK("https://klasma.github.io/Logging_0980/tillsyn/A 61796-2022 tillsynsbegäran.docx", "A 61796-2022")</f>
        <v/>
      </c>
      <c r="Y146">
        <f>HYPERLINK("https://klasma.github.io/Logging_0980/tillsynsmail/A 61796-2022 tillsynsbegäran mail.docx", "A 61796-2022")</f>
        <v/>
      </c>
      <c r="Z146">
        <f>HYPERLINK("https://klasma.github.io/Logging_0980/fåglar/A 61796-2022 prioriterade fågelarter.docx", "A 61796-2022")</f>
        <v/>
      </c>
    </row>
    <row r="147" ht="15" customHeight="1">
      <c r="A147" t="inlineStr">
        <is>
          <t>A 15637-2024</t>
        </is>
      </c>
      <c r="B147" s="1" t="n">
        <v>45403.6684837963</v>
      </c>
      <c r="C147" s="1" t="n">
        <v>46142</v>
      </c>
      <c r="D147" t="inlineStr">
        <is>
          <t>GOTLANDS LÄN</t>
        </is>
      </c>
      <c r="E147" t="inlineStr">
        <is>
          <t>GOTLAND</t>
        </is>
      </c>
      <c r="G147" t="n">
        <v>4.1</v>
      </c>
      <c r="H147" t="n">
        <v>1</v>
      </c>
      <c r="I147" t="n">
        <v>0</v>
      </c>
      <c r="J147" t="n">
        <v>0</v>
      </c>
      <c r="K147" t="n">
        <v>0</v>
      </c>
      <c r="L147" t="n">
        <v>0</v>
      </c>
      <c r="M147" t="n">
        <v>0</v>
      </c>
      <c r="N147" t="n">
        <v>0</v>
      </c>
      <c r="O147" t="n">
        <v>0</v>
      </c>
      <c r="P147" t="n">
        <v>0</v>
      </c>
      <c r="Q147" t="n">
        <v>1</v>
      </c>
      <c r="R147" s="2" t="inlineStr">
        <is>
          <t>Blåsippa</t>
        </is>
      </c>
      <c r="S147">
        <f>HYPERLINK("https://klasma.github.io/Logging_0980/artfynd/A 15637-2024 artfynd.xlsx", "A 15637-2024")</f>
        <v/>
      </c>
      <c r="T147">
        <f>HYPERLINK("https://klasma.github.io/Logging_0980/kartor/A 15637-2024 karta.png", "A 15637-2024")</f>
        <v/>
      </c>
      <c r="V147">
        <f>HYPERLINK("https://klasma.github.io/Logging_0980/klagomål/A 15637-2024 FSC-klagomål.docx", "A 15637-2024")</f>
        <v/>
      </c>
      <c r="W147">
        <f>HYPERLINK("https://klasma.github.io/Logging_0980/klagomålsmail/A 15637-2024 FSC-klagomål mail.docx", "A 15637-2024")</f>
        <v/>
      </c>
      <c r="X147">
        <f>HYPERLINK("https://klasma.github.io/Logging_0980/tillsyn/A 15637-2024 tillsynsbegäran.docx", "A 15637-2024")</f>
        <v/>
      </c>
      <c r="Y147">
        <f>HYPERLINK("https://klasma.github.io/Logging_0980/tillsynsmail/A 15637-2024 tillsynsbegäran mail.docx", "A 15637-2024")</f>
        <v/>
      </c>
    </row>
    <row r="148" ht="15" customHeight="1">
      <c r="A148" t="inlineStr">
        <is>
          <t>A 39812-2025</t>
        </is>
      </c>
      <c r="B148" s="1" t="n">
        <v>45891</v>
      </c>
      <c r="C148" s="1" t="n">
        <v>46142</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34141-2024</t>
        </is>
      </c>
      <c r="B149" s="1" t="n">
        <v>45524.36229166666</v>
      </c>
      <c r="C149" s="1" t="n">
        <v>46142</v>
      </c>
      <c r="D149" t="inlineStr">
        <is>
          <t>GOTLANDS LÄN</t>
        </is>
      </c>
      <c r="E149" t="inlineStr">
        <is>
          <t>GOTLAND</t>
        </is>
      </c>
      <c r="G149" t="n">
        <v>0.9</v>
      </c>
      <c r="H149" t="n">
        <v>0</v>
      </c>
      <c r="I149" t="n">
        <v>1</v>
      </c>
      <c r="J149" t="n">
        <v>0</v>
      </c>
      <c r="K149" t="n">
        <v>0</v>
      </c>
      <c r="L149" t="n">
        <v>0</v>
      </c>
      <c r="M149" t="n">
        <v>0</v>
      </c>
      <c r="N149" t="n">
        <v>0</v>
      </c>
      <c r="O149" t="n">
        <v>0</v>
      </c>
      <c r="P149" t="n">
        <v>0</v>
      </c>
      <c r="Q149" t="n">
        <v>1</v>
      </c>
      <c r="R149" s="2" t="inlineStr">
        <is>
          <t>Strävlosta</t>
        </is>
      </c>
      <c r="S149">
        <f>HYPERLINK("https://klasma.github.io/Logging_0980/artfynd/A 34141-2024 artfynd.xlsx", "A 34141-2024")</f>
        <v/>
      </c>
      <c r="T149">
        <f>HYPERLINK("https://klasma.github.io/Logging_0980/kartor/A 34141-2024 karta.png", "A 34141-2024")</f>
        <v/>
      </c>
      <c r="V149">
        <f>HYPERLINK("https://klasma.github.io/Logging_0980/klagomål/A 34141-2024 FSC-klagomål.docx", "A 34141-2024")</f>
        <v/>
      </c>
      <c r="W149">
        <f>HYPERLINK("https://klasma.github.io/Logging_0980/klagomålsmail/A 34141-2024 FSC-klagomål mail.docx", "A 34141-2024")</f>
        <v/>
      </c>
      <c r="X149">
        <f>HYPERLINK("https://klasma.github.io/Logging_0980/tillsyn/A 34141-2024 tillsynsbegäran.docx", "A 34141-2024")</f>
        <v/>
      </c>
      <c r="Y149">
        <f>HYPERLINK("https://klasma.github.io/Logging_0980/tillsynsmail/A 34141-2024 tillsynsbegäran mail.docx", "A 34141-2024")</f>
        <v/>
      </c>
    </row>
    <row r="150" ht="15" customHeight="1">
      <c r="A150" t="inlineStr">
        <is>
          <t>A 9862-2024</t>
        </is>
      </c>
      <c r="B150" s="1" t="n">
        <v>45363</v>
      </c>
      <c r="C150" s="1" t="n">
        <v>46142</v>
      </c>
      <c r="D150" t="inlineStr">
        <is>
          <t>GOTLANDS LÄN</t>
        </is>
      </c>
      <c r="E150" t="inlineStr">
        <is>
          <t>GOTLAND</t>
        </is>
      </c>
      <c r="G150" t="n">
        <v>3.5</v>
      </c>
      <c r="H150" t="n">
        <v>1</v>
      </c>
      <c r="I150" t="n">
        <v>0</v>
      </c>
      <c r="J150" t="n">
        <v>0</v>
      </c>
      <c r="K150" t="n">
        <v>0</v>
      </c>
      <c r="L150" t="n">
        <v>0</v>
      </c>
      <c r="M150" t="n">
        <v>0</v>
      </c>
      <c r="N150" t="n">
        <v>0</v>
      </c>
      <c r="O150" t="n">
        <v>0</v>
      </c>
      <c r="P150" t="n">
        <v>0</v>
      </c>
      <c r="Q150" t="n">
        <v>1</v>
      </c>
      <c r="R150" s="2" t="inlineStr">
        <is>
          <t>Nattviol</t>
        </is>
      </c>
      <c r="S150">
        <f>HYPERLINK("https://klasma.github.io/Logging_0980/artfynd/A 9862-2024 artfynd.xlsx", "A 9862-2024")</f>
        <v/>
      </c>
      <c r="T150">
        <f>HYPERLINK("https://klasma.github.io/Logging_0980/kartor/A 9862-2024 karta.png", "A 9862-2024")</f>
        <v/>
      </c>
      <c r="V150">
        <f>HYPERLINK("https://klasma.github.io/Logging_0980/klagomål/A 9862-2024 FSC-klagomål.docx", "A 9862-2024")</f>
        <v/>
      </c>
      <c r="W150">
        <f>HYPERLINK("https://klasma.github.io/Logging_0980/klagomålsmail/A 9862-2024 FSC-klagomål mail.docx", "A 9862-2024")</f>
        <v/>
      </c>
      <c r="X150">
        <f>HYPERLINK("https://klasma.github.io/Logging_0980/tillsyn/A 9862-2024 tillsynsbegäran.docx", "A 9862-2024")</f>
        <v/>
      </c>
      <c r="Y150">
        <f>HYPERLINK("https://klasma.github.io/Logging_0980/tillsynsmail/A 9862-2024 tillsynsbegäran mail.docx", "A 9862-2024")</f>
        <v/>
      </c>
    </row>
    <row r="151" ht="15" customHeight="1">
      <c r="A151" t="inlineStr">
        <is>
          <t>A 2476-2025</t>
        </is>
      </c>
      <c r="B151" s="1" t="n">
        <v>45673</v>
      </c>
      <c r="C151" s="1" t="n">
        <v>46142</v>
      </c>
      <c r="D151" t="inlineStr">
        <is>
          <t>GOTLANDS LÄN</t>
        </is>
      </c>
      <c r="E151" t="inlineStr">
        <is>
          <t>GOTLAND</t>
        </is>
      </c>
      <c r="G151" t="n">
        <v>3.1</v>
      </c>
      <c r="H151" t="n">
        <v>0</v>
      </c>
      <c r="I151" t="n">
        <v>1</v>
      </c>
      <c r="J151" t="n">
        <v>0</v>
      </c>
      <c r="K151" t="n">
        <v>0</v>
      </c>
      <c r="L151" t="n">
        <v>0</v>
      </c>
      <c r="M151" t="n">
        <v>0</v>
      </c>
      <c r="N151" t="n">
        <v>0</v>
      </c>
      <c r="O151" t="n">
        <v>0</v>
      </c>
      <c r="P151" t="n">
        <v>0</v>
      </c>
      <c r="Q151" t="n">
        <v>1</v>
      </c>
      <c r="R151" s="2" t="inlineStr">
        <is>
          <t>Kryddspindling</t>
        </is>
      </c>
      <c r="S151">
        <f>HYPERLINK("https://klasma.github.io/Logging_0980/artfynd/A 2476-2025 artfynd.xlsx", "A 2476-2025")</f>
        <v/>
      </c>
      <c r="T151">
        <f>HYPERLINK("https://klasma.github.io/Logging_0980/kartor/A 2476-2025 karta.png", "A 2476-2025")</f>
        <v/>
      </c>
      <c r="V151">
        <f>HYPERLINK("https://klasma.github.io/Logging_0980/klagomål/A 2476-2025 FSC-klagomål.docx", "A 2476-2025")</f>
        <v/>
      </c>
      <c r="W151">
        <f>HYPERLINK("https://klasma.github.io/Logging_0980/klagomålsmail/A 2476-2025 FSC-klagomål mail.docx", "A 2476-2025")</f>
        <v/>
      </c>
      <c r="X151">
        <f>HYPERLINK("https://klasma.github.io/Logging_0980/tillsyn/A 2476-2025 tillsynsbegäran.docx", "A 2476-2025")</f>
        <v/>
      </c>
      <c r="Y151">
        <f>HYPERLINK("https://klasma.github.io/Logging_0980/tillsynsmail/A 2476-2025 tillsynsbegäran mail.docx", "A 2476-2025")</f>
        <v/>
      </c>
    </row>
    <row r="152" ht="15" customHeight="1">
      <c r="A152" t="inlineStr">
        <is>
          <t>A 63149-2025</t>
        </is>
      </c>
      <c r="B152" s="1" t="n">
        <v>46010</v>
      </c>
      <c r="C152" s="1" t="n">
        <v>46142</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Anisspindling</t>
        </is>
      </c>
      <c r="S152">
        <f>HYPERLINK("https://klasma.github.io/Logging_0980/artfynd/A 63149-2025 artfynd.xlsx", "A 63149-2025")</f>
        <v/>
      </c>
      <c r="T152">
        <f>HYPERLINK("https://klasma.github.io/Logging_0980/kartor/A 63149-2025 karta.png", "A 63149-2025")</f>
        <v/>
      </c>
      <c r="V152">
        <f>HYPERLINK("https://klasma.github.io/Logging_0980/klagomål/A 63149-2025 FSC-klagomål.docx", "A 63149-2025")</f>
        <v/>
      </c>
      <c r="W152">
        <f>HYPERLINK("https://klasma.github.io/Logging_0980/klagomålsmail/A 63149-2025 FSC-klagomål mail.docx", "A 63149-2025")</f>
        <v/>
      </c>
      <c r="X152">
        <f>HYPERLINK("https://klasma.github.io/Logging_0980/tillsyn/A 63149-2025 tillsynsbegäran.docx", "A 63149-2025")</f>
        <v/>
      </c>
      <c r="Y152">
        <f>HYPERLINK("https://klasma.github.io/Logging_0980/tillsynsmail/A 63149-2025 tillsynsbegäran mail.docx", "A 63149-2025")</f>
        <v/>
      </c>
    </row>
    <row r="153" ht="15" customHeight="1">
      <c r="A153" t="inlineStr">
        <is>
          <t>A 10013-2026</t>
        </is>
      </c>
      <c r="B153" s="1" t="n">
        <v>46073</v>
      </c>
      <c r="C153" s="1" t="n">
        <v>46142</v>
      </c>
      <c r="D153" t="inlineStr">
        <is>
          <t>GOTLANDS LÄN</t>
        </is>
      </c>
      <c r="E153" t="inlineStr">
        <is>
          <t>GOTLAND</t>
        </is>
      </c>
      <c r="G153" t="n">
        <v>10.5</v>
      </c>
      <c r="H153" t="n">
        <v>0</v>
      </c>
      <c r="I153" t="n">
        <v>0</v>
      </c>
      <c r="J153" t="n">
        <v>0</v>
      </c>
      <c r="K153" t="n">
        <v>1</v>
      </c>
      <c r="L153" t="n">
        <v>0</v>
      </c>
      <c r="M153" t="n">
        <v>0</v>
      </c>
      <c r="N153" t="n">
        <v>0</v>
      </c>
      <c r="O153" t="n">
        <v>1</v>
      </c>
      <c r="P153" t="n">
        <v>1</v>
      </c>
      <c r="Q153" t="n">
        <v>1</v>
      </c>
      <c r="R153" s="2" t="inlineStr">
        <is>
          <t>Skogskorn</t>
        </is>
      </c>
      <c r="S153">
        <f>HYPERLINK("https://klasma.github.io/Logging_0980/artfynd/A 10013-2026 artfynd.xlsx", "A 10013-2026")</f>
        <v/>
      </c>
      <c r="T153">
        <f>HYPERLINK("https://klasma.github.io/Logging_0980/kartor/A 10013-2026 karta.png", "A 10013-2026")</f>
        <v/>
      </c>
      <c r="V153">
        <f>HYPERLINK("https://klasma.github.io/Logging_0980/klagomål/A 10013-2026 FSC-klagomål.docx", "A 10013-2026")</f>
        <v/>
      </c>
      <c r="W153">
        <f>HYPERLINK("https://klasma.github.io/Logging_0980/klagomålsmail/A 10013-2026 FSC-klagomål mail.docx", "A 10013-2026")</f>
        <v/>
      </c>
      <c r="X153">
        <f>HYPERLINK("https://klasma.github.io/Logging_0980/tillsyn/A 10013-2026 tillsynsbegäran.docx", "A 10013-2026")</f>
        <v/>
      </c>
      <c r="Y153">
        <f>HYPERLINK("https://klasma.github.io/Logging_0980/tillsynsmail/A 10013-2026 tillsynsbegäran mail.docx", "A 10013-2026")</f>
        <v/>
      </c>
    </row>
    <row r="154" ht="15" customHeight="1">
      <c r="A154" t="inlineStr">
        <is>
          <t>A 10995-2023</t>
        </is>
      </c>
      <c r="B154" s="1" t="n">
        <v>44986</v>
      </c>
      <c r="C154" s="1" t="n">
        <v>46142</v>
      </c>
      <c r="D154" t="inlineStr">
        <is>
          <t>GOTLANDS LÄN</t>
        </is>
      </c>
      <c r="E154" t="inlineStr">
        <is>
          <t>GOTLAND</t>
        </is>
      </c>
      <c r="G154" t="n">
        <v>2.8</v>
      </c>
      <c r="H154" t="n">
        <v>0</v>
      </c>
      <c r="I154" t="n">
        <v>0</v>
      </c>
      <c r="J154" t="n">
        <v>0</v>
      </c>
      <c r="K154" t="n">
        <v>1</v>
      </c>
      <c r="L154" t="n">
        <v>0</v>
      </c>
      <c r="M154" t="n">
        <v>0</v>
      </c>
      <c r="N154" t="n">
        <v>0</v>
      </c>
      <c r="O154" t="n">
        <v>1</v>
      </c>
      <c r="P154" t="n">
        <v>1</v>
      </c>
      <c r="Q154" t="n">
        <v>1</v>
      </c>
      <c r="R154" s="2" t="inlineStr">
        <is>
          <t>Violettfläckig spindling</t>
        </is>
      </c>
      <c r="S154">
        <f>HYPERLINK("https://klasma.github.io/Logging_0980/artfynd/A 10995-2023 artfynd.xlsx", "A 10995-2023")</f>
        <v/>
      </c>
      <c r="T154">
        <f>HYPERLINK("https://klasma.github.io/Logging_0980/kartor/A 10995-2023 karta.png", "A 10995-2023")</f>
        <v/>
      </c>
      <c r="V154">
        <f>HYPERLINK("https://klasma.github.io/Logging_0980/klagomål/A 10995-2023 FSC-klagomål.docx", "A 10995-2023")</f>
        <v/>
      </c>
      <c r="W154">
        <f>HYPERLINK("https://klasma.github.io/Logging_0980/klagomålsmail/A 10995-2023 FSC-klagomål mail.docx", "A 10995-2023")</f>
        <v/>
      </c>
      <c r="X154">
        <f>HYPERLINK("https://klasma.github.io/Logging_0980/tillsyn/A 10995-2023 tillsynsbegäran.docx", "A 10995-2023")</f>
        <v/>
      </c>
      <c r="Y154">
        <f>HYPERLINK("https://klasma.github.io/Logging_0980/tillsynsmail/A 10995-2023 tillsynsbegäran mail.docx", "A 10995-2023")</f>
        <v/>
      </c>
    </row>
    <row r="155" ht="15" customHeight="1">
      <c r="A155" t="inlineStr">
        <is>
          <t>A 17854-2026</t>
        </is>
      </c>
      <c r="B155" s="1" t="n">
        <v>46121</v>
      </c>
      <c r="C155" s="1" t="n">
        <v>46142</v>
      </c>
      <c r="D155" t="inlineStr">
        <is>
          <t>GOTLANDS LÄN</t>
        </is>
      </c>
      <c r="E155" t="inlineStr">
        <is>
          <t>GOTLAND</t>
        </is>
      </c>
      <c r="G155" t="n">
        <v>6.6</v>
      </c>
      <c r="H155" t="n">
        <v>0</v>
      </c>
      <c r="I155" t="n">
        <v>1</v>
      </c>
      <c r="J155" t="n">
        <v>0</v>
      </c>
      <c r="K155" t="n">
        <v>0</v>
      </c>
      <c r="L155" t="n">
        <v>0</v>
      </c>
      <c r="M155" t="n">
        <v>0</v>
      </c>
      <c r="N155" t="n">
        <v>0</v>
      </c>
      <c r="O155" t="n">
        <v>0</v>
      </c>
      <c r="P155" t="n">
        <v>0</v>
      </c>
      <c r="Q155" t="n">
        <v>1</v>
      </c>
      <c r="R155" s="2" t="inlineStr">
        <is>
          <t>Blå slemspindling</t>
        </is>
      </c>
      <c r="S155">
        <f>HYPERLINK("https://klasma.github.io/Logging_0980/artfynd/A 17854-2026 artfynd.xlsx", "A 17854-2026")</f>
        <v/>
      </c>
      <c r="T155">
        <f>HYPERLINK("https://klasma.github.io/Logging_0980/kartor/A 17854-2026 karta.png", "A 17854-2026")</f>
        <v/>
      </c>
      <c r="V155">
        <f>HYPERLINK("https://klasma.github.io/Logging_0980/klagomål/A 17854-2026 FSC-klagomål.docx", "A 17854-2026")</f>
        <v/>
      </c>
      <c r="W155">
        <f>HYPERLINK("https://klasma.github.io/Logging_0980/klagomålsmail/A 17854-2026 FSC-klagomål mail.docx", "A 17854-2026")</f>
        <v/>
      </c>
      <c r="X155">
        <f>HYPERLINK("https://klasma.github.io/Logging_0980/tillsyn/A 17854-2026 tillsynsbegäran.docx", "A 17854-2026")</f>
        <v/>
      </c>
      <c r="Y155">
        <f>HYPERLINK("https://klasma.github.io/Logging_0980/tillsynsmail/A 17854-2026 tillsynsbegäran mail.docx", "A 17854-2026")</f>
        <v/>
      </c>
    </row>
    <row r="156" ht="15" customHeight="1">
      <c r="A156" t="inlineStr">
        <is>
          <t>A 18036-2026</t>
        </is>
      </c>
      <c r="B156" s="1" t="n">
        <v>46125.39576388889</v>
      </c>
      <c r="C156" s="1" t="n">
        <v>46142</v>
      </c>
      <c r="D156" t="inlineStr">
        <is>
          <t>GOTLANDS LÄN</t>
        </is>
      </c>
      <c r="E156" t="inlineStr">
        <is>
          <t>GOTLAND</t>
        </is>
      </c>
      <c r="G156" t="n">
        <v>1.8</v>
      </c>
      <c r="H156" t="n">
        <v>0</v>
      </c>
      <c r="I156" t="n">
        <v>0</v>
      </c>
      <c r="J156" t="n">
        <v>1</v>
      </c>
      <c r="K156" t="n">
        <v>0</v>
      </c>
      <c r="L156" t="n">
        <v>0</v>
      </c>
      <c r="M156" t="n">
        <v>0</v>
      </c>
      <c r="N156" t="n">
        <v>0</v>
      </c>
      <c r="O156" t="n">
        <v>1</v>
      </c>
      <c r="P156" t="n">
        <v>0</v>
      </c>
      <c r="Q156" t="n">
        <v>1</v>
      </c>
      <c r="R156" s="2" t="inlineStr">
        <is>
          <t>Sommarfibbla</t>
        </is>
      </c>
      <c r="S156">
        <f>HYPERLINK("https://klasma.github.io/Logging_0980/artfynd/A 18036-2026 artfynd.xlsx", "A 18036-2026")</f>
        <v/>
      </c>
      <c r="T156">
        <f>HYPERLINK("https://klasma.github.io/Logging_0980/kartor/A 18036-2026 karta.png", "A 18036-2026")</f>
        <v/>
      </c>
      <c r="V156">
        <f>HYPERLINK("https://klasma.github.io/Logging_0980/klagomål/A 18036-2026 FSC-klagomål.docx", "A 18036-2026")</f>
        <v/>
      </c>
      <c r="W156">
        <f>HYPERLINK("https://klasma.github.io/Logging_0980/klagomålsmail/A 18036-2026 FSC-klagomål mail.docx", "A 18036-2026")</f>
        <v/>
      </c>
      <c r="X156">
        <f>HYPERLINK("https://klasma.github.io/Logging_0980/tillsyn/A 18036-2026 tillsynsbegäran.docx", "A 18036-2026")</f>
        <v/>
      </c>
      <c r="Y156">
        <f>HYPERLINK("https://klasma.github.io/Logging_0980/tillsynsmail/A 18036-2026 tillsynsbegäran mail.docx", "A 18036-2026")</f>
        <v/>
      </c>
    </row>
    <row r="157" ht="15" customHeight="1">
      <c r="A157" t="inlineStr">
        <is>
          <t>A 12924-2025</t>
        </is>
      </c>
      <c r="B157" s="1" t="n">
        <v>45734</v>
      </c>
      <c r="C157" s="1" t="n">
        <v>46142</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62552-2022</t>
        </is>
      </c>
      <c r="B158" s="1" t="n">
        <v>44924</v>
      </c>
      <c r="C158" s="1" t="n">
        <v>46142</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11708-2026</t>
        </is>
      </c>
      <c r="B159" s="1" t="n">
        <v>46084</v>
      </c>
      <c r="C159" s="1" t="n">
        <v>46142</v>
      </c>
      <c r="D159" t="inlineStr">
        <is>
          <t>GOTLANDS LÄN</t>
        </is>
      </c>
      <c r="E159" t="inlineStr">
        <is>
          <t>GOTLAND</t>
        </is>
      </c>
      <c r="G159" t="n">
        <v>8.4</v>
      </c>
      <c r="H159" t="n">
        <v>1</v>
      </c>
      <c r="I159" t="n">
        <v>0</v>
      </c>
      <c r="J159" t="n">
        <v>1</v>
      </c>
      <c r="K159" t="n">
        <v>0</v>
      </c>
      <c r="L159" t="n">
        <v>0</v>
      </c>
      <c r="M159" t="n">
        <v>0</v>
      </c>
      <c r="N159" t="n">
        <v>0</v>
      </c>
      <c r="O159" t="n">
        <v>1</v>
      </c>
      <c r="P159" t="n">
        <v>0</v>
      </c>
      <c r="Q159" t="n">
        <v>1</v>
      </c>
      <c r="R159" s="2" t="inlineStr">
        <is>
          <t>Bredarun</t>
        </is>
      </c>
      <c r="S159">
        <f>HYPERLINK("https://klasma.github.io/Logging_0980/artfynd/A 11708-2026 artfynd.xlsx", "A 11708-2026")</f>
        <v/>
      </c>
      <c r="T159">
        <f>HYPERLINK("https://klasma.github.io/Logging_0980/kartor/A 11708-2026 karta.png", "A 11708-2026")</f>
        <v/>
      </c>
      <c r="V159">
        <f>HYPERLINK("https://klasma.github.io/Logging_0980/klagomål/A 11708-2026 FSC-klagomål.docx", "A 11708-2026")</f>
        <v/>
      </c>
      <c r="W159">
        <f>HYPERLINK("https://klasma.github.io/Logging_0980/klagomålsmail/A 11708-2026 FSC-klagomål mail.docx", "A 11708-2026")</f>
        <v/>
      </c>
      <c r="X159">
        <f>HYPERLINK("https://klasma.github.io/Logging_0980/tillsyn/A 11708-2026 tillsynsbegäran.docx", "A 11708-2026")</f>
        <v/>
      </c>
      <c r="Y159">
        <f>HYPERLINK("https://klasma.github.io/Logging_0980/tillsynsmail/A 11708-2026 tillsynsbegäran mail.docx", "A 11708-2026")</f>
        <v/>
      </c>
    </row>
    <row r="160" ht="15" customHeight="1">
      <c r="A160" t="inlineStr">
        <is>
          <t>A 44088-2022</t>
        </is>
      </c>
      <c r="B160" s="1" t="n">
        <v>44839</v>
      </c>
      <c r="C160" s="1" t="n">
        <v>46142</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Strävlosta</t>
        </is>
      </c>
      <c r="S160">
        <f>HYPERLINK("https://klasma.github.io/Logging_0980/artfynd/A 44088-2022 artfynd.xlsx", "A 44088-2022")</f>
        <v/>
      </c>
      <c r="T160">
        <f>HYPERLINK("https://klasma.github.io/Logging_0980/kartor/A 44088-2022 karta.png", "A 44088-2022")</f>
        <v/>
      </c>
      <c r="V160">
        <f>HYPERLINK("https://klasma.github.io/Logging_0980/klagomål/A 44088-2022 FSC-klagomål.docx", "A 44088-2022")</f>
        <v/>
      </c>
      <c r="W160">
        <f>HYPERLINK("https://klasma.github.io/Logging_0980/klagomålsmail/A 44088-2022 FSC-klagomål mail.docx", "A 44088-2022")</f>
        <v/>
      </c>
      <c r="X160">
        <f>HYPERLINK("https://klasma.github.io/Logging_0980/tillsyn/A 44088-2022 tillsynsbegäran.docx", "A 44088-2022")</f>
        <v/>
      </c>
      <c r="Y160">
        <f>HYPERLINK("https://klasma.github.io/Logging_0980/tillsynsmail/A 44088-2022 tillsynsbegäran mail.docx", "A 44088-2022")</f>
        <v/>
      </c>
    </row>
    <row r="161" ht="15" customHeight="1">
      <c r="A161" t="inlineStr">
        <is>
          <t>A 44308-2021</t>
        </is>
      </c>
      <c r="B161" s="1" t="n">
        <v>44434</v>
      </c>
      <c r="C161" s="1" t="n">
        <v>46142</v>
      </c>
      <c r="D161" t="inlineStr">
        <is>
          <t>GOTLANDS LÄN</t>
        </is>
      </c>
      <c r="E161" t="inlineStr">
        <is>
          <t>GOTLAND</t>
        </is>
      </c>
      <c r="G161" t="n">
        <v>5.9</v>
      </c>
      <c r="H161" t="n">
        <v>0</v>
      </c>
      <c r="I161" t="n">
        <v>1</v>
      </c>
      <c r="J161" t="n">
        <v>0</v>
      </c>
      <c r="K161" t="n">
        <v>0</v>
      </c>
      <c r="L161" t="n">
        <v>0</v>
      </c>
      <c r="M161" t="n">
        <v>0</v>
      </c>
      <c r="N161" t="n">
        <v>0</v>
      </c>
      <c r="O161" t="n">
        <v>0</v>
      </c>
      <c r="P161" t="n">
        <v>0</v>
      </c>
      <c r="Q161" t="n">
        <v>1</v>
      </c>
      <c r="R161" s="2" t="inlineStr">
        <is>
          <t>Svavelriska</t>
        </is>
      </c>
      <c r="S161">
        <f>HYPERLINK("https://klasma.github.io/Logging_0980/artfynd/A 44308-2021 artfynd.xlsx", "A 44308-2021")</f>
        <v/>
      </c>
      <c r="T161">
        <f>HYPERLINK("https://klasma.github.io/Logging_0980/kartor/A 44308-2021 karta.png", "A 44308-2021")</f>
        <v/>
      </c>
      <c r="V161">
        <f>HYPERLINK("https://klasma.github.io/Logging_0980/klagomål/A 44308-2021 FSC-klagomål.docx", "A 44308-2021")</f>
        <v/>
      </c>
      <c r="W161">
        <f>HYPERLINK("https://klasma.github.io/Logging_0980/klagomålsmail/A 44308-2021 FSC-klagomål mail.docx", "A 44308-2021")</f>
        <v/>
      </c>
      <c r="X161">
        <f>HYPERLINK("https://klasma.github.io/Logging_0980/tillsyn/A 44308-2021 tillsynsbegäran.docx", "A 44308-2021")</f>
        <v/>
      </c>
      <c r="Y161">
        <f>HYPERLINK("https://klasma.github.io/Logging_0980/tillsynsmail/A 44308-2021 tillsynsbegäran mail.docx", "A 44308-2021")</f>
        <v/>
      </c>
    </row>
    <row r="162" ht="15" customHeight="1">
      <c r="A162" t="inlineStr">
        <is>
          <t>A 13482-2026</t>
        </is>
      </c>
      <c r="B162" s="1" t="n">
        <v>46094</v>
      </c>
      <c r="C162" s="1" t="n">
        <v>46142</v>
      </c>
      <c r="D162" t="inlineStr">
        <is>
          <t>GOTLANDS LÄN</t>
        </is>
      </c>
      <c r="E162" t="inlineStr">
        <is>
          <t>GOTLAND</t>
        </is>
      </c>
      <c r="G162" t="n">
        <v>1.7</v>
      </c>
      <c r="H162" t="n">
        <v>1</v>
      </c>
      <c r="I162" t="n">
        <v>0</v>
      </c>
      <c r="J162" t="n">
        <v>1</v>
      </c>
      <c r="K162" t="n">
        <v>0</v>
      </c>
      <c r="L162" t="n">
        <v>0</v>
      </c>
      <c r="M162" t="n">
        <v>0</v>
      </c>
      <c r="N162" t="n">
        <v>0</v>
      </c>
      <c r="O162" t="n">
        <v>1</v>
      </c>
      <c r="P162" t="n">
        <v>0</v>
      </c>
      <c r="Q162" t="n">
        <v>1</v>
      </c>
      <c r="R162" s="2" t="inlineStr">
        <is>
          <t>Spillkråka</t>
        </is>
      </c>
      <c r="S162">
        <f>HYPERLINK("https://klasma.github.io/Logging_0980/artfynd/A 13482-2026 artfynd.xlsx", "A 13482-2026")</f>
        <v/>
      </c>
      <c r="T162">
        <f>HYPERLINK("https://klasma.github.io/Logging_0980/kartor/A 13482-2026 karta.png", "A 13482-2026")</f>
        <v/>
      </c>
      <c r="V162">
        <f>HYPERLINK("https://klasma.github.io/Logging_0980/klagomål/A 13482-2026 FSC-klagomål.docx", "A 13482-2026")</f>
        <v/>
      </c>
      <c r="W162">
        <f>HYPERLINK("https://klasma.github.io/Logging_0980/klagomålsmail/A 13482-2026 FSC-klagomål mail.docx", "A 13482-2026")</f>
        <v/>
      </c>
      <c r="X162">
        <f>HYPERLINK("https://klasma.github.io/Logging_0980/tillsyn/A 13482-2026 tillsynsbegäran.docx", "A 13482-2026")</f>
        <v/>
      </c>
      <c r="Y162">
        <f>HYPERLINK("https://klasma.github.io/Logging_0980/tillsynsmail/A 13482-2026 tillsynsbegäran mail.docx", "A 13482-2026")</f>
        <v/>
      </c>
      <c r="Z162">
        <f>HYPERLINK("https://klasma.github.io/Logging_0980/fåglar/A 13482-2026 prioriterade fågelarter.docx", "A 13482-2026")</f>
        <v/>
      </c>
    </row>
    <row r="163" ht="15" customHeight="1">
      <c r="A163" t="inlineStr">
        <is>
          <t>A 447-2023</t>
        </is>
      </c>
      <c r="B163" s="1" t="n">
        <v>44929</v>
      </c>
      <c r="C163" s="1" t="n">
        <v>46142</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35467-2021</t>
        </is>
      </c>
      <c r="B164" s="1" t="n">
        <v>44385</v>
      </c>
      <c r="C164" s="1" t="n">
        <v>46142</v>
      </c>
      <c r="D164" t="inlineStr">
        <is>
          <t>GOTLANDS LÄN</t>
        </is>
      </c>
      <c r="E164" t="inlineStr">
        <is>
          <t>GOTLAND</t>
        </is>
      </c>
      <c r="G164" t="n">
        <v>12.7</v>
      </c>
      <c r="H164" t="n">
        <v>0</v>
      </c>
      <c r="I164" t="n">
        <v>0</v>
      </c>
      <c r="J164" t="n">
        <v>1</v>
      </c>
      <c r="K164" t="n">
        <v>0</v>
      </c>
      <c r="L164" t="n">
        <v>0</v>
      </c>
      <c r="M164" t="n">
        <v>0</v>
      </c>
      <c r="N164" t="n">
        <v>0</v>
      </c>
      <c r="O164" t="n">
        <v>1</v>
      </c>
      <c r="P164" t="n">
        <v>0</v>
      </c>
      <c r="Q164" t="n">
        <v>1</v>
      </c>
      <c r="R164" s="2" t="inlineStr">
        <is>
          <t>Loppstarr</t>
        </is>
      </c>
      <c r="S164">
        <f>HYPERLINK("https://klasma.github.io/Logging_0980/artfynd/A 35467-2021 artfynd.xlsx", "A 35467-2021")</f>
        <v/>
      </c>
      <c r="T164">
        <f>HYPERLINK("https://klasma.github.io/Logging_0980/kartor/A 35467-2021 karta.png", "A 35467-2021")</f>
        <v/>
      </c>
      <c r="V164">
        <f>HYPERLINK("https://klasma.github.io/Logging_0980/klagomål/A 35467-2021 FSC-klagomål.docx", "A 35467-2021")</f>
        <v/>
      </c>
      <c r="W164">
        <f>HYPERLINK("https://klasma.github.io/Logging_0980/klagomålsmail/A 35467-2021 FSC-klagomål mail.docx", "A 35467-2021")</f>
        <v/>
      </c>
      <c r="X164">
        <f>HYPERLINK("https://klasma.github.io/Logging_0980/tillsyn/A 35467-2021 tillsynsbegäran.docx", "A 35467-2021")</f>
        <v/>
      </c>
      <c r="Y164">
        <f>HYPERLINK("https://klasma.github.io/Logging_0980/tillsynsmail/A 35467-2021 tillsynsbegäran mail.docx", "A 35467-2021")</f>
        <v/>
      </c>
    </row>
    <row r="165" ht="15" customHeight="1">
      <c r="A165" t="inlineStr">
        <is>
          <t>A 44619-2025</t>
        </is>
      </c>
      <c r="B165" s="1" t="n">
        <v>45917</v>
      </c>
      <c r="C165" s="1" t="n">
        <v>46142</v>
      </c>
      <c r="D165" t="inlineStr">
        <is>
          <t>GOTLANDS LÄN</t>
        </is>
      </c>
      <c r="E165" t="inlineStr">
        <is>
          <t>GOTLAND</t>
        </is>
      </c>
      <c r="G165" t="n">
        <v>4.3</v>
      </c>
      <c r="H165" t="n">
        <v>0</v>
      </c>
      <c r="I165" t="n">
        <v>1</v>
      </c>
      <c r="J165" t="n">
        <v>0</v>
      </c>
      <c r="K165" t="n">
        <v>0</v>
      </c>
      <c r="L165" t="n">
        <v>0</v>
      </c>
      <c r="M165" t="n">
        <v>0</v>
      </c>
      <c r="N165" t="n">
        <v>0</v>
      </c>
      <c r="O165" t="n">
        <v>0</v>
      </c>
      <c r="P165" t="n">
        <v>0</v>
      </c>
      <c r="Q165" t="n">
        <v>1</v>
      </c>
      <c r="R165" s="2" t="inlineStr">
        <is>
          <t>Ögonpyrola</t>
        </is>
      </c>
      <c r="S165">
        <f>HYPERLINK("https://klasma.github.io/Logging_0980/artfynd/A 44619-2025 artfynd.xlsx", "A 44619-2025")</f>
        <v/>
      </c>
      <c r="T165">
        <f>HYPERLINK("https://klasma.github.io/Logging_0980/kartor/A 44619-2025 karta.png", "A 44619-2025")</f>
        <v/>
      </c>
      <c r="V165">
        <f>HYPERLINK("https://klasma.github.io/Logging_0980/klagomål/A 44619-2025 FSC-klagomål.docx", "A 44619-2025")</f>
        <v/>
      </c>
      <c r="W165">
        <f>HYPERLINK("https://klasma.github.io/Logging_0980/klagomålsmail/A 44619-2025 FSC-klagomål mail.docx", "A 44619-2025")</f>
        <v/>
      </c>
      <c r="X165">
        <f>HYPERLINK("https://klasma.github.io/Logging_0980/tillsyn/A 44619-2025 tillsynsbegäran.docx", "A 44619-2025")</f>
        <v/>
      </c>
      <c r="Y165">
        <f>HYPERLINK("https://klasma.github.io/Logging_0980/tillsynsmail/A 44619-2025 tillsynsbegäran mail.docx", "A 44619-2025")</f>
        <v/>
      </c>
    </row>
    <row r="166" ht="15" customHeight="1">
      <c r="A166" t="inlineStr">
        <is>
          <t>A 947-2023</t>
        </is>
      </c>
      <c r="B166" s="1" t="n">
        <v>44934</v>
      </c>
      <c r="C166" s="1" t="n">
        <v>46142</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46142</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63576-2021</t>
        </is>
      </c>
      <c r="B168" s="1" t="n">
        <v>44508</v>
      </c>
      <c r="C168" s="1" t="n">
        <v>46142</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64700-2021</t>
        </is>
      </c>
      <c r="B169" s="1" t="n">
        <v>44511</v>
      </c>
      <c r="C169" s="1" t="n">
        <v>46142</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27589-2023</t>
        </is>
      </c>
      <c r="B170" s="1" t="n">
        <v>45097</v>
      </c>
      <c r="C170" s="1" t="n">
        <v>46142</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46142</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46142</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46142</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49726-2025</t>
        </is>
      </c>
      <c r="B174" s="1" t="n">
        <v>45939.84466435185</v>
      </c>
      <c r="C174" s="1" t="n">
        <v>46142</v>
      </c>
      <c r="D174" t="inlineStr">
        <is>
          <t>GOTLANDS LÄN</t>
        </is>
      </c>
      <c r="E174" t="inlineStr">
        <is>
          <t>GOTLAND</t>
        </is>
      </c>
      <c r="F174" t="inlineStr">
        <is>
          <t>Kyrkan</t>
        </is>
      </c>
      <c r="G174" t="n">
        <v>5.4</v>
      </c>
      <c r="H174" t="n">
        <v>0</v>
      </c>
      <c r="I174" t="n">
        <v>0</v>
      </c>
      <c r="J174" t="n">
        <v>1</v>
      </c>
      <c r="K174" t="n">
        <v>0</v>
      </c>
      <c r="L174" t="n">
        <v>0</v>
      </c>
      <c r="M174" t="n">
        <v>0</v>
      </c>
      <c r="N174" t="n">
        <v>0</v>
      </c>
      <c r="O174" t="n">
        <v>1</v>
      </c>
      <c r="P174" t="n">
        <v>0</v>
      </c>
      <c r="Q174" t="n">
        <v>1</v>
      </c>
      <c r="R174" s="2" t="inlineStr">
        <is>
          <t>Odörspindling</t>
        </is>
      </c>
      <c r="S174">
        <f>HYPERLINK("https://klasma.github.io/Logging_0980/artfynd/A 49726-2025 artfynd.xlsx", "A 49726-2025")</f>
        <v/>
      </c>
      <c r="T174">
        <f>HYPERLINK("https://klasma.github.io/Logging_0980/kartor/A 49726-2025 karta.png", "A 49726-2025")</f>
        <v/>
      </c>
      <c r="V174">
        <f>HYPERLINK("https://klasma.github.io/Logging_0980/klagomål/A 49726-2025 FSC-klagomål.docx", "A 49726-2025")</f>
        <v/>
      </c>
      <c r="W174">
        <f>HYPERLINK("https://klasma.github.io/Logging_0980/klagomålsmail/A 49726-2025 FSC-klagomål mail.docx", "A 49726-2025")</f>
        <v/>
      </c>
      <c r="X174">
        <f>HYPERLINK("https://klasma.github.io/Logging_0980/tillsyn/A 49726-2025 tillsynsbegäran.docx", "A 49726-2025")</f>
        <v/>
      </c>
      <c r="Y174">
        <f>HYPERLINK("https://klasma.github.io/Logging_0980/tillsynsmail/A 49726-2025 tillsynsbegäran mail.docx", "A 49726-2025")</f>
        <v/>
      </c>
    </row>
    <row r="175" ht="15" customHeight="1">
      <c r="A175" t="inlineStr">
        <is>
          <t>A 6303-2024</t>
        </is>
      </c>
      <c r="B175" s="1" t="n">
        <v>45338.35376157407</v>
      </c>
      <c r="C175" s="1" t="n">
        <v>46142</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46142</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46142</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46142</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46142</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46142</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46142</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46142</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46142</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46142</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46142</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46142</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36313-2021</t>
        </is>
      </c>
      <c r="B187" s="1" t="n">
        <v>44390</v>
      </c>
      <c r="C187" s="1" t="n">
        <v>46142</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46142</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46142</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46142</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46142</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25199-2021</t>
        </is>
      </c>
      <c r="B192" s="1" t="n">
        <v>44342</v>
      </c>
      <c r="C192" s="1" t="n">
        <v>46142</v>
      </c>
      <c r="D192" t="inlineStr">
        <is>
          <t>GOTLANDS LÄN</t>
        </is>
      </c>
      <c r="E192" t="inlineStr">
        <is>
          <t>GOTLAND</t>
        </is>
      </c>
      <c r="G192" t="n">
        <v>1.6</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46142</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46142</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46142</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46142</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24123-2022</t>
        </is>
      </c>
      <c r="B197" s="1" t="n">
        <v>44725.4384375</v>
      </c>
      <c r="C197" s="1" t="n">
        <v>46142</v>
      </c>
      <c r="D197" t="inlineStr">
        <is>
          <t>GOTLANDS LÄN</t>
        </is>
      </c>
      <c r="E197" t="inlineStr">
        <is>
          <t>GOTLAND</t>
        </is>
      </c>
      <c r="G197" t="n">
        <v>6</v>
      </c>
      <c r="H197" t="n">
        <v>0</v>
      </c>
      <c r="I197" t="n">
        <v>0</v>
      </c>
      <c r="J197" t="n">
        <v>0</v>
      </c>
      <c r="K197" t="n">
        <v>0</v>
      </c>
      <c r="L197" t="n">
        <v>0</v>
      </c>
      <c r="M197" t="n">
        <v>0</v>
      </c>
      <c r="N197" t="n">
        <v>0</v>
      </c>
      <c r="O197" t="n">
        <v>0</v>
      </c>
      <c r="P197" t="n">
        <v>0</v>
      </c>
      <c r="Q197" t="n">
        <v>0</v>
      </c>
      <c r="R197" s="2" t="inlineStr"/>
    </row>
    <row r="198" ht="15" customHeight="1">
      <c r="A198" t="inlineStr">
        <is>
          <t>A 44207-2022</t>
        </is>
      </c>
      <c r="B198" s="1" t="n">
        <v>44839</v>
      </c>
      <c r="C198" s="1" t="n">
        <v>46142</v>
      </c>
      <c r="D198" t="inlineStr">
        <is>
          <t>GOTLANDS LÄN</t>
        </is>
      </c>
      <c r="E198" t="inlineStr">
        <is>
          <t>GOTLAND</t>
        </is>
      </c>
      <c r="G198" t="n">
        <v>3.8</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46142</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46142</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46142</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46142</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46142</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46142</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46142</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46142</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46142</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71010-2021</t>
        </is>
      </c>
      <c r="B208" s="1" t="n">
        <v>44538.63775462963</v>
      </c>
      <c r="C208" s="1" t="n">
        <v>46142</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22495-2022</t>
        </is>
      </c>
      <c r="B209" s="1" t="n">
        <v>44713.6452199074</v>
      </c>
      <c r="C209" s="1" t="n">
        <v>46142</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44942-2022</t>
        </is>
      </c>
      <c r="B210" s="1" t="n">
        <v>44841</v>
      </c>
      <c r="C210" s="1" t="n">
        <v>46142</v>
      </c>
      <c r="D210" t="inlineStr">
        <is>
          <t>GOTLANDS LÄN</t>
        </is>
      </c>
      <c r="E210" t="inlineStr">
        <is>
          <t>GOTLAND</t>
        </is>
      </c>
      <c r="G210" t="n">
        <v>2</v>
      </c>
      <c r="H210" t="n">
        <v>0</v>
      </c>
      <c r="I210" t="n">
        <v>0</v>
      </c>
      <c r="J210" t="n">
        <v>0</v>
      </c>
      <c r="K210" t="n">
        <v>0</v>
      </c>
      <c r="L210" t="n">
        <v>0</v>
      </c>
      <c r="M210" t="n">
        <v>0</v>
      </c>
      <c r="N210" t="n">
        <v>0</v>
      </c>
      <c r="O210" t="n">
        <v>0</v>
      </c>
      <c r="P210" t="n">
        <v>0</v>
      </c>
      <c r="Q210" t="n">
        <v>0</v>
      </c>
      <c r="R210" s="2" t="inlineStr"/>
    </row>
    <row r="211" ht="15" customHeight="1">
      <c r="A211" t="inlineStr">
        <is>
          <t>A 53225-2022</t>
        </is>
      </c>
      <c r="B211" s="1" t="n">
        <v>44876</v>
      </c>
      <c r="C211" s="1" t="n">
        <v>46142</v>
      </c>
      <c r="D211" t="inlineStr">
        <is>
          <t>GOTLANDS LÄN</t>
        </is>
      </c>
      <c r="E211" t="inlineStr">
        <is>
          <t>GOTLAND</t>
        </is>
      </c>
      <c r="F211" t="inlineStr">
        <is>
          <t>Kyrkan</t>
        </is>
      </c>
      <c r="G211" t="n">
        <v>0.9</v>
      </c>
      <c r="H211" t="n">
        <v>0</v>
      </c>
      <c r="I211" t="n">
        <v>0</v>
      </c>
      <c r="J211" t="n">
        <v>0</v>
      </c>
      <c r="K211" t="n">
        <v>0</v>
      </c>
      <c r="L211" t="n">
        <v>0</v>
      </c>
      <c r="M211" t="n">
        <v>0</v>
      </c>
      <c r="N211" t="n">
        <v>0</v>
      </c>
      <c r="O211" t="n">
        <v>0</v>
      </c>
      <c r="P211" t="n">
        <v>0</v>
      </c>
      <c r="Q211" t="n">
        <v>0</v>
      </c>
      <c r="R211" s="2" t="inlineStr"/>
    </row>
    <row r="212" ht="15" customHeight="1">
      <c r="A212" t="inlineStr">
        <is>
          <t>A 30055-2021</t>
        </is>
      </c>
      <c r="B212" s="1" t="n">
        <v>44363</v>
      </c>
      <c r="C212" s="1" t="n">
        <v>46142</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46142</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23910-2021</t>
        </is>
      </c>
      <c r="B214" s="1" t="n">
        <v>44335</v>
      </c>
      <c r="C214" s="1" t="n">
        <v>46142</v>
      </c>
      <c r="D214" t="inlineStr">
        <is>
          <t>GOTLANDS LÄN</t>
        </is>
      </c>
      <c r="E214" t="inlineStr">
        <is>
          <t>GOTLAND</t>
        </is>
      </c>
      <c r="G214" t="n">
        <v>1.5</v>
      </c>
      <c r="H214" t="n">
        <v>0</v>
      </c>
      <c r="I214" t="n">
        <v>0</v>
      </c>
      <c r="J214" t="n">
        <v>0</v>
      </c>
      <c r="K214" t="n">
        <v>0</v>
      </c>
      <c r="L214" t="n">
        <v>0</v>
      </c>
      <c r="M214" t="n">
        <v>0</v>
      </c>
      <c r="N214" t="n">
        <v>0</v>
      </c>
      <c r="O214" t="n">
        <v>0</v>
      </c>
      <c r="P214" t="n">
        <v>0</v>
      </c>
      <c r="Q214" t="n">
        <v>0</v>
      </c>
      <c r="R214" s="2" t="inlineStr"/>
    </row>
    <row r="215" ht="15" customHeight="1">
      <c r="A215" t="inlineStr">
        <is>
          <t>A 17354-2022</t>
        </is>
      </c>
      <c r="B215" s="1" t="n">
        <v>44678</v>
      </c>
      <c r="C215" s="1" t="n">
        <v>46142</v>
      </c>
      <c r="D215" t="inlineStr">
        <is>
          <t>GOTLANDS LÄN</t>
        </is>
      </c>
      <c r="E215" t="inlineStr">
        <is>
          <t>GOTLAND</t>
        </is>
      </c>
      <c r="G215" t="n">
        <v>7.1</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46142</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46142</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46142</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46142</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21507-2021</t>
        </is>
      </c>
      <c r="B220" s="1" t="n">
        <v>44321</v>
      </c>
      <c r="C220" s="1" t="n">
        <v>46142</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46142</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46142</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46142</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5751-2024</t>
        </is>
      </c>
      <c r="B224" s="1" t="n">
        <v>45335.32702546296</v>
      </c>
      <c r="C224" s="1" t="n">
        <v>46142</v>
      </c>
      <c r="D224" t="inlineStr">
        <is>
          <t>GOTLANDS LÄN</t>
        </is>
      </c>
      <c r="E224" t="inlineStr">
        <is>
          <t>GOTLAND</t>
        </is>
      </c>
      <c r="G224" t="n">
        <v>4.2</v>
      </c>
      <c r="H224" t="n">
        <v>0</v>
      </c>
      <c r="I224" t="n">
        <v>0</v>
      </c>
      <c r="J224" t="n">
        <v>0</v>
      </c>
      <c r="K224" t="n">
        <v>0</v>
      </c>
      <c r="L224" t="n">
        <v>0</v>
      </c>
      <c r="M224" t="n">
        <v>0</v>
      </c>
      <c r="N224" t="n">
        <v>0</v>
      </c>
      <c r="O224" t="n">
        <v>0</v>
      </c>
      <c r="P224" t="n">
        <v>0</v>
      </c>
      <c r="Q224" t="n">
        <v>0</v>
      </c>
      <c r="R224" s="2" t="inlineStr"/>
    </row>
    <row r="225" ht="15" customHeight="1">
      <c r="A225" t="inlineStr">
        <is>
          <t>A 9613-2025</t>
        </is>
      </c>
      <c r="B225" s="1" t="n">
        <v>45715</v>
      </c>
      <c r="C225" s="1" t="n">
        <v>46142</v>
      </c>
      <c r="D225" t="inlineStr">
        <is>
          <t>GOTLANDS LÄN</t>
        </is>
      </c>
      <c r="E225" t="inlineStr">
        <is>
          <t>GOTLAND</t>
        </is>
      </c>
      <c r="G225" t="n">
        <v>3.5</v>
      </c>
      <c r="H225" t="n">
        <v>0</v>
      </c>
      <c r="I225" t="n">
        <v>0</v>
      </c>
      <c r="J225" t="n">
        <v>0</v>
      </c>
      <c r="K225" t="n">
        <v>0</v>
      </c>
      <c r="L225" t="n">
        <v>0</v>
      </c>
      <c r="M225" t="n">
        <v>0</v>
      </c>
      <c r="N225" t="n">
        <v>0</v>
      </c>
      <c r="O225" t="n">
        <v>0</v>
      </c>
      <c r="P225" t="n">
        <v>0</v>
      </c>
      <c r="Q225" t="n">
        <v>0</v>
      </c>
      <c r="R225" s="2" t="inlineStr"/>
    </row>
    <row r="226" ht="15" customHeight="1">
      <c r="A226" t="inlineStr">
        <is>
          <t>A 32330-2024</t>
        </is>
      </c>
      <c r="B226" s="1" t="n">
        <v>45512</v>
      </c>
      <c r="C226" s="1" t="n">
        <v>46142</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15595-2024</t>
        </is>
      </c>
      <c r="B227" s="1" t="n">
        <v>45401.81480324074</v>
      </c>
      <c r="C227" s="1" t="n">
        <v>46142</v>
      </c>
      <c r="D227" t="inlineStr">
        <is>
          <t>GOTLANDS LÄN</t>
        </is>
      </c>
      <c r="E227" t="inlineStr">
        <is>
          <t>GOTLAND</t>
        </is>
      </c>
      <c r="G227" t="n">
        <v>6.4</v>
      </c>
      <c r="H227" t="n">
        <v>0</v>
      </c>
      <c r="I227" t="n">
        <v>0</v>
      </c>
      <c r="J227" t="n">
        <v>0</v>
      </c>
      <c r="K227" t="n">
        <v>0</v>
      </c>
      <c r="L227" t="n">
        <v>0</v>
      </c>
      <c r="M227" t="n">
        <v>0</v>
      </c>
      <c r="N227" t="n">
        <v>0</v>
      </c>
      <c r="O227" t="n">
        <v>0</v>
      </c>
      <c r="P227" t="n">
        <v>0</v>
      </c>
      <c r="Q227" t="n">
        <v>0</v>
      </c>
      <c r="R227" s="2" t="inlineStr"/>
    </row>
    <row r="228" ht="15" customHeight="1">
      <c r="A228" t="inlineStr">
        <is>
          <t>A 24966-2023</t>
        </is>
      </c>
      <c r="B228" s="1" t="n">
        <v>45085</v>
      </c>
      <c r="C228" s="1" t="n">
        <v>46142</v>
      </c>
      <c r="D228" t="inlineStr">
        <is>
          <t>GOTLANDS LÄN</t>
        </is>
      </c>
      <c r="E228" t="inlineStr">
        <is>
          <t>GOTLAND</t>
        </is>
      </c>
      <c r="G228" t="n">
        <v>7</v>
      </c>
      <c r="H228" t="n">
        <v>0</v>
      </c>
      <c r="I228" t="n">
        <v>0</v>
      </c>
      <c r="J228" t="n">
        <v>0</v>
      </c>
      <c r="K228" t="n">
        <v>0</v>
      </c>
      <c r="L228" t="n">
        <v>0</v>
      </c>
      <c r="M228" t="n">
        <v>0</v>
      </c>
      <c r="N228" t="n">
        <v>0</v>
      </c>
      <c r="O228" t="n">
        <v>0</v>
      </c>
      <c r="P228" t="n">
        <v>0</v>
      </c>
      <c r="Q228" t="n">
        <v>0</v>
      </c>
      <c r="R228" s="2" t="inlineStr"/>
    </row>
    <row r="229" ht="15" customHeight="1">
      <c r="A229" t="inlineStr">
        <is>
          <t>A 46189-2022</t>
        </is>
      </c>
      <c r="B229" s="1" t="n">
        <v>44847</v>
      </c>
      <c r="C229" s="1" t="n">
        <v>46142</v>
      </c>
      <c r="D229" t="inlineStr">
        <is>
          <t>GOTLANDS LÄN</t>
        </is>
      </c>
      <c r="E229" t="inlineStr">
        <is>
          <t>GOTLAND</t>
        </is>
      </c>
      <c r="G229" t="n">
        <v>0.4</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46142</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46142</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46142</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65901-2021</t>
        </is>
      </c>
      <c r="B233" s="1" t="n">
        <v>44516</v>
      </c>
      <c r="C233" s="1" t="n">
        <v>46142</v>
      </c>
      <c r="D233" t="inlineStr">
        <is>
          <t>GOTLANDS LÄN</t>
        </is>
      </c>
      <c r="E233" t="inlineStr">
        <is>
          <t>GOTLAND</t>
        </is>
      </c>
      <c r="G233" t="n">
        <v>4.9</v>
      </c>
      <c r="H233" t="n">
        <v>0</v>
      </c>
      <c r="I233" t="n">
        <v>0</v>
      </c>
      <c r="J233" t="n">
        <v>0</v>
      </c>
      <c r="K233" t="n">
        <v>0</v>
      </c>
      <c r="L233" t="n">
        <v>0</v>
      </c>
      <c r="M233" t="n">
        <v>0</v>
      </c>
      <c r="N233" t="n">
        <v>0</v>
      </c>
      <c r="O233" t="n">
        <v>0</v>
      </c>
      <c r="P233" t="n">
        <v>0</v>
      </c>
      <c r="Q233" t="n">
        <v>0</v>
      </c>
      <c r="R233" s="2" t="inlineStr"/>
    </row>
    <row r="234" ht="15" customHeight="1">
      <c r="A234" t="inlineStr">
        <is>
          <t>A 48503-2023</t>
        </is>
      </c>
      <c r="B234" s="1" t="n">
        <v>45207</v>
      </c>
      <c r="C234" s="1" t="n">
        <v>46142</v>
      </c>
      <c r="D234" t="inlineStr">
        <is>
          <t>GOTLANDS LÄN</t>
        </is>
      </c>
      <c r="E234" t="inlineStr">
        <is>
          <t>GOTLAND</t>
        </is>
      </c>
      <c r="G234" t="n">
        <v>1.6</v>
      </c>
      <c r="H234" t="n">
        <v>0</v>
      </c>
      <c r="I234" t="n">
        <v>0</v>
      </c>
      <c r="J234" t="n">
        <v>0</v>
      </c>
      <c r="K234" t="n">
        <v>0</v>
      </c>
      <c r="L234" t="n">
        <v>0</v>
      </c>
      <c r="M234" t="n">
        <v>0</v>
      </c>
      <c r="N234" t="n">
        <v>0</v>
      </c>
      <c r="O234" t="n">
        <v>0</v>
      </c>
      <c r="P234" t="n">
        <v>0</v>
      </c>
      <c r="Q234" t="n">
        <v>0</v>
      </c>
      <c r="R234" s="2" t="inlineStr"/>
    </row>
    <row r="235" ht="15" customHeight="1">
      <c r="A235" t="inlineStr">
        <is>
          <t>A 9947-2024</t>
        </is>
      </c>
      <c r="B235" s="1" t="n">
        <v>45363</v>
      </c>
      <c r="C235" s="1" t="n">
        <v>46142</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17682-2024</t>
        </is>
      </c>
      <c r="B236" s="1" t="n">
        <v>45418.42966435185</v>
      </c>
      <c r="C236" s="1" t="n">
        <v>46142</v>
      </c>
      <c r="D236" t="inlineStr">
        <is>
          <t>GOTLANDS LÄN</t>
        </is>
      </c>
      <c r="E236" t="inlineStr">
        <is>
          <t>GOTLAND</t>
        </is>
      </c>
      <c r="G236" t="n">
        <v>2.9</v>
      </c>
      <c r="H236" t="n">
        <v>0</v>
      </c>
      <c r="I236" t="n">
        <v>0</v>
      </c>
      <c r="J236" t="n">
        <v>0</v>
      </c>
      <c r="K236" t="n">
        <v>0</v>
      </c>
      <c r="L236" t="n">
        <v>0</v>
      </c>
      <c r="M236" t="n">
        <v>0</v>
      </c>
      <c r="N236" t="n">
        <v>0</v>
      </c>
      <c r="O236" t="n">
        <v>0</v>
      </c>
      <c r="P236" t="n">
        <v>0</v>
      </c>
      <c r="Q236" t="n">
        <v>0</v>
      </c>
      <c r="R236" s="2" t="inlineStr"/>
    </row>
    <row r="237" ht="15" customHeight="1">
      <c r="A237" t="inlineStr">
        <is>
          <t>A 57522-2022</t>
        </is>
      </c>
      <c r="B237" s="1" t="n">
        <v>44896</v>
      </c>
      <c r="C237" s="1" t="n">
        <v>46142</v>
      </c>
      <c r="D237" t="inlineStr">
        <is>
          <t>GOTLANDS LÄN</t>
        </is>
      </c>
      <c r="E237" t="inlineStr">
        <is>
          <t>GOTLAND</t>
        </is>
      </c>
      <c r="G237" t="n">
        <v>2</v>
      </c>
      <c r="H237" t="n">
        <v>0</v>
      </c>
      <c r="I237" t="n">
        <v>0</v>
      </c>
      <c r="J237" t="n">
        <v>0</v>
      </c>
      <c r="K237" t="n">
        <v>0</v>
      </c>
      <c r="L237" t="n">
        <v>0</v>
      </c>
      <c r="M237" t="n">
        <v>0</v>
      </c>
      <c r="N237" t="n">
        <v>0</v>
      </c>
      <c r="O237" t="n">
        <v>0</v>
      </c>
      <c r="P237" t="n">
        <v>0</v>
      </c>
      <c r="Q237" t="n">
        <v>0</v>
      </c>
      <c r="R237" s="2" t="inlineStr"/>
    </row>
    <row r="238" ht="15" customHeight="1">
      <c r="A238" t="inlineStr">
        <is>
          <t>A 27593-2023</t>
        </is>
      </c>
      <c r="B238" s="1" t="n">
        <v>45097</v>
      </c>
      <c r="C238" s="1" t="n">
        <v>46142</v>
      </c>
      <c r="D238" t="inlineStr">
        <is>
          <t>GOTLANDS LÄN</t>
        </is>
      </c>
      <c r="E238" t="inlineStr">
        <is>
          <t>GOTLAND</t>
        </is>
      </c>
      <c r="G238" t="n">
        <v>3.1</v>
      </c>
      <c r="H238" t="n">
        <v>0</v>
      </c>
      <c r="I238" t="n">
        <v>0</v>
      </c>
      <c r="J238" t="n">
        <v>0</v>
      </c>
      <c r="K238" t="n">
        <v>0</v>
      </c>
      <c r="L238" t="n">
        <v>0</v>
      </c>
      <c r="M238" t="n">
        <v>0</v>
      </c>
      <c r="N238" t="n">
        <v>0</v>
      </c>
      <c r="O238" t="n">
        <v>0</v>
      </c>
      <c r="P238" t="n">
        <v>0</v>
      </c>
      <c r="Q238" t="n">
        <v>0</v>
      </c>
      <c r="R238" s="2" t="inlineStr"/>
    </row>
    <row r="239" ht="15" customHeight="1">
      <c r="A239" t="inlineStr">
        <is>
          <t>A 63516-2023</t>
        </is>
      </c>
      <c r="B239" s="1" t="n">
        <v>45274</v>
      </c>
      <c r="C239" s="1" t="n">
        <v>46142</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24001-2021</t>
        </is>
      </c>
      <c r="B240" s="1" t="n">
        <v>44335</v>
      </c>
      <c r="C240" s="1" t="n">
        <v>46142</v>
      </c>
      <c r="D240" t="inlineStr">
        <is>
          <t>GOTLANDS LÄN</t>
        </is>
      </c>
      <c r="E240" t="inlineStr">
        <is>
          <t>GOTLAND</t>
        </is>
      </c>
      <c r="G240" t="n">
        <v>3.4</v>
      </c>
      <c r="H240" t="n">
        <v>0</v>
      </c>
      <c r="I240" t="n">
        <v>0</v>
      </c>
      <c r="J240" t="n">
        <v>0</v>
      </c>
      <c r="K240" t="n">
        <v>0</v>
      </c>
      <c r="L240" t="n">
        <v>0</v>
      </c>
      <c r="M240" t="n">
        <v>0</v>
      </c>
      <c r="N240" t="n">
        <v>0</v>
      </c>
      <c r="O240" t="n">
        <v>0</v>
      </c>
      <c r="P240" t="n">
        <v>0</v>
      </c>
      <c r="Q240" t="n">
        <v>0</v>
      </c>
      <c r="R240" s="2" t="inlineStr"/>
    </row>
    <row r="241" ht="15" customHeight="1">
      <c r="A241" t="inlineStr">
        <is>
          <t>A 1681-2023</t>
        </is>
      </c>
      <c r="B241" s="1" t="n">
        <v>44938.39715277778</v>
      </c>
      <c r="C241" s="1" t="n">
        <v>46142</v>
      </c>
      <c r="D241" t="inlineStr">
        <is>
          <t>GOTLANDS LÄN</t>
        </is>
      </c>
      <c r="E241" t="inlineStr">
        <is>
          <t>GOTLAND</t>
        </is>
      </c>
      <c r="G241" t="n">
        <v>2.4</v>
      </c>
      <c r="H241" t="n">
        <v>0</v>
      </c>
      <c r="I241" t="n">
        <v>0</v>
      </c>
      <c r="J241" t="n">
        <v>0</v>
      </c>
      <c r="K241" t="n">
        <v>0</v>
      </c>
      <c r="L241" t="n">
        <v>0</v>
      </c>
      <c r="M241" t="n">
        <v>0</v>
      </c>
      <c r="N241" t="n">
        <v>0</v>
      </c>
      <c r="O241" t="n">
        <v>0</v>
      </c>
      <c r="P241" t="n">
        <v>0</v>
      </c>
      <c r="Q241" t="n">
        <v>0</v>
      </c>
      <c r="R241" s="2" t="inlineStr"/>
    </row>
    <row r="242" ht="15" customHeight="1">
      <c r="A242" t="inlineStr">
        <is>
          <t>A 30365-2024</t>
        </is>
      </c>
      <c r="B242" s="1" t="n">
        <v>45491.3716087963</v>
      </c>
      <c r="C242" s="1" t="n">
        <v>46142</v>
      </c>
      <c r="D242" t="inlineStr">
        <is>
          <t>GOTLANDS LÄN</t>
        </is>
      </c>
      <c r="E242" t="inlineStr">
        <is>
          <t>GOTLAND</t>
        </is>
      </c>
      <c r="G242" t="n">
        <v>0.5</v>
      </c>
      <c r="H242" t="n">
        <v>0</v>
      </c>
      <c r="I242" t="n">
        <v>0</v>
      </c>
      <c r="J242" t="n">
        <v>0</v>
      </c>
      <c r="K242" t="n">
        <v>0</v>
      </c>
      <c r="L242" t="n">
        <v>0</v>
      </c>
      <c r="M242" t="n">
        <v>0</v>
      </c>
      <c r="N242" t="n">
        <v>0</v>
      </c>
      <c r="O242" t="n">
        <v>0</v>
      </c>
      <c r="P242" t="n">
        <v>0</v>
      </c>
      <c r="Q242" t="n">
        <v>0</v>
      </c>
      <c r="R242" s="2" t="inlineStr"/>
    </row>
    <row r="243" ht="15" customHeight="1">
      <c r="A243" t="inlineStr">
        <is>
          <t>A 6099-2024</t>
        </is>
      </c>
      <c r="B243" s="1" t="n">
        <v>45337</v>
      </c>
      <c r="C243" s="1" t="n">
        <v>46142</v>
      </c>
      <c r="D243" t="inlineStr">
        <is>
          <t>GOTLANDS LÄN</t>
        </is>
      </c>
      <c r="E243" t="inlineStr">
        <is>
          <t>GOTLAND</t>
        </is>
      </c>
      <c r="G243" t="n">
        <v>12.6</v>
      </c>
      <c r="H243" t="n">
        <v>0</v>
      </c>
      <c r="I243" t="n">
        <v>0</v>
      </c>
      <c r="J243" t="n">
        <v>0</v>
      </c>
      <c r="K243" t="n">
        <v>0</v>
      </c>
      <c r="L243" t="n">
        <v>0</v>
      </c>
      <c r="M243" t="n">
        <v>0</v>
      </c>
      <c r="N243" t="n">
        <v>0</v>
      </c>
      <c r="O243" t="n">
        <v>0</v>
      </c>
      <c r="P243" t="n">
        <v>0</v>
      </c>
      <c r="Q243" t="n">
        <v>0</v>
      </c>
      <c r="R243" s="2" t="inlineStr"/>
    </row>
    <row r="244" ht="15" customHeight="1">
      <c r="A244" t="inlineStr">
        <is>
          <t>A 44649-2021</t>
        </is>
      </c>
      <c r="B244" s="1" t="n">
        <v>44437</v>
      </c>
      <c r="C244" s="1" t="n">
        <v>46142</v>
      </c>
      <c r="D244" t="inlineStr">
        <is>
          <t>GOTLANDS LÄN</t>
        </is>
      </c>
      <c r="E244" t="inlineStr">
        <is>
          <t>GOTLAND</t>
        </is>
      </c>
      <c r="G244" t="n">
        <v>8.1</v>
      </c>
      <c r="H244" t="n">
        <v>0</v>
      </c>
      <c r="I244" t="n">
        <v>0</v>
      </c>
      <c r="J244" t="n">
        <v>0</v>
      </c>
      <c r="K244" t="n">
        <v>0</v>
      </c>
      <c r="L244" t="n">
        <v>0</v>
      </c>
      <c r="M244" t="n">
        <v>0</v>
      </c>
      <c r="N244" t="n">
        <v>0</v>
      </c>
      <c r="O244" t="n">
        <v>0</v>
      </c>
      <c r="P244" t="n">
        <v>0</v>
      </c>
      <c r="Q244" t="n">
        <v>0</v>
      </c>
      <c r="R244" s="2" t="inlineStr"/>
    </row>
    <row r="245" ht="15" customHeight="1">
      <c r="A245" t="inlineStr">
        <is>
          <t>A 1273-2023</t>
        </is>
      </c>
      <c r="B245" s="1" t="n">
        <v>44936</v>
      </c>
      <c r="C245" s="1" t="n">
        <v>46142</v>
      </c>
      <c r="D245" t="inlineStr">
        <is>
          <t>GOTLANDS LÄN</t>
        </is>
      </c>
      <c r="E245" t="inlineStr">
        <is>
          <t>GOTLAND</t>
        </is>
      </c>
      <c r="G245" t="n">
        <v>4.5</v>
      </c>
      <c r="H245" t="n">
        <v>0</v>
      </c>
      <c r="I245" t="n">
        <v>0</v>
      </c>
      <c r="J245" t="n">
        <v>0</v>
      </c>
      <c r="K245" t="n">
        <v>0</v>
      </c>
      <c r="L245" t="n">
        <v>0</v>
      </c>
      <c r="M245" t="n">
        <v>0</v>
      </c>
      <c r="N245" t="n">
        <v>0</v>
      </c>
      <c r="O245" t="n">
        <v>0</v>
      </c>
      <c r="P245" t="n">
        <v>0</v>
      </c>
      <c r="Q245" t="n">
        <v>0</v>
      </c>
      <c r="R245" s="2" t="inlineStr"/>
    </row>
    <row r="246" ht="15" customHeight="1">
      <c r="A246" t="inlineStr">
        <is>
          <t>A 58780-2024</t>
        </is>
      </c>
      <c r="B246" s="1" t="n">
        <v>45635.84113425926</v>
      </c>
      <c r="C246" s="1" t="n">
        <v>46142</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45692-2023</t>
        </is>
      </c>
      <c r="B247" s="1" t="n">
        <v>45195</v>
      </c>
      <c r="C247" s="1" t="n">
        <v>46142</v>
      </c>
      <c r="D247" t="inlineStr">
        <is>
          <t>GOTLANDS LÄN</t>
        </is>
      </c>
      <c r="E247" t="inlineStr">
        <is>
          <t>GOTLAND</t>
        </is>
      </c>
      <c r="G247" t="n">
        <v>5.3</v>
      </c>
      <c r="H247" t="n">
        <v>0</v>
      </c>
      <c r="I247" t="n">
        <v>0</v>
      </c>
      <c r="J247" t="n">
        <v>0</v>
      </c>
      <c r="K247" t="n">
        <v>0</v>
      </c>
      <c r="L247" t="n">
        <v>0</v>
      </c>
      <c r="M247" t="n">
        <v>0</v>
      </c>
      <c r="N247" t="n">
        <v>0</v>
      </c>
      <c r="O247" t="n">
        <v>0</v>
      </c>
      <c r="P247" t="n">
        <v>0</v>
      </c>
      <c r="Q247" t="n">
        <v>0</v>
      </c>
      <c r="R247" s="2" t="inlineStr"/>
    </row>
    <row r="248" ht="15" customHeight="1">
      <c r="A248" t="inlineStr">
        <is>
          <t>A 28285-2024</t>
        </is>
      </c>
      <c r="B248" s="1" t="n">
        <v>45477</v>
      </c>
      <c r="C248" s="1" t="n">
        <v>46142</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33876-2024</t>
        </is>
      </c>
      <c r="B249" s="1" t="n">
        <v>45521.87988425926</v>
      </c>
      <c r="C249" s="1" t="n">
        <v>46142</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61100-2022</t>
        </is>
      </c>
      <c r="B250" s="1" t="n">
        <v>44915</v>
      </c>
      <c r="C250" s="1" t="n">
        <v>46142</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61682-2024</t>
        </is>
      </c>
      <c r="B251" s="1" t="n">
        <v>45647.48824074074</v>
      </c>
      <c r="C251" s="1" t="n">
        <v>46142</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2415-2026</t>
        </is>
      </c>
      <c r="B252" s="1" t="n">
        <v>46036.76203703704</v>
      </c>
      <c r="C252" s="1" t="n">
        <v>46142</v>
      </c>
      <c r="D252" t="inlineStr">
        <is>
          <t>GOTLANDS LÄN</t>
        </is>
      </c>
      <c r="E252" t="inlineStr">
        <is>
          <t>GOTLAND</t>
        </is>
      </c>
      <c r="G252" t="n">
        <v>6.9</v>
      </c>
      <c r="H252" t="n">
        <v>0</v>
      </c>
      <c r="I252" t="n">
        <v>0</v>
      </c>
      <c r="J252" t="n">
        <v>0</v>
      </c>
      <c r="K252" t="n">
        <v>0</v>
      </c>
      <c r="L252" t="n">
        <v>0</v>
      </c>
      <c r="M252" t="n">
        <v>0</v>
      </c>
      <c r="N252" t="n">
        <v>0</v>
      </c>
      <c r="O252" t="n">
        <v>0</v>
      </c>
      <c r="P252" t="n">
        <v>0</v>
      </c>
      <c r="Q252" t="n">
        <v>0</v>
      </c>
      <c r="R252" s="2" t="inlineStr"/>
    </row>
    <row r="253" ht="15" customHeight="1">
      <c r="A253" t="inlineStr">
        <is>
          <t>A 26457-2025</t>
        </is>
      </c>
      <c r="B253" s="1" t="n">
        <v>45807.42773148148</v>
      </c>
      <c r="C253" s="1" t="n">
        <v>46142</v>
      </c>
      <c r="D253" t="inlineStr">
        <is>
          <t>GOTLANDS LÄN</t>
        </is>
      </c>
      <c r="E253" t="inlineStr">
        <is>
          <t>GOTLAND</t>
        </is>
      </c>
      <c r="G253" t="n">
        <v>5.7</v>
      </c>
      <c r="H253" t="n">
        <v>0</v>
      </c>
      <c r="I253" t="n">
        <v>0</v>
      </c>
      <c r="J253" t="n">
        <v>0</v>
      </c>
      <c r="K253" t="n">
        <v>0</v>
      </c>
      <c r="L253" t="n">
        <v>0</v>
      </c>
      <c r="M253" t="n">
        <v>0</v>
      </c>
      <c r="N253" t="n">
        <v>0</v>
      </c>
      <c r="O253" t="n">
        <v>0</v>
      </c>
      <c r="P253" t="n">
        <v>0</v>
      </c>
      <c r="Q253" t="n">
        <v>0</v>
      </c>
      <c r="R253" s="2" t="inlineStr"/>
    </row>
    <row r="254" ht="15" customHeight="1">
      <c r="A254" t="inlineStr">
        <is>
          <t>A 26467-2025</t>
        </is>
      </c>
      <c r="B254" s="1" t="n">
        <v>45807.44640046296</v>
      </c>
      <c r="C254" s="1" t="n">
        <v>46142</v>
      </c>
      <c r="D254" t="inlineStr">
        <is>
          <t>GOTLANDS LÄN</t>
        </is>
      </c>
      <c r="E254" t="inlineStr">
        <is>
          <t>GOTLAND</t>
        </is>
      </c>
      <c r="G254" t="n">
        <v>0.7</v>
      </c>
      <c r="H254" t="n">
        <v>0</v>
      </c>
      <c r="I254" t="n">
        <v>0</v>
      </c>
      <c r="J254" t="n">
        <v>0</v>
      </c>
      <c r="K254" t="n">
        <v>0</v>
      </c>
      <c r="L254" t="n">
        <v>0</v>
      </c>
      <c r="M254" t="n">
        <v>0</v>
      </c>
      <c r="N254" t="n">
        <v>0</v>
      </c>
      <c r="O254" t="n">
        <v>0</v>
      </c>
      <c r="P254" t="n">
        <v>0</v>
      </c>
      <c r="Q254" t="n">
        <v>0</v>
      </c>
      <c r="R254" s="2" t="inlineStr"/>
    </row>
    <row r="255" ht="15" customHeight="1">
      <c r="A255" t="inlineStr">
        <is>
          <t>A 26465-2025</t>
        </is>
      </c>
      <c r="B255" s="1" t="n">
        <v>45807.44377314814</v>
      </c>
      <c r="C255" s="1" t="n">
        <v>46142</v>
      </c>
      <c r="D255" t="inlineStr">
        <is>
          <t>GOTLANDS LÄN</t>
        </is>
      </c>
      <c r="E255" t="inlineStr">
        <is>
          <t>GOTLAND</t>
        </is>
      </c>
      <c r="G255" t="n">
        <v>4.5</v>
      </c>
      <c r="H255" t="n">
        <v>0</v>
      </c>
      <c r="I255" t="n">
        <v>0</v>
      </c>
      <c r="J255" t="n">
        <v>0</v>
      </c>
      <c r="K255" t="n">
        <v>0</v>
      </c>
      <c r="L255" t="n">
        <v>0</v>
      </c>
      <c r="M255" t="n">
        <v>0</v>
      </c>
      <c r="N255" t="n">
        <v>0</v>
      </c>
      <c r="O255" t="n">
        <v>0</v>
      </c>
      <c r="P255" t="n">
        <v>0</v>
      </c>
      <c r="Q255" t="n">
        <v>0</v>
      </c>
      <c r="R255" s="2" t="inlineStr"/>
    </row>
    <row r="256" ht="15" customHeight="1">
      <c r="A256" t="inlineStr">
        <is>
          <t>A 26660-2025</t>
        </is>
      </c>
      <c r="B256" s="1" t="n">
        <v>45810.39737268518</v>
      </c>
      <c r="C256" s="1" t="n">
        <v>46142</v>
      </c>
      <c r="D256" t="inlineStr">
        <is>
          <t>GOTLANDS LÄN</t>
        </is>
      </c>
      <c r="E256" t="inlineStr">
        <is>
          <t>GOTLAND</t>
        </is>
      </c>
      <c r="G256" t="n">
        <v>1.8</v>
      </c>
      <c r="H256" t="n">
        <v>0</v>
      </c>
      <c r="I256" t="n">
        <v>0</v>
      </c>
      <c r="J256" t="n">
        <v>0</v>
      </c>
      <c r="K256" t="n">
        <v>0</v>
      </c>
      <c r="L256" t="n">
        <v>0</v>
      </c>
      <c r="M256" t="n">
        <v>0</v>
      </c>
      <c r="N256" t="n">
        <v>0</v>
      </c>
      <c r="O256" t="n">
        <v>0</v>
      </c>
      <c r="P256" t="n">
        <v>0</v>
      </c>
      <c r="Q256" t="n">
        <v>0</v>
      </c>
      <c r="R256" s="2" t="inlineStr"/>
    </row>
    <row r="257" ht="15" customHeight="1">
      <c r="A257" t="inlineStr">
        <is>
          <t>A 3253-2026</t>
        </is>
      </c>
      <c r="B257" s="1" t="n">
        <v>46041.58902777778</v>
      </c>
      <c r="C257" s="1" t="n">
        <v>46142</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58388-2022</t>
        </is>
      </c>
      <c r="B258" s="1" t="n">
        <v>44894</v>
      </c>
      <c r="C258" s="1" t="n">
        <v>46142</v>
      </c>
      <c r="D258" t="inlineStr">
        <is>
          <t>GOTLANDS LÄN</t>
        </is>
      </c>
      <c r="E258" t="inlineStr">
        <is>
          <t>GOTLAND</t>
        </is>
      </c>
      <c r="F258" t="inlineStr">
        <is>
          <t>Övriga statliga verk och myndigheter</t>
        </is>
      </c>
      <c r="G258" t="n">
        <v>3.1</v>
      </c>
      <c r="H258" t="n">
        <v>0</v>
      </c>
      <c r="I258" t="n">
        <v>0</v>
      </c>
      <c r="J258" t="n">
        <v>0</v>
      </c>
      <c r="K258" t="n">
        <v>0</v>
      </c>
      <c r="L258" t="n">
        <v>0</v>
      </c>
      <c r="M258" t="n">
        <v>0</v>
      </c>
      <c r="N258" t="n">
        <v>0</v>
      </c>
      <c r="O258" t="n">
        <v>0</v>
      </c>
      <c r="P258" t="n">
        <v>0</v>
      </c>
      <c r="Q258" t="n">
        <v>0</v>
      </c>
      <c r="R258" s="2" t="inlineStr"/>
    </row>
    <row r="259" ht="15" customHeight="1">
      <c r="A259" t="inlineStr">
        <is>
          <t>A 21792-2024</t>
        </is>
      </c>
      <c r="B259" s="1" t="n">
        <v>45442.64326388889</v>
      </c>
      <c r="C259" s="1" t="n">
        <v>46142</v>
      </c>
      <c r="D259" t="inlineStr">
        <is>
          <t>GOTLANDS LÄN</t>
        </is>
      </c>
      <c r="E259" t="inlineStr">
        <is>
          <t>GOTLAND</t>
        </is>
      </c>
      <c r="G259" t="n">
        <v>1</v>
      </c>
      <c r="H259" t="n">
        <v>0</v>
      </c>
      <c r="I259" t="n">
        <v>0</v>
      </c>
      <c r="J259" t="n">
        <v>0</v>
      </c>
      <c r="K259" t="n">
        <v>0</v>
      </c>
      <c r="L259" t="n">
        <v>0</v>
      </c>
      <c r="M259" t="n">
        <v>0</v>
      </c>
      <c r="N259" t="n">
        <v>0</v>
      </c>
      <c r="O259" t="n">
        <v>0</v>
      </c>
      <c r="P259" t="n">
        <v>0</v>
      </c>
      <c r="Q259" t="n">
        <v>0</v>
      </c>
      <c r="R259" s="2" t="inlineStr"/>
    </row>
    <row r="260" ht="15" customHeight="1">
      <c r="A260" t="inlineStr">
        <is>
          <t>A 27371-2025</t>
        </is>
      </c>
      <c r="B260" s="1" t="n">
        <v>45812</v>
      </c>
      <c r="C260" s="1" t="n">
        <v>46142</v>
      </c>
      <c r="D260" t="inlineStr">
        <is>
          <t>GOTLANDS LÄN</t>
        </is>
      </c>
      <c r="E260" t="inlineStr">
        <is>
          <t>GOTLAND</t>
        </is>
      </c>
      <c r="G260" t="n">
        <v>8</v>
      </c>
      <c r="H260" t="n">
        <v>0</v>
      </c>
      <c r="I260" t="n">
        <v>0</v>
      </c>
      <c r="J260" t="n">
        <v>0</v>
      </c>
      <c r="K260" t="n">
        <v>0</v>
      </c>
      <c r="L260" t="n">
        <v>0</v>
      </c>
      <c r="M260" t="n">
        <v>0</v>
      </c>
      <c r="N260" t="n">
        <v>0</v>
      </c>
      <c r="O260" t="n">
        <v>0</v>
      </c>
      <c r="P260" t="n">
        <v>0</v>
      </c>
      <c r="Q260" t="n">
        <v>0</v>
      </c>
      <c r="R260" s="2" t="inlineStr"/>
    </row>
    <row r="261" ht="15" customHeight="1">
      <c r="A261" t="inlineStr">
        <is>
          <t>A 27355-2025</t>
        </is>
      </c>
      <c r="B261" s="1" t="n">
        <v>45812</v>
      </c>
      <c r="C261" s="1" t="n">
        <v>46142</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4646-2026</t>
        </is>
      </c>
      <c r="B262" s="1" t="n">
        <v>46048.40357638889</v>
      </c>
      <c r="C262" s="1" t="n">
        <v>46142</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18993-2025</t>
        </is>
      </c>
      <c r="B263" s="1" t="n">
        <v>45764</v>
      </c>
      <c r="C263" s="1" t="n">
        <v>46142</v>
      </c>
      <c r="D263" t="inlineStr">
        <is>
          <t>GOTLANDS LÄN</t>
        </is>
      </c>
      <c r="E263" t="inlineStr">
        <is>
          <t>GOTLAND</t>
        </is>
      </c>
      <c r="G263" t="n">
        <v>3</v>
      </c>
      <c r="H263" t="n">
        <v>0</v>
      </c>
      <c r="I263" t="n">
        <v>0</v>
      </c>
      <c r="J263" t="n">
        <v>0</v>
      </c>
      <c r="K263" t="n">
        <v>0</v>
      </c>
      <c r="L263" t="n">
        <v>0</v>
      </c>
      <c r="M263" t="n">
        <v>0</v>
      </c>
      <c r="N263" t="n">
        <v>0</v>
      </c>
      <c r="O263" t="n">
        <v>0</v>
      </c>
      <c r="P263" t="n">
        <v>0</v>
      </c>
      <c r="Q263" t="n">
        <v>0</v>
      </c>
      <c r="R263" s="2" t="inlineStr"/>
    </row>
    <row r="264" ht="15" customHeight="1">
      <c r="A264" t="inlineStr">
        <is>
          <t>A 4662-2026</t>
        </is>
      </c>
      <c r="B264" s="1" t="n">
        <v>46048.40949074074</v>
      </c>
      <c r="C264" s="1" t="n">
        <v>46142</v>
      </c>
      <c r="D264" t="inlineStr">
        <is>
          <t>GOTLANDS LÄN</t>
        </is>
      </c>
      <c r="E264" t="inlineStr">
        <is>
          <t>GOTLAND</t>
        </is>
      </c>
      <c r="G264" t="n">
        <v>7.6</v>
      </c>
      <c r="H264" t="n">
        <v>0</v>
      </c>
      <c r="I264" t="n">
        <v>0</v>
      </c>
      <c r="J264" t="n">
        <v>0</v>
      </c>
      <c r="K264" t="n">
        <v>0</v>
      </c>
      <c r="L264" t="n">
        <v>0</v>
      </c>
      <c r="M264" t="n">
        <v>0</v>
      </c>
      <c r="N264" t="n">
        <v>0</v>
      </c>
      <c r="O264" t="n">
        <v>0</v>
      </c>
      <c r="P264" t="n">
        <v>0</v>
      </c>
      <c r="Q264" t="n">
        <v>0</v>
      </c>
      <c r="R264" s="2" t="inlineStr"/>
    </row>
    <row r="265" ht="15" customHeight="1">
      <c r="A265" t="inlineStr">
        <is>
          <t>A 6739-2025</t>
        </is>
      </c>
      <c r="B265" s="1" t="n">
        <v>45700</v>
      </c>
      <c r="C265" s="1" t="n">
        <v>46142</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7850-2025</t>
        </is>
      </c>
      <c r="B266" s="1" t="n">
        <v>45706</v>
      </c>
      <c r="C266" s="1" t="n">
        <v>46142</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4639-2026</t>
        </is>
      </c>
      <c r="B267" s="1" t="n">
        <v>46048.39880787037</v>
      </c>
      <c r="C267" s="1" t="n">
        <v>46142</v>
      </c>
      <c r="D267" t="inlineStr">
        <is>
          <t>GOTLANDS LÄN</t>
        </is>
      </c>
      <c r="E267" t="inlineStr">
        <is>
          <t>GOTLAND</t>
        </is>
      </c>
      <c r="G267" t="n">
        <v>0.8</v>
      </c>
      <c r="H267" t="n">
        <v>0</v>
      </c>
      <c r="I267" t="n">
        <v>0</v>
      </c>
      <c r="J267" t="n">
        <v>0</v>
      </c>
      <c r="K267" t="n">
        <v>0</v>
      </c>
      <c r="L267" t="n">
        <v>0</v>
      </c>
      <c r="M267" t="n">
        <v>0</v>
      </c>
      <c r="N267" t="n">
        <v>0</v>
      </c>
      <c r="O267" t="n">
        <v>0</v>
      </c>
      <c r="P267" t="n">
        <v>0</v>
      </c>
      <c r="Q267" t="n">
        <v>0</v>
      </c>
      <c r="R267" s="2" t="inlineStr"/>
    </row>
    <row r="268" ht="15" customHeight="1">
      <c r="A268" t="inlineStr">
        <is>
          <t>A 1839-2026</t>
        </is>
      </c>
      <c r="B268" s="1" t="n">
        <v>46035.3942824074</v>
      </c>
      <c r="C268" s="1" t="n">
        <v>46142</v>
      </c>
      <c r="D268" t="inlineStr">
        <is>
          <t>GOTLANDS LÄN</t>
        </is>
      </c>
      <c r="E268" t="inlineStr">
        <is>
          <t>GOTLAND</t>
        </is>
      </c>
      <c r="G268" t="n">
        <v>3.5</v>
      </c>
      <c r="H268" t="n">
        <v>0</v>
      </c>
      <c r="I268" t="n">
        <v>0</v>
      </c>
      <c r="J268" t="n">
        <v>0</v>
      </c>
      <c r="K268" t="n">
        <v>0</v>
      </c>
      <c r="L268" t="n">
        <v>0</v>
      </c>
      <c r="M268" t="n">
        <v>0</v>
      </c>
      <c r="N268" t="n">
        <v>0</v>
      </c>
      <c r="O268" t="n">
        <v>0</v>
      </c>
      <c r="P268" t="n">
        <v>0</v>
      </c>
      <c r="Q268" t="n">
        <v>0</v>
      </c>
      <c r="R268" s="2" t="inlineStr"/>
    </row>
    <row r="269" ht="15" customHeight="1">
      <c r="A269" t="inlineStr">
        <is>
          <t>A 17688-2024</t>
        </is>
      </c>
      <c r="B269" s="1" t="n">
        <v>45418.43575231481</v>
      </c>
      <c r="C269" s="1" t="n">
        <v>46142</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4634-2026</t>
        </is>
      </c>
      <c r="B270" s="1" t="n">
        <v>46048.39304398148</v>
      </c>
      <c r="C270" s="1" t="n">
        <v>46142</v>
      </c>
      <c r="D270" t="inlineStr">
        <is>
          <t>GOTLANDS LÄN</t>
        </is>
      </c>
      <c r="E270" t="inlineStr">
        <is>
          <t>GOTLAND</t>
        </is>
      </c>
      <c r="G270" t="n">
        <v>7.8</v>
      </c>
      <c r="H270" t="n">
        <v>0</v>
      </c>
      <c r="I270" t="n">
        <v>0</v>
      </c>
      <c r="J270" t="n">
        <v>0</v>
      </c>
      <c r="K270" t="n">
        <v>0</v>
      </c>
      <c r="L270" t="n">
        <v>0</v>
      </c>
      <c r="M270" t="n">
        <v>0</v>
      </c>
      <c r="N270" t="n">
        <v>0</v>
      </c>
      <c r="O270" t="n">
        <v>0</v>
      </c>
      <c r="P270" t="n">
        <v>0</v>
      </c>
      <c r="Q270" t="n">
        <v>0</v>
      </c>
      <c r="R270" s="2" t="inlineStr"/>
    </row>
    <row r="271" ht="15" customHeight="1">
      <c r="A271" t="inlineStr">
        <is>
          <t>A 7837-2024</t>
        </is>
      </c>
      <c r="B271" s="1" t="n">
        <v>45349.83787037037</v>
      </c>
      <c r="C271" s="1" t="n">
        <v>46142</v>
      </c>
      <c r="D271" t="inlineStr">
        <is>
          <t>GOTLANDS LÄN</t>
        </is>
      </c>
      <c r="E271" t="inlineStr">
        <is>
          <t>GOTLAND</t>
        </is>
      </c>
      <c r="G271" t="n">
        <v>5</v>
      </c>
      <c r="H271" t="n">
        <v>0</v>
      </c>
      <c r="I271" t="n">
        <v>0</v>
      </c>
      <c r="J271" t="n">
        <v>0</v>
      </c>
      <c r="K271" t="n">
        <v>0</v>
      </c>
      <c r="L271" t="n">
        <v>0</v>
      </c>
      <c r="M271" t="n">
        <v>0</v>
      </c>
      <c r="N271" t="n">
        <v>0</v>
      </c>
      <c r="O271" t="n">
        <v>0</v>
      </c>
      <c r="P271" t="n">
        <v>0</v>
      </c>
      <c r="Q271" t="n">
        <v>0</v>
      </c>
      <c r="R271" s="2" t="inlineStr"/>
    </row>
    <row r="272" ht="15" customHeight="1">
      <c r="A272" t="inlineStr">
        <is>
          <t>A 4670-2026</t>
        </is>
      </c>
      <c r="B272" s="1" t="n">
        <v>46048.41733796296</v>
      </c>
      <c r="C272" s="1" t="n">
        <v>46142</v>
      </c>
      <c r="D272" t="inlineStr">
        <is>
          <t>GOTLANDS LÄN</t>
        </is>
      </c>
      <c r="E272" t="inlineStr">
        <is>
          <t>GOTLAND</t>
        </is>
      </c>
      <c r="G272" t="n">
        <v>1.7</v>
      </c>
      <c r="H272" t="n">
        <v>0</v>
      </c>
      <c r="I272" t="n">
        <v>0</v>
      </c>
      <c r="J272" t="n">
        <v>0</v>
      </c>
      <c r="K272" t="n">
        <v>0</v>
      </c>
      <c r="L272" t="n">
        <v>0</v>
      </c>
      <c r="M272" t="n">
        <v>0</v>
      </c>
      <c r="N272" t="n">
        <v>0</v>
      </c>
      <c r="O272" t="n">
        <v>0</v>
      </c>
      <c r="P272" t="n">
        <v>0</v>
      </c>
      <c r="Q272" t="n">
        <v>0</v>
      </c>
      <c r="R272" s="2" t="inlineStr"/>
    </row>
    <row r="273" ht="15" customHeight="1">
      <c r="A273" t="inlineStr">
        <is>
          <t>A 8444-2025</t>
        </is>
      </c>
      <c r="B273" s="1" t="n">
        <v>45709</v>
      </c>
      <c r="C273" s="1" t="n">
        <v>46142</v>
      </c>
      <c r="D273" t="inlineStr">
        <is>
          <t>GOTLANDS LÄN</t>
        </is>
      </c>
      <c r="E273" t="inlineStr">
        <is>
          <t>GOTLAND</t>
        </is>
      </c>
      <c r="G273" t="n">
        <v>5.2</v>
      </c>
      <c r="H273" t="n">
        <v>0</v>
      </c>
      <c r="I273" t="n">
        <v>0</v>
      </c>
      <c r="J273" t="n">
        <v>0</v>
      </c>
      <c r="K273" t="n">
        <v>0</v>
      </c>
      <c r="L273" t="n">
        <v>0</v>
      </c>
      <c r="M273" t="n">
        <v>0</v>
      </c>
      <c r="N273" t="n">
        <v>0</v>
      </c>
      <c r="O273" t="n">
        <v>0</v>
      </c>
      <c r="P273" t="n">
        <v>0</v>
      </c>
      <c r="Q273" t="n">
        <v>0</v>
      </c>
      <c r="R273" s="2" t="inlineStr"/>
    </row>
    <row r="274" ht="15" customHeight="1">
      <c r="A274" t="inlineStr">
        <is>
          <t>A 30135-2025</t>
        </is>
      </c>
      <c r="B274" s="1" t="n">
        <v>45826</v>
      </c>
      <c r="C274" s="1" t="n">
        <v>46142</v>
      </c>
      <c r="D274" t="inlineStr">
        <is>
          <t>GOTLANDS LÄN</t>
        </is>
      </c>
      <c r="E274" t="inlineStr">
        <is>
          <t>GOTLAND</t>
        </is>
      </c>
      <c r="G274" t="n">
        <v>2.7</v>
      </c>
      <c r="H274" t="n">
        <v>0</v>
      </c>
      <c r="I274" t="n">
        <v>0</v>
      </c>
      <c r="J274" t="n">
        <v>0</v>
      </c>
      <c r="K274" t="n">
        <v>0</v>
      </c>
      <c r="L274" t="n">
        <v>0</v>
      </c>
      <c r="M274" t="n">
        <v>0</v>
      </c>
      <c r="N274" t="n">
        <v>0</v>
      </c>
      <c r="O274" t="n">
        <v>0</v>
      </c>
      <c r="P274" t="n">
        <v>0</v>
      </c>
      <c r="Q274" t="n">
        <v>0</v>
      </c>
      <c r="R274" s="2" t="inlineStr"/>
    </row>
    <row r="275" ht="15" customHeight="1">
      <c r="A275" t="inlineStr">
        <is>
          <t>A 4568-2025</t>
        </is>
      </c>
      <c r="B275" s="1" t="n">
        <v>45687</v>
      </c>
      <c r="C275" s="1" t="n">
        <v>46142</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1854-2026</t>
        </is>
      </c>
      <c r="B276" s="1" t="n">
        <v>46035.4171875</v>
      </c>
      <c r="C276" s="1" t="n">
        <v>46142</v>
      </c>
      <c r="D276" t="inlineStr">
        <is>
          <t>GOTLANDS LÄN</t>
        </is>
      </c>
      <c r="E276" t="inlineStr">
        <is>
          <t>GOTLAND</t>
        </is>
      </c>
      <c r="G276" t="n">
        <v>3</v>
      </c>
      <c r="H276" t="n">
        <v>0</v>
      </c>
      <c r="I276" t="n">
        <v>0</v>
      </c>
      <c r="J276" t="n">
        <v>0</v>
      </c>
      <c r="K276" t="n">
        <v>0</v>
      </c>
      <c r="L276" t="n">
        <v>0</v>
      </c>
      <c r="M276" t="n">
        <v>0</v>
      </c>
      <c r="N276" t="n">
        <v>0</v>
      </c>
      <c r="O276" t="n">
        <v>0</v>
      </c>
      <c r="P276" t="n">
        <v>0</v>
      </c>
      <c r="Q276" t="n">
        <v>0</v>
      </c>
      <c r="R276" s="2" t="inlineStr"/>
    </row>
    <row r="277" ht="15" customHeight="1">
      <c r="A277" t="inlineStr">
        <is>
          <t>A 35512-2023</t>
        </is>
      </c>
      <c r="B277" s="1" t="n">
        <v>45147.25623842593</v>
      </c>
      <c r="C277" s="1" t="n">
        <v>46142</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5905-2024</t>
        </is>
      </c>
      <c r="B278" s="1" t="n">
        <v>45335.88993055555</v>
      </c>
      <c r="C278" s="1" t="n">
        <v>46142</v>
      </c>
      <c r="D278" t="inlineStr">
        <is>
          <t>GOTLANDS LÄN</t>
        </is>
      </c>
      <c r="E278" t="inlineStr">
        <is>
          <t>GOTLAND</t>
        </is>
      </c>
      <c r="G278" t="n">
        <v>3</v>
      </c>
      <c r="H278" t="n">
        <v>0</v>
      </c>
      <c r="I278" t="n">
        <v>0</v>
      </c>
      <c r="J278" t="n">
        <v>0</v>
      </c>
      <c r="K278" t="n">
        <v>0</v>
      </c>
      <c r="L278" t="n">
        <v>0</v>
      </c>
      <c r="M278" t="n">
        <v>0</v>
      </c>
      <c r="N278" t="n">
        <v>0</v>
      </c>
      <c r="O278" t="n">
        <v>0</v>
      </c>
      <c r="P278" t="n">
        <v>0</v>
      </c>
      <c r="Q278" t="n">
        <v>0</v>
      </c>
      <c r="R278" s="2" t="inlineStr"/>
    </row>
    <row r="279" ht="15" customHeight="1">
      <c r="A279" t="inlineStr">
        <is>
          <t>A 19905-2025</t>
        </is>
      </c>
      <c r="B279" s="1" t="n">
        <v>45771</v>
      </c>
      <c r="C279" s="1" t="n">
        <v>46142</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12599-2025</t>
        </is>
      </c>
      <c r="B280" s="1" t="n">
        <v>45733.29546296296</v>
      </c>
      <c r="C280" s="1" t="n">
        <v>46142</v>
      </c>
      <c r="D280" t="inlineStr">
        <is>
          <t>GOTLANDS LÄN</t>
        </is>
      </c>
      <c r="E280" t="inlineStr">
        <is>
          <t>GOTLAND</t>
        </is>
      </c>
      <c r="G280" t="n">
        <v>4.7</v>
      </c>
      <c r="H280" t="n">
        <v>0</v>
      </c>
      <c r="I280" t="n">
        <v>0</v>
      </c>
      <c r="J280" t="n">
        <v>0</v>
      </c>
      <c r="K280" t="n">
        <v>0</v>
      </c>
      <c r="L280" t="n">
        <v>0</v>
      </c>
      <c r="M280" t="n">
        <v>0</v>
      </c>
      <c r="N280" t="n">
        <v>0</v>
      </c>
      <c r="O280" t="n">
        <v>0</v>
      </c>
      <c r="P280" t="n">
        <v>0</v>
      </c>
      <c r="Q280" t="n">
        <v>0</v>
      </c>
      <c r="R280" s="2" t="inlineStr"/>
    </row>
    <row r="281" ht="15" customHeight="1">
      <c r="A281" t="inlineStr">
        <is>
          <t>A 29196-2025</t>
        </is>
      </c>
      <c r="B281" s="1" t="n">
        <v>45822</v>
      </c>
      <c r="C281" s="1" t="n">
        <v>46142</v>
      </c>
      <c r="D281" t="inlineStr">
        <is>
          <t>GOTLANDS LÄN</t>
        </is>
      </c>
      <c r="E281" t="inlineStr">
        <is>
          <t>GOTLAND</t>
        </is>
      </c>
      <c r="G281" t="n">
        <v>0.5</v>
      </c>
      <c r="H281" t="n">
        <v>0</v>
      </c>
      <c r="I281" t="n">
        <v>0</v>
      </c>
      <c r="J281" t="n">
        <v>0</v>
      </c>
      <c r="K281" t="n">
        <v>0</v>
      </c>
      <c r="L281" t="n">
        <v>0</v>
      </c>
      <c r="M281" t="n">
        <v>0</v>
      </c>
      <c r="N281" t="n">
        <v>0</v>
      </c>
      <c r="O281" t="n">
        <v>0</v>
      </c>
      <c r="P281" t="n">
        <v>0</v>
      </c>
      <c r="Q281" t="n">
        <v>0</v>
      </c>
      <c r="R281" s="2" t="inlineStr"/>
    </row>
    <row r="282" ht="15" customHeight="1">
      <c r="A282" t="inlineStr">
        <is>
          <t>A 35141-2025</t>
        </is>
      </c>
      <c r="B282" s="1" t="n">
        <v>45852.65206018519</v>
      </c>
      <c r="C282" s="1" t="n">
        <v>46142</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1291-2023</t>
        </is>
      </c>
      <c r="B283" s="1" t="n">
        <v>44936.47561342592</v>
      </c>
      <c r="C283" s="1" t="n">
        <v>46142</v>
      </c>
      <c r="D283" t="inlineStr">
        <is>
          <t>GOTLANDS LÄN</t>
        </is>
      </c>
      <c r="E283" t="inlineStr">
        <is>
          <t>GOTLAND</t>
        </is>
      </c>
      <c r="G283" t="n">
        <v>7.4</v>
      </c>
      <c r="H283" t="n">
        <v>0</v>
      </c>
      <c r="I283" t="n">
        <v>0</v>
      </c>
      <c r="J283" t="n">
        <v>0</v>
      </c>
      <c r="K283" t="n">
        <v>0</v>
      </c>
      <c r="L283" t="n">
        <v>0</v>
      </c>
      <c r="M283" t="n">
        <v>0</v>
      </c>
      <c r="N283" t="n">
        <v>0</v>
      </c>
      <c r="O283" t="n">
        <v>0</v>
      </c>
      <c r="P283" t="n">
        <v>0</v>
      </c>
      <c r="Q283" t="n">
        <v>0</v>
      </c>
      <c r="R283" s="2" t="inlineStr"/>
    </row>
    <row r="284" ht="15" customHeight="1">
      <c r="A284" t="inlineStr">
        <is>
          <t>A 35142-2025</t>
        </is>
      </c>
      <c r="B284" s="1" t="n">
        <v>45852.65532407408</v>
      </c>
      <c r="C284" s="1" t="n">
        <v>46142</v>
      </c>
      <c r="D284" t="inlineStr">
        <is>
          <t>GOTLANDS LÄN</t>
        </is>
      </c>
      <c r="E284" t="inlineStr">
        <is>
          <t>GOTLAND</t>
        </is>
      </c>
      <c r="G284" t="n">
        <v>2.4</v>
      </c>
      <c r="H284" t="n">
        <v>0</v>
      </c>
      <c r="I284" t="n">
        <v>0</v>
      </c>
      <c r="J284" t="n">
        <v>0</v>
      </c>
      <c r="K284" t="n">
        <v>0</v>
      </c>
      <c r="L284" t="n">
        <v>0</v>
      </c>
      <c r="M284" t="n">
        <v>0</v>
      </c>
      <c r="N284" t="n">
        <v>0</v>
      </c>
      <c r="O284" t="n">
        <v>0</v>
      </c>
      <c r="P284" t="n">
        <v>0</v>
      </c>
      <c r="Q284" t="n">
        <v>0</v>
      </c>
      <c r="R284" s="2" t="inlineStr"/>
    </row>
    <row r="285" ht="15" customHeight="1">
      <c r="A285" t="inlineStr">
        <is>
          <t>A 29207-2025</t>
        </is>
      </c>
      <c r="B285" s="1" t="n">
        <v>45823</v>
      </c>
      <c r="C285" s="1" t="n">
        <v>46142</v>
      </c>
      <c r="D285" t="inlineStr">
        <is>
          <t>GOTLANDS LÄN</t>
        </is>
      </c>
      <c r="E285" t="inlineStr">
        <is>
          <t>GOTLAND</t>
        </is>
      </c>
      <c r="G285" t="n">
        <v>1.9</v>
      </c>
      <c r="H285" t="n">
        <v>0</v>
      </c>
      <c r="I285" t="n">
        <v>0</v>
      </c>
      <c r="J285" t="n">
        <v>0</v>
      </c>
      <c r="K285" t="n">
        <v>0</v>
      </c>
      <c r="L285" t="n">
        <v>0</v>
      </c>
      <c r="M285" t="n">
        <v>0</v>
      </c>
      <c r="N285" t="n">
        <v>0</v>
      </c>
      <c r="O285" t="n">
        <v>0</v>
      </c>
      <c r="P285" t="n">
        <v>0</v>
      </c>
      <c r="Q285" t="n">
        <v>0</v>
      </c>
      <c r="R285" s="2" t="inlineStr"/>
    </row>
    <row r="286" ht="15" customHeight="1">
      <c r="A286" t="inlineStr">
        <is>
          <t>A 57652-2023</t>
        </is>
      </c>
      <c r="B286" s="1" t="n">
        <v>45246</v>
      </c>
      <c r="C286" s="1" t="n">
        <v>46142</v>
      </c>
      <c r="D286" t="inlineStr">
        <is>
          <t>GOTLANDS LÄN</t>
        </is>
      </c>
      <c r="E286" t="inlineStr">
        <is>
          <t>GOTLAND</t>
        </is>
      </c>
      <c r="G286" t="n">
        <v>7.2</v>
      </c>
      <c r="H286" t="n">
        <v>0</v>
      </c>
      <c r="I286" t="n">
        <v>0</v>
      </c>
      <c r="J286" t="n">
        <v>0</v>
      </c>
      <c r="K286" t="n">
        <v>0</v>
      </c>
      <c r="L286" t="n">
        <v>0</v>
      </c>
      <c r="M286" t="n">
        <v>0</v>
      </c>
      <c r="N286" t="n">
        <v>0</v>
      </c>
      <c r="O286" t="n">
        <v>0</v>
      </c>
      <c r="P286" t="n">
        <v>0</v>
      </c>
      <c r="Q286" t="n">
        <v>0</v>
      </c>
      <c r="R286" s="2" t="inlineStr"/>
    </row>
    <row r="287" ht="15" customHeight="1">
      <c r="A287" t="inlineStr">
        <is>
          <t>A 6218-2026</t>
        </is>
      </c>
      <c r="B287" s="1" t="n">
        <v>46055.42859953704</v>
      </c>
      <c r="C287" s="1" t="n">
        <v>46142</v>
      </c>
      <c r="D287" t="inlineStr">
        <is>
          <t>GOTLANDS LÄN</t>
        </is>
      </c>
      <c r="E287" t="inlineStr">
        <is>
          <t>GOTLAND</t>
        </is>
      </c>
      <c r="G287" t="n">
        <v>4.3</v>
      </c>
      <c r="H287" t="n">
        <v>0</v>
      </c>
      <c r="I287" t="n">
        <v>0</v>
      </c>
      <c r="J287" t="n">
        <v>0</v>
      </c>
      <c r="K287" t="n">
        <v>0</v>
      </c>
      <c r="L287" t="n">
        <v>0</v>
      </c>
      <c r="M287" t="n">
        <v>0</v>
      </c>
      <c r="N287" t="n">
        <v>0</v>
      </c>
      <c r="O287" t="n">
        <v>0</v>
      </c>
      <c r="P287" t="n">
        <v>0</v>
      </c>
      <c r="Q287" t="n">
        <v>0</v>
      </c>
      <c r="R287" s="2" t="inlineStr"/>
    </row>
    <row r="288" ht="15" customHeight="1">
      <c r="A288" t="inlineStr">
        <is>
          <t>A 49315-2024</t>
        </is>
      </c>
      <c r="B288" s="1" t="n">
        <v>45595</v>
      </c>
      <c r="C288" s="1" t="n">
        <v>46142</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6207-2026</t>
        </is>
      </c>
      <c r="B289" s="1" t="n">
        <v>46055.42083333333</v>
      </c>
      <c r="C289" s="1" t="n">
        <v>46142</v>
      </c>
      <c r="D289" t="inlineStr">
        <is>
          <t>GOTLANDS LÄN</t>
        </is>
      </c>
      <c r="E289" t="inlineStr">
        <is>
          <t>GOTLAND</t>
        </is>
      </c>
      <c r="G289" t="n">
        <v>7.6</v>
      </c>
      <c r="H289" t="n">
        <v>0</v>
      </c>
      <c r="I289" t="n">
        <v>0</v>
      </c>
      <c r="J289" t="n">
        <v>0</v>
      </c>
      <c r="K289" t="n">
        <v>0</v>
      </c>
      <c r="L289" t="n">
        <v>0</v>
      </c>
      <c r="M289" t="n">
        <v>0</v>
      </c>
      <c r="N289" t="n">
        <v>0</v>
      </c>
      <c r="O289" t="n">
        <v>0</v>
      </c>
      <c r="P289" t="n">
        <v>0</v>
      </c>
      <c r="Q289" t="n">
        <v>0</v>
      </c>
      <c r="R289" s="2" t="inlineStr"/>
    </row>
    <row r="290" ht="15" customHeight="1">
      <c r="A290" t="inlineStr">
        <is>
          <t>A 45106-2024</t>
        </is>
      </c>
      <c r="B290" s="1" t="n">
        <v>45575</v>
      </c>
      <c r="C290" s="1" t="n">
        <v>46142</v>
      </c>
      <c r="D290" t="inlineStr">
        <is>
          <t>GOTLANDS LÄN</t>
        </is>
      </c>
      <c r="E290" t="inlineStr">
        <is>
          <t>GOTLAND</t>
        </is>
      </c>
      <c r="G290" t="n">
        <v>10</v>
      </c>
      <c r="H290" t="n">
        <v>0</v>
      </c>
      <c r="I290" t="n">
        <v>0</v>
      </c>
      <c r="J290" t="n">
        <v>0</v>
      </c>
      <c r="K290" t="n">
        <v>0</v>
      </c>
      <c r="L290" t="n">
        <v>0</v>
      </c>
      <c r="M290" t="n">
        <v>0</v>
      </c>
      <c r="N290" t="n">
        <v>0</v>
      </c>
      <c r="O290" t="n">
        <v>0</v>
      </c>
      <c r="P290" t="n">
        <v>0</v>
      </c>
      <c r="Q290" t="n">
        <v>0</v>
      </c>
      <c r="R290" s="2" t="inlineStr"/>
    </row>
    <row r="291" ht="15" customHeight="1">
      <c r="A291" t="inlineStr">
        <is>
          <t>A 45112-2024</t>
        </is>
      </c>
      <c r="B291" s="1" t="n">
        <v>45575</v>
      </c>
      <c r="C291" s="1" t="n">
        <v>46142</v>
      </c>
      <c r="D291" t="inlineStr">
        <is>
          <t>GOTLANDS LÄN</t>
        </is>
      </c>
      <c r="E291" t="inlineStr">
        <is>
          <t>GOTLAND</t>
        </is>
      </c>
      <c r="G291" t="n">
        <v>5.1</v>
      </c>
      <c r="H291" t="n">
        <v>0</v>
      </c>
      <c r="I291" t="n">
        <v>0</v>
      </c>
      <c r="J291" t="n">
        <v>0</v>
      </c>
      <c r="K291" t="n">
        <v>0</v>
      </c>
      <c r="L291" t="n">
        <v>0</v>
      </c>
      <c r="M291" t="n">
        <v>0</v>
      </c>
      <c r="N291" t="n">
        <v>0</v>
      </c>
      <c r="O291" t="n">
        <v>0</v>
      </c>
      <c r="P291" t="n">
        <v>0</v>
      </c>
      <c r="Q291" t="n">
        <v>0</v>
      </c>
      <c r="R291" s="2" t="inlineStr"/>
    </row>
    <row r="292" ht="15" customHeight="1">
      <c r="A292" t="inlineStr">
        <is>
          <t>A 6959-2026</t>
        </is>
      </c>
      <c r="B292" s="1" t="n">
        <v>46057.580625</v>
      </c>
      <c r="C292" s="1" t="n">
        <v>46142</v>
      </c>
      <c r="D292" t="inlineStr">
        <is>
          <t>GOTLANDS LÄN</t>
        </is>
      </c>
      <c r="E292" t="inlineStr">
        <is>
          <t>GOTLAND</t>
        </is>
      </c>
      <c r="F292" t="inlineStr">
        <is>
          <t>Kyrkan</t>
        </is>
      </c>
      <c r="G292" t="n">
        <v>1.2</v>
      </c>
      <c r="H292" t="n">
        <v>0</v>
      </c>
      <c r="I292" t="n">
        <v>0</v>
      </c>
      <c r="J292" t="n">
        <v>0</v>
      </c>
      <c r="K292" t="n">
        <v>0</v>
      </c>
      <c r="L292" t="n">
        <v>0</v>
      </c>
      <c r="M292" t="n">
        <v>0</v>
      </c>
      <c r="N292" t="n">
        <v>0</v>
      </c>
      <c r="O292" t="n">
        <v>0</v>
      </c>
      <c r="P292" t="n">
        <v>0</v>
      </c>
      <c r="Q292" t="n">
        <v>0</v>
      </c>
      <c r="R292" s="2" t="inlineStr"/>
    </row>
    <row r="293" ht="15" customHeight="1">
      <c r="A293" t="inlineStr">
        <is>
          <t>A 30061-2025</t>
        </is>
      </c>
      <c r="B293" s="1" t="n">
        <v>45826.61488425926</v>
      </c>
      <c r="C293" s="1" t="n">
        <v>46142</v>
      </c>
      <c r="D293" t="inlineStr">
        <is>
          <t>GOTLANDS LÄN</t>
        </is>
      </c>
      <c r="E293" t="inlineStr">
        <is>
          <t>GOTLAND</t>
        </is>
      </c>
      <c r="G293" t="n">
        <v>4.1</v>
      </c>
      <c r="H293" t="n">
        <v>0</v>
      </c>
      <c r="I293" t="n">
        <v>0</v>
      </c>
      <c r="J293" t="n">
        <v>0</v>
      </c>
      <c r="K293" t="n">
        <v>0</v>
      </c>
      <c r="L293" t="n">
        <v>0</v>
      </c>
      <c r="M293" t="n">
        <v>0</v>
      </c>
      <c r="N293" t="n">
        <v>0</v>
      </c>
      <c r="O293" t="n">
        <v>0</v>
      </c>
      <c r="P293" t="n">
        <v>0</v>
      </c>
      <c r="Q293" t="n">
        <v>0</v>
      </c>
      <c r="R293" s="2" t="inlineStr"/>
    </row>
    <row r="294" ht="15" customHeight="1">
      <c r="A294" t="inlineStr">
        <is>
          <t>A 2676-2023</t>
        </is>
      </c>
      <c r="B294" s="1" t="n">
        <v>44944</v>
      </c>
      <c r="C294" s="1" t="n">
        <v>46142</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58160-2024</t>
        </is>
      </c>
      <c r="B295" s="1" t="n">
        <v>45632.44927083333</v>
      </c>
      <c r="C295" s="1" t="n">
        <v>46142</v>
      </c>
      <c r="D295" t="inlineStr">
        <is>
          <t>GOTLANDS LÄN</t>
        </is>
      </c>
      <c r="E295" t="inlineStr">
        <is>
          <t>GOTLAND</t>
        </is>
      </c>
      <c r="G295" t="n">
        <v>5.6</v>
      </c>
      <c r="H295" t="n">
        <v>0</v>
      </c>
      <c r="I295" t="n">
        <v>0</v>
      </c>
      <c r="J295" t="n">
        <v>0</v>
      </c>
      <c r="K295" t="n">
        <v>0</v>
      </c>
      <c r="L295" t="n">
        <v>0</v>
      </c>
      <c r="M295" t="n">
        <v>0</v>
      </c>
      <c r="N295" t="n">
        <v>0</v>
      </c>
      <c r="O295" t="n">
        <v>0</v>
      </c>
      <c r="P295" t="n">
        <v>0</v>
      </c>
      <c r="Q295" t="n">
        <v>0</v>
      </c>
      <c r="R295" s="2" t="inlineStr"/>
    </row>
    <row r="296" ht="15" customHeight="1">
      <c r="A296" t="inlineStr">
        <is>
          <t>A 3150-2025</t>
        </is>
      </c>
      <c r="B296" s="1" t="n">
        <v>45679.28974537037</v>
      </c>
      <c r="C296" s="1" t="n">
        <v>46142</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8484-2025</t>
        </is>
      </c>
      <c r="B297" s="1" t="n">
        <v>45709</v>
      </c>
      <c r="C297" s="1" t="n">
        <v>46142</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7635-2025</t>
        </is>
      </c>
      <c r="B298" s="1" t="n">
        <v>45705</v>
      </c>
      <c r="C298" s="1" t="n">
        <v>46142</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7636-2025</t>
        </is>
      </c>
      <c r="B299" s="1" t="n">
        <v>45705.7687962963</v>
      </c>
      <c r="C299" s="1" t="n">
        <v>46142</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7639-2025</t>
        </is>
      </c>
      <c r="B300" s="1" t="n">
        <v>45705.77465277778</v>
      </c>
      <c r="C300" s="1" t="n">
        <v>46142</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6960-2026</t>
        </is>
      </c>
      <c r="B301" s="1" t="n">
        <v>46057.58105324074</v>
      </c>
      <c r="C301" s="1" t="n">
        <v>46142</v>
      </c>
      <c r="D301" t="inlineStr">
        <is>
          <t>GOTLANDS LÄN</t>
        </is>
      </c>
      <c r="E301" t="inlineStr">
        <is>
          <t>GOTLAND</t>
        </is>
      </c>
      <c r="F301" t="inlineStr">
        <is>
          <t>Kyrkan</t>
        </is>
      </c>
      <c r="G301" t="n">
        <v>2.4</v>
      </c>
      <c r="H301" t="n">
        <v>0</v>
      </c>
      <c r="I301" t="n">
        <v>0</v>
      </c>
      <c r="J301" t="n">
        <v>0</v>
      </c>
      <c r="K301" t="n">
        <v>0</v>
      </c>
      <c r="L301" t="n">
        <v>0</v>
      </c>
      <c r="M301" t="n">
        <v>0</v>
      </c>
      <c r="N301" t="n">
        <v>0</v>
      </c>
      <c r="O301" t="n">
        <v>0</v>
      </c>
      <c r="P301" t="n">
        <v>0</v>
      </c>
      <c r="Q301" t="n">
        <v>0</v>
      </c>
      <c r="R301" s="2" t="inlineStr"/>
    </row>
    <row r="302" ht="15" customHeight="1">
      <c r="A302" t="inlineStr">
        <is>
          <t>A 20356-2022</t>
        </is>
      </c>
      <c r="B302" s="1" t="n">
        <v>44699</v>
      </c>
      <c r="C302" s="1" t="n">
        <v>46142</v>
      </c>
      <c r="D302" t="inlineStr">
        <is>
          <t>GOTLANDS LÄN</t>
        </is>
      </c>
      <c r="E302" t="inlineStr">
        <is>
          <t>GOTLAND</t>
        </is>
      </c>
      <c r="F302" t="inlineStr">
        <is>
          <t>Övriga Aktiebolag</t>
        </is>
      </c>
      <c r="G302" t="n">
        <v>4.4</v>
      </c>
      <c r="H302" t="n">
        <v>0</v>
      </c>
      <c r="I302" t="n">
        <v>0</v>
      </c>
      <c r="J302" t="n">
        <v>0</v>
      </c>
      <c r="K302" t="n">
        <v>0</v>
      </c>
      <c r="L302" t="n">
        <v>0</v>
      </c>
      <c r="M302" t="n">
        <v>0</v>
      </c>
      <c r="N302" t="n">
        <v>0</v>
      </c>
      <c r="O302" t="n">
        <v>0</v>
      </c>
      <c r="P302" t="n">
        <v>0</v>
      </c>
      <c r="Q302" t="n">
        <v>0</v>
      </c>
      <c r="R302" s="2" t="inlineStr"/>
    </row>
    <row r="303" ht="15" customHeight="1">
      <c r="A303" t="inlineStr">
        <is>
          <t>A 48734-2022</t>
        </is>
      </c>
      <c r="B303" s="1" t="n">
        <v>44855</v>
      </c>
      <c r="C303" s="1" t="n">
        <v>46142</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14141-2024</t>
        </is>
      </c>
      <c r="B304" s="1" t="n">
        <v>45392.85193287037</v>
      </c>
      <c r="C304" s="1" t="n">
        <v>46142</v>
      </c>
      <c r="D304" t="inlineStr">
        <is>
          <t>GOTLANDS LÄN</t>
        </is>
      </c>
      <c r="E304" t="inlineStr">
        <is>
          <t>GOTLAND</t>
        </is>
      </c>
      <c r="G304" t="n">
        <v>5.3</v>
      </c>
      <c r="H304" t="n">
        <v>0</v>
      </c>
      <c r="I304" t="n">
        <v>0</v>
      </c>
      <c r="J304" t="n">
        <v>0</v>
      </c>
      <c r="K304" t="n">
        <v>0</v>
      </c>
      <c r="L304" t="n">
        <v>0</v>
      </c>
      <c r="M304" t="n">
        <v>0</v>
      </c>
      <c r="N304" t="n">
        <v>0</v>
      </c>
      <c r="O304" t="n">
        <v>0</v>
      </c>
      <c r="P304" t="n">
        <v>0</v>
      </c>
      <c r="Q304" t="n">
        <v>0</v>
      </c>
      <c r="R304" s="2" t="inlineStr"/>
    </row>
    <row r="305" ht="15" customHeight="1">
      <c r="A305" t="inlineStr">
        <is>
          <t>A 29809-2022</t>
        </is>
      </c>
      <c r="B305" s="1" t="n">
        <v>44755.8713425926</v>
      </c>
      <c r="C305" s="1" t="n">
        <v>46142</v>
      </c>
      <c r="D305" t="inlineStr">
        <is>
          <t>GOTLANDS LÄN</t>
        </is>
      </c>
      <c r="E305" t="inlineStr">
        <is>
          <t>GOTLAND</t>
        </is>
      </c>
      <c r="G305" t="n">
        <v>11.5</v>
      </c>
      <c r="H305" t="n">
        <v>0</v>
      </c>
      <c r="I305" t="n">
        <v>0</v>
      </c>
      <c r="J305" t="n">
        <v>0</v>
      </c>
      <c r="K305" t="n">
        <v>0</v>
      </c>
      <c r="L305" t="n">
        <v>0</v>
      </c>
      <c r="M305" t="n">
        <v>0</v>
      </c>
      <c r="N305" t="n">
        <v>0</v>
      </c>
      <c r="O305" t="n">
        <v>0</v>
      </c>
      <c r="P305" t="n">
        <v>0</v>
      </c>
      <c r="Q305" t="n">
        <v>0</v>
      </c>
      <c r="R305" s="2" t="inlineStr"/>
    </row>
    <row r="306" ht="15" customHeight="1">
      <c r="A306" t="inlineStr">
        <is>
          <t>A 14840-2026</t>
        </is>
      </c>
      <c r="B306" s="1" t="n">
        <v>46104.39498842593</v>
      </c>
      <c r="C306" s="1" t="n">
        <v>46142</v>
      </c>
      <c r="D306" t="inlineStr">
        <is>
          <t>GOTLANDS LÄN</t>
        </is>
      </c>
      <c r="E306" t="inlineStr">
        <is>
          <t>GOTLAND</t>
        </is>
      </c>
      <c r="G306" t="n">
        <v>2.5</v>
      </c>
      <c r="H306" t="n">
        <v>0</v>
      </c>
      <c r="I306" t="n">
        <v>0</v>
      </c>
      <c r="J306" t="n">
        <v>0</v>
      </c>
      <c r="K306" t="n">
        <v>0</v>
      </c>
      <c r="L306" t="n">
        <v>0</v>
      </c>
      <c r="M306" t="n">
        <v>0</v>
      </c>
      <c r="N306" t="n">
        <v>0</v>
      </c>
      <c r="O306" t="n">
        <v>0</v>
      </c>
      <c r="P306" t="n">
        <v>0</v>
      </c>
      <c r="Q306" t="n">
        <v>0</v>
      </c>
      <c r="R306" s="2" t="inlineStr"/>
    </row>
    <row r="307" ht="15" customHeight="1">
      <c r="A307" t="inlineStr">
        <is>
          <t>A 7625-2026</t>
        </is>
      </c>
      <c r="B307" s="1" t="n">
        <v>46062.35135416667</v>
      </c>
      <c r="C307" s="1" t="n">
        <v>46142</v>
      </c>
      <c r="D307" t="inlineStr">
        <is>
          <t>GOTLANDS LÄN</t>
        </is>
      </c>
      <c r="E307" t="inlineStr">
        <is>
          <t>GOTLAND</t>
        </is>
      </c>
      <c r="G307" t="n">
        <v>2.1</v>
      </c>
      <c r="H307" t="n">
        <v>0</v>
      </c>
      <c r="I307" t="n">
        <v>0</v>
      </c>
      <c r="J307" t="n">
        <v>0</v>
      </c>
      <c r="K307" t="n">
        <v>0</v>
      </c>
      <c r="L307" t="n">
        <v>0</v>
      </c>
      <c r="M307" t="n">
        <v>0</v>
      </c>
      <c r="N307" t="n">
        <v>0</v>
      </c>
      <c r="O307" t="n">
        <v>0</v>
      </c>
      <c r="P307" t="n">
        <v>0</v>
      </c>
      <c r="Q307" t="n">
        <v>0</v>
      </c>
      <c r="R307" s="2" t="inlineStr"/>
    </row>
    <row r="308" ht="15" customHeight="1">
      <c r="A308" t="inlineStr">
        <is>
          <t>A 7627-2026</t>
        </is>
      </c>
      <c r="B308" s="1" t="n">
        <v>46062.35465277778</v>
      </c>
      <c r="C308" s="1" t="n">
        <v>46142</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63105-2025</t>
        </is>
      </c>
      <c r="B309" s="1" t="n">
        <v>46009</v>
      </c>
      <c r="C309" s="1" t="n">
        <v>46142</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57685-2022</t>
        </is>
      </c>
      <c r="B310" s="1" t="n">
        <v>44897.4777662037</v>
      </c>
      <c r="C310" s="1" t="n">
        <v>46142</v>
      </c>
      <c r="D310" t="inlineStr">
        <is>
          <t>GOTLANDS LÄN</t>
        </is>
      </c>
      <c r="E310" t="inlineStr">
        <is>
          <t>GOTLAND</t>
        </is>
      </c>
      <c r="G310" t="n">
        <v>3.7</v>
      </c>
      <c r="H310" t="n">
        <v>0</v>
      </c>
      <c r="I310" t="n">
        <v>0</v>
      </c>
      <c r="J310" t="n">
        <v>0</v>
      </c>
      <c r="K310" t="n">
        <v>0</v>
      </c>
      <c r="L310" t="n">
        <v>0</v>
      </c>
      <c r="M310" t="n">
        <v>0</v>
      </c>
      <c r="N310" t="n">
        <v>0</v>
      </c>
      <c r="O310" t="n">
        <v>0</v>
      </c>
      <c r="P310" t="n">
        <v>0</v>
      </c>
      <c r="Q310" t="n">
        <v>0</v>
      </c>
      <c r="R310" s="2" t="inlineStr"/>
    </row>
    <row r="311" ht="15" customHeight="1">
      <c r="A311" t="inlineStr">
        <is>
          <t>A 32379-2025</t>
        </is>
      </c>
      <c r="B311" s="1" t="n">
        <v>45837</v>
      </c>
      <c r="C311" s="1" t="n">
        <v>46142</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30815-2023</t>
        </is>
      </c>
      <c r="B312" s="1" t="n">
        <v>45112</v>
      </c>
      <c r="C312" s="1" t="n">
        <v>46142</v>
      </c>
      <c r="D312" t="inlineStr">
        <is>
          <t>GOTLANDS LÄN</t>
        </is>
      </c>
      <c r="E312" t="inlineStr">
        <is>
          <t>GOTLAND</t>
        </is>
      </c>
      <c r="G312" t="n">
        <v>6</v>
      </c>
      <c r="H312" t="n">
        <v>0</v>
      </c>
      <c r="I312" t="n">
        <v>0</v>
      </c>
      <c r="J312" t="n">
        <v>0</v>
      </c>
      <c r="K312" t="n">
        <v>0</v>
      </c>
      <c r="L312" t="n">
        <v>0</v>
      </c>
      <c r="M312" t="n">
        <v>0</v>
      </c>
      <c r="N312" t="n">
        <v>0</v>
      </c>
      <c r="O312" t="n">
        <v>0</v>
      </c>
      <c r="P312" t="n">
        <v>0</v>
      </c>
      <c r="Q312" t="n">
        <v>0</v>
      </c>
      <c r="R312" s="2" t="inlineStr"/>
    </row>
    <row r="313" ht="15" customHeight="1">
      <c r="A313" t="inlineStr">
        <is>
          <t>A 2135-2026</t>
        </is>
      </c>
      <c r="B313" s="1" t="n">
        <v>46036</v>
      </c>
      <c r="C313" s="1" t="n">
        <v>46142</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32467-2025</t>
        </is>
      </c>
      <c r="B314" s="1" t="n">
        <v>45838.42111111111</v>
      </c>
      <c r="C314" s="1" t="n">
        <v>46142</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2134-2026</t>
        </is>
      </c>
      <c r="B315" s="1" t="n">
        <v>46036</v>
      </c>
      <c r="C315" s="1" t="n">
        <v>46142</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16109-2025</t>
        </is>
      </c>
      <c r="B316" s="1" t="n">
        <v>45750</v>
      </c>
      <c r="C316" s="1" t="n">
        <v>46142</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39819-2025</t>
        </is>
      </c>
      <c r="B317" s="1" t="n">
        <v>45891.53418981482</v>
      </c>
      <c r="C317" s="1" t="n">
        <v>46142</v>
      </c>
      <c r="D317" t="inlineStr">
        <is>
          <t>GOTLANDS LÄN</t>
        </is>
      </c>
      <c r="E317" t="inlineStr">
        <is>
          <t>GOTLAND</t>
        </is>
      </c>
      <c r="G317" t="n">
        <v>3.1</v>
      </c>
      <c r="H317" t="n">
        <v>0</v>
      </c>
      <c r="I317" t="n">
        <v>0</v>
      </c>
      <c r="J317" t="n">
        <v>0</v>
      </c>
      <c r="K317" t="n">
        <v>0</v>
      </c>
      <c r="L317" t="n">
        <v>0</v>
      </c>
      <c r="M317" t="n">
        <v>0</v>
      </c>
      <c r="N317" t="n">
        <v>0</v>
      </c>
      <c r="O317" t="n">
        <v>0</v>
      </c>
      <c r="P317" t="n">
        <v>0</v>
      </c>
      <c r="Q317" t="n">
        <v>0</v>
      </c>
      <c r="R317" s="2" t="inlineStr"/>
    </row>
    <row r="318" ht="15" customHeight="1">
      <c r="A318" t="inlineStr">
        <is>
          <t>A 7034-2023</t>
        </is>
      </c>
      <c r="B318" s="1" t="n">
        <v>44968.32108796296</v>
      </c>
      <c r="C318" s="1" t="n">
        <v>46142</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7042-2023</t>
        </is>
      </c>
      <c r="B319" s="1" t="n">
        <v>44968</v>
      </c>
      <c r="C319" s="1" t="n">
        <v>46142</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23516-2023</t>
        </is>
      </c>
      <c r="B320" s="1" t="n">
        <v>45076.93391203704</v>
      </c>
      <c r="C320" s="1" t="n">
        <v>46142</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64660-2023</t>
        </is>
      </c>
      <c r="B321" s="1" t="n">
        <v>45281.60122685185</v>
      </c>
      <c r="C321" s="1" t="n">
        <v>46142</v>
      </c>
      <c r="D321" t="inlineStr">
        <is>
          <t>GOTLANDS LÄN</t>
        </is>
      </c>
      <c r="E321" t="inlineStr">
        <is>
          <t>GOTLAND</t>
        </is>
      </c>
      <c r="G321" t="n">
        <v>6.3</v>
      </c>
      <c r="H321" t="n">
        <v>0</v>
      </c>
      <c r="I321" t="n">
        <v>0</v>
      </c>
      <c r="J321" t="n">
        <v>0</v>
      </c>
      <c r="K321" t="n">
        <v>0</v>
      </c>
      <c r="L321" t="n">
        <v>0</v>
      </c>
      <c r="M321" t="n">
        <v>0</v>
      </c>
      <c r="N321" t="n">
        <v>0</v>
      </c>
      <c r="O321" t="n">
        <v>0</v>
      </c>
      <c r="P321" t="n">
        <v>0</v>
      </c>
      <c r="Q321" t="n">
        <v>0</v>
      </c>
      <c r="R321" s="2" t="inlineStr"/>
    </row>
    <row r="322" ht="15" customHeight="1">
      <c r="A322" t="inlineStr">
        <is>
          <t>A 39814-2025</t>
        </is>
      </c>
      <c r="B322" s="1" t="n">
        <v>45891.52694444444</v>
      </c>
      <c r="C322" s="1" t="n">
        <v>46142</v>
      </c>
      <c r="D322" t="inlineStr">
        <is>
          <t>GOTLANDS LÄN</t>
        </is>
      </c>
      <c r="E322" t="inlineStr">
        <is>
          <t>GOTLAND</t>
        </is>
      </c>
      <c r="G322" t="n">
        <v>4.5</v>
      </c>
      <c r="H322" t="n">
        <v>0</v>
      </c>
      <c r="I322" t="n">
        <v>0</v>
      </c>
      <c r="J322" t="n">
        <v>0</v>
      </c>
      <c r="K322" t="n">
        <v>0</v>
      </c>
      <c r="L322" t="n">
        <v>0</v>
      </c>
      <c r="M322" t="n">
        <v>0</v>
      </c>
      <c r="N322" t="n">
        <v>0</v>
      </c>
      <c r="O322" t="n">
        <v>0</v>
      </c>
      <c r="P322" t="n">
        <v>0</v>
      </c>
      <c r="Q322" t="n">
        <v>0</v>
      </c>
      <c r="R322" s="2" t="inlineStr"/>
    </row>
    <row r="323" ht="15" customHeight="1">
      <c r="A323" t="inlineStr">
        <is>
          <t>A 63763-2023</t>
        </is>
      </c>
      <c r="B323" s="1" t="n">
        <v>45278.33944444444</v>
      </c>
      <c r="C323" s="1" t="n">
        <v>46142</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33007-2025</t>
        </is>
      </c>
      <c r="B324" s="1" t="n">
        <v>45840</v>
      </c>
      <c r="C324" s="1" t="n">
        <v>46142</v>
      </c>
      <c r="D324" t="inlineStr">
        <is>
          <t>GOTLANDS LÄN</t>
        </is>
      </c>
      <c r="E324" t="inlineStr">
        <is>
          <t>GOTLAND</t>
        </is>
      </c>
      <c r="G324" t="n">
        <v>4.9</v>
      </c>
      <c r="H324" t="n">
        <v>0</v>
      </c>
      <c r="I324" t="n">
        <v>0</v>
      </c>
      <c r="J324" t="n">
        <v>0</v>
      </c>
      <c r="K324" t="n">
        <v>0</v>
      </c>
      <c r="L324" t="n">
        <v>0</v>
      </c>
      <c r="M324" t="n">
        <v>0</v>
      </c>
      <c r="N324" t="n">
        <v>0</v>
      </c>
      <c r="O324" t="n">
        <v>0</v>
      </c>
      <c r="P324" t="n">
        <v>0</v>
      </c>
      <c r="Q324" t="n">
        <v>0</v>
      </c>
      <c r="R324" s="2" t="inlineStr"/>
    </row>
    <row r="325" ht="15" customHeight="1">
      <c r="A325" t="inlineStr">
        <is>
          <t>A 39849-2025</t>
        </is>
      </c>
      <c r="B325" s="1" t="n">
        <v>45891.58502314815</v>
      </c>
      <c r="C325" s="1" t="n">
        <v>46142</v>
      </c>
      <c r="D325" t="inlineStr">
        <is>
          <t>GOTLANDS LÄN</t>
        </is>
      </c>
      <c r="E325" t="inlineStr">
        <is>
          <t>GOTLAND</t>
        </is>
      </c>
      <c r="G325" t="n">
        <v>6.1</v>
      </c>
      <c r="H325" t="n">
        <v>0</v>
      </c>
      <c r="I325" t="n">
        <v>0</v>
      </c>
      <c r="J325" t="n">
        <v>0</v>
      </c>
      <c r="K325" t="n">
        <v>0</v>
      </c>
      <c r="L325" t="n">
        <v>0</v>
      </c>
      <c r="M325" t="n">
        <v>0</v>
      </c>
      <c r="N325" t="n">
        <v>0</v>
      </c>
      <c r="O325" t="n">
        <v>0</v>
      </c>
      <c r="P325" t="n">
        <v>0</v>
      </c>
      <c r="Q325" t="n">
        <v>0</v>
      </c>
      <c r="R325" s="2" t="inlineStr"/>
    </row>
    <row r="326" ht="15" customHeight="1">
      <c r="A326" t="inlineStr">
        <is>
          <t>A 63229-2021</t>
        </is>
      </c>
      <c r="B326" s="1" t="n">
        <v>44508.34518518519</v>
      </c>
      <c r="C326" s="1" t="n">
        <v>46142</v>
      </c>
      <c r="D326" t="inlineStr">
        <is>
          <t>GOTLANDS LÄN</t>
        </is>
      </c>
      <c r="E326" t="inlineStr">
        <is>
          <t>GOTLAND</t>
        </is>
      </c>
      <c r="F326" t="inlineStr">
        <is>
          <t>Kyrkan</t>
        </is>
      </c>
      <c r="G326" t="n">
        <v>3.8</v>
      </c>
      <c r="H326" t="n">
        <v>0</v>
      </c>
      <c r="I326" t="n">
        <v>0</v>
      </c>
      <c r="J326" t="n">
        <v>0</v>
      </c>
      <c r="K326" t="n">
        <v>0</v>
      </c>
      <c r="L326" t="n">
        <v>0</v>
      </c>
      <c r="M326" t="n">
        <v>0</v>
      </c>
      <c r="N326" t="n">
        <v>0</v>
      </c>
      <c r="O326" t="n">
        <v>0</v>
      </c>
      <c r="P326" t="n">
        <v>0</v>
      </c>
      <c r="Q326" t="n">
        <v>0</v>
      </c>
      <c r="R326" s="2" t="inlineStr"/>
    </row>
    <row r="327" ht="15" customHeight="1">
      <c r="A327" t="inlineStr">
        <is>
          <t>A 46375-2024</t>
        </is>
      </c>
      <c r="B327" s="1" t="n">
        <v>45582</v>
      </c>
      <c r="C327" s="1" t="n">
        <v>46142</v>
      </c>
      <c r="D327" t="inlineStr">
        <is>
          <t>GOTLANDS LÄN</t>
        </is>
      </c>
      <c r="E327" t="inlineStr">
        <is>
          <t>GOTLAND</t>
        </is>
      </c>
      <c r="G327" t="n">
        <v>3</v>
      </c>
      <c r="H327" t="n">
        <v>0</v>
      </c>
      <c r="I327" t="n">
        <v>0</v>
      </c>
      <c r="J327" t="n">
        <v>0</v>
      </c>
      <c r="K327" t="n">
        <v>0</v>
      </c>
      <c r="L327" t="n">
        <v>0</v>
      </c>
      <c r="M327" t="n">
        <v>0</v>
      </c>
      <c r="N327" t="n">
        <v>0</v>
      </c>
      <c r="O327" t="n">
        <v>0</v>
      </c>
      <c r="P327" t="n">
        <v>0</v>
      </c>
      <c r="Q327" t="n">
        <v>0</v>
      </c>
      <c r="R327" s="2" t="inlineStr"/>
    </row>
    <row r="328" ht="15" customHeight="1">
      <c r="A328" t="inlineStr">
        <is>
          <t>A 39752-2025</t>
        </is>
      </c>
      <c r="B328" s="1" t="n">
        <v>45891</v>
      </c>
      <c r="C328" s="1" t="n">
        <v>46142</v>
      </c>
      <c r="D328" t="inlineStr">
        <is>
          <t>GOTLANDS LÄN</t>
        </is>
      </c>
      <c r="E328" t="inlineStr">
        <is>
          <t>GOTLAND</t>
        </is>
      </c>
      <c r="G328" t="n">
        <v>5.3</v>
      </c>
      <c r="H328" t="n">
        <v>0</v>
      </c>
      <c r="I328" t="n">
        <v>0</v>
      </c>
      <c r="J328" t="n">
        <v>0</v>
      </c>
      <c r="K328" t="n">
        <v>0</v>
      </c>
      <c r="L328" t="n">
        <v>0</v>
      </c>
      <c r="M328" t="n">
        <v>0</v>
      </c>
      <c r="N328" t="n">
        <v>0</v>
      </c>
      <c r="O328" t="n">
        <v>0</v>
      </c>
      <c r="P328" t="n">
        <v>0</v>
      </c>
      <c r="Q328" t="n">
        <v>0</v>
      </c>
      <c r="R328" s="2" t="inlineStr"/>
    </row>
    <row r="329" ht="15" customHeight="1">
      <c r="A329" t="inlineStr">
        <is>
          <t>A 39816-2025</t>
        </is>
      </c>
      <c r="B329" s="1" t="n">
        <v>45891</v>
      </c>
      <c r="C329" s="1" t="n">
        <v>46142</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40103-2025</t>
        </is>
      </c>
      <c r="B330" s="1" t="n">
        <v>45894.4880324074</v>
      </c>
      <c r="C330" s="1" t="n">
        <v>46142</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53561-2025</t>
        </is>
      </c>
      <c r="B331" s="1" t="n">
        <v>45960.4059375</v>
      </c>
      <c r="C331" s="1" t="n">
        <v>46142</v>
      </c>
      <c r="D331" t="inlineStr">
        <is>
          <t>GOTLANDS LÄN</t>
        </is>
      </c>
      <c r="E331" t="inlineStr">
        <is>
          <t>GOTLAND</t>
        </is>
      </c>
      <c r="F331" t="inlineStr">
        <is>
          <t>Övriga Aktiebolag</t>
        </is>
      </c>
      <c r="G331" t="n">
        <v>2.4</v>
      </c>
      <c r="H331" t="n">
        <v>0</v>
      </c>
      <c r="I331" t="n">
        <v>0</v>
      </c>
      <c r="J331" t="n">
        <v>0</v>
      </c>
      <c r="K331" t="n">
        <v>0</v>
      </c>
      <c r="L331" t="n">
        <v>0</v>
      </c>
      <c r="M331" t="n">
        <v>0</v>
      </c>
      <c r="N331" t="n">
        <v>0</v>
      </c>
      <c r="O331" t="n">
        <v>0</v>
      </c>
      <c r="P331" t="n">
        <v>0</v>
      </c>
      <c r="Q331" t="n">
        <v>0</v>
      </c>
      <c r="R331" s="2" t="inlineStr"/>
    </row>
    <row r="332" ht="15" customHeight="1">
      <c r="A332" t="inlineStr">
        <is>
          <t>A 40373-2025</t>
        </is>
      </c>
      <c r="B332" s="1" t="n">
        <v>45895.51821759259</v>
      </c>
      <c r="C332" s="1" t="n">
        <v>46142</v>
      </c>
      <c r="D332" t="inlineStr">
        <is>
          <t>GOTLANDS LÄN</t>
        </is>
      </c>
      <c r="E332" t="inlineStr">
        <is>
          <t>GOTLAND</t>
        </is>
      </c>
      <c r="G332" t="n">
        <v>0.6</v>
      </c>
      <c r="H332" t="n">
        <v>0</v>
      </c>
      <c r="I332" t="n">
        <v>0</v>
      </c>
      <c r="J332" t="n">
        <v>0</v>
      </c>
      <c r="K332" t="n">
        <v>0</v>
      </c>
      <c r="L332" t="n">
        <v>0</v>
      </c>
      <c r="M332" t="n">
        <v>0</v>
      </c>
      <c r="N332" t="n">
        <v>0</v>
      </c>
      <c r="O332" t="n">
        <v>0</v>
      </c>
      <c r="P332" t="n">
        <v>0</v>
      </c>
      <c r="Q332" t="n">
        <v>0</v>
      </c>
      <c r="R332" s="2" t="inlineStr"/>
    </row>
    <row r="333" ht="15" customHeight="1">
      <c r="A333" t="inlineStr">
        <is>
          <t>A 40499-2025</t>
        </is>
      </c>
      <c r="B333" s="1" t="n">
        <v>45896.32517361111</v>
      </c>
      <c r="C333" s="1" t="n">
        <v>46142</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40372-2025</t>
        </is>
      </c>
      <c r="B334" s="1" t="n">
        <v>45895.5162037037</v>
      </c>
      <c r="C334" s="1" t="n">
        <v>46142</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53587-2025</t>
        </is>
      </c>
      <c r="B335" s="1" t="n">
        <v>45960.43681712963</v>
      </c>
      <c r="C335" s="1" t="n">
        <v>46142</v>
      </c>
      <c r="D335" t="inlineStr">
        <is>
          <t>GOTLANDS LÄN</t>
        </is>
      </c>
      <c r="E335" t="inlineStr">
        <is>
          <t>GOTLAND</t>
        </is>
      </c>
      <c r="F335" t="inlineStr">
        <is>
          <t>Övriga Aktiebolag</t>
        </is>
      </c>
      <c r="G335" t="n">
        <v>1.7</v>
      </c>
      <c r="H335" t="n">
        <v>0</v>
      </c>
      <c r="I335" t="n">
        <v>0</v>
      </c>
      <c r="J335" t="n">
        <v>0</v>
      </c>
      <c r="K335" t="n">
        <v>0</v>
      </c>
      <c r="L335" t="n">
        <v>0</v>
      </c>
      <c r="M335" t="n">
        <v>0</v>
      </c>
      <c r="N335" t="n">
        <v>0</v>
      </c>
      <c r="O335" t="n">
        <v>0</v>
      </c>
      <c r="P335" t="n">
        <v>0</v>
      </c>
      <c r="Q335" t="n">
        <v>0</v>
      </c>
      <c r="R335" s="2" t="inlineStr"/>
    </row>
    <row r="336" ht="15" customHeight="1">
      <c r="A336" t="inlineStr">
        <is>
          <t>A 15413-2025</t>
        </is>
      </c>
      <c r="B336" s="1" t="n">
        <v>45747.451875</v>
      </c>
      <c r="C336" s="1" t="n">
        <v>46142</v>
      </c>
      <c r="D336" t="inlineStr">
        <is>
          <t>GOTLANDS LÄN</t>
        </is>
      </c>
      <c r="E336" t="inlineStr">
        <is>
          <t>GOTLAND</t>
        </is>
      </c>
      <c r="G336" t="n">
        <v>0.6</v>
      </c>
      <c r="H336" t="n">
        <v>0</v>
      </c>
      <c r="I336" t="n">
        <v>0</v>
      </c>
      <c r="J336" t="n">
        <v>0</v>
      </c>
      <c r="K336" t="n">
        <v>0</v>
      </c>
      <c r="L336" t="n">
        <v>0</v>
      </c>
      <c r="M336" t="n">
        <v>0</v>
      </c>
      <c r="N336" t="n">
        <v>0</v>
      </c>
      <c r="O336" t="n">
        <v>0</v>
      </c>
      <c r="P336" t="n">
        <v>0</v>
      </c>
      <c r="Q336" t="n">
        <v>0</v>
      </c>
      <c r="R336" s="2" t="inlineStr"/>
    </row>
    <row r="337" ht="15" customHeight="1">
      <c r="A337" t="inlineStr">
        <is>
          <t>A 35123-2025</t>
        </is>
      </c>
      <c r="B337" s="1" t="n">
        <v>45852.614375</v>
      </c>
      <c r="C337" s="1" t="n">
        <v>46142</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9504-2026</t>
        </is>
      </c>
      <c r="B338" s="1" t="n">
        <v>46071.57730324074</v>
      </c>
      <c r="C338" s="1" t="n">
        <v>46142</v>
      </c>
      <c r="D338" t="inlineStr">
        <is>
          <t>GOTLANDS LÄN</t>
        </is>
      </c>
      <c r="E338" t="inlineStr">
        <is>
          <t>GOTLAND</t>
        </is>
      </c>
      <c r="G338" t="n">
        <v>0.6</v>
      </c>
      <c r="H338" t="n">
        <v>0</v>
      </c>
      <c r="I338" t="n">
        <v>0</v>
      </c>
      <c r="J338" t="n">
        <v>0</v>
      </c>
      <c r="K338" t="n">
        <v>0</v>
      </c>
      <c r="L338" t="n">
        <v>0</v>
      </c>
      <c r="M338" t="n">
        <v>0</v>
      </c>
      <c r="N338" t="n">
        <v>0</v>
      </c>
      <c r="O338" t="n">
        <v>0</v>
      </c>
      <c r="P338" t="n">
        <v>0</v>
      </c>
      <c r="Q338" t="n">
        <v>0</v>
      </c>
      <c r="R338" s="2" t="inlineStr"/>
    </row>
    <row r="339" ht="15" customHeight="1">
      <c r="A339" t="inlineStr">
        <is>
          <t>A 9518-2026</t>
        </is>
      </c>
      <c r="B339" s="1" t="n">
        <v>46071.59653935185</v>
      </c>
      <c r="C339" s="1" t="n">
        <v>46142</v>
      </c>
      <c r="D339" t="inlineStr">
        <is>
          <t>GOTLANDS LÄN</t>
        </is>
      </c>
      <c r="E339" t="inlineStr">
        <is>
          <t>GOTLAND</t>
        </is>
      </c>
      <c r="G339" t="n">
        <v>6.2</v>
      </c>
      <c r="H339" t="n">
        <v>0</v>
      </c>
      <c r="I339" t="n">
        <v>0</v>
      </c>
      <c r="J339" t="n">
        <v>0</v>
      </c>
      <c r="K339" t="n">
        <v>0</v>
      </c>
      <c r="L339" t="n">
        <v>0</v>
      </c>
      <c r="M339" t="n">
        <v>0</v>
      </c>
      <c r="N339" t="n">
        <v>0</v>
      </c>
      <c r="O339" t="n">
        <v>0</v>
      </c>
      <c r="P339" t="n">
        <v>0</v>
      </c>
      <c r="Q339" t="n">
        <v>0</v>
      </c>
      <c r="R339" s="2" t="inlineStr"/>
    </row>
    <row r="340" ht="15" customHeight="1">
      <c r="A340" t="inlineStr">
        <is>
          <t>A 9519-2026</t>
        </is>
      </c>
      <c r="B340" s="1" t="n">
        <v>46071.59820601852</v>
      </c>
      <c r="C340" s="1" t="n">
        <v>46142</v>
      </c>
      <c r="D340" t="inlineStr">
        <is>
          <t>GOTLANDS LÄN</t>
        </is>
      </c>
      <c r="E340" t="inlineStr">
        <is>
          <t>GOTLAND</t>
        </is>
      </c>
      <c r="G340" t="n">
        <v>4</v>
      </c>
      <c r="H340" t="n">
        <v>0</v>
      </c>
      <c r="I340" t="n">
        <v>0</v>
      </c>
      <c r="J340" t="n">
        <v>0</v>
      </c>
      <c r="K340" t="n">
        <v>0</v>
      </c>
      <c r="L340" t="n">
        <v>0</v>
      </c>
      <c r="M340" t="n">
        <v>0</v>
      </c>
      <c r="N340" t="n">
        <v>0</v>
      </c>
      <c r="O340" t="n">
        <v>0</v>
      </c>
      <c r="P340" t="n">
        <v>0</v>
      </c>
      <c r="Q340" t="n">
        <v>0</v>
      </c>
      <c r="R340" s="2" t="inlineStr"/>
    </row>
    <row r="341" ht="15" customHeight="1">
      <c r="A341" t="inlineStr">
        <is>
          <t>A 35096-2025</t>
        </is>
      </c>
      <c r="B341" s="1" t="n">
        <v>45852.54356481481</v>
      </c>
      <c r="C341" s="1" t="n">
        <v>46142</v>
      </c>
      <c r="D341" t="inlineStr">
        <is>
          <t>GOTLANDS LÄN</t>
        </is>
      </c>
      <c r="E341" t="inlineStr">
        <is>
          <t>GOTLAND</t>
        </is>
      </c>
      <c r="F341" t="inlineStr">
        <is>
          <t>Kyrkan</t>
        </is>
      </c>
      <c r="G341" t="n">
        <v>1</v>
      </c>
      <c r="H341" t="n">
        <v>0</v>
      </c>
      <c r="I341" t="n">
        <v>0</v>
      </c>
      <c r="J341" t="n">
        <v>0</v>
      </c>
      <c r="K341" t="n">
        <v>0</v>
      </c>
      <c r="L341" t="n">
        <v>0</v>
      </c>
      <c r="M341" t="n">
        <v>0</v>
      </c>
      <c r="N341" t="n">
        <v>0</v>
      </c>
      <c r="O341" t="n">
        <v>0</v>
      </c>
      <c r="P341" t="n">
        <v>0</v>
      </c>
      <c r="Q341" t="n">
        <v>0</v>
      </c>
      <c r="R341" s="2" t="inlineStr"/>
    </row>
    <row r="342" ht="15" customHeight="1">
      <c r="A342" t="inlineStr">
        <is>
          <t>A 1734-2025</t>
        </is>
      </c>
      <c r="B342" s="1" t="n">
        <v>45671.3840625</v>
      </c>
      <c r="C342" s="1" t="n">
        <v>46142</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9540-2026</t>
        </is>
      </c>
      <c r="B343" s="1" t="n">
        <v>46071.61961805556</v>
      </c>
      <c r="C343" s="1" t="n">
        <v>46142</v>
      </c>
      <c r="D343" t="inlineStr">
        <is>
          <t>GOTLANDS LÄN</t>
        </is>
      </c>
      <c r="E343" t="inlineStr">
        <is>
          <t>GOTLAND</t>
        </is>
      </c>
      <c r="G343" t="n">
        <v>2.8</v>
      </c>
      <c r="H343" t="n">
        <v>0</v>
      </c>
      <c r="I343" t="n">
        <v>0</v>
      </c>
      <c r="J343" t="n">
        <v>0</v>
      </c>
      <c r="K343" t="n">
        <v>0</v>
      </c>
      <c r="L343" t="n">
        <v>0</v>
      </c>
      <c r="M343" t="n">
        <v>0</v>
      </c>
      <c r="N343" t="n">
        <v>0</v>
      </c>
      <c r="O343" t="n">
        <v>0</v>
      </c>
      <c r="P343" t="n">
        <v>0</v>
      </c>
      <c r="Q343" t="n">
        <v>0</v>
      </c>
      <c r="R343" s="2" t="inlineStr"/>
    </row>
    <row r="344" ht="15" customHeight="1">
      <c r="A344" t="inlineStr">
        <is>
          <t>A 9521-2026</t>
        </is>
      </c>
      <c r="B344" s="1" t="n">
        <v>46071.59969907408</v>
      </c>
      <c r="C344" s="1" t="n">
        <v>46142</v>
      </c>
      <c r="D344" t="inlineStr">
        <is>
          <t>GOTLANDS LÄN</t>
        </is>
      </c>
      <c r="E344" t="inlineStr">
        <is>
          <t>GOTLAND</t>
        </is>
      </c>
      <c r="G344" t="n">
        <v>3.9</v>
      </c>
      <c r="H344" t="n">
        <v>0</v>
      </c>
      <c r="I344" t="n">
        <v>0</v>
      </c>
      <c r="J344" t="n">
        <v>0</v>
      </c>
      <c r="K344" t="n">
        <v>0</v>
      </c>
      <c r="L344" t="n">
        <v>0</v>
      </c>
      <c r="M344" t="n">
        <v>0</v>
      </c>
      <c r="N344" t="n">
        <v>0</v>
      </c>
      <c r="O344" t="n">
        <v>0</v>
      </c>
      <c r="P344" t="n">
        <v>0</v>
      </c>
      <c r="Q344" t="n">
        <v>0</v>
      </c>
      <c r="R344" s="2" t="inlineStr"/>
    </row>
    <row r="345" ht="15" customHeight="1">
      <c r="A345" t="inlineStr">
        <is>
          <t>A 9524-2026</t>
        </is>
      </c>
      <c r="B345" s="1" t="n">
        <v>46071.60108796296</v>
      </c>
      <c r="C345" s="1" t="n">
        <v>46142</v>
      </c>
      <c r="D345" t="inlineStr">
        <is>
          <t>GOTLANDS LÄN</t>
        </is>
      </c>
      <c r="E345" t="inlineStr">
        <is>
          <t>GOTLAND</t>
        </is>
      </c>
      <c r="G345" t="n">
        <v>2.5</v>
      </c>
      <c r="H345" t="n">
        <v>0</v>
      </c>
      <c r="I345" t="n">
        <v>0</v>
      </c>
      <c r="J345" t="n">
        <v>0</v>
      </c>
      <c r="K345" t="n">
        <v>0</v>
      </c>
      <c r="L345" t="n">
        <v>0</v>
      </c>
      <c r="M345" t="n">
        <v>0</v>
      </c>
      <c r="N345" t="n">
        <v>0</v>
      </c>
      <c r="O345" t="n">
        <v>0</v>
      </c>
      <c r="P345" t="n">
        <v>0</v>
      </c>
      <c r="Q345" t="n">
        <v>0</v>
      </c>
      <c r="R345" s="2" t="inlineStr"/>
    </row>
    <row r="346" ht="15" customHeight="1">
      <c r="A346" t="inlineStr">
        <is>
          <t>A 9543-2026</t>
        </is>
      </c>
      <c r="B346" s="1" t="n">
        <v>46071.62486111111</v>
      </c>
      <c r="C346" s="1" t="n">
        <v>46142</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20993-2023</t>
        </is>
      </c>
      <c r="B347" s="1" t="n">
        <v>45056</v>
      </c>
      <c r="C347" s="1" t="n">
        <v>46142</v>
      </c>
      <c r="D347" t="inlineStr">
        <is>
          <t>GOTLANDS LÄN</t>
        </is>
      </c>
      <c r="E347" t="inlineStr">
        <is>
          <t>GOTLAND</t>
        </is>
      </c>
      <c r="G347" t="n">
        <v>7.1</v>
      </c>
      <c r="H347" t="n">
        <v>0</v>
      </c>
      <c r="I347" t="n">
        <v>0</v>
      </c>
      <c r="J347" t="n">
        <v>0</v>
      </c>
      <c r="K347" t="n">
        <v>0</v>
      </c>
      <c r="L347" t="n">
        <v>0</v>
      </c>
      <c r="M347" t="n">
        <v>0</v>
      </c>
      <c r="N347" t="n">
        <v>0</v>
      </c>
      <c r="O347" t="n">
        <v>0</v>
      </c>
      <c r="P347" t="n">
        <v>0</v>
      </c>
      <c r="Q347" t="n">
        <v>0</v>
      </c>
      <c r="R347" s="2" t="inlineStr"/>
    </row>
    <row r="348" ht="15" customHeight="1">
      <c r="A348" t="inlineStr">
        <is>
          <t>A 30104-2025</t>
        </is>
      </c>
      <c r="B348" s="1" t="n">
        <v>45826.68806712963</v>
      </c>
      <c r="C348" s="1" t="n">
        <v>46142</v>
      </c>
      <c r="D348" t="inlineStr">
        <is>
          <t>GOTLANDS LÄN</t>
        </is>
      </c>
      <c r="E348" t="inlineStr">
        <is>
          <t>GOTLAND</t>
        </is>
      </c>
      <c r="G348" t="n">
        <v>15.4</v>
      </c>
      <c r="H348" t="n">
        <v>0</v>
      </c>
      <c r="I348" t="n">
        <v>0</v>
      </c>
      <c r="J348" t="n">
        <v>0</v>
      </c>
      <c r="K348" t="n">
        <v>0</v>
      </c>
      <c r="L348" t="n">
        <v>0</v>
      </c>
      <c r="M348" t="n">
        <v>0</v>
      </c>
      <c r="N348" t="n">
        <v>0</v>
      </c>
      <c r="O348" t="n">
        <v>0</v>
      </c>
      <c r="P348" t="n">
        <v>0</v>
      </c>
      <c r="Q348" t="n">
        <v>0</v>
      </c>
      <c r="R348" s="2" t="inlineStr"/>
    </row>
    <row r="349" ht="15" customHeight="1">
      <c r="A349" t="inlineStr">
        <is>
          <t>A 35290-2025</t>
        </is>
      </c>
      <c r="B349" s="1" t="n">
        <v>45854.38502314815</v>
      </c>
      <c r="C349" s="1" t="n">
        <v>46142</v>
      </c>
      <c r="D349" t="inlineStr">
        <is>
          <t>GOTLANDS LÄN</t>
        </is>
      </c>
      <c r="E349" t="inlineStr">
        <is>
          <t>GOTLAND</t>
        </is>
      </c>
      <c r="G349" t="n">
        <v>5.4</v>
      </c>
      <c r="H349" t="n">
        <v>0</v>
      </c>
      <c r="I349" t="n">
        <v>0</v>
      </c>
      <c r="J349" t="n">
        <v>0</v>
      </c>
      <c r="K349" t="n">
        <v>0</v>
      </c>
      <c r="L349" t="n">
        <v>0</v>
      </c>
      <c r="M349" t="n">
        <v>0</v>
      </c>
      <c r="N349" t="n">
        <v>0</v>
      </c>
      <c r="O349" t="n">
        <v>0</v>
      </c>
      <c r="P349" t="n">
        <v>0</v>
      </c>
      <c r="Q349" t="n">
        <v>0</v>
      </c>
      <c r="R349" s="2" t="inlineStr"/>
    </row>
    <row r="350" ht="15" customHeight="1">
      <c r="A350" t="inlineStr">
        <is>
          <t>A 32669-2024</t>
        </is>
      </c>
      <c r="B350" s="1" t="n">
        <v>45514</v>
      </c>
      <c r="C350" s="1" t="n">
        <v>46142</v>
      </c>
      <c r="D350" t="inlineStr">
        <is>
          <t>GOTLANDS LÄN</t>
        </is>
      </c>
      <c r="E350" t="inlineStr">
        <is>
          <t>GOTLAND</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16993-2026</t>
        </is>
      </c>
      <c r="B351" s="1" t="n">
        <v>46114.41918981481</v>
      </c>
      <c r="C351" s="1" t="n">
        <v>46142</v>
      </c>
      <c r="D351" t="inlineStr">
        <is>
          <t>GOTLANDS LÄN</t>
        </is>
      </c>
      <c r="E351" t="inlineStr">
        <is>
          <t>GOTLAND</t>
        </is>
      </c>
      <c r="G351" t="n">
        <v>3</v>
      </c>
      <c r="H351" t="n">
        <v>0</v>
      </c>
      <c r="I351" t="n">
        <v>0</v>
      </c>
      <c r="J351" t="n">
        <v>0</v>
      </c>
      <c r="K351" t="n">
        <v>0</v>
      </c>
      <c r="L351" t="n">
        <v>0</v>
      </c>
      <c r="M351" t="n">
        <v>0</v>
      </c>
      <c r="N351" t="n">
        <v>0</v>
      </c>
      <c r="O351" t="n">
        <v>0</v>
      </c>
      <c r="P351" t="n">
        <v>0</v>
      </c>
      <c r="Q351" t="n">
        <v>0</v>
      </c>
      <c r="R351" s="2" t="inlineStr"/>
    </row>
    <row r="352" ht="15" customHeight="1">
      <c r="A352" t="inlineStr">
        <is>
          <t>A 17000-2026</t>
        </is>
      </c>
      <c r="B352" s="1" t="n">
        <v>46114.42690972222</v>
      </c>
      <c r="C352" s="1" t="n">
        <v>46142</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39278-2025</t>
        </is>
      </c>
      <c r="B353" s="1" t="n">
        <v>45889</v>
      </c>
      <c r="C353" s="1" t="n">
        <v>46142</v>
      </c>
      <c r="D353" t="inlineStr">
        <is>
          <t>GOTLANDS LÄN</t>
        </is>
      </c>
      <c r="E353" t="inlineStr">
        <is>
          <t>GOTLAND</t>
        </is>
      </c>
      <c r="G353" t="n">
        <v>3.7</v>
      </c>
      <c r="H353" t="n">
        <v>0</v>
      </c>
      <c r="I353" t="n">
        <v>0</v>
      </c>
      <c r="J353" t="n">
        <v>0</v>
      </c>
      <c r="K353" t="n">
        <v>0</v>
      </c>
      <c r="L353" t="n">
        <v>0</v>
      </c>
      <c r="M353" t="n">
        <v>0</v>
      </c>
      <c r="N353" t="n">
        <v>0</v>
      </c>
      <c r="O353" t="n">
        <v>0</v>
      </c>
      <c r="P353" t="n">
        <v>0</v>
      </c>
      <c r="Q353" t="n">
        <v>0</v>
      </c>
      <c r="R353" s="2" t="inlineStr"/>
    </row>
    <row r="354" ht="15" customHeight="1">
      <c r="A354" t="inlineStr">
        <is>
          <t>A 35537-2025</t>
        </is>
      </c>
      <c r="B354" s="1" t="n">
        <v>45856</v>
      </c>
      <c r="C354" s="1" t="n">
        <v>46142</v>
      </c>
      <c r="D354" t="inlineStr">
        <is>
          <t>GOTLANDS LÄN</t>
        </is>
      </c>
      <c r="E354" t="inlineStr">
        <is>
          <t>GOTLAND</t>
        </is>
      </c>
      <c r="G354" t="n">
        <v>16.8</v>
      </c>
      <c r="H354" t="n">
        <v>0</v>
      </c>
      <c r="I354" t="n">
        <v>0</v>
      </c>
      <c r="J354" t="n">
        <v>0</v>
      </c>
      <c r="K354" t="n">
        <v>0</v>
      </c>
      <c r="L354" t="n">
        <v>0</v>
      </c>
      <c r="M354" t="n">
        <v>0</v>
      </c>
      <c r="N354" t="n">
        <v>0</v>
      </c>
      <c r="O354" t="n">
        <v>0</v>
      </c>
      <c r="P354" t="n">
        <v>0</v>
      </c>
      <c r="Q354" t="n">
        <v>0</v>
      </c>
      <c r="R354" s="2" t="inlineStr"/>
    </row>
    <row r="355" ht="15" customHeight="1">
      <c r="A355" t="inlineStr">
        <is>
          <t>A 12596-2023</t>
        </is>
      </c>
      <c r="B355" s="1" t="n">
        <v>45000.43310185185</v>
      </c>
      <c r="C355" s="1" t="n">
        <v>46142</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2125-2025</t>
        </is>
      </c>
      <c r="B356" s="1" t="n">
        <v>45672.64940972222</v>
      </c>
      <c r="C356" s="1" t="n">
        <v>46142</v>
      </c>
      <c r="D356" t="inlineStr">
        <is>
          <t>GOTLANDS LÄN</t>
        </is>
      </c>
      <c r="E356" t="inlineStr">
        <is>
          <t>GOTLAND</t>
        </is>
      </c>
      <c r="G356" t="n">
        <v>2.3</v>
      </c>
      <c r="H356" t="n">
        <v>0</v>
      </c>
      <c r="I356" t="n">
        <v>0</v>
      </c>
      <c r="J356" t="n">
        <v>0</v>
      </c>
      <c r="K356" t="n">
        <v>0</v>
      </c>
      <c r="L356" t="n">
        <v>0</v>
      </c>
      <c r="M356" t="n">
        <v>0</v>
      </c>
      <c r="N356" t="n">
        <v>0</v>
      </c>
      <c r="O356" t="n">
        <v>0</v>
      </c>
      <c r="P356" t="n">
        <v>0</v>
      </c>
      <c r="Q356" t="n">
        <v>0</v>
      </c>
      <c r="R356" s="2" t="inlineStr"/>
    </row>
    <row r="357" ht="15" customHeight="1">
      <c r="A357" t="inlineStr">
        <is>
          <t>A 63152-2025</t>
        </is>
      </c>
      <c r="B357" s="1" t="n">
        <v>46010</v>
      </c>
      <c r="C357" s="1" t="n">
        <v>46142</v>
      </c>
      <c r="D357" t="inlineStr">
        <is>
          <t>GOTLANDS LÄN</t>
        </is>
      </c>
      <c r="E357" t="inlineStr">
        <is>
          <t>GOTLAND</t>
        </is>
      </c>
      <c r="G357" t="n">
        <v>1.5</v>
      </c>
      <c r="H357" t="n">
        <v>0</v>
      </c>
      <c r="I357" t="n">
        <v>0</v>
      </c>
      <c r="J357" t="n">
        <v>0</v>
      </c>
      <c r="K357" t="n">
        <v>0</v>
      </c>
      <c r="L357" t="n">
        <v>0</v>
      </c>
      <c r="M357" t="n">
        <v>0</v>
      </c>
      <c r="N357" t="n">
        <v>0</v>
      </c>
      <c r="O357" t="n">
        <v>0</v>
      </c>
      <c r="P357" t="n">
        <v>0</v>
      </c>
      <c r="Q357" t="n">
        <v>0</v>
      </c>
      <c r="R357" s="2" t="inlineStr"/>
    </row>
    <row r="358" ht="15" customHeight="1">
      <c r="A358" t="inlineStr">
        <is>
          <t>A 12155-2023</t>
        </is>
      </c>
      <c r="B358" s="1" t="n">
        <v>44998.49106481481</v>
      </c>
      <c r="C358" s="1" t="n">
        <v>46142</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457-2023</t>
        </is>
      </c>
      <c r="B359" s="1" t="n">
        <v>44929.87238425926</v>
      </c>
      <c r="C359" s="1" t="n">
        <v>46142</v>
      </c>
      <c r="D359" t="inlineStr">
        <is>
          <t>GOTLANDS LÄN</t>
        </is>
      </c>
      <c r="E359" t="inlineStr">
        <is>
          <t>GOTLAND</t>
        </is>
      </c>
      <c r="G359" t="n">
        <v>2.4</v>
      </c>
      <c r="H359" t="n">
        <v>0</v>
      </c>
      <c r="I359" t="n">
        <v>0</v>
      </c>
      <c r="J359" t="n">
        <v>0</v>
      </c>
      <c r="K359" t="n">
        <v>0</v>
      </c>
      <c r="L359" t="n">
        <v>0</v>
      </c>
      <c r="M359" t="n">
        <v>0</v>
      </c>
      <c r="N359" t="n">
        <v>0</v>
      </c>
      <c r="O359" t="n">
        <v>0</v>
      </c>
      <c r="P359" t="n">
        <v>0</v>
      </c>
      <c r="Q359" t="n">
        <v>0</v>
      </c>
      <c r="R359" s="2" t="inlineStr"/>
    </row>
    <row r="360" ht="15" customHeight="1">
      <c r="A360" t="inlineStr">
        <is>
          <t>A 459-2023</t>
        </is>
      </c>
      <c r="B360" s="1" t="n">
        <v>44929.87423611111</v>
      </c>
      <c r="C360" s="1" t="n">
        <v>46142</v>
      </c>
      <c r="D360" t="inlineStr">
        <is>
          <t>GOTLANDS LÄN</t>
        </is>
      </c>
      <c r="E360" t="inlineStr">
        <is>
          <t>GOTLAND</t>
        </is>
      </c>
      <c r="G360" t="n">
        <v>4.2</v>
      </c>
      <c r="H360" t="n">
        <v>0</v>
      </c>
      <c r="I360" t="n">
        <v>0</v>
      </c>
      <c r="J360" t="n">
        <v>0</v>
      </c>
      <c r="K360" t="n">
        <v>0</v>
      </c>
      <c r="L360" t="n">
        <v>0</v>
      </c>
      <c r="M360" t="n">
        <v>0</v>
      </c>
      <c r="N360" t="n">
        <v>0</v>
      </c>
      <c r="O360" t="n">
        <v>0</v>
      </c>
      <c r="P360" t="n">
        <v>0</v>
      </c>
      <c r="Q360" t="n">
        <v>0</v>
      </c>
      <c r="R360" s="2" t="inlineStr"/>
    </row>
    <row r="361" ht="15" customHeight="1">
      <c r="A361" t="inlineStr">
        <is>
          <t>A 38234-2023</t>
        </is>
      </c>
      <c r="B361" s="1" t="n">
        <v>45161.56663194444</v>
      </c>
      <c r="C361" s="1" t="n">
        <v>46142</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10486-2026</t>
        </is>
      </c>
      <c r="B362" s="1" t="n">
        <v>46077.51425925926</v>
      </c>
      <c r="C362" s="1" t="n">
        <v>46142</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9901-2026</t>
        </is>
      </c>
      <c r="B363" s="1" t="n">
        <v>46073.40391203704</v>
      </c>
      <c r="C363" s="1" t="n">
        <v>46142</v>
      </c>
      <c r="D363" t="inlineStr">
        <is>
          <t>GOTLANDS LÄN</t>
        </is>
      </c>
      <c r="E363" t="inlineStr">
        <is>
          <t>GOTLAND</t>
        </is>
      </c>
      <c r="F363" t="inlineStr">
        <is>
          <t>Kyrkan</t>
        </is>
      </c>
      <c r="G363" t="n">
        <v>0.9</v>
      </c>
      <c r="H363" t="n">
        <v>0</v>
      </c>
      <c r="I363" t="n">
        <v>0</v>
      </c>
      <c r="J363" t="n">
        <v>0</v>
      </c>
      <c r="K363" t="n">
        <v>0</v>
      </c>
      <c r="L363" t="n">
        <v>0</v>
      </c>
      <c r="M363" t="n">
        <v>0</v>
      </c>
      <c r="N363" t="n">
        <v>0</v>
      </c>
      <c r="O363" t="n">
        <v>0</v>
      </c>
      <c r="P363" t="n">
        <v>0</v>
      </c>
      <c r="Q363" t="n">
        <v>0</v>
      </c>
      <c r="R363" s="2" t="inlineStr"/>
    </row>
    <row r="364" ht="15" customHeight="1">
      <c r="A364" t="inlineStr">
        <is>
          <t>A 50744-2024</t>
        </is>
      </c>
      <c r="B364" s="1" t="n">
        <v>45602.4187037037</v>
      </c>
      <c r="C364" s="1" t="n">
        <v>46142</v>
      </c>
      <c r="D364" t="inlineStr">
        <is>
          <t>GOTLANDS LÄN</t>
        </is>
      </c>
      <c r="E364" t="inlineStr">
        <is>
          <t>GOTLAND</t>
        </is>
      </c>
      <c r="G364" t="n">
        <v>3.2</v>
      </c>
      <c r="H364" t="n">
        <v>0</v>
      </c>
      <c r="I364" t="n">
        <v>0</v>
      </c>
      <c r="J364" t="n">
        <v>0</v>
      </c>
      <c r="K364" t="n">
        <v>0</v>
      </c>
      <c r="L364" t="n">
        <v>0</v>
      </c>
      <c r="M364" t="n">
        <v>0</v>
      </c>
      <c r="N364" t="n">
        <v>0</v>
      </c>
      <c r="O364" t="n">
        <v>0</v>
      </c>
      <c r="P364" t="n">
        <v>0</v>
      </c>
      <c r="Q364" t="n">
        <v>0</v>
      </c>
      <c r="R364" s="2" t="inlineStr"/>
    </row>
    <row r="365" ht="15" customHeight="1">
      <c r="A365" t="inlineStr">
        <is>
          <t>A 17328-2026</t>
        </is>
      </c>
      <c r="B365" s="1" t="n">
        <v>46119.61216435185</v>
      </c>
      <c r="C365" s="1" t="n">
        <v>46142</v>
      </c>
      <c r="D365" t="inlineStr">
        <is>
          <t>GOTLANDS LÄN</t>
        </is>
      </c>
      <c r="E365" t="inlineStr">
        <is>
          <t>GOTLAND</t>
        </is>
      </c>
      <c r="F365" t="inlineStr">
        <is>
          <t>Kyrkan</t>
        </is>
      </c>
      <c r="G365" t="n">
        <v>4</v>
      </c>
      <c r="H365" t="n">
        <v>0</v>
      </c>
      <c r="I365" t="n">
        <v>0</v>
      </c>
      <c r="J365" t="n">
        <v>0</v>
      </c>
      <c r="K365" t="n">
        <v>0</v>
      </c>
      <c r="L365" t="n">
        <v>0</v>
      </c>
      <c r="M365" t="n">
        <v>0</v>
      </c>
      <c r="N365" t="n">
        <v>0</v>
      </c>
      <c r="O365" t="n">
        <v>0</v>
      </c>
      <c r="P365" t="n">
        <v>0</v>
      </c>
      <c r="Q365" t="n">
        <v>0</v>
      </c>
      <c r="R365" s="2" t="inlineStr"/>
    </row>
    <row r="366" ht="15" customHeight="1">
      <c r="A366" t="inlineStr">
        <is>
          <t>A 10284-2026</t>
        </is>
      </c>
      <c r="B366" s="1" t="n">
        <v>46076</v>
      </c>
      <c r="C366" s="1" t="n">
        <v>46142</v>
      </c>
      <c r="D366" t="inlineStr">
        <is>
          <t>GOTLANDS LÄN</t>
        </is>
      </c>
      <c r="E366" t="inlineStr">
        <is>
          <t>GOTLAND</t>
        </is>
      </c>
      <c r="G366" t="n">
        <v>5.2</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46142</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43790-2024</t>
        </is>
      </c>
      <c r="B368" s="1" t="n">
        <v>45571</v>
      </c>
      <c r="C368" s="1" t="n">
        <v>46142</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15001-2025</t>
        </is>
      </c>
      <c r="B369" s="1" t="n">
        <v>45743</v>
      </c>
      <c r="C369" s="1" t="n">
        <v>46142</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53934-2024</t>
        </is>
      </c>
      <c r="B370" s="1" t="n">
        <v>45615</v>
      </c>
      <c r="C370" s="1" t="n">
        <v>46142</v>
      </c>
      <c r="D370" t="inlineStr">
        <is>
          <t>GOTLANDS LÄN</t>
        </is>
      </c>
      <c r="E370" t="inlineStr">
        <is>
          <t>GOTLAND</t>
        </is>
      </c>
      <c r="G370" t="n">
        <v>5</v>
      </c>
      <c r="H370" t="n">
        <v>0</v>
      </c>
      <c r="I370" t="n">
        <v>0</v>
      </c>
      <c r="J370" t="n">
        <v>0</v>
      </c>
      <c r="K370" t="n">
        <v>0</v>
      </c>
      <c r="L370" t="n">
        <v>0</v>
      </c>
      <c r="M370" t="n">
        <v>0</v>
      </c>
      <c r="N370" t="n">
        <v>0</v>
      </c>
      <c r="O370" t="n">
        <v>0</v>
      </c>
      <c r="P370" t="n">
        <v>0</v>
      </c>
      <c r="Q370" t="n">
        <v>0</v>
      </c>
      <c r="R370" s="2" t="inlineStr"/>
    </row>
    <row r="371" ht="15" customHeight="1">
      <c r="A371" t="inlineStr">
        <is>
          <t>A 30488-2025</t>
        </is>
      </c>
      <c r="B371" s="1" t="n">
        <v>45830</v>
      </c>
      <c r="C371" s="1" t="n">
        <v>46142</v>
      </c>
      <c r="D371" t="inlineStr">
        <is>
          <t>GOTLANDS LÄN</t>
        </is>
      </c>
      <c r="E371" t="inlineStr">
        <is>
          <t>GOTLAND</t>
        </is>
      </c>
      <c r="F371" t="inlineStr">
        <is>
          <t>Kyrkan</t>
        </is>
      </c>
      <c r="G371" t="n">
        <v>3.9</v>
      </c>
      <c r="H371" t="n">
        <v>0</v>
      </c>
      <c r="I371" t="n">
        <v>0</v>
      </c>
      <c r="J371" t="n">
        <v>0</v>
      </c>
      <c r="K371" t="n">
        <v>0</v>
      </c>
      <c r="L371" t="n">
        <v>0</v>
      </c>
      <c r="M371" t="n">
        <v>0</v>
      </c>
      <c r="N371" t="n">
        <v>0</v>
      </c>
      <c r="O371" t="n">
        <v>0</v>
      </c>
      <c r="P371" t="n">
        <v>0</v>
      </c>
      <c r="Q371" t="n">
        <v>0</v>
      </c>
      <c r="R371" s="2" t="inlineStr"/>
    </row>
    <row r="372" ht="15" customHeight="1">
      <c r="A372" t="inlineStr">
        <is>
          <t>A 17847-2025</t>
        </is>
      </c>
      <c r="B372" s="1" t="n">
        <v>45758</v>
      </c>
      <c r="C372" s="1" t="n">
        <v>46142</v>
      </c>
      <c r="D372" t="inlineStr">
        <is>
          <t>GOTLANDS LÄN</t>
        </is>
      </c>
      <c r="E372" t="inlineStr">
        <is>
          <t>GOTLAND</t>
        </is>
      </c>
      <c r="G372" t="n">
        <v>1.9</v>
      </c>
      <c r="H372" t="n">
        <v>0</v>
      </c>
      <c r="I372" t="n">
        <v>0</v>
      </c>
      <c r="J372" t="n">
        <v>0</v>
      </c>
      <c r="K372" t="n">
        <v>0</v>
      </c>
      <c r="L372" t="n">
        <v>0</v>
      </c>
      <c r="M372" t="n">
        <v>0</v>
      </c>
      <c r="N372" t="n">
        <v>0</v>
      </c>
      <c r="O372" t="n">
        <v>0</v>
      </c>
      <c r="P372" t="n">
        <v>0</v>
      </c>
      <c r="Q372" t="n">
        <v>0</v>
      </c>
      <c r="R372" s="2" t="inlineStr"/>
    </row>
    <row r="373" ht="15" customHeight="1">
      <c r="A373" t="inlineStr">
        <is>
          <t>A 60384-2025</t>
        </is>
      </c>
      <c r="B373" s="1" t="n">
        <v>45995</v>
      </c>
      <c r="C373" s="1" t="n">
        <v>46142</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18742-2025</t>
        </is>
      </c>
      <c r="B374" s="1" t="n">
        <v>45763</v>
      </c>
      <c r="C374" s="1" t="n">
        <v>46142</v>
      </c>
      <c r="D374" t="inlineStr">
        <is>
          <t>GOTLANDS LÄN</t>
        </is>
      </c>
      <c r="E374" t="inlineStr">
        <is>
          <t>GOTLAND</t>
        </is>
      </c>
      <c r="G374" t="n">
        <v>3.4</v>
      </c>
      <c r="H374" t="n">
        <v>0</v>
      </c>
      <c r="I374" t="n">
        <v>0</v>
      </c>
      <c r="J374" t="n">
        <v>0</v>
      </c>
      <c r="K374" t="n">
        <v>0</v>
      </c>
      <c r="L374" t="n">
        <v>0</v>
      </c>
      <c r="M374" t="n">
        <v>0</v>
      </c>
      <c r="N374" t="n">
        <v>0</v>
      </c>
      <c r="O374" t="n">
        <v>0</v>
      </c>
      <c r="P374" t="n">
        <v>0</v>
      </c>
      <c r="Q374" t="n">
        <v>0</v>
      </c>
      <c r="R374" s="2" t="inlineStr"/>
    </row>
    <row r="375" ht="15" customHeight="1">
      <c r="A375" t="inlineStr">
        <is>
          <t>A 35129-2025</t>
        </is>
      </c>
      <c r="B375" s="1" t="n">
        <v>45852.63224537037</v>
      </c>
      <c r="C375" s="1" t="n">
        <v>46142</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41435-2025</t>
        </is>
      </c>
      <c r="B376" s="1" t="n">
        <v>45901.39974537037</v>
      </c>
      <c r="C376" s="1" t="n">
        <v>46142</v>
      </c>
      <c r="D376" t="inlineStr">
        <is>
          <t>GOTLANDS LÄN</t>
        </is>
      </c>
      <c r="E376" t="inlineStr">
        <is>
          <t>GOTLAND</t>
        </is>
      </c>
      <c r="G376" t="n">
        <v>4.9</v>
      </c>
      <c r="H376" t="n">
        <v>0</v>
      </c>
      <c r="I376" t="n">
        <v>0</v>
      </c>
      <c r="J376" t="n">
        <v>0</v>
      </c>
      <c r="K376" t="n">
        <v>0</v>
      </c>
      <c r="L376" t="n">
        <v>0</v>
      </c>
      <c r="M376" t="n">
        <v>0</v>
      </c>
      <c r="N376" t="n">
        <v>0</v>
      </c>
      <c r="O376" t="n">
        <v>0</v>
      </c>
      <c r="P376" t="n">
        <v>0</v>
      </c>
      <c r="Q376" t="n">
        <v>0</v>
      </c>
      <c r="R376" s="2" t="inlineStr"/>
    </row>
    <row r="377" ht="15" customHeight="1">
      <c r="A377" t="inlineStr">
        <is>
          <t>A 1446-2025</t>
        </is>
      </c>
      <c r="B377" s="1" t="n">
        <v>45669.86035879629</v>
      </c>
      <c r="C377" s="1" t="n">
        <v>46142</v>
      </c>
      <c r="D377" t="inlineStr">
        <is>
          <t>GOTLANDS LÄN</t>
        </is>
      </c>
      <c r="E377" t="inlineStr">
        <is>
          <t>GOTLAND</t>
        </is>
      </c>
      <c r="G377" t="n">
        <v>3.1</v>
      </c>
      <c r="H377" t="n">
        <v>0</v>
      </c>
      <c r="I377" t="n">
        <v>0</v>
      </c>
      <c r="J377" t="n">
        <v>0</v>
      </c>
      <c r="K377" t="n">
        <v>0</v>
      </c>
      <c r="L377" t="n">
        <v>0</v>
      </c>
      <c r="M377" t="n">
        <v>0</v>
      </c>
      <c r="N377" t="n">
        <v>0</v>
      </c>
      <c r="O377" t="n">
        <v>0</v>
      </c>
      <c r="P377" t="n">
        <v>0</v>
      </c>
      <c r="Q377" t="n">
        <v>0</v>
      </c>
      <c r="R377" s="2" t="inlineStr"/>
    </row>
    <row r="378" ht="15" customHeight="1">
      <c r="A378" t="inlineStr">
        <is>
          <t>A 31264-2021</t>
        </is>
      </c>
      <c r="B378" s="1" t="n">
        <v>44368</v>
      </c>
      <c r="C378" s="1" t="n">
        <v>46142</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17935-2026</t>
        </is>
      </c>
      <c r="B379" s="1" t="n">
        <v>46122</v>
      </c>
      <c r="C379" s="1" t="n">
        <v>46142</v>
      </c>
      <c r="D379" t="inlineStr">
        <is>
          <t>GOTLANDS LÄN</t>
        </is>
      </c>
      <c r="E379" t="inlineStr">
        <is>
          <t>GOTLAND</t>
        </is>
      </c>
      <c r="G379" t="n">
        <v>0.9</v>
      </c>
      <c r="H379" t="n">
        <v>0</v>
      </c>
      <c r="I379" t="n">
        <v>0</v>
      </c>
      <c r="J379" t="n">
        <v>0</v>
      </c>
      <c r="K379" t="n">
        <v>0</v>
      </c>
      <c r="L379" t="n">
        <v>0</v>
      </c>
      <c r="M379" t="n">
        <v>0</v>
      </c>
      <c r="N379" t="n">
        <v>0</v>
      </c>
      <c r="O379" t="n">
        <v>0</v>
      </c>
      <c r="P379" t="n">
        <v>0</v>
      </c>
      <c r="Q379" t="n">
        <v>0</v>
      </c>
      <c r="R379" s="2" t="inlineStr"/>
    </row>
    <row r="380" ht="15" customHeight="1">
      <c r="A380" t="inlineStr">
        <is>
          <t>A 43901-2023</t>
        </is>
      </c>
      <c r="B380" s="1" t="n">
        <v>45187</v>
      </c>
      <c r="C380" s="1" t="n">
        <v>46142</v>
      </c>
      <c r="D380" t="inlineStr">
        <is>
          <t>GOTLANDS LÄN</t>
        </is>
      </c>
      <c r="E380" t="inlineStr">
        <is>
          <t>GOTLAND</t>
        </is>
      </c>
      <c r="G380" t="n">
        <v>5.4</v>
      </c>
      <c r="H380" t="n">
        <v>0</v>
      </c>
      <c r="I380" t="n">
        <v>0</v>
      </c>
      <c r="J380" t="n">
        <v>0</v>
      </c>
      <c r="K380" t="n">
        <v>0</v>
      </c>
      <c r="L380" t="n">
        <v>0</v>
      </c>
      <c r="M380" t="n">
        <v>0</v>
      </c>
      <c r="N380" t="n">
        <v>0</v>
      </c>
      <c r="O380" t="n">
        <v>0</v>
      </c>
      <c r="P380" t="n">
        <v>0</v>
      </c>
      <c r="Q380" t="n">
        <v>0</v>
      </c>
      <c r="R380" s="2" t="inlineStr"/>
    </row>
    <row r="381" ht="15" customHeight="1">
      <c r="A381" t="inlineStr">
        <is>
          <t>A 11424-2026</t>
        </is>
      </c>
      <c r="B381" s="1" t="n">
        <v>46083.48068287037</v>
      </c>
      <c r="C381" s="1" t="n">
        <v>46142</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10746-2025</t>
        </is>
      </c>
      <c r="B382" s="1" t="n">
        <v>45722.42766203704</v>
      </c>
      <c r="C382" s="1" t="n">
        <v>46142</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16501-2023</t>
        </is>
      </c>
      <c r="B383" s="1" t="n">
        <v>45029</v>
      </c>
      <c r="C383" s="1" t="n">
        <v>46142</v>
      </c>
      <c r="D383" t="inlineStr">
        <is>
          <t>GOTLANDS LÄN</t>
        </is>
      </c>
      <c r="E383" t="inlineStr">
        <is>
          <t>GOTLAND</t>
        </is>
      </c>
      <c r="G383" t="n">
        <v>3.1</v>
      </c>
      <c r="H383" t="n">
        <v>0</v>
      </c>
      <c r="I383" t="n">
        <v>0</v>
      </c>
      <c r="J383" t="n">
        <v>0</v>
      </c>
      <c r="K383" t="n">
        <v>0</v>
      </c>
      <c r="L383" t="n">
        <v>0</v>
      </c>
      <c r="M383" t="n">
        <v>0</v>
      </c>
      <c r="N383" t="n">
        <v>0</v>
      </c>
      <c r="O383" t="n">
        <v>0</v>
      </c>
      <c r="P383" t="n">
        <v>0</v>
      </c>
      <c r="Q383" t="n">
        <v>0</v>
      </c>
      <c r="R383" s="2" t="inlineStr"/>
    </row>
    <row r="384" ht="15" customHeight="1">
      <c r="A384" t="inlineStr">
        <is>
          <t>A 41551-2025</t>
        </is>
      </c>
      <c r="B384" s="1" t="n">
        <v>45901.58854166666</v>
      </c>
      <c r="C384" s="1" t="n">
        <v>46142</v>
      </c>
      <c r="D384" t="inlineStr">
        <is>
          <t>GOTLANDS LÄN</t>
        </is>
      </c>
      <c r="E384" t="inlineStr">
        <is>
          <t>GOTLAND</t>
        </is>
      </c>
      <c r="G384" t="n">
        <v>5.6</v>
      </c>
      <c r="H384" t="n">
        <v>0</v>
      </c>
      <c r="I384" t="n">
        <v>0</v>
      </c>
      <c r="J384" t="n">
        <v>0</v>
      </c>
      <c r="K384" t="n">
        <v>0</v>
      </c>
      <c r="L384" t="n">
        <v>0</v>
      </c>
      <c r="M384" t="n">
        <v>0</v>
      </c>
      <c r="N384" t="n">
        <v>0</v>
      </c>
      <c r="O384" t="n">
        <v>0</v>
      </c>
      <c r="P384" t="n">
        <v>0</v>
      </c>
      <c r="Q384" t="n">
        <v>0</v>
      </c>
      <c r="R384" s="2" t="inlineStr"/>
    </row>
    <row r="385" ht="15" customHeight="1">
      <c r="A385" t="inlineStr">
        <is>
          <t>A 11414-2026</t>
        </is>
      </c>
      <c r="B385" s="1" t="n">
        <v>46083.46336805556</v>
      </c>
      <c r="C385" s="1" t="n">
        <v>46142</v>
      </c>
      <c r="D385" t="inlineStr">
        <is>
          <t>GOTLANDS LÄN</t>
        </is>
      </c>
      <c r="E385" t="inlineStr">
        <is>
          <t>GOTLAND</t>
        </is>
      </c>
      <c r="G385" t="n">
        <v>4.9</v>
      </c>
      <c r="H385" t="n">
        <v>0</v>
      </c>
      <c r="I385" t="n">
        <v>0</v>
      </c>
      <c r="J385" t="n">
        <v>0</v>
      </c>
      <c r="K385" t="n">
        <v>0</v>
      </c>
      <c r="L385" t="n">
        <v>0</v>
      </c>
      <c r="M385" t="n">
        <v>0</v>
      </c>
      <c r="N385" t="n">
        <v>0</v>
      </c>
      <c r="O385" t="n">
        <v>0</v>
      </c>
      <c r="P385" t="n">
        <v>0</v>
      </c>
      <c r="Q385" t="n">
        <v>0</v>
      </c>
      <c r="R385" s="2" t="inlineStr"/>
    </row>
    <row r="386" ht="15" customHeight="1">
      <c r="A386" t="inlineStr">
        <is>
          <t>A 17943-2026</t>
        </is>
      </c>
      <c r="B386" s="1" t="n">
        <v>46122</v>
      </c>
      <c r="C386" s="1" t="n">
        <v>46142</v>
      </c>
      <c r="D386" t="inlineStr">
        <is>
          <t>GOTLANDS LÄN</t>
        </is>
      </c>
      <c r="E386" t="inlineStr">
        <is>
          <t>GOTLAND</t>
        </is>
      </c>
      <c r="G386" t="n">
        <v>2.8</v>
      </c>
      <c r="H386" t="n">
        <v>0</v>
      </c>
      <c r="I386" t="n">
        <v>0</v>
      </c>
      <c r="J386" t="n">
        <v>0</v>
      </c>
      <c r="K386" t="n">
        <v>0</v>
      </c>
      <c r="L386" t="n">
        <v>0</v>
      </c>
      <c r="M386" t="n">
        <v>0</v>
      </c>
      <c r="N386" t="n">
        <v>0</v>
      </c>
      <c r="O386" t="n">
        <v>0</v>
      </c>
      <c r="P386" t="n">
        <v>0</v>
      </c>
      <c r="Q386" t="n">
        <v>0</v>
      </c>
      <c r="R386" s="2" t="inlineStr"/>
    </row>
    <row r="387" ht="15" customHeight="1">
      <c r="A387" t="inlineStr">
        <is>
          <t>A 54584-2025</t>
        </is>
      </c>
      <c r="B387" s="1" t="n">
        <v>45965.71788194445</v>
      </c>
      <c r="C387" s="1" t="n">
        <v>46142</v>
      </c>
      <c r="D387" t="inlineStr">
        <is>
          <t>GOTLANDS LÄN</t>
        </is>
      </c>
      <c r="E387" t="inlineStr">
        <is>
          <t>GOTLAND</t>
        </is>
      </c>
      <c r="G387" t="n">
        <v>3.5</v>
      </c>
      <c r="H387" t="n">
        <v>0</v>
      </c>
      <c r="I387" t="n">
        <v>0</v>
      </c>
      <c r="J387" t="n">
        <v>0</v>
      </c>
      <c r="K387" t="n">
        <v>0</v>
      </c>
      <c r="L387" t="n">
        <v>0</v>
      </c>
      <c r="M387" t="n">
        <v>0</v>
      </c>
      <c r="N387" t="n">
        <v>0</v>
      </c>
      <c r="O387" t="n">
        <v>0</v>
      </c>
      <c r="P387" t="n">
        <v>0</v>
      </c>
      <c r="Q387" t="n">
        <v>0</v>
      </c>
      <c r="R387" s="2" t="inlineStr"/>
    </row>
    <row r="388" ht="15" customHeight="1">
      <c r="A388" t="inlineStr">
        <is>
          <t>A 27930-2021</t>
        </is>
      </c>
      <c r="B388" s="1" t="n">
        <v>44354</v>
      </c>
      <c r="C388" s="1" t="n">
        <v>46142</v>
      </c>
      <c r="D388" t="inlineStr">
        <is>
          <t>GOTLANDS LÄN</t>
        </is>
      </c>
      <c r="E388" t="inlineStr">
        <is>
          <t>GOTLAND</t>
        </is>
      </c>
      <c r="G388" t="n">
        <v>2.5</v>
      </c>
      <c r="H388" t="n">
        <v>0</v>
      </c>
      <c r="I388" t="n">
        <v>0</v>
      </c>
      <c r="J388" t="n">
        <v>0</v>
      </c>
      <c r="K388" t="n">
        <v>0</v>
      </c>
      <c r="L388" t="n">
        <v>0</v>
      </c>
      <c r="M388" t="n">
        <v>0</v>
      </c>
      <c r="N388" t="n">
        <v>0</v>
      </c>
      <c r="O388" t="n">
        <v>0</v>
      </c>
      <c r="P388" t="n">
        <v>0</v>
      </c>
      <c r="Q388" t="n">
        <v>0</v>
      </c>
      <c r="R388" s="2" t="inlineStr"/>
    </row>
    <row r="389" ht="15" customHeight="1">
      <c r="A389" t="inlineStr">
        <is>
          <t>A 3067-2026</t>
        </is>
      </c>
      <c r="B389" s="1" t="n">
        <v>46040.59025462963</v>
      </c>
      <c r="C389" s="1" t="n">
        <v>46142</v>
      </c>
      <c r="D389" t="inlineStr">
        <is>
          <t>GOTLANDS LÄN</t>
        </is>
      </c>
      <c r="E389" t="inlineStr">
        <is>
          <t>GOTLAND</t>
        </is>
      </c>
      <c r="G389" t="n">
        <v>7.8</v>
      </c>
      <c r="H389" t="n">
        <v>0</v>
      </c>
      <c r="I389" t="n">
        <v>0</v>
      </c>
      <c r="J389" t="n">
        <v>0</v>
      </c>
      <c r="K389" t="n">
        <v>0</v>
      </c>
      <c r="L389" t="n">
        <v>0</v>
      </c>
      <c r="M389" t="n">
        <v>0</v>
      </c>
      <c r="N389" t="n">
        <v>0</v>
      </c>
      <c r="O389" t="n">
        <v>0</v>
      </c>
      <c r="P389" t="n">
        <v>0</v>
      </c>
      <c r="Q389" t="n">
        <v>0</v>
      </c>
      <c r="R389" s="2" t="inlineStr"/>
    </row>
    <row r="390" ht="15" customHeight="1">
      <c r="A390" t="inlineStr">
        <is>
          <t>A 6108-2025</t>
        </is>
      </c>
      <c r="B390" s="1" t="n">
        <v>45698.29880787037</v>
      </c>
      <c r="C390" s="1" t="n">
        <v>46142</v>
      </c>
      <c r="D390" t="inlineStr">
        <is>
          <t>GOTLANDS LÄN</t>
        </is>
      </c>
      <c r="E390" t="inlineStr">
        <is>
          <t>GOTLAND</t>
        </is>
      </c>
      <c r="G390" t="n">
        <v>2.8</v>
      </c>
      <c r="H390" t="n">
        <v>0</v>
      </c>
      <c r="I390" t="n">
        <v>0</v>
      </c>
      <c r="J390" t="n">
        <v>0</v>
      </c>
      <c r="K390" t="n">
        <v>0</v>
      </c>
      <c r="L390" t="n">
        <v>0</v>
      </c>
      <c r="M390" t="n">
        <v>0</v>
      </c>
      <c r="N390" t="n">
        <v>0</v>
      </c>
      <c r="O390" t="n">
        <v>0</v>
      </c>
      <c r="P390" t="n">
        <v>0</v>
      </c>
      <c r="Q390" t="n">
        <v>0</v>
      </c>
      <c r="R390" s="2" t="inlineStr"/>
    </row>
    <row r="391" ht="15" customHeight="1">
      <c r="A391" t="inlineStr">
        <is>
          <t>A 21142-2025</t>
        </is>
      </c>
      <c r="B391" s="1" t="n">
        <v>45779</v>
      </c>
      <c r="C391" s="1" t="n">
        <v>46142</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61962-2024</t>
        </is>
      </c>
      <c r="B392" s="1" t="n">
        <v>45653.54340277778</v>
      </c>
      <c r="C392" s="1" t="n">
        <v>46142</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10492-2023</t>
        </is>
      </c>
      <c r="B393" s="1" t="n">
        <v>44987</v>
      </c>
      <c r="C393" s="1" t="n">
        <v>46142</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17343-2025</t>
        </is>
      </c>
      <c r="B394" s="1" t="n">
        <v>45756.6687037037</v>
      </c>
      <c r="C394" s="1" t="n">
        <v>46142</v>
      </c>
      <c r="D394" t="inlineStr">
        <is>
          <t>GOTLANDS LÄN</t>
        </is>
      </c>
      <c r="E394" t="inlineStr">
        <is>
          <t>GOTLAND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18938-2025</t>
        </is>
      </c>
      <c r="B395" s="1" t="n">
        <v>45764.49172453704</v>
      </c>
      <c r="C395" s="1" t="n">
        <v>46142</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30489-2025</t>
        </is>
      </c>
      <c r="B396" s="1" t="n">
        <v>45830</v>
      </c>
      <c r="C396" s="1" t="n">
        <v>46142</v>
      </c>
      <c r="D396" t="inlineStr">
        <is>
          <t>GOTLANDS LÄN</t>
        </is>
      </c>
      <c r="E396" t="inlineStr">
        <is>
          <t>GOTLAND</t>
        </is>
      </c>
      <c r="G396" t="n">
        <v>4.6</v>
      </c>
      <c r="H396" t="n">
        <v>0</v>
      </c>
      <c r="I396" t="n">
        <v>0</v>
      </c>
      <c r="J396" t="n">
        <v>0</v>
      </c>
      <c r="K396" t="n">
        <v>0</v>
      </c>
      <c r="L396" t="n">
        <v>0</v>
      </c>
      <c r="M396" t="n">
        <v>0</v>
      </c>
      <c r="N396" t="n">
        <v>0</v>
      </c>
      <c r="O396" t="n">
        <v>0</v>
      </c>
      <c r="P396" t="n">
        <v>0</v>
      </c>
      <c r="Q396" t="n">
        <v>0</v>
      </c>
      <c r="R396" s="2" t="inlineStr"/>
    </row>
    <row r="397" ht="15" customHeight="1">
      <c r="A397" t="inlineStr">
        <is>
          <t>A 5909-2025</t>
        </is>
      </c>
      <c r="B397" s="1" t="n">
        <v>45695.40634259259</v>
      </c>
      <c r="C397" s="1" t="n">
        <v>46142</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10653-2023</t>
        </is>
      </c>
      <c r="B398" s="1" t="n">
        <v>44988.48859953704</v>
      </c>
      <c r="C398" s="1" t="n">
        <v>46142</v>
      </c>
      <c r="D398" t="inlineStr">
        <is>
          <t>GOTLANDS LÄN</t>
        </is>
      </c>
      <c r="E398" t="inlineStr">
        <is>
          <t>GOTLAND</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20307-2025</t>
        </is>
      </c>
      <c r="B399" s="1" t="n">
        <v>45774.95546296296</v>
      </c>
      <c r="C399" s="1" t="n">
        <v>46142</v>
      </c>
      <c r="D399" t="inlineStr">
        <is>
          <t>GOTLANDS LÄN</t>
        </is>
      </c>
      <c r="E399" t="inlineStr">
        <is>
          <t>GOTLAND</t>
        </is>
      </c>
      <c r="G399" t="n">
        <v>6.8</v>
      </c>
      <c r="H399" t="n">
        <v>0</v>
      </c>
      <c r="I399" t="n">
        <v>0</v>
      </c>
      <c r="J399" t="n">
        <v>0</v>
      </c>
      <c r="K399" t="n">
        <v>0</v>
      </c>
      <c r="L399" t="n">
        <v>0</v>
      </c>
      <c r="M399" t="n">
        <v>0</v>
      </c>
      <c r="N399" t="n">
        <v>0</v>
      </c>
      <c r="O399" t="n">
        <v>0</v>
      </c>
      <c r="P399" t="n">
        <v>0</v>
      </c>
      <c r="Q399" t="n">
        <v>0</v>
      </c>
      <c r="R399" s="2" t="inlineStr"/>
    </row>
    <row r="400" ht="15" customHeight="1">
      <c r="A400" t="inlineStr">
        <is>
          <t>A 11982-2026</t>
        </is>
      </c>
      <c r="B400" s="1" t="n">
        <v>46085.6434375</v>
      </c>
      <c r="C400" s="1" t="n">
        <v>46142</v>
      </c>
      <c r="D400" t="inlineStr">
        <is>
          <t>GOTLANDS LÄN</t>
        </is>
      </c>
      <c r="E400" t="inlineStr">
        <is>
          <t>GOTLAND</t>
        </is>
      </c>
      <c r="G400" t="n">
        <v>2.2</v>
      </c>
      <c r="H400" t="n">
        <v>0</v>
      </c>
      <c r="I400" t="n">
        <v>0</v>
      </c>
      <c r="J400" t="n">
        <v>0</v>
      </c>
      <c r="K400" t="n">
        <v>0</v>
      </c>
      <c r="L400" t="n">
        <v>0</v>
      </c>
      <c r="M400" t="n">
        <v>0</v>
      </c>
      <c r="N400" t="n">
        <v>0</v>
      </c>
      <c r="O400" t="n">
        <v>0</v>
      </c>
      <c r="P400" t="n">
        <v>0</v>
      </c>
      <c r="Q400" t="n">
        <v>0</v>
      </c>
      <c r="R400" s="2" t="inlineStr"/>
    </row>
    <row r="401" ht="15" customHeight="1">
      <c r="A401" t="inlineStr">
        <is>
          <t>A 4990-2025</t>
        </is>
      </c>
      <c r="B401" s="1" t="n">
        <v>45691</v>
      </c>
      <c r="C401" s="1" t="n">
        <v>46142</v>
      </c>
      <c r="D401" t="inlineStr">
        <is>
          <t>GOTLANDS LÄN</t>
        </is>
      </c>
      <c r="E401" t="inlineStr">
        <is>
          <t>GOTLAND</t>
        </is>
      </c>
      <c r="G401" t="n">
        <v>7.7</v>
      </c>
      <c r="H401" t="n">
        <v>0</v>
      </c>
      <c r="I401" t="n">
        <v>0</v>
      </c>
      <c r="J401" t="n">
        <v>0</v>
      </c>
      <c r="K401" t="n">
        <v>0</v>
      </c>
      <c r="L401" t="n">
        <v>0</v>
      </c>
      <c r="M401" t="n">
        <v>0</v>
      </c>
      <c r="N401" t="n">
        <v>0</v>
      </c>
      <c r="O401" t="n">
        <v>0</v>
      </c>
      <c r="P401" t="n">
        <v>0</v>
      </c>
      <c r="Q401" t="n">
        <v>0</v>
      </c>
      <c r="R401" s="2" t="inlineStr"/>
    </row>
    <row r="402" ht="15" customHeight="1">
      <c r="A402" t="inlineStr">
        <is>
          <t>A 18804-2026</t>
        </is>
      </c>
      <c r="B402" s="1" t="n">
        <v>46128.62366898148</v>
      </c>
      <c r="C402" s="1" t="n">
        <v>46142</v>
      </c>
      <c r="D402" t="inlineStr">
        <is>
          <t>GOTLANDS LÄN</t>
        </is>
      </c>
      <c r="E402" t="inlineStr">
        <is>
          <t>GOTLAND</t>
        </is>
      </c>
      <c r="F402" t="inlineStr">
        <is>
          <t>Kyrkan</t>
        </is>
      </c>
      <c r="G402" t="n">
        <v>2.6</v>
      </c>
      <c r="H402" t="n">
        <v>0</v>
      </c>
      <c r="I402" t="n">
        <v>0</v>
      </c>
      <c r="J402" t="n">
        <v>0</v>
      </c>
      <c r="K402" t="n">
        <v>0</v>
      </c>
      <c r="L402" t="n">
        <v>0</v>
      </c>
      <c r="M402" t="n">
        <v>0</v>
      </c>
      <c r="N402" t="n">
        <v>0</v>
      </c>
      <c r="O402" t="n">
        <v>0</v>
      </c>
      <c r="P402" t="n">
        <v>0</v>
      </c>
      <c r="Q402" t="n">
        <v>0</v>
      </c>
      <c r="R402" s="2" t="inlineStr"/>
    </row>
    <row r="403" ht="15" customHeight="1">
      <c r="A403" t="inlineStr">
        <is>
          <t>A 12135-2026</t>
        </is>
      </c>
      <c r="B403" s="1" t="n">
        <v>46086</v>
      </c>
      <c r="C403" s="1" t="n">
        <v>46142</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43081-2022</t>
        </is>
      </c>
      <c r="B404" s="1" t="n">
        <v>44833</v>
      </c>
      <c r="C404" s="1" t="n">
        <v>46142</v>
      </c>
      <c r="D404" t="inlineStr">
        <is>
          <t>GOTLANDS LÄN</t>
        </is>
      </c>
      <c r="E404" t="inlineStr">
        <is>
          <t>GOTLAND</t>
        </is>
      </c>
      <c r="G404" t="n">
        <v>6.8</v>
      </c>
      <c r="H404" t="n">
        <v>0</v>
      </c>
      <c r="I404" t="n">
        <v>0</v>
      </c>
      <c r="J404" t="n">
        <v>0</v>
      </c>
      <c r="K404" t="n">
        <v>0</v>
      </c>
      <c r="L404" t="n">
        <v>0</v>
      </c>
      <c r="M404" t="n">
        <v>0</v>
      </c>
      <c r="N404" t="n">
        <v>0</v>
      </c>
      <c r="O404" t="n">
        <v>0</v>
      </c>
      <c r="P404" t="n">
        <v>0</v>
      </c>
      <c r="Q404" t="n">
        <v>0</v>
      </c>
      <c r="R404" s="2" t="inlineStr"/>
    </row>
    <row r="405" ht="15" customHeight="1">
      <c r="A405" t="inlineStr">
        <is>
          <t>A 32958-2021</t>
        </is>
      </c>
      <c r="B405" s="1" t="n">
        <v>44376</v>
      </c>
      <c r="C405" s="1" t="n">
        <v>46142</v>
      </c>
      <c r="D405" t="inlineStr">
        <is>
          <t>GOTLANDS LÄN</t>
        </is>
      </c>
      <c r="E405" t="inlineStr">
        <is>
          <t>GOTLAND</t>
        </is>
      </c>
      <c r="G405" t="n">
        <v>2.2</v>
      </c>
      <c r="H405" t="n">
        <v>0</v>
      </c>
      <c r="I405" t="n">
        <v>0</v>
      </c>
      <c r="J405" t="n">
        <v>0</v>
      </c>
      <c r="K405" t="n">
        <v>0</v>
      </c>
      <c r="L405" t="n">
        <v>0</v>
      </c>
      <c r="M405" t="n">
        <v>0</v>
      </c>
      <c r="N405" t="n">
        <v>0</v>
      </c>
      <c r="O405" t="n">
        <v>0</v>
      </c>
      <c r="P405" t="n">
        <v>0</v>
      </c>
      <c r="Q405" t="n">
        <v>0</v>
      </c>
      <c r="R405" s="2" t="inlineStr"/>
    </row>
    <row r="406" ht="15" customHeight="1">
      <c r="A406" t="inlineStr">
        <is>
          <t>A 5884-2025</t>
        </is>
      </c>
      <c r="B406" s="1" t="n">
        <v>45695.37482638889</v>
      </c>
      <c r="C406" s="1" t="n">
        <v>46142</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5897-2025</t>
        </is>
      </c>
      <c r="B407" s="1" t="n">
        <v>45695.39273148148</v>
      </c>
      <c r="C407" s="1" t="n">
        <v>46142</v>
      </c>
      <c r="D407" t="inlineStr">
        <is>
          <t>GOTLANDS LÄN</t>
        </is>
      </c>
      <c r="E407" t="inlineStr">
        <is>
          <t>GOTLAND</t>
        </is>
      </c>
      <c r="G407" t="n">
        <v>3.7</v>
      </c>
      <c r="H407" t="n">
        <v>0</v>
      </c>
      <c r="I407" t="n">
        <v>0</v>
      </c>
      <c r="J407" t="n">
        <v>0</v>
      </c>
      <c r="K407" t="n">
        <v>0</v>
      </c>
      <c r="L407" t="n">
        <v>0</v>
      </c>
      <c r="M407" t="n">
        <v>0</v>
      </c>
      <c r="N407" t="n">
        <v>0</v>
      </c>
      <c r="O407" t="n">
        <v>0</v>
      </c>
      <c r="P407" t="n">
        <v>0</v>
      </c>
      <c r="Q407" t="n">
        <v>0</v>
      </c>
      <c r="R407" s="2" t="inlineStr"/>
    </row>
    <row r="408" ht="15" customHeight="1">
      <c r="A408" t="inlineStr">
        <is>
          <t>A 42201-2023</t>
        </is>
      </c>
      <c r="B408" s="1" t="n">
        <v>45179</v>
      </c>
      <c r="C408" s="1" t="n">
        <v>46142</v>
      </c>
      <c r="D408" t="inlineStr">
        <is>
          <t>GOTLANDS LÄN</t>
        </is>
      </c>
      <c r="E408" t="inlineStr">
        <is>
          <t>GOTLAND</t>
        </is>
      </c>
      <c r="G408" t="n">
        <v>11.9</v>
      </c>
      <c r="H408" t="n">
        <v>0</v>
      </c>
      <c r="I408" t="n">
        <v>0</v>
      </c>
      <c r="J408" t="n">
        <v>0</v>
      </c>
      <c r="K408" t="n">
        <v>0</v>
      </c>
      <c r="L408" t="n">
        <v>0</v>
      </c>
      <c r="M408" t="n">
        <v>0</v>
      </c>
      <c r="N408" t="n">
        <v>0</v>
      </c>
      <c r="O408" t="n">
        <v>0</v>
      </c>
      <c r="P408" t="n">
        <v>0</v>
      </c>
      <c r="Q408" t="n">
        <v>0</v>
      </c>
      <c r="R408" s="2" t="inlineStr"/>
    </row>
    <row r="409" ht="15" customHeight="1">
      <c r="A409" t="inlineStr">
        <is>
          <t>A 19322-2026</t>
        </is>
      </c>
      <c r="B409" s="1" t="n">
        <v>46129</v>
      </c>
      <c r="C409" s="1" t="n">
        <v>46142</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49693-2023</t>
        </is>
      </c>
      <c r="B410" s="1" t="n">
        <v>45212.38138888889</v>
      </c>
      <c r="C410" s="1" t="n">
        <v>46142</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49697-2023</t>
        </is>
      </c>
      <c r="B411" s="1" t="n">
        <v>45212.38909722222</v>
      </c>
      <c r="C411" s="1" t="n">
        <v>46142</v>
      </c>
      <c r="D411" t="inlineStr">
        <is>
          <t>GOTLANDS LÄN</t>
        </is>
      </c>
      <c r="E411" t="inlineStr">
        <is>
          <t>GOTLAND</t>
        </is>
      </c>
      <c r="G411" t="n">
        <v>4.4</v>
      </c>
      <c r="H411" t="n">
        <v>0</v>
      </c>
      <c r="I411" t="n">
        <v>0</v>
      </c>
      <c r="J411" t="n">
        <v>0</v>
      </c>
      <c r="K411" t="n">
        <v>0</v>
      </c>
      <c r="L411" t="n">
        <v>0</v>
      </c>
      <c r="M411" t="n">
        <v>0</v>
      </c>
      <c r="N411" t="n">
        <v>0</v>
      </c>
      <c r="O411" t="n">
        <v>0</v>
      </c>
      <c r="P411" t="n">
        <v>0</v>
      </c>
      <c r="Q411" t="n">
        <v>0</v>
      </c>
      <c r="R411" s="2" t="inlineStr"/>
    </row>
    <row r="412" ht="15" customHeight="1">
      <c r="A412" t="inlineStr">
        <is>
          <t>A 42608-2025</t>
        </is>
      </c>
      <c r="B412" s="1" t="n">
        <v>45905</v>
      </c>
      <c r="C412" s="1" t="n">
        <v>46142</v>
      </c>
      <c r="D412" t="inlineStr">
        <is>
          <t>GOTLANDS LÄN</t>
        </is>
      </c>
      <c r="E412" t="inlineStr">
        <is>
          <t>GOTLAND</t>
        </is>
      </c>
      <c r="G412" t="n">
        <v>1.3</v>
      </c>
      <c r="H412" t="n">
        <v>0</v>
      </c>
      <c r="I412" t="n">
        <v>0</v>
      </c>
      <c r="J412" t="n">
        <v>0</v>
      </c>
      <c r="K412" t="n">
        <v>0</v>
      </c>
      <c r="L412" t="n">
        <v>0</v>
      </c>
      <c r="M412" t="n">
        <v>0</v>
      </c>
      <c r="N412" t="n">
        <v>0</v>
      </c>
      <c r="O412" t="n">
        <v>0</v>
      </c>
      <c r="P412" t="n">
        <v>0</v>
      </c>
      <c r="Q412" t="n">
        <v>0</v>
      </c>
      <c r="R412" s="2" t="inlineStr"/>
    </row>
    <row r="413" ht="15" customHeight="1">
      <c r="A413" t="inlineStr">
        <is>
          <t>A 17901-2023</t>
        </is>
      </c>
      <c r="B413" s="1" t="n">
        <v>45039</v>
      </c>
      <c r="C413" s="1" t="n">
        <v>46142</v>
      </c>
      <c r="D413" t="inlineStr">
        <is>
          <t>GOTLANDS LÄN</t>
        </is>
      </c>
      <c r="E413" t="inlineStr">
        <is>
          <t>GOTLAND</t>
        </is>
      </c>
      <c r="F413" t="inlineStr">
        <is>
          <t>Kyrkan</t>
        </is>
      </c>
      <c r="G413" t="n">
        <v>0.6</v>
      </c>
      <c r="H413" t="n">
        <v>0</v>
      </c>
      <c r="I413" t="n">
        <v>0</v>
      </c>
      <c r="J413" t="n">
        <v>0</v>
      </c>
      <c r="K413" t="n">
        <v>0</v>
      </c>
      <c r="L413" t="n">
        <v>0</v>
      </c>
      <c r="M413" t="n">
        <v>0</v>
      </c>
      <c r="N413" t="n">
        <v>0</v>
      </c>
      <c r="O413" t="n">
        <v>0</v>
      </c>
      <c r="P413" t="n">
        <v>0</v>
      </c>
      <c r="Q413" t="n">
        <v>0</v>
      </c>
      <c r="R413" s="2" t="inlineStr"/>
    </row>
    <row r="414" ht="15" customHeight="1">
      <c r="A414" t="inlineStr">
        <is>
          <t>A 20356-2022</t>
        </is>
      </c>
      <c r="B414" s="1" t="n">
        <v>44699</v>
      </c>
      <c r="C414" s="1" t="n">
        <v>46142</v>
      </c>
      <c r="D414" t="inlineStr">
        <is>
          <t>GOTLANDS LÄN</t>
        </is>
      </c>
      <c r="E414" t="inlineStr">
        <is>
          <t>GOTLAND</t>
        </is>
      </c>
      <c r="F414" t="inlineStr">
        <is>
          <t>Övriga Aktiebolag</t>
        </is>
      </c>
      <c r="G414" t="n">
        <v>4.4</v>
      </c>
      <c r="H414" t="n">
        <v>0</v>
      </c>
      <c r="I414" t="n">
        <v>0</v>
      </c>
      <c r="J414" t="n">
        <v>0</v>
      </c>
      <c r="K414" t="n">
        <v>0</v>
      </c>
      <c r="L414" t="n">
        <v>0</v>
      </c>
      <c r="M414" t="n">
        <v>0</v>
      </c>
      <c r="N414" t="n">
        <v>0</v>
      </c>
      <c r="O414" t="n">
        <v>0</v>
      </c>
      <c r="P414" t="n">
        <v>0</v>
      </c>
      <c r="Q414" t="n">
        <v>0</v>
      </c>
      <c r="R414" s="2" t="inlineStr"/>
    </row>
    <row r="415" ht="15" customHeight="1">
      <c r="A415" t="inlineStr">
        <is>
          <t>A 52892-2021</t>
        </is>
      </c>
      <c r="B415" s="1" t="n">
        <v>44467.49048611111</v>
      </c>
      <c r="C415" s="1" t="n">
        <v>46142</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46396-2023</t>
        </is>
      </c>
      <c r="B416" s="1" t="n">
        <v>45197</v>
      </c>
      <c r="C416" s="1" t="n">
        <v>46142</v>
      </c>
      <c r="D416" t="inlineStr">
        <is>
          <t>GOTLANDS LÄN</t>
        </is>
      </c>
      <c r="E416" t="inlineStr">
        <is>
          <t>GOTLAND</t>
        </is>
      </c>
      <c r="G416" t="n">
        <v>1.4</v>
      </c>
      <c r="H416" t="n">
        <v>0</v>
      </c>
      <c r="I416" t="n">
        <v>0</v>
      </c>
      <c r="J416" t="n">
        <v>0</v>
      </c>
      <c r="K416" t="n">
        <v>0</v>
      </c>
      <c r="L416" t="n">
        <v>0</v>
      </c>
      <c r="M416" t="n">
        <v>0</v>
      </c>
      <c r="N416" t="n">
        <v>0</v>
      </c>
      <c r="O416" t="n">
        <v>0</v>
      </c>
      <c r="P416" t="n">
        <v>0</v>
      </c>
      <c r="Q416" t="n">
        <v>0</v>
      </c>
      <c r="R416" s="2" t="inlineStr"/>
    </row>
    <row r="417" ht="15" customHeight="1">
      <c r="A417" t="inlineStr">
        <is>
          <t>A 16373-2025</t>
        </is>
      </c>
      <c r="B417" s="1" t="n">
        <v>45751</v>
      </c>
      <c r="C417" s="1" t="n">
        <v>46142</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5863-2026</t>
        </is>
      </c>
      <c r="B418" s="1" t="n">
        <v>46052</v>
      </c>
      <c r="C418" s="1" t="n">
        <v>46142</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17724-2024</t>
        </is>
      </c>
      <c r="B419" s="1" t="n">
        <v>45418.55096064815</v>
      </c>
      <c r="C419" s="1" t="n">
        <v>46142</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34312-2024</t>
        </is>
      </c>
      <c r="B420" s="1" t="n">
        <v>45524.69703703704</v>
      </c>
      <c r="C420" s="1" t="n">
        <v>46142</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62754-2025</t>
        </is>
      </c>
      <c r="B421" s="1" t="n">
        <v>46008</v>
      </c>
      <c r="C421" s="1" t="n">
        <v>46142</v>
      </c>
      <c r="D421" t="inlineStr">
        <is>
          <t>GOTLANDS LÄN</t>
        </is>
      </c>
      <c r="E421" t="inlineStr">
        <is>
          <t>GOTLAND</t>
        </is>
      </c>
      <c r="F421" t="inlineStr">
        <is>
          <t>Övriga Aktiebolag</t>
        </is>
      </c>
      <c r="G421" t="n">
        <v>2.9</v>
      </c>
      <c r="H421" t="n">
        <v>0</v>
      </c>
      <c r="I421" t="n">
        <v>0</v>
      </c>
      <c r="J421" t="n">
        <v>0</v>
      </c>
      <c r="K421" t="n">
        <v>0</v>
      </c>
      <c r="L421" t="n">
        <v>0</v>
      </c>
      <c r="M421" t="n">
        <v>0</v>
      </c>
      <c r="N421" t="n">
        <v>0</v>
      </c>
      <c r="O421" t="n">
        <v>0</v>
      </c>
      <c r="P421" t="n">
        <v>0</v>
      </c>
      <c r="Q421" t="n">
        <v>0</v>
      </c>
      <c r="R421" s="2" t="inlineStr"/>
    </row>
    <row r="422" ht="15" customHeight="1">
      <c r="A422" t="inlineStr">
        <is>
          <t>A 69112-2021</t>
        </is>
      </c>
      <c r="B422" s="1" t="n">
        <v>44530</v>
      </c>
      <c r="C422" s="1" t="n">
        <v>46142</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10158-2025</t>
        </is>
      </c>
      <c r="B423" s="1" t="n">
        <v>45719</v>
      </c>
      <c r="C423" s="1" t="n">
        <v>46142</v>
      </c>
      <c r="D423" t="inlineStr">
        <is>
          <t>GOTLANDS LÄN</t>
        </is>
      </c>
      <c r="E423" t="inlineStr">
        <is>
          <t>GOTLAND</t>
        </is>
      </c>
      <c r="G423" t="n">
        <v>3.5</v>
      </c>
      <c r="H423" t="n">
        <v>0</v>
      </c>
      <c r="I423" t="n">
        <v>0</v>
      </c>
      <c r="J423" t="n">
        <v>0</v>
      </c>
      <c r="K423" t="n">
        <v>0</v>
      </c>
      <c r="L423" t="n">
        <v>0</v>
      </c>
      <c r="M423" t="n">
        <v>0</v>
      </c>
      <c r="N423" t="n">
        <v>0</v>
      </c>
      <c r="O423" t="n">
        <v>0</v>
      </c>
      <c r="P423" t="n">
        <v>0</v>
      </c>
      <c r="Q423" t="n">
        <v>0</v>
      </c>
      <c r="R423" s="2" t="inlineStr"/>
    </row>
    <row r="424" ht="15" customHeight="1">
      <c r="A424" t="inlineStr">
        <is>
          <t>A 62836-2025</t>
        </is>
      </c>
      <c r="B424" s="1" t="n">
        <v>46008</v>
      </c>
      <c r="C424" s="1" t="n">
        <v>46142</v>
      </c>
      <c r="D424" t="inlineStr">
        <is>
          <t>GOTLANDS LÄN</t>
        </is>
      </c>
      <c r="E424" t="inlineStr">
        <is>
          <t>GOTLAND</t>
        </is>
      </c>
      <c r="G424" t="n">
        <v>6.5</v>
      </c>
      <c r="H424" t="n">
        <v>0</v>
      </c>
      <c r="I424" t="n">
        <v>0</v>
      </c>
      <c r="J424" t="n">
        <v>0</v>
      </c>
      <c r="K424" t="n">
        <v>0</v>
      </c>
      <c r="L424" t="n">
        <v>0</v>
      </c>
      <c r="M424" t="n">
        <v>0</v>
      </c>
      <c r="N424" t="n">
        <v>0</v>
      </c>
      <c r="O424" t="n">
        <v>0</v>
      </c>
      <c r="P424" t="n">
        <v>0</v>
      </c>
      <c r="Q424" t="n">
        <v>0</v>
      </c>
      <c r="R424" s="2" t="inlineStr"/>
    </row>
    <row r="425" ht="15" customHeight="1">
      <c r="A425" t="inlineStr">
        <is>
          <t>A 7638-2025</t>
        </is>
      </c>
      <c r="B425" s="1" t="n">
        <v>45705.77306712963</v>
      </c>
      <c r="C425" s="1" t="n">
        <v>46142</v>
      </c>
      <c r="D425" t="inlineStr">
        <is>
          <t>GOTLANDS LÄN</t>
        </is>
      </c>
      <c r="E425" t="inlineStr">
        <is>
          <t>GOTLAND</t>
        </is>
      </c>
      <c r="G425" t="n">
        <v>2.2</v>
      </c>
      <c r="H425" t="n">
        <v>0</v>
      </c>
      <c r="I425" t="n">
        <v>0</v>
      </c>
      <c r="J425" t="n">
        <v>0</v>
      </c>
      <c r="K425" t="n">
        <v>0</v>
      </c>
      <c r="L425" t="n">
        <v>0</v>
      </c>
      <c r="M425" t="n">
        <v>0</v>
      </c>
      <c r="N425" t="n">
        <v>0</v>
      </c>
      <c r="O425" t="n">
        <v>0</v>
      </c>
      <c r="P425" t="n">
        <v>0</v>
      </c>
      <c r="Q425" t="n">
        <v>0</v>
      </c>
      <c r="R425" s="2" t="inlineStr"/>
    </row>
    <row r="426" ht="15" customHeight="1">
      <c r="A426" t="inlineStr">
        <is>
          <t>A 50482-2024</t>
        </is>
      </c>
      <c r="B426" s="1" t="n">
        <v>45601.48114583334</v>
      </c>
      <c r="C426" s="1" t="n">
        <v>46142</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63000-2025</t>
        </is>
      </c>
      <c r="B427" s="1" t="n">
        <v>46009</v>
      </c>
      <c r="C427" s="1" t="n">
        <v>46142</v>
      </c>
      <c r="D427" t="inlineStr">
        <is>
          <t>GOTLANDS LÄN</t>
        </is>
      </c>
      <c r="E427" t="inlineStr">
        <is>
          <t>GOTLAND</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1394-2023</t>
        </is>
      </c>
      <c r="B428" s="1" t="n">
        <v>44936.72997685185</v>
      </c>
      <c r="C428" s="1" t="n">
        <v>46142</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58230-2024</t>
        </is>
      </c>
      <c r="B429" s="1" t="n">
        <v>45632.51625</v>
      </c>
      <c r="C429" s="1" t="n">
        <v>46142</v>
      </c>
      <c r="D429" t="inlineStr">
        <is>
          <t>GOTLANDS LÄN</t>
        </is>
      </c>
      <c r="E429" t="inlineStr">
        <is>
          <t>GOTLAND</t>
        </is>
      </c>
      <c r="G429" t="n">
        <v>7.3</v>
      </c>
      <c r="H429" t="n">
        <v>0</v>
      </c>
      <c r="I429" t="n">
        <v>0</v>
      </c>
      <c r="J429" t="n">
        <v>0</v>
      </c>
      <c r="K429" t="n">
        <v>0</v>
      </c>
      <c r="L429" t="n">
        <v>0</v>
      </c>
      <c r="M429" t="n">
        <v>0</v>
      </c>
      <c r="N429" t="n">
        <v>0</v>
      </c>
      <c r="O429" t="n">
        <v>0</v>
      </c>
      <c r="P429" t="n">
        <v>0</v>
      </c>
      <c r="Q429" t="n">
        <v>0</v>
      </c>
      <c r="R429" s="2" t="inlineStr"/>
    </row>
    <row r="430" ht="15" customHeight="1">
      <c r="A430" t="inlineStr">
        <is>
          <t>A 1462-2025</t>
        </is>
      </c>
      <c r="B430" s="1" t="n">
        <v>45670.36319444444</v>
      </c>
      <c r="C430" s="1" t="n">
        <v>46142</v>
      </c>
      <c r="D430" t="inlineStr">
        <is>
          <t>GOTLANDS LÄN</t>
        </is>
      </c>
      <c r="E430" t="inlineStr">
        <is>
          <t>GOTLAND</t>
        </is>
      </c>
      <c r="G430" t="n">
        <v>2.8</v>
      </c>
      <c r="H430" t="n">
        <v>0</v>
      </c>
      <c r="I430" t="n">
        <v>0</v>
      </c>
      <c r="J430" t="n">
        <v>0</v>
      </c>
      <c r="K430" t="n">
        <v>0</v>
      </c>
      <c r="L430" t="n">
        <v>0</v>
      </c>
      <c r="M430" t="n">
        <v>0</v>
      </c>
      <c r="N430" t="n">
        <v>0</v>
      </c>
      <c r="O430" t="n">
        <v>0</v>
      </c>
      <c r="P430" t="n">
        <v>0</v>
      </c>
      <c r="Q430" t="n">
        <v>0</v>
      </c>
      <c r="R430" s="2" t="inlineStr"/>
    </row>
    <row r="431" ht="15" customHeight="1">
      <c r="A431" t="inlineStr">
        <is>
          <t>A 43911-2025</t>
        </is>
      </c>
      <c r="B431" s="1" t="n">
        <v>45914.3881712963</v>
      </c>
      <c r="C431" s="1" t="n">
        <v>46142</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13486-2026</t>
        </is>
      </c>
      <c r="B432" s="1" t="n">
        <v>46094</v>
      </c>
      <c r="C432" s="1" t="n">
        <v>46142</v>
      </c>
      <c r="D432" t="inlineStr">
        <is>
          <t>GOTLANDS LÄN</t>
        </is>
      </c>
      <c r="E432" t="inlineStr">
        <is>
          <t>GOTLAND</t>
        </is>
      </c>
      <c r="G432" t="n">
        <v>1.6</v>
      </c>
      <c r="H432" t="n">
        <v>0</v>
      </c>
      <c r="I432" t="n">
        <v>0</v>
      </c>
      <c r="J432" t="n">
        <v>0</v>
      </c>
      <c r="K432" t="n">
        <v>0</v>
      </c>
      <c r="L432" t="n">
        <v>0</v>
      </c>
      <c r="M432" t="n">
        <v>0</v>
      </c>
      <c r="N432" t="n">
        <v>0</v>
      </c>
      <c r="O432" t="n">
        <v>0</v>
      </c>
      <c r="P432" t="n">
        <v>0</v>
      </c>
      <c r="Q432" t="n">
        <v>0</v>
      </c>
      <c r="R432" s="2" t="inlineStr"/>
    </row>
    <row r="433" ht="15" customHeight="1">
      <c r="A433" t="inlineStr">
        <is>
          <t>A 44410-2025</t>
        </is>
      </c>
      <c r="B433" s="1" t="n">
        <v>45916.53699074074</v>
      </c>
      <c r="C433" s="1" t="n">
        <v>46142</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62751-2025</t>
        </is>
      </c>
      <c r="B434" s="1" t="n">
        <v>46008</v>
      </c>
      <c r="C434" s="1" t="n">
        <v>46142</v>
      </c>
      <c r="D434" t="inlineStr">
        <is>
          <t>GOTLANDS LÄN</t>
        </is>
      </c>
      <c r="E434" t="inlineStr">
        <is>
          <t>GOTLAND</t>
        </is>
      </c>
      <c r="F434" t="inlineStr">
        <is>
          <t>Övriga Aktiebolag</t>
        </is>
      </c>
      <c r="G434" t="n">
        <v>7.8</v>
      </c>
      <c r="H434" t="n">
        <v>0</v>
      </c>
      <c r="I434" t="n">
        <v>0</v>
      </c>
      <c r="J434" t="n">
        <v>0</v>
      </c>
      <c r="K434" t="n">
        <v>0</v>
      </c>
      <c r="L434" t="n">
        <v>0</v>
      </c>
      <c r="M434" t="n">
        <v>0</v>
      </c>
      <c r="N434" t="n">
        <v>0</v>
      </c>
      <c r="O434" t="n">
        <v>0</v>
      </c>
      <c r="P434" t="n">
        <v>0</v>
      </c>
      <c r="Q434" t="n">
        <v>0</v>
      </c>
      <c r="R434" s="2" t="inlineStr"/>
    </row>
    <row r="435" ht="15" customHeight="1">
      <c r="A435" t="inlineStr">
        <is>
          <t>A 43951-2025</t>
        </is>
      </c>
      <c r="B435" s="1" t="n">
        <v>45915.38119212963</v>
      </c>
      <c r="C435" s="1" t="n">
        <v>46142</v>
      </c>
      <c r="D435" t="inlineStr">
        <is>
          <t>GOTLANDS LÄN</t>
        </is>
      </c>
      <c r="E435" t="inlineStr">
        <is>
          <t>GOTLAND</t>
        </is>
      </c>
      <c r="G435" t="n">
        <v>4.4</v>
      </c>
      <c r="H435" t="n">
        <v>0</v>
      </c>
      <c r="I435" t="n">
        <v>0</v>
      </c>
      <c r="J435" t="n">
        <v>0</v>
      </c>
      <c r="K435" t="n">
        <v>0</v>
      </c>
      <c r="L435" t="n">
        <v>0</v>
      </c>
      <c r="M435" t="n">
        <v>0</v>
      </c>
      <c r="N435" t="n">
        <v>0</v>
      </c>
      <c r="O435" t="n">
        <v>0</v>
      </c>
      <c r="P435" t="n">
        <v>0</v>
      </c>
      <c r="Q435" t="n">
        <v>0</v>
      </c>
      <c r="R435" s="2" t="inlineStr"/>
    </row>
    <row r="436" ht="15" customHeight="1">
      <c r="A436" t="inlineStr">
        <is>
          <t>A 25129-2023</t>
        </is>
      </c>
      <c r="B436" s="1" t="n">
        <v>45086.44261574074</v>
      </c>
      <c r="C436" s="1" t="n">
        <v>46142</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24192-2023</t>
        </is>
      </c>
      <c r="B437" s="1" t="n">
        <v>45079</v>
      </c>
      <c r="C437" s="1" t="n">
        <v>46142</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44405-2025</t>
        </is>
      </c>
      <c r="B438" s="1" t="n">
        <v>45916.52405092592</v>
      </c>
      <c r="C438" s="1" t="n">
        <v>46142</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5386-2023</t>
        </is>
      </c>
      <c r="B439" s="1" t="n">
        <v>44959</v>
      </c>
      <c r="C439" s="1" t="n">
        <v>46142</v>
      </c>
      <c r="D439" t="inlineStr">
        <is>
          <t>GOTLANDS LÄN</t>
        </is>
      </c>
      <c r="E439" t="inlineStr">
        <is>
          <t>GOTLAND</t>
        </is>
      </c>
      <c r="G439" t="n">
        <v>5.4</v>
      </c>
      <c r="H439" t="n">
        <v>0</v>
      </c>
      <c r="I439" t="n">
        <v>0</v>
      </c>
      <c r="J439" t="n">
        <v>0</v>
      </c>
      <c r="K439" t="n">
        <v>0</v>
      </c>
      <c r="L439" t="n">
        <v>0</v>
      </c>
      <c r="M439" t="n">
        <v>0</v>
      </c>
      <c r="N439" t="n">
        <v>0</v>
      </c>
      <c r="O439" t="n">
        <v>0</v>
      </c>
      <c r="P439" t="n">
        <v>0</v>
      </c>
      <c r="Q439" t="n">
        <v>0</v>
      </c>
      <c r="R439" s="2" t="inlineStr"/>
    </row>
    <row r="440" ht="15" customHeight="1">
      <c r="A440" t="inlineStr">
        <is>
          <t>A 7026-2023</t>
        </is>
      </c>
      <c r="B440" s="1" t="n">
        <v>44968.30340277778</v>
      </c>
      <c r="C440" s="1" t="n">
        <v>46142</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20855-2023</t>
        </is>
      </c>
      <c r="B441" s="1" t="n">
        <v>45058.82172453704</v>
      </c>
      <c r="C441" s="1" t="n">
        <v>46142</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1000-2024</t>
        </is>
      </c>
      <c r="B442" s="1" t="n">
        <v>45301.63371527778</v>
      </c>
      <c r="C442" s="1" t="n">
        <v>46142</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1010-2024</t>
        </is>
      </c>
      <c r="B443" s="1" t="n">
        <v>45301</v>
      </c>
      <c r="C443" s="1" t="n">
        <v>46142</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47762-2023</t>
        </is>
      </c>
      <c r="B444" s="1" t="n">
        <v>45203.86256944444</v>
      </c>
      <c r="C444" s="1" t="n">
        <v>46142</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46545-2024</t>
        </is>
      </c>
      <c r="B445" s="1" t="n">
        <v>45582.65831018519</v>
      </c>
      <c r="C445" s="1" t="n">
        <v>46142</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60086-2022</t>
        </is>
      </c>
      <c r="B446" s="1" t="n">
        <v>44909</v>
      </c>
      <c r="C446" s="1" t="n">
        <v>46142</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28480-2023</t>
        </is>
      </c>
      <c r="B447" s="1" t="n">
        <v>45103</v>
      </c>
      <c r="C447" s="1" t="n">
        <v>46142</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28485-2023</t>
        </is>
      </c>
      <c r="B448" s="1" t="n">
        <v>45103.43731481482</v>
      </c>
      <c r="C448" s="1" t="n">
        <v>46142</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62915-2021</t>
        </is>
      </c>
      <c r="B449" s="1" t="n">
        <v>44504</v>
      </c>
      <c r="C449" s="1" t="n">
        <v>46142</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44949-2023</t>
        </is>
      </c>
      <c r="B450" s="1" t="n">
        <v>45190.69520833333</v>
      </c>
      <c r="C450" s="1" t="n">
        <v>46142</v>
      </c>
      <c r="D450" t="inlineStr">
        <is>
          <t>GOTLANDS LÄN</t>
        </is>
      </c>
      <c r="E450" t="inlineStr">
        <is>
          <t>GOTLAND</t>
        </is>
      </c>
      <c r="G450" t="n">
        <v>1.4</v>
      </c>
      <c r="H450" t="n">
        <v>0</v>
      </c>
      <c r="I450" t="n">
        <v>0</v>
      </c>
      <c r="J450" t="n">
        <v>0</v>
      </c>
      <c r="K450" t="n">
        <v>0</v>
      </c>
      <c r="L450" t="n">
        <v>0</v>
      </c>
      <c r="M450" t="n">
        <v>0</v>
      </c>
      <c r="N450" t="n">
        <v>0</v>
      </c>
      <c r="O450" t="n">
        <v>0</v>
      </c>
      <c r="P450" t="n">
        <v>0</v>
      </c>
      <c r="Q450" t="n">
        <v>0</v>
      </c>
      <c r="R450" s="2" t="inlineStr"/>
    </row>
    <row r="451" ht="15" customHeight="1">
      <c r="A451" t="inlineStr">
        <is>
          <t>A 26391-2025</t>
        </is>
      </c>
      <c r="B451" s="1" t="n">
        <v>45806</v>
      </c>
      <c r="C451" s="1" t="n">
        <v>46142</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37222-2021</t>
        </is>
      </c>
      <c r="B452" s="1" t="n">
        <v>44396</v>
      </c>
      <c r="C452" s="1" t="n">
        <v>46142</v>
      </c>
      <c r="D452" t="inlineStr">
        <is>
          <t>GOTLANDS LÄN</t>
        </is>
      </c>
      <c r="E452" t="inlineStr">
        <is>
          <t>GOTLAND</t>
        </is>
      </c>
      <c r="G452" t="n">
        <v>3</v>
      </c>
      <c r="H452" t="n">
        <v>0</v>
      </c>
      <c r="I452" t="n">
        <v>0</v>
      </c>
      <c r="J452" t="n">
        <v>0</v>
      </c>
      <c r="K452" t="n">
        <v>0</v>
      </c>
      <c r="L452" t="n">
        <v>0</v>
      </c>
      <c r="M452" t="n">
        <v>0</v>
      </c>
      <c r="N452" t="n">
        <v>0</v>
      </c>
      <c r="O452" t="n">
        <v>0</v>
      </c>
      <c r="P452" t="n">
        <v>0</v>
      </c>
      <c r="Q452" t="n">
        <v>0</v>
      </c>
      <c r="R452" s="2" t="inlineStr"/>
    </row>
    <row r="453" ht="15" customHeight="1">
      <c r="A453" t="inlineStr">
        <is>
          <t>A 3964-2024</t>
        </is>
      </c>
      <c r="B453" s="1" t="n">
        <v>45322</v>
      </c>
      <c r="C453" s="1" t="n">
        <v>46142</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46836-2025</t>
        </is>
      </c>
      <c r="B454" s="1" t="n">
        <v>45928.31511574074</v>
      </c>
      <c r="C454" s="1" t="n">
        <v>46142</v>
      </c>
      <c r="D454" t="inlineStr">
        <is>
          <t>GOTLANDS LÄN</t>
        </is>
      </c>
      <c r="E454" t="inlineStr">
        <is>
          <t>GOTLAND</t>
        </is>
      </c>
      <c r="G454" t="n">
        <v>2.8</v>
      </c>
      <c r="H454" t="n">
        <v>0</v>
      </c>
      <c r="I454" t="n">
        <v>0</v>
      </c>
      <c r="J454" t="n">
        <v>0</v>
      </c>
      <c r="K454" t="n">
        <v>0</v>
      </c>
      <c r="L454" t="n">
        <v>0</v>
      </c>
      <c r="M454" t="n">
        <v>0</v>
      </c>
      <c r="N454" t="n">
        <v>0</v>
      </c>
      <c r="O454" t="n">
        <v>0</v>
      </c>
      <c r="P454" t="n">
        <v>0</v>
      </c>
      <c r="Q454" t="n">
        <v>0</v>
      </c>
      <c r="R454" s="2" t="inlineStr"/>
    </row>
    <row r="455" ht="15" customHeight="1">
      <c r="A455" t="inlineStr">
        <is>
          <t>A 45084-2024</t>
        </is>
      </c>
      <c r="B455" s="1" t="n">
        <v>45575</v>
      </c>
      <c r="C455" s="1" t="n">
        <v>46142</v>
      </c>
      <c r="D455" t="inlineStr">
        <is>
          <t>GOTLANDS LÄN</t>
        </is>
      </c>
      <c r="E455" t="inlineStr">
        <is>
          <t>GOTLAND</t>
        </is>
      </c>
      <c r="G455" t="n">
        <v>6.8</v>
      </c>
      <c r="H455" t="n">
        <v>0</v>
      </c>
      <c r="I455" t="n">
        <v>0</v>
      </c>
      <c r="J455" t="n">
        <v>0</v>
      </c>
      <c r="K455" t="n">
        <v>0</v>
      </c>
      <c r="L455" t="n">
        <v>0</v>
      </c>
      <c r="M455" t="n">
        <v>0</v>
      </c>
      <c r="N455" t="n">
        <v>0</v>
      </c>
      <c r="O455" t="n">
        <v>0</v>
      </c>
      <c r="P455" t="n">
        <v>0</v>
      </c>
      <c r="Q455" t="n">
        <v>0</v>
      </c>
      <c r="R455" s="2" t="inlineStr"/>
    </row>
    <row r="456" ht="15" customHeight="1">
      <c r="A456" t="inlineStr">
        <is>
          <t>A 47637-2025</t>
        </is>
      </c>
      <c r="B456" s="1" t="n">
        <v>45931.49753472222</v>
      </c>
      <c r="C456" s="1" t="n">
        <v>46142</v>
      </c>
      <c r="D456" t="inlineStr">
        <is>
          <t>GOTLANDS LÄN</t>
        </is>
      </c>
      <c r="E456" t="inlineStr">
        <is>
          <t>GOTLAND</t>
        </is>
      </c>
      <c r="G456" t="n">
        <v>1.3</v>
      </c>
      <c r="H456" t="n">
        <v>0</v>
      </c>
      <c r="I456" t="n">
        <v>0</v>
      </c>
      <c r="J456" t="n">
        <v>0</v>
      </c>
      <c r="K456" t="n">
        <v>0</v>
      </c>
      <c r="L456" t="n">
        <v>0</v>
      </c>
      <c r="M456" t="n">
        <v>0</v>
      </c>
      <c r="N456" t="n">
        <v>0</v>
      </c>
      <c r="O456" t="n">
        <v>0</v>
      </c>
      <c r="P456" t="n">
        <v>0</v>
      </c>
      <c r="Q456" t="n">
        <v>0</v>
      </c>
      <c r="R456" s="2" t="inlineStr"/>
    </row>
    <row r="457" ht="15" customHeight="1">
      <c r="A457" t="inlineStr">
        <is>
          <t>A 5217-2023</t>
        </is>
      </c>
      <c r="B457" s="1" t="n">
        <v>44959.39582175926</v>
      </c>
      <c r="C457" s="1" t="n">
        <v>46142</v>
      </c>
      <c r="D457" t="inlineStr">
        <is>
          <t>GOTLANDS LÄN</t>
        </is>
      </c>
      <c r="E457" t="inlineStr">
        <is>
          <t>GOTLAND</t>
        </is>
      </c>
      <c r="G457" t="n">
        <v>1.9</v>
      </c>
      <c r="H457" t="n">
        <v>0</v>
      </c>
      <c r="I457" t="n">
        <v>0</v>
      </c>
      <c r="J457" t="n">
        <v>0</v>
      </c>
      <c r="K457" t="n">
        <v>0</v>
      </c>
      <c r="L457" t="n">
        <v>0</v>
      </c>
      <c r="M457" t="n">
        <v>0</v>
      </c>
      <c r="N457" t="n">
        <v>0</v>
      </c>
      <c r="O457" t="n">
        <v>0</v>
      </c>
      <c r="P457" t="n">
        <v>0</v>
      </c>
      <c r="Q457" t="n">
        <v>0</v>
      </c>
      <c r="R457" s="2" t="inlineStr"/>
    </row>
    <row r="458" ht="15" customHeight="1">
      <c r="A458" t="inlineStr">
        <is>
          <t>A 1677-2023</t>
        </is>
      </c>
      <c r="B458" s="1" t="n">
        <v>44938</v>
      </c>
      <c r="C458" s="1" t="n">
        <v>46142</v>
      </c>
      <c r="D458" t="inlineStr">
        <is>
          <t>GOTLANDS LÄN</t>
        </is>
      </c>
      <c r="E458" t="inlineStr">
        <is>
          <t>GOTLAND</t>
        </is>
      </c>
      <c r="G458" t="n">
        <v>1.6</v>
      </c>
      <c r="H458" t="n">
        <v>0</v>
      </c>
      <c r="I458" t="n">
        <v>0</v>
      </c>
      <c r="J458" t="n">
        <v>0</v>
      </c>
      <c r="K458" t="n">
        <v>0</v>
      </c>
      <c r="L458" t="n">
        <v>0</v>
      </c>
      <c r="M458" t="n">
        <v>0</v>
      </c>
      <c r="N458" t="n">
        <v>0</v>
      </c>
      <c r="O458" t="n">
        <v>0</v>
      </c>
      <c r="P458" t="n">
        <v>0</v>
      </c>
      <c r="Q458" t="n">
        <v>0</v>
      </c>
      <c r="R458" s="2" t="inlineStr"/>
    </row>
    <row r="459" ht="15" customHeight="1">
      <c r="A459" t="inlineStr">
        <is>
          <t>A 32378-2025</t>
        </is>
      </c>
      <c r="B459" s="1" t="n">
        <v>45837</v>
      </c>
      <c r="C459" s="1" t="n">
        <v>46142</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45244-2024</t>
        </is>
      </c>
      <c r="B460" s="1" t="n">
        <v>45576</v>
      </c>
      <c r="C460" s="1" t="n">
        <v>46142</v>
      </c>
      <c r="D460" t="inlineStr">
        <is>
          <t>GOTLANDS LÄN</t>
        </is>
      </c>
      <c r="E460" t="inlineStr">
        <is>
          <t>GOTLAND</t>
        </is>
      </c>
      <c r="G460" t="n">
        <v>2.4</v>
      </c>
      <c r="H460" t="n">
        <v>0</v>
      </c>
      <c r="I460" t="n">
        <v>0</v>
      </c>
      <c r="J460" t="n">
        <v>0</v>
      </c>
      <c r="K460" t="n">
        <v>0</v>
      </c>
      <c r="L460" t="n">
        <v>0</v>
      </c>
      <c r="M460" t="n">
        <v>0</v>
      </c>
      <c r="N460" t="n">
        <v>0</v>
      </c>
      <c r="O460" t="n">
        <v>0</v>
      </c>
      <c r="P460" t="n">
        <v>0</v>
      </c>
      <c r="Q460" t="n">
        <v>0</v>
      </c>
      <c r="R460" s="2" t="inlineStr"/>
    </row>
    <row r="461" ht="15" customHeight="1">
      <c r="A461" t="inlineStr">
        <is>
          <t>A 35550-2025</t>
        </is>
      </c>
      <c r="B461" s="1" t="n">
        <v>45856.49324074074</v>
      </c>
      <c r="C461" s="1" t="n">
        <v>46142</v>
      </c>
      <c r="D461" t="inlineStr">
        <is>
          <t>GOTLANDS LÄN</t>
        </is>
      </c>
      <c r="E461" t="inlineStr">
        <is>
          <t>GOTLAND</t>
        </is>
      </c>
      <c r="G461" t="n">
        <v>3.2</v>
      </c>
      <c r="H461" t="n">
        <v>0</v>
      </c>
      <c r="I461" t="n">
        <v>0</v>
      </c>
      <c r="J461" t="n">
        <v>0</v>
      </c>
      <c r="K461" t="n">
        <v>0</v>
      </c>
      <c r="L461" t="n">
        <v>0</v>
      </c>
      <c r="M461" t="n">
        <v>0</v>
      </c>
      <c r="N461" t="n">
        <v>0</v>
      </c>
      <c r="O461" t="n">
        <v>0</v>
      </c>
      <c r="P461" t="n">
        <v>0</v>
      </c>
      <c r="Q461" t="n">
        <v>0</v>
      </c>
      <c r="R461" s="2" t="inlineStr"/>
    </row>
    <row r="462" ht="15" customHeight="1">
      <c r="A462" t="inlineStr">
        <is>
          <t>A 8260-2023</t>
        </is>
      </c>
      <c r="B462" s="1" t="n">
        <v>44974.61608796296</v>
      </c>
      <c r="C462" s="1" t="n">
        <v>46142</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64969-2023</t>
        </is>
      </c>
      <c r="B463" s="1" t="n">
        <v>45284.54009259259</v>
      </c>
      <c r="C463" s="1" t="n">
        <v>46142</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48843-2024</t>
        </is>
      </c>
      <c r="B464" s="1" t="n">
        <v>45593</v>
      </c>
      <c r="C464" s="1" t="n">
        <v>46142</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17541-2024</t>
        </is>
      </c>
      <c r="B465" s="1" t="n">
        <v>45415</v>
      </c>
      <c r="C465" s="1" t="n">
        <v>46142</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47578-2025</t>
        </is>
      </c>
      <c r="B466" s="1" t="n">
        <v>45931</v>
      </c>
      <c r="C466" s="1" t="n">
        <v>46142</v>
      </c>
      <c r="D466" t="inlineStr">
        <is>
          <t>GOTLANDS LÄN</t>
        </is>
      </c>
      <c r="E466" t="inlineStr">
        <is>
          <t>GOTLAND</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2241-2025</t>
        </is>
      </c>
      <c r="B467" s="1" t="n">
        <v>45673.48710648148</v>
      </c>
      <c r="C467" s="1" t="n">
        <v>46142</v>
      </c>
      <c r="D467" t="inlineStr">
        <is>
          <t>GOTLANDS LÄN</t>
        </is>
      </c>
      <c r="E467" t="inlineStr">
        <is>
          <t>GOTLAND</t>
        </is>
      </c>
      <c r="G467" t="n">
        <v>1</v>
      </c>
      <c r="H467" t="n">
        <v>0</v>
      </c>
      <c r="I467" t="n">
        <v>0</v>
      </c>
      <c r="J467" t="n">
        <v>0</v>
      </c>
      <c r="K467" t="n">
        <v>0</v>
      </c>
      <c r="L467" t="n">
        <v>0</v>
      </c>
      <c r="M467" t="n">
        <v>0</v>
      </c>
      <c r="N467" t="n">
        <v>0</v>
      </c>
      <c r="O467" t="n">
        <v>0</v>
      </c>
      <c r="P467" t="n">
        <v>0</v>
      </c>
      <c r="Q467" t="n">
        <v>0</v>
      </c>
      <c r="R467" s="2" t="inlineStr"/>
    </row>
    <row r="468" ht="15" customHeight="1">
      <c r="A468" t="inlineStr">
        <is>
          <t>A 49724-2025</t>
        </is>
      </c>
      <c r="B468" s="1" t="n">
        <v>45939.83730324074</v>
      </c>
      <c r="C468" s="1" t="n">
        <v>46142</v>
      </c>
      <c r="D468" t="inlineStr">
        <is>
          <t>GOTLANDS LÄN</t>
        </is>
      </c>
      <c r="E468" t="inlineStr">
        <is>
          <t>GOTLAND</t>
        </is>
      </c>
      <c r="F468" t="inlineStr">
        <is>
          <t>Kyrkan</t>
        </is>
      </c>
      <c r="G468" t="n">
        <v>3.1</v>
      </c>
      <c r="H468" t="n">
        <v>0</v>
      </c>
      <c r="I468" t="n">
        <v>0</v>
      </c>
      <c r="J468" t="n">
        <v>0</v>
      </c>
      <c r="K468" t="n">
        <v>0</v>
      </c>
      <c r="L468" t="n">
        <v>0</v>
      </c>
      <c r="M468" t="n">
        <v>0</v>
      </c>
      <c r="N468" t="n">
        <v>0</v>
      </c>
      <c r="O468" t="n">
        <v>0</v>
      </c>
      <c r="P468" t="n">
        <v>0</v>
      </c>
      <c r="Q468" t="n">
        <v>0</v>
      </c>
      <c r="R468" s="2" t="inlineStr"/>
    </row>
    <row r="469" ht="15" customHeight="1">
      <c r="A469" t="inlineStr">
        <is>
          <t>A 49730-2025</t>
        </is>
      </c>
      <c r="B469" s="1" t="n">
        <v>45939.87613425926</v>
      </c>
      <c r="C469" s="1" t="n">
        <v>46142</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15434-2024</t>
        </is>
      </c>
      <c r="B470" s="1" t="n">
        <v>45401.38836805556</v>
      </c>
      <c r="C470" s="1" t="n">
        <v>46142</v>
      </c>
      <c r="D470" t="inlineStr">
        <is>
          <t>GOTLANDS LÄN</t>
        </is>
      </c>
      <c r="E470" t="inlineStr">
        <is>
          <t>GOTLAND</t>
        </is>
      </c>
      <c r="G470" t="n">
        <v>2.5</v>
      </c>
      <c r="H470" t="n">
        <v>0</v>
      </c>
      <c r="I470" t="n">
        <v>0</v>
      </c>
      <c r="J470" t="n">
        <v>0</v>
      </c>
      <c r="K470" t="n">
        <v>0</v>
      </c>
      <c r="L470" t="n">
        <v>0</v>
      </c>
      <c r="M470" t="n">
        <v>0</v>
      </c>
      <c r="N470" t="n">
        <v>0</v>
      </c>
      <c r="O470" t="n">
        <v>0</v>
      </c>
      <c r="P470" t="n">
        <v>0</v>
      </c>
      <c r="Q470" t="n">
        <v>0</v>
      </c>
      <c r="R470" s="2" t="inlineStr"/>
    </row>
    <row r="471" ht="15" customHeight="1">
      <c r="A471" t="inlineStr">
        <is>
          <t>A 49690-2025</t>
        </is>
      </c>
      <c r="B471" s="1" t="n">
        <v>45939.66730324074</v>
      </c>
      <c r="C471" s="1" t="n">
        <v>46142</v>
      </c>
      <c r="D471" t="inlineStr">
        <is>
          <t>GOTLANDS LÄN</t>
        </is>
      </c>
      <c r="E471" t="inlineStr">
        <is>
          <t>GOTLAND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33011-2025</t>
        </is>
      </c>
      <c r="B472" s="1" t="n">
        <v>45840</v>
      </c>
      <c r="C472" s="1" t="n">
        <v>46142</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50421-2025</t>
        </is>
      </c>
      <c r="B473" s="1" t="n">
        <v>45944.66049768519</v>
      </c>
      <c r="C473" s="1" t="n">
        <v>46142</v>
      </c>
      <c r="D473" t="inlineStr">
        <is>
          <t>GOTLANDS LÄN</t>
        </is>
      </c>
      <c r="E473" t="inlineStr">
        <is>
          <t>GOTLAND</t>
        </is>
      </c>
      <c r="G473" t="n">
        <v>3.9</v>
      </c>
      <c r="H473" t="n">
        <v>0</v>
      </c>
      <c r="I473" t="n">
        <v>0</v>
      </c>
      <c r="J473" t="n">
        <v>0</v>
      </c>
      <c r="K473" t="n">
        <v>0</v>
      </c>
      <c r="L473" t="n">
        <v>0</v>
      </c>
      <c r="M473" t="n">
        <v>0</v>
      </c>
      <c r="N473" t="n">
        <v>0</v>
      </c>
      <c r="O473" t="n">
        <v>0</v>
      </c>
      <c r="P473" t="n">
        <v>0</v>
      </c>
      <c r="Q473" t="n">
        <v>0</v>
      </c>
      <c r="R473" s="2" t="inlineStr"/>
    </row>
    <row r="474" ht="15" customHeight="1">
      <c r="A474" t="inlineStr">
        <is>
          <t>A 5943-2024</t>
        </is>
      </c>
      <c r="B474" s="1" t="n">
        <v>45336</v>
      </c>
      <c r="C474" s="1" t="n">
        <v>46142</v>
      </c>
      <c r="D474" t="inlineStr">
        <is>
          <t>GOTLANDS LÄN</t>
        </is>
      </c>
      <c r="E474" t="inlineStr">
        <is>
          <t>GOTLAND</t>
        </is>
      </c>
      <c r="G474" t="n">
        <v>4.3</v>
      </c>
      <c r="H474" t="n">
        <v>0</v>
      </c>
      <c r="I474" t="n">
        <v>0</v>
      </c>
      <c r="J474" t="n">
        <v>0</v>
      </c>
      <c r="K474" t="n">
        <v>0</v>
      </c>
      <c r="L474" t="n">
        <v>0</v>
      </c>
      <c r="M474" t="n">
        <v>0</v>
      </c>
      <c r="N474" t="n">
        <v>0</v>
      </c>
      <c r="O474" t="n">
        <v>0</v>
      </c>
      <c r="P474" t="n">
        <v>0</v>
      </c>
      <c r="Q474" t="n">
        <v>0</v>
      </c>
      <c r="R474" s="2" t="inlineStr"/>
    </row>
    <row r="475" ht="15" customHeight="1">
      <c r="A475" t="inlineStr">
        <is>
          <t>A 54073-2022</t>
        </is>
      </c>
      <c r="B475" s="1" t="n">
        <v>44881.50380787037</v>
      </c>
      <c r="C475" s="1" t="n">
        <v>46142</v>
      </c>
      <c r="D475" t="inlineStr">
        <is>
          <t>GOTLANDS LÄN</t>
        </is>
      </c>
      <c r="E475" t="inlineStr">
        <is>
          <t>GOTLAND</t>
        </is>
      </c>
      <c r="G475" t="n">
        <v>3.8</v>
      </c>
      <c r="H475" t="n">
        <v>0</v>
      </c>
      <c r="I475" t="n">
        <v>0</v>
      </c>
      <c r="J475" t="n">
        <v>0</v>
      </c>
      <c r="K475" t="n">
        <v>0</v>
      </c>
      <c r="L475" t="n">
        <v>0</v>
      </c>
      <c r="M475" t="n">
        <v>0</v>
      </c>
      <c r="N475" t="n">
        <v>0</v>
      </c>
      <c r="O475" t="n">
        <v>0</v>
      </c>
      <c r="P475" t="n">
        <v>0</v>
      </c>
      <c r="Q475" t="n">
        <v>0</v>
      </c>
      <c r="R475" s="2" t="inlineStr"/>
    </row>
    <row r="476" ht="15" customHeight="1">
      <c r="A476" t="inlineStr">
        <is>
          <t>A 16361-2024</t>
        </is>
      </c>
      <c r="B476" s="1" t="n">
        <v>45407</v>
      </c>
      <c r="C476" s="1" t="n">
        <v>46142</v>
      </c>
      <c r="D476" t="inlineStr">
        <is>
          <t>GOTLANDS LÄN</t>
        </is>
      </c>
      <c r="E476" t="inlineStr">
        <is>
          <t>GOTLAND</t>
        </is>
      </c>
      <c r="G476" t="n">
        <v>6</v>
      </c>
      <c r="H476" t="n">
        <v>0</v>
      </c>
      <c r="I476" t="n">
        <v>0</v>
      </c>
      <c r="J476" t="n">
        <v>0</v>
      </c>
      <c r="K476" t="n">
        <v>0</v>
      </c>
      <c r="L476" t="n">
        <v>0</v>
      </c>
      <c r="M476" t="n">
        <v>0</v>
      </c>
      <c r="N476" t="n">
        <v>0</v>
      </c>
      <c r="O476" t="n">
        <v>0</v>
      </c>
      <c r="P476" t="n">
        <v>0</v>
      </c>
      <c r="Q476" t="n">
        <v>0</v>
      </c>
      <c r="R476" s="2" t="inlineStr"/>
    </row>
    <row r="477" ht="15" customHeight="1">
      <c r="A477" t="inlineStr">
        <is>
          <t>A 41038-2023</t>
        </is>
      </c>
      <c r="B477" s="1" t="n">
        <v>45173.60959490741</v>
      </c>
      <c r="C477" s="1" t="n">
        <v>46142</v>
      </c>
      <c r="D477" t="inlineStr">
        <is>
          <t>GOTLANDS LÄN</t>
        </is>
      </c>
      <c r="E477" t="inlineStr">
        <is>
          <t>GOTLAND</t>
        </is>
      </c>
      <c r="G477" t="n">
        <v>2.7</v>
      </c>
      <c r="H477" t="n">
        <v>0</v>
      </c>
      <c r="I477" t="n">
        <v>0</v>
      </c>
      <c r="J477" t="n">
        <v>0</v>
      </c>
      <c r="K477" t="n">
        <v>0</v>
      </c>
      <c r="L477" t="n">
        <v>0</v>
      </c>
      <c r="M477" t="n">
        <v>0</v>
      </c>
      <c r="N477" t="n">
        <v>0</v>
      </c>
      <c r="O477" t="n">
        <v>0</v>
      </c>
      <c r="P477" t="n">
        <v>0</v>
      </c>
      <c r="Q477" t="n">
        <v>0</v>
      </c>
      <c r="R477" s="2" t="inlineStr"/>
    </row>
    <row r="478" ht="15" customHeight="1">
      <c r="A478" t="inlineStr">
        <is>
          <t>A 50431-2025</t>
        </is>
      </c>
      <c r="B478" s="1" t="n">
        <v>45944.68453703704</v>
      </c>
      <c r="C478" s="1" t="n">
        <v>46142</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50928-2025</t>
        </is>
      </c>
      <c r="B479" s="1" t="n">
        <v>45946.67896990741</v>
      </c>
      <c r="C479" s="1" t="n">
        <v>46142</v>
      </c>
      <c r="D479" t="inlineStr">
        <is>
          <t>GOTLANDS LÄN</t>
        </is>
      </c>
      <c r="E479" t="inlineStr">
        <is>
          <t>GOTLAND</t>
        </is>
      </c>
      <c r="G479" t="n">
        <v>1.3</v>
      </c>
      <c r="H479" t="n">
        <v>0</v>
      </c>
      <c r="I479" t="n">
        <v>0</v>
      </c>
      <c r="J479" t="n">
        <v>0</v>
      </c>
      <c r="K479" t="n">
        <v>0</v>
      </c>
      <c r="L479" t="n">
        <v>0</v>
      </c>
      <c r="M479" t="n">
        <v>0</v>
      </c>
      <c r="N479" t="n">
        <v>0</v>
      </c>
      <c r="O479" t="n">
        <v>0</v>
      </c>
      <c r="P479" t="n">
        <v>0</v>
      </c>
      <c r="Q479" t="n">
        <v>0</v>
      </c>
      <c r="R479" s="2" t="inlineStr"/>
    </row>
    <row r="480" ht="15" customHeight="1">
      <c r="A480" t="inlineStr">
        <is>
          <t>A 14427-2024</t>
        </is>
      </c>
      <c r="B480" s="1" t="n">
        <v>45394</v>
      </c>
      <c r="C480" s="1" t="n">
        <v>46142</v>
      </c>
      <c r="D480" t="inlineStr">
        <is>
          <t>GOTLANDS LÄN</t>
        </is>
      </c>
      <c r="E480" t="inlineStr">
        <is>
          <t>GOTLAND</t>
        </is>
      </c>
      <c r="G480" t="n">
        <v>1.3</v>
      </c>
      <c r="H480" t="n">
        <v>0</v>
      </c>
      <c r="I480" t="n">
        <v>0</v>
      </c>
      <c r="J480" t="n">
        <v>0</v>
      </c>
      <c r="K480" t="n">
        <v>0</v>
      </c>
      <c r="L480" t="n">
        <v>0</v>
      </c>
      <c r="M480" t="n">
        <v>0</v>
      </c>
      <c r="N480" t="n">
        <v>0</v>
      </c>
      <c r="O480" t="n">
        <v>0</v>
      </c>
      <c r="P480" t="n">
        <v>0</v>
      </c>
      <c r="Q480" t="n">
        <v>0</v>
      </c>
      <c r="R480" s="2" t="inlineStr"/>
    </row>
    <row r="481" ht="15" customHeight="1">
      <c r="A481" t="inlineStr">
        <is>
          <t>A 31802-2024</t>
        </is>
      </c>
      <c r="B481" s="1" t="n">
        <v>45509</v>
      </c>
      <c r="C481" s="1" t="n">
        <v>46142</v>
      </c>
      <c r="D481" t="inlineStr">
        <is>
          <t>GOTLANDS LÄN</t>
        </is>
      </c>
      <c r="E481" t="inlineStr">
        <is>
          <t>GOTLAND</t>
        </is>
      </c>
      <c r="G481" t="n">
        <v>2.8</v>
      </c>
      <c r="H481" t="n">
        <v>0</v>
      </c>
      <c r="I481" t="n">
        <v>0</v>
      </c>
      <c r="J481" t="n">
        <v>0</v>
      </c>
      <c r="K481" t="n">
        <v>0</v>
      </c>
      <c r="L481" t="n">
        <v>0</v>
      </c>
      <c r="M481" t="n">
        <v>0</v>
      </c>
      <c r="N481" t="n">
        <v>0</v>
      </c>
      <c r="O481" t="n">
        <v>0</v>
      </c>
      <c r="P481" t="n">
        <v>0</v>
      </c>
      <c r="Q481" t="n">
        <v>0</v>
      </c>
      <c r="R481" s="2" t="inlineStr"/>
    </row>
    <row r="482" ht="15" customHeight="1">
      <c r="A482" t="inlineStr">
        <is>
          <t>A 51262-2025</t>
        </is>
      </c>
      <c r="B482" s="1" t="n">
        <v>45949.49872685185</v>
      </c>
      <c r="C482" s="1" t="n">
        <v>46142</v>
      </c>
      <c r="D482" t="inlineStr">
        <is>
          <t>GOTLANDS LÄN</t>
        </is>
      </c>
      <c r="E482" t="inlineStr">
        <is>
          <t>GOTLAND</t>
        </is>
      </c>
      <c r="G482" t="n">
        <v>1.6</v>
      </c>
      <c r="H482" t="n">
        <v>0</v>
      </c>
      <c r="I482" t="n">
        <v>0</v>
      </c>
      <c r="J482" t="n">
        <v>0</v>
      </c>
      <c r="K482" t="n">
        <v>0</v>
      </c>
      <c r="L482" t="n">
        <v>0</v>
      </c>
      <c r="M482" t="n">
        <v>0</v>
      </c>
      <c r="N482" t="n">
        <v>0</v>
      </c>
      <c r="O482" t="n">
        <v>0</v>
      </c>
      <c r="P482" t="n">
        <v>0</v>
      </c>
      <c r="Q482" t="n">
        <v>0</v>
      </c>
      <c r="R482" s="2" t="inlineStr"/>
    </row>
    <row r="483" ht="15" customHeight="1">
      <c r="A483" t="inlineStr">
        <is>
          <t>A 8036-2022</t>
        </is>
      </c>
      <c r="B483" s="1" t="n">
        <v>44609.44362268518</v>
      </c>
      <c r="C483" s="1" t="n">
        <v>46142</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12846-2025</t>
        </is>
      </c>
      <c r="B484" s="1" t="n">
        <v>45733.65049768519</v>
      </c>
      <c r="C484" s="1" t="n">
        <v>46142</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52249-2025</t>
        </is>
      </c>
      <c r="B485" s="1" t="n">
        <v>45953.48637731482</v>
      </c>
      <c r="C485" s="1" t="n">
        <v>46142</v>
      </c>
      <c r="D485" t="inlineStr">
        <is>
          <t>GOTLANDS LÄN</t>
        </is>
      </c>
      <c r="E485" t="inlineStr">
        <is>
          <t>GOTLAND</t>
        </is>
      </c>
      <c r="F485" t="inlineStr">
        <is>
          <t>Övriga Aktiebolag</t>
        </is>
      </c>
      <c r="G485" t="n">
        <v>1</v>
      </c>
      <c r="H485" t="n">
        <v>0</v>
      </c>
      <c r="I485" t="n">
        <v>0</v>
      </c>
      <c r="J485" t="n">
        <v>0</v>
      </c>
      <c r="K485" t="n">
        <v>0</v>
      </c>
      <c r="L485" t="n">
        <v>0</v>
      </c>
      <c r="M485" t="n">
        <v>0</v>
      </c>
      <c r="N485" t="n">
        <v>0</v>
      </c>
      <c r="O485" t="n">
        <v>0</v>
      </c>
      <c r="P485" t="n">
        <v>0</v>
      </c>
      <c r="Q485" t="n">
        <v>0</v>
      </c>
      <c r="R485" s="2" t="inlineStr"/>
    </row>
    <row r="486" ht="15" customHeight="1">
      <c r="A486" t="inlineStr">
        <is>
          <t>A 46949-2024</t>
        </is>
      </c>
      <c r="B486" s="1" t="n">
        <v>45585</v>
      </c>
      <c r="C486" s="1" t="n">
        <v>46142</v>
      </c>
      <c r="D486" t="inlineStr">
        <is>
          <t>GOTLANDS LÄN</t>
        </is>
      </c>
      <c r="E486" t="inlineStr">
        <is>
          <t>GOTLAND</t>
        </is>
      </c>
      <c r="G486" t="n">
        <v>0.6</v>
      </c>
      <c r="H486" t="n">
        <v>0</v>
      </c>
      <c r="I486" t="n">
        <v>0</v>
      </c>
      <c r="J486" t="n">
        <v>0</v>
      </c>
      <c r="K486" t="n">
        <v>0</v>
      </c>
      <c r="L486" t="n">
        <v>0</v>
      </c>
      <c r="M486" t="n">
        <v>0</v>
      </c>
      <c r="N486" t="n">
        <v>0</v>
      </c>
      <c r="O486" t="n">
        <v>0</v>
      </c>
      <c r="P486" t="n">
        <v>0</v>
      </c>
      <c r="Q486" t="n">
        <v>0</v>
      </c>
      <c r="R486" s="2" t="inlineStr"/>
    </row>
    <row r="487" ht="15" customHeight="1">
      <c r="A487" t="inlineStr">
        <is>
          <t>A 10650-2022</t>
        </is>
      </c>
      <c r="B487" s="1" t="n">
        <v>44624.57945601852</v>
      </c>
      <c r="C487" s="1" t="n">
        <v>46142</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52637-2025</t>
        </is>
      </c>
      <c r="B488" s="1" t="n">
        <v>45954.75099537037</v>
      </c>
      <c r="C488" s="1" t="n">
        <v>46142</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11634-2024</t>
        </is>
      </c>
      <c r="B489" s="1" t="n">
        <v>45373</v>
      </c>
      <c r="C489" s="1" t="n">
        <v>46142</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53569-2025</t>
        </is>
      </c>
      <c r="B490" s="1" t="n">
        <v>45960.41155092593</v>
      </c>
      <c r="C490" s="1" t="n">
        <v>46142</v>
      </c>
      <c r="D490" t="inlineStr">
        <is>
          <t>GOTLANDS LÄN</t>
        </is>
      </c>
      <c r="E490" t="inlineStr">
        <is>
          <t>GOTLAND</t>
        </is>
      </c>
      <c r="F490" t="inlineStr">
        <is>
          <t>Övriga Aktiebolag</t>
        </is>
      </c>
      <c r="G490" t="n">
        <v>11.3</v>
      </c>
      <c r="H490" t="n">
        <v>0</v>
      </c>
      <c r="I490" t="n">
        <v>0</v>
      </c>
      <c r="J490" t="n">
        <v>0</v>
      </c>
      <c r="K490" t="n">
        <v>0</v>
      </c>
      <c r="L490" t="n">
        <v>0</v>
      </c>
      <c r="M490" t="n">
        <v>0</v>
      </c>
      <c r="N490" t="n">
        <v>0</v>
      </c>
      <c r="O490" t="n">
        <v>0</v>
      </c>
      <c r="P490" t="n">
        <v>0</v>
      </c>
      <c r="Q490" t="n">
        <v>0</v>
      </c>
      <c r="R490" s="2" t="inlineStr"/>
    </row>
    <row r="491" ht="15" customHeight="1">
      <c r="A491" t="inlineStr">
        <is>
          <t>A 1351-2025</t>
        </is>
      </c>
      <c r="B491" s="1" t="n">
        <v>45667.62246527777</v>
      </c>
      <c r="C491" s="1" t="n">
        <v>46142</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53577-2025</t>
        </is>
      </c>
      <c r="B492" s="1" t="n">
        <v>45960.42224537037</v>
      </c>
      <c r="C492" s="1" t="n">
        <v>46142</v>
      </c>
      <c r="D492" t="inlineStr">
        <is>
          <t>GOTLANDS LÄN</t>
        </is>
      </c>
      <c r="E492" t="inlineStr">
        <is>
          <t>GOTLAND</t>
        </is>
      </c>
      <c r="F492" t="inlineStr">
        <is>
          <t>Övriga Aktiebolag</t>
        </is>
      </c>
      <c r="G492" t="n">
        <v>3.3</v>
      </c>
      <c r="H492" t="n">
        <v>0</v>
      </c>
      <c r="I492" t="n">
        <v>0</v>
      </c>
      <c r="J492" t="n">
        <v>0</v>
      </c>
      <c r="K492" t="n">
        <v>0</v>
      </c>
      <c r="L492" t="n">
        <v>0</v>
      </c>
      <c r="M492" t="n">
        <v>0</v>
      </c>
      <c r="N492" t="n">
        <v>0</v>
      </c>
      <c r="O492" t="n">
        <v>0</v>
      </c>
      <c r="P492" t="n">
        <v>0</v>
      </c>
      <c r="Q492" t="n">
        <v>0</v>
      </c>
      <c r="R492" s="2" t="inlineStr"/>
    </row>
    <row r="493" ht="15" customHeight="1">
      <c r="A493" t="inlineStr">
        <is>
          <t>A 39496-2022</t>
        </is>
      </c>
      <c r="B493" s="1" t="n">
        <v>44818</v>
      </c>
      <c r="C493" s="1" t="n">
        <v>46142</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49874-2024</t>
        </is>
      </c>
      <c r="B494" s="1" t="n">
        <v>45597.49274305555</v>
      </c>
      <c r="C494" s="1" t="n">
        <v>46142</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46400-2023</t>
        </is>
      </c>
      <c r="B495" s="1" t="n">
        <v>45197.49290509259</v>
      </c>
      <c r="C495" s="1" t="n">
        <v>46142</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9875-2025</t>
        </is>
      </c>
      <c r="B496" s="1" t="n">
        <v>45716</v>
      </c>
      <c r="C496" s="1" t="n">
        <v>46142</v>
      </c>
      <c r="D496" t="inlineStr">
        <is>
          <t>GOTLANDS LÄN</t>
        </is>
      </c>
      <c r="E496" t="inlineStr">
        <is>
          <t>GOTLAND</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21164-2024</t>
        </is>
      </c>
      <c r="B497" s="1" t="n">
        <v>45440</v>
      </c>
      <c r="C497" s="1" t="n">
        <v>46142</v>
      </c>
      <c r="D497" t="inlineStr">
        <is>
          <t>GOTLANDS LÄN</t>
        </is>
      </c>
      <c r="E497" t="inlineStr">
        <is>
          <t>GOTLAND</t>
        </is>
      </c>
      <c r="G497" t="n">
        <v>6.3</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46142</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22897-2023</t>
        </is>
      </c>
      <c r="B499" s="1" t="n">
        <v>45072.55239583334</v>
      </c>
      <c r="C499" s="1" t="n">
        <v>46142</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61897-2024</t>
        </is>
      </c>
      <c r="B500" s="1" t="n">
        <v>45652.75685185185</v>
      </c>
      <c r="C500" s="1" t="n">
        <v>46142</v>
      </c>
      <c r="D500" t="inlineStr">
        <is>
          <t>GOTLANDS LÄN</t>
        </is>
      </c>
      <c r="E500" t="inlineStr">
        <is>
          <t>GOTLAND</t>
        </is>
      </c>
      <c r="G500" t="n">
        <v>6.4</v>
      </c>
      <c r="H500" t="n">
        <v>0</v>
      </c>
      <c r="I500" t="n">
        <v>0</v>
      </c>
      <c r="J500" t="n">
        <v>0</v>
      </c>
      <c r="K500" t="n">
        <v>0</v>
      </c>
      <c r="L500" t="n">
        <v>0</v>
      </c>
      <c r="M500" t="n">
        <v>0</v>
      </c>
      <c r="N500" t="n">
        <v>0</v>
      </c>
      <c r="O500" t="n">
        <v>0</v>
      </c>
      <c r="P500" t="n">
        <v>0</v>
      </c>
      <c r="Q500" t="n">
        <v>0</v>
      </c>
      <c r="R500" s="2" t="inlineStr"/>
    </row>
    <row r="501" ht="15" customHeight="1">
      <c r="A501" t="inlineStr">
        <is>
          <t>A 49962-2023</t>
        </is>
      </c>
      <c r="B501" s="1" t="n">
        <v>45215.38775462963</v>
      </c>
      <c r="C501" s="1" t="n">
        <v>46142</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20165-2022</t>
        </is>
      </c>
      <c r="B502" s="1" t="n">
        <v>44698.49854166667</v>
      </c>
      <c r="C502" s="1" t="n">
        <v>46142</v>
      </c>
      <c r="D502" t="inlineStr">
        <is>
          <t>GOTLANDS LÄN</t>
        </is>
      </c>
      <c r="E502" t="inlineStr">
        <is>
          <t>GOTLAND</t>
        </is>
      </c>
      <c r="G502" t="n">
        <v>4.1</v>
      </c>
      <c r="H502" t="n">
        <v>0</v>
      </c>
      <c r="I502" t="n">
        <v>0</v>
      </c>
      <c r="J502" t="n">
        <v>0</v>
      </c>
      <c r="K502" t="n">
        <v>0</v>
      </c>
      <c r="L502" t="n">
        <v>0</v>
      </c>
      <c r="M502" t="n">
        <v>0</v>
      </c>
      <c r="N502" t="n">
        <v>0</v>
      </c>
      <c r="O502" t="n">
        <v>0</v>
      </c>
      <c r="P502" t="n">
        <v>0</v>
      </c>
      <c r="Q502" t="n">
        <v>0</v>
      </c>
      <c r="R502" s="2" t="inlineStr"/>
    </row>
    <row r="503" ht="15" customHeight="1">
      <c r="A503" t="inlineStr">
        <is>
          <t>A 40294-2022</t>
        </is>
      </c>
      <c r="B503" s="1" t="n">
        <v>44821</v>
      </c>
      <c r="C503" s="1" t="n">
        <v>46142</v>
      </c>
      <c r="D503" t="inlineStr">
        <is>
          <t>GOTLANDS LÄN</t>
        </is>
      </c>
      <c r="E503" t="inlineStr">
        <is>
          <t>GOTLAND</t>
        </is>
      </c>
      <c r="G503" t="n">
        <v>1.6</v>
      </c>
      <c r="H503" t="n">
        <v>0</v>
      </c>
      <c r="I503" t="n">
        <v>0</v>
      </c>
      <c r="J503" t="n">
        <v>0</v>
      </c>
      <c r="K503" t="n">
        <v>0</v>
      </c>
      <c r="L503" t="n">
        <v>0</v>
      </c>
      <c r="M503" t="n">
        <v>0</v>
      </c>
      <c r="N503" t="n">
        <v>0</v>
      </c>
      <c r="O503" t="n">
        <v>0</v>
      </c>
      <c r="P503" t="n">
        <v>0</v>
      </c>
      <c r="Q503" t="n">
        <v>0</v>
      </c>
      <c r="R503" s="2" t="inlineStr"/>
    </row>
    <row r="504" ht="15" customHeight="1">
      <c r="A504" t="inlineStr">
        <is>
          <t>A 12032-2025</t>
        </is>
      </c>
      <c r="B504" s="1" t="n">
        <v>45728.64472222222</v>
      </c>
      <c r="C504" s="1" t="n">
        <v>46142</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38787-2023</t>
        </is>
      </c>
      <c r="B505" s="1" t="n">
        <v>45163</v>
      </c>
      <c r="C505" s="1" t="n">
        <v>46142</v>
      </c>
      <c r="D505" t="inlineStr">
        <is>
          <t>GOTLANDS LÄN</t>
        </is>
      </c>
      <c r="E505" t="inlineStr">
        <is>
          <t>GOTLAND</t>
        </is>
      </c>
      <c r="G505" t="n">
        <v>0.4</v>
      </c>
      <c r="H505" t="n">
        <v>0</v>
      </c>
      <c r="I505" t="n">
        <v>0</v>
      </c>
      <c r="J505" t="n">
        <v>0</v>
      </c>
      <c r="K505" t="n">
        <v>0</v>
      </c>
      <c r="L505" t="n">
        <v>0</v>
      </c>
      <c r="M505" t="n">
        <v>0</v>
      </c>
      <c r="N505" t="n">
        <v>0</v>
      </c>
      <c r="O505" t="n">
        <v>0</v>
      </c>
      <c r="P505" t="n">
        <v>0</v>
      </c>
      <c r="Q505" t="n">
        <v>0</v>
      </c>
      <c r="R505" s="2" t="inlineStr"/>
    </row>
    <row r="506" ht="15" customHeight="1">
      <c r="A506" t="inlineStr">
        <is>
          <t>A 56799-2025</t>
        </is>
      </c>
      <c r="B506" s="1" t="n">
        <v>45978.43392361111</v>
      </c>
      <c r="C506" s="1" t="n">
        <v>46142</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43231-2023</t>
        </is>
      </c>
      <c r="B507" s="1" t="n">
        <v>45183.47025462963</v>
      </c>
      <c r="C507" s="1" t="n">
        <v>46142</v>
      </c>
      <c r="D507" t="inlineStr">
        <is>
          <t>GOTLANDS LÄN</t>
        </is>
      </c>
      <c r="E507" t="inlineStr">
        <is>
          <t>GOTLAND</t>
        </is>
      </c>
      <c r="G507" t="n">
        <v>3.6</v>
      </c>
      <c r="H507" t="n">
        <v>0</v>
      </c>
      <c r="I507" t="n">
        <v>0</v>
      </c>
      <c r="J507" t="n">
        <v>0</v>
      </c>
      <c r="K507" t="n">
        <v>0</v>
      </c>
      <c r="L507" t="n">
        <v>0</v>
      </c>
      <c r="M507" t="n">
        <v>0</v>
      </c>
      <c r="N507" t="n">
        <v>0</v>
      </c>
      <c r="O507" t="n">
        <v>0</v>
      </c>
      <c r="P507" t="n">
        <v>0</v>
      </c>
      <c r="Q507" t="n">
        <v>0</v>
      </c>
      <c r="R507" s="2" t="inlineStr"/>
    </row>
    <row r="508" ht="15" customHeight="1">
      <c r="A508" t="inlineStr">
        <is>
          <t>A 56688-2025</t>
        </is>
      </c>
      <c r="B508" s="1" t="n">
        <v>45975.84331018518</v>
      </c>
      <c r="C508" s="1" t="n">
        <v>46142</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17532-2024</t>
        </is>
      </c>
      <c r="B509" s="1" t="n">
        <v>45415</v>
      </c>
      <c r="C509" s="1" t="n">
        <v>46142</v>
      </c>
      <c r="D509" t="inlineStr">
        <is>
          <t>GOTLANDS LÄN</t>
        </is>
      </c>
      <c r="E509" t="inlineStr">
        <is>
          <t>GOTLAND</t>
        </is>
      </c>
      <c r="G509" t="n">
        <v>4.3</v>
      </c>
      <c r="H509" t="n">
        <v>0</v>
      </c>
      <c r="I509" t="n">
        <v>0</v>
      </c>
      <c r="J509" t="n">
        <v>0</v>
      </c>
      <c r="K509" t="n">
        <v>0</v>
      </c>
      <c r="L509" t="n">
        <v>0</v>
      </c>
      <c r="M509" t="n">
        <v>0</v>
      </c>
      <c r="N509" t="n">
        <v>0</v>
      </c>
      <c r="O509" t="n">
        <v>0</v>
      </c>
      <c r="P509" t="n">
        <v>0</v>
      </c>
      <c r="Q509" t="n">
        <v>0</v>
      </c>
      <c r="R509" s="2" t="inlineStr"/>
    </row>
    <row r="510" ht="15" customHeight="1">
      <c r="A510" t="inlineStr">
        <is>
          <t>A 3935-2025</t>
        </is>
      </c>
      <c r="B510" s="1" t="n">
        <v>45684.46070601852</v>
      </c>
      <c r="C510" s="1" t="n">
        <v>46142</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20225-2025</t>
        </is>
      </c>
      <c r="B511" s="1" t="n">
        <v>45772.65802083333</v>
      </c>
      <c r="C511" s="1" t="n">
        <v>46142</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883-2025</t>
        </is>
      </c>
      <c r="B512" s="1" t="n">
        <v>45665</v>
      </c>
      <c r="C512" s="1" t="n">
        <v>46142</v>
      </c>
      <c r="D512" t="inlineStr">
        <is>
          <t>GOTLANDS LÄN</t>
        </is>
      </c>
      <c r="E512" t="inlineStr">
        <is>
          <t>GOTLAND</t>
        </is>
      </c>
      <c r="G512" t="n">
        <v>1.3</v>
      </c>
      <c r="H512" t="n">
        <v>0</v>
      </c>
      <c r="I512" t="n">
        <v>0</v>
      </c>
      <c r="J512" t="n">
        <v>0</v>
      </c>
      <c r="K512" t="n">
        <v>0</v>
      </c>
      <c r="L512" t="n">
        <v>0</v>
      </c>
      <c r="M512" t="n">
        <v>0</v>
      </c>
      <c r="N512" t="n">
        <v>0</v>
      </c>
      <c r="O512" t="n">
        <v>0</v>
      </c>
      <c r="P512" t="n">
        <v>0</v>
      </c>
      <c r="Q512" t="n">
        <v>0</v>
      </c>
      <c r="R512" s="2" t="inlineStr"/>
    </row>
    <row r="513" ht="15" customHeight="1">
      <c r="A513" t="inlineStr">
        <is>
          <t>A 1066-2024</t>
        </is>
      </c>
      <c r="B513" s="1" t="n">
        <v>45302.285</v>
      </c>
      <c r="C513" s="1" t="n">
        <v>46142</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17144-2025</t>
        </is>
      </c>
      <c r="B514" s="1" t="n">
        <v>45755.9499537037</v>
      </c>
      <c r="C514" s="1" t="n">
        <v>46142</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59197-2025</t>
        </is>
      </c>
      <c r="B515" s="1" t="n">
        <v>45988.59846064815</v>
      </c>
      <c r="C515" s="1" t="n">
        <v>46142</v>
      </c>
      <c r="D515" t="inlineStr">
        <is>
          <t>GOTLANDS LÄN</t>
        </is>
      </c>
      <c r="E515" t="inlineStr">
        <is>
          <t>GOTLAND</t>
        </is>
      </c>
      <c r="G515" t="n">
        <v>2.3</v>
      </c>
      <c r="H515" t="n">
        <v>0</v>
      </c>
      <c r="I515" t="n">
        <v>0</v>
      </c>
      <c r="J515" t="n">
        <v>0</v>
      </c>
      <c r="K515" t="n">
        <v>0</v>
      </c>
      <c r="L515" t="n">
        <v>0</v>
      </c>
      <c r="M515" t="n">
        <v>0</v>
      </c>
      <c r="N515" t="n">
        <v>0</v>
      </c>
      <c r="O515" t="n">
        <v>0</v>
      </c>
      <c r="P515" t="n">
        <v>0</v>
      </c>
      <c r="Q515" t="n">
        <v>0</v>
      </c>
      <c r="R515" s="2" t="inlineStr"/>
    </row>
    <row r="516" ht="15" customHeight="1">
      <c r="A516" t="inlineStr">
        <is>
          <t>A 56009-2024</t>
        </is>
      </c>
      <c r="B516" s="1" t="n">
        <v>45623.80864583333</v>
      </c>
      <c r="C516" s="1" t="n">
        <v>46142</v>
      </c>
      <c r="D516" t="inlineStr">
        <is>
          <t>GOTLANDS LÄN</t>
        </is>
      </c>
      <c r="E516" t="inlineStr">
        <is>
          <t>GOTLAND</t>
        </is>
      </c>
      <c r="G516" t="n">
        <v>2.8</v>
      </c>
      <c r="H516" t="n">
        <v>0</v>
      </c>
      <c r="I516" t="n">
        <v>0</v>
      </c>
      <c r="J516" t="n">
        <v>0</v>
      </c>
      <c r="K516" t="n">
        <v>0</v>
      </c>
      <c r="L516" t="n">
        <v>0</v>
      </c>
      <c r="M516" t="n">
        <v>0</v>
      </c>
      <c r="N516" t="n">
        <v>0</v>
      </c>
      <c r="O516" t="n">
        <v>0</v>
      </c>
      <c r="P516" t="n">
        <v>0</v>
      </c>
      <c r="Q516" t="n">
        <v>0</v>
      </c>
      <c r="R516" s="2" t="inlineStr"/>
    </row>
    <row r="517" ht="15" customHeight="1">
      <c r="A517" t="inlineStr">
        <is>
          <t>A 42338-2023</t>
        </is>
      </c>
      <c r="B517" s="1" t="n">
        <v>45180</v>
      </c>
      <c r="C517" s="1" t="n">
        <v>46142</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36319-2025</t>
        </is>
      </c>
      <c r="B518" s="1" t="n">
        <v>45868</v>
      </c>
      <c r="C518" s="1" t="n">
        <v>46142</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581-2023</t>
        </is>
      </c>
      <c r="B519" s="1" t="n">
        <v>44930</v>
      </c>
      <c r="C519" s="1" t="n">
        <v>46142</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61386-2023</t>
        </is>
      </c>
      <c r="B520" s="1" t="n">
        <v>45264</v>
      </c>
      <c r="C520" s="1" t="n">
        <v>46142</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873-2024</t>
        </is>
      </c>
      <c r="B521" s="1" t="n">
        <v>45301</v>
      </c>
      <c r="C521" s="1" t="n">
        <v>46142</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49411-2023</t>
        </is>
      </c>
      <c r="B522" s="1" t="n">
        <v>45205</v>
      </c>
      <c r="C522" s="1" t="n">
        <v>46142</v>
      </c>
      <c r="D522" t="inlineStr">
        <is>
          <t>GOTLANDS LÄN</t>
        </is>
      </c>
      <c r="E522" t="inlineStr">
        <is>
          <t>GOTLAND</t>
        </is>
      </c>
      <c r="G522" t="n">
        <v>2</v>
      </c>
      <c r="H522" t="n">
        <v>0</v>
      </c>
      <c r="I522" t="n">
        <v>0</v>
      </c>
      <c r="J522" t="n">
        <v>0</v>
      </c>
      <c r="K522" t="n">
        <v>0</v>
      </c>
      <c r="L522" t="n">
        <v>0</v>
      </c>
      <c r="M522" t="n">
        <v>0</v>
      </c>
      <c r="N522" t="n">
        <v>0</v>
      </c>
      <c r="O522" t="n">
        <v>0</v>
      </c>
      <c r="P522" t="n">
        <v>0</v>
      </c>
      <c r="Q522" t="n">
        <v>0</v>
      </c>
      <c r="R522" s="2" t="inlineStr"/>
    </row>
    <row r="523" ht="15" customHeight="1">
      <c r="A523" t="inlineStr">
        <is>
          <t>A 22275-2023</t>
        </is>
      </c>
      <c r="B523" s="1" t="n">
        <v>45070.39875</v>
      </c>
      <c r="C523" s="1" t="n">
        <v>46142</v>
      </c>
      <c r="D523" t="inlineStr">
        <is>
          <t>GOTLANDS LÄN</t>
        </is>
      </c>
      <c r="E523" t="inlineStr">
        <is>
          <t>GOTLAND</t>
        </is>
      </c>
      <c r="G523" t="n">
        <v>7.2</v>
      </c>
      <c r="H523" t="n">
        <v>0</v>
      </c>
      <c r="I523" t="n">
        <v>0</v>
      </c>
      <c r="J523" t="n">
        <v>0</v>
      </c>
      <c r="K523" t="n">
        <v>0</v>
      </c>
      <c r="L523" t="n">
        <v>0</v>
      </c>
      <c r="M523" t="n">
        <v>0</v>
      </c>
      <c r="N523" t="n">
        <v>0</v>
      </c>
      <c r="O523" t="n">
        <v>0</v>
      </c>
      <c r="P523" t="n">
        <v>0</v>
      </c>
      <c r="Q523" t="n">
        <v>0</v>
      </c>
      <c r="R523" s="2" t="inlineStr"/>
    </row>
    <row r="524" ht="15" customHeight="1">
      <c r="A524" t="inlineStr">
        <is>
          <t>A 12322-2025</t>
        </is>
      </c>
      <c r="B524" s="1" t="n">
        <v>45730</v>
      </c>
      <c r="C524" s="1" t="n">
        <v>46142</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14797-2024</t>
        </is>
      </c>
      <c r="B525" s="1" t="n">
        <v>45397.87030092593</v>
      </c>
      <c r="C525" s="1" t="n">
        <v>46142</v>
      </c>
      <c r="D525" t="inlineStr">
        <is>
          <t>GOTLANDS LÄN</t>
        </is>
      </c>
      <c r="E525" t="inlineStr">
        <is>
          <t>GOTLAND</t>
        </is>
      </c>
      <c r="G525" t="n">
        <v>8.1</v>
      </c>
      <c r="H525" t="n">
        <v>0</v>
      </c>
      <c r="I525" t="n">
        <v>0</v>
      </c>
      <c r="J525" t="n">
        <v>0</v>
      </c>
      <c r="K525" t="n">
        <v>0</v>
      </c>
      <c r="L525" t="n">
        <v>0</v>
      </c>
      <c r="M525" t="n">
        <v>0</v>
      </c>
      <c r="N525" t="n">
        <v>0</v>
      </c>
      <c r="O525" t="n">
        <v>0</v>
      </c>
      <c r="P525" t="n">
        <v>0</v>
      </c>
      <c r="Q525" t="n">
        <v>0</v>
      </c>
      <c r="R525" s="2" t="inlineStr"/>
    </row>
    <row r="526" ht="15" customHeight="1">
      <c r="A526" t="inlineStr">
        <is>
          <t>A 999-2024</t>
        </is>
      </c>
      <c r="B526" s="1" t="n">
        <v>45301</v>
      </c>
      <c r="C526" s="1" t="n">
        <v>46142</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61596-2023</t>
        </is>
      </c>
      <c r="B527" s="1" t="n">
        <v>45265</v>
      </c>
      <c r="C527" s="1" t="n">
        <v>46142</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14638-2025</t>
        </is>
      </c>
      <c r="B528" s="1" t="n">
        <v>45742</v>
      </c>
      <c r="C528" s="1" t="n">
        <v>46142</v>
      </c>
      <c r="D528" t="inlineStr">
        <is>
          <t>GOTLANDS LÄN</t>
        </is>
      </c>
      <c r="E528" t="inlineStr">
        <is>
          <t>GOTLAND</t>
        </is>
      </c>
      <c r="G528" t="n">
        <v>13.4</v>
      </c>
      <c r="H528" t="n">
        <v>0</v>
      </c>
      <c r="I528" t="n">
        <v>0</v>
      </c>
      <c r="J528" t="n">
        <v>0</v>
      </c>
      <c r="K528" t="n">
        <v>0</v>
      </c>
      <c r="L528" t="n">
        <v>0</v>
      </c>
      <c r="M528" t="n">
        <v>0</v>
      </c>
      <c r="N528" t="n">
        <v>0</v>
      </c>
      <c r="O528" t="n">
        <v>0</v>
      </c>
      <c r="P528" t="n">
        <v>0</v>
      </c>
      <c r="Q528" t="n">
        <v>0</v>
      </c>
      <c r="R528" s="2" t="inlineStr"/>
    </row>
    <row r="529" ht="15" customHeight="1">
      <c r="A529" t="inlineStr">
        <is>
          <t>A 60675-2021</t>
        </is>
      </c>
      <c r="B529" s="1" t="n">
        <v>44496.64855324074</v>
      </c>
      <c r="C529" s="1" t="n">
        <v>46142</v>
      </c>
      <c r="D529" t="inlineStr">
        <is>
          <t>GOTLANDS LÄN</t>
        </is>
      </c>
      <c r="E529" t="inlineStr">
        <is>
          <t>GOTLAND</t>
        </is>
      </c>
      <c r="G529" t="n">
        <v>4.6</v>
      </c>
      <c r="H529" t="n">
        <v>0</v>
      </c>
      <c r="I529" t="n">
        <v>0</v>
      </c>
      <c r="J529" t="n">
        <v>0</v>
      </c>
      <c r="K529" t="n">
        <v>0</v>
      </c>
      <c r="L529" t="n">
        <v>0</v>
      </c>
      <c r="M529" t="n">
        <v>0</v>
      </c>
      <c r="N529" t="n">
        <v>0</v>
      </c>
      <c r="O529" t="n">
        <v>0</v>
      </c>
      <c r="P529" t="n">
        <v>0</v>
      </c>
      <c r="Q529" t="n">
        <v>0</v>
      </c>
      <c r="R529" s="2" t="inlineStr"/>
    </row>
    <row r="530" ht="15" customHeight="1">
      <c r="A530" t="inlineStr">
        <is>
          <t>A 37728-2024</t>
        </is>
      </c>
      <c r="B530" s="1" t="n">
        <v>45541</v>
      </c>
      <c r="C530" s="1" t="n">
        <v>46142</v>
      </c>
      <c r="D530" t="inlineStr">
        <is>
          <t>GOTLANDS LÄN</t>
        </is>
      </c>
      <c r="E530" t="inlineStr">
        <is>
          <t>GOTLAND</t>
        </is>
      </c>
      <c r="G530" t="n">
        <v>0.4</v>
      </c>
      <c r="H530" t="n">
        <v>0</v>
      </c>
      <c r="I530" t="n">
        <v>0</v>
      </c>
      <c r="J530" t="n">
        <v>0</v>
      </c>
      <c r="K530" t="n">
        <v>0</v>
      </c>
      <c r="L530" t="n">
        <v>0</v>
      </c>
      <c r="M530" t="n">
        <v>0</v>
      </c>
      <c r="N530" t="n">
        <v>0</v>
      </c>
      <c r="O530" t="n">
        <v>0</v>
      </c>
      <c r="P530" t="n">
        <v>0</v>
      </c>
      <c r="Q530" t="n">
        <v>0</v>
      </c>
      <c r="R530" s="2" t="inlineStr"/>
    </row>
    <row r="531" ht="15" customHeight="1">
      <c r="A531" t="inlineStr">
        <is>
          <t>A 62066-2025</t>
        </is>
      </c>
      <c r="B531" s="1" t="n">
        <v>46006.34738425926</v>
      </c>
      <c r="C531" s="1" t="n">
        <v>46142</v>
      </c>
      <c r="D531" t="inlineStr">
        <is>
          <t>GOTLANDS LÄN</t>
        </is>
      </c>
      <c r="E531" t="inlineStr">
        <is>
          <t>GOTLAND</t>
        </is>
      </c>
      <c r="G531" t="n">
        <v>1.7</v>
      </c>
      <c r="H531" t="n">
        <v>0</v>
      </c>
      <c r="I531" t="n">
        <v>0</v>
      </c>
      <c r="J531" t="n">
        <v>0</v>
      </c>
      <c r="K531" t="n">
        <v>0</v>
      </c>
      <c r="L531" t="n">
        <v>0</v>
      </c>
      <c r="M531" t="n">
        <v>0</v>
      </c>
      <c r="N531" t="n">
        <v>0</v>
      </c>
      <c r="O531" t="n">
        <v>0</v>
      </c>
      <c r="P531" t="n">
        <v>0</v>
      </c>
      <c r="Q531" t="n">
        <v>0</v>
      </c>
      <c r="R531" s="2" t="inlineStr"/>
    </row>
    <row r="532" ht="15" customHeight="1">
      <c r="A532" t="inlineStr">
        <is>
          <t>A 22287-2022</t>
        </is>
      </c>
      <c r="B532" s="1" t="n">
        <v>44712</v>
      </c>
      <c r="C532" s="1" t="n">
        <v>46142</v>
      </c>
      <c r="D532" t="inlineStr">
        <is>
          <t>GOTLANDS LÄN</t>
        </is>
      </c>
      <c r="E532" t="inlineStr">
        <is>
          <t>GOTLAND</t>
        </is>
      </c>
      <c r="G532" t="n">
        <v>6.1</v>
      </c>
      <c r="H532" t="n">
        <v>0</v>
      </c>
      <c r="I532" t="n">
        <v>0</v>
      </c>
      <c r="J532" t="n">
        <v>0</v>
      </c>
      <c r="K532" t="n">
        <v>0</v>
      </c>
      <c r="L532" t="n">
        <v>0</v>
      </c>
      <c r="M532" t="n">
        <v>0</v>
      </c>
      <c r="N532" t="n">
        <v>0</v>
      </c>
      <c r="O532" t="n">
        <v>0</v>
      </c>
      <c r="P532" t="n">
        <v>0</v>
      </c>
      <c r="Q532" t="n">
        <v>0</v>
      </c>
      <c r="R532" s="2" t="inlineStr"/>
    </row>
    <row r="533" ht="15" customHeight="1">
      <c r="A533" t="inlineStr">
        <is>
          <t>A 62103-2025</t>
        </is>
      </c>
      <c r="B533" s="1" t="n">
        <v>46006</v>
      </c>
      <c r="C533" s="1" t="n">
        <v>46142</v>
      </c>
      <c r="D533" t="inlineStr">
        <is>
          <t>GOTLANDS LÄN</t>
        </is>
      </c>
      <c r="E533" t="inlineStr">
        <is>
          <t>GOTLAND</t>
        </is>
      </c>
      <c r="F533" t="inlineStr">
        <is>
          <t>Övriga Aktiebolag</t>
        </is>
      </c>
      <c r="G533" t="n">
        <v>1.7</v>
      </c>
      <c r="H533" t="n">
        <v>0</v>
      </c>
      <c r="I533" t="n">
        <v>0</v>
      </c>
      <c r="J533" t="n">
        <v>0</v>
      </c>
      <c r="K533" t="n">
        <v>0</v>
      </c>
      <c r="L533" t="n">
        <v>0</v>
      </c>
      <c r="M533" t="n">
        <v>0</v>
      </c>
      <c r="N533" t="n">
        <v>0</v>
      </c>
      <c r="O533" t="n">
        <v>0</v>
      </c>
      <c r="P533" t="n">
        <v>0</v>
      </c>
      <c r="Q533" t="n">
        <v>0</v>
      </c>
      <c r="R533" s="2" t="inlineStr"/>
    </row>
    <row r="534" ht="15" customHeight="1">
      <c r="A534" t="inlineStr">
        <is>
          <t>A 54074-2022</t>
        </is>
      </c>
      <c r="B534" s="1" t="n">
        <v>44881</v>
      </c>
      <c r="C534" s="1" t="n">
        <v>46142</v>
      </c>
      <c r="D534" t="inlineStr">
        <is>
          <t>GOTLANDS LÄN</t>
        </is>
      </c>
      <c r="E534" t="inlineStr">
        <is>
          <t>GOTLAND</t>
        </is>
      </c>
      <c r="G534" t="n">
        <v>0.9</v>
      </c>
      <c r="H534" t="n">
        <v>0</v>
      </c>
      <c r="I534" t="n">
        <v>0</v>
      </c>
      <c r="J534" t="n">
        <v>0</v>
      </c>
      <c r="K534" t="n">
        <v>0</v>
      </c>
      <c r="L534" t="n">
        <v>0</v>
      </c>
      <c r="M534" t="n">
        <v>0</v>
      </c>
      <c r="N534" t="n">
        <v>0</v>
      </c>
      <c r="O534" t="n">
        <v>0</v>
      </c>
      <c r="P534" t="n">
        <v>0</v>
      </c>
      <c r="Q534" t="n">
        <v>0</v>
      </c>
      <c r="R534" s="2" t="inlineStr"/>
    </row>
    <row r="535" ht="15" customHeight="1">
      <c r="A535" t="inlineStr">
        <is>
          <t>A 65249-2023</t>
        </is>
      </c>
      <c r="B535" s="1" t="n">
        <v>45290</v>
      </c>
      <c r="C535" s="1" t="n">
        <v>46142</v>
      </c>
      <c r="D535" t="inlineStr">
        <is>
          <t>GOTLANDS LÄN</t>
        </is>
      </c>
      <c r="E535" t="inlineStr">
        <is>
          <t>GOTLAND</t>
        </is>
      </c>
      <c r="G535" t="n">
        <v>2.4</v>
      </c>
      <c r="H535" t="n">
        <v>0</v>
      </c>
      <c r="I535" t="n">
        <v>0</v>
      </c>
      <c r="J535" t="n">
        <v>0</v>
      </c>
      <c r="K535" t="n">
        <v>0</v>
      </c>
      <c r="L535" t="n">
        <v>0</v>
      </c>
      <c r="M535" t="n">
        <v>0</v>
      </c>
      <c r="N535" t="n">
        <v>0</v>
      </c>
      <c r="O535" t="n">
        <v>0</v>
      </c>
      <c r="P535" t="n">
        <v>0</v>
      </c>
      <c r="Q535" t="n">
        <v>0</v>
      </c>
      <c r="R535" s="2" t="inlineStr"/>
    </row>
    <row r="536" ht="15" customHeight="1">
      <c r="A536" t="inlineStr">
        <is>
          <t>A 63002-2025</t>
        </is>
      </c>
      <c r="B536" s="1" t="n">
        <v>46009.56564814815</v>
      </c>
      <c r="C536" s="1" t="n">
        <v>46142</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13910-2025</t>
        </is>
      </c>
      <c r="B537" s="1" t="n">
        <v>45737</v>
      </c>
      <c r="C537" s="1" t="n">
        <v>46142</v>
      </c>
      <c r="D537" t="inlineStr">
        <is>
          <t>GOTLANDS LÄN</t>
        </is>
      </c>
      <c r="E537" t="inlineStr">
        <is>
          <t>GOTLAND</t>
        </is>
      </c>
      <c r="F537" t="inlineStr">
        <is>
          <t>Kommuner</t>
        </is>
      </c>
      <c r="G537" t="n">
        <v>3.2</v>
      </c>
      <c r="H537" t="n">
        <v>0</v>
      </c>
      <c r="I537" t="n">
        <v>0</v>
      </c>
      <c r="J537" t="n">
        <v>0</v>
      </c>
      <c r="K537" t="n">
        <v>0</v>
      </c>
      <c r="L537" t="n">
        <v>0</v>
      </c>
      <c r="M537" t="n">
        <v>0</v>
      </c>
      <c r="N537" t="n">
        <v>0</v>
      </c>
      <c r="O537" t="n">
        <v>0</v>
      </c>
      <c r="P537" t="n">
        <v>0</v>
      </c>
      <c r="Q537" t="n">
        <v>0</v>
      </c>
      <c r="R537" s="2" t="inlineStr"/>
    </row>
    <row r="538" ht="15" customHeight="1">
      <c r="A538" t="inlineStr">
        <is>
          <t>A 17780-2022</t>
        </is>
      </c>
      <c r="B538" s="1" t="n">
        <v>44682.82622685185</v>
      </c>
      <c r="C538" s="1" t="n">
        <v>46142</v>
      </c>
      <c r="D538" t="inlineStr">
        <is>
          <t>GOTLANDS LÄN</t>
        </is>
      </c>
      <c r="E538" t="inlineStr">
        <is>
          <t>GOTLAND</t>
        </is>
      </c>
      <c r="G538" t="n">
        <v>2.2</v>
      </c>
      <c r="H538" t="n">
        <v>0</v>
      </c>
      <c r="I538" t="n">
        <v>0</v>
      </c>
      <c r="J538" t="n">
        <v>0</v>
      </c>
      <c r="K538" t="n">
        <v>0</v>
      </c>
      <c r="L538" t="n">
        <v>0</v>
      </c>
      <c r="M538" t="n">
        <v>0</v>
      </c>
      <c r="N538" t="n">
        <v>0</v>
      </c>
      <c r="O538" t="n">
        <v>0</v>
      </c>
      <c r="P538" t="n">
        <v>0</v>
      </c>
      <c r="Q538" t="n">
        <v>0</v>
      </c>
      <c r="R538" s="2" t="inlineStr"/>
    </row>
    <row r="539" ht="15" customHeight="1">
      <c r="A539" t="inlineStr">
        <is>
          <t>A 38649-2025</t>
        </is>
      </c>
      <c r="B539" s="1" t="n">
        <v>45884</v>
      </c>
      <c r="C539" s="1" t="n">
        <v>46142</v>
      </c>
      <c r="D539" t="inlineStr">
        <is>
          <t>GOTLANDS LÄN</t>
        </is>
      </c>
      <c r="E539" t="inlineStr">
        <is>
          <t>GOTLAND</t>
        </is>
      </c>
      <c r="G539" t="n">
        <v>1.5</v>
      </c>
      <c r="H539" t="n">
        <v>0</v>
      </c>
      <c r="I539" t="n">
        <v>0</v>
      </c>
      <c r="J539" t="n">
        <v>0</v>
      </c>
      <c r="K539" t="n">
        <v>0</v>
      </c>
      <c r="L539" t="n">
        <v>0</v>
      </c>
      <c r="M539" t="n">
        <v>0</v>
      </c>
      <c r="N539" t="n">
        <v>0</v>
      </c>
      <c r="O539" t="n">
        <v>0</v>
      </c>
      <c r="P539" t="n">
        <v>0</v>
      </c>
      <c r="Q539" t="n">
        <v>0</v>
      </c>
      <c r="R539" s="2" t="inlineStr"/>
    </row>
    <row r="540" ht="15" customHeight="1">
      <c r="A540" t="inlineStr">
        <is>
          <t>A 59986-2022</t>
        </is>
      </c>
      <c r="B540" s="1" t="n">
        <v>44909</v>
      </c>
      <c r="C540" s="1" t="n">
        <v>46142</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61078-2025</t>
        </is>
      </c>
      <c r="B541" s="1" t="n">
        <v>46000</v>
      </c>
      <c r="C541" s="1" t="n">
        <v>46142</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36-2026</t>
        </is>
      </c>
      <c r="B542" s="1" t="n">
        <v>46024.38886574074</v>
      </c>
      <c r="C542" s="1" t="n">
        <v>46142</v>
      </c>
      <c r="D542" t="inlineStr">
        <is>
          <t>GOTLANDS LÄN</t>
        </is>
      </c>
      <c r="E542" t="inlineStr">
        <is>
          <t>GOTLAND</t>
        </is>
      </c>
      <c r="G542" t="n">
        <v>1</v>
      </c>
      <c r="H542" t="n">
        <v>0</v>
      </c>
      <c r="I542" t="n">
        <v>0</v>
      </c>
      <c r="J542" t="n">
        <v>0</v>
      </c>
      <c r="K542" t="n">
        <v>0</v>
      </c>
      <c r="L542" t="n">
        <v>0</v>
      </c>
      <c r="M542" t="n">
        <v>0</v>
      </c>
      <c r="N542" t="n">
        <v>0</v>
      </c>
      <c r="O542" t="n">
        <v>0</v>
      </c>
      <c r="P542" t="n">
        <v>0</v>
      </c>
      <c r="Q542" t="n">
        <v>0</v>
      </c>
      <c r="R542" s="2" t="inlineStr"/>
    </row>
    <row r="543" ht="15" customHeight="1">
      <c r="A543" t="inlineStr">
        <is>
          <t>A 62674-2025</t>
        </is>
      </c>
      <c r="B543" s="1" t="n">
        <v>46008</v>
      </c>
      <c r="C543" s="1" t="n">
        <v>46142</v>
      </c>
      <c r="D543" t="inlineStr">
        <is>
          <t>GOTLANDS LÄN</t>
        </is>
      </c>
      <c r="E543" t="inlineStr">
        <is>
          <t>GOTLAND</t>
        </is>
      </c>
      <c r="G543" t="n">
        <v>5</v>
      </c>
      <c r="H543" t="n">
        <v>0</v>
      </c>
      <c r="I543" t="n">
        <v>0</v>
      </c>
      <c r="J543" t="n">
        <v>0</v>
      </c>
      <c r="K543" t="n">
        <v>0</v>
      </c>
      <c r="L543" t="n">
        <v>0</v>
      </c>
      <c r="M543" t="n">
        <v>0</v>
      </c>
      <c r="N543" t="n">
        <v>0</v>
      </c>
      <c r="O543" t="n">
        <v>0</v>
      </c>
      <c r="P543" t="n">
        <v>0</v>
      </c>
      <c r="Q543" t="n">
        <v>0</v>
      </c>
      <c r="R543" s="2" t="inlineStr"/>
    </row>
    <row r="544" ht="15" customHeight="1">
      <c r="A544" t="inlineStr">
        <is>
          <t>A 11874-2024</t>
        </is>
      </c>
      <c r="B544" s="1" t="n">
        <v>45376.46956018519</v>
      </c>
      <c r="C544" s="1" t="n">
        <v>46142</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42041-2024</t>
        </is>
      </c>
      <c r="B545" s="1" t="n">
        <v>45561</v>
      </c>
      <c r="C545" s="1" t="n">
        <v>46142</v>
      </c>
      <c r="D545" t="inlineStr">
        <is>
          <t>GOTLANDS LÄN</t>
        </is>
      </c>
      <c r="E545" t="inlineStr">
        <is>
          <t>GOTLAND</t>
        </is>
      </c>
      <c r="G545" t="n">
        <v>3.2</v>
      </c>
      <c r="H545" t="n">
        <v>0</v>
      </c>
      <c r="I545" t="n">
        <v>0</v>
      </c>
      <c r="J545" t="n">
        <v>0</v>
      </c>
      <c r="K545" t="n">
        <v>0</v>
      </c>
      <c r="L545" t="n">
        <v>0</v>
      </c>
      <c r="M545" t="n">
        <v>0</v>
      </c>
      <c r="N545" t="n">
        <v>0</v>
      </c>
      <c r="O545" t="n">
        <v>0</v>
      </c>
      <c r="P545" t="n">
        <v>0</v>
      </c>
      <c r="Q545" t="n">
        <v>0</v>
      </c>
      <c r="R545" s="2" t="inlineStr"/>
    </row>
    <row r="546" ht="15" customHeight="1">
      <c r="A546" t="inlineStr">
        <is>
          <t>A 61694-2023</t>
        </is>
      </c>
      <c r="B546" s="1" t="n">
        <v>45264</v>
      </c>
      <c r="C546" s="1" t="n">
        <v>46142</v>
      </c>
      <c r="D546" t="inlineStr">
        <is>
          <t>GOTLANDS LÄN</t>
        </is>
      </c>
      <c r="E546" t="inlineStr">
        <is>
          <t>GOTLAND</t>
        </is>
      </c>
      <c r="G546" t="n">
        <v>4.6</v>
      </c>
      <c r="H546" t="n">
        <v>0</v>
      </c>
      <c r="I546" t="n">
        <v>0</v>
      </c>
      <c r="J546" t="n">
        <v>0</v>
      </c>
      <c r="K546" t="n">
        <v>0</v>
      </c>
      <c r="L546" t="n">
        <v>0</v>
      </c>
      <c r="M546" t="n">
        <v>0</v>
      </c>
      <c r="N546" t="n">
        <v>0</v>
      </c>
      <c r="O546" t="n">
        <v>0</v>
      </c>
      <c r="P546" t="n">
        <v>0</v>
      </c>
      <c r="Q546" t="n">
        <v>0</v>
      </c>
      <c r="R546" s="2" t="inlineStr"/>
    </row>
    <row r="547" ht="15" customHeight="1">
      <c r="A547" t="inlineStr">
        <is>
          <t>A 64555-2023</t>
        </is>
      </c>
      <c r="B547" s="1" t="n">
        <v>45281</v>
      </c>
      <c r="C547" s="1" t="n">
        <v>46142</v>
      </c>
      <c r="D547" t="inlineStr">
        <is>
          <t>GOTLANDS LÄN</t>
        </is>
      </c>
      <c r="E547" t="inlineStr">
        <is>
          <t>GOTLAND</t>
        </is>
      </c>
      <c r="G547" t="n">
        <v>3.5</v>
      </c>
      <c r="H547" t="n">
        <v>0</v>
      </c>
      <c r="I547" t="n">
        <v>0</v>
      </c>
      <c r="J547" t="n">
        <v>0</v>
      </c>
      <c r="K547" t="n">
        <v>0</v>
      </c>
      <c r="L547" t="n">
        <v>0</v>
      </c>
      <c r="M547" t="n">
        <v>0</v>
      </c>
      <c r="N547" t="n">
        <v>0</v>
      </c>
      <c r="O547" t="n">
        <v>0</v>
      </c>
      <c r="P547" t="n">
        <v>0</v>
      </c>
      <c r="Q547" t="n">
        <v>0</v>
      </c>
      <c r="R547" s="2" t="inlineStr"/>
    </row>
    <row r="548" ht="15" customHeight="1">
      <c r="A548" t="inlineStr">
        <is>
          <t>A 64831-2023</t>
        </is>
      </c>
      <c r="B548" s="1" t="n">
        <v>45282.44924768519</v>
      </c>
      <c r="C548" s="1" t="n">
        <v>46142</v>
      </c>
      <c r="D548" t="inlineStr">
        <is>
          <t>GOTLANDS LÄN</t>
        </is>
      </c>
      <c r="E548" t="inlineStr">
        <is>
          <t>GOTLAND</t>
        </is>
      </c>
      <c r="G548" t="n">
        <v>1.9</v>
      </c>
      <c r="H548" t="n">
        <v>0</v>
      </c>
      <c r="I548" t="n">
        <v>0</v>
      </c>
      <c r="J548" t="n">
        <v>0</v>
      </c>
      <c r="K548" t="n">
        <v>0</v>
      </c>
      <c r="L548" t="n">
        <v>0</v>
      </c>
      <c r="M548" t="n">
        <v>0</v>
      </c>
      <c r="N548" t="n">
        <v>0</v>
      </c>
      <c r="O548" t="n">
        <v>0</v>
      </c>
      <c r="P548" t="n">
        <v>0</v>
      </c>
      <c r="Q548" t="n">
        <v>0</v>
      </c>
      <c r="R548" s="2" t="inlineStr"/>
    </row>
    <row r="549" ht="15" customHeight="1">
      <c r="A549" t="inlineStr">
        <is>
          <t>A 999-2023</t>
        </is>
      </c>
      <c r="B549" s="1" t="n">
        <v>44935</v>
      </c>
      <c r="C549" s="1" t="n">
        <v>46142</v>
      </c>
      <c r="D549" t="inlineStr">
        <is>
          <t>GOTLANDS LÄN</t>
        </is>
      </c>
      <c r="E549" t="inlineStr">
        <is>
          <t>GOTLAND</t>
        </is>
      </c>
      <c r="G549" t="n">
        <v>4.7</v>
      </c>
      <c r="H549" t="n">
        <v>0</v>
      </c>
      <c r="I549" t="n">
        <v>0</v>
      </c>
      <c r="J549" t="n">
        <v>0</v>
      </c>
      <c r="K549" t="n">
        <v>0</v>
      </c>
      <c r="L549" t="n">
        <v>0</v>
      </c>
      <c r="M549" t="n">
        <v>0</v>
      </c>
      <c r="N549" t="n">
        <v>0</v>
      </c>
      <c r="O549" t="n">
        <v>0</v>
      </c>
      <c r="P549" t="n">
        <v>0</v>
      </c>
      <c r="Q549" t="n">
        <v>0</v>
      </c>
      <c r="R549" s="2" t="inlineStr"/>
    </row>
    <row r="550" ht="15" customHeight="1">
      <c r="A550" t="inlineStr">
        <is>
          <t>A 27602-2023</t>
        </is>
      </c>
      <c r="B550" s="1" t="n">
        <v>45097</v>
      </c>
      <c r="C550" s="1" t="n">
        <v>46142</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1355-2026</t>
        </is>
      </c>
      <c r="B551" s="1" t="n">
        <v>46031.59909722222</v>
      </c>
      <c r="C551" s="1" t="n">
        <v>46142</v>
      </c>
      <c r="D551" t="inlineStr">
        <is>
          <t>GOTLANDS LÄN</t>
        </is>
      </c>
      <c r="E551" t="inlineStr">
        <is>
          <t>GOTLAND</t>
        </is>
      </c>
      <c r="G551" t="n">
        <v>3.1</v>
      </c>
      <c r="H551" t="n">
        <v>0</v>
      </c>
      <c r="I551" t="n">
        <v>0</v>
      </c>
      <c r="J551" t="n">
        <v>0</v>
      </c>
      <c r="K551" t="n">
        <v>0</v>
      </c>
      <c r="L551" t="n">
        <v>0</v>
      </c>
      <c r="M551" t="n">
        <v>0</v>
      </c>
      <c r="N551" t="n">
        <v>0</v>
      </c>
      <c r="O551" t="n">
        <v>0</v>
      </c>
      <c r="P551" t="n">
        <v>0</v>
      </c>
      <c r="Q551" t="n">
        <v>0</v>
      </c>
      <c r="R551" s="2" t="inlineStr"/>
    </row>
    <row r="552" ht="15" customHeight="1">
      <c r="A552" t="inlineStr">
        <is>
          <t>A 4377-2023</t>
        </is>
      </c>
      <c r="B552" s="1" t="n">
        <v>44955.5502662037</v>
      </c>
      <c r="C552" s="1" t="n">
        <v>46142</v>
      </c>
      <c r="D552" t="inlineStr">
        <is>
          <t>GOTLANDS LÄN</t>
        </is>
      </c>
      <c r="E552" t="inlineStr">
        <is>
          <t>GOTLAND</t>
        </is>
      </c>
      <c r="F552" t="inlineStr">
        <is>
          <t>Kyrkan</t>
        </is>
      </c>
      <c r="G552" t="n">
        <v>0.6</v>
      </c>
      <c r="H552" t="n">
        <v>0</v>
      </c>
      <c r="I552" t="n">
        <v>0</v>
      </c>
      <c r="J552" t="n">
        <v>0</v>
      </c>
      <c r="K552" t="n">
        <v>0</v>
      </c>
      <c r="L552" t="n">
        <v>0</v>
      </c>
      <c r="M552" t="n">
        <v>0</v>
      </c>
      <c r="N552" t="n">
        <v>0</v>
      </c>
      <c r="O552" t="n">
        <v>0</v>
      </c>
      <c r="P552" t="n">
        <v>0</v>
      </c>
      <c r="Q552" t="n">
        <v>0</v>
      </c>
      <c r="R552" s="2" t="inlineStr"/>
    </row>
    <row r="553" ht="15" customHeight="1">
      <c r="A553" t="inlineStr">
        <is>
          <t>A 4387-2023</t>
        </is>
      </c>
      <c r="B553" s="1" t="n">
        <v>44955.73359953704</v>
      </c>
      <c r="C553" s="1" t="n">
        <v>46142</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1898-2026</t>
        </is>
      </c>
      <c r="B554" s="1" t="n">
        <v>46035.52024305556</v>
      </c>
      <c r="C554" s="1" t="n">
        <v>46142</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39479-2022</t>
        </is>
      </c>
      <c r="B555" s="1" t="n">
        <v>44818</v>
      </c>
      <c r="C555" s="1" t="n">
        <v>46142</v>
      </c>
      <c r="D555" t="inlineStr">
        <is>
          <t>GOTLANDS LÄN</t>
        </is>
      </c>
      <c r="E555" t="inlineStr">
        <is>
          <t>GOTLAND</t>
        </is>
      </c>
      <c r="G555" t="n">
        <v>1.1</v>
      </c>
      <c r="H555" t="n">
        <v>0</v>
      </c>
      <c r="I555" t="n">
        <v>0</v>
      </c>
      <c r="J555" t="n">
        <v>0</v>
      </c>
      <c r="K555" t="n">
        <v>0</v>
      </c>
      <c r="L555" t="n">
        <v>0</v>
      </c>
      <c r="M555" t="n">
        <v>0</v>
      </c>
      <c r="N555" t="n">
        <v>0</v>
      </c>
      <c r="O555" t="n">
        <v>0</v>
      </c>
      <c r="P555" t="n">
        <v>0</v>
      </c>
      <c r="Q555" t="n">
        <v>0</v>
      </c>
      <c r="R555" s="2" t="inlineStr"/>
    </row>
    <row r="556" ht="15" customHeight="1">
      <c r="A556" t="inlineStr">
        <is>
          <t>A 51963-2024</t>
        </is>
      </c>
      <c r="B556" s="1" t="n">
        <v>45607.64833333333</v>
      </c>
      <c r="C556" s="1" t="n">
        <v>46142</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811-2023</t>
        </is>
      </c>
      <c r="B557" s="1" t="n">
        <v>44931</v>
      </c>
      <c r="C557" s="1" t="n">
        <v>46142</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46389-2021</t>
        </is>
      </c>
      <c r="B558" s="1" t="n">
        <v>44443</v>
      </c>
      <c r="C558" s="1" t="n">
        <v>46142</v>
      </c>
      <c r="D558" t="inlineStr">
        <is>
          <t>GOTLANDS LÄN</t>
        </is>
      </c>
      <c r="E558" t="inlineStr">
        <is>
          <t>GOTLAND</t>
        </is>
      </c>
      <c r="F558" t="inlineStr">
        <is>
          <t>Kyrkan</t>
        </is>
      </c>
      <c r="G558" t="n">
        <v>2.1</v>
      </c>
      <c r="H558" t="n">
        <v>0</v>
      </c>
      <c r="I558" t="n">
        <v>0</v>
      </c>
      <c r="J558" t="n">
        <v>0</v>
      </c>
      <c r="K558" t="n">
        <v>0</v>
      </c>
      <c r="L558" t="n">
        <v>0</v>
      </c>
      <c r="M558" t="n">
        <v>0</v>
      </c>
      <c r="N558" t="n">
        <v>0</v>
      </c>
      <c r="O558" t="n">
        <v>0</v>
      </c>
      <c r="P558" t="n">
        <v>0</v>
      </c>
      <c r="Q558" t="n">
        <v>0</v>
      </c>
      <c r="R558" s="2" t="inlineStr"/>
    </row>
    <row r="559" ht="15" customHeight="1">
      <c r="A559" t="inlineStr">
        <is>
          <t>A 26810-2021</t>
        </is>
      </c>
      <c r="B559" s="1" t="n">
        <v>44349.55087962963</v>
      </c>
      <c r="C559" s="1" t="n">
        <v>46142</v>
      </c>
      <c r="D559" t="inlineStr">
        <is>
          <t>GOTLANDS LÄN</t>
        </is>
      </c>
      <c r="E559" t="inlineStr">
        <is>
          <t>GOTLAND</t>
        </is>
      </c>
      <c r="G559" t="n">
        <v>3.5</v>
      </c>
      <c r="H559" t="n">
        <v>0</v>
      </c>
      <c r="I559" t="n">
        <v>0</v>
      </c>
      <c r="J559" t="n">
        <v>0</v>
      </c>
      <c r="K559" t="n">
        <v>0</v>
      </c>
      <c r="L559" t="n">
        <v>0</v>
      </c>
      <c r="M559" t="n">
        <v>0</v>
      </c>
      <c r="N559" t="n">
        <v>0</v>
      </c>
      <c r="O559" t="n">
        <v>0</v>
      </c>
      <c r="P559" t="n">
        <v>0</v>
      </c>
      <c r="Q559" t="n">
        <v>0</v>
      </c>
      <c r="R559" s="2" t="inlineStr"/>
    </row>
    <row r="560" ht="15" customHeight="1">
      <c r="A560" t="inlineStr">
        <is>
          <t>A 5923-2023</t>
        </is>
      </c>
      <c r="B560" s="1" t="n">
        <v>44963.69503472222</v>
      </c>
      <c r="C560" s="1" t="n">
        <v>46142</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33853-2024</t>
        </is>
      </c>
      <c r="B561" s="1" t="n">
        <v>45520.64298611111</v>
      </c>
      <c r="C561" s="1" t="n">
        <v>46142</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18918-2025</t>
        </is>
      </c>
      <c r="B562" s="1" t="n">
        <v>45764</v>
      </c>
      <c r="C562" s="1" t="n">
        <v>46142</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2674-2023</t>
        </is>
      </c>
      <c r="B563" s="1" t="n">
        <v>44944</v>
      </c>
      <c r="C563" s="1" t="n">
        <v>46142</v>
      </c>
      <c r="D563" t="inlineStr">
        <is>
          <t>GOTLANDS LÄN</t>
        </is>
      </c>
      <c r="E563" t="inlineStr">
        <is>
          <t>GOTLAND</t>
        </is>
      </c>
      <c r="G563" t="n">
        <v>2.5</v>
      </c>
      <c r="H563" t="n">
        <v>0</v>
      </c>
      <c r="I563" t="n">
        <v>0</v>
      </c>
      <c r="J563" t="n">
        <v>0</v>
      </c>
      <c r="K563" t="n">
        <v>0</v>
      </c>
      <c r="L563" t="n">
        <v>0</v>
      </c>
      <c r="M563" t="n">
        <v>0</v>
      </c>
      <c r="N563" t="n">
        <v>0</v>
      </c>
      <c r="O563" t="n">
        <v>0</v>
      </c>
      <c r="P563" t="n">
        <v>0</v>
      </c>
      <c r="Q563" t="n">
        <v>0</v>
      </c>
      <c r="R563" s="2" t="inlineStr"/>
    </row>
    <row r="564" ht="15" customHeight="1">
      <c r="A564" t="inlineStr">
        <is>
          <t>A 10655-2023</t>
        </is>
      </c>
      <c r="B564" s="1" t="n">
        <v>44988.49543981482</v>
      </c>
      <c r="C564" s="1" t="n">
        <v>46142</v>
      </c>
      <c r="D564" t="inlineStr">
        <is>
          <t>GOTLANDS LÄN</t>
        </is>
      </c>
      <c r="E564" t="inlineStr">
        <is>
          <t>GOTLAND</t>
        </is>
      </c>
      <c r="F564" t="inlineStr">
        <is>
          <t>Kyrkan</t>
        </is>
      </c>
      <c r="G564" t="n">
        <v>2</v>
      </c>
      <c r="H564" t="n">
        <v>0</v>
      </c>
      <c r="I564" t="n">
        <v>0</v>
      </c>
      <c r="J564" t="n">
        <v>0</v>
      </c>
      <c r="K564" t="n">
        <v>0</v>
      </c>
      <c r="L564" t="n">
        <v>0</v>
      </c>
      <c r="M564" t="n">
        <v>0</v>
      </c>
      <c r="N564" t="n">
        <v>0</v>
      </c>
      <c r="O564" t="n">
        <v>0</v>
      </c>
      <c r="P564" t="n">
        <v>0</v>
      </c>
      <c r="Q564" t="n">
        <v>0</v>
      </c>
      <c r="R564" s="2" t="inlineStr"/>
    </row>
    <row r="565" ht="15" customHeight="1">
      <c r="A565" t="inlineStr">
        <is>
          <t>A 2719-2023</t>
        </is>
      </c>
      <c r="B565" s="1" t="n">
        <v>44944.55361111111</v>
      </c>
      <c r="C565" s="1" t="n">
        <v>46142</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26891-2024</t>
        </is>
      </c>
      <c r="B566" s="1" t="n">
        <v>45470.65540509259</v>
      </c>
      <c r="C566" s="1" t="n">
        <v>46142</v>
      </c>
      <c r="D566" t="inlineStr">
        <is>
          <t>GOTLANDS LÄN</t>
        </is>
      </c>
      <c r="E566" t="inlineStr">
        <is>
          <t>GOTLAND</t>
        </is>
      </c>
      <c r="G566" t="n">
        <v>0.8</v>
      </c>
      <c r="H566" t="n">
        <v>0</v>
      </c>
      <c r="I566" t="n">
        <v>0</v>
      </c>
      <c r="J566" t="n">
        <v>0</v>
      </c>
      <c r="K566" t="n">
        <v>0</v>
      </c>
      <c r="L566" t="n">
        <v>0</v>
      </c>
      <c r="M566" t="n">
        <v>0</v>
      </c>
      <c r="N566" t="n">
        <v>0</v>
      </c>
      <c r="O566" t="n">
        <v>0</v>
      </c>
      <c r="P566" t="n">
        <v>0</v>
      </c>
      <c r="Q566" t="n">
        <v>0</v>
      </c>
      <c r="R566" s="2" t="inlineStr"/>
    </row>
    <row r="567" ht="15" customHeight="1">
      <c r="A567" t="inlineStr">
        <is>
          <t>A 42007-2023</t>
        </is>
      </c>
      <c r="B567" s="1" t="n">
        <v>45177</v>
      </c>
      <c r="C567" s="1" t="n">
        <v>46142</v>
      </c>
      <c r="D567" t="inlineStr">
        <is>
          <t>GOTLANDS LÄN</t>
        </is>
      </c>
      <c r="E567" t="inlineStr">
        <is>
          <t>GOTLAND</t>
        </is>
      </c>
      <c r="G567" t="n">
        <v>0.8</v>
      </c>
      <c r="H567" t="n">
        <v>0</v>
      </c>
      <c r="I567" t="n">
        <v>0</v>
      </c>
      <c r="J567" t="n">
        <v>0</v>
      </c>
      <c r="K567" t="n">
        <v>0</v>
      </c>
      <c r="L567" t="n">
        <v>0</v>
      </c>
      <c r="M567" t="n">
        <v>0</v>
      </c>
      <c r="N567" t="n">
        <v>0</v>
      </c>
      <c r="O567" t="n">
        <v>0</v>
      </c>
      <c r="P567" t="n">
        <v>0</v>
      </c>
      <c r="Q567" t="n">
        <v>0</v>
      </c>
      <c r="R567" s="2" t="inlineStr"/>
    </row>
    <row r="568" ht="15" customHeight="1">
      <c r="A568" t="inlineStr">
        <is>
          <t>A 9887-2025</t>
        </is>
      </c>
      <c r="B568" s="1" t="n">
        <v>45716</v>
      </c>
      <c r="C568" s="1" t="n">
        <v>46142</v>
      </c>
      <c r="D568" t="inlineStr">
        <is>
          <t>GOTLANDS LÄN</t>
        </is>
      </c>
      <c r="E568" t="inlineStr">
        <is>
          <t>GOTLAND</t>
        </is>
      </c>
      <c r="G568" t="n">
        <v>7.5</v>
      </c>
      <c r="H568" t="n">
        <v>0</v>
      </c>
      <c r="I568" t="n">
        <v>0</v>
      </c>
      <c r="J568" t="n">
        <v>0</v>
      </c>
      <c r="K568" t="n">
        <v>0</v>
      </c>
      <c r="L568" t="n">
        <v>0</v>
      </c>
      <c r="M568" t="n">
        <v>0</v>
      </c>
      <c r="N568" t="n">
        <v>0</v>
      </c>
      <c r="O568" t="n">
        <v>0</v>
      </c>
      <c r="P568" t="n">
        <v>0</v>
      </c>
      <c r="Q568" t="n">
        <v>0</v>
      </c>
      <c r="R568" s="2" t="inlineStr"/>
    </row>
    <row r="569" ht="15" customHeight="1">
      <c r="A569" t="inlineStr">
        <is>
          <t>A 38165-2023</t>
        </is>
      </c>
      <c r="B569" s="1" t="n">
        <v>45161</v>
      </c>
      <c r="C569" s="1" t="n">
        <v>46142</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27596-2023</t>
        </is>
      </c>
      <c r="B570" s="1" t="n">
        <v>45097</v>
      </c>
      <c r="C570" s="1" t="n">
        <v>46142</v>
      </c>
      <c r="D570" t="inlineStr">
        <is>
          <t>GOTLANDS LÄN</t>
        </is>
      </c>
      <c r="E570" t="inlineStr">
        <is>
          <t>GOTLAND</t>
        </is>
      </c>
      <c r="G570" t="n">
        <v>3.6</v>
      </c>
      <c r="H570" t="n">
        <v>0</v>
      </c>
      <c r="I570" t="n">
        <v>0</v>
      </c>
      <c r="J570" t="n">
        <v>0</v>
      </c>
      <c r="K570" t="n">
        <v>0</v>
      </c>
      <c r="L570" t="n">
        <v>0</v>
      </c>
      <c r="M570" t="n">
        <v>0</v>
      </c>
      <c r="N570" t="n">
        <v>0</v>
      </c>
      <c r="O570" t="n">
        <v>0</v>
      </c>
      <c r="P570" t="n">
        <v>0</v>
      </c>
      <c r="Q570" t="n">
        <v>0</v>
      </c>
      <c r="R570" s="2" t="inlineStr"/>
    </row>
    <row r="571" ht="15" customHeight="1">
      <c r="A571" t="inlineStr">
        <is>
          <t>A 24825-2024</t>
        </is>
      </c>
      <c r="B571" s="1" t="n">
        <v>45461</v>
      </c>
      <c r="C571" s="1" t="n">
        <v>46142</v>
      </c>
      <c r="D571" t="inlineStr">
        <is>
          <t>GOTLANDS LÄN</t>
        </is>
      </c>
      <c r="E571" t="inlineStr">
        <is>
          <t>GOTLAND</t>
        </is>
      </c>
      <c r="G571" t="n">
        <v>1.3</v>
      </c>
      <c r="H571" t="n">
        <v>0</v>
      </c>
      <c r="I571" t="n">
        <v>0</v>
      </c>
      <c r="J571" t="n">
        <v>0</v>
      </c>
      <c r="K571" t="n">
        <v>0</v>
      </c>
      <c r="L571" t="n">
        <v>0</v>
      </c>
      <c r="M571" t="n">
        <v>0</v>
      </c>
      <c r="N571" t="n">
        <v>0</v>
      </c>
      <c r="O571" t="n">
        <v>0</v>
      </c>
      <c r="P571" t="n">
        <v>0</v>
      </c>
      <c r="Q571" t="n">
        <v>0</v>
      </c>
      <c r="R571" s="2" t="inlineStr"/>
    </row>
    <row r="572" ht="15" customHeight="1">
      <c r="A572" t="inlineStr">
        <is>
          <t>A 6696-2023</t>
        </is>
      </c>
      <c r="B572" s="1" t="n">
        <v>44966.66425925926</v>
      </c>
      <c r="C572" s="1" t="n">
        <v>46142</v>
      </c>
      <c r="D572" t="inlineStr">
        <is>
          <t>GOTLANDS LÄN</t>
        </is>
      </c>
      <c r="E572" t="inlineStr">
        <is>
          <t>GOTLAND</t>
        </is>
      </c>
      <c r="G572" t="n">
        <v>1.5</v>
      </c>
      <c r="H572" t="n">
        <v>0</v>
      </c>
      <c r="I572" t="n">
        <v>0</v>
      </c>
      <c r="J572" t="n">
        <v>0</v>
      </c>
      <c r="K572" t="n">
        <v>0</v>
      </c>
      <c r="L572" t="n">
        <v>0</v>
      </c>
      <c r="M572" t="n">
        <v>0</v>
      </c>
      <c r="N572" t="n">
        <v>0</v>
      </c>
      <c r="O572" t="n">
        <v>0</v>
      </c>
      <c r="P572" t="n">
        <v>0</v>
      </c>
      <c r="Q572" t="n">
        <v>0</v>
      </c>
      <c r="R572" s="2" t="inlineStr"/>
    </row>
    <row r="573" ht="15" customHeight="1">
      <c r="A573" t="inlineStr">
        <is>
          <t>A 21247-2022</t>
        </is>
      </c>
      <c r="B573" s="1" t="n">
        <v>44705.38832175926</v>
      </c>
      <c r="C573" s="1" t="n">
        <v>46142</v>
      </c>
      <c r="D573" t="inlineStr">
        <is>
          <t>GOTLANDS LÄN</t>
        </is>
      </c>
      <c r="E573" t="inlineStr">
        <is>
          <t>GOTLAND</t>
        </is>
      </c>
      <c r="G573" t="n">
        <v>16.2</v>
      </c>
      <c r="H573" t="n">
        <v>0</v>
      </c>
      <c r="I573" t="n">
        <v>0</v>
      </c>
      <c r="J573" t="n">
        <v>0</v>
      </c>
      <c r="K573" t="n">
        <v>0</v>
      </c>
      <c r="L573" t="n">
        <v>0</v>
      </c>
      <c r="M573" t="n">
        <v>0</v>
      </c>
      <c r="N573" t="n">
        <v>0</v>
      </c>
      <c r="O573" t="n">
        <v>0</v>
      </c>
      <c r="P573" t="n">
        <v>0</v>
      </c>
      <c r="Q573" t="n">
        <v>0</v>
      </c>
      <c r="R573" s="2" t="inlineStr"/>
    </row>
    <row r="574" ht="15" customHeight="1">
      <c r="A574" t="inlineStr">
        <is>
          <t>A 456-2023</t>
        </is>
      </c>
      <c r="B574" s="1" t="n">
        <v>44929.87122685185</v>
      </c>
      <c r="C574" s="1" t="n">
        <v>46142</v>
      </c>
      <c r="D574" t="inlineStr">
        <is>
          <t>GOTLANDS LÄN</t>
        </is>
      </c>
      <c r="E574" t="inlineStr">
        <is>
          <t>GOTLAND</t>
        </is>
      </c>
      <c r="G574" t="n">
        <v>3.2</v>
      </c>
      <c r="H574" t="n">
        <v>0</v>
      </c>
      <c r="I574" t="n">
        <v>0</v>
      </c>
      <c r="J574" t="n">
        <v>0</v>
      </c>
      <c r="K574" t="n">
        <v>0</v>
      </c>
      <c r="L574" t="n">
        <v>0</v>
      </c>
      <c r="M574" t="n">
        <v>0</v>
      </c>
      <c r="N574" t="n">
        <v>0</v>
      </c>
      <c r="O574" t="n">
        <v>0</v>
      </c>
      <c r="P574" t="n">
        <v>0</v>
      </c>
      <c r="Q574" t="n">
        <v>0</v>
      </c>
      <c r="R574" s="2" t="inlineStr"/>
    </row>
    <row r="575" ht="15" customHeight="1">
      <c r="A575" t="inlineStr">
        <is>
          <t>A 2714-2023</t>
        </is>
      </c>
      <c r="B575" s="1" t="n">
        <v>44944.54896990741</v>
      </c>
      <c r="C575" s="1" t="n">
        <v>46142</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4421-2024</t>
        </is>
      </c>
      <c r="B576" s="1" t="n">
        <v>45327.45173611111</v>
      </c>
      <c r="C576" s="1" t="n">
        <v>46142</v>
      </c>
      <c r="D576" t="inlineStr">
        <is>
          <t>GOTLANDS LÄN</t>
        </is>
      </c>
      <c r="E576" t="inlineStr">
        <is>
          <t>GOTLAND</t>
        </is>
      </c>
      <c r="G576" t="n">
        <v>5.1</v>
      </c>
      <c r="H576" t="n">
        <v>0</v>
      </c>
      <c r="I576" t="n">
        <v>0</v>
      </c>
      <c r="J576" t="n">
        <v>0</v>
      </c>
      <c r="K576" t="n">
        <v>0</v>
      </c>
      <c r="L576" t="n">
        <v>0</v>
      </c>
      <c r="M576" t="n">
        <v>0</v>
      </c>
      <c r="N576" t="n">
        <v>0</v>
      </c>
      <c r="O576" t="n">
        <v>0</v>
      </c>
      <c r="P576" t="n">
        <v>0</v>
      </c>
      <c r="Q576" t="n">
        <v>0</v>
      </c>
      <c r="R576" s="2" t="inlineStr"/>
    </row>
    <row r="577" ht="15" customHeight="1">
      <c r="A577" t="inlineStr">
        <is>
          <t>A 51782-2023</t>
        </is>
      </c>
      <c r="B577" s="1" t="n">
        <v>45222.80952546297</v>
      </c>
      <c r="C577" s="1" t="n">
        <v>46142</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54268-2022</t>
        </is>
      </c>
      <c r="B578" s="1" t="n">
        <v>44882</v>
      </c>
      <c r="C578" s="1" t="n">
        <v>46142</v>
      </c>
      <c r="D578" t="inlineStr">
        <is>
          <t>GOTLANDS LÄN</t>
        </is>
      </c>
      <c r="E578" t="inlineStr">
        <is>
          <t>GOTLAND</t>
        </is>
      </c>
      <c r="G578" t="n">
        <v>2.7</v>
      </c>
      <c r="H578" t="n">
        <v>0</v>
      </c>
      <c r="I578" t="n">
        <v>0</v>
      </c>
      <c r="J578" t="n">
        <v>0</v>
      </c>
      <c r="K578" t="n">
        <v>0</v>
      </c>
      <c r="L578" t="n">
        <v>0</v>
      </c>
      <c r="M578" t="n">
        <v>0</v>
      </c>
      <c r="N578" t="n">
        <v>0</v>
      </c>
      <c r="O578" t="n">
        <v>0</v>
      </c>
      <c r="P578" t="n">
        <v>0</v>
      </c>
      <c r="Q578" t="n">
        <v>0</v>
      </c>
      <c r="R578" s="2" t="inlineStr"/>
    </row>
    <row r="579" ht="15" customHeight="1">
      <c r="A579" t="inlineStr">
        <is>
          <t>A 57534-2022</t>
        </is>
      </c>
      <c r="B579" s="1" t="n">
        <v>44896</v>
      </c>
      <c r="C579" s="1" t="n">
        <v>46142</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25866-2022</t>
        </is>
      </c>
      <c r="B580" s="1" t="n">
        <v>44733</v>
      </c>
      <c r="C580" s="1" t="n">
        <v>46142</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43229-2023</t>
        </is>
      </c>
      <c r="B581" s="1" t="n">
        <v>45183.46704861111</v>
      </c>
      <c r="C581" s="1" t="n">
        <v>46142</v>
      </c>
      <c r="D581" t="inlineStr">
        <is>
          <t>GOTLANDS LÄN</t>
        </is>
      </c>
      <c r="E581" t="inlineStr">
        <is>
          <t>GOTLAND</t>
        </is>
      </c>
      <c r="G581" t="n">
        <v>7.1</v>
      </c>
      <c r="H581" t="n">
        <v>0</v>
      </c>
      <c r="I581" t="n">
        <v>0</v>
      </c>
      <c r="J581" t="n">
        <v>0</v>
      </c>
      <c r="K581" t="n">
        <v>0</v>
      </c>
      <c r="L581" t="n">
        <v>0</v>
      </c>
      <c r="M581" t="n">
        <v>0</v>
      </c>
      <c r="N581" t="n">
        <v>0</v>
      </c>
      <c r="O581" t="n">
        <v>0</v>
      </c>
      <c r="P581" t="n">
        <v>0</v>
      </c>
      <c r="Q581" t="n">
        <v>0</v>
      </c>
      <c r="R581" s="2" t="inlineStr"/>
    </row>
    <row r="582" ht="15" customHeight="1">
      <c r="A582" t="inlineStr">
        <is>
          <t>A 1175-2025</t>
        </is>
      </c>
      <c r="B582" s="1" t="n">
        <v>45667.34449074074</v>
      </c>
      <c r="C582" s="1" t="n">
        <v>46142</v>
      </c>
      <c r="D582" t="inlineStr">
        <is>
          <t>GOTLANDS LÄN</t>
        </is>
      </c>
      <c r="E582" t="inlineStr">
        <is>
          <t>GOTLAND</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27095-2022</t>
        </is>
      </c>
      <c r="B583" s="1" t="n">
        <v>44741</v>
      </c>
      <c r="C583" s="1" t="n">
        <v>46142</v>
      </c>
      <c r="D583" t="inlineStr">
        <is>
          <t>GOTLANDS LÄN</t>
        </is>
      </c>
      <c r="E583" t="inlineStr">
        <is>
          <t>GOTLAND</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46142</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23978-2023</t>
        </is>
      </c>
      <c r="B585" s="1" t="n">
        <v>45078</v>
      </c>
      <c r="C585" s="1" t="n">
        <v>46142</v>
      </c>
      <c r="D585" t="inlineStr">
        <is>
          <t>GOTLANDS LÄN</t>
        </is>
      </c>
      <c r="E585" t="inlineStr">
        <is>
          <t>GOTLAND</t>
        </is>
      </c>
      <c r="F585" t="inlineStr">
        <is>
          <t>Naturvårdsverket</t>
        </is>
      </c>
      <c r="G585" t="n">
        <v>1.7</v>
      </c>
      <c r="H585" t="n">
        <v>0</v>
      </c>
      <c r="I585" t="n">
        <v>0</v>
      </c>
      <c r="J585" t="n">
        <v>0</v>
      </c>
      <c r="K585" t="n">
        <v>0</v>
      </c>
      <c r="L585" t="n">
        <v>0</v>
      </c>
      <c r="M585" t="n">
        <v>0</v>
      </c>
      <c r="N585" t="n">
        <v>0</v>
      </c>
      <c r="O585" t="n">
        <v>0</v>
      </c>
      <c r="P585" t="n">
        <v>0</v>
      </c>
      <c r="Q585" t="n">
        <v>0</v>
      </c>
      <c r="R585" s="2" t="inlineStr"/>
    </row>
    <row r="586" ht="15" customHeight="1">
      <c r="A586" t="inlineStr">
        <is>
          <t>A 34407-2023</t>
        </is>
      </c>
      <c r="B586" s="1" t="n">
        <v>45132</v>
      </c>
      <c r="C586" s="1" t="n">
        <v>46142</v>
      </c>
      <c r="D586" t="inlineStr">
        <is>
          <t>GOTLANDS LÄN</t>
        </is>
      </c>
      <c r="E586" t="inlineStr">
        <is>
          <t>GOTLAND</t>
        </is>
      </c>
      <c r="G586" t="n">
        <v>4.4</v>
      </c>
      <c r="H586" t="n">
        <v>0</v>
      </c>
      <c r="I586" t="n">
        <v>0</v>
      </c>
      <c r="J586" t="n">
        <v>0</v>
      </c>
      <c r="K586" t="n">
        <v>0</v>
      </c>
      <c r="L586" t="n">
        <v>0</v>
      </c>
      <c r="M586" t="n">
        <v>0</v>
      </c>
      <c r="N586" t="n">
        <v>0</v>
      </c>
      <c r="O586" t="n">
        <v>0</v>
      </c>
      <c r="P586" t="n">
        <v>0</v>
      </c>
      <c r="Q586" t="n">
        <v>0</v>
      </c>
      <c r="R586" s="2" t="inlineStr"/>
    </row>
    <row r="587" ht="15" customHeight="1">
      <c r="A587" t="inlineStr">
        <is>
          <t>A 11013-2024</t>
        </is>
      </c>
      <c r="B587" s="1" t="n">
        <v>45370</v>
      </c>
      <c r="C587" s="1" t="n">
        <v>46142</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27694-2024</t>
        </is>
      </c>
      <c r="B588" s="1" t="n">
        <v>45475</v>
      </c>
      <c r="C588" s="1" t="n">
        <v>46142</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15083-2025</t>
        </is>
      </c>
      <c r="B589" s="1" t="n">
        <v>45743</v>
      </c>
      <c r="C589" s="1" t="n">
        <v>46142</v>
      </c>
      <c r="D589" t="inlineStr">
        <is>
          <t>GOTLANDS LÄN</t>
        </is>
      </c>
      <c r="E589" t="inlineStr">
        <is>
          <t>GOTLAND</t>
        </is>
      </c>
      <c r="G589" t="n">
        <v>2.3</v>
      </c>
      <c r="H589" t="n">
        <v>0</v>
      </c>
      <c r="I589" t="n">
        <v>0</v>
      </c>
      <c r="J589" t="n">
        <v>0</v>
      </c>
      <c r="K589" t="n">
        <v>0</v>
      </c>
      <c r="L589" t="n">
        <v>0</v>
      </c>
      <c r="M589" t="n">
        <v>0</v>
      </c>
      <c r="N589" t="n">
        <v>0</v>
      </c>
      <c r="O589" t="n">
        <v>0</v>
      </c>
      <c r="P589" t="n">
        <v>0</v>
      </c>
      <c r="Q589" t="n">
        <v>0</v>
      </c>
      <c r="R589" s="2" t="inlineStr"/>
    </row>
    <row r="590" ht="15" customHeight="1">
      <c r="A590" t="inlineStr">
        <is>
          <t>A 13037-2025</t>
        </is>
      </c>
      <c r="B590" s="1" t="n">
        <v>45734</v>
      </c>
      <c r="C590" s="1" t="n">
        <v>46142</v>
      </c>
      <c r="D590" t="inlineStr">
        <is>
          <t>GOTLANDS LÄN</t>
        </is>
      </c>
      <c r="E590" t="inlineStr">
        <is>
          <t>GOTLAND</t>
        </is>
      </c>
      <c r="G590" t="n">
        <v>9.5</v>
      </c>
      <c r="H590" t="n">
        <v>0</v>
      </c>
      <c r="I590" t="n">
        <v>0</v>
      </c>
      <c r="J590" t="n">
        <v>0</v>
      </c>
      <c r="K590" t="n">
        <v>0</v>
      </c>
      <c r="L590" t="n">
        <v>0</v>
      </c>
      <c r="M590" t="n">
        <v>0</v>
      </c>
      <c r="N590" t="n">
        <v>0</v>
      </c>
      <c r="O590" t="n">
        <v>0</v>
      </c>
      <c r="P590" t="n">
        <v>0</v>
      </c>
      <c r="Q590" t="n">
        <v>0</v>
      </c>
      <c r="R590" s="2" t="inlineStr"/>
    </row>
    <row r="591" ht="15" customHeight="1">
      <c r="A591" t="inlineStr">
        <is>
          <t>A 458-2023</t>
        </is>
      </c>
      <c r="B591" s="1" t="n">
        <v>44929</v>
      </c>
      <c r="C591" s="1" t="n">
        <v>46142</v>
      </c>
      <c r="D591" t="inlineStr">
        <is>
          <t>GOTLANDS LÄN</t>
        </is>
      </c>
      <c r="E591" t="inlineStr">
        <is>
          <t>GOTLAND</t>
        </is>
      </c>
      <c r="G591" t="n">
        <v>3.6</v>
      </c>
      <c r="H591" t="n">
        <v>0</v>
      </c>
      <c r="I591" t="n">
        <v>0</v>
      </c>
      <c r="J591" t="n">
        <v>0</v>
      </c>
      <c r="K591" t="n">
        <v>0</v>
      </c>
      <c r="L591" t="n">
        <v>0</v>
      </c>
      <c r="M591" t="n">
        <v>0</v>
      </c>
      <c r="N591" t="n">
        <v>0</v>
      </c>
      <c r="O591" t="n">
        <v>0</v>
      </c>
      <c r="P591" t="n">
        <v>0</v>
      </c>
      <c r="Q591" t="n">
        <v>0</v>
      </c>
      <c r="R591" s="2" t="inlineStr"/>
    </row>
    <row r="592" ht="15" customHeight="1">
      <c r="A592" t="inlineStr">
        <is>
          <t>A 44228-2022</t>
        </is>
      </c>
      <c r="B592" s="1" t="n">
        <v>44839.51599537037</v>
      </c>
      <c r="C592" s="1" t="n">
        <v>46142</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58132-2023</t>
        </is>
      </c>
      <c r="B593" s="1" t="n">
        <v>45250</v>
      </c>
      <c r="C593" s="1" t="n">
        <v>46142</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49884-2023</t>
        </is>
      </c>
      <c r="B594" s="1" t="n">
        <v>45213</v>
      </c>
      <c r="C594" s="1" t="n">
        <v>46142</v>
      </c>
      <c r="D594" t="inlineStr">
        <is>
          <t>GOTLANDS LÄN</t>
        </is>
      </c>
      <c r="E594" t="inlineStr">
        <is>
          <t>GOTLAND</t>
        </is>
      </c>
      <c r="G594" t="n">
        <v>8.9</v>
      </c>
      <c r="H594" t="n">
        <v>0</v>
      </c>
      <c r="I594" t="n">
        <v>0</v>
      </c>
      <c r="J594" t="n">
        <v>0</v>
      </c>
      <c r="K594" t="n">
        <v>0</v>
      </c>
      <c r="L594" t="n">
        <v>0</v>
      </c>
      <c r="M594" t="n">
        <v>0</v>
      </c>
      <c r="N594" t="n">
        <v>0</v>
      </c>
      <c r="O594" t="n">
        <v>0</v>
      </c>
      <c r="P594" t="n">
        <v>0</v>
      </c>
      <c r="Q594" t="n">
        <v>0</v>
      </c>
      <c r="R594" s="2" t="inlineStr"/>
    </row>
    <row r="595" ht="15" customHeight="1">
      <c r="A595" t="inlineStr">
        <is>
          <t>A 876-2024</t>
        </is>
      </c>
      <c r="B595" s="1" t="n">
        <v>45301</v>
      </c>
      <c r="C595" s="1" t="n">
        <v>46142</v>
      </c>
      <c r="D595" t="inlineStr">
        <is>
          <t>GOTLANDS LÄN</t>
        </is>
      </c>
      <c r="E595" t="inlineStr">
        <is>
          <t>GOTLAND</t>
        </is>
      </c>
      <c r="G595" t="n">
        <v>5.3</v>
      </c>
      <c r="H595" t="n">
        <v>0</v>
      </c>
      <c r="I595" t="n">
        <v>0</v>
      </c>
      <c r="J595" t="n">
        <v>0</v>
      </c>
      <c r="K595" t="n">
        <v>0</v>
      </c>
      <c r="L595" t="n">
        <v>0</v>
      </c>
      <c r="M595" t="n">
        <v>0</v>
      </c>
      <c r="N595" t="n">
        <v>0</v>
      </c>
      <c r="O595" t="n">
        <v>0</v>
      </c>
      <c r="P595" t="n">
        <v>0</v>
      </c>
      <c r="Q595" t="n">
        <v>0</v>
      </c>
      <c r="R595" s="2" t="inlineStr"/>
    </row>
    <row r="596" ht="15" customHeight="1">
      <c r="A596" t="inlineStr">
        <is>
          <t>A 22704-2023</t>
        </is>
      </c>
      <c r="B596" s="1" t="n">
        <v>45071</v>
      </c>
      <c r="C596" s="1" t="n">
        <v>46142</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28425-2023</t>
        </is>
      </c>
      <c r="B597" s="1" t="n">
        <v>45102</v>
      </c>
      <c r="C597" s="1" t="n">
        <v>46142</v>
      </c>
      <c r="D597" t="inlineStr">
        <is>
          <t>GOTLANDS LÄN</t>
        </is>
      </c>
      <c r="E597" t="inlineStr">
        <is>
          <t>GOTLAND</t>
        </is>
      </c>
      <c r="G597" t="n">
        <v>0.5</v>
      </c>
      <c r="H597" t="n">
        <v>0</v>
      </c>
      <c r="I597" t="n">
        <v>0</v>
      </c>
      <c r="J597" t="n">
        <v>0</v>
      </c>
      <c r="K597" t="n">
        <v>0</v>
      </c>
      <c r="L597" t="n">
        <v>0</v>
      </c>
      <c r="M597" t="n">
        <v>0</v>
      </c>
      <c r="N597" t="n">
        <v>0</v>
      </c>
      <c r="O597" t="n">
        <v>0</v>
      </c>
      <c r="P597" t="n">
        <v>0</v>
      </c>
      <c r="Q597" t="n">
        <v>0</v>
      </c>
      <c r="R597" s="2" t="inlineStr"/>
    </row>
    <row r="598" ht="15" customHeight="1">
      <c r="A598" t="inlineStr">
        <is>
          <t>A 58476-2022</t>
        </is>
      </c>
      <c r="B598" s="1" t="n">
        <v>44902</v>
      </c>
      <c r="C598" s="1" t="n">
        <v>46142</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43200-2023</t>
        </is>
      </c>
      <c r="B599" s="1" t="n">
        <v>45183</v>
      </c>
      <c r="C599" s="1" t="n">
        <v>46142</v>
      </c>
      <c r="D599" t="inlineStr">
        <is>
          <t>GOTLANDS LÄN</t>
        </is>
      </c>
      <c r="E599" t="inlineStr">
        <is>
          <t>GOTLAND</t>
        </is>
      </c>
      <c r="G599" t="n">
        <v>0.5</v>
      </c>
      <c r="H599" t="n">
        <v>0</v>
      </c>
      <c r="I599" t="n">
        <v>0</v>
      </c>
      <c r="J599" t="n">
        <v>0</v>
      </c>
      <c r="K599" t="n">
        <v>0</v>
      </c>
      <c r="L599" t="n">
        <v>0</v>
      </c>
      <c r="M599" t="n">
        <v>0</v>
      </c>
      <c r="N599" t="n">
        <v>0</v>
      </c>
      <c r="O599" t="n">
        <v>0</v>
      </c>
      <c r="P599" t="n">
        <v>0</v>
      </c>
      <c r="Q599" t="n">
        <v>0</v>
      </c>
      <c r="R599" s="2" t="inlineStr"/>
    </row>
    <row r="600" ht="15" customHeight="1">
      <c r="A600" t="inlineStr">
        <is>
          <t>A 43223-2023</t>
        </is>
      </c>
      <c r="B600" s="1" t="n">
        <v>45183.45642361111</v>
      </c>
      <c r="C600" s="1" t="n">
        <v>46142</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12327-2025</t>
        </is>
      </c>
      <c r="B601" s="1" t="n">
        <v>45730</v>
      </c>
      <c r="C601" s="1" t="n">
        <v>46142</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3431-2025</t>
        </is>
      </c>
      <c r="B602" s="1" t="n">
        <v>45680.42935185185</v>
      </c>
      <c r="C602" s="1" t="n">
        <v>46142</v>
      </c>
      <c r="D602" t="inlineStr">
        <is>
          <t>GOTLANDS LÄN</t>
        </is>
      </c>
      <c r="E602" t="inlineStr">
        <is>
          <t>GOTLAND</t>
        </is>
      </c>
      <c r="G602" t="n">
        <v>4.8</v>
      </c>
      <c r="H602" t="n">
        <v>0</v>
      </c>
      <c r="I602" t="n">
        <v>0</v>
      </c>
      <c r="J602" t="n">
        <v>0</v>
      </c>
      <c r="K602" t="n">
        <v>0</v>
      </c>
      <c r="L602" t="n">
        <v>0</v>
      </c>
      <c r="M602" t="n">
        <v>0</v>
      </c>
      <c r="N602" t="n">
        <v>0</v>
      </c>
      <c r="O602" t="n">
        <v>0</v>
      </c>
      <c r="P602" t="n">
        <v>0</v>
      </c>
      <c r="Q602" t="n">
        <v>0</v>
      </c>
      <c r="R602" s="2" t="inlineStr"/>
    </row>
    <row r="603" ht="15" customHeight="1">
      <c r="A603" t="inlineStr">
        <is>
          <t>A 12209-2024</t>
        </is>
      </c>
      <c r="B603" s="1" t="n">
        <v>45378</v>
      </c>
      <c r="C603" s="1" t="n">
        <v>46142</v>
      </c>
      <c r="D603" t="inlineStr">
        <is>
          <t>GOTLANDS LÄN</t>
        </is>
      </c>
      <c r="E603" t="inlineStr">
        <is>
          <t>GOTLAND</t>
        </is>
      </c>
      <c r="G603" t="n">
        <v>5.3</v>
      </c>
      <c r="H603" t="n">
        <v>0</v>
      </c>
      <c r="I603" t="n">
        <v>0</v>
      </c>
      <c r="J603" t="n">
        <v>0</v>
      </c>
      <c r="K603" t="n">
        <v>0</v>
      </c>
      <c r="L603" t="n">
        <v>0</v>
      </c>
      <c r="M603" t="n">
        <v>0</v>
      </c>
      <c r="N603" t="n">
        <v>0</v>
      </c>
      <c r="O603" t="n">
        <v>0</v>
      </c>
      <c r="P603" t="n">
        <v>0</v>
      </c>
      <c r="Q603" t="n">
        <v>0</v>
      </c>
      <c r="R603" s="2" t="inlineStr"/>
    </row>
    <row r="604" ht="15" customHeight="1">
      <c r="A604" t="inlineStr">
        <is>
          <t>A 12210-2024</t>
        </is>
      </c>
      <c r="B604" s="1" t="n">
        <v>45378</v>
      </c>
      <c r="C604" s="1" t="n">
        <v>46142</v>
      </c>
      <c r="D604" t="inlineStr">
        <is>
          <t>GOTLANDS LÄN</t>
        </is>
      </c>
      <c r="E604" t="inlineStr">
        <is>
          <t>GOTLAND</t>
        </is>
      </c>
      <c r="G604" t="n">
        <v>4.1</v>
      </c>
      <c r="H604" t="n">
        <v>0</v>
      </c>
      <c r="I604" t="n">
        <v>0</v>
      </c>
      <c r="J604" t="n">
        <v>0</v>
      </c>
      <c r="K604" t="n">
        <v>0</v>
      </c>
      <c r="L604" t="n">
        <v>0</v>
      </c>
      <c r="M604" t="n">
        <v>0</v>
      </c>
      <c r="N604" t="n">
        <v>0</v>
      </c>
      <c r="O604" t="n">
        <v>0</v>
      </c>
      <c r="P604" t="n">
        <v>0</v>
      </c>
      <c r="Q604" t="n">
        <v>0</v>
      </c>
      <c r="R604" s="2" t="inlineStr"/>
    </row>
    <row r="605" ht="15" customHeight="1">
      <c r="A605" t="inlineStr">
        <is>
          <t>A 1364-2025</t>
        </is>
      </c>
      <c r="B605" s="1" t="n">
        <v>45667.63929398148</v>
      </c>
      <c r="C605" s="1" t="n">
        <v>46142</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15042-2025</t>
        </is>
      </c>
      <c r="B606" s="1" t="n">
        <v>45743</v>
      </c>
      <c r="C606" s="1" t="n">
        <v>46142</v>
      </c>
      <c r="D606" t="inlineStr">
        <is>
          <t>GOTLANDS LÄN</t>
        </is>
      </c>
      <c r="E606" t="inlineStr">
        <is>
          <t>GOTLAND</t>
        </is>
      </c>
      <c r="G606" t="n">
        <v>8.5</v>
      </c>
      <c r="H606" t="n">
        <v>0</v>
      </c>
      <c r="I606" t="n">
        <v>0</v>
      </c>
      <c r="J606" t="n">
        <v>0</v>
      </c>
      <c r="K606" t="n">
        <v>0</v>
      </c>
      <c r="L606" t="n">
        <v>0</v>
      </c>
      <c r="M606" t="n">
        <v>0</v>
      </c>
      <c r="N606" t="n">
        <v>0</v>
      </c>
      <c r="O606" t="n">
        <v>0</v>
      </c>
      <c r="P606" t="n">
        <v>0</v>
      </c>
      <c r="Q606" t="n">
        <v>0</v>
      </c>
      <c r="R606" s="2" t="inlineStr"/>
    </row>
    <row r="607" ht="15" customHeight="1">
      <c r="A607" t="inlineStr">
        <is>
          <t>A 2180-2025</t>
        </is>
      </c>
      <c r="B607" s="1" t="n">
        <v>45673</v>
      </c>
      <c r="C607" s="1" t="n">
        <v>46142</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15436-2025</t>
        </is>
      </c>
      <c r="B608" s="1" t="n">
        <v>45747.47462962963</v>
      </c>
      <c r="C608" s="1" t="n">
        <v>46142</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ht="15" customHeight="1">
      <c r="A609" t="inlineStr">
        <is>
          <t>A 49257-2024</t>
        </is>
      </c>
      <c r="B609" s="1" t="n">
        <v>45595.47627314815</v>
      </c>
      <c r="C609" s="1" t="n">
        <v>46142</v>
      </c>
      <c r="D609" t="inlineStr">
        <is>
          <t>GOTLANDS LÄN</t>
        </is>
      </c>
      <c r="E609" t="inlineStr">
        <is>
          <t>GOTLAND</t>
        </is>
      </c>
      <c r="G609" t="n">
        <v>6.3</v>
      </c>
      <c r="H609" t="n">
        <v>0</v>
      </c>
      <c r="I609" t="n">
        <v>0</v>
      </c>
      <c r="J609" t="n">
        <v>0</v>
      </c>
      <c r="K609" t="n">
        <v>0</v>
      </c>
      <c r="L609" t="n">
        <v>0</v>
      </c>
      <c r="M609" t="n">
        <v>0</v>
      </c>
      <c r="N609" t="n">
        <v>0</v>
      </c>
      <c r="O609" t="n">
        <v>0</v>
      </c>
      <c r="P609" t="n">
        <v>0</v>
      </c>
      <c r="Q609" t="n">
        <v>0</v>
      </c>
      <c r="R609" s="2" t="inlineStr"/>
    </row>
    <row r="610" ht="15" customHeight="1">
      <c r="A610" t="inlineStr">
        <is>
          <t>A 37202-2024</t>
        </is>
      </c>
      <c r="B610" s="1" t="n">
        <v>45539.67310185185</v>
      </c>
      <c r="C610" s="1" t="n">
        <v>46142</v>
      </c>
      <c r="D610" t="inlineStr">
        <is>
          <t>GOTLANDS LÄN</t>
        </is>
      </c>
      <c r="E610" t="inlineStr">
        <is>
          <t>GOTLAND</t>
        </is>
      </c>
      <c r="G610" t="n">
        <v>0.3</v>
      </c>
      <c r="H610" t="n">
        <v>0</v>
      </c>
      <c r="I610" t="n">
        <v>0</v>
      </c>
      <c r="J610" t="n">
        <v>0</v>
      </c>
      <c r="K610" t="n">
        <v>0</v>
      </c>
      <c r="L610" t="n">
        <v>0</v>
      </c>
      <c r="M610" t="n">
        <v>0</v>
      </c>
      <c r="N610" t="n">
        <v>0</v>
      </c>
      <c r="O610" t="n">
        <v>0</v>
      </c>
      <c r="P610" t="n">
        <v>0</v>
      </c>
      <c r="Q610" t="n">
        <v>0</v>
      </c>
      <c r="R610" s="2" t="inlineStr"/>
    </row>
    <row r="611" ht="15" customHeight="1">
      <c r="A611" t="inlineStr">
        <is>
          <t>A 56115-2023</t>
        </is>
      </c>
      <c r="B611" s="1" t="n">
        <v>45236</v>
      </c>
      <c r="C611" s="1" t="n">
        <v>46142</v>
      </c>
      <c r="D611" t="inlineStr">
        <is>
          <t>GOTLANDS LÄN</t>
        </is>
      </c>
      <c r="E611" t="inlineStr">
        <is>
          <t>GOTLAND</t>
        </is>
      </c>
      <c r="G611" t="n">
        <v>2</v>
      </c>
      <c r="H611" t="n">
        <v>0</v>
      </c>
      <c r="I611" t="n">
        <v>0</v>
      </c>
      <c r="J611" t="n">
        <v>0</v>
      </c>
      <c r="K611" t="n">
        <v>0</v>
      </c>
      <c r="L611" t="n">
        <v>0</v>
      </c>
      <c r="M611" t="n">
        <v>0</v>
      </c>
      <c r="N611" t="n">
        <v>0</v>
      </c>
      <c r="O611" t="n">
        <v>0</v>
      </c>
      <c r="P611" t="n">
        <v>0</v>
      </c>
      <c r="Q611" t="n">
        <v>0</v>
      </c>
      <c r="R611" s="2" t="inlineStr"/>
    </row>
    <row r="612" ht="15" customHeight="1">
      <c r="A612" t="inlineStr">
        <is>
          <t>A 2774-2024</t>
        </is>
      </c>
      <c r="B612" s="1" t="n">
        <v>45314.62375</v>
      </c>
      <c r="C612" s="1" t="n">
        <v>46142</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60709-2023</t>
        </is>
      </c>
      <c r="B613" s="1" t="n">
        <v>45260</v>
      </c>
      <c r="C613" s="1" t="n">
        <v>46142</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64208-2021</t>
        </is>
      </c>
      <c r="B614" s="1" t="n">
        <v>44510</v>
      </c>
      <c r="C614" s="1" t="n">
        <v>46142</v>
      </c>
      <c r="D614" t="inlineStr">
        <is>
          <t>GOTLANDS LÄN</t>
        </is>
      </c>
      <c r="E614" t="inlineStr">
        <is>
          <t>GOTLAND</t>
        </is>
      </c>
      <c r="G614" t="n">
        <v>4.7</v>
      </c>
      <c r="H614" t="n">
        <v>0</v>
      </c>
      <c r="I614" t="n">
        <v>0</v>
      </c>
      <c r="J614" t="n">
        <v>0</v>
      </c>
      <c r="K614" t="n">
        <v>0</v>
      </c>
      <c r="L614" t="n">
        <v>0</v>
      </c>
      <c r="M614" t="n">
        <v>0</v>
      </c>
      <c r="N614" t="n">
        <v>0</v>
      </c>
      <c r="O614" t="n">
        <v>0</v>
      </c>
      <c r="P614" t="n">
        <v>0</v>
      </c>
      <c r="Q614" t="n">
        <v>0</v>
      </c>
      <c r="R614" s="2" t="inlineStr"/>
    </row>
    <row r="615" ht="15" customHeight="1">
      <c r="A615" t="inlineStr">
        <is>
          <t>A 39764-2022</t>
        </is>
      </c>
      <c r="B615" s="1" t="n">
        <v>44819</v>
      </c>
      <c r="C615" s="1" t="n">
        <v>46142</v>
      </c>
      <c r="D615" t="inlineStr">
        <is>
          <t>GOTLANDS LÄN</t>
        </is>
      </c>
      <c r="E615" t="inlineStr">
        <is>
          <t>GOTLAND</t>
        </is>
      </c>
      <c r="F615" t="inlineStr">
        <is>
          <t>Kyrkan</t>
        </is>
      </c>
      <c r="G615" t="n">
        <v>3.7</v>
      </c>
      <c r="H615" t="n">
        <v>0</v>
      </c>
      <c r="I615" t="n">
        <v>0</v>
      </c>
      <c r="J615" t="n">
        <v>0</v>
      </c>
      <c r="K615" t="n">
        <v>0</v>
      </c>
      <c r="L615" t="n">
        <v>0</v>
      </c>
      <c r="M615" t="n">
        <v>0</v>
      </c>
      <c r="N615" t="n">
        <v>0</v>
      </c>
      <c r="O615" t="n">
        <v>0</v>
      </c>
      <c r="P615" t="n">
        <v>0</v>
      </c>
      <c r="Q615" t="n">
        <v>0</v>
      </c>
      <c r="R615" s="2" t="inlineStr"/>
    </row>
    <row r="616" ht="15" customHeight="1">
      <c r="A616" t="inlineStr">
        <is>
          <t>A 58211-2024</t>
        </is>
      </c>
      <c r="B616" s="1" t="n">
        <v>45632.49292824074</v>
      </c>
      <c r="C616" s="1" t="n">
        <v>46142</v>
      </c>
      <c r="D616" t="inlineStr">
        <is>
          <t>GOTLANDS LÄN</t>
        </is>
      </c>
      <c r="E616" t="inlineStr">
        <is>
          <t>GOTLAND</t>
        </is>
      </c>
      <c r="G616" t="n">
        <v>5.4</v>
      </c>
      <c r="H616" t="n">
        <v>0</v>
      </c>
      <c r="I616" t="n">
        <v>0</v>
      </c>
      <c r="J616" t="n">
        <v>0</v>
      </c>
      <c r="K616" t="n">
        <v>0</v>
      </c>
      <c r="L616" t="n">
        <v>0</v>
      </c>
      <c r="M616" t="n">
        <v>0</v>
      </c>
      <c r="N616" t="n">
        <v>0</v>
      </c>
      <c r="O616" t="n">
        <v>0</v>
      </c>
      <c r="P616" t="n">
        <v>0</v>
      </c>
      <c r="Q616" t="n">
        <v>0</v>
      </c>
      <c r="R616" s="2" t="inlineStr"/>
    </row>
    <row r="617" ht="15" customHeight="1">
      <c r="A617" t="inlineStr">
        <is>
          <t>A 30956-2024</t>
        </is>
      </c>
      <c r="B617" s="1" t="n">
        <v>45499.42527777778</v>
      </c>
      <c r="C617" s="1" t="n">
        <v>46142</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30892-2024</t>
        </is>
      </c>
      <c r="B618" s="1" t="n">
        <v>45491</v>
      </c>
      <c r="C618" s="1" t="n">
        <v>46142</v>
      </c>
      <c r="D618" t="inlineStr">
        <is>
          <t>GOTLANDS LÄN</t>
        </is>
      </c>
      <c r="E618" t="inlineStr">
        <is>
          <t>GOTLAND</t>
        </is>
      </c>
      <c r="G618" t="n">
        <v>6.1</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45013.69365740741</v>
      </c>
      <c r="C619" s="1" t="n">
        <v>46142</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59469-2024</t>
        </is>
      </c>
      <c r="B620" s="1" t="n">
        <v>45638</v>
      </c>
      <c r="C620" s="1" t="n">
        <v>46142</v>
      </c>
      <c r="D620" t="inlineStr">
        <is>
          <t>GOTLANDS LÄN</t>
        </is>
      </c>
      <c r="E620" t="inlineStr">
        <is>
          <t>GOTLAND</t>
        </is>
      </c>
      <c r="G620" t="n">
        <v>0.4</v>
      </c>
      <c r="H620" t="n">
        <v>0</v>
      </c>
      <c r="I620" t="n">
        <v>0</v>
      </c>
      <c r="J620" t="n">
        <v>0</v>
      </c>
      <c r="K620" t="n">
        <v>0</v>
      </c>
      <c r="L620" t="n">
        <v>0</v>
      </c>
      <c r="M620" t="n">
        <v>0</v>
      </c>
      <c r="N620" t="n">
        <v>0</v>
      </c>
      <c r="O620" t="n">
        <v>0</v>
      </c>
      <c r="P620" t="n">
        <v>0</v>
      </c>
      <c r="Q620" t="n">
        <v>0</v>
      </c>
      <c r="R620" s="2" t="inlineStr"/>
    </row>
    <row r="621" ht="15" customHeight="1">
      <c r="A621" t="inlineStr">
        <is>
          <t>A 7858-2025</t>
        </is>
      </c>
      <c r="B621" s="1" t="n">
        <v>45706.68633101852</v>
      </c>
      <c r="C621" s="1" t="n">
        <v>46142</v>
      </c>
      <c r="D621" t="inlineStr">
        <is>
          <t>GOTLANDS LÄN</t>
        </is>
      </c>
      <c r="E621" t="inlineStr">
        <is>
          <t>GOTLAND</t>
        </is>
      </c>
      <c r="G621" t="n">
        <v>3</v>
      </c>
      <c r="H621" t="n">
        <v>0</v>
      </c>
      <c r="I621" t="n">
        <v>0</v>
      </c>
      <c r="J621" t="n">
        <v>0</v>
      </c>
      <c r="K621" t="n">
        <v>0</v>
      </c>
      <c r="L621" t="n">
        <v>0</v>
      </c>
      <c r="M621" t="n">
        <v>0</v>
      </c>
      <c r="N621" t="n">
        <v>0</v>
      </c>
      <c r="O621" t="n">
        <v>0</v>
      </c>
      <c r="P621" t="n">
        <v>0</v>
      </c>
      <c r="Q621" t="n">
        <v>0</v>
      </c>
      <c r="R621" s="2" t="inlineStr"/>
    </row>
    <row r="622" ht="15" customHeight="1">
      <c r="A622" t="inlineStr">
        <is>
          <t>A 53935-2024</t>
        </is>
      </c>
      <c r="B622" s="1" t="n">
        <v>45615</v>
      </c>
      <c r="C622" s="1" t="n">
        <v>46142</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18223-2025</t>
        </is>
      </c>
      <c r="B623" s="1" t="n">
        <v>45761</v>
      </c>
      <c r="C623" s="1" t="n">
        <v>46142</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4420-2025</t>
        </is>
      </c>
      <c r="B624" s="1" t="n">
        <v>45686.47157407407</v>
      </c>
      <c r="C624" s="1" t="n">
        <v>46142</v>
      </c>
      <c r="D624" t="inlineStr">
        <is>
          <t>GOTLANDS LÄN</t>
        </is>
      </c>
      <c r="E624" t="inlineStr">
        <is>
          <t>GOTLAND</t>
        </is>
      </c>
      <c r="G624" t="n">
        <v>1.6</v>
      </c>
      <c r="H624" t="n">
        <v>0</v>
      </c>
      <c r="I624" t="n">
        <v>0</v>
      </c>
      <c r="J624" t="n">
        <v>0</v>
      </c>
      <c r="K624" t="n">
        <v>0</v>
      </c>
      <c r="L624" t="n">
        <v>0</v>
      </c>
      <c r="M624" t="n">
        <v>0</v>
      </c>
      <c r="N624" t="n">
        <v>0</v>
      </c>
      <c r="O624" t="n">
        <v>0</v>
      </c>
      <c r="P624" t="n">
        <v>0</v>
      </c>
      <c r="Q624" t="n">
        <v>0</v>
      </c>
      <c r="R624" s="2" t="inlineStr"/>
    </row>
    <row r="625" ht="15" customHeight="1">
      <c r="A625" t="inlineStr">
        <is>
          <t>A 5891-2025</t>
        </is>
      </c>
      <c r="B625" s="1" t="n">
        <v>45695.38327546296</v>
      </c>
      <c r="C625" s="1" t="n">
        <v>46142</v>
      </c>
      <c r="D625" t="inlineStr">
        <is>
          <t>GOTLANDS LÄN</t>
        </is>
      </c>
      <c r="E625" t="inlineStr">
        <is>
          <t>GOTLAND</t>
        </is>
      </c>
      <c r="G625" t="n">
        <v>0.8</v>
      </c>
      <c r="H625" t="n">
        <v>0</v>
      </c>
      <c r="I625" t="n">
        <v>0</v>
      </c>
      <c r="J625" t="n">
        <v>0</v>
      </c>
      <c r="K625" t="n">
        <v>0</v>
      </c>
      <c r="L625" t="n">
        <v>0</v>
      </c>
      <c r="M625" t="n">
        <v>0</v>
      </c>
      <c r="N625" t="n">
        <v>0</v>
      </c>
      <c r="O625" t="n">
        <v>0</v>
      </c>
      <c r="P625" t="n">
        <v>0</v>
      </c>
      <c r="Q625" t="n">
        <v>0</v>
      </c>
      <c r="R625" s="2" t="inlineStr"/>
    </row>
    <row r="626" ht="15" customHeight="1">
      <c r="A626" t="inlineStr">
        <is>
          <t>A 7835-2024</t>
        </is>
      </c>
      <c r="B626" s="1" t="n">
        <v>45349.83138888889</v>
      </c>
      <c r="C626" s="1" t="n">
        <v>46142</v>
      </c>
      <c r="D626" t="inlineStr">
        <is>
          <t>GOTLANDS LÄN</t>
        </is>
      </c>
      <c r="E626" t="inlineStr">
        <is>
          <t>GOTLAND</t>
        </is>
      </c>
      <c r="G626" t="n">
        <v>3.8</v>
      </c>
      <c r="H626" t="n">
        <v>0</v>
      </c>
      <c r="I626" t="n">
        <v>0</v>
      </c>
      <c r="J626" t="n">
        <v>0</v>
      </c>
      <c r="K626" t="n">
        <v>0</v>
      </c>
      <c r="L626" t="n">
        <v>0</v>
      </c>
      <c r="M626" t="n">
        <v>0</v>
      </c>
      <c r="N626" t="n">
        <v>0</v>
      </c>
      <c r="O626" t="n">
        <v>0</v>
      </c>
      <c r="P626" t="n">
        <v>0</v>
      </c>
      <c r="Q626" t="n">
        <v>0</v>
      </c>
      <c r="R626" s="2" t="inlineStr"/>
    </row>
    <row r="627" ht="15" customHeight="1">
      <c r="A627" t="inlineStr">
        <is>
          <t>A 20794-2025</t>
        </is>
      </c>
      <c r="B627" s="1" t="n">
        <v>45776</v>
      </c>
      <c r="C627" s="1" t="n">
        <v>46142</v>
      </c>
      <c r="D627" t="inlineStr">
        <is>
          <t>GOTLANDS LÄN</t>
        </is>
      </c>
      <c r="E627" t="inlineStr">
        <is>
          <t>GOTLAND</t>
        </is>
      </c>
      <c r="G627" t="n">
        <v>6</v>
      </c>
      <c r="H627" t="n">
        <v>0</v>
      </c>
      <c r="I627" t="n">
        <v>0</v>
      </c>
      <c r="J627" t="n">
        <v>0</v>
      </c>
      <c r="K627" t="n">
        <v>0</v>
      </c>
      <c r="L627" t="n">
        <v>0</v>
      </c>
      <c r="M627" t="n">
        <v>0</v>
      </c>
      <c r="N627" t="n">
        <v>0</v>
      </c>
      <c r="O627" t="n">
        <v>0</v>
      </c>
      <c r="P627" t="n">
        <v>0</v>
      </c>
      <c r="Q627" t="n">
        <v>0</v>
      </c>
      <c r="R627" s="2" t="inlineStr"/>
    </row>
    <row r="628" ht="15" customHeight="1">
      <c r="A628" t="inlineStr">
        <is>
          <t>A 20805-2025</t>
        </is>
      </c>
      <c r="B628" s="1" t="n">
        <v>45776</v>
      </c>
      <c r="C628" s="1" t="n">
        <v>46142</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21389-2025</t>
        </is>
      </c>
      <c r="B629" s="1" t="n">
        <v>45782</v>
      </c>
      <c r="C629" s="1" t="n">
        <v>46142</v>
      </c>
      <c r="D629" t="inlineStr">
        <is>
          <t>GOTLANDS LÄN</t>
        </is>
      </c>
      <c r="E629" t="inlineStr">
        <is>
          <t>GOTLAND</t>
        </is>
      </c>
      <c r="G629" t="n">
        <v>4.1</v>
      </c>
      <c r="H629" t="n">
        <v>0</v>
      </c>
      <c r="I629" t="n">
        <v>0</v>
      </c>
      <c r="J629" t="n">
        <v>0</v>
      </c>
      <c r="K629" t="n">
        <v>0</v>
      </c>
      <c r="L629" t="n">
        <v>0</v>
      </c>
      <c r="M629" t="n">
        <v>0</v>
      </c>
      <c r="N629" t="n">
        <v>0</v>
      </c>
      <c r="O629" t="n">
        <v>0</v>
      </c>
      <c r="P629" t="n">
        <v>0</v>
      </c>
      <c r="Q629" t="n">
        <v>0</v>
      </c>
      <c r="R629" s="2" t="inlineStr"/>
    </row>
    <row r="630" ht="15" customHeight="1">
      <c r="A630" t="inlineStr">
        <is>
          <t>A 21651-2025</t>
        </is>
      </c>
      <c r="B630" s="1" t="n">
        <v>45783</v>
      </c>
      <c r="C630" s="1" t="n">
        <v>46142</v>
      </c>
      <c r="D630" t="inlineStr">
        <is>
          <t>GOTLANDS LÄN</t>
        </is>
      </c>
      <c r="E630" t="inlineStr">
        <is>
          <t>GOTLAND</t>
        </is>
      </c>
      <c r="G630" t="n">
        <v>4.2</v>
      </c>
      <c r="H630" t="n">
        <v>0</v>
      </c>
      <c r="I630" t="n">
        <v>0</v>
      </c>
      <c r="J630" t="n">
        <v>0</v>
      </c>
      <c r="K630" t="n">
        <v>0</v>
      </c>
      <c r="L630" t="n">
        <v>0</v>
      </c>
      <c r="M630" t="n">
        <v>0</v>
      </c>
      <c r="N630" t="n">
        <v>0</v>
      </c>
      <c r="O630" t="n">
        <v>0</v>
      </c>
      <c r="P630" t="n">
        <v>0</v>
      </c>
      <c r="Q630" t="n">
        <v>0</v>
      </c>
      <c r="R630" s="2" t="inlineStr"/>
    </row>
    <row r="631" ht="15" customHeight="1">
      <c r="A631" t="inlineStr">
        <is>
          <t>A 57356-2023</t>
        </is>
      </c>
      <c r="B631" s="1" t="n">
        <v>45240</v>
      </c>
      <c r="C631" s="1" t="n">
        <v>46142</v>
      </c>
      <c r="D631" t="inlineStr">
        <is>
          <t>GOTLANDS LÄN</t>
        </is>
      </c>
      <c r="E631" t="inlineStr">
        <is>
          <t>GOTLAND</t>
        </is>
      </c>
      <c r="G631" t="n">
        <v>6.4</v>
      </c>
      <c r="H631" t="n">
        <v>0</v>
      </c>
      <c r="I631" t="n">
        <v>0</v>
      </c>
      <c r="J631" t="n">
        <v>0</v>
      </c>
      <c r="K631" t="n">
        <v>0</v>
      </c>
      <c r="L631" t="n">
        <v>0</v>
      </c>
      <c r="M631" t="n">
        <v>0</v>
      </c>
      <c r="N631" t="n">
        <v>0</v>
      </c>
      <c r="O631" t="n">
        <v>0</v>
      </c>
      <c r="P631" t="n">
        <v>0</v>
      </c>
      <c r="Q631" t="n">
        <v>0</v>
      </c>
      <c r="R631" s="2" t="inlineStr"/>
    </row>
    <row r="632" ht="15" customHeight="1">
      <c r="A632" t="inlineStr">
        <is>
          <t>A 10656-2024</t>
        </is>
      </c>
      <c r="B632" s="1" t="n">
        <v>45368</v>
      </c>
      <c r="C632" s="1" t="n">
        <v>46142</v>
      </c>
      <c r="D632" t="inlineStr">
        <is>
          <t>GOTLANDS LÄN</t>
        </is>
      </c>
      <c r="E632" t="inlineStr">
        <is>
          <t>GOTLAND</t>
        </is>
      </c>
      <c r="G632" t="n">
        <v>1.5</v>
      </c>
      <c r="H632" t="n">
        <v>0</v>
      </c>
      <c r="I632" t="n">
        <v>0</v>
      </c>
      <c r="J632" t="n">
        <v>0</v>
      </c>
      <c r="K632" t="n">
        <v>0</v>
      </c>
      <c r="L632" t="n">
        <v>0</v>
      </c>
      <c r="M632" t="n">
        <v>0</v>
      </c>
      <c r="N632" t="n">
        <v>0</v>
      </c>
      <c r="O632" t="n">
        <v>0</v>
      </c>
      <c r="P632" t="n">
        <v>0</v>
      </c>
      <c r="Q632" t="n">
        <v>0</v>
      </c>
      <c r="R632" s="2" t="inlineStr"/>
    </row>
    <row r="633" ht="15" customHeight="1">
      <c r="A633" t="inlineStr">
        <is>
          <t>A 28506-2023</t>
        </is>
      </c>
      <c r="B633" s="1" t="n">
        <v>45103</v>
      </c>
      <c r="C633" s="1" t="n">
        <v>46142</v>
      </c>
      <c r="D633" t="inlineStr">
        <is>
          <t>GOTLANDS LÄN</t>
        </is>
      </c>
      <c r="E633" t="inlineStr">
        <is>
          <t>GOTLAND</t>
        </is>
      </c>
      <c r="G633" t="n">
        <v>3.2</v>
      </c>
      <c r="H633" t="n">
        <v>0</v>
      </c>
      <c r="I633" t="n">
        <v>0</v>
      </c>
      <c r="J633" t="n">
        <v>0</v>
      </c>
      <c r="K633" t="n">
        <v>0</v>
      </c>
      <c r="L633" t="n">
        <v>0</v>
      </c>
      <c r="M633" t="n">
        <v>0</v>
      </c>
      <c r="N633" t="n">
        <v>0</v>
      </c>
      <c r="O633" t="n">
        <v>0</v>
      </c>
      <c r="P633" t="n">
        <v>0</v>
      </c>
      <c r="Q633" t="n">
        <v>0</v>
      </c>
      <c r="R633" s="2" t="inlineStr"/>
    </row>
    <row r="634" ht="15" customHeight="1">
      <c r="A634" t="inlineStr">
        <is>
          <t>A 21420-2024</t>
        </is>
      </c>
      <c r="B634" s="1" t="n">
        <v>45441.38293981482</v>
      </c>
      <c r="C634" s="1" t="n">
        <v>46142</v>
      </c>
      <c r="D634" t="inlineStr">
        <is>
          <t>GOTLANDS LÄN</t>
        </is>
      </c>
      <c r="E634" t="inlineStr">
        <is>
          <t>GOTLAND</t>
        </is>
      </c>
      <c r="G634" t="n">
        <v>4.1</v>
      </c>
      <c r="H634" t="n">
        <v>0</v>
      </c>
      <c r="I634" t="n">
        <v>0</v>
      </c>
      <c r="J634" t="n">
        <v>0</v>
      </c>
      <c r="K634" t="n">
        <v>0</v>
      </c>
      <c r="L634" t="n">
        <v>0</v>
      </c>
      <c r="M634" t="n">
        <v>0</v>
      </c>
      <c r="N634" t="n">
        <v>0</v>
      </c>
      <c r="O634" t="n">
        <v>0</v>
      </c>
      <c r="P634" t="n">
        <v>0</v>
      </c>
      <c r="Q634" t="n">
        <v>0</v>
      </c>
      <c r="R634" s="2" t="inlineStr"/>
    </row>
    <row r="635" ht="15" customHeight="1">
      <c r="A635" t="inlineStr">
        <is>
          <t>A 23188-2025</t>
        </is>
      </c>
      <c r="B635" s="1" t="n">
        <v>45791</v>
      </c>
      <c r="C635" s="1" t="n">
        <v>46142</v>
      </c>
      <c r="D635" t="inlineStr">
        <is>
          <t>GOTLANDS LÄN</t>
        </is>
      </c>
      <c r="E635" t="inlineStr">
        <is>
          <t>GOTLAND</t>
        </is>
      </c>
      <c r="G635" t="n">
        <v>6.2</v>
      </c>
      <c r="H635" t="n">
        <v>0</v>
      </c>
      <c r="I635" t="n">
        <v>0</v>
      </c>
      <c r="J635" t="n">
        <v>0</v>
      </c>
      <c r="K635" t="n">
        <v>0</v>
      </c>
      <c r="L635" t="n">
        <v>0</v>
      </c>
      <c r="M635" t="n">
        <v>0</v>
      </c>
      <c r="N635" t="n">
        <v>0</v>
      </c>
      <c r="O635" t="n">
        <v>0</v>
      </c>
      <c r="P635" t="n">
        <v>0</v>
      </c>
      <c r="Q635" t="n">
        <v>0</v>
      </c>
      <c r="R635" s="2" t="inlineStr"/>
    </row>
    <row r="636" ht="15" customHeight="1">
      <c r="A636" t="inlineStr">
        <is>
          <t>A 23473-2025</t>
        </is>
      </c>
      <c r="B636" s="1" t="n">
        <v>45792</v>
      </c>
      <c r="C636" s="1" t="n">
        <v>46142</v>
      </c>
      <c r="D636" t="inlineStr">
        <is>
          <t>GOTLANDS LÄN</t>
        </is>
      </c>
      <c r="E636" t="inlineStr">
        <is>
          <t>GOTLAND</t>
        </is>
      </c>
      <c r="G636" t="n">
        <v>3.6</v>
      </c>
      <c r="H636" t="n">
        <v>0</v>
      </c>
      <c r="I636" t="n">
        <v>0</v>
      </c>
      <c r="J636" t="n">
        <v>0</v>
      </c>
      <c r="K636" t="n">
        <v>0</v>
      </c>
      <c r="L636" t="n">
        <v>0</v>
      </c>
      <c r="M636" t="n">
        <v>0</v>
      </c>
      <c r="N636" t="n">
        <v>0</v>
      </c>
      <c r="O636" t="n">
        <v>0</v>
      </c>
      <c r="P636" t="n">
        <v>0</v>
      </c>
      <c r="Q636" t="n">
        <v>0</v>
      </c>
      <c r="R636" s="2" t="inlineStr"/>
    </row>
    <row r="637" ht="15" customHeight="1">
      <c r="A637" t="inlineStr">
        <is>
          <t>A 23856-2025</t>
        </is>
      </c>
      <c r="B637" s="1" t="n">
        <v>45793</v>
      </c>
      <c r="C637" s="1" t="n">
        <v>46142</v>
      </c>
      <c r="D637" t="inlineStr">
        <is>
          <t>GOTLANDS LÄN</t>
        </is>
      </c>
      <c r="E637" t="inlineStr">
        <is>
          <t>GOTLAND</t>
        </is>
      </c>
      <c r="G637" t="n">
        <v>4.4</v>
      </c>
      <c r="H637" t="n">
        <v>0</v>
      </c>
      <c r="I637" t="n">
        <v>0</v>
      </c>
      <c r="J637" t="n">
        <v>0</v>
      </c>
      <c r="K637" t="n">
        <v>0</v>
      </c>
      <c r="L637" t="n">
        <v>0</v>
      </c>
      <c r="M637" t="n">
        <v>0</v>
      </c>
      <c r="N637" t="n">
        <v>0</v>
      </c>
      <c r="O637" t="n">
        <v>0</v>
      </c>
      <c r="P637" t="n">
        <v>0</v>
      </c>
      <c r="Q637" t="n">
        <v>0</v>
      </c>
      <c r="R637" s="2" t="inlineStr"/>
    </row>
    <row r="638" ht="15" customHeight="1">
      <c r="A638" t="inlineStr">
        <is>
          <t>A 15073-2025</t>
        </is>
      </c>
      <c r="B638" s="1" t="n">
        <v>45743</v>
      </c>
      <c r="C638" s="1" t="n">
        <v>46142</v>
      </c>
      <c r="D638" t="inlineStr">
        <is>
          <t>GOTLANDS LÄN</t>
        </is>
      </c>
      <c r="E638" t="inlineStr">
        <is>
          <t>GOTLAND</t>
        </is>
      </c>
      <c r="G638" t="n">
        <v>12.1</v>
      </c>
      <c r="H638" t="n">
        <v>0</v>
      </c>
      <c r="I638" t="n">
        <v>0</v>
      </c>
      <c r="J638" t="n">
        <v>0</v>
      </c>
      <c r="K638" t="n">
        <v>0</v>
      </c>
      <c r="L638" t="n">
        <v>0</v>
      </c>
      <c r="M638" t="n">
        <v>0</v>
      </c>
      <c r="N638" t="n">
        <v>0</v>
      </c>
      <c r="O638" t="n">
        <v>0</v>
      </c>
      <c r="P638" t="n">
        <v>0</v>
      </c>
      <c r="Q638" t="n">
        <v>0</v>
      </c>
      <c r="R638" s="2" t="inlineStr"/>
    </row>
    <row r="639" ht="15" customHeight="1">
      <c r="A639" t="inlineStr">
        <is>
          <t>A 6749-2025</t>
        </is>
      </c>
      <c r="B639" s="1" t="n">
        <v>45700</v>
      </c>
      <c r="C639" s="1" t="n">
        <v>46142</v>
      </c>
      <c r="D639" t="inlineStr">
        <is>
          <t>GOTLANDS LÄN</t>
        </is>
      </c>
      <c r="E639" t="inlineStr">
        <is>
          <t>GOTLAND</t>
        </is>
      </c>
      <c r="G639" t="n">
        <v>4.5</v>
      </c>
      <c r="H639" t="n">
        <v>0</v>
      </c>
      <c r="I639" t="n">
        <v>0</v>
      </c>
      <c r="J639" t="n">
        <v>0</v>
      </c>
      <c r="K639" t="n">
        <v>0</v>
      </c>
      <c r="L639" t="n">
        <v>0</v>
      </c>
      <c r="M639" t="n">
        <v>0</v>
      </c>
      <c r="N639" t="n">
        <v>0</v>
      </c>
      <c r="O639" t="n">
        <v>0</v>
      </c>
      <c r="P639" t="n">
        <v>0</v>
      </c>
      <c r="Q639" t="n">
        <v>0</v>
      </c>
      <c r="R639" s="2" t="inlineStr"/>
    </row>
    <row r="640" ht="15" customHeight="1">
      <c r="A640" t="inlineStr">
        <is>
          <t>A 23698-2025</t>
        </is>
      </c>
      <c r="B640" s="1" t="n">
        <v>45793</v>
      </c>
      <c r="C640" s="1" t="n">
        <v>46142</v>
      </c>
      <c r="D640" t="inlineStr">
        <is>
          <t>GOTLANDS LÄN</t>
        </is>
      </c>
      <c r="E640" t="inlineStr">
        <is>
          <t>GOTLAND</t>
        </is>
      </c>
      <c r="G640" t="n">
        <v>0.8</v>
      </c>
      <c r="H640" t="n">
        <v>0</v>
      </c>
      <c r="I640" t="n">
        <v>0</v>
      </c>
      <c r="J640" t="n">
        <v>0</v>
      </c>
      <c r="K640" t="n">
        <v>0</v>
      </c>
      <c r="L640" t="n">
        <v>0</v>
      </c>
      <c r="M640" t="n">
        <v>0</v>
      </c>
      <c r="N640" t="n">
        <v>0</v>
      </c>
      <c r="O640" t="n">
        <v>0</v>
      </c>
      <c r="P640" t="n">
        <v>0</v>
      </c>
      <c r="Q640" t="n">
        <v>0</v>
      </c>
      <c r="R640" s="2" t="inlineStr"/>
    </row>
    <row r="641" ht="15" customHeight="1">
      <c r="A641" t="inlineStr">
        <is>
          <t>A 5462-2025</t>
        </is>
      </c>
      <c r="B641" s="1" t="n">
        <v>45693.29331018519</v>
      </c>
      <c r="C641" s="1" t="n">
        <v>46142</v>
      </c>
      <c r="D641" t="inlineStr">
        <is>
          <t>GOTLANDS LÄN</t>
        </is>
      </c>
      <c r="E641" t="inlineStr">
        <is>
          <t>GOTLAND</t>
        </is>
      </c>
      <c r="G641" t="n">
        <v>2.6</v>
      </c>
      <c r="H641" t="n">
        <v>0</v>
      </c>
      <c r="I641" t="n">
        <v>0</v>
      </c>
      <c r="J641" t="n">
        <v>0</v>
      </c>
      <c r="K641" t="n">
        <v>0</v>
      </c>
      <c r="L641" t="n">
        <v>0</v>
      </c>
      <c r="M641" t="n">
        <v>0</v>
      </c>
      <c r="N641" t="n">
        <v>0</v>
      </c>
      <c r="O641" t="n">
        <v>0</v>
      </c>
      <c r="P641" t="n">
        <v>0</v>
      </c>
      <c r="Q641" t="n">
        <v>0</v>
      </c>
      <c r="R641" s="2" t="inlineStr"/>
    </row>
    <row r="642">
      <c r="A642" t="inlineStr">
        <is>
          <t>A 25796-2025</t>
        </is>
      </c>
      <c r="B642" s="1" t="n">
        <v>45804.39543981481</v>
      </c>
      <c r="C642" s="1" t="n">
        <v>46142</v>
      </c>
      <c r="D642" t="inlineStr">
        <is>
          <t>GOTLANDS LÄN</t>
        </is>
      </c>
      <c r="E642" t="inlineStr">
        <is>
          <t>GOTLAND</t>
        </is>
      </c>
      <c r="G642" t="n">
        <v>2</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2026-04-30T11:02:13Z</dcterms:created>
  <dcterms:modified xmlns:dcterms="http://purl.org/dc/terms/" xmlns:xsi="http://www.w3.org/2001/XMLSchema-instance" xsi:type="dcterms:W3CDTF">2026-04-30T11:02:14Z</dcterms:modified>
</cp:coreProperties>
</file>