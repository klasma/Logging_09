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46025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46025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46025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46025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46025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46025</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46025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46025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46025</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46025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46025</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46025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46025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46025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46025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46025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46025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46025</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46025</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46025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46025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46025</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46025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46025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46025</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46025</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46025</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46025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46025</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46025</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46025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46025</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46025</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445-2023</t>
        </is>
      </c>
      <c r="B36" s="1" t="n">
        <v>44929</v>
      </c>
      <c r="C36" s="1" t="n">
        <v>46025</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44204-2022</t>
        </is>
      </c>
      <c r="B37" s="1" t="n">
        <v>44839</v>
      </c>
      <c r="C37" s="1" t="n">
        <v>46025</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46025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46025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46025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46025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46025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46025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46025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46025</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46025</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46025</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46025</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46025</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46025</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46025</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46025</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46025</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46025</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46025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46025</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46025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46025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46025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46025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46025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46025</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46025</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46025</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46025</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46025</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56687-2025</t>
        </is>
      </c>
      <c r="B67" s="1" t="n">
        <v>45975.84065972222</v>
      </c>
      <c r="C67" s="1" t="n">
        <v>46025</v>
      </c>
      <c r="D67" t="inlineStr">
        <is>
          <t>GOTLANDS LÄN</t>
        </is>
      </c>
      <c r="E67" t="inlineStr">
        <is>
          <t>GOTLAND</t>
        </is>
      </c>
      <c r="G67" t="n">
        <v>2.4</v>
      </c>
      <c r="H67" t="n">
        <v>4</v>
      </c>
      <c r="I67" t="n">
        <v>2</v>
      </c>
      <c r="J67" t="n">
        <v>3</v>
      </c>
      <c r="K67" t="n">
        <v>0</v>
      </c>
      <c r="L67" t="n">
        <v>0</v>
      </c>
      <c r="M67" t="n">
        <v>0</v>
      </c>
      <c r="N67" t="n">
        <v>0</v>
      </c>
      <c r="O67" t="n">
        <v>3</v>
      </c>
      <c r="P67" t="n">
        <v>0</v>
      </c>
      <c r="Q67" t="n">
        <v>7</v>
      </c>
      <c r="R67" s="2" t="inlineStr">
        <is>
          <t>Backtimjan
Dårgräsfjäril
Solvända
Blåmossa
Skogsknipprot
Brudsporre
Nattviol</t>
        </is>
      </c>
      <c r="S67">
        <f>HYPERLINK("https://klasma.github.io/Logging_0980/artfynd/A 56687-2025 artfynd.xlsx", "A 56687-2025")</f>
        <v/>
      </c>
      <c r="T67">
        <f>HYPERLINK("https://klasma.github.io/Logging_0980/kartor/A 56687-2025 karta.png", "A 56687-2025")</f>
        <v/>
      </c>
      <c r="V67">
        <f>HYPERLINK("https://klasma.github.io/Logging_0980/klagomål/A 56687-2025 FSC-klagomål.docx", "A 56687-2025")</f>
        <v/>
      </c>
      <c r="W67">
        <f>HYPERLINK("https://klasma.github.io/Logging_0980/klagomålsmail/A 56687-2025 FSC-klagomål mail.docx", "A 56687-2025")</f>
        <v/>
      </c>
      <c r="X67">
        <f>HYPERLINK("https://klasma.github.io/Logging_0980/tillsyn/A 56687-2025 tillsynsbegäran.docx", "A 56687-2025")</f>
        <v/>
      </c>
      <c r="Y67">
        <f>HYPERLINK("https://klasma.github.io/Logging_0980/tillsynsmail/A 56687-2025 tillsynsbegäran mail.docx", "A 56687-2025")</f>
        <v/>
      </c>
    </row>
    <row r="68" ht="15" customHeight="1">
      <c r="A68" t="inlineStr">
        <is>
          <t>A 27168-2022</t>
        </is>
      </c>
      <c r="B68" s="1" t="n">
        <v>44741</v>
      </c>
      <c r="C68" s="1" t="n">
        <v>46025</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46025</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46025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46025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46025</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46025</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46025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46025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46025</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57773-2025</t>
        </is>
      </c>
      <c r="B77" s="1" t="n">
        <v>45981.56349537037</v>
      </c>
      <c r="C77" s="1" t="n">
        <v>46025</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46025</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46025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46025</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46025</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46025</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46025</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52245-2025</t>
        </is>
      </c>
      <c r="B84" s="1" t="n">
        <v>45953.47115740741</v>
      </c>
      <c r="C84" s="1" t="n">
        <v>46025</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2213-2023</t>
        </is>
      </c>
      <c r="B85" s="1" t="n">
        <v>44942</v>
      </c>
      <c r="C85" s="1" t="n">
        <v>46025</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46025</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16375-2025</t>
        </is>
      </c>
      <c r="B87" s="1" t="n">
        <v>45751.41064814815</v>
      </c>
      <c r="C87" s="1" t="n">
        <v>46025</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46025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46025</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54523-2023</t>
        </is>
      </c>
      <c r="B90" s="1" t="n">
        <v>45233</v>
      </c>
      <c r="C90" s="1" t="n">
        <v>46025</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43197-2023</t>
        </is>
      </c>
      <c r="B91" s="1" t="n">
        <v>45183</v>
      </c>
      <c r="C91" s="1" t="n">
        <v>46025</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46025</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5904-2024</t>
        </is>
      </c>
      <c r="B93" s="1" t="n">
        <v>45335</v>
      </c>
      <c r="C93" s="1" t="n">
        <v>46025</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46025</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46025</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46025</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57463-2025</t>
        </is>
      </c>
      <c r="B97" s="1" t="n">
        <v>45980.54174768519</v>
      </c>
      <c r="C97" s="1" t="n">
        <v>46025</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52309-2025</t>
        </is>
      </c>
      <c r="B98" s="1" t="n">
        <v>45953.64381944444</v>
      </c>
      <c r="C98" s="1" t="n">
        <v>46025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52250-2025</t>
        </is>
      </c>
      <c r="B99" s="1" t="n">
        <v>45953.48998842593</v>
      </c>
      <c r="C99" s="1" t="n">
        <v>46025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2485-2025</t>
        </is>
      </c>
      <c r="B100" s="1" t="n">
        <v>45673</v>
      </c>
      <c r="C100" s="1" t="n">
        <v>46025</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46025</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46025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46025</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46025</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46025</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46025</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46025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46025</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46025</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46025</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46025</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43013-2022</t>
        </is>
      </c>
      <c r="B112" s="1" t="n">
        <v>44833</v>
      </c>
      <c r="C112" s="1" t="n">
        <v>46025</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46025</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49709-2025</t>
        </is>
      </c>
      <c r="B114" s="1" t="n">
        <v>45939.68228009259</v>
      </c>
      <c r="C114" s="1" t="n">
        <v>46025</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53552-2021</t>
        </is>
      </c>
      <c r="B115" s="1" t="n">
        <v>44468</v>
      </c>
      <c r="C115" s="1" t="n">
        <v>46025</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20831-2024</t>
        </is>
      </c>
      <c r="B116" s="1" t="n">
        <v>45439</v>
      </c>
      <c r="C116" s="1" t="n">
        <v>46025</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46025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46025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46025</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46025</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46025</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46025</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46025</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46025</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46025</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46025</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46025</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46025</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46025</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63162-2025</t>
        </is>
      </c>
      <c r="B130" s="1" t="n">
        <v>46010.37629629629</v>
      </c>
      <c r="C130" s="1" t="n">
        <v>46025</v>
      </c>
      <c r="D130" t="inlineStr">
        <is>
          <t>GOTLANDS LÄN</t>
        </is>
      </c>
      <c r="E130" t="inlineStr">
        <is>
          <t>GOTLAND</t>
        </is>
      </c>
      <c r="G130" t="n">
        <v>3.5</v>
      </c>
      <c r="H130" t="n">
        <v>0</v>
      </c>
      <c r="I130" t="n">
        <v>1</v>
      </c>
      <c r="J130" t="n">
        <v>0</v>
      </c>
      <c r="K130" t="n">
        <v>1</v>
      </c>
      <c r="L130" t="n">
        <v>0</v>
      </c>
      <c r="M130" t="n">
        <v>0</v>
      </c>
      <c r="N130" t="n">
        <v>0</v>
      </c>
      <c r="O130" t="n">
        <v>1</v>
      </c>
      <c r="P130" t="n">
        <v>1</v>
      </c>
      <c r="Q130" t="n">
        <v>2</v>
      </c>
      <c r="R130" s="2" t="inlineStr">
        <is>
          <t>Gotlandsmåra
Myskmadra</t>
        </is>
      </c>
      <c r="S130">
        <f>HYPERLINK("https://klasma.github.io/Logging_0980/artfynd/A 63162-2025 artfynd.xlsx", "A 63162-2025")</f>
        <v/>
      </c>
      <c r="T130">
        <f>HYPERLINK("https://klasma.github.io/Logging_0980/kartor/A 63162-2025 karta.png", "A 63162-2025")</f>
        <v/>
      </c>
      <c r="V130">
        <f>HYPERLINK("https://klasma.github.io/Logging_0980/klagomål/A 63162-2025 FSC-klagomål.docx", "A 63162-2025")</f>
        <v/>
      </c>
      <c r="W130">
        <f>HYPERLINK("https://klasma.github.io/Logging_0980/klagomålsmail/A 63162-2025 FSC-klagomål mail.docx", "A 63162-2025")</f>
        <v/>
      </c>
      <c r="X130">
        <f>HYPERLINK("https://klasma.github.io/Logging_0980/tillsyn/A 63162-2025 tillsynsbegäran.docx", "A 63162-2025")</f>
        <v/>
      </c>
      <c r="Y130">
        <f>HYPERLINK("https://klasma.github.io/Logging_0980/tillsynsmail/A 63162-2025 tillsynsbegäran mail.docx", "A 63162-2025")</f>
        <v/>
      </c>
    </row>
    <row r="131" ht="15" customHeight="1">
      <c r="A131" t="inlineStr">
        <is>
          <t>A 54357-2024</t>
        </is>
      </c>
      <c r="B131" s="1" t="n">
        <v>45617.40662037037</v>
      </c>
      <c r="C131" s="1" t="n">
        <v>46025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62760-2025</t>
        </is>
      </c>
      <c r="B132" s="1" t="n">
        <v>46008.59275462963</v>
      </c>
      <c r="C132" s="1" t="n">
        <v>46025</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7070-2022</t>
        </is>
      </c>
      <c r="B133" s="1" t="n">
        <v>44603</v>
      </c>
      <c r="C133" s="1" t="n">
        <v>46025</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46025</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46025</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46025</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46025</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46025</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46025</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46025</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46025</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46025</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46025</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46025</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46025</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46025</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46025</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46025</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61796-2022</t>
        </is>
      </c>
      <c r="B149" s="1" t="n">
        <v>44917</v>
      </c>
      <c r="C149" s="1" t="n">
        <v>46025</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39812-2025</t>
        </is>
      </c>
      <c r="B150" s="1" t="n">
        <v>45891</v>
      </c>
      <c r="C150" s="1" t="n">
        <v>46025</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15637-2024</t>
        </is>
      </c>
      <c r="B151" s="1" t="n">
        <v>45403.6684837963</v>
      </c>
      <c r="C151" s="1" t="n">
        <v>46025</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2476-2025</t>
        </is>
      </c>
      <c r="B152" s="1" t="n">
        <v>45673</v>
      </c>
      <c r="C152" s="1" t="n">
        <v>46025</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35467-2021</t>
        </is>
      </c>
      <c r="B153" s="1" t="n">
        <v>44385</v>
      </c>
      <c r="C153" s="1" t="n">
        <v>46025</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46025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34141-2024</t>
        </is>
      </c>
      <c r="B155" s="1" t="n">
        <v>45524.36229166666</v>
      </c>
      <c r="C155" s="1" t="n">
        <v>46025</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10995-2023</t>
        </is>
      </c>
      <c r="B156" s="1" t="n">
        <v>44986</v>
      </c>
      <c r="C156" s="1" t="n">
        <v>46025</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9862-2024</t>
        </is>
      </c>
      <c r="B157" s="1" t="n">
        <v>45363</v>
      </c>
      <c r="C157" s="1" t="n">
        <v>46025</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62552-2022</t>
        </is>
      </c>
      <c r="B158" s="1" t="n">
        <v>44924</v>
      </c>
      <c r="C158" s="1" t="n">
        <v>46025</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46025</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49726-2025</t>
        </is>
      </c>
      <c r="B160" s="1" t="n">
        <v>45939.84466435185</v>
      </c>
      <c r="C160" s="1" t="n">
        <v>46025</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20429-2025</t>
        </is>
      </c>
      <c r="B161" s="1" t="n">
        <v>45775.47728009259</v>
      </c>
      <c r="C161" s="1" t="n">
        <v>46025</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44308-2021</t>
        </is>
      </c>
      <c r="B162" s="1" t="n">
        <v>44434</v>
      </c>
      <c r="C162" s="1" t="n">
        <v>46025</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46025</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46025</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49304-2024</t>
        </is>
      </c>
      <c r="B165" s="1" t="n">
        <v>45595.54996527778</v>
      </c>
      <c r="C165" s="1" t="n">
        <v>46025</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12924-2025</t>
        </is>
      </c>
      <c r="B166" s="1" t="n">
        <v>45734</v>
      </c>
      <c r="C166" s="1" t="n">
        <v>46025</v>
      </c>
      <c r="D166" t="inlineStr">
        <is>
          <t>GOTLANDS LÄN</t>
        </is>
      </c>
      <c r="E166" t="inlineStr">
        <is>
          <t>GOTLAND</t>
        </is>
      </c>
      <c r="G166" t="n">
        <v>11.7</v>
      </c>
      <c r="H166" t="n">
        <v>0</v>
      </c>
      <c r="I166" t="n">
        <v>0</v>
      </c>
      <c r="J166" t="n">
        <v>0</v>
      </c>
      <c r="K166" t="n">
        <v>1</v>
      </c>
      <c r="L166" t="n">
        <v>0</v>
      </c>
      <c r="M166" t="n">
        <v>0</v>
      </c>
      <c r="N166" t="n">
        <v>0</v>
      </c>
      <c r="O166" t="n">
        <v>1</v>
      </c>
      <c r="P166" t="n">
        <v>1</v>
      </c>
      <c r="Q166" t="n">
        <v>1</v>
      </c>
      <c r="R166" s="2" t="inlineStr">
        <is>
          <t>Gotlandsmåra</t>
        </is>
      </c>
      <c r="S166">
        <f>HYPERLINK("https://klasma.github.io/Logging_0980/artfynd/A 12924-2025 artfynd.xlsx", "A 12924-2025")</f>
        <v/>
      </c>
      <c r="T166">
        <f>HYPERLINK("https://klasma.github.io/Logging_0980/kartor/A 12924-2025 karta.png", "A 12924-2025")</f>
        <v/>
      </c>
      <c r="V166">
        <f>HYPERLINK("https://klasma.github.io/Logging_0980/klagomål/A 12924-2025 FSC-klagomål.docx", "A 12924-2025")</f>
        <v/>
      </c>
      <c r="W166">
        <f>HYPERLINK("https://klasma.github.io/Logging_0980/klagomålsmail/A 12924-2025 FSC-klagomål mail.docx", "A 12924-2025")</f>
        <v/>
      </c>
      <c r="X166">
        <f>HYPERLINK("https://klasma.github.io/Logging_0980/tillsyn/A 12924-2025 tillsynsbegäran.docx", "A 12924-2025")</f>
        <v/>
      </c>
      <c r="Y166">
        <f>HYPERLINK("https://klasma.github.io/Logging_0980/tillsynsmail/A 12924-2025 tillsynsbegäran mail.docx", "A 12924-2025")</f>
        <v/>
      </c>
    </row>
    <row r="167" ht="15" customHeight="1">
      <c r="A167" t="inlineStr">
        <is>
          <t>A 63576-2021</t>
        </is>
      </c>
      <c r="B167" s="1" t="n">
        <v>44508</v>
      </c>
      <c r="C167" s="1" t="n">
        <v>46025</v>
      </c>
      <c r="D167" t="inlineStr">
        <is>
          <t>GOTLANDS LÄN</t>
        </is>
      </c>
      <c r="E167" t="inlineStr">
        <is>
          <t>GOTLAND</t>
        </is>
      </c>
      <c r="F167" t="inlineStr">
        <is>
          <t>Kyrkan</t>
        </is>
      </c>
      <c r="G167" t="n">
        <v>4.1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63576-2021 artfynd.xlsx", "A 63576-2021")</f>
        <v/>
      </c>
      <c r="T167">
        <f>HYPERLINK("https://klasma.github.io/Logging_0980/kartor/A 63576-2021 karta.png", "A 63576-2021")</f>
        <v/>
      </c>
      <c r="V167">
        <f>HYPERLINK("https://klasma.github.io/Logging_0980/klagomål/A 63576-2021 FSC-klagomål.docx", "A 63576-2021")</f>
        <v/>
      </c>
      <c r="W167">
        <f>HYPERLINK("https://klasma.github.io/Logging_0980/klagomålsmail/A 63576-2021 FSC-klagomål mail.docx", "A 63576-2021")</f>
        <v/>
      </c>
      <c r="X167">
        <f>HYPERLINK("https://klasma.github.io/Logging_0980/tillsyn/A 63576-2021 tillsynsbegäran.docx", "A 63576-2021")</f>
        <v/>
      </c>
      <c r="Y167">
        <f>HYPERLINK("https://klasma.github.io/Logging_0980/tillsynsmail/A 63576-2021 tillsynsbegäran mail.docx", "A 63576-2021")</f>
        <v/>
      </c>
    </row>
    <row r="168" ht="15" customHeight="1">
      <c r="A168" t="inlineStr">
        <is>
          <t>A 64700-2021</t>
        </is>
      </c>
      <c r="B168" s="1" t="n">
        <v>44511</v>
      </c>
      <c r="C168" s="1" t="n">
        <v>46025</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13939-2021</t>
        </is>
      </c>
      <c r="B169" s="1" t="n">
        <v>44277</v>
      </c>
      <c r="C169" s="1" t="n">
        <v>46025</v>
      </c>
      <c r="D169" t="inlineStr">
        <is>
          <t>GOTLANDS LÄN</t>
        </is>
      </c>
      <c r="E169" t="inlineStr">
        <is>
          <t>GOTLAND</t>
        </is>
      </c>
      <c r="G169" t="n">
        <v>1</v>
      </c>
      <c r="H169" t="n">
        <v>0</v>
      </c>
      <c r="I169" t="n">
        <v>0</v>
      </c>
      <c r="J169" t="n">
        <v>1</v>
      </c>
      <c r="K169" t="n">
        <v>0</v>
      </c>
      <c r="L169" t="n">
        <v>0</v>
      </c>
      <c r="M169" t="n">
        <v>0</v>
      </c>
      <c r="N169" t="n">
        <v>0</v>
      </c>
      <c r="O169" t="n">
        <v>1</v>
      </c>
      <c r="P169" t="n">
        <v>0</v>
      </c>
      <c r="Q169" t="n">
        <v>1</v>
      </c>
      <c r="R169" s="2" t="inlineStr">
        <is>
          <t>Axveronika</t>
        </is>
      </c>
      <c r="S169">
        <f>HYPERLINK("https://klasma.github.io/Logging_0980/artfynd/A 13939-2021 artfynd.xlsx", "A 13939-2021")</f>
        <v/>
      </c>
      <c r="T169">
        <f>HYPERLINK("https://klasma.github.io/Logging_0980/kartor/A 13939-2021 karta.png", "A 13939-2021")</f>
        <v/>
      </c>
      <c r="V169">
        <f>HYPERLINK("https://klasma.github.io/Logging_0980/klagomål/A 13939-2021 FSC-klagomål.docx", "A 13939-2021")</f>
        <v/>
      </c>
      <c r="W169">
        <f>HYPERLINK("https://klasma.github.io/Logging_0980/klagomålsmail/A 13939-2021 FSC-klagomål mail.docx", "A 13939-2021")</f>
        <v/>
      </c>
      <c r="X169">
        <f>HYPERLINK("https://klasma.github.io/Logging_0980/tillsyn/A 13939-2021 tillsynsbegäran.docx", "A 13939-2021")</f>
        <v/>
      </c>
      <c r="Y169">
        <f>HYPERLINK("https://klasma.github.io/Logging_0980/tillsynsmail/A 13939-2021 tillsynsbegäran mail.docx", "A 13939-2021")</f>
        <v/>
      </c>
    </row>
    <row r="170" ht="15" customHeight="1">
      <c r="A170" t="inlineStr">
        <is>
          <t>A 27589-2023</t>
        </is>
      </c>
      <c r="B170" s="1" t="n">
        <v>45097</v>
      </c>
      <c r="C170" s="1" t="n">
        <v>46025</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46025</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46025</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46025</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63149-2025</t>
        </is>
      </c>
      <c r="B174" s="1" t="n">
        <v>46010.35664351852</v>
      </c>
      <c r="C174" s="1" t="n">
        <v>46025</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6303-2024</t>
        </is>
      </c>
      <c r="B175" s="1" t="n">
        <v>45338.35376157407</v>
      </c>
      <c r="C175" s="1" t="n">
        <v>46025</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46025</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46025</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46025</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46025</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46025</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46025</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46025</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46025</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46025</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46025</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46025</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26461-2025</t>
        </is>
      </c>
      <c r="B187" s="1" t="n">
        <v>45807.43337962963</v>
      </c>
      <c r="C187" s="1" t="n">
        <v>46025</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19901-2021</t>
        </is>
      </c>
      <c r="B188" s="1" t="n">
        <v>44312</v>
      </c>
      <c r="C188" s="1" t="n">
        <v>46025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46025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46025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46025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46025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46025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46025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46025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46025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46025</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46025</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46025</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46025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46025</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46025</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46025</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46025</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46025</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46025</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46025</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46025</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46025</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46025</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46025</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46025</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46025</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46025</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46025</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46025</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46025</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46025</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46025</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46025</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46025</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46025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46025</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46025</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46025</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46025</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46025</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46025</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46025</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46025</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46025</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46025</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46025</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46025</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46025</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46025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46025</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46025</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46025</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46025</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9613-2025</t>
        </is>
      </c>
      <c r="B241" s="1" t="n">
        <v>45715</v>
      </c>
      <c r="C241" s="1" t="n">
        <v>46025</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32330-2024</t>
        </is>
      </c>
      <c r="B242" s="1" t="n">
        <v>45512</v>
      </c>
      <c r="C242" s="1" t="n">
        <v>46025</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5751-2024</t>
        </is>
      </c>
      <c r="B243" s="1" t="n">
        <v>45335.32702546296</v>
      </c>
      <c r="C243" s="1" t="n">
        <v>46025</v>
      </c>
      <c r="D243" t="inlineStr">
        <is>
          <t>GOTLANDS LÄN</t>
        </is>
      </c>
      <c r="E243" t="inlineStr">
        <is>
          <t>GOTLAND</t>
        </is>
      </c>
      <c r="G243" t="n">
        <v>4.2</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46025</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46025</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46025</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46025</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46025</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44919-2022</t>
        </is>
      </c>
      <c r="B249" s="1" t="n">
        <v>44841</v>
      </c>
      <c r="C249" s="1" t="n">
        <v>46025</v>
      </c>
      <c r="D249" t="inlineStr">
        <is>
          <t>GOTLANDS LÄN</t>
        </is>
      </c>
      <c r="E249" t="inlineStr">
        <is>
          <t>GOTLAND</t>
        </is>
      </c>
      <c r="G249" t="n">
        <v>2.2</v>
      </c>
      <c r="H249" t="n">
        <v>0</v>
      </c>
      <c r="I249" t="n">
        <v>0</v>
      </c>
      <c r="J249" t="n">
        <v>0</v>
      </c>
      <c r="K249" t="n">
        <v>0</v>
      </c>
      <c r="L249" t="n">
        <v>0</v>
      </c>
      <c r="M249" t="n">
        <v>0</v>
      </c>
      <c r="N249" t="n">
        <v>0</v>
      </c>
      <c r="O249" t="n">
        <v>0</v>
      </c>
      <c r="P249" t="n">
        <v>0</v>
      </c>
      <c r="Q249" t="n">
        <v>0</v>
      </c>
      <c r="R249" s="2" t="inlineStr"/>
    </row>
    <row r="250" ht="15" customHeight="1">
      <c r="A250" t="inlineStr">
        <is>
          <t>A 65901-2021</t>
        </is>
      </c>
      <c r="B250" s="1" t="n">
        <v>44516</v>
      </c>
      <c r="C250" s="1" t="n">
        <v>46025</v>
      </c>
      <c r="D250" t="inlineStr">
        <is>
          <t>GOTLANDS LÄN</t>
        </is>
      </c>
      <c r="E250" t="inlineStr">
        <is>
          <t>GOTLAND</t>
        </is>
      </c>
      <c r="G250" t="n">
        <v>4.9</v>
      </c>
      <c r="H250" t="n">
        <v>0</v>
      </c>
      <c r="I250" t="n">
        <v>0</v>
      </c>
      <c r="J250" t="n">
        <v>0</v>
      </c>
      <c r="K250" t="n">
        <v>0</v>
      </c>
      <c r="L250" t="n">
        <v>0</v>
      </c>
      <c r="M250" t="n">
        <v>0</v>
      </c>
      <c r="N250" t="n">
        <v>0</v>
      </c>
      <c r="O250" t="n">
        <v>0</v>
      </c>
      <c r="P250" t="n">
        <v>0</v>
      </c>
      <c r="Q250" t="n">
        <v>0</v>
      </c>
      <c r="R250" s="2" t="inlineStr"/>
    </row>
    <row r="251" ht="15" customHeight="1">
      <c r="A251" t="inlineStr">
        <is>
          <t>A 48503-2023</t>
        </is>
      </c>
      <c r="B251" s="1" t="n">
        <v>45207</v>
      </c>
      <c r="C251" s="1" t="n">
        <v>46025</v>
      </c>
      <c r="D251" t="inlineStr">
        <is>
          <t>GOTLANDS LÄN</t>
        </is>
      </c>
      <c r="E251" t="inlineStr">
        <is>
          <t>GOTLAND</t>
        </is>
      </c>
      <c r="G251" t="n">
        <v>1.6</v>
      </c>
      <c r="H251" t="n">
        <v>0</v>
      </c>
      <c r="I251" t="n">
        <v>0</v>
      </c>
      <c r="J251" t="n">
        <v>0</v>
      </c>
      <c r="K251" t="n">
        <v>0</v>
      </c>
      <c r="L251" t="n">
        <v>0</v>
      </c>
      <c r="M251" t="n">
        <v>0</v>
      </c>
      <c r="N251" t="n">
        <v>0</v>
      </c>
      <c r="O251" t="n">
        <v>0</v>
      </c>
      <c r="P251" t="n">
        <v>0</v>
      </c>
      <c r="Q251" t="n">
        <v>0</v>
      </c>
      <c r="R251" s="2" t="inlineStr"/>
    </row>
    <row r="252" ht="15" customHeight="1">
      <c r="A252" t="inlineStr">
        <is>
          <t>A 44649-2021</t>
        </is>
      </c>
      <c r="B252" s="1" t="n">
        <v>44437</v>
      </c>
      <c r="C252" s="1" t="n">
        <v>46025</v>
      </c>
      <c r="D252" t="inlineStr">
        <is>
          <t>GOTLANDS LÄN</t>
        </is>
      </c>
      <c r="E252" t="inlineStr">
        <is>
          <t>GOTLAND</t>
        </is>
      </c>
      <c r="G252" t="n">
        <v>8.1</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46025</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46025</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17682-2024</t>
        </is>
      </c>
      <c r="B255" s="1" t="n">
        <v>45418.42966435185</v>
      </c>
      <c r="C255" s="1" t="n">
        <v>46025</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57522-2022</t>
        </is>
      </c>
      <c r="B256" s="1" t="n">
        <v>44896</v>
      </c>
      <c r="C256" s="1" t="n">
        <v>46025</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63516-2023</t>
        </is>
      </c>
      <c r="B257" s="1" t="n">
        <v>45274</v>
      </c>
      <c r="C257" s="1" t="n">
        <v>46025</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24001-2021</t>
        </is>
      </c>
      <c r="B258" s="1" t="n">
        <v>44335</v>
      </c>
      <c r="C258" s="1" t="n">
        <v>46025</v>
      </c>
      <c r="D258" t="inlineStr">
        <is>
          <t>GOTLANDS LÄN</t>
        </is>
      </c>
      <c r="E258" t="inlineStr">
        <is>
          <t>GOTLAND</t>
        </is>
      </c>
      <c r="G258" t="n">
        <v>3.4</v>
      </c>
      <c r="H258" t="n">
        <v>0</v>
      </c>
      <c r="I258" t="n">
        <v>0</v>
      </c>
      <c r="J258" t="n">
        <v>0</v>
      </c>
      <c r="K258" t="n">
        <v>0</v>
      </c>
      <c r="L258" t="n">
        <v>0</v>
      </c>
      <c r="M258" t="n">
        <v>0</v>
      </c>
      <c r="N258" t="n">
        <v>0</v>
      </c>
      <c r="O258" t="n">
        <v>0</v>
      </c>
      <c r="P258" t="n">
        <v>0</v>
      </c>
      <c r="Q258" t="n">
        <v>0</v>
      </c>
      <c r="R258" s="2" t="inlineStr"/>
    </row>
    <row r="259" ht="15" customHeight="1">
      <c r="A259" t="inlineStr">
        <is>
          <t>A 1681-2023</t>
        </is>
      </c>
      <c r="B259" s="1" t="n">
        <v>44938.39715277778</v>
      </c>
      <c r="C259" s="1" t="n">
        <v>46025</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30365-2024</t>
        </is>
      </c>
      <c r="B260" s="1" t="n">
        <v>45491.3716087963</v>
      </c>
      <c r="C260" s="1" t="n">
        <v>46025</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1273-2023</t>
        </is>
      </c>
      <c r="B261" s="1" t="n">
        <v>44936</v>
      </c>
      <c r="C261" s="1" t="n">
        <v>46025</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58780-2024</t>
        </is>
      </c>
      <c r="B262" s="1" t="n">
        <v>45635.84113425926</v>
      </c>
      <c r="C262" s="1" t="n">
        <v>46025</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28285-2024</t>
        </is>
      </c>
      <c r="B263" s="1" t="n">
        <v>45477</v>
      </c>
      <c r="C263" s="1" t="n">
        <v>46025</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45692-2023</t>
        </is>
      </c>
      <c r="B264" s="1" t="n">
        <v>45195</v>
      </c>
      <c r="C264" s="1" t="n">
        <v>46025</v>
      </c>
      <c r="D264" t="inlineStr">
        <is>
          <t>GOTLANDS LÄN</t>
        </is>
      </c>
      <c r="E264" t="inlineStr">
        <is>
          <t>GOTLAND</t>
        </is>
      </c>
      <c r="G264" t="n">
        <v>5.3</v>
      </c>
      <c r="H264" t="n">
        <v>0</v>
      </c>
      <c r="I264" t="n">
        <v>0</v>
      </c>
      <c r="J264" t="n">
        <v>0</v>
      </c>
      <c r="K264" t="n">
        <v>0</v>
      </c>
      <c r="L264" t="n">
        <v>0</v>
      </c>
      <c r="M264" t="n">
        <v>0</v>
      </c>
      <c r="N264" t="n">
        <v>0</v>
      </c>
      <c r="O264" t="n">
        <v>0</v>
      </c>
      <c r="P264" t="n">
        <v>0</v>
      </c>
      <c r="Q264" t="n">
        <v>0</v>
      </c>
      <c r="R264" s="2" t="inlineStr"/>
    </row>
    <row r="265" ht="15" customHeight="1">
      <c r="A265" t="inlineStr">
        <is>
          <t>A 61100-2022</t>
        </is>
      </c>
      <c r="B265" s="1" t="n">
        <v>44915</v>
      </c>
      <c r="C265" s="1" t="n">
        <v>46025</v>
      </c>
      <c r="D265" t="inlineStr">
        <is>
          <t>GOTLANDS LÄN</t>
        </is>
      </c>
      <c r="E265" t="inlineStr">
        <is>
          <t>GOTLAND</t>
        </is>
      </c>
      <c r="G265" t="n">
        <v>1.4</v>
      </c>
      <c r="H265" t="n">
        <v>0</v>
      </c>
      <c r="I265" t="n">
        <v>0</v>
      </c>
      <c r="J265" t="n">
        <v>0</v>
      </c>
      <c r="K265" t="n">
        <v>0</v>
      </c>
      <c r="L265" t="n">
        <v>0</v>
      </c>
      <c r="M265" t="n">
        <v>0</v>
      </c>
      <c r="N265" t="n">
        <v>0</v>
      </c>
      <c r="O265" t="n">
        <v>0</v>
      </c>
      <c r="P265" t="n">
        <v>0</v>
      </c>
      <c r="Q265" t="n">
        <v>0</v>
      </c>
      <c r="R265" s="2" t="inlineStr"/>
    </row>
    <row r="266" ht="15" customHeight="1">
      <c r="A266" t="inlineStr">
        <is>
          <t>A 33876-2024</t>
        </is>
      </c>
      <c r="B266" s="1" t="n">
        <v>45521.87988425926</v>
      </c>
      <c r="C266" s="1" t="n">
        <v>46025</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61682-2024</t>
        </is>
      </c>
      <c r="B267" s="1" t="n">
        <v>45647.48824074074</v>
      </c>
      <c r="C267" s="1" t="n">
        <v>46025</v>
      </c>
      <c r="D267" t="inlineStr">
        <is>
          <t>GOTLANDS LÄN</t>
        </is>
      </c>
      <c r="E267" t="inlineStr">
        <is>
          <t>GOTLAND</t>
        </is>
      </c>
      <c r="G267" t="n">
        <v>1.9</v>
      </c>
      <c r="H267" t="n">
        <v>0</v>
      </c>
      <c r="I267" t="n">
        <v>0</v>
      </c>
      <c r="J267" t="n">
        <v>0</v>
      </c>
      <c r="K267" t="n">
        <v>0</v>
      </c>
      <c r="L267" t="n">
        <v>0</v>
      </c>
      <c r="M267" t="n">
        <v>0</v>
      </c>
      <c r="N267" t="n">
        <v>0</v>
      </c>
      <c r="O267" t="n">
        <v>0</v>
      </c>
      <c r="P267" t="n">
        <v>0</v>
      </c>
      <c r="Q267" t="n">
        <v>0</v>
      </c>
      <c r="R267" s="2" t="inlineStr"/>
    </row>
    <row r="268" ht="15" customHeight="1">
      <c r="A268" t="inlineStr">
        <is>
          <t>A 6099-2024</t>
        </is>
      </c>
      <c r="B268" s="1" t="n">
        <v>45337</v>
      </c>
      <c r="C268" s="1" t="n">
        <v>46025</v>
      </c>
      <c r="D268" t="inlineStr">
        <is>
          <t>GOTLANDS LÄN</t>
        </is>
      </c>
      <c r="E268" t="inlineStr">
        <is>
          <t>GOTLAND</t>
        </is>
      </c>
      <c r="G268" t="n">
        <v>12.6</v>
      </c>
      <c r="H268" t="n">
        <v>0</v>
      </c>
      <c r="I268" t="n">
        <v>0</v>
      </c>
      <c r="J268" t="n">
        <v>0</v>
      </c>
      <c r="K268" t="n">
        <v>0</v>
      </c>
      <c r="L268" t="n">
        <v>0</v>
      </c>
      <c r="M268" t="n">
        <v>0</v>
      </c>
      <c r="N268" t="n">
        <v>0</v>
      </c>
      <c r="O268" t="n">
        <v>0</v>
      </c>
      <c r="P268" t="n">
        <v>0</v>
      </c>
      <c r="Q268" t="n">
        <v>0</v>
      </c>
      <c r="R268" s="2" t="inlineStr"/>
    </row>
    <row r="269" ht="15" customHeight="1">
      <c r="A269" t="inlineStr">
        <is>
          <t>A 58388-2022</t>
        </is>
      </c>
      <c r="B269" s="1" t="n">
        <v>44894</v>
      </c>
      <c r="C269" s="1" t="n">
        <v>46025</v>
      </c>
      <c r="D269" t="inlineStr">
        <is>
          <t>GOTLANDS LÄN</t>
        </is>
      </c>
      <c r="E269" t="inlineStr">
        <is>
          <t>GOTLAND</t>
        </is>
      </c>
      <c r="F269" t="inlineStr">
        <is>
          <t>Övriga statliga verk och myndigheter</t>
        </is>
      </c>
      <c r="G269" t="n">
        <v>3.1</v>
      </c>
      <c r="H269" t="n">
        <v>0</v>
      </c>
      <c r="I269" t="n">
        <v>0</v>
      </c>
      <c r="J269" t="n">
        <v>0</v>
      </c>
      <c r="K269" t="n">
        <v>0</v>
      </c>
      <c r="L269" t="n">
        <v>0</v>
      </c>
      <c r="M269" t="n">
        <v>0</v>
      </c>
      <c r="N269" t="n">
        <v>0</v>
      </c>
      <c r="O269" t="n">
        <v>0</v>
      </c>
      <c r="P269" t="n">
        <v>0</v>
      </c>
      <c r="Q269" t="n">
        <v>0</v>
      </c>
      <c r="R269" s="2" t="inlineStr"/>
    </row>
    <row r="270" ht="15" customHeight="1">
      <c r="A270" t="inlineStr">
        <is>
          <t>A 17688-2024</t>
        </is>
      </c>
      <c r="B270" s="1" t="n">
        <v>45418.43575231481</v>
      </c>
      <c r="C270" s="1" t="n">
        <v>46025</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21792-2024</t>
        </is>
      </c>
      <c r="B271" s="1" t="n">
        <v>45442.64326388889</v>
      </c>
      <c r="C271" s="1" t="n">
        <v>46025</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7837-2024</t>
        </is>
      </c>
      <c r="B272" s="1" t="n">
        <v>45349.83787037037</v>
      </c>
      <c r="C272" s="1" t="n">
        <v>46025</v>
      </c>
      <c r="D272" t="inlineStr">
        <is>
          <t>GOTLANDS LÄN</t>
        </is>
      </c>
      <c r="E272" t="inlineStr">
        <is>
          <t>GOTLAND</t>
        </is>
      </c>
      <c r="G272" t="n">
        <v>5</v>
      </c>
      <c r="H272" t="n">
        <v>0</v>
      </c>
      <c r="I272" t="n">
        <v>0</v>
      </c>
      <c r="J272" t="n">
        <v>0</v>
      </c>
      <c r="K272" t="n">
        <v>0</v>
      </c>
      <c r="L272" t="n">
        <v>0</v>
      </c>
      <c r="M272" t="n">
        <v>0</v>
      </c>
      <c r="N272" t="n">
        <v>0</v>
      </c>
      <c r="O272" t="n">
        <v>0</v>
      </c>
      <c r="P272" t="n">
        <v>0</v>
      </c>
      <c r="Q272" t="n">
        <v>0</v>
      </c>
      <c r="R272" s="2" t="inlineStr"/>
    </row>
    <row r="273" ht="15" customHeight="1">
      <c r="A273" t="inlineStr">
        <is>
          <t>A 4568-2025</t>
        </is>
      </c>
      <c r="B273" s="1" t="n">
        <v>45687</v>
      </c>
      <c r="C273" s="1" t="n">
        <v>46025</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19905-2025</t>
        </is>
      </c>
      <c r="B274" s="1" t="n">
        <v>45771</v>
      </c>
      <c r="C274" s="1" t="n">
        <v>46025</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35512-2023</t>
        </is>
      </c>
      <c r="B275" s="1" t="n">
        <v>45147.25623842593</v>
      </c>
      <c r="C275" s="1" t="n">
        <v>46025</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5905-2024</t>
        </is>
      </c>
      <c r="B276" s="1" t="n">
        <v>45335.88993055555</v>
      </c>
      <c r="C276" s="1" t="n">
        <v>46025</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29196-2025</t>
        </is>
      </c>
      <c r="B277" s="1" t="n">
        <v>45822</v>
      </c>
      <c r="C277" s="1" t="n">
        <v>46025</v>
      </c>
      <c r="D277" t="inlineStr">
        <is>
          <t>GOTLANDS LÄN</t>
        </is>
      </c>
      <c r="E277" t="inlineStr">
        <is>
          <t>GOTLAND</t>
        </is>
      </c>
      <c r="G277" t="n">
        <v>0.5</v>
      </c>
      <c r="H277" t="n">
        <v>0</v>
      </c>
      <c r="I277" t="n">
        <v>0</v>
      </c>
      <c r="J277" t="n">
        <v>0</v>
      </c>
      <c r="K277" t="n">
        <v>0</v>
      </c>
      <c r="L277" t="n">
        <v>0</v>
      </c>
      <c r="M277" t="n">
        <v>0</v>
      </c>
      <c r="N277" t="n">
        <v>0</v>
      </c>
      <c r="O277" t="n">
        <v>0</v>
      </c>
      <c r="P277" t="n">
        <v>0</v>
      </c>
      <c r="Q277" t="n">
        <v>0</v>
      </c>
      <c r="R277" s="2" t="inlineStr"/>
    </row>
    <row r="278" ht="15" customHeight="1">
      <c r="A278" t="inlineStr">
        <is>
          <t>A 1291-2023</t>
        </is>
      </c>
      <c r="B278" s="1" t="n">
        <v>44936.47561342592</v>
      </c>
      <c r="C278" s="1" t="n">
        <v>46025</v>
      </c>
      <c r="D278" t="inlineStr">
        <is>
          <t>GOTLANDS LÄN</t>
        </is>
      </c>
      <c r="E278" t="inlineStr">
        <is>
          <t>GOTLAND</t>
        </is>
      </c>
      <c r="G278" t="n">
        <v>7.4</v>
      </c>
      <c r="H278" t="n">
        <v>0</v>
      </c>
      <c r="I278" t="n">
        <v>0</v>
      </c>
      <c r="J278" t="n">
        <v>0</v>
      </c>
      <c r="K278" t="n">
        <v>0</v>
      </c>
      <c r="L278" t="n">
        <v>0</v>
      </c>
      <c r="M278" t="n">
        <v>0</v>
      </c>
      <c r="N278" t="n">
        <v>0</v>
      </c>
      <c r="O278" t="n">
        <v>0</v>
      </c>
      <c r="P278" t="n">
        <v>0</v>
      </c>
      <c r="Q278" t="n">
        <v>0</v>
      </c>
      <c r="R278" s="2" t="inlineStr"/>
    </row>
    <row r="279" ht="15" customHeight="1">
      <c r="A279" t="inlineStr">
        <is>
          <t>A 29207-2025</t>
        </is>
      </c>
      <c r="B279" s="1" t="n">
        <v>45823</v>
      </c>
      <c r="C279" s="1" t="n">
        <v>46025</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57652-2023</t>
        </is>
      </c>
      <c r="B280" s="1" t="n">
        <v>45246</v>
      </c>
      <c r="C280" s="1" t="n">
        <v>46025</v>
      </c>
      <c r="D280" t="inlineStr">
        <is>
          <t>GOTLANDS LÄN</t>
        </is>
      </c>
      <c r="E280" t="inlineStr">
        <is>
          <t>GOTLAND</t>
        </is>
      </c>
      <c r="G280" t="n">
        <v>7.2</v>
      </c>
      <c r="H280" t="n">
        <v>0</v>
      </c>
      <c r="I280" t="n">
        <v>0</v>
      </c>
      <c r="J280" t="n">
        <v>0</v>
      </c>
      <c r="K280" t="n">
        <v>0</v>
      </c>
      <c r="L280" t="n">
        <v>0</v>
      </c>
      <c r="M280" t="n">
        <v>0</v>
      </c>
      <c r="N280" t="n">
        <v>0</v>
      </c>
      <c r="O280" t="n">
        <v>0</v>
      </c>
      <c r="P280" t="n">
        <v>0</v>
      </c>
      <c r="Q280" t="n">
        <v>0</v>
      </c>
      <c r="R280" s="2" t="inlineStr"/>
    </row>
    <row r="281" ht="15" customHeight="1">
      <c r="A281" t="inlineStr">
        <is>
          <t>A 49315-2024</t>
        </is>
      </c>
      <c r="B281" s="1" t="n">
        <v>45595</v>
      </c>
      <c r="C281" s="1" t="n">
        <v>46025</v>
      </c>
      <c r="D281" t="inlineStr">
        <is>
          <t>GOTLANDS LÄN</t>
        </is>
      </c>
      <c r="E281" t="inlineStr">
        <is>
          <t>GOTLAND</t>
        </is>
      </c>
      <c r="G281" t="n">
        <v>1.5</v>
      </c>
      <c r="H281" t="n">
        <v>0</v>
      </c>
      <c r="I281" t="n">
        <v>0</v>
      </c>
      <c r="J281" t="n">
        <v>0</v>
      </c>
      <c r="K281" t="n">
        <v>0</v>
      </c>
      <c r="L281" t="n">
        <v>0</v>
      </c>
      <c r="M281" t="n">
        <v>0</v>
      </c>
      <c r="N281" t="n">
        <v>0</v>
      </c>
      <c r="O281" t="n">
        <v>0</v>
      </c>
      <c r="P281" t="n">
        <v>0</v>
      </c>
      <c r="Q281" t="n">
        <v>0</v>
      </c>
      <c r="R281" s="2" t="inlineStr"/>
    </row>
    <row r="282" ht="15" customHeight="1">
      <c r="A282" t="inlineStr">
        <is>
          <t>A 18993-2025</t>
        </is>
      </c>
      <c r="B282" s="1" t="n">
        <v>45764</v>
      </c>
      <c r="C282" s="1" t="n">
        <v>46025</v>
      </c>
      <c r="D282" t="inlineStr">
        <is>
          <t>GOTLANDS LÄN</t>
        </is>
      </c>
      <c r="E282" t="inlineStr">
        <is>
          <t>GOTLAND</t>
        </is>
      </c>
      <c r="G282" t="n">
        <v>3</v>
      </c>
      <c r="H282" t="n">
        <v>0</v>
      </c>
      <c r="I282" t="n">
        <v>0</v>
      </c>
      <c r="J282" t="n">
        <v>0</v>
      </c>
      <c r="K282" t="n">
        <v>0</v>
      </c>
      <c r="L282" t="n">
        <v>0</v>
      </c>
      <c r="M282" t="n">
        <v>0</v>
      </c>
      <c r="N282" t="n">
        <v>0</v>
      </c>
      <c r="O282" t="n">
        <v>0</v>
      </c>
      <c r="P282" t="n">
        <v>0</v>
      </c>
      <c r="Q282" t="n">
        <v>0</v>
      </c>
      <c r="R282" s="2" t="inlineStr"/>
    </row>
    <row r="283" ht="15" customHeight="1">
      <c r="A283" t="inlineStr">
        <is>
          <t>A 45106-2024</t>
        </is>
      </c>
      <c r="B283" s="1" t="n">
        <v>45575</v>
      </c>
      <c r="C283" s="1" t="n">
        <v>46025</v>
      </c>
      <c r="D283" t="inlineStr">
        <is>
          <t>GOTLANDS LÄN</t>
        </is>
      </c>
      <c r="E283" t="inlineStr">
        <is>
          <t>GOTLAND</t>
        </is>
      </c>
      <c r="G283" t="n">
        <v>10</v>
      </c>
      <c r="H283" t="n">
        <v>0</v>
      </c>
      <c r="I283" t="n">
        <v>0</v>
      </c>
      <c r="J283" t="n">
        <v>0</v>
      </c>
      <c r="K283" t="n">
        <v>0</v>
      </c>
      <c r="L283" t="n">
        <v>0</v>
      </c>
      <c r="M283" t="n">
        <v>0</v>
      </c>
      <c r="N283" t="n">
        <v>0</v>
      </c>
      <c r="O283" t="n">
        <v>0</v>
      </c>
      <c r="P283" t="n">
        <v>0</v>
      </c>
      <c r="Q283" t="n">
        <v>0</v>
      </c>
      <c r="R283" s="2" t="inlineStr"/>
    </row>
    <row r="284" ht="15" customHeight="1">
      <c r="A284" t="inlineStr">
        <is>
          <t>A 45112-2024</t>
        </is>
      </c>
      <c r="B284" s="1" t="n">
        <v>45575</v>
      </c>
      <c r="C284" s="1" t="n">
        <v>46025</v>
      </c>
      <c r="D284" t="inlineStr">
        <is>
          <t>GOTLANDS LÄN</t>
        </is>
      </c>
      <c r="E284" t="inlineStr">
        <is>
          <t>GOTLAND</t>
        </is>
      </c>
      <c r="G284" t="n">
        <v>5.1</v>
      </c>
      <c r="H284" t="n">
        <v>0</v>
      </c>
      <c r="I284" t="n">
        <v>0</v>
      </c>
      <c r="J284" t="n">
        <v>0</v>
      </c>
      <c r="K284" t="n">
        <v>0</v>
      </c>
      <c r="L284" t="n">
        <v>0</v>
      </c>
      <c r="M284" t="n">
        <v>0</v>
      </c>
      <c r="N284" t="n">
        <v>0</v>
      </c>
      <c r="O284" t="n">
        <v>0</v>
      </c>
      <c r="P284" t="n">
        <v>0</v>
      </c>
      <c r="Q284" t="n">
        <v>0</v>
      </c>
      <c r="R284" s="2" t="inlineStr"/>
    </row>
    <row r="285" ht="15" customHeight="1">
      <c r="A285" t="inlineStr">
        <is>
          <t>A 30061-2025</t>
        </is>
      </c>
      <c r="B285" s="1" t="n">
        <v>45826.61488425926</v>
      </c>
      <c r="C285" s="1" t="n">
        <v>46025</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2676-2023</t>
        </is>
      </c>
      <c r="B286" s="1" t="n">
        <v>44944</v>
      </c>
      <c r="C286" s="1" t="n">
        <v>46025</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30135-2025</t>
        </is>
      </c>
      <c r="B287" s="1" t="n">
        <v>45826</v>
      </c>
      <c r="C287" s="1" t="n">
        <v>46025</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12599-2025</t>
        </is>
      </c>
      <c r="B288" s="1" t="n">
        <v>45733.29546296296</v>
      </c>
      <c r="C288" s="1" t="n">
        <v>46025</v>
      </c>
      <c r="D288" t="inlineStr">
        <is>
          <t>GOTLANDS LÄN</t>
        </is>
      </c>
      <c r="E288" t="inlineStr">
        <is>
          <t>GOTLAND</t>
        </is>
      </c>
      <c r="G288" t="n">
        <v>4.7</v>
      </c>
      <c r="H288" t="n">
        <v>0</v>
      </c>
      <c r="I288" t="n">
        <v>0</v>
      </c>
      <c r="J288" t="n">
        <v>0</v>
      </c>
      <c r="K288" t="n">
        <v>0</v>
      </c>
      <c r="L288" t="n">
        <v>0</v>
      </c>
      <c r="M288" t="n">
        <v>0</v>
      </c>
      <c r="N288" t="n">
        <v>0</v>
      </c>
      <c r="O288" t="n">
        <v>0</v>
      </c>
      <c r="P288" t="n">
        <v>0</v>
      </c>
      <c r="Q288" t="n">
        <v>0</v>
      </c>
      <c r="R288" s="2" t="inlineStr"/>
    </row>
    <row r="289" ht="15" customHeight="1">
      <c r="A289" t="inlineStr">
        <is>
          <t>A 3150-2025</t>
        </is>
      </c>
      <c r="B289" s="1" t="n">
        <v>45679.28974537037</v>
      </c>
      <c r="C289" s="1" t="n">
        <v>46025</v>
      </c>
      <c r="D289" t="inlineStr">
        <is>
          <t>GOTLANDS LÄN</t>
        </is>
      </c>
      <c r="E289" t="inlineStr">
        <is>
          <t>GOTLAND</t>
        </is>
      </c>
      <c r="G289" t="n">
        <v>2.5</v>
      </c>
      <c r="H289" t="n">
        <v>0</v>
      </c>
      <c r="I289" t="n">
        <v>0</v>
      </c>
      <c r="J289" t="n">
        <v>0</v>
      </c>
      <c r="K289" t="n">
        <v>0</v>
      </c>
      <c r="L289" t="n">
        <v>0</v>
      </c>
      <c r="M289" t="n">
        <v>0</v>
      </c>
      <c r="N289" t="n">
        <v>0</v>
      </c>
      <c r="O289" t="n">
        <v>0</v>
      </c>
      <c r="P289" t="n">
        <v>0</v>
      </c>
      <c r="Q289" t="n">
        <v>0</v>
      </c>
      <c r="R289" s="2" t="inlineStr"/>
    </row>
    <row r="290" ht="15" customHeight="1">
      <c r="A290" t="inlineStr">
        <is>
          <t>A 35141-2025</t>
        </is>
      </c>
      <c r="B290" s="1" t="n">
        <v>45852.65206018519</v>
      </c>
      <c r="C290" s="1" t="n">
        <v>46025</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8484-2025</t>
        </is>
      </c>
      <c r="B291" s="1" t="n">
        <v>45709</v>
      </c>
      <c r="C291" s="1" t="n">
        <v>46025</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35142-2025</t>
        </is>
      </c>
      <c r="B292" s="1" t="n">
        <v>45852.65532407408</v>
      </c>
      <c r="C292" s="1" t="n">
        <v>46025</v>
      </c>
      <c r="D292" t="inlineStr">
        <is>
          <t>GOTLANDS LÄN</t>
        </is>
      </c>
      <c r="E292" t="inlineStr">
        <is>
          <t>GOTLAND</t>
        </is>
      </c>
      <c r="G292" t="n">
        <v>2.4</v>
      </c>
      <c r="H292" t="n">
        <v>0</v>
      </c>
      <c r="I292" t="n">
        <v>0</v>
      </c>
      <c r="J292" t="n">
        <v>0</v>
      </c>
      <c r="K292" t="n">
        <v>0</v>
      </c>
      <c r="L292" t="n">
        <v>0</v>
      </c>
      <c r="M292" t="n">
        <v>0</v>
      </c>
      <c r="N292" t="n">
        <v>0</v>
      </c>
      <c r="O292" t="n">
        <v>0</v>
      </c>
      <c r="P292" t="n">
        <v>0</v>
      </c>
      <c r="Q292" t="n">
        <v>0</v>
      </c>
      <c r="R292" s="2" t="inlineStr"/>
    </row>
    <row r="293" ht="15" customHeight="1">
      <c r="A293" t="inlineStr">
        <is>
          <t>A 7635-2025</t>
        </is>
      </c>
      <c r="B293" s="1" t="n">
        <v>45705</v>
      </c>
      <c r="C293" s="1" t="n">
        <v>46025</v>
      </c>
      <c r="D293" t="inlineStr">
        <is>
          <t>GOTLANDS LÄN</t>
        </is>
      </c>
      <c r="E293" t="inlineStr">
        <is>
          <t>GOTLAND</t>
        </is>
      </c>
      <c r="G293" t="n">
        <v>0.9</v>
      </c>
      <c r="H293" t="n">
        <v>0</v>
      </c>
      <c r="I293" t="n">
        <v>0</v>
      </c>
      <c r="J293" t="n">
        <v>0</v>
      </c>
      <c r="K293" t="n">
        <v>0</v>
      </c>
      <c r="L293" t="n">
        <v>0</v>
      </c>
      <c r="M293" t="n">
        <v>0</v>
      </c>
      <c r="N293" t="n">
        <v>0</v>
      </c>
      <c r="O293" t="n">
        <v>0</v>
      </c>
      <c r="P293" t="n">
        <v>0</v>
      </c>
      <c r="Q293" t="n">
        <v>0</v>
      </c>
      <c r="R293" s="2" t="inlineStr"/>
    </row>
    <row r="294" ht="15" customHeight="1">
      <c r="A294" t="inlineStr">
        <is>
          <t>A 7636-2025</t>
        </is>
      </c>
      <c r="B294" s="1" t="n">
        <v>45705.7687962963</v>
      </c>
      <c r="C294" s="1" t="n">
        <v>46025</v>
      </c>
      <c r="D294" t="inlineStr">
        <is>
          <t>GOTLANDS LÄN</t>
        </is>
      </c>
      <c r="E294" t="inlineStr">
        <is>
          <t>GOTLAND</t>
        </is>
      </c>
      <c r="G294" t="n">
        <v>0.6</v>
      </c>
      <c r="H294" t="n">
        <v>0</v>
      </c>
      <c r="I294" t="n">
        <v>0</v>
      </c>
      <c r="J294" t="n">
        <v>0</v>
      </c>
      <c r="K294" t="n">
        <v>0</v>
      </c>
      <c r="L294" t="n">
        <v>0</v>
      </c>
      <c r="M294" t="n">
        <v>0</v>
      </c>
      <c r="N294" t="n">
        <v>0</v>
      </c>
      <c r="O294" t="n">
        <v>0</v>
      </c>
      <c r="P294" t="n">
        <v>0</v>
      </c>
      <c r="Q294" t="n">
        <v>0</v>
      </c>
      <c r="R294" s="2" t="inlineStr"/>
    </row>
    <row r="295" ht="15" customHeight="1">
      <c r="A295" t="inlineStr">
        <is>
          <t>A 7639-2025</t>
        </is>
      </c>
      <c r="B295" s="1" t="n">
        <v>45705.77465277778</v>
      </c>
      <c r="C295" s="1" t="n">
        <v>46025</v>
      </c>
      <c r="D295" t="inlineStr">
        <is>
          <t>GOTLANDS LÄN</t>
        </is>
      </c>
      <c r="E295" t="inlineStr">
        <is>
          <t>GOTLAND</t>
        </is>
      </c>
      <c r="G295" t="n">
        <v>1</v>
      </c>
      <c r="H295" t="n">
        <v>0</v>
      </c>
      <c r="I295" t="n">
        <v>0</v>
      </c>
      <c r="J295" t="n">
        <v>0</v>
      </c>
      <c r="K295" t="n">
        <v>0</v>
      </c>
      <c r="L295" t="n">
        <v>0</v>
      </c>
      <c r="M295" t="n">
        <v>0</v>
      </c>
      <c r="N295" t="n">
        <v>0</v>
      </c>
      <c r="O295" t="n">
        <v>0</v>
      </c>
      <c r="P295" t="n">
        <v>0</v>
      </c>
      <c r="Q295" t="n">
        <v>0</v>
      </c>
      <c r="R295" s="2" t="inlineStr"/>
    </row>
    <row r="296" ht="15" customHeight="1">
      <c r="A296" t="inlineStr">
        <is>
          <t>A 58160-2024</t>
        </is>
      </c>
      <c r="B296" s="1" t="n">
        <v>45632.44927083333</v>
      </c>
      <c r="C296" s="1" t="n">
        <v>46025</v>
      </c>
      <c r="D296" t="inlineStr">
        <is>
          <t>GOTLANDS LÄN</t>
        </is>
      </c>
      <c r="E296" t="inlineStr">
        <is>
          <t>GOTLAND</t>
        </is>
      </c>
      <c r="G296" t="n">
        <v>5.6</v>
      </c>
      <c r="H296" t="n">
        <v>0</v>
      </c>
      <c r="I296" t="n">
        <v>0</v>
      </c>
      <c r="J296" t="n">
        <v>0</v>
      </c>
      <c r="K296" t="n">
        <v>0</v>
      </c>
      <c r="L296" t="n">
        <v>0</v>
      </c>
      <c r="M296" t="n">
        <v>0</v>
      </c>
      <c r="N296" t="n">
        <v>0</v>
      </c>
      <c r="O296" t="n">
        <v>0</v>
      </c>
      <c r="P296" t="n">
        <v>0</v>
      </c>
      <c r="Q296" t="n">
        <v>0</v>
      </c>
      <c r="R296" s="2" t="inlineStr"/>
    </row>
    <row r="297" ht="15" customHeight="1">
      <c r="A297" t="inlineStr">
        <is>
          <t>A 20356-2022</t>
        </is>
      </c>
      <c r="B297" s="1" t="n">
        <v>44699</v>
      </c>
      <c r="C297" s="1" t="n">
        <v>46025</v>
      </c>
      <c r="D297" t="inlineStr">
        <is>
          <t>GOTLANDS LÄN</t>
        </is>
      </c>
      <c r="E297" t="inlineStr">
        <is>
          <t>GOTLAND</t>
        </is>
      </c>
      <c r="F297" t="inlineStr">
        <is>
          <t>Övriga Aktiebolag</t>
        </is>
      </c>
      <c r="G297" t="n">
        <v>4.4</v>
      </c>
      <c r="H297" t="n">
        <v>0</v>
      </c>
      <c r="I297" t="n">
        <v>0</v>
      </c>
      <c r="J297" t="n">
        <v>0</v>
      </c>
      <c r="K297" t="n">
        <v>0</v>
      </c>
      <c r="L297" t="n">
        <v>0</v>
      </c>
      <c r="M297" t="n">
        <v>0</v>
      </c>
      <c r="N297" t="n">
        <v>0</v>
      </c>
      <c r="O297" t="n">
        <v>0</v>
      </c>
      <c r="P297" t="n">
        <v>0</v>
      </c>
      <c r="Q297" t="n">
        <v>0</v>
      </c>
      <c r="R297" s="2" t="inlineStr"/>
    </row>
    <row r="298" ht="15" customHeight="1">
      <c r="A298" t="inlineStr">
        <is>
          <t>A 48734-2022</t>
        </is>
      </c>
      <c r="B298" s="1" t="n">
        <v>44855</v>
      </c>
      <c r="C298" s="1" t="n">
        <v>46025</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14141-2024</t>
        </is>
      </c>
      <c r="B299" s="1" t="n">
        <v>45392.85193287037</v>
      </c>
      <c r="C299" s="1" t="n">
        <v>46025</v>
      </c>
      <c r="D299" t="inlineStr">
        <is>
          <t>GOTLANDS LÄN</t>
        </is>
      </c>
      <c r="E299" t="inlineStr">
        <is>
          <t>GOTLAND</t>
        </is>
      </c>
      <c r="G299" t="n">
        <v>5.3</v>
      </c>
      <c r="H299" t="n">
        <v>0</v>
      </c>
      <c r="I299" t="n">
        <v>0</v>
      </c>
      <c r="J299" t="n">
        <v>0</v>
      </c>
      <c r="K299" t="n">
        <v>0</v>
      </c>
      <c r="L299" t="n">
        <v>0</v>
      </c>
      <c r="M299" t="n">
        <v>0</v>
      </c>
      <c r="N299" t="n">
        <v>0</v>
      </c>
      <c r="O299" t="n">
        <v>0</v>
      </c>
      <c r="P299" t="n">
        <v>0</v>
      </c>
      <c r="Q299" t="n">
        <v>0</v>
      </c>
      <c r="R299" s="2" t="inlineStr"/>
    </row>
    <row r="300" ht="15" customHeight="1">
      <c r="A300" t="inlineStr">
        <is>
          <t>A 29809-2022</t>
        </is>
      </c>
      <c r="B300" s="1" t="n">
        <v>44755.8713425926</v>
      </c>
      <c r="C300" s="1" t="n">
        <v>46025</v>
      </c>
      <c r="D300" t="inlineStr">
        <is>
          <t>GOTLANDS LÄN</t>
        </is>
      </c>
      <c r="E300" t="inlineStr">
        <is>
          <t>GOTLAND</t>
        </is>
      </c>
      <c r="G300" t="n">
        <v>11.5</v>
      </c>
      <c r="H300" t="n">
        <v>0</v>
      </c>
      <c r="I300" t="n">
        <v>0</v>
      </c>
      <c r="J300" t="n">
        <v>0</v>
      </c>
      <c r="K300" t="n">
        <v>0</v>
      </c>
      <c r="L300" t="n">
        <v>0</v>
      </c>
      <c r="M300" t="n">
        <v>0</v>
      </c>
      <c r="N300" t="n">
        <v>0</v>
      </c>
      <c r="O300" t="n">
        <v>0</v>
      </c>
      <c r="P300" t="n">
        <v>0</v>
      </c>
      <c r="Q300" t="n">
        <v>0</v>
      </c>
      <c r="R300" s="2" t="inlineStr"/>
    </row>
    <row r="301" ht="15" customHeight="1">
      <c r="A301" t="inlineStr">
        <is>
          <t>A 39819-2025</t>
        </is>
      </c>
      <c r="B301" s="1" t="n">
        <v>45891.53418981482</v>
      </c>
      <c r="C301" s="1" t="n">
        <v>46025</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39814-2025</t>
        </is>
      </c>
      <c r="B302" s="1" t="n">
        <v>45891.52694444444</v>
      </c>
      <c r="C302" s="1" t="n">
        <v>46025</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39849-2025</t>
        </is>
      </c>
      <c r="B303" s="1" t="n">
        <v>45891.58502314815</v>
      </c>
      <c r="C303" s="1" t="n">
        <v>46025</v>
      </c>
      <c r="D303" t="inlineStr">
        <is>
          <t>GOTLANDS LÄN</t>
        </is>
      </c>
      <c r="E303" t="inlineStr">
        <is>
          <t>GOTLAND</t>
        </is>
      </c>
      <c r="G303" t="n">
        <v>6.1</v>
      </c>
      <c r="H303" t="n">
        <v>0</v>
      </c>
      <c r="I303" t="n">
        <v>0</v>
      </c>
      <c r="J303" t="n">
        <v>0</v>
      </c>
      <c r="K303" t="n">
        <v>0</v>
      </c>
      <c r="L303" t="n">
        <v>0</v>
      </c>
      <c r="M303" t="n">
        <v>0</v>
      </c>
      <c r="N303" t="n">
        <v>0</v>
      </c>
      <c r="O303" t="n">
        <v>0</v>
      </c>
      <c r="P303" t="n">
        <v>0</v>
      </c>
      <c r="Q303" t="n">
        <v>0</v>
      </c>
      <c r="R303" s="2" t="inlineStr"/>
    </row>
    <row r="304" ht="15" customHeight="1">
      <c r="A304" t="inlineStr">
        <is>
          <t>A 39752-2025</t>
        </is>
      </c>
      <c r="B304" s="1" t="n">
        <v>45891</v>
      </c>
      <c r="C304" s="1" t="n">
        <v>46025</v>
      </c>
      <c r="D304" t="inlineStr">
        <is>
          <t>GOTLANDS LÄN</t>
        </is>
      </c>
      <c r="E304" t="inlineStr">
        <is>
          <t>GOTLAND</t>
        </is>
      </c>
      <c r="G304" t="n">
        <v>5.3</v>
      </c>
      <c r="H304" t="n">
        <v>0</v>
      </c>
      <c r="I304" t="n">
        <v>0</v>
      </c>
      <c r="J304" t="n">
        <v>0</v>
      </c>
      <c r="K304" t="n">
        <v>0</v>
      </c>
      <c r="L304" t="n">
        <v>0</v>
      </c>
      <c r="M304" t="n">
        <v>0</v>
      </c>
      <c r="N304" t="n">
        <v>0</v>
      </c>
      <c r="O304" t="n">
        <v>0</v>
      </c>
      <c r="P304" t="n">
        <v>0</v>
      </c>
      <c r="Q304" t="n">
        <v>0</v>
      </c>
      <c r="R304" s="2" t="inlineStr"/>
    </row>
    <row r="305" ht="15" customHeight="1">
      <c r="A305" t="inlineStr">
        <is>
          <t>A 38649-2025</t>
        </is>
      </c>
      <c r="B305" s="1" t="n">
        <v>45884</v>
      </c>
      <c r="C305" s="1" t="n">
        <v>46025</v>
      </c>
      <c r="D305" t="inlineStr">
        <is>
          <t>GOTLANDS LÄN</t>
        </is>
      </c>
      <c r="E305" t="inlineStr">
        <is>
          <t>GOTLAND</t>
        </is>
      </c>
      <c r="G305" t="n">
        <v>1.5</v>
      </c>
      <c r="H305" t="n">
        <v>0</v>
      </c>
      <c r="I305" t="n">
        <v>0</v>
      </c>
      <c r="J305" t="n">
        <v>0</v>
      </c>
      <c r="K305" t="n">
        <v>0</v>
      </c>
      <c r="L305" t="n">
        <v>0</v>
      </c>
      <c r="M305" t="n">
        <v>0</v>
      </c>
      <c r="N305" t="n">
        <v>0</v>
      </c>
      <c r="O305" t="n">
        <v>0</v>
      </c>
      <c r="P305" t="n">
        <v>0</v>
      </c>
      <c r="Q305" t="n">
        <v>0</v>
      </c>
      <c r="R305" s="2" t="inlineStr"/>
    </row>
    <row r="306" ht="15" customHeight="1">
      <c r="A306" t="inlineStr">
        <is>
          <t>A 39816-2025</t>
        </is>
      </c>
      <c r="B306" s="1" t="n">
        <v>45891</v>
      </c>
      <c r="C306" s="1" t="n">
        <v>46025</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40103-2025</t>
        </is>
      </c>
      <c r="B307" s="1" t="n">
        <v>45894.4880324074</v>
      </c>
      <c r="C307" s="1" t="n">
        <v>46025</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40373-2025</t>
        </is>
      </c>
      <c r="B308" s="1" t="n">
        <v>45895.51821759259</v>
      </c>
      <c r="C308" s="1" t="n">
        <v>46025</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40499-2025</t>
        </is>
      </c>
      <c r="B309" s="1" t="n">
        <v>45896.32517361111</v>
      </c>
      <c r="C309" s="1" t="n">
        <v>46025</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40372-2025</t>
        </is>
      </c>
      <c r="B310" s="1" t="n">
        <v>45895.5162037037</v>
      </c>
      <c r="C310" s="1" t="n">
        <v>46025</v>
      </c>
      <c r="D310" t="inlineStr">
        <is>
          <t>GOTLANDS LÄN</t>
        </is>
      </c>
      <c r="E310" t="inlineStr">
        <is>
          <t>GOTLAND</t>
        </is>
      </c>
      <c r="G310" t="n">
        <v>3.3</v>
      </c>
      <c r="H310" t="n">
        <v>0</v>
      </c>
      <c r="I310" t="n">
        <v>0</v>
      </c>
      <c r="J310" t="n">
        <v>0</v>
      </c>
      <c r="K310" t="n">
        <v>0</v>
      </c>
      <c r="L310" t="n">
        <v>0</v>
      </c>
      <c r="M310" t="n">
        <v>0</v>
      </c>
      <c r="N310" t="n">
        <v>0</v>
      </c>
      <c r="O310" t="n">
        <v>0</v>
      </c>
      <c r="P310" t="n">
        <v>0</v>
      </c>
      <c r="Q310" t="n">
        <v>0</v>
      </c>
      <c r="R310" s="2" t="inlineStr"/>
    </row>
    <row r="311" ht="15" customHeight="1">
      <c r="A311" t="inlineStr">
        <is>
          <t>A 57685-2022</t>
        </is>
      </c>
      <c r="B311" s="1" t="n">
        <v>44897.4777662037</v>
      </c>
      <c r="C311" s="1" t="n">
        <v>46025</v>
      </c>
      <c r="D311" t="inlineStr">
        <is>
          <t>GOTLANDS LÄN</t>
        </is>
      </c>
      <c r="E311" t="inlineStr">
        <is>
          <t>GOTLAND</t>
        </is>
      </c>
      <c r="G311" t="n">
        <v>3.7</v>
      </c>
      <c r="H311" t="n">
        <v>0</v>
      </c>
      <c r="I311" t="n">
        <v>0</v>
      </c>
      <c r="J311" t="n">
        <v>0</v>
      </c>
      <c r="K311" t="n">
        <v>0</v>
      </c>
      <c r="L311" t="n">
        <v>0</v>
      </c>
      <c r="M311" t="n">
        <v>0</v>
      </c>
      <c r="N311" t="n">
        <v>0</v>
      </c>
      <c r="O311" t="n">
        <v>0</v>
      </c>
      <c r="P311" t="n">
        <v>0</v>
      </c>
      <c r="Q311" t="n">
        <v>0</v>
      </c>
      <c r="R311" s="2" t="inlineStr"/>
    </row>
    <row r="312" ht="15" customHeight="1">
      <c r="A312" t="inlineStr">
        <is>
          <t>A 39278-2025</t>
        </is>
      </c>
      <c r="B312" s="1" t="n">
        <v>45889</v>
      </c>
      <c r="C312" s="1" t="n">
        <v>46025</v>
      </c>
      <c r="D312" t="inlineStr">
        <is>
          <t>GOTLANDS LÄN</t>
        </is>
      </c>
      <c r="E312" t="inlineStr">
        <is>
          <t>GOTLAND</t>
        </is>
      </c>
      <c r="G312" t="n">
        <v>3.7</v>
      </c>
      <c r="H312" t="n">
        <v>0</v>
      </c>
      <c r="I312" t="n">
        <v>0</v>
      </c>
      <c r="J312" t="n">
        <v>0</v>
      </c>
      <c r="K312" t="n">
        <v>0</v>
      </c>
      <c r="L312" t="n">
        <v>0</v>
      </c>
      <c r="M312" t="n">
        <v>0</v>
      </c>
      <c r="N312" t="n">
        <v>0</v>
      </c>
      <c r="O312" t="n">
        <v>0</v>
      </c>
      <c r="P312" t="n">
        <v>0</v>
      </c>
      <c r="Q312" t="n">
        <v>0</v>
      </c>
      <c r="R312" s="2" t="inlineStr"/>
    </row>
    <row r="313" ht="15" customHeight="1">
      <c r="A313" t="inlineStr">
        <is>
          <t>A 30815-2023</t>
        </is>
      </c>
      <c r="B313" s="1" t="n">
        <v>45112</v>
      </c>
      <c r="C313" s="1" t="n">
        <v>46025</v>
      </c>
      <c r="D313" t="inlineStr">
        <is>
          <t>GOTLANDS LÄN</t>
        </is>
      </c>
      <c r="E313" t="inlineStr">
        <is>
          <t>GOTLAND</t>
        </is>
      </c>
      <c r="G313" t="n">
        <v>6</v>
      </c>
      <c r="H313" t="n">
        <v>0</v>
      </c>
      <c r="I313" t="n">
        <v>0</v>
      </c>
      <c r="J313" t="n">
        <v>0</v>
      </c>
      <c r="K313" t="n">
        <v>0</v>
      </c>
      <c r="L313" t="n">
        <v>0</v>
      </c>
      <c r="M313" t="n">
        <v>0</v>
      </c>
      <c r="N313" t="n">
        <v>0</v>
      </c>
      <c r="O313" t="n">
        <v>0</v>
      </c>
      <c r="P313" t="n">
        <v>0</v>
      </c>
      <c r="Q313" t="n">
        <v>0</v>
      </c>
      <c r="R313" s="2" t="inlineStr"/>
    </row>
    <row r="314" ht="15" customHeight="1">
      <c r="A314" t="inlineStr">
        <is>
          <t>A 7034-2023</t>
        </is>
      </c>
      <c r="B314" s="1" t="n">
        <v>44968.32108796296</v>
      </c>
      <c r="C314" s="1" t="n">
        <v>46025</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7042-2023</t>
        </is>
      </c>
      <c r="B315" s="1" t="n">
        <v>44968</v>
      </c>
      <c r="C315" s="1" t="n">
        <v>46025</v>
      </c>
      <c r="D315" t="inlineStr">
        <is>
          <t>GOTLANDS LÄN</t>
        </is>
      </c>
      <c r="E315" t="inlineStr">
        <is>
          <t>GOTLAND</t>
        </is>
      </c>
      <c r="G315" t="n">
        <v>0.7</v>
      </c>
      <c r="H315" t="n">
        <v>0</v>
      </c>
      <c r="I315" t="n">
        <v>0</v>
      </c>
      <c r="J315" t="n">
        <v>0</v>
      </c>
      <c r="K315" t="n">
        <v>0</v>
      </c>
      <c r="L315" t="n">
        <v>0</v>
      </c>
      <c r="M315" t="n">
        <v>0</v>
      </c>
      <c r="N315" t="n">
        <v>0</v>
      </c>
      <c r="O315" t="n">
        <v>0</v>
      </c>
      <c r="P315" t="n">
        <v>0</v>
      </c>
      <c r="Q315" t="n">
        <v>0</v>
      </c>
      <c r="R315" s="2" t="inlineStr"/>
    </row>
    <row r="316" ht="15" customHeight="1">
      <c r="A316" t="inlineStr">
        <is>
          <t>A 23516-2023</t>
        </is>
      </c>
      <c r="B316" s="1" t="n">
        <v>45076.93391203704</v>
      </c>
      <c r="C316" s="1" t="n">
        <v>46025</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64660-2023</t>
        </is>
      </c>
      <c r="B317" s="1" t="n">
        <v>45281.60122685185</v>
      </c>
      <c r="C317" s="1" t="n">
        <v>46025</v>
      </c>
      <c r="D317" t="inlineStr">
        <is>
          <t>GOTLANDS LÄN</t>
        </is>
      </c>
      <c r="E317" t="inlineStr">
        <is>
          <t>GOTLAND</t>
        </is>
      </c>
      <c r="G317" t="n">
        <v>6.3</v>
      </c>
      <c r="H317" t="n">
        <v>0</v>
      </c>
      <c r="I317" t="n">
        <v>0</v>
      </c>
      <c r="J317" t="n">
        <v>0</v>
      </c>
      <c r="K317" t="n">
        <v>0</v>
      </c>
      <c r="L317" t="n">
        <v>0</v>
      </c>
      <c r="M317" t="n">
        <v>0</v>
      </c>
      <c r="N317" t="n">
        <v>0</v>
      </c>
      <c r="O317" t="n">
        <v>0</v>
      </c>
      <c r="P317" t="n">
        <v>0</v>
      </c>
      <c r="Q317" t="n">
        <v>0</v>
      </c>
      <c r="R317" s="2" t="inlineStr"/>
    </row>
    <row r="318" ht="15" customHeight="1">
      <c r="A318" t="inlineStr">
        <is>
          <t>A 41435-2025</t>
        </is>
      </c>
      <c r="B318" s="1" t="n">
        <v>45901.39974537037</v>
      </c>
      <c r="C318" s="1" t="n">
        <v>46025</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63763-2023</t>
        </is>
      </c>
      <c r="B319" s="1" t="n">
        <v>45278.33944444444</v>
      </c>
      <c r="C319" s="1" t="n">
        <v>46025</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41551-2025</t>
        </is>
      </c>
      <c r="B320" s="1" t="n">
        <v>45901.58854166666</v>
      </c>
      <c r="C320" s="1" t="n">
        <v>46025</v>
      </c>
      <c r="D320" t="inlineStr">
        <is>
          <t>GOTLANDS LÄN</t>
        </is>
      </c>
      <c r="E320" t="inlineStr">
        <is>
          <t>GOTLAND</t>
        </is>
      </c>
      <c r="G320" t="n">
        <v>5.6</v>
      </c>
      <c r="H320" t="n">
        <v>0</v>
      </c>
      <c r="I320" t="n">
        <v>0</v>
      </c>
      <c r="J320" t="n">
        <v>0</v>
      </c>
      <c r="K320" t="n">
        <v>0</v>
      </c>
      <c r="L320" t="n">
        <v>0</v>
      </c>
      <c r="M320" t="n">
        <v>0</v>
      </c>
      <c r="N320" t="n">
        <v>0</v>
      </c>
      <c r="O320" t="n">
        <v>0</v>
      </c>
      <c r="P320" t="n">
        <v>0</v>
      </c>
      <c r="Q320" t="n">
        <v>0</v>
      </c>
      <c r="R320" s="2" t="inlineStr"/>
    </row>
    <row r="321" ht="15" customHeight="1">
      <c r="A321" t="inlineStr">
        <is>
          <t>A 63229-2021</t>
        </is>
      </c>
      <c r="B321" s="1" t="n">
        <v>44508.34518518519</v>
      </c>
      <c r="C321" s="1" t="n">
        <v>46025</v>
      </c>
      <c r="D321" t="inlineStr">
        <is>
          <t>GOTLANDS LÄN</t>
        </is>
      </c>
      <c r="E321" t="inlineStr">
        <is>
          <t>GOTLAND</t>
        </is>
      </c>
      <c r="F321" t="inlineStr">
        <is>
          <t>Kyrkan</t>
        </is>
      </c>
      <c r="G321" t="n">
        <v>3.8</v>
      </c>
      <c r="H321" t="n">
        <v>0</v>
      </c>
      <c r="I321" t="n">
        <v>0</v>
      </c>
      <c r="J321" t="n">
        <v>0</v>
      </c>
      <c r="K321" t="n">
        <v>0</v>
      </c>
      <c r="L321" t="n">
        <v>0</v>
      </c>
      <c r="M321" t="n">
        <v>0</v>
      </c>
      <c r="N321" t="n">
        <v>0</v>
      </c>
      <c r="O321" t="n">
        <v>0</v>
      </c>
      <c r="P321" t="n">
        <v>0</v>
      </c>
      <c r="Q321" t="n">
        <v>0</v>
      </c>
      <c r="R321" s="2" t="inlineStr"/>
    </row>
    <row r="322" ht="15" customHeight="1">
      <c r="A322" t="inlineStr">
        <is>
          <t>A 46375-2024</t>
        </is>
      </c>
      <c r="B322" s="1" t="n">
        <v>45582</v>
      </c>
      <c r="C322" s="1" t="n">
        <v>46025</v>
      </c>
      <c r="D322" t="inlineStr">
        <is>
          <t>GOTLANDS LÄN</t>
        </is>
      </c>
      <c r="E322" t="inlineStr">
        <is>
          <t>GOTLAND</t>
        </is>
      </c>
      <c r="G322" t="n">
        <v>3</v>
      </c>
      <c r="H322" t="n">
        <v>0</v>
      </c>
      <c r="I322" t="n">
        <v>0</v>
      </c>
      <c r="J322" t="n">
        <v>0</v>
      </c>
      <c r="K322" t="n">
        <v>0</v>
      </c>
      <c r="L322" t="n">
        <v>0</v>
      </c>
      <c r="M322" t="n">
        <v>0</v>
      </c>
      <c r="N322" t="n">
        <v>0</v>
      </c>
      <c r="O322" t="n">
        <v>0</v>
      </c>
      <c r="P322" t="n">
        <v>0</v>
      </c>
      <c r="Q322" t="n">
        <v>0</v>
      </c>
      <c r="R322" s="2" t="inlineStr"/>
    </row>
    <row r="323" ht="15" customHeight="1">
      <c r="A323" t="inlineStr">
        <is>
          <t>A 42608-2025</t>
        </is>
      </c>
      <c r="B323" s="1" t="n">
        <v>45905</v>
      </c>
      <c r="C323" s="1" t="n">
        <v>46025</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32379-2025</t>
        </is>
      </c>
      <c r="B324" s="1" t="n">
        <v>45837</v>
      </c>
      <c r="C324" s="1" t="n">
        <v>46025</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1734-2025</t>
        </is>
      </c>
      <c r="B325" s="1" t="n">
        <v>45671.3840625</v>
      </c>
      <c r="C325" s="1" t="n">
        <v>46025</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46025</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20993-2023</t>
        </is>
      </c>
      <c r="B327" s="1" t="n">
        <v>45056</v>
      </c>
      <c r="C327" s="1" t="n">
        <v>46025</v>
      </c>
      <c r="D327" t="inlineStr">
        <is>
          <t>GOTLANDS LÄN</t>
        </is>
      </c>
      <c r="E327" t="inlineStr">
        <is>
          <t>GOTLAND</t>
        </is>
      </c>
      <c r="G327" t="n">
        <v>7.1</v>
      </c>
      <c r="H327" t="n">
        <v>0</v>
      </c>
      <c r="I327" t="n">
        <v>0</v>
      </c>
      <c r="J327" t="n">
        <v>0</v>
      </c>
      <c r="K327" t="n">
        <v>0</v>
      </c>
      <c r="L327" t="n">
        <v>0</v>
      </c>
      <c r="M327" t="n">
        <v>0</v>
      </c>
      <c r="N327" t="n">
        <v>0</v>
      </c>
      <c r="O327" t="n">
        <v>0</v>
      </c>
      <c r="P327" t="n">
        <v>0</v>
      </c>
      <c r="Q327" t="n">
        <v>0</v>
      </c>
      <c r="R327" s="2" t="inlineStr"/>
    </row>
    <row r="328" ht="15" customHeight="1">
      <c r="A328" t="inlineStr">
        <is>
          <t>A 32467-2025</t>
        </is>
      </c>
      <c r="B328" s="1" t="n">
        <v>45838.42111111111</v>
      </c>
      <c r="C328" s="1" t="n">
        <v>46025</v>
      </c>
      <c r="D328" t="inlineStr">
        <is>
          <t>GOTLANDS LÄN</t>
        </is>
      </c>
      <c r="E328" t="inlineStr">
        <is>
          <t>GOTLAND</t>
        </is>
      </c>
      <c r="G328" t="n">
        <v>4.3</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46025</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12596-2023</t>
        </is>
      </c>
      <c r="B330" s="1" t="n">
        <v>45000.43310185185</v>
      </c>
      <c r="C330" s="1" t="n">
        <v>46025</v>
      </c>
      <c r="D330" t="inlineStr">
        <is>
          <t>GOTLANDS LÄN</t>
        </is>
      </c>
      <c r="E330" t="inlineStr">
        <is>
          <t>GOTLAND</t>
        </is>
      </c>
      <c r="G330" t="n">
        <v>4.1</v>
      </c>
      <c r="H330" t="n">
        <v>0</v>
      </c>
      <c r="I330" t="n">
        <v>0</v>
      </c>
      <c r="J330" t="n">
        <v>0</v>
      </c>
      <c r="K330" t="n">
        <v>0</v>
      </c>
      <c r="L330" t="n">
        <v>0</v>
      </c>
      <c r="M330" t="n">
        <v>0</v>
      </c>
      <c r="N330" t="n">
        <v>0</v>
      </c>
      <c r="O330" t="n">
        <v>0</v>
      </c>
      <c r="P330" t="n">
        <v>0</v>
      </c>
      <c r="Q330" t="n">
        <v>0</v>
      </c>
      <c r="R330" s="2" t="inlineStr"/>
    </row>
    <row r="331" ht="15" customHeight="1">
      <c r="A331" t="inlineStr">
        <is>
          <t>A 2125-2025</t>
        </is>
      </c>
      <c r="B331" s="1" t="n">
        <v>45672.64940972222</v>
      </c>
      <c r="C331" s="1" t="n">
        <v>46025</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10158-2025</t>
        </is>
      </c>
      <c r="B332" s="1" t="n">
        <v>45719</v>
      </c>
      <c r="C332" s="1" t="n">
        <v>46025</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12155-2023</t>
        </is>
      </c>
      <c r="B333" s="1" t="n">
        <v>44998.49106481481</v>
      </c>
      <c r="C333" s="1" t="n">
        <v>46025</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457-2023</t>
        </is>
      </c>
      <c r="B334" s="1" t="n">
        <v>44929.87238425926</v>
      </c>
      <c r="C334" s="1" t="n">
        <v>46025</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459-2023</t>
        </is>
      </c>
      <c r="B335" s="1" t="n">
        <v>44929.87423611111</v>
      </c>
      <c r="C335" s="1" t="n">
        <v>46025</v>
      </c>
      <c r="D335" t="inlineStr">
        <is>
          <t>GOTLANDS LÄN</t>
        </is>
      </c>
      <c r="E335" t="inlineStr">
        <is>
          <t>GOTLAND</t>
        </is>
      </c>
      <c r="G335" t="n">
        <v>4.2</v>
      </c>
      <c r="H335" t="n">
        <v>0</v>
      </c>
      <c r="I335" t="n">
        <v>0</v>
      </c>
      <c r="J335" t="n">
        <v>0</v>
      </c>
      <c r="K335" t="n">
        <v>0</v>
      </c>
      <c r="L335" t="n">
        <v>0</v>
      </c>
      <c r="M335" t="n">
        <v>0</v>
      </c>
      <c r="N335" t="n">
        <v>0</v>
      </c>
      <c r="O335" t="n">
        <v>0</v>
      </c>
      <c r="P335" t="n">
        <v>0</v>
      </c>
      <c r="Q335" t="n">
        <v>0</v>
      </c>
      <c r="R335" s="2" t="inlineStr"/>
    </row>
    <row r="336" ht="15" customHeight="1">
      <c r="A336" t="inlineStr">
        <is>
          <t>A 38234-2023</t>
        </is>
      </c>
      <c r="B336" s="1" t="n">
        <v>45161.56663194444</v>
      </c>
      <c r="C336" s="1" t="n">
        <v>46025</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43911-2025</t>
        </is>
      </c>
      <c r="B337" s="1" t="n">
        <v>45914.3881712963</v>
      </c>
      <c r="C337" s="1" t="n">
        <v>46025</v>
      </c>
      <c r="D337" t="inlineStr">
        <is>
          <t>GOTLANDS LÄN</t>
        </is>
      </c>
      <c r="E337" t="inlineStr">
        <is>
          <t>GOTLAND</t>
        </is>
      </c>
      <c r="G337" t="n">
        <v>1.9</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46025</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46025</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50744-2024</t>
        </is>
      </c>
      <c r="B340" s="1" t="n">
        <v>45602.4187037037</v>
      </c>
      <c r="C340" s="1" t="n">
        <v>46025</v>
      </c>
      <c r="D340" t="inlineStr">
        <is>
          <t>GOTLANDS LÄN</t>
        </is>
      </c>
      <c r="E340" t="inlineStr">
        <is>
          <t>GOTLAND</t>
        </is>
      </c>
      <c r="G340" t="n">
        <v>3.2</v>
      </c>
      <c r="H340" t="n">
        <v>0</v>
      </c>
      <c r="I340" t="n">
        <v>0</v>
      </c>
      <c r="J340" t="n">
        <v>0</v>
      </c>
      <c r="K340" t="n">
        <v>0</v>
      </c>
      <c r="L340" t="n">
        <v>0</v>
      </c>
      <c r="M340" t="n">
        <v>0</v>
      </c>
      <c r="N340" t="n">
        <v>0</v>
      </c>
      <c r="O340" t="n">
        <v>0</v>
      </c>
      <c r="P340" t="n">
        <v>0</v>
      </c>
      <c r="Q340" t="n">
        <v>0</v>
      </c>
      <c r="R340" s="2" t="inlineStr"/>
    </row>
    <row r="341" ht="15" customHeight="1">
      <c r="A341" t="inlineStr">
        <is>
          <t>A 44405-2025</t>
        </is>
      </c>
      <c r="B341" s="1" t="n">
        <v>45916.52405092592</v>
      </c>
      <c r="C341" s="1" t="n">
        <v>46025</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33007-2025</t>
        </is>
      </c>
      <c r="B342" s="1" t="n">
        <v>45840</v>
      </c>
      <c r="C342" s="1" t="n">
        <v>46025</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53934-2024</t>
        </is>
      </c>
      <c r="B343" s="1" t="n">
        <v>45615</v>
      </c>
      <c r="C343" s="1" t="n">
        <v>46025</v>
      </c>
      <c r="D343" t="inlineStr">
        <is>
          <t>GOTLANDS LÄN</t>
        </is>
      </c>
      <c r="E343" t="inlineStr">
        <is>
          <t>GOTLAND</t>
        </is>
      </c>
      <c r="G343" t="n">
        <v>5</v>
      </c>
      <c r="H343" t="n">
        <v>0</v>
      </c>
      <c r="I343" t="n">
        <v>0</v>
      </c>
      <c r="J343" t="n">
        <v>0</v>
      </c>
      <c r="K343" t="n">
        <v>0</v>
      </c>
      <c r="L343" t="n">
        <v>0</v>
      </c>
      <c r="M343" t="n">
        <v>0</v>
      </c>
      <c r="N343" t="n">
        <v>0</v>
      </c>
      <c r="O343" t="n">
        <v>0</v>
      </c>
      <c r="P343" t="n">
        <v>0</v>
      </c>
      <c r="Q343" t="n">
        <v>0</v>
      </c>
      <c r="R343" s="2" t="inlineStr"/>
    </row>
    <row r="344" ht="15" customHeight="1">
      <c r="A344" t="inlineStr">
        <is>
          <t>A 1446-2025</t>
        </is>
      </c>
      <c r="B344" s="1" t="n">
        <v>45669.86035879629</v>
      </c>
      <c r="C344" s="1" t="n">
        <v>46025</v>
      </c>
      <c r="D344" t="inlineStr">
        <is>
          <t>GOTLANDS LÄN</t>
        </is>
      </c>
      <c r="E344" t="inlineStr">
        <is>
          <t>GOTLAND</t>
        </is>
      </c>
      <c r="G344" t="n">
        <v>3.1</v>
      </c>
      <c r="H344" t="n">
        <v>0</v>
      </c>
      <c r="I344" t="n">
        <v>0</v>
      </c>
      <c r="J344" t="n">
        <v>0</v>
      </c>
      <c r="K344" t="n">
        <v>0</v>
      </c>
      <c r="L344" t="n">
        <v>0</v>
      </c>
      <c r="M344" t="n">
        <v>0</v>
      </c>
      <c r="N344" t="n">
        <v>0</v>
      </c>
      <c r="O344" t="n">
        <v>0</v>
      </c>
      <c r="P344" t="n">
        <v>0</v>
      </c>
      <c r="Q344" t="n">
        <v>0</v>
      </c>
      <c r="R344" s="2" t="inlineStr"/>
    </row>
    <row r="345" ht="15" customHeight="1">
      <c r="A345" t="inlineStr">
        <is>
          <t>A 31264-2021</t>
        </is>
      </c>
      <c r="B345" s="1" t="n">
        <v>44368</v>
      </c>
      <c r="C345" s="1" t="n">
        <v>46025</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46025</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43901-2023</t>
        </is>
      </c>
      <c r="B347" s="1" t="n">
        <v>45187</v>
      </c>
      <c r="C347" s="1" t="n">
        <v>46025</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10746-2025</t>
        </is>
      </c>
      <c r="B348" s="1" t="n">
        <v>45722.42766203704</v>
      </c>
      <c r="C348" s="1" t="n">
        <v>46025</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16501-2023</t>
        </is>
      </c>
      <c r="B349" s="1" t="n">
        <v>45029</v>
      </c>
      <c r="C349" s="1" t="n">
        <v>46025</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46836-2025</t>
        </is>
      </c>
      <c r="B350" s="1" t="n">
        <v>45928.31511574074</v>
      </c>
      <c r="C350" s="1" t="n">
        <v>46025</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27930-2021</t>
        </is>
      </c>
      <c r="B351" s="1" t="n">
        <v>44354</v>
      </c>
      <c r="C351" s="1" t="n">
        <v>46025</v>
      </c>
      <c r="D351" t="inlineStr">
        <is>
          <t>GOTLANDS LÄN</t>
        </is>
      </c>
      <c r="E351" t="inlineStr">
        <is>
          <t>GOTLAND</t>
        </is>
      </c>
      <c r="G351" t="n">
        <v>2.5</v>
      </c>
      <c r="H351" t="n">
        <v>0</v>
      </c>
      <c r="I351" t="n">
        <v>0</v>
      </c>
      <c r="J351" t="n">
        <v>0</v>
      </c>
      <c r="K351" t="n">
        <v>0</v>
      </c>
      <c r="L351" t="n">
        <v>0</v>
      </c>
      <c r="M351" t="n">
        <v>0</v>
      </c>
      <c r="N351" t="n">
        <v>0</v>
      </c>
      <c r="O351" t="n">
        <v>0</v>
      </c>
      <c r="P351" t="n">
        <v>0</v>
      </c>
      <c r="Q351" t="n">
        <v>0</v>
      </c>
      <c r="R351" s="2" t="inlineStr"/>
    </row>
    <row r="352" ht="15" customHeight="1">
      <c r="A352" t="inlineStr">
        <is>
          <t>A 61962-2024</t>
        </is>
      </c>
      <c r="B352" s="1" t="n">
        <v>45653.54340277778</v>
      </c>
      <c r="C352" s="1" t="n">
        <v>46025</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10492-2023</t>
        </is>
      </c>
      <c r="B353" s="1" t="n">
        <v>44987</v>
      </c>
      <c r="C353" s="1" t="n">
        <v>46025</v>
      </c>
      <c r="D353" t="inlineStr">
        <is>
          <t>GOTLANDS LÄN</t>
        </is>
      </c>
      <c r="E353" t="inlineStr">
        <is>
          <t>GOTLAND</t>
        </is>
      </c>
      <c r="G353" t="n">
        <v>1</v>
      </c>
      <c r="H353" t="n">
        <v>0</v>
      </c>
      <c r="I353" t="n">
        <v>0</v>
      </c>
      <c r="J353" t="n">
        <v>0</v>
      </c>
      <c r="K353" t="n">
        <v>0</v>
      </c>
      <c r="L353" t="n">
        <v>0</v>
      </c>
      <c r="M353" t="n">
        <v>0</v>
      </c>
      <c r="N353" t="n">
        <v>0</v>
      </c>
      <c r="O353" t="n">
        <v>0</v>
      </c>
      <c r="P353" t="n">
        <v>0</v>
      </c>
      <c r="Q353" t="n">
        <v>0</v>
      </c>
      <c r="R353" s="2" t="inlineStr"/>
    </row>
    <row r="354" ht="15" customHeight="1">
      <c r="A354" t="inlineStr">
        <is>
          <t>A 15413-2025</t>
        </is>
      </c>
      <c r="B354" s="1" t="n">
        <v>45747.451875</v>
      </c>
      <c r="C354" s="1" t="n">
        <v>46025</v>
      </c>
      <c r="D354" t="inlineStr">
        <is>
          <t>GOTLANDS LÄN</t>
        </is>
      </c>
      <c r="E354" t="inlineStr">
        <is>
          <t>GOTLAND</t>
        </is>
      </c>
      <c r="G354" t="n">
        <v>0.6</v>
      </c>
      <c r="H354" t="n">
        <v>0</v>
      </c>
      <c r="I354" t="n">
        <v>0</v>
      </c>
      <c r="J354" t="n">
        <v>0</v>
      </c>
      <c r="K354" t="n">
        <v>0</v>
      </c>
      <c r="L354" t="n">
        <v>0</v>
      </c>
      <c r="M354" t="n">
        <v>0</v>
      </c>
      <c r="N354" t="n">
        <v>0</v>
      </c>
      <c r="O354" t="n">
        <v>0</v>
      </c>
      <c r="P354" t="n">
        <v>0</v>
      </c>
      <c r="Q354" t="n">
        <v>0</v>
      </c>
      <c r="R354" s="2" t="inlineStr"/>
    </row>
    <row r="355" ht="15" customHeight="1">
      <c r="A355" t="inlineStr">
        <is>
          <t>A 5909-2025</t>
        </is>
      </c>
      <c r="B355" s="1" t="n">
        <v>45695.40634259259</v>
      </c>
      <c r="C355" s="1" t="n">
        <v>46025</v>
      </c>
      <c r="D355" t="inlineStr">
        <is>
          <t>GOTLANDS LÄN</t>
        </is>
      </c>
      <c r="E355" t="inlineStr">
        <is>
          <t>GOTLAND</t>
        </is>
      </c>
      <c r="G355" t="n">
        <v>2.9</v>
      </c>
      <c r="H355" t="n">
        <v>0</v>
      </c>
      <c r="I355" t="n">
        <v>0</v>
      </c>
      <c r="J355" t="n">
        <v>0</v>
      </c>
      <c r="K355" t="n">
        <v>0</v>
      </c>
      <c r="L355" t="n">
        <v>0</v>
      </c>
      <c r="M355" t="n">
        <v>0</v>
      </c>
      <c r="N355" t="n">
        <v>0</v>
      </c>
      <c r="O355" t="n">
        <v>0</v>
      </c>
      <c r="P355" t="n">
        <v>0</v>
      </c>
      <c r="Q355" t="n">
        <v>0</v>
      </c>
      <c r="R355" s="2" t="inlineStr"/>
    </row>
    <row r="356" ht="15" customHeight="1">
      <c r="A356" t="inlineStr">
        <is>
          <t>A 10653-2023</t>
        </is>
      </c>
      <c r="B356" s="1" t="n">
        <v>44988.48859953704</v>
      </c>
      <c r="C356" s="1" t="n">
        <v>46025</v>
      </c>
      <c r="D356" t="inlineStr">
        <is>
          <t>GOTLANDS LÄN</t>
        </is>
      </c>
      <c r="E356" t="inlineStr">
        <is>
          <t>GOTLAND</t>
        </is>
      </c>
      <c r="F356" t="inlineStr">
        <is>
          <t>Kyrkan</t>
        </is>
      </c>
      <c r="G356" t="n">
        <v>3</v>
      </c>
      <c r="H356" t="n">
        <v>0</v>
      </c>
      <c r="I356" t="n">
        <v>0</v>
      </c>
      <c r="J356" t="n">
        <v>0</v>
      </c>
      <c r="K356" t="n">
        <v>0</v>
      </c>
      <c r="L356" t="n">
        <v>0</v>
      </c>
      <c r="M356" t="n">
        <v>0</v>
      </c>
      <c r="N356" t="n">
        <v>0</v>
      </c>
      <c r="O356" t="n">
        <v>0</v>
      </c>
      <c r="P356" t="n">
        <v>0</v>
      </c>
      <c r="Q356" t="n">
        <v>0</v>
      </c>
      <c r="R356" s="2" t="inlineStr"/>
    </row>
    <row r="357" ht="15" customHeight="1">
      <c r="A357" t="inlineStr">
        <is>
          <t>A 47637-2025</t>
        </is>
      </c>
      <c r="B357" s="1" t="n">
        <v>45931.49753472222</v>
      </c>
      <c r="C357" s="1" t="n">
        <v>46025</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35123-2025</t>
        </is>
      </c>
      <c r="B358" s="1" t="n">
        <v>45852.614375</v>
      </c>
      <c r="C358" s="1" t="n">
        <v>46025</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4990-2025</t>
        </is>
      </c>
      <c r="B359" s="1" t="n">
        <v>45691</v>
      </c>
      <c r="C359" s="1" t="n">
        <v>46025</v>
      </c>
      <c r="D359" t="inlineStr">
        <is>
          <t>GOTLANDS LÄN</t>
        </is>
      </c>
      <c r="E359" t="inlineStr">
        <is>
          <t>GOTLAND</t>
        </is>
      </c>
      <c r="G359" t="n">
        <v>7.7</v>
      </c>
      <c r="H359" t="n">
        <v>0</v>
      </c>
      <c r="I359" t="n">
        <v>0</v>
      </c>
      <c r="J359" t="n">
        <v>0</v>
      </c>
      <c r="K359" t="n">
        <v>0</v>
      </c>
      <c r="L359" t="n">
        <v>0</v>
      </c>
      <c r="M359" t="n">
        <v>0</v>
      </c>
      <c r="N359" t="n">
        <v>0</v>
      </c>
      <c r="O359" t="n">
        <v>0</v>
      </c>
      <c r="P359" t="n">
        <v>0</v>
      </c>
      <c r="Q359" t="n">
        <v>0</v>
      </c>
      <c r="R359" s="2" t="inlineStr"/>
    </row>
    <row r="360" ht="15" customHeight="1">
      <c r="A360" t="inlineStr">
        <is>
          <t>A 35096-2025</t>
        </is>
      </c>
      <c r="B360" s="1" t="n">
        <v>45852.54356481481</v>
      </c>
      <c r="C360" s="1" t="n">
        <v>46025</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32378-2025</t>
        </is>
      </c>
      <c r="B361" s="1" t="n">
        <v>45837</v>
      </c>
      <c r="C361" s="1" t="n">
        <v>46025</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43081-2022</t>
        </is>
      </c>
      <c r="B362" s="1" t="n">
        <v>44833</v>
      </c>
      <c r="C362" s="1" t="n">
        <v>46025</v>
      </c>
      <c r="D362" t="inlineStr">
        <is>
          <t>GOTLANDS LÄN</t>
        </is>
      </c>
      <c r="E362" t="inlineStr">
        <is>
          <t>GOTLAND</t>
        </is>
      </c>
      <c r="G362" t="n">
        <v>6.8</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46025</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32958-2021</t>
        </is>
      </c>
      <c r="B364" s="1" t="n">
        <v>44376</v>
      </c>
      <c r="C364" s="1" t="n">
        <v>46025</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5884-2025</t>
        </is>
      </c>
      <c r="B365" s="1" t="n">
        <v>45695.37482638889</v>
      </c>
      <c r="C365" s="1" t="n">
        <v>46025</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5897-2025</t>
        </is>
      </c>
      <c r="B366" s="1" t="n">
        <v>45695.39273148148</v>
      </c>
      <c r="C366" s="1" t="n">
        <v>46025</v>
      </c>
      <c r="D366" t="inlineStr">
        <is>
          <t>GOTLANDS LÄN</t>
        </is>
      </c>
      <c r="E366" t="inlineStr">
        <is>
          <t>GOTLAND</t>
        </is>
      </c>
      <c r="G366" t="n">
        <v>3.7</v>
      </c>
      <c r="H366" t="n">
        <v>0</v>
      </c>
      <c r="I366" t="n">
        <v>0</v>
      </c>
      <c r="J366" t="n">
        <v>0</v>
      </c>
      <c r="K366" t="n">
        <v>0</v>
      </c>
      <c r="L366" t="n">
        <v>0</v>
      </c>
      <c r="M366" t="n">
        <v>0</v>
      </c>
      <c r="N366" t="n">
        <v>0</v>
      </c>
      <c r="O366" t="n">
        <v>0</v>
      </c>
      <c r="P366" t="n">
        <v>0</v>
      </c>
      <c r="Q366" t="n">
        <v>0</v>
      </c>
      <c r="R366" s="2" t="inlineStr"/>
    </row>
    <row r="367" ht="15" customHeight="1">
      <c r="A367" t="inlineStr">
        <is>
          <t>A 30104-2025</t>
        </is>
      </c>
      <c r="B367" s="1" t="n">
        <v>45826.68806712963</v>
      </c>
      <c r="C367" s="1" t="n">
        <v>46025</v>
      </c>
      <c r="D367" t="inlineStr">
        <is>
          <t>GOTLANDS LÄN</t>
        </is>
      </c>
      <c r="E367" t="inlineStr">
        <is>
          <t>GOTLAND</t>
        </is>
      </c>
      <c r="G367" t="n">
        <v>15.4</v>
      </c>
      <c r="H367" t="n">
        <v>0</v>
      </c>
      <c r="I367" t="n">
        <v>0</v>
      </c>
      <c r="J367" t="n">
        <v>0</v>
      </c>
      <c r="K367" t="n">
        <v>0</v>
      </c>
      <c r="L367" t="n">
        <v>0</v>
      </c>
      <c r="M367" t="n">
        <v>0</v>
      </c>
      <c r="N367" t="n">
        <v>0</v>
      </c>
      <c r="O367" t="n">
        <v>0</v>
      </c>
      <c r="P367" t="n">
        <v>0</v>
      </c>
      <c r="Q367" t="n">
        <v>0</v>
      </c>
      <c r="R367" s="2" t="inlineStr"/>
    </row>
    <row r="368" ht="15" customHeight="1">
      <c r="A368" t="inlineStr">
        <is>
          <t>A 47578-2025</t>
        </is>
      </c>
      <c r="B368" s="1" t="n">
        <v>45931</v>
      </c>
      <c r="C368" s="1" t="n">
        <v>46025</v>
      </c>
      <c r="D368" t="inlineStr">
        <is>
          <t>GOTLANDS LÄN</t>
        </is>
      </c>
      <c r="E368" t="inlineStr">
        <is>
          <t>GOTLAND</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49693-2023</t>
        </is>
      </c>
      <c r="B369" s="1" t="n">
        <v>45212.38138888889</v>
      </c>
      <c r="C369" s="1" t="n">
        <v>46025</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49697-2023</t>
        </is>
      </c>
      <c r="B370" s="1" t="n">
        <v>45212.38909722222</v>
      </c>
      <c r="C370" s="1" t="n">
        <v>46025</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35290-2025</t>
        </is>
      </c>
      <c r="B371" s="1" t="n">
        <v>45854.38502314815</v>
      </c>
      <c r="C371" s="1" t="n">
        <v>46025</v>
      </c>
      <c r="D371" t="inlineStr">
        <is>
          <t>GOTLANDS LÄN</t>
        </is>
      </c>
      <c r="E371" t="inlineStr">
        <is>
          <t>GOTLAND</t>
        </is>
      </c>
      <c r="G371" t="n">
        <v>5.4</v>
      </c>
      <c r="H371" t="n">
        <v>0</v>
      </c>
      <c r="I371" t="n">
        <v>0</v>
      </c>
      <c r="J371" t="n">
        <v>0</v>
      </c>
      <c r="K371" t="n">
        <v>0</v>
      </c>
      <c r="L371" t="n">
        <v>0</v>
      </c>
      <c r="M371" t="n">
        <v>0</v>
      </c>
      <c r="N371" t="n">
        <v>0</v>
      </c>
      <c r="O371" t="n">
        <v>0</v>
      </c>
      <c r="P371" t="n">
        <v>0</v>
      </c>
      <c r="Q371" t="n">
        <v>0</v>
      </c>
      <c r="R371" s="2" t="inlineStr"/>
    </row>
    <row r="372" ht="15" customHeight="1">
      <c r="A372" t="inlineStr">
        <is>
          <t>A 32669-2024</t>
        </is>
      </c>
      <c r="B372" s="1" t="n">
        <v>45514</v>
      </c>
      <c r="C372" s="1" t="n">
        <v>46025</v>
      </c>
      <c r="D372" t="inlineStr">
        <is>
          <t>GOTLANDS LÄN</t>
        </is>
      </c>
      <c r="E372" t="inlineStr">
        <is>
          <t>GOTLAND</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49724-2025</t>
        </is>
      </c>
      <c r="B373" s="1" t="n">
        <v>45939.83730324074</v>
      </c>
      <c r="C373" s="1" t="n">
        <v>46025</v>
      </c>
      <c r="D373" t="inlineStr">
        <is>
          <t>GOTLANDS LÄN</t>
        </is>
      </c>
      <c r="E373" t="inlineStr">
        <is>
          <t>GOTLAND</t>
        </is>
      </c>
      <c r="F373" t="inlineStr">
        <is>
          <t>Kyrkan</t>
        </is>
      </c>
      <c r="G373" t="n">
        <v>3.1</v>
      </c>
      <c r="H373" t="n">
        <v>0</v>
      </c>
      <c r="I373" t="n">
        <v>0</v>
      </c>
      <c r="J373" t="n">
        <v>0</v>
      </c>
      <c r="K373" t="n">
        <v>0</v>
      </c>
      <c r="L373" t="n">
        <v>0</v>
      </c>
      <c r="M373" t="n">
        <v>0</v>
      </c>
      <c r="N373" t="n">
        <v>0</v>
      </c>
      <c r="O373" t="n">
        <v>0</v>
      </c>
      <c r="P373" t="n">
        <v>0</v>
      </c>
      <c r="Q373" t="n">
        <v>0</v>
      </c>
      <c r="R373" s="2" t="inlineStr"/>
    </row>
    <row r="374" ht="15" customHeight="1">
      <c r="A374" t="inlineStr">
        <is>
          <t>A 49730-2025</t>
        </is>
      </c>
      <c r="B374" s="1" t="n">
        <v>45939.87613425926</v>
      </c>
      <c r="C374" s="1" t="n">
        <v>46025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17901-2023</t>
        </is>
      </c>
      <c r="B375" s="1" t="n">
        <v>45039</v>
      </c>
      <c r="C375" s="1" t="n">
        <v>46025</v>
      </c>
      <c r="D375" t="inlineStr">
        <is>
          <t>GOTLANDS LÄN</t>
        </is>
      </c>
      <c r="E375" t="inlineStr">
        <is>
          <t>GOTLAND</t>
        </is>
      </c>
      <c r="F375" t="inlineStr">
        <is>
          <t>Kyrkan</t>
        </is>
      </c>
      <c r="G375" t="n">
        <v>0.6</v>
      </c>
      <c r="H375" t="n">
        <v>0</v>
      </c>
      <c r="I375" t="n">
        <v>0</v>
      </c>
      <c r="J375" t="n">
        <v>0</v>
      </c>
      <c r="K375" t="n">
        <v>0</v>
      </c>
      <c r="L375" t="n">
        <v>0</v>
      </c>
      <c r="M375" t="n">
        <v>0</v>
      </c>
      <c r="N375" t="n">
        <v>0</v>
      </c>
      <c r="O375" t="n">
        <v>0</v>
      </c>
      <c r="P375" t="n">
        <v>0</v>
      </c>
      <c r="Q375" t="n">
        <v>0</v>
      </c>
      <c r="R375" s="2" t="inlineStr"/>
    </row>
    <row r="376" ht="15" customHeight="1">
      <c r="A376" t="inlineStr">
        <is>
          <t>A 35537-2025</t>
        </is>
      </c>
      <c r="B376" s="1" t="n">
        <v>45856</v>
      </c>
      <c r="C376" s="1" t="n">
        <v>46025</v>
      </c>
      <c r="D376" t="inlineStr">
        <is>
          <t>GOTLANDS LÄN</t>
        </is>
      </c>
      <c r="E376" t="inlineStr">
        <is>
          <t>GOTLAND</t>
        </is>
      </c>
      <c r="G376" t="n">
        <v>16.8</v>
      </c>
      <c r="H376" t="n">
        <v>0</v>
      </c>
      <c r="I376" t="n">
        <v>0</v>
      </c>
      <c r="J376" t="n">
        <v>0</v>
      </c>
      <c r="K376" t="n">
        <v>0</v>
      </c>
      <c r="L376" t="n">
        <v>0</v>
      </c>
      <c r="M376" t="n">
        <v>0</v>
      </c>
      <c r="N376" t="n">
        <v>0</v>
      </c>
      <c r="O376" t="n">
        <v>0</v>
      </c>
      <c r="P376" t="n">
        <v>0</v>
      </c>
      <c r="Q376" t="n">
        <v>0</v>
      </c>
      <c r="R376" s="2" t="inlineStr"/>
    </row>
    <row r="377" ht="15" customHeight="1">
      <c r="A377" t="inlineStr">
        <is>
          <t>A 49690-2025</t>
        </is>
      </c>
      <c r="B377" s="1" t="n">
        <v>45939.66730324074</v>
      </c>
      <c r="C377" s="1" t="n">
        <v>46025</v>
      </c>
      <c r="D377" t="inlineStr">
        <is>
          <t>GOTLANDS LÄN</t>
        </is>
      </c>
      <c r="E377" t="inlineStr">
        <is>
          <t>GOTLAND</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33011-2025</t>
        </is>
      </c>
      <c r="B378" s="1" t="n">
        <v>45840</v>
      </c>
      <c r="C378" s="1" t="n">
        <v>46025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52892-2021</t>
        </is>
      </c>
      <c r="B379" s="1" t="n">
        <v>44467.49048611111</v>
      </c>
      <c r="C379" s="1" t="n">
        <v>46025</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50421-2025</t>
        </is>
      </c>
      <c r="B380" s="1" t="n">
        <v>45944.66049768519</v>
      </c>
      <c r="C380" s="1" t="n">
        <v>46025</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46396-2023</t>
        </is>
      </c>
      <c r="B381" s="1" t="n">
        <v>45197</v>
      </c>
      <c r="C381" s="1" t="n">
        <v>46025</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17724-2024</t>
        </is>
      </c>
      <c r="B382" s="1" t="n">
        <v>45418.55096064815</v>
      </c>
      <c r="C382" s="1" t="n">
        <v>46025</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15216-2025</t>
        </is>
      </c>
      <c r="B383" s="1" t="n">
        <v>45744</v>
      </c>
      <c r="C383" s="1" t="n">
        <v>46025</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34312-2024</t>
        </is>
      </c>
      <c r="B384" s="1" t="n">
        <v>45524.69703703704</v>
      </c>
      <c r="C384" s="1" t="n">
        <v>46025</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43790-2024</t>
        </is>
      </c>
      <c r="B385" s="1" t="n">
        <v>45571</v>
      </c>
      <c r="C385" s="1" t="n">
        <v>46025</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15001-2025</t>
        </is>
      </c>
      <c r="B386" s="1" t="n">
        <v>45743</v>
      </c>
      <c r="C386" s="1" t="n">
        <v>46025</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50431-2025</t>
        </is>
      </c>
      <c r="B387" s="1" t="n">
        <v>45944.68453703704</v>
      </c>
      <c r="C387" s="1" t="n">
        <v>46025</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46025</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17847-2025</t>
        </is>
      </c>
      <c r="B389" s="1" t="n">
        <v>45758</v>
      </c>
      <c r="C389" s="1" t="n">
        <v>46025</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50928-2025</t>
        </is>
      </c>
      <c r="B390" s="1" t="n">
        <v>45946.67896990741</v>
      </c>
      <c r="C390" s="1" t="n">
        <v>46025</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18742-2025</t>
        </is>
      </c>
      <c r="B391" s="1" t="n">
        <v>45763</v>
      </c>
      <c r="C391" s="1" t="n">
        <v>46025</v>
      </c>
      <c r="D391" t="inlineStr">
        <is>
          <t>GOTLANDS LÄN</t>
        </is>
      </c>
      <c r="E391" t="inlineStr">
        <is>
          <t>GOTLAND</t>
        </is>
      </c>
      <c r="G391" t="n">
        <v>3.4</v>
      </c>
      <c r="H391" t="n">
        <v>0</v>
      </c>
      <c r="I391" t="n">
        <v>0</v>
      </c>
      <c r="J391" t="n">
        <v>0</v>
      </c>
      <c r="K391" t="n">
        <v>0</v>
      </c>
      <c r="L391" t="n">
        <v>0</v>
      </c>
      <c r="M391" t="n">
        <v>0</v>
      </c>
      <c r="N391" t="n">
        <v>0</v>
      </c>
      <c r="O391" t="n">
        <v>0</v>
      </c>
      <c r="P391" t="n">
        <v>0</v>
      </c>
      <c r="Q391" t="n">
        <v>0</v>
      </c>
      <c r="R391" s="2" t="inlineStr"/>
    </row>
    <row r="392" ht="15" customHeight="1">
      <c r="A392" t="inlineStr">
        <is>
          <t>A 36319-2025</t>
        </is>
      </c>
      <c r="B392" s="1" t="n">
        <v>45868</v>
      </c>
      <c r="C392" s="1" t="n">
        <v>46025</v>
      </c>
      <c r="D392" t="inlineStr">
        <is>
          <t>GOTLANDS LÄN</t>
        </is>
      </c>
      <c r="E392" t="inlineStr">
        <is>
          <t>GOTLAND</t>
        </is>
      </c>
      <c r="G392" t="n">
        <v>2.9</v>
      </c>
      <c r="H392" t="n">
        <v>0</v>
      </c>
      <c r="I392" t="n">
        <v>0</v>
      </c>
      <c r="J392" t="n">
        <v>0</v>
      </c>
      <c r="K392" t="n">
        <v>0</v>
      </c>
      <c r="L392" t="n">
        <v>0</v>
      </c>
      <c r="M392" t="n">
        <v>0</v>
      </c>
      <c r="N392" t="n">
        <v>0</v>
      </c>
      <c r="O392" t="n">
        <v>0</v>
      </c>
      <c r="P392" t="n">
        <v>0</v>
      </c>
      <c r="Q392" t="n">
        <v>0</v>
      </c>
      <c r="R392" s="2" t="inlineStr"/>
    </row>
    <row r="393" ht="15" customHeight="1">
      <c r="A393" t="inlineStr">
        <is>
          <t>A 35129-2025</t>
        </is>
      </c>
      <c r="B393" s="1" t="n">
        <v>45852.63224537037</v>
      </c>
      <c r="C393" s="1" t="n">
        <v>46025</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69112-2021</t>
        </is>
      </c>
      <c r="B394" s="1" t="n">
        <v>44530</v>
      </c>
      <c r="C394" s="1" t="n">
        <v>46025</v>
      </c>
      <c r="D394" t="inlineStr">
        <is>
          <t>GOTLANDS LÄN</t>
        </is>
      </c>
      <c r="E394" t="inlineStr">
        <is>
          <t>GOTLAND</t>
        </is>
      </c>
      <c r="G394" t="n">
        <v>4.2</v>
      </c>
      <c r="H394" t="n">
        <v>0</v>
      </c>
      <c r="I394" t="n">
        <v>0</v>
      </c>
      <c r="J394" t="n">
        <v>0</v>
      </c>
      <c r="K394" t="n">
        <v>0</v>
      </c>
      <c r="L394" t="n">
        <v>0</v>
      </c>
      <c r="M394" t="n">
        <v>0</v>
      </c>
      <c r="N394" t="n">
        <v>0</v>
      </c>
      <c r="O394" t="n">
        <v>0</v>
      </c>
      <c r="P394" t="n">
        <v>0</v>
      </c>
      <c r="Q394" t="n">
        <v>0</v>
      </c>
      <c r="R394" s="2" t="inlineStr"/>
    </row>
    <row r="395" ht="15" customHeight="1">
      <c r="A395" t="inlineStr">
        <is>
          <t>A 59197-2025</t>
        </is>
      </c>
      <c r="B395" s="1" t="n">
        <v>45988.59846064815</v>
      </c>
      <c r="C395" s="1" t="n">
        <v>46025</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7638-2025</t>
        </is>
      </c>
      <c r="B396" s="1" t="n">
        <v>45705.77306712963</v>
      </c>
      <c r="C396" s="1" t="n">
        <v>46025</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50482-2024</t>
        </is>
      </c>
      <c r="B397" s="1" t="n">
        <v>45601.48114583334</v>
      </c>
      <c r="C397" s="1" t="n">
        <v>46025</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1394-2023</t>
        </is>
      </c>
      <c r="B398" s="1" t="n">
        <v>44936.72997685185</v>
      </c>
      <c r="C398" s="1" t="n">
        <v>46025</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58230-2024</t>
        </is>
      </c>
      <c r="B399" s="1" t="n">
        <v>45632.51625</v>
      </c>
      <c r="C399" s="1" t="n">
        <v>46025</v>
      </c>
      <c r="D399" t="inlineStr">
        <is>
          <t>GOTLANDS LÄN</t>
        </is>
      </c>
      <c r="E399" t="inlineStr">
        <is>
          <t>GOTLAND</t>
        </is>
      </c>
      <c r="G399" t="n">
        <v>7.3</v>
      </c>
      <c r="H399" t="n">
        <v>0</v>
      </c>
      <c r="I399" t="n">
        <v>0</v>
      </c>
      <c r="J399" t="n">
        <v>0</v>
      </c>
      <c r="K399" t="n">
        <v>0</v>
      </c>
      <c r="L399" t="n">
        <v>0</v>
      </c>
      <c r="M399" t="n">
        <v>0</v>
      </c>
      <c r="N399" t="n">
        <v>0</v>
      </c>
      <c r="O399" t="n">
        <v>0</v>
      </c>
      <c r="P399" t="n">
        <v>0</v>
      </c>
      <c r="Q399" t="n">
        <v>0</v>
      </c>
      <c r="R399" s="2" t="inlineStr"/>
    </row>
    <row r="400" ht="15" customHeight="1">
      <c r="A400" t="inlineStr">
        <is>
          <t>A 1462-2025</t>
        </is>
      </c>
      <c r="B400" s="1" t="n">
        <v>45670.36319444444</v>
      </c>
      <c r="C400" s="1" t="n">
        <v>46025</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51262-2025</t>
        </is>
      </c>
      <c r="B401" s="1" t="n">
        <v>45949.49872685185</v>
      </c>
      <c r="C401" s="1" t="n">
        <v>46025</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25129-2023</t>
        </is>
      </c>
      <c r="B402" s="1" t="n">
        <v>45086.44261574074</v>
      </c>
      <c r="C402" s="1" t="n">
        <v>46025</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24192-2023</t>
        </is>
      </c>
      <c r="B403" s="1" t="n">
        <v>45079</v>
      </c>
      <c r="C403" s="1" t="n">
        <v>46025</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5386-2023</t>
        </is>
      </c>
      <c r="B404" s="1" t="n">
        <v>44959</v>
      </c>
      <c r="C404" s="1" t="n">
        <v>46025</v>
      </c>
      <c r="D404" t="inlineStr">
        <is>
          <t>GOTLANDS LÄN</t>
        </is>
      </c>
      <c r="E404" t="inlineStr">
        <is>
          <t>GOTLAND</t>
        </is>
      </c>
      <c r="G404" t="n">
        <v>5.4</v>
      </c>
      <c r="H404" t="n">
        <v>0</v>
      </c>
      <c r="I404" t="n">
        <v>0</v>
      </c>
      <c r="J404" t="n">
        <v>0</v>
      </c>
      <c r="K404" t="n">
        <v>0</v>
      </c>
      <c r="L404" t="n">
        <v>0</v>
      </c>
      <c r="M404" t="n">
        <v>0</v>
      </c>
      <c r="N404" t="n">
        <v>0</v>
      </c>
      <c r="O404" t="n">
        <v>0</v>
      </c>
      <c r="P404" t="n">
        <v>0</v>
      </c>
      <c r="Q404" t="n">
        <v>0</v>
      </c>
      <c r="R404" s="2" t="inlineStr"/>
    </row>
    <row r="405" ht="15" customHeight="1">
      <c r="A405" t="inlineStr">
        <is>
          <t>A 7026-2023</t>
        </is>
      </c>
      <c r="B405" s="1" t="n">
        <v>44968.30340277778</v>
      </c>
      <c r="C405" s="1" t="n">
        <v>46025</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20855-2023</t>
        </is>
      </c>
      <c r="B406" s="1" t="n">
        <v>45058.82172453704</v>
      </c>
      <c r="C406" s="1" t="n">
        <v>46025</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1000-2024</t>
        </is>
      </c>
      <c r="B407" s="1" t="n">
        <v>45301.63371527778</v>
      </c>
      <c r="C407" s="1" t="n">
        <v>46025</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1010-2024</t>
        </is>
      </c>
      <c r="B408" s="1" t="n">
        <v>45301</v>
      </c>
      <c r="C408" s="1" t="n">
        <v>46025</v>
      </c>
      <c r="D408" t="inlineStr">
        <is>
          <t>GOTLANDS LÄN</t>
        </is>
      </c>
      <c r="E408" t="inlineStr">
        <is>
          <t>GOTLAND</t>
        </is>
      </c>
      <c r="G408" t="n">
        <v>2.4</v>
      </c>
      <c r="H408" t="n">
        <v>0</v>
      </c>
      <c r="I408" t="n">
        <v>0</v>
      </c>
      <c r="J408" t="n">
        <v>0</v>
      </c>
      <c r="K408" t="n">
        <v>0</v>
      </c>
      <c r="L408" t="n">
        <v>0</v>
      </c>
      <c r="M408" t="n">
        <v>0</v>
      </c>
      <c r="N408" t="n">
        <v>0</v>
      </c>
      <c r="O408" t="n">
        <v>0</v>
      </c>
      <c r="P408" t="n">
        <v>0</v>
      </c>
      <c r="Q408" t="n">
        <v>0</v>
      </c>
      <c r="R408" s="2" t="inlineStr"/>
    </row>
    <row r="409" ht="15" customHeight="1">
      <c r="A409" t="inlineStr">
        <is>
          <t>A 52249-2025</t>
        </is>
      </c>
      <c r="B409" s="1" t="n">
        <v>45953.48637731482</v>
      </c>
      <c r="C409" s="1" t="n">
        <v>46025</v>
      </c>
      <c r="D409" t="inlineStr">
        <is>
          <t>GOTLANDS LÄN</t>
        </is>
      </c>
      <c r="E409" t="inlineStr">
        <is>
          <t>GOTLAND</t>
        </is>
      </c>
      <c r="F409" t="inlineStr">
        <is>
          <t>Övriga Aktiebolag</t>
        </is>
      </c>
      <c r="G409" t="n">
        <v>1</v>
      </c>
      <c r="H409" t="n">
        <v>0</v>
      </c>
      <c r="I409" t="n">
        <v>0</v>
      </c>
      <c r="J409" t="n">
        <v>0</v>
      </c>
      <c r="K409" t="n">
        <v>0</v>
      </c>
      <c r="L409" t="n">
        <v>0</v>
      </c>
      <c r="M409" t="n">
        <v>0</v>
      </c>
      <c r="N409" t="n">
        <v>0</v>
      </c>
      <c r="O409" t="n">
        <v>0</v>
      </c>
      <c r="P409" t="n">
        <v>0</v>
      </c>
      <c r="Q409" t="n">
        <v>0</v>
      </c>
      <c r="R409" s="2" t="inlineStr"/>
    </row>
    <row r="410" ht="15" customHeight="1">
      <c r="A410" t="inlineStr">
        <is>
          <t>A 6108-2025</t>
        </is>
      </c>
      <c r="B410" s="1" t="n">
        <v>45698.29880787037</v>
      </c>
      <c r="C410" s="1" t="n">
        <v>46025</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21142-2025</t>
        </is>
      </c>
      <c r="B411" s="1" t="n">
        <v>45779</v>
      </c>
      <c r="C411" s="1" t="n">
        <v>46025</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47762-2023</t>
        </is>
      </c>
      <c r="B412" s="1" t="n">
        <v>45203.86256944444</v>
      </c>
      <c r="C412" s="1" t="n">
        <v>46025</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52637-2025</t>
        </is>
      </c>
      <c r="B413" s="1" t="n">
        <v>45954.75099537037</v>
      </c>
      <c r="C413" s="1" t="n">
        <v>46025</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46025</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17343-2025</t>
        </is>
      </c>
      <c r="B415" s="1" t="n">
        <v>45756.6687037037</v>
      </c>
      <c r="C415" s="1" t="n">
        <v>46025</v>
      </c>
      <c r="D415" t="inlineStr">
        <is>
          <t>GOTLANDS LÄN</t>
        </is>
      </c>
      <c r="E415" t="inlineStr">
        <is>
          <t>GOTLAND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18938-2025</t>
        </is>
      </c>
      <c r="B416" s="1" t="n">
        <v>45764.49172453704</v>
      </c>
      <c r="C416" s="1" t="n">
        <v>46025</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60086-2022</t>
        </is>
      </c>
      <c r="B417" s="1" t="n">
        <v>44909</v>
      </c>
      <c r="C417" s="1" t="n">
        <v>46025</v>
      </c>
      <c r="D417" t="inlineStr">
        <is>
          <t>GOTLANDS LÄN</t>
        </is>
      </c>
      <c r="E417" t="inlineStr">
        <is>
          <t>GOTLAND</t>
        </is>
      </c>
      <c r="G417" t="n">
        <v>2.1</v>
      </c>
      <c r="H417" t="n">
        <v>0</v>
      </c>
      <c r="I417" t="n">
        <v>0</v>
      </c>
      <c r="J417" t="n">
        <v>0</v>
      </c>
      <c r="K417" t="n">
        <v>0</v>
      </c>
      <c r="L417" t="n">
        <v>0</v>
      </c>
      <c r="M417" t="n">
        <v>0</v>
      </c>
      <c r="N417" t="n">
        <v>0</v>
      </c>
      <c r="O417" t="n">
        <v>0</v>
      </c>
      <c r="P417" t="n">
        <v>0</v>
      </c>
      <c r="Q417" t="n">
        <v>0</v>
      </c>
      <c r="R417" s="2" t="inlineStr"/>
    </row>
    <row r="418" ht="15" customHeight="1">
      <c r="A418" t="inlineStr">
        <is>
          <t>A 28480-2023</t>
        </is>
      </c>
      <c r="B418" s="1" t="n">
        <v>45103</v>
      </c>
      <c r="C418" s="1" t="n">
        <v>46025</v>
      </c>
      <c r="D418" t="inlineStr">
        <is>
          <t>GOTLANDS LÄN</t>
        </is>
      </c>
      <c r="E418" t="inlineStr">
        <is>
          <t>GOTLAND</t>
        </is>
      </c>
      <c r="G418" t="n">
        <v>5.7</v>
      </c>
      <c r="H418" t="n">
        <v>0</v>
      </c>
      <c r="I418" t="n">
        <v>0</v>
      </c>
      <c r="J418" t="n">
        <v>0</v>
      </c>
      <c r="K418" t="n">
        <v>0</v>
      </c>
      <c r="L418" t="n">
        <v>0</v>
      </c>
      <c r="M418" t="n">
        <v>0</v>
      </c>
      <c r="N418" t="n">
        <v>0</v>
      </c>
      <c r="O418" t="n">
        <v>0</v>
      </c>
      <c r="P418" t="n">
        <v>0</v>
      </c>
      <c r="Q418" t="n">
        <v>0</v>
      </c>
      <c r="R418" s="2" t="inlineStr"/>
    </row>
    <row r="419" ht="15" customHeight="1">
      <c r="A419" t="inlineStr">
        <is>
          <t>A 28485-2023</t>
        </is>
      </c>
      <c r="B419" s="1" t="n">
        <v>45103.43731481482</v>
      </c>
      <c r="C419" s="1" t="n">
        <v>46025</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30489-2025</t>
        </is>
      </c>
      <c r="B420" s="1" t="n">
        <v>45830</v>
      </c>
      <c r="C420" s="1" t="n">
        <v>46025</v>
      </c>
      <c r="D420" t="inlineStr">
        <is>
          <t>GOTLANDS LÄN</t>
        </is>
      </c>
      <c r="E420" t="inlineStr">
        <is>
          <t>GOTLAND</t>
        </is>
      </c>
      <c r="G420" t="n">
        <v>4.6</v>
      </c>
      <c r="H420" t="n">
        <v>0</v>
      </c>
      <c r="I420" t="n">
        <v>0</v>
      </c>
      <c r="J420" t="n">
        <v>0</v>
      </c>
      <c r="K420" t="n">
        <v>0</v>
      </c>
      <c r="L420" t="n">
        <v>0</v>
      </c>
      <c r="M420" t="n">
        <v>0</v>
      </c>
      <c r="N420" t="n">
        <v>0</v>
      </c>
      <c r="O420" t="n">
        <v>0</v>
      </c>
      <c r="P420" t="n">
        <v>0</v>
      </c>
      <c r="Q420" t="n">
        <v>0</v>
      </c>
      <c r="R420" s="2" t="inlineStr"/>
    </row>
    <row r="421" ht="15" customHeight="1">
      <c r="A421" t="inlineStr">
        <is>
          <t>A 62915-2021</t>
        </is>
      </c>
      <c r="B421" s="1" t="n">
        <v>44504</v>
      </c>
      <c r="C421" s="1" t="n">
        <v>46025</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20307-2025</t>
        </is>
      </c>
      <c r="B422" s="1" t="n">
        <v>45774.95546296296</v>
      </c>
      <c r="C422" s="1" t="n">
        <v>46025</v>
      </c>
      <c r="D422" t="inlineStr">
        <is>
          <t>GOTLANDS LÄN</t>
        </is>
      </c>
      <c r="E422" t="inlineStr">
        <is>
          <t>GOTLAND</t>
        </is>
      </c>
      <c r="G422" t="n">
        <v>6.8</v>
      </c>
      <c r="H422" t="n">
        <v>0</v>
      </c>
      <c r="I422" t="n">
        <v>0</v>
      </c>
      <c r="J422" t="n">
        <v>0</v>
      </c>
      <c r="K422" t="n">
        <v>0</v>
      </c>
      <c r="L422" t="n">
        <v>0</v>
      </c>
      <c r="M422" t="n">
        <v>0</v>
      </c>
      <c r="N422" t="n">
        <v>0</v>
      </c>
      <c r="O422" t="n">
        <v>0</v>
      </c>
      <c r="P422" t="n">
        <v>0</v>
      </c>
      <c r="Q422" t="n">
        <v>0</v>
      </c>
      <c r="R422" s="2" t="inlineStr"/>
    </row>
    <row r="423" ht="15" customHeight="1">
      <c r="A423" t="inlineStr">
        <is>
          <t>A 44949-2023</t>
        </is>
      </c>
      <c r="B423" s="1" t="n">
        <v>45190.69520833333</v>
      </c>
      <c r="C423" s="1" t="n">
        <v>46025</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46025</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2292-2021</t>
        </is>
      </c>
      <c r="B425" s="1" t="n">
        <v>44212</v>
      </c>
      <c r="C425" s="1" t="n">
        <v>46025</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37222-2021</t>
        </is>
      </c>
      <c r="B426" s="1" t="n">
        <v>44396</v>
      </c>
      <c r="C426" s="1" t="n">
        <v>46025</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53577-2025</t>
        </is>
      </c>
      <c r="B427" s="1" t="n">
        <v>45960.42224537037</v>
      </c>
      <c r="C427" s="1" t="n">
        <v>46025</v>
      </c>
      <c r="D427" t="inlineStr">
        <is>
          <t>GOTLANDS LÄN</t>
        </is>
      </c>
      <c r="E427" t="inlineStr">
        <is>
          <t>GOTLAND</t>
        </is>
      </c>
      <c r="F427" t="inlineStr">
        <is>
          <t>Övriga Aktiebolag</t>
        </is>
      </c>
      <c r="G427" t="n">
        <v>3.3</v>
      </c>
      <c r="H427" t="n">
        <v>0</v>
      </c>
      <c r="I427" t="n">
        <v>0</v>
      </c>
      <c r="J427" t="n">
        <v>0</v>
      </c>
      <c r="K427" t="n">
        <v>0</v>
      </c>
      <c r="L427" t="n">
        <v>0</v>
      </c>
      <c r="M427" t="n">
        <v>0</v>
      </c>
      <c r="N427" t="n">
        <v>0</v>
      </c>
      <c r="O427" t="n">
        <v>0</v>
      </c>
      <c r="P427" t="n">
        <v>0</v>
      </c>
      <c r="Q427" t="n">
        <v>0</v>
      </c>
      <c r="R427" s="2" t="inlineStr"/>
    </row>
    <row r="428" ht="15" customHeight="1">
      <c r="A428" t="inlineStr">
        <is>
          <t>A 53587-2025</t>
        </is>
      </c>
      <c r="B428" s="1" t="n">
        <v>45960.43681712963</v>
      </c>
      <c r="C428" s="1" t="n">
        <v>46025</v>
      </c>
      <c r="D428" t="inlineStr">
        <is>
          <t>GOTLANDS LÄN</t>
        </is>
      </c>
      <c r="E428" t="inlineStr">
        <is>
          <t>GOTLAND</t>
        </is>
      </c>
      <c r="F428" t="inlineStr">
        <is>
          <t>Övriga Aktiebolag</t>
        </is>
      </c>
      <c r="G428" t="n">
        <v>1.7</v>
      </c>
      <c r="H428" t="n">
        <v>0</v>
      </c>
      <c r="I428" t="n">
        <v>0</v>
      </c>
      <c r="J428" t="n">
        <v>0</v>
      </c>
      <c r="K428" t="n">
        <v>0</v>
      </c>
      <c r="L428" t="n">
        <v>0</v>
      </c>
      <c r="M428" t="n">
        <v>0</v>
      </c>
      <c r="N428" t="n">
        <v>0</v>
      </c>
      <c r="O428" t="n">
        <v>0</v>
      </c>
      <c r="P428" t="n">
        <v>0</v>
      </c>
      <c r="Q428" t="n">
        <v>0</v>
      </c>
      <c r="R428" s="2" t="inlineStr"/>
    </row>
    <row r="429" ht="15" customHeight="1">
      <c r="A429" t="inlineStr">
        <is>
          <t>A 20356-2022</t>
        </is>
      </c>
      <c r="B429" s="1" t="n">
        <v>44699</v>
      </c>
      <c r="C429" s="1" t="n">
        <v>46025</v>
      </c>
      <c r="D429" t="inlineStr">
        <is>
          <t>GOTLANDS LÄN</t>
        </is>
      </c>
      <c r="E429" t="inlineStr">
        <is>
          <t>GOTLAND</t>
        </is>
      </c>
      <c r="F429" t="inlineStr">
        <is>
          <t>Övriga Aktiebolag</t>
        </is>
      </c>
      <c r="G429" t="n">
        <v>4.4</v>
      </c>
      <c r="H429" t="n">
        <v>0</v>
      </c>
      <c r="I429" t="n">
        <v>0</v>
      </c>
      <c r="J429" t="n">
        <v>0</v>
      </c>
      <c r="K429" t="n">
        <v>0</v>
      </c>
      <c r="L429" t="n">
        <v>0</v>
      </c>
      <c r="M429" t="n">
        <v>0</v>
      </c>
      <c r="N429" t="n">
        <v>0</v>
      </c>
      <c r="O429" t="n">
        <v>0</v>
      </c>
      <c r="P429" t="n">
        <v>0</v>
      </c>
      <c r="Q429" t="n">
        <v>0</v>
      </c>
      <c r="R429" s="2" t="inlineStr"/>
    </row>
    <row r="430" ht="15" customHeight="1">
      <c r="A430" t="inlineStr">
        <is>
          <t>A 62066-2025</t>
        </is>
      </c>
      <c r="B430" s="1" t="n">
        <v>46006.34738425926</v>
      </c>
      <c r="C430" s="1" t="n">
        <v>46025</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3964-2024</t>
        </is>
      </c>
      <c r="B431" s="1" t="n">
        <v>45322</v>
      </c>
      <c r="C431" s="1" t="n">
        <v>46025</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45084-2024</t>
        </is>
      </c>
      <c r="B432" s="1" t="n">
        <v>45575</v>
      </c>
      <c r="C432" s="1" t="n">
        <v>46025</v>
      </c>
      <c r="D432" t="inlineStr">
        <is>
          <t>GOTLANDS LÄN</t>
        </is>
      </c>
      <c r="E432" t="inlineStr">
        <is>
          <t>GOTLAND</t>
        </is>
      </c>
      <c r="G432" t="n">
        <v>6.8</v>
      </c>
      <c r="H432" t="n">
        <v>0</v>
      </c>
      <c r="I432" t="n">
        <v>0</v>
      </c>
      <c r="J432" t="n">
        <v>0</v>
      </c>
      <c r="K432" t="n">
        <v>0</v>
      </c>
      <c r="L432" t="n">
        <v>0</v>
      </c>
      <c r="M432" t="n">
        <v>0</v>
      </c>
      <c r="N432" t="n">
        <v>0</v>
      </c>
      <c r="O432" t="n">
        <v>0</v>
      </c>
      <c r="P432" t="n">
        <v>0</v>
      </c>
      <c r="Q432" t="n">
        <v>0</v>
      </c>
      <c r="R432" s="2" t="inlineStr"/>
    </row>
    <row r="433" ht="15" customHeight="1">
      <c r="A433" t="inlineStr">
        <is>
          <t>A 53561-2025</t>
        </is>
      </c>
      <c r="B433" s="1" t="n">
        <v>45960.4059375</v>
      </c>
      <c r="C433" s="1" t="n">
        <v>46025</v>
      </c>
      <c r="D433" t="inlineStr">
        <is>
          <t>GOTLANDS LÄN</t>
        </is>
      </c>
      <c r="E433" t="inlineStr">
        <is>
          <t>GOTLAND</t>
        </is>
      </c>
      <c r="F433" t="inlineStr">
        <is>
          <t>Övriga Aktiebolag</t>
        </is>
      </c>
      <c r="G433" t="n">
        <v>2.4</v>
      </c>
      <c r="H433" t="n">
        <v>0</v>
      </c>
      <c r="I433" t="n">
        <v>0</v>
      </c>
      <c r="J433" t="n">
        <v>0</v>
      </c>
      <c r="K433" t="n">
        <v>0</v>
      </c>
      <c r="L433" t="n">
        <v>0</v>
      </c>
      <c r="M433" t="n">
        <v>0</v>
      </c>
      <c r="N433" t="n">
        <v>0</v>
      </c>
      <c r="O433" t="n">
        <v>0</v>
      </c>
      <c r="P433" t="n">
        <v>0</v>
      </c>
      <c r="Q433" t="n">
        <v>0</v>
      </c>
      <c r="R433" s="2" t="inlineStr"/>
    </row>
    <row r="434" ht="15" customHeight="1">
      <c r="A434" t="inlineStr">
        <is>
          <t>A 60384-2025</t>
        </is>
      </c>
      <c r="B434" s="1" t="n">
        <v>45995.37947916667</v>
      </c>
      <c r="C434" s="1" t="n">
        <v>46025</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62103-2025</t>
        </is>
      </c>
      <c r="B435" s="1" t="n">
        <v>46006.41638888889</v>
      </c>
      <c r="C435" s="1" t="n">
        <v>46025</v>
      </c>
      <c r="D435" t="inlineStr">
        <is>
          <t>GOTLANDS LÄN</t>
        </is>
      </c>
      <c r="E435" t="inlineStr">
        <is>
          <t>GOTLAND</t>
        </is>
      </c>
      <c r="F435" t="inlineStr">
        <is>
          <t>Övriga Aktiebolag</t>
        </is>
      </c>
      <c r="G435" t="n">
        <v>1.7</v>
      </c>
      <c r="H435" t="n">
        <v>0</v>
      </c>
      <c r="I435" t="n">
        <v>0</v>
      </c>
      <c r="J435" t="n">
        <v>0</v>
      </c>
      <c r="K435" t="n">
        <v>0</v>
      </c>
      <c r="L435" t="n">
        <v>0</v>
      </c>
      <c r="M435" t="n">
        <v>0</v>
      </c>
      <c r="N435" t="n">
        <v>0</v>
      </c>
      <c r="O435" t="n">
        <v>0</v>
      </c>
      <c r="P435" t="n">
        <v>0</v>
      </c>
      <c r="Q435" t="n">
        <v>0</v>
      </c>
      <c r="R435" s="2" t="inlineStr"/>
    </row>
    <row r="436" ht="15" customHeight="1">
      <c r="A436" t="inlineStr">
        <is>
          <t>A 5217-2023</t>
        </is>
      </c>
      <c r="B436" s="1" t="n">
        <v>44959.39582175926</v>
      </c>
      <c r="C436" s="1" t="n">
        <v>46025</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1677-2023</t>
        </is>
      </c>
      <c r="B437" s="1" t="n">
        <v>44938</v>
      </c>
      <c r="C437" s="1" t="n">
        <v>46025</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45244-2024</t>
        </is>
      </c>
      <c r="B438" s="1" t="n">
        <v>45576</v>
      </c>
      <c r="C438" s="1" t="n">
        <v>46025</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54584-2025</t>
        </is>
      </c>
      <c r="B439" s="1" t="n">
        <v>45965.71788194445</v>
      </c>
      <c r="C439" s="1" t="n">
        <v>46025</v>
      </c>
      <c r="D439" t="inlineStr">
        <is>
          <t>GOTLANDS LÄN</t>
        </is>
      </c>
      <c r="E439" t="inlineStr">
        <is>
          <t>GOTLAND</t>
        </is>
      </c>
      <c r="G439" t="n">
        <v>3.5</v>
      </c>
      <c r="H439" t="n">
        <v>0</v>
      </c>
      <c r="I439" t="n">
        <v>0</v>
      </c>
      <c r="J439" t="n">
        <v>0</v>
      </c>
      <c r="K439" t="n">
        <v>0</v>
      </c>
      <c r="L439" t="n">
        <v>0</v>
      </c>
      <c r="M439" t="n">
        <v>0</v>
      </c>
      <c r="N439" t="n">
        <v>0</v>
      </c>
      <c r="O439" t="n">
        <v>0</v>
      </c>
      <c r="P439" t="n">
        <v>0</v>
      </c>
      <c r="Q439" t="n">
        <v>0</v>
      </c>
      <c r="R439" s="2" t="inlineStr"/>
    </row>
    <row r="440" ht="15" customHeight="1">
      <c r="A440" t="inlineStr">
        <is>
          <t>A 8260-2023</t>
        </is>
      </c>
      <c r="B440" s="1" t="n">
        <v>44974.61608796296</v>
      </c>
      <c r="C440" s="1" t="n">
        <v>46025</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61078-2025</t>
        </is>
      </c>
      <c r="B441" s="1" t="n">
        <v>46000</v>
      </c>
      <c r="C441" s="1" t="n">
        <v>46025</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64969-2023</t>
        </is>
      </c>
      <c r="B442" s="1" t="n">
        <v>45284.54009259259</v>
      </c>
      <c r="C442" s="1" t="n">
        <v>46025</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48843-2024</t>
        </is>
      </c>
      <c r="B443" s="1" t="n">
        <v>45593</v>
      </c>
      <c r="C443" s="1" t="n">
        <v>46025</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17541-2024</t>
        </is>
      </c>
      <c r="B444" s="1" t="n">
        <v>45415</v>
      </c>
      <c r="C444" s="1" t="n">
        <v>46025</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2241-2025</t>
        </is>
      </c>
      <c r="B445" s="1" t="n">
        <v>45673.48710648148</v>
      </c>
      <c r="C445" s="1" t="n">
        <v>46025</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63002-2025</t>
        </is>
      </c>
      <c r="B446" s="1" t="n">
        <v>46009.56564814815</v>
      </c>
      <c r="C446" s="1" t="n">
        <v>46025</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15434-2024</t>
        </is>
      </c>
      <c r="B447" s="1" t="n">
        <v>45401.38836805556</v>
      </c>
      <c r="C447" s="1" t="n">
        <v>46025</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5943-2024</t>
        </is>
      </c>
      <c r="B448" s="1" t="n">
        <v>45336</v>
      </c>
      <c r="C448" s="1" t="n">
        <v>46025</v>
      </c>
      <c r="D448" t="inlineStr">
        <is>
          <t>GOTLANDS LÄN</t>
        </is>
      </c>
      <c r="E448" t="inlineStr">
        <is>
          <t>GOTLAND</t>
        </is>
      </c>
      <c r="G448" t="n">
        <v>4.3</v>
      </c>
      <c r="H448" t="n">
        <v>0</v>
      </c>
      <c r="I448" t="n">
        <v>0</v>
      </c>
      <c r="J448" t="n">
        <v>0</v>
      </c>
      <c r="K448" t="n">
        <v>0</v>
      </c>
      <c r="L448" t="n">
        <v>0</v>
      </c>
      <c r="M448" t="n">
        <v>0</v>
      </c>
      <c r="N448" t="n">
        <v>0</v>
      </c>
      <c r="O448" t="n">
        <v>0</v>
      </c>
      <c r="P448" t="n">
        <v>0</v>
      </c>
      <c r="Q448" t="n">
        <v>0</v>
      </c>
      <c r="R448" s="2" t="inlineStr"/>
    </row>
    <row r="449" ht="15" customHeight="1">
      <c r="A449" t="inlineStr">
        <is>
          <t>A 54073-2022</t>
        </is>
      </c>
      <c r="B449" s="1" t="n">
        <v>44881.50380787037</v>
      </c>
      <c r="C449" s="1" t="n">
        <v>46025</v>
      </c>
      <c r="D449" t="inlineStr">
        <is>
          <t>GOTLANDS LÄN</t>
        </is>
      </c>
      <c r="E449" t="inlineStr">
        <is>
          <t>GOTLAND</t>
        </is>
      </c>
      <c r="G449" t="n">
        <v>3.8</v>
      </c>
      <c r="H449" t="n">
        <v>0</v>
      </c>
      <c r="I449" t="n">
        <v>0</v>
      </c>
      <c r="J449" t="n">
        <v>0</v>
      </c>
      <c r="K449" t="n">
        <v>0</v>
      </c>
      <c r="L449" t="n">
        <v>0</v>
      </c>
      <c r="M449" t="n">
        <v>0</v>
      </c>
      <c r="N449" t="n">
        <v>0</v>
      </c>
      <c r="O449" t="n">
        <v>0</v>
      </c>
      <c r="P449" t="n">
        <v>0</v>
      </c>
      <c r="Q449" t="n">
        <v>0</v>
      </c>
      <c r="R449" s="2" t="inlineStr"/>
    </row>
    <row r="450" ht="15" customHeight="1">
      <c r="A450" t="inlineStr">
        <is>
          <t>A 16361-2024</t>
        </is>
      </c>
      <c r="B450" s="1" t="n">
        <v>45407</v>
      </c>
      <c r="C450" s="1" t="n">
        <v>46025</v>
      </c>
      <c r="D450" t="inlineStr">
        <is>
          <t>GOTLANDS LÄN</t>
        </is>
      </c>
      <c r="E450" t="inlineStr">
        <is>
          <t>GOTLAND</t>
        </is>
      </c>
      <c r="G450" t="n">
        <v>6</v>
      </c>
      <c r="H450" t="n">
        <v>0</v>
      </c>
      <c r="I450" t="n">
        <v>0</v>
      </c>
      <c r="J450" t="n">
        <v>0</v>
      </c>
      <c r="K450" t="n">
        <v>0</v>
      </c>
      <c r="L450" t="n">
        <v>0</v>
      </c>
      <c r="M450" t="n">
        <v>0</v>
      </c>
      <c r="N450" t="n">
        <v>0</v>
      </c>
      <c r="O450" t="n">
        <v>0</v>
      </c>
      <c r="P450" t="n">
        <v>0</v>
      </c>
      <c r="Q450" t="n">
        <v>0</v>
      </c>
      <c r="R450" s="2" t="inlineStr"/>
    </row>
    <row r="451" ht="15" customHeight="1">
      <c r="A451" t="inlineStr">
        <is>
          <t>A 41038-2023</t>
        </is>
      </c>
      <c r="B451" s="1" t="n">
        <v>45173.60959490741</v>
      </c>
      <c r="C451" s="1" t="n">
        <v>46025</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61080-2025</t>
        </is>
      </c>
      <c r="B452" s="1" t="n">
        <v>46000</v>
      </c>
      <c r="C452" s="1" t="n">
        <v>46025</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14427-2024</t>
        </is>
      </c>
      <c r="B453" s="1" t="n">
        <v>45394</v>
      </c>
      <c r="C453" s="1" t="n">
        <v>46025</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63152-2025</t>
        </is>
      </c>
      <c r="B454" s="1" t="n">
        <v>46010.35789351852</v>
      </c>
      <c r="C454" s="1" t="n">
        <v>46025</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31802-2024</t>
        </is>
      </c>
      <c r="B455" s="1" t="n">
        <v>45509</v>
      </c>
      <c r="C455" s="1" t="n">
        <v>46025</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47147-2025</t>
        </is>
      </c>
      <c r="B456" s="1" t="n">
        <v>45929</v>
      </c>
      <c r="C456" s="1" t="n">
        <v>46025</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62751-2025</t>
        </is>
      </c>
      <c r="B457" s="1" t="n">
        <v>46008.58076388889</v>
      </c>
      <c r="C457" s="1" t="n">
        <v>46025</v>
      </c>
      <c r="D457" t="inlineStr">
        <is>
          <t>GOTLANDS LÄN</t>
        </is>
      </c>
      <c r="E457" t="inlineStr">
        <is>
          <t>GOTLAND</t>
        </is>
      </c>
      <c r="F457" t="inlineStr">
        <is>
          <t>Övriga Aktiebolag</t>
        </is>
      </c>
      <c r="G457" t="n">
        <v>7.8</v>
      </c>
      <c r="H457" t="n">
        <v>0</v>
      </c>
      <c r="I457" t="n">
        <v>0</v>
      </c>
      <c r="J457" t="n">
        <v>0</v>
      </c>
      <c r="K457" t="n">
        <v>0</v>
      </c>
      <c r="L457" t="n">
        <v>0</v>
      </c>
      <c r="M457" t="n">
        <v>0</v>
      </c>
      <c r="N457" t="n">
        <v>0</v>
      </c>
      <c r="O457" t="n">
        <v>0</v>
      </c>
      <c r="P457" t="n">
        <v>0</v>
      </c>
      <c r="Q457" t="n">
        <v>0</v>
      </c>
      <c r="R457" s="2" t="inlineStr"/>
    </row>
    <row r="458" ht="15" customHeight="1">
      <c r="A458" t="inlineStr">
        <is>
          <t>A 56799-2025</t>
        </is>
      </c>
      <c r="B458" s="1" t="n">
        <v>45978.43392361111</v>
      </c>
      <c r="C458" s="1" t="n">
        <v>46025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62674-2025</t>
        </is>
      </c>
      <c r="B459" s="1" t="n">
        <v>46008.44890046296</v>
      </c>
      <c r="C459" s="1" t="n">
        <v>46025</v>
      </c>
      <c r="D459" t="inlineStr">
        <is>
          <t>GOTLANDS LÄN</t>
        </is>
      </c>
      <c r="E459" t="inlineStr">
        <is>
          <t>GOTLAND</t>
        </is>
      </c>
      <c r="G459" t="n">
        <v>5</v>
      </c>
      <c r="H459" t="n">
        <v>0</v>
      </c>
      <c r="I459" t="n">
        <v>0</v>
      </c>
      <c r="J459" t="n">
        <v>0</v>
      </c>
      <c r="K459" t="n">
        <v>0</v>
      </c>
      <c r="L459" t="n">
        <v>0</v>
      </c>
      <c r="M459" t="n">
        <v>0</v>
      </c>
      <c r="N459" t="n">
        <v>0</v>
      </c>
      <c r="O459" t="n">
        <v>0</v>
      </c>
      <c r="P459" t="n">
        <v>0</v>
      </c>
      <c r="Q459" t="n">
        <v>0</v>
      </c>
      <c r="R459" s="2" t="inlineStr"/>
    </row>
    <row r="460" ht="15" customHeight="1">
      <c r="A460" t="inlineStr">
        <is>
          <t>A 63105-2025</t>
        </is>
      </c>
      <c r="B460" s="1" t="n">
        <v>46009.70571759259</v>
      </c>
      <c r="C460" s="1" t="n">
        <v>46025</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62754-2025</t>
        </is>
      </c>
      <c r="B461" s="1" t="n">
        <v>46008.58765046296</v>
      </c>
      <c r="C461" s="1" t="n">
        <v>46025</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63000-2025</t>
        </is>
      </c>
      <c r="B462" s="1" t="n">
        <v>46009.56434027778</v>
      </c>
      <c r="C462" s="1" t="n">
        <v>46025</v>
      </c>
      <c r="D462" t="inlineStr">
        <is>
          <t>GOTLANDS LÄN</t>
        </is>
      </c>
      <c r="E462" t="inlineStr">
        <is>
          <t>GOTLAND</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62836-2025</t>
        </is>
      </c>
      <c r="B463" s="1" t="n">
        <v>46008</v>
      </c>
      <c r="C463" s="1" t="n">
        <v>46025</v>
      </c>
      <c r="D463" t="inlineStr">
        <is>
          <t>GOTLANDS LÄN</t>
        </is>
      </c>
      <c r="E463" t="inlineStr">
        <is>
          <t>GOTLAND</t>
        </is>
      </c>
      <c r="G463" t="n">
        <v>6.5</v>
      </c>
      <c r="H463" t="n">
        <v>0</v>
      </c>
      <c r="I463" t="n">
        <v>0</v>
      </c>
      <c r="J463" t="n">
        <v>0</v>
      </c>
      <c r="K463" t="n">
        <v>0</v>
      </c>
      <c r="L463" t="n">
        <v>0</v>
      </c>
      <c r="M463" t="n">
        <v>0</v>
      </c>
      <c r="N463" t="n">
        <v>0</v>
      </c>
      <c r="O463" t="n">
        <v>0</v>
      </c>
      <c r="P463" t="n">
        <v>0</v>
      </c>
      <c r="Q463" t="n">
        <v>0</v>
      </c>
      <c r="R463" s="2" t="inlineStr"/>
    </row>
    <row r="464" ht="15" customHeight="1">
      <c r="A464" t="inlineStr">
        <is>
          <t>A 56688-2025</t>
        </is>
      </c>
      <c r="B464" s="1" t="n">
        <v>45975.84331018518</v>
      </c>
      <c r="C464" s="1" t="n">
        <v>46025</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8036-2022</t>
        </is>
      </c>
      <c r="B465" s="1" t="n">
        <v>44609.44362268518</v>
      </c>
      <c r="C465" s="1" t="n">
        <v>46025</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12846-2025</t>
        </is>
      </c>
      <c r="B466" s="1" t="n">
        <v>45733.65049768519</v>
      </c>
      <c r="C466" s="1" t="n">
        <v>46025</v>
      </c>
      <c r="D466" t="inlineStr">
        <is>
          <t>GOTLANDS LÄN</t>
        </is>
      </c>
      <c r="E466" t="inlineStr">
        <is>
          <t>GOTLAND</t>
        </is>
      </c>
      <c r="G466" t="n">
        <v>1.7</v>
      </c>
      <c r="H466" t="n">
        <v>0</v>
      </c>
      <c r="I466" t="n">
        <v>0</v>
      </c>
      <c r="J466" t="n">
        <v>0</v>
      </c>
      <c r="K466" t="n">
        <v>0</v>
      </c>
      <c r="L466" t="n">
        <v>0</v>
      </c>
      <c r="M466" t="n">
        <v>0</v>
      </c>
      <c r="N466" t="n">
        <v>0</v>
      </c>
      <c r="O466" t="n">
        <v>0</v>
      </c>
      <c r="P466" t="n">
        <v>0</v>
      </c>
      <c r="Q466" t="n">
        <v>0</v>
      </c>
      <c r="R466" s="2" t="inlineStr"/>
    </row>
    <row r="467" ht="15" customHeight="1">
      <c r="A467" t="inlineStr">
        <is>
          <t>A 46949-2024</t>
        </is>
      </c>
      <c r="B467" s="1" t="n">
        <v>45585</v>
      </c>
      <c r="C467" s="1" t="n">
        <v>46025</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10650-2022</t>
        </is>
      </c>
      <c r="B468" s="1" t="n">
        <v>44624.57945601852</v>
      </c>
      <c r="C468" s="1" t="n">
        <v>46025</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36-2026</t>
        </is>
      </c>
      <c r="B469" s="1" t="n">
        <v>46024.38886574074</v>
      </c>
      <c r="C469" s="1" t="n">
        <v>46025</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11634-2024</t>
        </is>
      </c>
      <c r="B470" s="1" t="n">
        <v>45373</v>
      </c>
      <c r="C470" s="1" t="n">
        <v>46025</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1351-2025</t>
        </is>
      </c>
      <c r="B471" s="1" t="n">
        <v>45667.62246527777</v>
      </c>
      <c r="C471" s="1" t="n">
        <v>46025</v>
      </c>
      <c r="D471" t="inlineStr">
        <is>
          <t>GOTLANDS LÄN</t>
        </is>
      </c>
      <c r="E471" t="inlineStr">
        <is>
          <t>GOTLAND</t>
        </is>
      </c>
      <c r="G471" t="n">
        <v>1.3</v>
      </c>
      <c r="H471" t="n">
        <v>0</v>
      </c>
      <c r="I471" t="n">
        <v>0</v>
      </c>
      <c r="J471" t="n">
        <v>0</v>
      </c>
      <c r="K471" t="n">
        <v>0</v>
      </c>
      <c r="L471" t="n">
        <v>0</v>
      </c>
      <c r="M471" t="n">
        <v>0</v>
      </c>
      <c r="N471" t="n">
        <v>0</v>
      </c>
      <c r="O471" t="n">
        <v>0</v>
      </c>
      <c r="P471" t="n">
        <v>0</v>
      </c>
      <c r="Q471" t="n">
        <v>0</v>
      </c>
      <c r="R471" s="2" t="inlineStr"/>
    </row>
    <row r="472" ht="15" customHeight="1">
      <c r="A472" t="inlineStr">
        <is>
          <t>A 39496-2022</t>
        </is>
      </c>
      <c r="B472" s="1" t="n">
        <v>44818</v>
      </c>
      <c r="C472" s="1" t="n">
        <v>46025</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49874-2024</t>
        </is>
      </c>
      <c r="B473" s="1" t="n">
        <v>45597.49274305555</v>
      </c>
      <c r="C473" s="1" t="n">
        <v>46025</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42201-2023</t>
        </is>
      </c>
      <c r="B474" s="1" t="n">
        <v>45179</v>
      </c>
      <c r="C474" s="1" t="n">
        <v>46025</v>
      </c>
      <c r="D474" t="inlineStr">
        <is>
          <t>GOTLANDS LÄN</t>
        </is>
      </c>
      <c r="E474" t="inlineStr">
        <is>
          <t>GOTLAND</t>
        </is>
      </c>
      <c r="G474" t="n">
        <v>11.9</v>
      </c>
      <c r="H474" t="n">
        <v>0</v>
      </c>
      <c r="I474" t="n">
        <v>0</v>
      </c>
      <c r="J474" t="n">
        <v>0</v>
      </c>
      <c r="K474" t="n">
        <v>0</v>
      </c>
      <c r="L474" t="n">
        <v>0</v>
      </c>
      <c r="M474" t="n">
        <v>0</v>
      </c>
      <c r="N474" t="n">
        <v>0</v>
      </c>
      <c r="O474" t="n">
        <v>0</v>
      </c>
      <c r="P474" t="n">
        <v>0</v>
      </c>
      <c r="Q474" t="n">
        <v>0</v>
      </c>
      <c r="R474" s="2" t="inlineStr"/>
    </row>
    <row r="475" ht="15" customHeight="1">
      <c r="A475" t="inlineStr">
        <is>
          <t>A 46400-2023</t>
        </is>
      </c>
      <c r="B475" s="1" t="n">
        <v>45197.49290509259</v>
      </c>
      <c r="C475" s="1" t="n">
        <v>46025</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46025</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21164-2024</t>
        </is>
      </c>
      <c r="B477" s="1" t="n">
        <v>45440</v>
      </c>
      <c r="C477" s="1" t="n">
        <v>46025</v>
      </c>
      <c r="D477" t="inlineStr">
        <is>
          <t>GOTLANDS LÄN</t>
        </is>
      </c>
      <c r="E477" t="inlineStr">
        <is>
          <t>GOTLAND</t>
        </is>
      </c>
      <c r="G477" t="n">
        <v>6.3</v>
      </c>
      <c r="H477" t="n">
        <v>0</v>
      </c>
      <c r="I477" t="n">
        <v>0</v>
      </c>
      <c r="J477" t="n">
        <v>0</v>
      </c>
      <c r="K477" t="n">
        <v>0</v>
      </c>
      <c r="L477" t="n">
        <v>0</v>
      </c>
      <c r="M477" t="n">
        <v>0</v>
      </c>
      <c r="N477" t="n">
        <v>0</v>
      </c>
      <c r="O477" t="n">
        <v>0</v>
      </c>
      <c r="P477" t="n">
        <v>0</v>
      </c>
      <c r="Q477" t="n">
        <v>0</v>
      </c>
      <c r="R477" s="2" t="inlineStr"/>
    </row>
    <row r="478" ht="15" customHeight="1">
      <c r="A478" t="inlineStr">
        <is>
          <t>A 8045-2022</t>
        </is>
      </c>
      <c r="B478" s="1" t="n">
        <v>44609</v>
      </c>
      <c r="C478" s="1" t="n">
        <v>46025</v>
      </c>
      <c r="D478" t="inlineStr">
        <is>
          <t>GOTLANDS LÄN</t>
        </is>
      </c>
      <c r="E478" t="inlineStr">
        <is>
          <t>GOTLAND</t>
        </is>
      </c>
      <c r="G478" t="n">
        <v>7</v>
      </c>
      <c r="H478" t="n">
        <v>0</v>
      </c>
      <c r="I478" t="n">
        <v>0</v>
      </c>
      <c r="J478" t="n">
        <v>0</v>
      </c>
      <c r="K478" t="n">
        <v>0</v>
      </c>
      <c r="L478" t="n">
        <v>0</v>
      </c>
      <c r="M478" t="n">
        <v>0</v>
      </c>
      <c r="N478" t="n">
        <v>0</v>
      </c>
      <c r="O478" t="n">
        <v>0</v>
      </c>
      <c r="P478" t="n">
        <v>0</v>
      </c>
      <c r="Q478" t="n">
        <v>0</v>
      </c>
      <c r="R478" s="2" t="inlineStr"/>
    </row>
    <row r="479" ht="15" customHeight="1">
      <c r="A479" t="inlineStr">
        <is>
          <t>A 22897-2023</t>
        </is>
      </c>
      <c r="B479" s="1" t="n">
        <v>45072.55239583334</v>
      </c>
      <c r="C479" s="1" t="n">
        <v>46025</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61897-2024</t>
        </is>
      </c>
      <c r="B480" s="1" t="n">
        <v>45652.75685185185</v>
      </c>
      <c r="C480" s="1" t="n">
        <v>46025</v>
      </c>
      <c r="D480" t="inlineStr">
        <is>
          <t>GOTLANDS LÄN</t>
        </is>
      </c>
      <c r="E480" t="inlineStr">
        <is>
          <t>GOTLAND</t>
        </is>
      </c>
      <c r="G480" t="n">
        <v>6.4</v>
      </c>
      <c r="H480" t="n">
        <v>0</v>
      </c>
      <c r="I480" t="n">
        <v>0</v>
      </c>
      <c r="J480" t="n">
        <v>0</v>
      </c>
      <c r="K480" t="n">
        <v>0</v>
      </c>
      <c r="L480" t="n">
        <v>0</v>
      </c>
      <c r="M480" t="n">
        <v>0</v>
      </c>
      <c r="N480" t="n">
        <v>0</v>
      </c>
      <c r="O480" t="n">
        <v>0</v>
      </c>
      <c r="P480" t="n">
        <v>0</v>
      </c>
      <c r="Q480" t="n">
        <v>0</v>
      </c>
      <c r="R480" s="2" t="inlineStr"/>
    </row>
    <row r="481" ht="15" customHeight="1">
      <c r="A481" t="inlineStr">
        <is>
          <t>A 49962-2023</t>
        </is>
      </c>
      <c r="B481" s="1" t="n">
        <v>45215.38775462963</v>
      </c>
      <c r="C481" s="1" t="n">
        <v>46025</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20165-2022</t>
        </is>
      </c>
      <c r="B482" s="1" t="n">
        <v>44698.49854166667</v>
      </c>
      <c r="C482" s="1" t="n">
        <v>46025</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40294-2022</t>
        </is>
      </c>
      <c r="B483" s="1" t="n">
        <v>44821</v>
      </c>
      <c r="C483" s="1" t="n">
        <v>46025</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12032-2025</t>
        </is>
      </c>
      <c r="B484" s="1" t="n">
        <v>45728.64472222222</v>
      </c>
      <c r="C484" s="1" t="n">
        <v>46025</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38787-2023</t>
        </is>
      </c>
      <c r="B485" s="1" t="n">
        <v>45163</v>
      </c>
      <c r="C485" s="1" t="n">
        <v>46025</v>
      </c>
      <c r="D485" t="inlineStr">
        <is>
          <t>GOTLANDS LÄN</t>
        </is>
      </c>
      <c r="E485" t="inlineStr">
        <is>
          <t>GOTLAND</t>
        </is>
      </c>
      <c r="G485" t="n">
        <v>0.4</v>
      </c>
      <c r="H485" t="n">
        <v>0</v>
      </c>
      <c r="I485" t="n">
        <v>0</v>
      </c>
      <c r="J485" t="n">
        <v>0</v>
      </c>
      <c r="K485" t="n">
        <v>0</v>
      </c>
      <c r="L485" t="n">
        <v>0</v>
      </c>
      <c r="M485" t="n">
        <v>0</v>
      </c>
      <c r="N485" t="n">
        <v>0</v>
      </c>
      <c r="O485" t="n">
        <v>0</v>
      </c>
      <c r="P485" t="n">
        <v>0</v>
      </c>
      <c r="Q485" t="n">
        <v>0</v>
      </c>
      <c r="R485" s="2" t="inlineStr"/>
    </row>
    <row r="486" ht="15" customHeight="1">
      <c r="A486" t="inlineStr">
        <is>
          <t>A 43231-2023</t>
        </is>
      </c>
      <c r="B486" s="1" t="n">
        <v>45183.47025462963</v>
      </c>
      <c r="C486" s="1" t="n">
        <v>46025</v>
      </c>
      <c r="D486" t="inlineStr">
        <is>
          <t>GOTLANDS LÄN</t>
        </is>
      </c>
      <c r="E486" t="inlineStr">
        <is>
          <t>GOTLAND</t>
        </is>
      </c>
      <c r="G486" t="n">
        <v>3.6</v>
      </c>
      <c r="H486" t="n">
        <v>0</v>
      </c>
      <c r="I486" t="n">
        <v>0</v>
      </c>
      <c r="J486" t="n">
        <v>0</v>
      </c>
      <c r="K486" t="n">
        <v>0</v>
      </c>
      <c r="L486" t="n">
        <v>0</v>
      </c>
      <c r="M486" t="n">
        <v>0</v>
      </c>
      <c r="N486" t="n">
        <v>0</v>
      </c>
      <c r="O486" t="n">
        <v>0</v>
      </c>
      <c r="P486" t="n">
        <v>0</v>
      </c>
      <c r="Q486" t="n">
        <v>0</v>
      </c>
      <c r="R486" s="2" t="inlineStr"/>
    </row>
    <row r="487" ht="15" customHeight="1">
      <c r="A487" t="inlineStr">
        <is>
          <t>A 17532-2024</t>
        </is>
      </c>
      <c r="B487" s="1" t="n">
        <v>45415</v>
      </c>
      <c r="C487" s="1" t="n">
        <v>46025</v>
      </c>
      <c r="D487" t="inlineStr">
        <is>
          <t>GOTLANDS LÄN</t>
        </is>
      </c>
      <c r="E487" t="inlineStr">
        <is>
          <t>GOTLAND</t>
        </is>
      </c>
      <c r="G487" t="n">
        <v>4.3</v>
      </c>
      <c r="H487" t="n">
        <v>0</v>
      </c>
      <c r="I487" t="n">
        <v>0</v>
      </c>
      <c r="J487" t="n">
        <v>0</v>
      </c>
      <c r="K487" t="n">
        <v>0</v>
      </c>
      <c r="L487" t="n">
        <v>0</v>
      </c>
      <c r="M487" t="n">
        <v>0</v>
      </c>
      <c r="N487" t="n">
        <v>0</v>
      </c>
      <c r="O487" t="n">
        <v>0</v>
      </c>
      <c r="P487" t="n">
        <v>0</v>
      </c>
      <c r="Q487" t="n">
        <v>0</v>
      </c>
      <c r="R487" s="2" t="inlineStr"/>
    </row>
    <row r="488" ht="15" customHeight="1">
      <c r="A488" t="inlineStr">
        <is>
          <t>A 3935-2025</t>
        </is>
      </c>
      <c r="B488" s="1" t="n">
        <v>45684.46070601852</v>
      </c>
      <c r="C488" s="1" t="n">
        <v>46025</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20225-2025</t>
        </is>
      </c>
      <c r="B489" s="1" t="n">
        <v>45772.65802083333</v>
      </c>
      <c r="C489" s="1" t="n">
        <v>46025</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883-2025</t>
        </is>
      </c>
      <c r="B490" s="1" t="n">
        <v>45665</v>
      </c>
      <c r="C490" s="1" t="n">
        <v>46025</v>
      </c>
      <c r="D490" t="inlineStr">
        <is>
          <t>GOTLANDS LÄN</t>
        </is>
      </c>
      <c r="E490" t="inlineStr">
        <is>
          <t>GOTLAND</t>
        </is>
      </c>
      <c r="G490" t="n">
        <v>1.3</v>
      </c>
      <c r="H490" t="n">
        <v>0</v>
      </c>
      <c r="I490" t="n">
        <v>0</v>
      </c>
      <c r="J490" t="n">
        <v>0</v>
      </c>
      <c r="K490" t="n">
        <v>0</v>
      </c>
      <c r="L490" t="n">
        <v>0</v>
      </c>
      <c r="M490" t="n">
        <v>0</v>
      </c>
      <c r="N490" t="n">
        <v>0</v>
      </c>
      <c r="O490" t="n">
        <v>0</v>
      </c>
      <c r="P490" t="n">
        <v>0</v>
      </c>
      <c r="Q490" t="n">
        <v>0</v>
      </c>
      <c r="R490" s="2" t="inlineStr"/>
    </row>
    <row r="491" ht="15" customHeight="1">
      <c r="A491" t="inlineStr">
        <is>
          <t>A 1066-2024</t>
        </is>
      </c>
      <c r="B491" s="1" t="n">
        <v>45302.285</v>
      </c>
      <c r="C491" s="1" t="n">
        <v>46025</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17144-2025</t>
        </is>
      </c>
      <c r="B492" s="1" t="n">
        <v>45755.9499537037</v>
      </c>
      <c r="C492" s="1" t="n">
        <v>46025</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56009-2024</t>
        </is>
      </c>
      <c r="B493" s="1" t="n">
        <v>45623.80864583333</v>
      </c>
      <c r="C493" s="1" t="n">
        <v>46025</v>
      </c>
      <c r="D493" t="inlineStr">
        <is>
          <t>GOTLANDS LÄN</t>
        </is>
      </c>
      <c r="E493" t="inlineStr">
        <is>
          <t>GOTLAND</t>
        </is>
      </c>
      <c r="G493" t="n">
        <v>2.8</v>
      </c>
      <c r="H493" t="n">
        <v>0</v>
      </c>
      <c r="I493" t="n">
        <v>0</v>
      </c>
      <c r="J493" t="n">
        <v>0</v>
      </c>
      <c r="K493" t="n">
        <v>0</v>
      </c>
      <c r="L493" t="n">
        <v>0</v>
      </c>
      <c r="M493" t="n">
        <v>0</v>
      </c>
      <c r="N493" t="n">
        <v>0</v>
      </c>
      <c r="O493" t="n">
        <v>0</v>
      </c>
      <c r="P493" t="n">
        <v>0</v>
      </c>
      <c r="Q493" t="n">
        <v>0</v>
      </c>
      <c r="R493" s="2" t="inlineStr"/>
    </row>
    <row r="494" ht="15" customHeight="1">
      <c r="A494" t="inlineStr">
        <is>
          <t>A 42338-2023</t>
        </is>
      </c>
      <c r="B494" s="1" t="n">
        <v>45180</v>
      </c>
      <c r="C494" s="1" t="n">
        <v>46025</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581-2023</t>
        </is>
      </c>
      <c r="B495" s="1" t="n">
        <v>44930</v>
      </c>
      <c r="C495" s="1" t="n">
        <v>46025</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61386-2023</t>
        </is>
      </c>
      <c r="B496" s="1" t="n">
        <v>45264</v>
      </c>
      <c r="C496" s="1" t="n">
        <v>46025</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873-2024</t>
        </is>
      </c>
      <c r="B497" s="1" t="n">
        <v>45301</v>
      </c>
      <c r="C497" s="1" t="n">
        <v>46025</v>
      </c>
      <c r="D497" t="inlineStr">
        <is>
          <t>GOTLANDS LÄN</t>
        </is>
      </c>
      <c r="E497" t="inlineStr">
        <is>
          <t>GOTLAND</t>
        </is>
      </c>
      <c r="G497" t="n">
        <v>2.7</v>
      </c>
      <c r="H497" t="n">
        <v>0</v>
      </c>
      <c r="I497" t="n">
        <v>0</v>
      </c>
      <c r="J497" t="n">
        <v>0</v>
      </c>
      <c r="K497" t="n">
        <v>0</v>
      </c>
      <c r="L497" t="n">
        <v>0</v>
      </c>
      <c r="M497" t="n">
        <v>0</v>
      </c>
      <c r="N497" t="n">
        <v>0</v>
      </c>
      <c r="O497" t="n">
        <v>0</v>
      </c>
      <c r="P497" t="n">
        <v>0</v>
      </c>
      <c r="Q497" t="n">
        <v>0</v>
      </c>
      <c r="R497" s="2" t="inlineStr"/>
    </row>
    <row r="498" ht="15" customHeight="1">
      <c r="A498" t="inlineStr">
        <is>
          <t>A 49411-2023</t>
        </is>
      </c>
      <c r="B498" s="1" t="n">
        <v>45205</v>
      </c>
      <c r="C498" s="1" t="n">
        <v>46025</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22275-2023</t>
        </is>
      </c>
      <c r="B499" s="1" t="n">
        <v>45070.39875</v>
      </c>
      <c r="C499" s="1" t="n">
        <v>46025</v>
      </c>
      <c r="D499" t="inlineStr">
        <is>
          <t>GOTLANDS LÄN</t>
        </is>
      </c>
      <c r="E499" t="inlineStr">
        <is>
          <t>GOTLAND</t>
        </is>
      </c>
      <c r="G499" t="n">
        <v>7.2</v>
      </c>
      <c r="H499" t="n">
        <v>0</v>
      </c>
      <c r="I499" t="n">
        <v>0</v>
      </c>
      <c r="J499" t="n">
        <v>0</v>
      </c>
      <c r="K499" t="n">
        <v>0</v>
      </c>
      <c r="L499" t="n">
        <v>0</v>
      </c>
      <c r="M499" t="n">
        <v>0</v>
      </c>
      <c r="N499" t="n">
        <v>0</v>
      </c>
      <c r="O499" t="n">
        <v>0</v>
      </c>
      <c r="P499" t="n">
        <v>0</v>
      </c>
      <c r="Q499" t="n">
        <v>0</v>
      </c>
      <c r="R499" s="2" t="inlineStr"/>
    </row>
    <row r="500" ht="15" customHeight="1">
      <c r="A500" t="inlineStr">
        <is>
          <t>A 12322-2025</t>
        </is>
      </c>
      <c r="B500" s="1" t="n">
        <v>45730</v>
      </c>
      <c r="C500" s="1" t="n">
        <v>46025</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14797-2024</t>
        </is>
      </c>
      <c r="B501" s="1" t="n">
        <v>45397.87030092593</v>
      </c>
      <c r="C501" s="1" t="n">
        <v>46025</v>
      </c>
      <c r="D501" t="inlineStr">
        <is>
          <t>GOTLANDS LÄN</t>
        </is>
      </c>
      <c r="E501" t="inlineStr">
        <is>
          <t>GOTLAND</t>
        </is>
      </c>
      <c r="G501" t="n">
        <v>8.1</v>
      </c>
      <c r="H501" t="n">
        <v>0</v>
      </c>
      <c r="I501" t="n">
        <v>0</v>
      </c>
      <c r="J501" t="n">
        <v>0</v>
      </c>
      <c r="K501" t="n">
        <v>0</v>
      </c>
      <c r="L501" t="n">
        <v>0</v>
      </c>
      <c r="M501" t="n">
        <v>0</v>
      </c>
      <c r="N501" t="n">
        <v>0</v>
      </c>
      <c r="O501" t="n">
        <v>0</v>
      </c>
      <c r="P501" t="n">
        <v>0</v>
      </c>
      <c r="Q501" t="n">
        <v>0</v>
      </c>
      <c r="R501" s="2" t="inlineStr"/>
    </row>
    <row r="502" ht="15" customHeight="1">
      <c r="A502" t="inlineStr">
        <is>
          <t>A 999-2024</t>
        </is>
      </c>
      <c r="B502" s="1" t="n">
        <v>45301</v>
      </c>
      <c r="C502" s="1" t="n">
        <v>46025</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61596-2023</t>
        </is>
      </c>
      <c r="B503" s="1" t="n">
        <v>45265</v>
      </c>
      <c r="C503" s="1" t="n">
        <v>46025</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14638-2025</t>
        </is>
      </c>
      <c r="B504" s="1" t="n">
        <v>45742</v>
      </c>
      <c r="C504" s="1" t="n">
        <v>46025</v>
      </c>
      <c r="D504" t="inlineStr">
        <is>
          <t>GOTLANDS LÄN</t>
        </is>
      </c>
      <c r="E504" t="inlineStr">
        <is>
          <t>GOTLAND</t>
        </is>
      </c>
      <c r="G504" t="n">
        <v>13.4</v>
      </c>
      <c r="H504" t="n">
        <v>0</v>
      </c>
      <c r="I504" t="n">
        <v>0</v>
      </c>
      <c r="J504" t="n">
        <v>0</v>
      </c>
      <c r="K504" t="n">
        <v>0</v>
      </c>
      <c r="L504" t="n">
        <v>0</v>
      </c>
      <c r="M504" t="n">
        <v>0</v>
      </c>
      <c r="N504" t="n">
        <v>0</v>
      </c>
      <c r="O504" t="n">
        <v>0</v>
      </c>
      <c r="P504" t="n">
        <v>0</v>
      </c>
      <c r="Q504" t="n">
        <v>0</v>
      </c>
      <c r="R504" s="2" t="inlineStr"/>
    </row>
    <row r="505" ht="15" customHeight="1">
      <c r="A505" t="inlineStr">
        <is>
          <t>A 60675-2021</t>
        </is>
      </c>
      <c r="B505" s="1" t="n">
        <v>44496.64855324074</v>
      </c>
      <c r="C505" s="1" t="n">
        <v>46025</v>
      </c>
      <c r="D505" t="inlineStr">
        <is>
          <t>GOTLANDS LÄN</t>
        </is>
      </c>
      <c r="E505" t="inlineStr">
        <is>
          <t>GOTLAND</t>
        </is>
      </c>
      <c r="G505" t="n">
        <v>4.6</v>
      </c>
      <c r="H505" t="n">
        <v>0</v>
      </c>
      <c r="I505" t="n">
        <v>0</v>
      </c>
      <c r="J505" t="n">
        <v>0</v>
      </c>
      <c r="K505" t="n">
        <v>0</v>
      </c>
      <c r="L505" t="n">
        <v>0</v>
      </c>
      <c r="M505" t="n">
        <v>0</v>
      </c>
      <c r="N505" t="n">
        <v>0</v>
      </c>
      <c r="O505" t="n">
        <v>0</v>
      </c>
      <c r="P505" t="n">
        <v>0</v>
      </c>
      <c r="Q505" t="n">
        <v>0</v>
      </c>
      <c r="R505" s="2" t="inlineStr"/>
    </row>
    <row r="506" ht="15" customHeight="1">
      <c r="A506" t="inlineStr">
        <is>
          <t>A 37728-2024</t>
        </is>
      </c>
      <c r="B506" s="1" t="n">
        <v>45541</v>
      </c>
      <c r="C506" s="1" t="n">
        <v>46025</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22287-2022</t>
        </is>
      </c>
      <c r="B507" s="1" t="n">
        <v>44712</v>
      </c>
      <c r="C507" s="1" t="n">
        <v>46025</v>
      </c>
      <c r="D507" t="inlineStr">
        <is>
          <t>GOTLANDS LÄN</t>
        </is>
      </c>
      <c r="E507" t="inlineStr">
        <is>
          <t>GOTLAND</t>
        </is>
      </c>
      <c r="G507" t="n">
        <v>6.1</v>
      </c>
      <c r="H507" t="n">
        <v>0</v>
      </c>
      <c r="I507" t="n">
        <v>0</v>
      </c>
      <c r="J507" t="n">
        <v>0</v>
      </c>
      <c r="K507" t="n">
        <v>0</v>
      </c>
      <c r="L507" t="n">
        <v>0</v>
      </c>
      <c r="M507" t="n">
        <v>0</v>
      </c>
      <c r="N507" t="n">
        <v>0</v>
      </c>
      <c r="O507" t="n">
        <v>0</v>
      </c>
      <c r="P507" t="n">
        <v>0</v>
      </c>
      <c r="Q507" t="n">
        <v>0</v>
      </c>
      <c r="R507" s="2" t="inlineStr"/>
    </row>
    <row r="508" ht="15" customHeight="1">
      <c r="A508" t="inlineStr">
        <is>
          <t>A 54074-2022</t>
        </is>
      </c>
      <c r="B508" s="1" t="n">
        <v>44881</v>
      </c>
      <c r="C508" s="1" t="n">
        <v>46025</v>
      </c>
      <c r="D508" t="inlineStr">
        <is>
          <t>GOTLANDS LÄN</t>
        </is>
      </c>
      <c r="E508" t="inlineStr">
        <is>
          <t>GOTLAND</t>
        </is>
      </c>
      <c r="G508" t="n">
        <v>0.9</v>
      </c>
      <c r="H508" t="n">
        <v>0</v>
      </c>
      <c r="I508" t="n">
        <v>0</v>
      </c>
      <c r="J508" t="n">
        <v>0</v>
      </c>
      <c r="K508" t="n">
        <v>0</v>
      </c>
      <c r="L508" t="n">
        <v>0</v>
      </c>
      <c r="M508" t="n">
        <v>0</v>
      </c>
      <c r="N508" t="n">
        <v>0</v>
      </c>
      <c r="O508" t="n">
        <v>0</v>
      </c>
      <c r="P508" t="n">
        <v>0</v>
      </c>
      <c r="Q508" t="n">
        <v>0</v>
      </c>
      <c r="R508" s="2" t="inlineStr"/>
    </row>
    <row r="509" ht="15" customHeight="1">
      <c r="A509" t="inlineStr">
        <is>
          <t>A 65249-2023</t>
        </is>
      </c>
      <c r="B509" s="1" t="n">
        <v>45290</v>
      </c>
      <c r="C509" s="1" t="n">
        <v>46025</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13910-2025</t>
        </is>
      </c>
      <c r="B510" s="1" t="n">
        <v>45737</v>
      </c>
      <c r="C510" s="1" t="n">
        <v>46025</v>
      </c>
      <c r="D510" t="inlineStr">
        <is>
          <t>GOTLANDS LÄN</t>
        </is>
      </c>
      <c r="E510" t="inlineStr">
        <is>
          <t>GOTLAND</t>
        </is>
      </c>
      <c r="F510" t="inlineStr">
        <is>
          <t>Kommuner</t>
        </is>
      </c>
      <c r="G510" t="n">
        <v>3.2</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44682.82622685185</v>
      </c>
      <c r="C511" s="1" t="n">
        <v>46025</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59986-2022</t>
        </is>
      </c>
      <c r="B512" s="1" t="n">
        <v>44909</v>
      </c>
      <c r="C512" s="1" t="n">
        <v>46025</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14536-2021</t>
        </is>
      </c>
      <c r="B513" s="1" t="n">
        <v>44279.66168981481</v>
      </c>
      <c r="C513" s="1" t="n">
        <v>46025</v>
      </c>
      <c r="D513" t="inlineStr">
        <is>
          <t>GOTLANDS LÄN</t>
        </is>
      </c>
      <c r="E513" t="inlineStr">
        <is>
          <t>GOTLAND</t>
        </is>
      </c>
      <c r="G513" t="n">
        <v>8.5</v>
      </c>
      <c r="H513" t="n">
        <v>0</v>
      </c>
      <c r="I513" t="n">
        <v>0</v>
      </c>
      <c r="J513" t="n">
        <v>0</v>
      </c>
      <c r="K513" t="n">
        <v>0</v>
      </c>
      <c r="L513" t="n">
        <v>0</v>
      </c>
      <c r="M513" t="n">
        <v>0</v>
      </c>
      <c r="N513" t="n">
        <v>0</v>
      </c>
      <c r="O513" t="n">
        <v>0</v>
      </c>
      <c r="P513" t="n">
        <v>0</v>
      </c>
      <c r="Q513" t="n">
        <v>0</v>
      </c>
      <c r="R513" s="2" t="inlineStr"/>
    </row>
    <row r="514" ht="15" customHeight="1">
      <c r="A514" t="inlineStr">
        <is>
          <t>A 11874-2024</t>
        </is>
      </c>
      <c r="B514" s="1" t="n">
        <v>45376.46956018519</v>
      </c>
      <c r="C514" s="1" t="n">
        <v>46025</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42041-2024</t>
        </is>
      </c>
      <c r="B515" s="1" t="n">
        <v>45561</v>
      </c>
      <c r="C515" s="1" t="n">
        <v>46025</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61694-2023</t>
        </is>
      </c>
      <c r="B516" s="1" t="n">
        <v>45264</v>
      </c>
      <c r="C516" s="1" t="n">
        <v>46025</v>
      </c>
      <c r="D516" t="inlineStr">
        <is>
          <t>GOTLANDS LÄN</t>
        </is>
      </c>
      <c r="E516" t="inlineStr">
        <is>
          <t>GOTLAND</t>
        </is>
      </c>
      <c r="G516" t="n">
        <v>4.6</v>
      </c>
      <c r="H516" t="n">
        <v>0</v>
      </c>
      <c r="I516" t="n">
        <v>0</v>
      </c>
      <c r="J516" t="n">
        <v>0</v>
      </c>
      <c r="K516" t="n">
        <v>0</v>
      </c>
      <c r="L516" t="n">
        <v>0</v>
      </c>
      <c r="M516" t="n">
        <v>0</v>
      </c>
      <c r="N516" t="n">
        <v>0</v>
      </c>
      <c r="O516" t="n">
        <v>0</v>
      </c>
      <c r="P516" t="n">
        <v>0</v>
      </c>
      <c r="Q516" t="n">
        <v>0</v>
      </c>
      <c r="R516" s="2" t="inlineStr"/>
    </row>
    <row r="517" ht="15" customHeight="1">
      <c r="A517" t="inlineStr">
        <is>
          <t>A 64555-2023</t>
        </is>
      </c>
      <c r="B517" s="1" t="n">
        <v>45281</v>
      </c>
      <c r="C517" s="1" t="n">
        <v>46025</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64831-2023</t>
        </is>
      </c>
      <c r="B518" s="1" t="n">
        <v>45282.44924768519</v>
      </c>
      <c r="C518" s="1" t="n">
        <v>46025</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14804-2021</t>
        </is>
      </c>
      <c r="B519" s="1" t="n">
        <v>44280</v>
      </c>
      <c r="C519" s="1" t="n">
        <v>46025</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999-2023</t>
        </is>
      </c>
      <c r="B520" s="1" t="n">
        <v>44935</v>
      </c>
      <c r="C520" s="1" t="n">
        <v>46025</v>
      </c>
      <c r="D520" t="inlineStr">
        <is>
          <t>GOTLANDS LÄN</t>
        </is>
      </c>
      <c r="E520" t="inlineStr">
        <is>
          <t>GOTLAND</t>
        </is>
      </c>
      <c r="G520" t="n">
        <v>4.7</v>
      </c>
      <c r="H520" t="n">
        <v>0</v>
      </c>
      <c r="I520" t="n">
        <v>0</v>
      </c>
      <c r="J520" t="n">
        <v>0</v>
      </c>
      <c r="K520" t="n">
        <v>0</v>
      </c>
      <c r="L520" t="n">
        <v>0</v>
      </c>
      <c r="M520" t="n">
        <v>0</v>
      </c>
      <c r="N520" t="n">
        <v>0</v>
      </c>
      <c r="O520" t="n">
        <v>0</v>
      </c>
      <c r="P520" t="n">
        <v>0</v>
      </c>
      <c r="Q520" t="n">
        <v>0</v>
      </c>
      <c r="R520" s="2" t="inlineStr"/>
    </row>
    <row r="521" ht="15" customHeight="1">
      <c r="A521" t="inlineStr">
        <is>
          <t>A 27602-2023</t>
        </is>
      </c>
      <c r="B521" s="1" t="n">
        <v>45097</v>
      </c>
      <c r="C521" s="1" t="n">
        <v>46025</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44955.5502662037</v>
      </c>
      <c r="C522" s="1" t="n">
        <v>46025</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44955.73359953704</v>
      </c>
      <c r="C523" s="1" t="n">
        <v>46025</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46025</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51963-2024</t>
        </is>
      </c>
      <c r="B525" s="1" t="n">
        <v>45607.64833333333</v>
      </c>
      <c r="C525" s="1" t="n">
        <v>46025</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811-2023</t>
        </is>
      </c>
      <c r="B526" s="1" t="n">
        <v>44931</v>
      </c>
      <c r="C526" s="1" t="n">
        <v>46025</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46389-2021</t>
        </is>
      </c>
      <c r="B527" s="1" t="n">
        <v>44443</v>
      </c>
      <c r="C527" s="1" t="n">
        <v>46025</v>
      </c>
      <c r="D527" t="inlineStr">
        <is>
          <t>GOTLANDS LÄN</t>
        </is>
      </c>
      <c r="E527" t="inlineStr">
        <is>
          <t>GOTLAND</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26810-2021</t>
        </is>
      </c>
      <c r="B528" s="1" t="n">
        <v>44349.55087962963</v>
      </c>
      <c r="C528" s="1" t="n">
        <v>46025</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5923-2023</t>
        </is>
      </c>
      <c r="B529" s="1" t="n">
        <v>44963.69503472222</v>
      </c>
      <c r="C529" s="1" t="n">
        <v>46025</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33853-2024</t>
        </is>
      </c>
      <c r="B530" s="1" t="n">
        <v>45520.64298611111</v>
      </c>
      <c r="C530" s="1" t="n">
        <v>46025</v>
      </c>
      <c r="D530" t="inlineStr">
        <is>
          <t>GOTLANDS LÄN</t>
        </is>
      </c>
      <c r="E530" t="inlineStr">
        <is>
          <t>GOTLAND</t>
        </is>
      </c>
      <c r="G530" t="n">
        <v>3.9</v>
      </c>
      <c r="H530" t="n">
        <v>0</v>
      </c>
      <c r="I530" t="n">
        <v>0</v>
      </c>
      <c r="J530" t="n">
        <v>0</v>
      </c>
      <c r="K530" t="n">
        <v>0</v>
      </c>
      <c r="L530" t="n">
        <v>0</v>
      </c>
      <c r="M530" t="n">
        <v>0</v>
      </c>
      <c r="N530" t="n">
        <v>0</v>
      </c>
      <c r="O530" t="n">
        <v>0</v>
      </c>
      <c r="P530" t="n">
        <v>0</v>
      </c>
      <c r="Q530" t="n">
        <v>0</v>
      </c>
      <c r="R530" s="2" t="inlineStr"/>
    </row>
    <row r="531" ht="15" customHeight="1">
      <c r="A531" t="inlineStr">
        <is>
          <t>A 18918-2025</t>
        </is>
      </c>
      <c r="B531" s="1" t="n">
        <v>45764</v>
      </c>
      <c r="C531" s="1" t="n">
        <v>46025</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2674-2023</t>
        </is>
      </c>
      <c r="B532" s="1" t="n">
        <v>44944</v>
      </c>
      <c r="C532" s="1" t="n">
        <v>46025</v>
      </c>
      <c r="D532" t="inlineStr">
        <is>
          <t>GOTLANDS LÄN</t>
        </is>
      </c>
      <c r="E532" t="inlineStr">
        <is>
          <t>GOTLAND</t>
        </is>
      </c>
      <c r="G532" t="n">
        <v>2.5</v>
      </c>
      <c r="H532" t="n">
        <v>0</v>
      </c>
      <c r="I532" t="n">
        <v>0</v>
      </c>
      <c r="J532" t="n">
        <v>0</v>
      </c>
      <c r="K532" t="n">
        <v>0</v>
      </c>
      <c r="L532" t="n">
        <v>0</v>
      </c>
      <c r="M532" t="n">
        <v>0</v>
      </c>
      <c r="N532" t="n">
        <v>0</v>
      </c>
      <c r="O532" t="n">
        <v>0</v>
      </c>
      <c r="P532" t="n">
        <v>0</v>
      </c>
      <c r="Q532" t="n">
        <v>0</v>
      </c>
      <c r="R532" s="2" t="inlineStr"/>
    </row>
    <row r="533" ht="15" customHeight="1">
      <c r="A533" t="inlineStr">
        <is>
          <t>A 10655-2023</t>
        </is>
      </c>
      <c r="B533" s="1" t="n">
        <v>44988.49543981482</v>
      </c>
      <c r="C533" s="1" t="n">
        <v>46025</v>
      </c>
      <c r="D533" t="inlineStr">
        <is>
          <t>GOTLANDS LÄN</t>
        </is>
      </c>
      <c r="E533" t="inlineStr">
        <is>
          <t>GOTLAND</t>
        </is>
      </c>
      <c r="F533" t="inlineStr">
        <is>
          <t>Kyrkan</t>
        </is>
      </c>
      <c r="G533" t="n">
        <v>2</v>
      </c>
      <c r="H533" t="n">
        <v>0</v>
      </c>
      <c r="I533" t="n">
        <v>0</v>
      </c>
      <c r="J533" t="n">
        <v>0</v>
      </c>
      <c r="K533" t="n">
        <v>0</v>
      </c>
      <c r="L533" t="n">
        <v>0</v>
      </c>
      <c r="M533" t="n">
        <v>0</v>
      </c>
      <c r="N533" t="n">
        <v>0</v>
      </c>
      <c r="O533" t="n">
        <v>0</v>
      </c>
      <c r="P533" t="n">
        <v>0</v>
      </c>
      <c r="Q533" t="n">
        <v>0</v>
      </c>
      <c r="R533" s="2" t="inlineStr"/>
    </row>
    <row r="534" ht="15" customHeight="1">
      <c r="A534" t="inlineStr">
        <is>
          <t>A 2719-2023</t>
        </is>
      </c>
      <c r="B534" s="1" t="n">
        <v>44944.55361111111</v>
      </c>
      <c r="C534" s="1" t="n">
        <v>46025</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26891-2024</t>
        </is>
      </c>
      <c r="B535" s="1" t="n">
        <v>45470.65540509259</v>
      </c>
      <c r="C535" s="1" t="n">
        <v>46025</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42007-2023</t>
        </is>
      </c>
      <c r="B536" s="1" t="n">
        <v>45177</v>
      </c>
      <c r="C536" s="1" t="n">
        <v>46025</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9887-2025</t>
        </is>
      </c>
      <c r="B537" s="1" t="n">
        <v>45716</v>
      </c>
      <c r="C537" s="1" t="n">
        <v>46025</v>
      </c>
      <c r="D537" t="inlineStr">
        <is>
          <t>GOTLANDS LÄN</t>
        </is>
      </c>
      <c r="E537" t="inlineStr">
        <is>
          <t>GOTLAND</t>
        </is>
      </c>
      <c r="G537" t="n">
        <v>7.5</v>
      </c>
      <c r="H537" t="n">
        <v>0</v>
      </c>
      <c r="I537" t="n">
        <v>0</v>
      </c>
      <c r="J537" t="n">
        <v>0</v>
      </c>
      <c r="K537" t="n">
        <v>0</v>
      </c>
      <c r="L537" t="n">
        <v>0</v>
      </c>
      <c r="M537" t="n">
        <v>0</v>
      </c>
      <c r="N537" t="n">
        <v>0</v>
      </c>
      <c r="O537" t="n">
        <v>0</v>
      </c>
      <c r="P537" t="n">
        <v>0</v>
      </c>
      <c r="Q537" t="n">
        <v>0</v>
      </c>
      <c r="R537" s="2" t="inlineStr"/>
    </row>
    <row r="538" ht="15" customHeight="1">
      <c r="A538" t="inlineStr">
        <is>
          <t>A 38165-2023</t>
        </is>
      </c>
      <c r="B538" s="1" t="n">
        <v>45161</v>
      </c>
      <c r="C538" s="1" t="n">
        <v>46025</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27596-2023</t>
        </is>
      </c>
      <c r="B539" s="1" t="n">
        <v>45097</v>
      </c>
      <c r="C539" s="1" t="n">
        <v>46025</v>
      </c>
      <c r="D539" t="inlineStr">
        <is>
          <t>GOTLANDS LÄN</t>
        </is>
      </c>
      <c r="E539" t="inlineStr">
        <is>
          <t>GOTLAND</t>
        </is>
      </c>
      <c r="G539" t="n">
        <v>3.6</v>
      </c>
      <c r="H539" t="n">
        <v>0</v>
      </c>
      <c r="I539" t="n">
        <v>0</v>
      </c>
      <c r="J539" t="n">
        <v>0</v>
      </c>
      <c r="K539" t="n">
        <v>0</v>
      </c>
      <c r="L539" t="n">
        <v>0</v>
      </c>
      <c r="M539" t="n">
        <v>0</v>
      </c>
      <c r="N539" t="n">
        <v>0</v>
      </c>
      <c r="O539" t="n">
        <v>0</v>
      </c>
      <c r="P539" t="n">
        <v>0</v>
      </c>
      <c r="Q539" t="n">
        <v>0</v>
      </c>
      <c r="R539" s="2" t="inlineStr"/>
    </row>
    <row r="540" ht="15" customHeight="1">
      <c r="A540" t="inlineStr">
        <is>
          <t>A 24825-2024</t>
        </is>
      </c>
      <c r="B540" s="1" t="n">
        <v>45461</v>
      </c>
      <c r="C540" s="1" t="n">
        <v>46025</v>
      </c>
      <c r="D540" t="inlineStr">
        <is>
          <t>GOTLANDS LÄN</t>
        </is>
      </c>
      <c r="E540" t="inlineStr">
        <is>
          <t>GOTLAND</t>
        </is>
      </c>
      <c r="G540" t="n">
        <v>1.3</v>
      </c>
      <c r="H540" t="n">
        <v>0</v>
      </c>
      <c r="I540" t="n">
        <v>0</v>
      </c>
      <c r="J540" t="n">
        <v>0</v>
      </c>
      <c r="K540" t="n">
        <v>0</v>
      </c>
      <c r="L540" t="n">
        <v>0</v>
      </c>
      <c r="M540" t="n">
        <v>0</v>
      </c>
      <c r="N540" t="n">
        <v>0</v>
      </c>
      <c r="O540" t="n">
        <v>0</v>
      </c>
      <c r="P540" t="n">
        <v>0</v>
      </c>
      <c r="Q540" t="n">
        <v>0</v>
      </c>
      <c r="R540" s="2" t="inlineStr"/>
    </row>
    <row r="541" ht="15" customHeight="1">
      <c r="A541" t="inlineStr">
        <is>
          <t>A 6696-2023</t>
        </is>
      </c>
      <c r="B541" s="1" t="n">
        <v>44966.66425925926</v>
      </c>
      <c r="C541" s="1" t="n">
        <v>46025</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21247-2022</t>
        </is>
      </c>
      <c r="B542" s="1" t="n">
        <v>44705.38832175926</v>
      </c>
      <c r="C542" s="1" t="n">
        <v>46025</v>
      </c>
      <c r="D542" t="inlineStr">
        <is>
          <t>GOTLANDS LÄN</t>
        </is>
      </c>
      <c r="E542" t="inlineStr">
        <is>
          <t>GOTLAND</t>
        </is>
      </c>
      <c r="G542" t="n">
        <v>16.2</v>
      </c>
      <c r="H542" t="n">
        <v>0</v>
      </c>
      <c r="I542" t="n">
        <v>0</v>
      </c>
      <c r="J542" t="n">
        <v>0</v>
      </c>
      <c r="K542" t="n">
        <v>0</v>
      </c>
      <c r="L542" t="n">
        <v>0</v>
      </c>
      <c r="M542" t="n">
        <v>0</v>
      </c>
      <c r="N542" t="n">
        <v>0</v>
      </c>
      <c r="O542" t="n">
        <v>0</v>
      </c>
      <c r="P542" t="n">
        <v>0</v>
      </c>
      <c r="Q542" t="n">
        <v>0</v>
      </c>
      <c r="R542" s="2" t="inlineStr"/>
    </row>
    <row r="543" ht="15" customHeight="1">
      <c r="A543" t="inlineStr">
        <is>
          <t>A 456-2023</t>
        </is>
      </c>
      <c r="B543" s="1" t="n">
        <v>44929.87122685185</v>
      </c>
      <c r="C543" s="1" t="n">
        <v>46025</v>
      </c>
      <c r="D543" t="inlineStr">
        <is>
          <t>GOTLANDS LÄN</t>
        </is>
      </c>
      <c r="E543" t="inlineStr">
        <is>
          <t>GOTLAND</t>
        </is>
      </c>
      <c r="G543" t="n">
        <v>3.2</v>
      </c>
      <c r="H543" t="n">
        <v>0</v>
      </c>
      <c r="I543" t="n">
        <v>0</v>
      </c>
      <c r="J543" t="n">
        <v>0</v>
      </c>
      <c r="K543" t="n">
        <v>0</v>
      </c>
      <c r="L543" t="n">
        <v>0</v>
      </c>
      <c r="M543" t="n">
        <v>0</v>
      </c>
      <c r="N543" t="n">
        <v>0</v>
      </c>
      <c r="O543" t="n">
        <v>0</v>
      </c>
      <c r="P543" t="n">
        <v>0</v>
      </c>
      <c r="Q543" t="n">
        <v>0</v>
      </c>
      <c r="R543" s="2" t="inlineStr"/>
    </row>
    <row r="544" ht="15" customHeight="1">
      <c r="A544" t="inlineStr">
        <is>
          <t>A 2714-2023</t>
        </is>
      </c>
      <c r="B544" s="1" t="n">
        <v>44944.54896990741</v>
      </c>
      <c r="C544" s="1" t="n">
        <v>46025</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4421-2024</t>
        </is>
      </c>
      <c r="B545" s="1" t="n">
        <v>45327.45173611111</v>
      </c>
      <c r="C545" s="1" t="n">
        <v>46025</v>
      </c>
      <c r="D545" t="inlineStr">
        <is>
          <t>GOTLANDS LÄN</t>
        </is>
      </c>
      <c r="E545" t="inlineStr">
        <is>
          <t>GOTLAND</t>
        </is>
      </c>
      <c r="G545" t="n">
        <v>5.1</v>
      </c>
      <c r="H545" t="n">
        <v>0</v>
      </c>
      <c r="I545" t="n">
        <v>0</v>
      </c>
      <c r="J545" t="n">
        <v>0</v>
      </c>
      <c r="K545" t="n">
        <v>0</v>
      </c>
      <c r="L545" t="n">
        <v>0</v>
      </c>
      <c r="M545" t="n">
        <v>0</v>
      </c>
      <c r="N545" t="n">
        <v>0</v>
      </c>
      <c r="O545" t="n">
        <v>0</v>
      </c>
      <c r="P545" t="n">
        <v>0</v>
      </c>
      <c r="Q545" t="n">
        <v>0</v>
      </c>
      <c r="R545" s="2" t="inlineStr"/>
    </row>
    <row r="546" ht="15" customHeight="1">
      <c r="A546" t="inlineStr">
        <is>
          <t>A 51782-2023</t>
        </is>
      </c>
      <c r="B546" s="1" t="n">
        <v>45222.80952546297</v>
      </c>
      <c r="C546" s="1" t="n">
        <v>46025</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46025</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57534-2022</t>
        </is>
      </c>
      <c r="B548" s="1" t="n">
        <v>44896</v>
      </c>
      <c r="C548" s="1" t="n">
        <v>46025</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25866-2022</t>
        </is>
      </c>
      <c r="B549" s="1" t="n">
        <v>44733</v>
      </c>
      <c r="C549" s="1" t="n">
        <v>46025</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43229-2023</t>
        </is>
      </c>
      <c r="B550" s="1" t="n">
        <v>45183.46704861111</v>
      </c>
      <c r="C550" s="1" t="n">
        <v>46025</v>
      </c>
      <c r="D550" t="inlineStr">
        <is>
          <t>GOTLANDS LÄN</t>
        </is>
      </c>
      <c r="E550" t="inlineStr">
        <is>
          <t>GOTLAND</t>
        </is>
      </c>
      <c r="G550" t="n">
        <v>7.1</v>
      </c>
      <c r="H550" t="n">
        <v>0</v>
      </c>
      <c r="I550" t="n">
        <v>0</v>
      </c>
      <c r="J550" t="n">
        <v>0</v>
      </c>
      <c r="K550" t="n">
        <v>0</v>
      </c>
      <c r="L550" t="n">
        <v>0</v>
      </c>
      <c r="M550" t="n">
        <v>0</v>
      </c>
      <c r="N550" t="n">
        <v>0</v>
      </c>
      <c r="O550" t="n">
        <v>0</v>
      </c>
      <c r="P550" t="n">
        <v>0</v>
      </c>
      <c r="Q550" t="n">
        <v>0</v>
      </c>
      <c r="R550" s="2" t="inlineStr"/>
    </row>
    <row r="551" ht="15" customHeight="1">
      <c r="A551" t="inlineStr">
        <is>
          <t>A 1175-2025</t>
        </is>
      </c>
      <c r="B551" s="1" t="n">
        <v>45667.34449074074</v>
      </c>
      <c r="C551" s="1" t="n">
        <v>46025</v>
      </c>
      <c r="D551" t="inlineStr">
        <is>
          <t>GOTLANDS LÄN</t>
        </is>
      </c>
      <c r="E551" t="inlineStr">
        <is>
          <t>GOTLAND</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27095-2022</t>
        </is>
      </c>
      <c r="B552" s="1" t="n">
        <v>44741</v>
      </c>
      <c r="C552" s="1" t="n">
        <v>46025</v>
      </c>
      <c r="D552" t="inlineStr">
        <is>
          <t>GOTLANDS LÄN</t>
        </is>
      </c>
      <c r="E552" t="inlineStr">
        <is>
          <t>GOTLAND</t>
        </is>
      </c>
      <c r="F552" t="inlineStr">
        <is>
          <t>Övriga Aktiebolag</t>
        </is>
      </c>
      <c r="G552" t="n">
        <v>2.9</v>
      </c>
      <c r="H552" t="n">
        <v>0</v>
      </c>
      <c r="I552" t="n">
        <v>0</v>
      </c>
      <c r="J552" t="n">
        <v>0</v>
      </c>
      <c r="K552" t="n">
        <v>0</v>
      </c>
      <c r="L552" t="n">
        <v>0</v>
      </c>
      <c r="M552" t="n">
        <v>0</v>
      </c>
      <c r="N552" t="n">
        <v>0</v>
      </c>
      <c r="O552" t="n">
        <v>0</v>
      </c>
      <c r="P552" t="n">
        <v>0</v>
      </c>
      <c r="Q552" t="n">
        <v>0</v>
      </c>
      <c r="R552" s="2" t="inlineStr"/>
    </row>
    <row r="553" ht="15" customHeight="1">
      <c r="A553" t="inlineStr">
        <is>
          <t>A 22899-2023</t>
        </is>
      </c>
      <c r="B553" s="1" t="n">
        <v>45072</v>
      </c>
      <c r="C553" s="1" t="n">
        <v>46025</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23978-2023</t>
        </is>
      </c>
      <c r="B554" s="1" t="n">
        <v>45078</v>
      </c>
      <c r="C554" s="1" t="n">
        <v>46025</v>
      </c>
      <c r="D554" t="inlineStr">
        <is>
          <t>GOTLANDS LÄN</t>
        </is>
      </c>
      <c r="E554" t="inlineStr">
        <is>
          <t>GOTLAND</t>
        </is>
      </c>
      <c r="F554" t="inlineStr">
        <is>
          <t>Naturvårdsverket</t>
        </is>
      </c>
      <c r="G554" t="n">
        <v>1.7</v>
      </c>
      <c r="H554" t="n">
        <v>0</v>
      </c>
      <c r="I554" t="n">
        <v>0</v>
      </c>
      <c r="J554" t="n">
        <v>0</v>
      </c>
      <c r="K554" t="n">
        <v>0</v>
      </c>
      <c r="L554" t="n">
        <v>0</v>
      </c>
      <c r="M554" t="n">
        <v>0</v>
      </c>
      <c r="N554" t="n">
        <v>0</v>
      </c>
      <c r="O554" t="n">
        <v>0</v>
      </c>
      <c r="P554" t="n">
        <v>0</v>
      </c>
      <c r="Q554" t="n">
        <v>0</v>
      </c>
      <c r="R554" s="2" t="inlineStr"/>
    </row>
    <row r="555" ht="15" customHeight="1">
      <c r="A555" t="inlineStr">
        <is>
          <t>A 34407-2023</t>
        </is>
      </c>
      <c r="B555" s="1" t="n">
        <v>45132</v>
      </c>
      <c r="C555" s="1" t="n">
        <v>46025</v>
      </c>
      <c r="D555" t="inlineStr">
        <is>
          <t>GOTLANDS LÄN</t>
        </is>
      </c>
      <c r="E555" t="inlineStr">
        <is>
          <t>GOTLAND</t>
        </is>
      </c>
      <c r="G555" t="n">
        <v>4.4</v>
      </c>
      <c r="H555" t="n">
        <v>0</v>
      </c>
      <c r="I555" t="n">
        <v>0</v>
      </c>
      <c r="J555" t="n">
        <v>0</v>
      </c>
      <c r="K555" t="n">
        <v>0</v>
      </c>
      <c r="L555" t="n">
        <v>0</v>
      </c>
      <c r="M555" t="n">
        <v>0</v>
      </c>
      <c r="N555" t="n">
        <v>0</v>
      </c>
      <c r="O555" t="n">
        <v>0</v>
      </c>
      <c r="P555" t="n">
        <v>0</v>
      </c>
      <c r="Q555" t="n">
        <v>0</v>
      </c>
      <c r="R555" s="2" t="inlineStr"/>
    </row>
    <row r="556" ht="15" customHeight="1">
      <c r="A556" t="inlineStr">
        <is>
          <t>A 11013-2024</t>
        </is>
      </c>
      <c r="B556" s="1" t="n">
        <v>45370</v>
      </c>
      <c r="C556" s="1" t="n">
        <v>46025</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27694-2024</t>
        </is>
      </c>
      <c r="B557" s="1" t="n">
        <v>45475</v>
      </c>
      <c r="C557" s="1" t="n">
        <v>46025</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15083-2025</t>
        </is>
      </c>
      <c r="B558" s="1" t="n">
        <v>45743</v>
      </c>
      <c r="C558" s="1" t="n">
        <v>46025</v>
      </c>
      <c r="D558" t="inlineStr">
        <is>
          <t>GOTLANDS LÄN</t>
        </is>
      </c>
      <c r="E558" t="inlineStr">
        <is>
          <t>GOTLAND</t>
        </is>
      </c>
      <c r="G558" t="n">
        <v>2.3</v>
      </c>
      <c r="H558" t="n">
        <v>0</v>
      </c>
      <c r="I558" t="n">
        <v>0</v>
      </c>
      <c r="J558" t="n">
        <v>0</v>
      </c>
      <c r="K558" t="n">
        <v>0</v>
      </c>
      <c r="L558" t="n">
        <v>0</v>
      </c>
      <c r="M558" t="n">
        <v>0</v>
      </c>
      <c r="N558" t="n">
        <v>0</v>
      </c>
      <c r="O558" t="n">
        <v>0</v>
      </c>
      <c r="P558" t="n">
        <v>0</v>
      </c>
      <c r="Q558" t="n">
        <v>0</v>
      </c>
      <c r="R558" s="2" t="inlineStr"/>
    </row>
    <row r="559" ht="15" customHeight="1">
      <c r="A559" t="inlineStr">
        <is>
          <t>A 13037-2025</t>
        </is>
      </c>
      <c r="B559" s="1" t="n">
        <v>45734</v>
      </c>
      <c r="C559" s="1" t="n">
        <v>46025</v>
      </c>
      <c r="D559" t="inlineStr">
        <is>
          <t>GOTLANDS LÄN</t>
        </is>
      </c>
      <c r="E559" t="inlineStr">
        <is>
          <t>GOTLAND</t>
        </is>
      </c>
      <c r="G559" t="n">
        <v>9.5</v>
      </c>
      <c r="H559" t="n">
        <v>0</v>
      </c>
      <c r="I559" t="n">
        <v>0</v>
      </c>
      <c r="J559" t="n">
        <v>0</v>
      </c>
      <c r="K559" t="n">
        <v>0</v>
      </c>
      <c r="L559" t="n">
        <v>0</v>
      </c>
      <c r="M559" t="n">
        <v>0</v>
      </c>
      <c r="N559" t="n">
        <v>0</v>
      </c>
      <c r="O559" t="n">
        <v>0</v>
      </c>
      <c r="P559" t="n">
        <v>0</v>
      </c>
      <c r="Q559" t="n">
        <v>0</v>
      </c>
      <c r="R559" s="2" t="inlineStr"/>
    </row>
    <row r="560" ht="15" customHeight="1">
      <c r="A560" t="inlineStr">
        <is>
          <t>A 458-2023</t>
        </is>
      </c>
      <c r="B560" s="1" t="n">
        <v>44929</v>
      </c>
      <c r="C560" s="1" t="n">
        <v>46025</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44228-2022</t>
        </is>
      </c>
      <c r="B561" s="1" t="n">
        <v>44839.51599537037</v>
      </c>
      <c r="C561" s="1" t="n">
        <v>46025</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58132-2023</t>
        </is>
      </c>
      <c r="B562" s="1" t="n">
        <v>45250</v>
      </c>
      <c r="C562" s="1" t="n">
        <v>46025</v>
      </c>
      <c r="D562" t="inlineStr">
        <is>
          <t>GOTLANDS LÄN</t>
        </is>
      </c>
      <c r="E562" t="inlineStr">
        <is>
          <t>GOTLAND</t>
        </is>
      </c>
      <c r="G562" t="n">
        <v>3.1</v>
      </c>
      <c r="H562" t="n">
        <v>0</v>
      </c>
      <c r="I562" t="n">
        <v>0</v>
      </c>
      <c r="J562" t="n">
        <v>0</v>
      </c>
      <c r="K562" t="n">
        <v>0</v>
      </c>
      <c r="L562" t="n">
        <v>0</v>
      </c>
      <c r="M562" t="n">
        <v>0</v>
      </c>
      <c r="N562" t="n">
        <v>0</v>
      </c>
      <c r="O562" t="n">
        <v>0</v>
      </c>
      <c r="P562" t="n">
        <v>0</v>
      </c>
      <c r="Q562" t="n">
        <v>0</v>
      </c>
      <c r="R562" s="2" t="inlineStr"/>
    </row>
    <row r="563" ht="15" customHeight="1">
      <c r="A563" t="inlineStr">
        <is>
          <t>A 49884-2023</t>
        </is>
      </c>
      <c r="B563" s="1" t="n">
        <v>45213</v>
      </c>
      <c r="C563" s="1" t="n">
        <v>46025</v>
      </c>
      <c r="D563" t="inlineStr">
        <is>
          <t>GOTLANDS LÄN</t>
        </is>
      </c>
      <c r="E563" t="inlineStr">
        <is>
          <t>GOTLAND</t>
        </is>
      </c>
      <c r="G563" t="n">
        <v>8.9</v>
      </c>
      <c r="H563" t="n">
        <v>0</v>
      </c>
      <c r="I563" t="n">
        <v>0</v>
      </c>
      <c r="J563" t="n">
        <v>0</v>
      </c>
      <c r="K563" t="n">
        <v>0</v>
      </c>
      <c r="L563" t="n">
        <v>0</v>
      </c>
      <c r="M563" t="n">
        <v>0</v>
      </c>
      <c r="N563" t="n">
        <v>0</v>
      </c>
      <c r="O563" t="n">
        <v>0</v>
      </c>
      <c r="P563" t="n">
        <v>0</v>
      </c>
      <c r="Q563" t="n">
        <v>0</v>
      </c>
      <c r="R563" s="2" t="inlineStr"/>
    </row>
    <row r="564" ht="15" customHeight="1">
      <c r="A564" t="inlineStr">
        <is>
          <t>A 876-2024</t>
        </is>
      </c>
      <c r="B564" s="1" t="n">
        <v>45301</v>
      </c>
      <c r="C564" s="1" t="n">
        <v>46025</v>
      </c>
      <c r="D564" t="inlineStr">
        <is>
          <t>GOTLANDS LÄN</t>
        </is>
      </c>
      <c r="E564" t="inlineStr">
        <is>
          <t>GOTLAND</t>
        </is>
      </c>
      <c r="G564" t="n">
        <v>5.3</v>
      </c>
      <c r="H564" t="n">
        <v>0</v>
      </c>
      <c r="I564" t="n">
        <v>0</v>
      </c>
      <c r="J564" t="n">
        <v>0</v>
      </c>
      <c r="K564" t="n">
        <v>0</v>
      </c>
      <c r="L564" t="n">
        <v>0</v>
      </c>
      <c r="M564" t="n">
        <v>0</v>
      </c>
      <c r="N564" t="n">
        <v>0</v>
      </c>
      <c r="O564" t="n">
        <v>0</v>
      </c>
      <c r="P564" t="n">
        <v>0</v>
      </c>
      <c r="Q564" t="n">
        <v>0</v>
      </c>
      <c r="R564" s="2" t="inlineStr"/>
    </row>
    <row r="565" ht="15" customHeight="1">
      <c r="A565" t="inlineStr">
        <is>
          <t>A 22704-2023</t>
        </is>
      </c>
      <c r="B565" s="1" t="n">
        <v>45071</v>
      </c>
      <c r="C565" s="1" t="n">
        <v>46025</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28425-2023</t>
        </is>
      </c>
      <c r="B566" s="1" t="n">
        <v>45102</v>
      </c>
      <c r="C566" s="1" t="n">
        <v>46025</v>
      </c>
      <c r="D566" t="inlineStr">
        <is>
          <t>GOTLANDS LÄN</t>
        </is>
      </c>
      <c r="E566" t="inlineStr">
        <is>
          <t>GOTLAND</t>
        </is>
      </c>
      <c r="G566" t="n">
        <v>0.5</v>
      </c>
      <c r="H566" t="n">
        <v>0</v>
      </c>
      <c r="I566" t="n">
        <v>0</v>
      </c>
      <c r="J566" t="n">
        <v>0</v>
      </c>
      <c r="K566" t="n">
        <v>0</v>
      </c>
      <c r="L566" t="n">
        <v>0</v>
      </c>
      <c r="M566" t="n">
        <v>0</v>
      </c>
      <c r="N566" t="n">
        <v>0</v>
      </c>
      <c r="O566" t="n">
        <v>0</v>
      </c>
      <c r="P566" t="n">
        <v>0</v>
      </c>
      <c r="Q566" t="n">
        <v>0</v>
      </c>
      <c r="R566" s="2" t="inlineStr"/>
    </row>
    <row r="567" ht="15" customHeight="1">
      <c r="A567" t="inlineStr">
        <is>
          <t>A 58476-2022</t>
        </is>
      </c>
      <c r="B567" s="1" t="n">
        <v>44902</v>
      </c>
      <c r="C567" s="1" t="n">
        <v>46025</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43200-2023</t>
        </is>
      </c>
      <c r="B568" s="1" t="n">
        <v>45183</v>
      </c>
      <c r="C568" s="1" t="n">
        <v>46025</v>
      </c>
      <c r="D568" t="inlineStr">
        <is>
          <t>GOTLANDS LÄN</t>
        </is>
      </c>
      <c r="E568" t="inlineStr">
        <is>
          <t>GOTLAND</t>
        </is>
      </c>
      <c r="G568" t="n">
        <v>0.5</v>
      </c>
      <c r="H568" t="n">
        <v>0</v>
      </c>
      <c r="I568" t="n">
        <v>0</v>
      </c>
      <c r="J568" t="n">
        <v>0</v>
      </c>
      <c r="K568" t="n">
        <v>0</v>
      </c>
      <c r="L568" t="n">
        <v>0</v>
      </c>
      <c r="M568" t="n">
        <v>0</v>
      </c>
      <c r="N568" t="n">
        <v>0</v>
      </c>
      <c r="O568" t="n">
        <v>0</v>
      </c>
      <c r="P568" t="n">
        <v>0</v>
      </c>
      <c r="Q568" t="n">
        <v>0</v>
      </c>
      <c r="R568" s="2" t="inlineStr"/>
    </row>
    <row r="569" ht="15" customHeight="1">
      <c r="A569" t="inlineStr">
        <is>
          <t>A 43223-2023</t>
        </is>
      </c>
      <c r="B569" s="1" t="n">
        <v>45183.45642361111</v>
      </c>
      <c r="C569" s="1" t="n">
        <v>46025</v>
      </c>
      <c r="D569" t="inlineStr">
        <is>
          <t>GOTLANDS LÄN</t>
        </is>
      </c>
      <c r="E569" t="inlineStr">
        <is>
          <t>GOTLAND</t>
        </is>
      </c>
      <c r="G569" t="n">
        <v>1.8</v>
      </c>
      <c r="H569" t="n">
        <v>0</v>
      </c>
      <c r="I569" t="n">
        <v>0</v>
      </c>
      <c r="J569" t="n">
        <v>0</v>
      </c>
      <c r="K569" t="n">
        <v>0</v>
      </c>
      <c r="L569" t="n">
        <v>0</v>
      </c>
      <c r="M569" t="n">
        <v>0</v>
      </c>
      <c r="N569" t="n">
        <v>0</v>
      </c>
      <c r="O569" t="n">
        <v>0</v>
      </c>
      <c r="P569" t="n">
        <v>0</v>
      </c>
      <c r="Q569" t="n">
        <v>0</v>
      </c>
      <c r="R569" s="2" t="inlineStr"/>
    </row>
    <row r="570" ht="15" customHeight="1">
      <c r="A570" t="inlineStr">
        <is>
          <t>A 12327-2025</t>
        </is>
      </c>
      <c r="B570" s="1" t="n">
        <v>45730</v>
      </c>
      <c r="C570" s="1" t="n">
        <v>46025</v>
      </c>
      <c r="D570" t="inlineStr">
        <is>
          <t>GOTLANDS LÄN</t>
        </is>
      </c>
      <c r="E570" t="inlineStr">
        <is>
          <t>GOTLAND</t>
        </is>
      </c>
      <c r="G570" t="n">
        <v>1.8</v>
      </c>
      <c r="H570" t="n">
        <v>0</v>
      </c>
      <c r="I570" t="n">
        <v>0</v>
      </c>
      <c r="J570" t="n">
        <v>0</v>
      </c>
      <c r="K570" t="n">
        <v>0</v>
      </c>
      <c r="L570" t="n">
        <v>0</v>
      </c>
      <c r="M570" t="n">
        <v>0</v>
      </c>
      <c r="N570" t="n">
        <v>0</v>
      </c>
      <c r="O570" t="n">
        <v>0</v>
      </c>
      <c r="P570" t="n">
        <v>0</v>
      </c>
      <c r="Q570" t="n">
        <v>0</v>
      </c>
      <c r="R570" s="2" t="inlineStr"/>
    </row>
    <row r="571" ht="15" customHeight="1">
      <c r="A571" t="inlineStr">
        <is>
          <t>A 3431-2025</t>
        </is>
      </c>
      <c r="B571" s="1" t="n">
        <v>45680.42935185185</v>
      </c>
      <c r="C571" s="1" t="n">
        <v>46025</v>
      </c>
      <c r="D571" t="inlineStr">
        <is>
          <t>GOTLANDS LÄN</t>
        </is>
      </c>
      <c r="E571" t="inlineStr">
        <is>
          <t>GOTLAND</t>
        </is>
      </c>
      <c r="G571" t="n">
        <v>4.8</v>
      </c>
      <c r="H571" t="n">
        <v>0</v>
      </c>
      <c r="I571" t="n">
        <v>0</v>
      </c>
      <c r="J571" t="n">
        <v>0</v>
      </c>
      <c r="K571" t="n">
        <v>0</v>
      </c>
      <c r="L571" t="n">
        <v>0</v>
      </c>
      <c r="M571" t="n">
        <v>0</v>
      </c>
      <c r="N571" t="n">
        <v>0</v>
      </c>
      <c r="O571" t="n">
        <v>0</v>
      </c>
      <c r="P571" t="n">
        <v>0</v>
      </c>
      <c r="Q571" t="n">
        <v>0</v>
      </c>
      <c r="R571" s="2" t="inlineStr"/>
    </row>
    <row r="572" ht="15" customHeight="1">
      <c r="A572" t="inlineStr">
        <is>
          <t>A 12209-2024</t>
        </is>
      </c>
      <c r="B572" s="1" t="n">
        <v>45378</v>
      </c>
      <c r="C572" s="1" t="n">
        <v>46025</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12210-2024</t>
        </is>
      </c>
      <c r="B573" s="1" t="n">
        <v>45378</v>
      </c>
      <c r="C573" s="1" t="n">
        <v>46025</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1364-2025</t>
        </is>
      </c>
      <c r="B574" s="1" t="n">
        <v>45667.63929398148</v>
      </c>
      <c r="C574" s="1" t="n">
        <v>46025</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15042-2025</t>
        </is>
      </c>
      <c r="B575" s="1" t="n">
        <v>45743</v>
      </c>
      <c r="C575" s="1" t="n">
        <v>46025</v>
      </c>
      <c r="D575" t="inlineStr">
        <is>
          <t>GOTLANDS LÄN</t>
        </is>
      </c>
      <c r="E575" t="inlineStr">
        <is>
          <t>GOTLAND</t>
        </is>
      </c>
      <c r="G575" t="n">
        <v>8.5</v>
      </c>
      <c r="H575" t="n">
        <v>0</v>
      </c>
      <c r="I575" t="n">
        <v>0</v>
      </c>
      <c r="J575" t="n">
        <v>0</v>
      </c>
      <c r="K575" t="n">
        <v>0</v>
      </c>
      <c r="L575" t="n">
        <v>0</v>
      </c>
      <c r="M575" t="n">
        <v>0</v>
      </c>
      <c r="N575" t="n">
        <v>0</v>
      </c>
      <c r="O575" t="n">
        <v>0</v>
      </c>
      <c r="P575" t="n">
        <v>0</v>
      </c>
      <c r="Q575" t="n">
        <v>0</v>
      </c>
      <c r="R575" s="2" t="inlineStr"/>
    </row>
    <row r="576" ht="15" customHeight="1">
      <c r="A576" t="inlineStr">
        <is>
          <t>A 2180-2025</t>
        </is>
      </c>
      <c r="B576" s="1" t="n">
        <v>45673</v>
      </c>
      <c r="C576" s="1" t="n">
        <v>46025</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15436-2025</t>
        </is>
      </c>
      <c r="B577" s="1" t="n">
        <v>45747.47462962963</v>
      </c>
      <c r="C577" s="1" t="n">
        <v>46025</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49257-2024</t>
        </is>
      </c>
      <c r="B578" s="1" t="n">
        <v>45595.47627314815</v>
      </c>
      <c r="C578" s="1" t="n">
        <v>46025</v>
      </c>
      <c r="D578" t="inlineStr">
        <is>
          <t>GOTLANDS LÄN</t>
        </is>
      </c>
      <c r="E578" t="inlineStr">
        <is>
          <t>GOTLAND</t>
        </is>
      </c>
      <c r="G578" t="n">
        <v>6.3</v>
      </c>
      <c r="H578" t="n">
        <v>0</v>
      </c>
      <c r="I578" t="n">
        <v>0</v>
      </c>
      <c r="J578" t="n">
        <v>0</v>
      </c>
      <c r="K578" t="n">
        <v>0</v>
      </c>
      <c r="L578" t="n">
        <v>0</v>
      </c>
      <c r="M578" t="n">
        <v>0</v>
      </c>
      <c r="N578" t="n">
        <v>0</v>
      </c>
      <c r="O578" t="n">
        <v>0</v>
      </c>
      <c r="P578" t="n">
        <v>0</v>
      </c>
      <c r="Q578" t="n">
        <v>0</v>
      </c>
      <c r="R578" s="2" t="inlineStr"/>
    </row>
    <row r="579" ht="15" customHeight="1">
      <c r="A579" t="inlineStr">
        <is>
          <t>A 37202-2024</t>
        </is>
      </c>
      <c r="B579" s="1" t="n">
        <v>45539.67310185185</v>
      </c>
      <c r="C579" s="1" t="n">
        <v>46025</v>
      </c>
      <c r="D579" t="inlineStr">
        <is>
          <t>GOTLANDS LÄN</t>
        </is>
      </c>
      <c r="E579" t="inlineStr">
        <is>
          <t>GOTLAND</t>
        </is>
      </c>
      <c r="G579" t="n">
        <v>0.3</v>
      </c>
      <c r="H579" t="n">
        <v>0</v>
      </c>
      <c r="I579" t="n">
        <v>0</v>
      </c>
      <c r="J579" t="n">
        <v>0</v>
      </c>
      <c r="K579" t="n">
        <v>0</v>
      </c>
      <c r="L579" t="n">
        <v>0</v>
      </c>
      <c r="M579" t="n">
        <v>0</v>
      </c>
      <c r="N579" t="n">
        <v>0</v>
      </c>
      <c r="O579" t="n">
        <v>0</v>
      </c>
      <c r="P579" t="n">
        <v>0</v>
      </c>
      <c r="Q579" t="n">
        <v>0</v>
      </c>
      <c r="R579" s="2" t="inlineStr"/>
    </row>
    <row r="580" ht="15" customHeight="1">
      <c r="A580" t="inlineStr">
        <is>
          <t>A 56115-2023</t>
        </is>
      </c>
      <c r="B580" s="1" t="n">
        <v>45236</v>
      </c>
      <c r="C580" s="1" t="n">
        <v>46025</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2774-2024</t>
        </is>
      </c>
      <c r="B581" s="1" t="n">
        <v>45314.62375</v>
      </c>
      <c r="C581" s="1" t="n">
        <v>46025</v>
      </c>
      <c r="D581" t="inlineStr">
        <is>
          <t>GOTLANDS LÄN</t>
        </is>
      </c>
      <c r="E581" t="inlineStr">
        <is>
          <t>GOTLAND</t>
        </is>
      </c>
      <c r="G581" t="n">
        <v>1</v>
      </c>
      <c r="H581" t="n">
        <v>0</v>
      </c>
      <c r="I581" t="n">
        <v>0</v>
      </c>
      <c r="J581" t="n">
        <v>0</v>
      </c>
      <c r="K581" t="n">
        <v>0</v>
      </c>
      <c r="L581" t="n">
        <v>0</v>
      </c>
      <c r="M581" t="n">
        <v>0</v>
      </c>
      <c r="N581" t="n">
        <v>0</v>
      </c>
      <c r="O581" t="n">
        <v>0</v>
      </c>
      <c r="P581" t="n">
        <v>0</v>
      </c>
      <c r="Q581" t="n">
        <v>0</v>
      </c>
      <c r="R581" s="2" t="inlineStr"/>
    </row>
    <row r="582" ht="15" customHeight="1">
      <c r="A582" t="inlineStr">
        <is>
          <t>A 60709-2023</t>
        </is>
      </c>
      <c r="B582" s="1" t="n">
        <v>45260</v>
      </c>
      <c r="C582" s="1" t="n">
        <v>46025</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64208-2021</t>
        </is>
      </c>
      <c r="B583" s="1" t="n">
        <v>44510</v>
      </c>
      <c r="C583" s="1" t="n">
        <v>46025</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39764-2022</t>
        </is>
      </c>
      <c r="B584" s="1" t="n">
        <v>44819</v>
      </c>
      <c r="C584" s="1" t="n">
        <v>46025</v>
      </c>
      <c r="D584" t="inlineStr">
        <is>
          <t>GOTLANDS LÄN</t>
        </is>
      </c>
      <c r="E584" t="inlineStr">
        <is>
          <t>GOTLAND</t>
        </is>
      </c>
      <c r="F584" t="inlineStr">
        <is>
          <t>Kyrkan</t>
        </is>
      </c>
      <c r="G584" t="n">
        <v>3.7</v>
      </c>
      <c r="H584" t="n">
        <v>0</v>
      </c>
      <c r="I584" t="n">
        <v>0</v>
      </c>
      <c r="J584" t="n">
        <v>0</v>
      </c>
      <c r="K584" t="n">
        <v>0</v>
      </c>
      <c r="L584" t="n">
        <v>0</v>
      </c>
      <c r="M584" t="n">
        <v>0</v>
      </c>
      <c r="N584" t="n">
        <v>0</v>
      </c>
      <c r="O584" t="n">
        <v>0</v>
      </c>
      <c r="P584" t="n">
        <v>0</v>
      </c>
      <c r="Q584" t="n">
        <v>0</v>
      </c>
      <c r="R584" s="2" t="inlineStr"/>
    </row>
    <row r="585" ht="15" customHeight="1">
      <c r="A585" t="inlineStr">
        <is>
          <t>A 58211-2024</t>
        </is>
      </c>
      <c r="B585" s="1" t="n">
        <v>45632.49292824074</v>
      </c>
      <c r="C585" s="1" t="n">
        <v>46025</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30956-2024</t>
        </is>
      </c>
      <c r="B586" s="1" t="n">
        <v>45499.42527777778</v>
      </c>
      <c r="C586" s="1" t="n">
        <v>46025</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30892-2024</t>
        </is>
      </c>
      <c r="B587" s="1" t="n">
        <v>45491</v>
      </c>
      <c r="C587" s="1" t="n">
        <v>46025</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14635-2023</t>
        </is>
      </c>
      <c r="B588" s="1" t="n">
        <v>45013.69365740741</v>
      </c>
      <c r="C588" s="1" t="n">
        <v>46025</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59469-2024</t>
        </is>
      </c>
      <c r="B589" s="1" t="n">
        <v>45638</v>
      </c>
      <c r="C589" s="1" t="n">
        <v>46025</v>
      </c>
      <c r="D589" t="inlineStr">
        <is>
          <t>GOTLANDS LÄN</t>
        </is>
      </c>
      <c r="E589" t="inlineStr">
        <is>
          <t>GOTLAND</t>
        </is>
      </c>
      <c r="G589" t="n">
        <v>0.4</v>
      </c>
      <c r="H589" t="n">
        <v>0</v>
      </c>
      <c r="I589" t="n">
        <v>0</v>
      </c>
      <c r="J589" t="n">
        <v>0</v>
      </c>
      <c r="K589" t="n">
        <v>0</v>
      </c>
      <c r="L589" t="n">
        <v>0</v>
      </c>
      <c r="M589" t="n">
        <v>0</v>
      </c>
      <c r="N589" t="n">
        <v>0</v>
      </c>
      <c r="O589" t="n">
        <v>0</v>
      </c>
      <c r="P589" t="n">
        <v>0</v>
      </c>
      <c r="Q589" t="n">
        <v>0</v>
      </c>
      <c r="R589" s="2" t="inlineStr"/>
    </row>
    <row r="590" ht="15" customHeight="1">
      <c r="A590" t="inlineStr">
        <is>
          <t>A 7858-2025</t>
        </is>
      </c>
      <c r="B590" s="1" t="n">
        <v>45706.68633101852</v>
      </c>
      <c r="C590" s="1" t="n">
        <v>46025</v>
      </c>
      <c r="D590" t="inlineStr">
        <is>
          <t>GOTLANDS LÄN</t>
        </is>
      </c>
      <c r="E590" t="inlineStr">
        <is>
          <t>GOTLAND</t>
        </is>
      </c>
      <c r="G590" t="n">
        <v>3</v>
      </c>
      <c r="H590" t="n">
        <v>0</v>
      </c>
      <c r="I590" t="n">
        <v>0</v>
      </c>
      <c r="J590" t="n">
        <v>0</v>
      </c>
      <c r="K590" t="n">
        <v>0</v>
      </c>
      <c r="L590" t="n">
        <v>0</v>
      </c>
      <c r="M590" t="n">
        <v>0</v>
      </c>
      <c r="N590" t="n">
        <v>0</v>
      </c>
      <c r="O590" t="n">
        <v>0</v>
      </c>
      <c r="P590" t="n">
        <v>0</v>
      </c>
      <c r="Q590" t="n">
        <v>0</v>
      </c>
      <c r="R590" s="2" t="inlineStr"/>
    </row>
    <row r="591" ht="15" customHeight="1">
      <c r="A591" t="inlineStr">
        <is>
          <t>A 53935-2024</t>
        </is>
      </c>
      <c r="B591" s="1" t="n">
        <v>45615</v>
      </c>
      <c r="C591" s="1" t="n">
        <v>46025</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18223-2025</t>
        </is>
      </c>
      <c r="B592" s="1" t="n">
        <v>45761</v>
      </c>
      <c r="C592" s="1" t="n">
        <v>46025</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4420-2025</t>
        </is>
      </c>
      <c r="B593" s="1" t="n">
        <v>45686.47157407407</v>
      </c>
      <c r="C593" s="1" t="n">
        <v>46025</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5891-2025</t>
        </is>
      </c>
      <c r="B594" s="1" t="n">
        <v>45695.38327546296</v>
      </c>
      <c r="C594" s="1" t="n">
        <v>46025</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7835-2024</t>
        </is>
      </c>
      <c r="B595" s="1" t="n">
        <v>45349.83138888889</v>
      </c>
      <c r="C595" s="1" t="n">
        <v>46025</v>
      </c>
      <c r="D595" t="inlineStr">
        <is>
          <t>GOTLANDS LÄN</t>
        </is>
      </c>
      <c r="E595" t="inlineStr">
        <is>
          <t>GOTLAND</t>
        </is>
      </c>
      <c r="G595" t="n">
        <v>3.8</v>
      </c>
      <c r="H595" t="n">
        <v>0</v>
      </c>
      <c r="I595" t="n">
        <v>0</v>
      </c>
      <c r="J595" t="n">
        <v>0</v>
      </c>
      <c r="K595" t="n">
        <v>0</v>
      </c>
      <c r="L595" t="n">
        <v>0</v>
      </c>
      <c r="M595" t="n">
        <v>0</v>
      </c>
      <c r="N595" t="n">
        <v>0</v>
      </c>
      <c r="O595" t="n">
        <v>0</v>
      </c>
      <c r="P595" t="n">
        <v>0</v>
      </c>
      <c r="Q595" t="n">
        <v>0</v>
      </c>
      <c r="R595" s="2" t="inlineStr"/>
    </row>
    <row r="596" ht="15" customHeight="1">
      <c r="A596" t="inlineStr">
        <is>
          <t>A 20794-2025</t>
        </is>
      </c>
      <c r="B596" s="1" t="n">
        <v>45776</v>
      </c>
      <c r="C596" s="1" t="n">
        <v>46025</v>
      </c>
      <c r="D596" t="inlineStr">
        <is>
          <t>GOTLANDS LÄN</t>
        </is>
      </c>
      <c r="E596" t="inlineStr">
        <is>
          <t>GOTLAND</t>
        </is>
      </c>
      <c r="G596" t="n">
        <v>6</v>
      </c>
      <c r="H596" t="n">
        <v>0</v>
      </c>
      <c r="I596" t="n">
        <v>0</v>
      </c>
      <c r="J596" t="n">
        <v>0</v>
      </c>
      <c r="K596" t="n">
        <v>0</v>
      </c>
      <c r="L596" t="n">
        <v>0</v>
      </c>
      <c r="M596" t="n">
        <v>0</v>
      </c>
      <c r="N596" t="n">
        <v>0</v>
      </c>
      <c r="O596" t="n">
        <v>0</v>
      </c>
      <c r="P596" t="n">
        <v>0</v>
      </c>
      <c r="Q596" t="n">
        <v>0</v>
      </c>
      <c r="R596" s="2" t="inlineStr"/>
    </row>
    <row r="597" ht="15" customHeight="1">
      <c r="A597" t="inlineStr">
        <is>
          <t>A 20805-2025</t>
        </is>
      </c>
      <c r="B597" s="1" t="n">
        <v>45776</v>
      </c>
      <c r="C597" s="1" t="n">
        <v>46025</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21389-2025</t>
        </is>
      </c>
      <c r="B598" s="1" t="n">
        <v>45782</v>
      </c>
      <c r="C598" s="1" t="n">
        <v>46025</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21651-2025</t>
        </is>
      </c>
      <c r="B599" s="1" t="n">
        <v>45783</v>
      </c>
      <c r="C599" s="1" t="n">
        <v>46025</v>
      </c>
      <c r="D599" t="inlineStr">
        <is>
          <t>GOTLANDS LÄN</t>
        </is>
      </c>
      <c r="E599" t="inlineStr">
        <is>
          <t>GOTLAND</t>
        </is>
      </c>
      <c r="G599" t="n">
        <v>4.2</v>
      </c>
      <c r="H599" t="n">
        <v>0</v>
      </c>
      <c r="I599" t="n">
        <v>0</v>
      </c>
      <c r="J599" t="n">
        <v>0</v>
      </c>
      <c r="K599" t="n">
        <v>0</v>
      </c>
      <c r="L599" t="n">
        <v>0</v>
      </c>
      <c r="M599" t="n">
        <v>0</v>
      </c>
      <c r="N599" t="n">
        <v>0</v>
      </c>
      <c r="O599" t="n">
        <v>0</v>
      </c>
      <c r="P599" t="n">
        <v>0</v>
      </c>
      <c r="Q599" t="n">
        <v>0</v>
      </c>
      <c r="R599" s="2" t="inlineStr"/>
    </row>
    <row r="600" ht="15" customHeight="1">
      <c r="A600" t="inlineStr">
        <is>
          <t>A 57356-2023</t>
        </is>
      </c>
      <c r="B600" s="1" t="n">
        <v>45240</v>
      </c>
      <c r="C600" s="1" t="n">
        <v>46025</v>
      </c>
      <c r="D600" t="inlineStr">
        <is>
          <t>GOTLANDS LÄN</t>
        </is>
      </c>
      <c r="E600" t="inlineStr">
        <is>
          <t>GOTLAND</t>
        </is>
      </c>
      <c r="G600" t="n">
        <v>6.4</v>
      </c>
      <c r="H600" t="n">
        <v>0</v>
      </c>
      <c r="I600" t="n">
        <v>0</v>
      </c>
      <c r="J600" t="n">
        <v>0</v>
      </c>
      <c r="K600" t="n">
        <v>0</v>
      </c>
      <c r="L600" t="n">
        <v>0</v>
      </c>
      <c r="M600" t="n">
        <v>0</v>
      </c>
      <c r="N600" t="n">
        <v>0</v>
      </c>
      <c r="O600" t="n">
        <v>0</v>
      </c>
      <c r="P600" t="n">
        <v>0</v>
      </c>
      <c r="Q600" t="n">
        <v>0</v>
      </c>
      <c r="R600" s="2" t="inlineStr"/>
    </row>
    <row r="601" ht="15" customHeight="1">
      <c r="A601" t="inlineStr">
        <is>
          <t>A 10656-2024</t>
        </is>
      </c>
      <c r="B601" s="1" t="n">
        <v>45368</v>
      </c>
      <c r="C601" s="1" t="n">
        <v>46025</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28506-2023</t>
        </is>
      </c>
      <c r="B602" s="1" t="n">
        <v>45103</v>
      </c>
      <c r="C602" s="1" t="n">
        <v>46025</v>
      </c>
      <c r="D602" t="inlineStr">
        <is>
          <t>GOTLANDS LÄN</t>
        </is>
      </c>
      <c r="E602" t="inlineStr">
        <is>
          <t>GOTLAND</t>
        </is>
      </c>
      <c r="G602" t="n">
        <v>3.2</v>
      </c>
      <c r="H602" t="n">
        <v>0</v>
      </c>
      <c r="I602" t="n">
        <v>0</v>
      </c>
      <c r="J602" t="n">
        <v>0</v>
      </c>
      <c r="K602" t="n">
        <v>0</v>
      </c>
      <c r="L602" t="n">
        <v>0</v>
      </c>
      <c r="M602" t="n">
        <v>0</v>
      </c>
      <c r="N602" t="n">
        <v>0</v>
      </c>
      <c r="O602" t="n">
        <v>0</v>
      </c>
      <c r="P602" t="n">
        <v>0</v>
      </c>
      <c r="Q602" t="n">
        <v>0</v>
      </c>
      <c r="R602" s="2" t="inlineStr"/>
    </row>
    <row r="603" ht="15" customHeight="1">
      <c r="A603" t="inlineStr">
        <is>
          <t>A 21420-2024</t>
        </is>
      </c>
      <c r="B603" s="1" t="n">
        <v>45441.38293981482</v>
      </c>
      <c r="C603" s="1" t="n">
        <v>46025</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23188-2025</t>
        </is>
      </c>
      <c r="B604" s="1" t="n">
        <v>45791</v>
      </c>
      <c r="C604" s="1" t="n">
        <v>46025</v>
      </c>
      <c r="D604" t="inlineStr">
        <is>
          <t>GOTLANDS LÄN</t>
        </is>
      </c>
      <c r="E604" t="inlineStr">
        <is>
          <t>GOTLAND</t>
        </is>
      </c>
      <c r="G604" t="n">
        <v>6.2</v>
      </c>
      <c r="H604" t="n">
        <v>0</v>
      </c>
      <c r="I604" t="n">
        <v>0</v>
      </c>
      <c r="J604" t="n">
        <v>0</v>
      </c>
      <c r="K604" t="n">
        <v>0</v>
      </c>
      <c r="L604" t="n">
        <v>0</v>
      </c>
      <c r="M604" t="n">
        <v>0</v>
      </c>
      <c r="N604" t="n">
        <v>0</v>
      </c>
      <c r="O604" t="n">
        <v>0</v>
      </c>
      <c r="P604" t="n">
        <v>0</v>
      </c>
      <c r="Q604" t="n">
        <v>0</v>
      </c>
      <c r="R604" s="2" t="inlineStr"/>
    </row>
    <row r="605" ht="15" customHeight="1">
      <c r="A605" t="inlineStr">
        <is>
          <t>A 23473-2025</t>
        </is>
      </c>
      <c r="B605" s="1" t="n">
        <v>45792</v>
      </c>
      <c r="C605" s="1" t="n">
        <v>46025</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23856-2025</t>
        </is>
      </c>
      <c r="B606" s="1" t="n">
        <v>45793</v>
      </c>
      <c r="C606" s="1" t="n">
        <v>46025</v>
      </c>
      <c r="D606" t="inlineStr">
        <is>
          <t>GOTLANDS LÄN</t>
        </is>
      </c>
      <c r="E606" t="inlineStr">
        <is>
          <t>GOTLAND</t>
        </is>
      </c>
      <c r="G606" t="n">
        <v>4.4</v>
      </c>
      <c r="H606" t="n">
        <v>0</v>
      </c>
      <c r="I606" t="n">
        <v>0</v>
      </c>
      <c r="J606" t="n">
        <v>0</v>
      </c>
      <c r="K606" t="n">
        <v>0</v>
      </c>
      <c r="L606" t="n">
        <v>0</v>
      </c>
      <c r="M606" t="n">
        <v>0</v>
      </c>
      <c r="N606" t="n">
        <v>0</v>
      </c>
      <c r="O606" t="n">
        <v>0</v>
      </c>
      <c r="P606" t="n">
        <v>0</v>
      </c>
      <c r="Q606" t="n">
        <v>0</v>
      </c>
      <c r="R606" s="2" t="inlineStr"/>
    </row>
    <row r="607" ht="15" customHeight="1">
      <c r="A607" t="inlineStr">
        <is>
          <t>A 15073-2025</t>
        </is>
      </c>
      <c r="B607" s="1" t="n">
        <v>45743</v>
      </c>
      <c r="C607" s="1" t="n">
        <v>46025</v>
      </c>
      <c r="D607" t="inlineStr">
        <is>
          <t>GOTLANDS LÄN</t>
        </is>
      </c>
      <c r="E607" t="inlineStr">
        <is>
          <t>GOTLAND</t>
        </is>
      </c>
      <c r="G607" t="n">
        <v>12.1</v>
      </c>
      <c r="H607" t="n">
        <v>0</v>
      </c>
      <c r="I607" t="n">
        <v>0</v>
      </c>
      <c r="J607" t="n">
        <v>0</v>
      </c>
      <c r="K607" t="n">
        <v>0</v>
      </c>
      <c r="L607" t="n">
        <v>0</v>
      </c>
      <c r="M607" t="n">
        <v>0</v>
      </c>
      <c r="N607" t="n">
        <v>0</v>
      </c>
      <c r="O607" t="n">
        <v>0</v>
      </c>
      <c r="P607" t="n">
        <v>0</v>
      </c>
      <c r="Q607" t="n">
        <v>0</v>
      </c>
      <c r="R607" s="2" t="inlineStr"/>
    </row>
    <row r="608" ht="15" customHeight="1">
      <c r="A608" t="inlineStr">
        <is>
          <t>A 6749-2025</t>
        </is>
      </c>
      <c r="B608" s="1" t="n">
        <v>45700</v>
      </c>
      <c r="C608" s="1" t="n">
        <v>46025</v>
      </c>
      <c r="D608" t="inlineStr">
        <is>
          <t>GOTLANDS LÄN</t>
        </is>
      </c>
      <c r="E608" t="inlineStr">
        <is>
          <t>GOTLAND</t>
        </is>
      </c>
      <c r="G608" t="n">
        <v>4.5</v>
      </c>
      <c r="H608" t="n">
        <v>0</v>
      </c>
      <c r="I608" t="n">
        <v>0</v>
      </c>
      <c r="J608" t="n">
        <v>0</v>
      </c>
      <c r="K608" t="n">
        <v>0</v>
      </c>
      <c r="L608" t="n">
        <v>0</v>
      </c>
      <c r="M608" t="n">
        <v>0</v>
      </c>
      <c r="N608" t="n">
        <v>0</v>
      </c>
      <c r="O608" t="n">
        <v>0</v>
      </c>
      <c r="P608" t="n">
        <v>0</v>
      </c>
      <c r="Q608" t="n">
        <v>0</v>
      </c>
      <c r="R608" s="2" t="inlineStr"/>
    </row>
    <row r="609" ht="15" customHeight="1">
      <c r="A609" t="inlineStr">
        <is>
          <t>A 23698-2025</t>
        </is>
      </c>
      <c r="B609" s="1" t="n">
        <v>45793</v>
      </c>
      <c r="C609" s="1" t="n">
        <v>46025</v>
      </c>
      <c r="D609" t="inlineStr">
        <is>
          <t>GOTLANDS LÄN</t>
        </is>
      </c>
      <c r="E609" t="inlineStr">
        <is>
          <t>GOTLAND</t>
        </is>
      </c>
      <c r="G609" t="n">
        <v>0.8</v>
      </c>
      <c r="H609" t="n">
        <v>0</v>
      </c>
      <c r="I609" t="n">
        <v>0</v>
      </c>
      <c r="J609" t="n">
        <v>0</v>
      </c>
      <c r="K609" t="n">
        <v>0</v>
      </c>
      <c r="L609" t="n">
        <v>0</v>
      </c>
      <c r="M609" t="n">
        <v>0</v>
      </c>
      <c r="N609" t="n">
        <v>0</v>
      </c>
      <c r="O609" t="n">
        <v>0</v>
      </c>
      <c r="P609" t="n">
        <v>0</v>
      </c>
      <c r="Q609" t="n">
        <v>0</v>
      </c>
      <c r="R609" s="2" t="inlineStr"/>
    </row>
    <row r="610" ht="15" customHeight="1">
      <c r="A610" t="inlineStr">
        <is>
          <t>A 5462-2025</t>
        </is>
      </c>
      <c r="B610" s="1" t="n">
        <v>45693.29331018519</v>
      </c>
      <c r="C610" s="1" t="n">
        <v>46025</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25796-2025</t>
        </is>
      </c>
      <c r="B611" s="1" t="n">
        <v>45804.39543981481</v>
      </c>
      <c r="C611" s="1" t="n">
        <v>46025</v>
      </c>
      <c r="D611" t="inlineStr">
        <is>
          <t>GOTLANDS LÄN</t>
        </is>
      </c>
      <c r="E611" t="inlineStr">
        <is>
          <t>GOTLAND</t>
        </is>
      </c>
      <c r="G611" t="n">
        <v>2</v>
      </c>
      <c r="H611" t="n">
        <v>0</v>
      </c>
      <c r="I611" t="n">
        <v>0</v>
      </c>
      <c r="J611" t="n">
        <v>0</v>
      </c>
      <c r="K611" t="n">
        <v>0</v>
      </c>
      <c r="L611" t="n">
        <v>0</v>
      </c>
      <c r="M611" t="n">
        <v>0</v>
      </c>
      <c r="N611" t="n">
        <v>0</v>
      </c>
      <c r="O611" t="n">
        <v>0</v>
      </c>
      <c r="P611" t="n">
        <v>0</v>
      </c>
      <c r="Q611" t="n">
        <v>0</v>
      </c>
      <c r="R611" s="2" t="inlineStr"/>
    </row>
    <row r="612" ht="15" customHeight="1">
      <c r="A612" t="inlineStr">
        <is>
          <t>A 26457-2025</t>
        </is>
      </c>
      <c r="B612" s="1" t="n">
        <v>45807.42773148148</v>
      </c>
      <c r="C612" s="1" t="n">
        <v>46025</v>
      </c>
      <c r="D612" t="inlineStr">
        <is>
          <t>GOTLANDS LÄN</t>
        </is>
      </c>
      <c r="E612" t="inlineStr">
        <is>
          <t>GOTLAND</t>
        </is>
      </c>
      <c r="G612" t="n">
        <v>5.7</v>
      </c>
      <c r="H612" t="n">
        <v>0</v>
      </c>
      <c r="I612" t="n">
        <v>0</v>
      </c>
      <c r="J612" t="n">
        <v>0</v>
      </c>
      <c r="K612" t="n">
        <v>0</v>
      </c>
      <c r="L612" t="n">
        <v>0</v>
      </c>
      <c r="M612" t="n">
        <v>0</v>
      </c>
      <c r="N612" t="n">
        <v>0</v>
      </c>
      <c r="O612" t="n">
        <v>0</v>
      </c>
      <c r="P612" t="n">
        <v>0</v>
      </c>
      <c r="Q612" t="n">
        <v>0</v>
      </c>
      <c r="R612" s="2" t="inlineStr"/>
    </row>
    <row r="613" ht="15" customHeight="1">
      <c r="A613" t="inlineStr">
        <is>
          <t>A 26467-2025</t>
        </is>
      </c>
      <c r="B613" s="1" t="n">
        <v>45807.44640046296</v>
      </c>
      <c r="C613" s="1" t="n">
        <v>46025</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26465-2025</t>
        </is>
      </c>
      <c r="B614" s="1" t="n">
        <v>45807.44377314814</v>
      </c>
      <c r="C614" s="1" t="n">
        <v>46025</v>
      </c>
      <c r="D614" t="inlineStr">
        <is>
          <t>GOTLANDS LÄN</t>
        </is>
      </c>
      <c r="E614" t="inlineStr">
        <is>
          <t>GOTLAND</t>
        </is>
      </c>
      <c r="G614" t="n">
        <v>4.5</v>
      </c>
      <c r="H614" t="n">
        <v>0</v>
      </c>
      <c r="I614" t="n">
        <v>0</v>
      </c>
      <c r="J614" t="n">
        <v>0</v>
      </c>
      <c r="K614" t="n">
        <v>0</v>
      </c>
      <c r="L614" t="n">
        <v>0</v>
      </c>
      <c r="M614" t="n">
        <v>0</v>
      </c>
      <c r="N614" t="n">
        <v>0</v>
      </c>
      <c r="O614" t="n">
        <v>0</v>
      </c>
      <c r="P614" t="n">
        <v>0</v>
      </c>
      <c r="Q614" t="n">
        <v>0</v>
      </c>
      <c r="R614" s="2" t="inlineStr"/>
    </row>
    <row r="615" ht="15" customHeight="1">
      <c r="A615" t="inlineStr">
        <is>
          <t>A 26660-2025</t>
        </is>
      </c>
      <c r="B615" s="1" t="n">
        <v>45810.39737268518</v>
      </c>
      <c r="C615" s="1" t="n">
        <v>46025</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27371-2025</t>
        </is>
      </c>
      <c r="B616" s="1" t="n">
        <v>45812</v>
      </c>
      <c r="C616" s="1" t="n">
        <v>46025</v>
      </c>
      <c r="D616" t="inlineStr">
        <is>
          <t>GOTLANDS LÄN</t>
        </is>
      </c>
      <c r="E616" t="inlineStr">
        <is>
          <t>GOTLAND</t>
        </is>
      </c>
      <c r="G616" t="n">
        <v>8</v>
      </c>
      <c r="H616" t="n">
        <v>0</v>
      </c>
      <c r="I616" t="n">
        <v>0</v>
      </c>
      <c r="J616" t="n">
        <v>0</v>
      </c>
      <c r="K616" t="n">
        <v>0</v>
      </c>
      <c r="L616" t="n">
        <v>0</v>
      </c>
      <c r="M616" t="n">
        <v>0</v>
      </c>
      <c r="N616" t="n">
        <v>0</v>
      </c>
      <c r="O616" t="n">
        <v>0</v>
      </c>
      <c r="P616" t="n">
        <v>0</v>
      </c>
      <c r="Q616" t="n">
        <v>0</v>
      </c>
      <c r="R616" s="2" t="inlineStr"/>
    </row>
    <row r="617" ht="15" customHeight="1">
      <c r="A617" t="inlineStr">
        <is>
          <t>A 27355-2025</t>
        </is>
      </c>
      <c r="B617" s="1" t="n">
        <v>45812</v>
      </c>
      <c r="C617" s="1" t="n">
        <v>46025</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6739-2025</t>
        </is>
      </c>
      <c r="B618" s="1" t="n">
        <v>45700</v>
      </c>
      <c r="C618" s="1" t="n">
        <v>46025</v>
      </c>
      <c r="D618" t="inlineStr">
        <is>
          <t>GOTLANDS LÄN</t>
        </is>
      </c>
      <c r="E618" t="inlineStr">
        <is>
          <t>GOTLAND</t>
        </is>
      </c>
      <c r="G618" t="n">
        <v>4.5</v>
      </c>
      <c r="H618" t="n">
        <v>0</v>
      </c>
      <c r="I618" t="n">
        <v>0</v>
      </c>
      <c r="J618" t="n">
        <v>0</v>
      </c>
      <c r="K618" t="n">
        <v>0</v>
      </c>
      <c r="L618" t="n">
        <v>0</v>
      </c>
      <c r="M618" t="n">
        <v>0</v>
      </c>
      <c r="N618" t="n">
        <v>0</v>
      </c>
      <c r="O618" t="n">
        <v>0</v>
      </c>
      <c r="P618" t="n">
        <v>0</v>
      </c>
      <c r="Q618" t="n">
        <v>0</v>
      </c>
      <c r="R618" s="2" t="inlineStr"/>
    </row>
    <row r="619" ht="15" customHeight="1">
      <c r="A619" t="inlineStr">
        <is>
          <t>A 7850-2025</t>
        </is>
      </c>
      <c r="B619" s="1" t="n">
        <v>45706</v>
      </c>
      <c r="C619" s="1" t="n">
        <v>46025</v>
      </c>
      <c r="D619" t="inlineStr">
        <is>
          <t>GOTLANDS LÄN</t>
        </is>
      </c>
      <c r="E619" t="inlineStr">
        <is>
          <t>GOTLAND</t>
        </is>
      </c>
      <c r="G619" t="n">
        <v>0.5</v>
      </c>
      <c r="H619" t="n">
        <v>0</v>
      </c>
      <c r="I619" t="n">
        <v>0</v>
      </c>
      <c r="J619" t="n">
        <v>0</v>
      </c>
      <c r="K619" t="n">
        <v>0</v>
      </c>
      <c r="L619" t="n">
        <v>0</v>
      </c>
      <c r="M619" t="n">
        <v>0</v>
      </c>
      <c r="N619" t="n">
        <v>0</v>
      </c>
      <c r="O619" t="n">
        <v>0</v>
      </c>
      <c r="P619" t="n">
        <v>0</v>
      </c>
      <c r="Q619" t="n">
        <v>0</v>
      </c>
      <c r="R619" s="2" t="inlineStr"/>
    </row>
    <row r="620">
      <c r="A620" t="inlineStr">
        <is>
          <t>A 8444-2025</t>
        </is>
      </c>
      <c r="B620" s="1" t="n">
        <v>45709</v>
      </c>
      <c r="C620" s="1" t="n">
        <v>46025</v>
      </c>
      <c r="D620" t="inlineStr">
        <is>
          <t>GOTLANDS LÄN</t>
        </is>
      </c>
      <c r="E620" t="inlineStr">
        <is>
          <t>GOTLAND</t>
        </is>
      </c>
      <c r="G620" t="n">
        <v>5.2</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2026-01-03T10:35:57Z</dcterms:created>
  <dcterms:modified xmlns:dcterms="http://purl.org/dc/terms/" xmlns:xsi="http://www.w3.org/2001/XMLSchema-instance" xsi:type="dcterms:W3CDTF">2026-01-03T10:35:57Z</dcterms:modified>
</cp:coreProperties>
</file>