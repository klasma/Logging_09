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46309</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46309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46309</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46309</v>
      </c>
      <c r="F8" t="inlineStr">
        <is>
          <t>GOTLANDS LÄN</t>
        </is>
      </c>
      <c r="G8" t="inlineStr">
        <is>
          <t>GOTLAND</t>
        </is>
      </c>
      <c r="I8" t="n">
        <v>14.2</v>
      </c>
      <c r="J8" t="n">
        <v>2</v>
      </c>
      <c r="K8" t="n">
        <v>6</v>
      </c>
      <c r="L8" t="n">
        <v>12</v>
      </c>
      <c r="M8" t="n">
        <v>13</v>
      </c>
      <c r="N8" t="n">
        <v>2</v>
      </c>
      <c r="O8" t="n">
        <v>0</v>
      </c>
      <c r="P8" t="n">
        <v>0</v>
      </c>
      <c r="Q8" t="n">
        <v>27</v>
      </c>
      <c r="R8" t="n">
        <v>15</v>
      </c>
      <c r="S8" t="n">
        <v>34</v>
      </c>
      <c r="T8" t="n">
        <v>110</v>
      </c>
      <c r="U8" t="n">
        <v>110</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46309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46309</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46309</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46309</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46309</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46309</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46309</v>
      </c>
      <c r="F15" t="inlineStr">
        <is>
          <t>GOTLANDS LÄN</t>
        </is>
      </c>
      <c r="G15" t="inlineStr">
        <is>
          <t>GOTLAND</t>
        </is>
      </c>
      <c r="I15" t="n">
        <v>31.3</v>
      </c>
      <c r="J15" t="n">
        <v>5</v>
      </c>
      <c r="K15" t="n">
        <v>5</v>
      </c>
      <c r="L15" t="n">
        <v>12</v>
      </c>
      <c r="M15" t="n">
        <v>8</v>
      </c>
      <c r="N15" t="n">
        <v>2</v>
      </c>
      <c r="O15" t="n">
        <v>0</v>
      </c>
      <c r="P15" t="n">
        <v>0</v>
      </c>
      <c r="Q15" t="n">
        <v>22</v>
      </c>
      <c r="R15" t="n">
        <v>10</v>
      </c>
      <c r="S15" t="n">
        <v>31</v>
      </c>
      <c r="T15" t="n">
        <v>77</v>
      </c>
      <c r="U15" t="n">
        <v>73</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46309</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46309</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46309</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46309</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6159-2023</t>
        </is>
      </c>
      <c r="B20" t="inlineStr">
        <is>
          <t>avverkningsanmälan</t>
        </is>
      </c>
      <c r="C20" t="inlineStr">
        <is>
          <t>Föryngringsavverkning</t>
        </is>
      </c>
      <c r="D20" s="1" t="n">
        <v>44964</v>
      </c>
      <c r="E20" s="1" t="n">
        <v>46309</v>
      </c>
      <c r="F20" t="inlineStr">
        <is>
          <t>GOTLANDS LÄN</t>
        </is>
      </c>
      <c r="G20" t="inlineStr">
        <is>
          <t>GOTLAND</t>
        </is>
      </c>
      <c r="I20" t="n">
        <v>2</v>
      </c>
      <c r="J20" t="n">
        <v>0</v>
      </c>
      <c r="K20" t="n">
        <v>4</v>
      </c>
      <c r="L20" t="n">
        <v>10</v>
      </c>
      <c r="M20" t="n">
        <v>7</v>
      </c>
      <c r="N20" t="n">
        <v>2</v>
      </c>
      <c r="O20" t="n">
        <v>1</v>
      </c>
      <c r="P20" t="n">
        <v>0</v>
      </c>
      <c r="Q20" t="n">
        <v>20</v>
      </c>
      <c r="R20" t="n">
        <v>10</v>
      </c>
      <c r="S20" t="n">
        <v>25</v>
      </c>
      <c r="T20" t="n">
        <v>86</v>
      </c>
      <c r="U20" t="n">
        <v>77</v>
      </c>
      <c r="V20" s="2" t="inlineStr">
        <is>
          <t>Coniocarpon fallax
Brandtaggsvamp
Knölig taggsvamp
Duvspindling
Granrotspindling
Gul lammticka
Gulsträngad fagerspindling
Gyllenspindling
Svartgrön spindling
Trollspindling
Blek fingersvamp
Blå slemspindling
Dofttaggsvamp
Fjällig taggsvamp s.str.
Kryddspindling
Odörspindling
Orange taggsvamp
Svart taggsvamp
Vårärt
Äggspindling
Anisspindling
Brandmusseron
Fransig jordstjärna
Olivspindling
Kransmossa</t>
        </is>
      </c>
      <c r="W20">
        <f>HYPERLINK("https://klasma.github.io/Logging_0980/artfynd/A 6159-2023 artfynd.xlsx", "A 6159-2023")</f>
        <v/>
      </c>
      <c r="X20">
        <f>HYPERLINK("https://klasma.github.io/Logging_0980/kartor/A 6159-2023 karta.png", "A 6159-2023")</f>
        <v/>
      </c>
      <c r="Y20">
        <f>HYPERLINK("https://klasma.github.io/Logging_0980/kartor_geotiff/A 6159-2023 georefererad karta.tif", "A 6159-2023")</f>
        <v/>
      </c>
      <c r="AA20">
        <f>HYPERLINK("https://klasma.github.io/Logging_0980/klagomål/A 6159-2023 FSC-klagomål.docx", "A 6159-2023")</f>
        <v/>
      </c>
      <c r="AB20">
        <f>HYPERLINK("https://klasma.github.io/Logging_0980/klagomålsmail/A 6159-2023 FSC-klagomål mail.docx", "A 6159-2023")</f>
        <v/>
      </c>
      <c r="AC20">
        <f>HYPERLINK("https://klasma.github.io/Logging_0980/tillsyn/A 6159-2023 tillsynsbegäran.docx", "A 6159-2023")</f>
        <v/>
      </c>
      <c r="AD20">
        <f>HYPERLINK("https://klasma.github.io/Logging_0980/tillsynsmail/A 6159-2023 tillsynsbegäran mail.docx", "A 6159-2023")</f>
        <v/>
      </c>
    </row>
    <row r="21" ht="15" customHeight="1">
      <c r="A21" t="inlineStr">
        <is>
          <t>A 42411-2026</t>
        </is>
      </c>
      <c r="B21" t="inlineStr">
        <is>
          <t>avverkningsanmälan</t>
        </is>
      </c>
      <c r="C21" t="inlineStr">
        <is>
          <t>Avverkning för annat ändamål</t>
        </is>
      </c>
      <c r="D21" s="1" t="n">
        <v>46307</v>
      </c>
      <c r="E21" s="1" t="n">
        <v>46309</v>
      </c>
      <c r="F21" t="inlineStr">
        <is>
          <t>GOTLANDS LÄN</t>
        </is>
      </c>
      <c r="G21" t="inlineStr">
        <is>
          <t>GOTLAND</t>
        </is>
      </c>
      <c r="I21" t="n">
        <v>1</v>
      </c>
      <c r="J21" t="n">
        <v>1</v>
      </c>
      <c r="K21" t="n">
        <v>5</v>
      </c>
      <c r="L21" t="n">
        <v>11</v>
      </c>
      <c r="M21" t="n">
        <v>8</v>
      </c>
      <c r="N21" t="n">
        <v>0</v>
      </c>
      <c r="O21" t="n">
        <v>0</v>
      </c>
      <c r="P21" t="n">
        <v>0</v>
      </c>
      <c r="Q21" t="n">
        <v>19</v>
      </c>
      <c r="R21" t="n">
        <v>8</v>
      </c>
      <c r="S21" t="n">
        <v>25</v>
      </c>
      <c r="T21" t="n">
        <v>56</v>
      </c>
      <c r="U21" t="n">
        <v>48</v>
      </c>
      <c r="V21" s="2" t="inlineStr">
        <is>
          <t>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569-2023</t>
        </is>
      </c>
      <c r="B22" t="inlineStr">
        <is>
          <t>avverkningsanmälan</t>
        </is>
      </c>
      <c r="C22" t="inlineStr">
        <is>
          <t>Föryngringsavverkning</t>
        </is>
      </c>
      <c r="D22" s="1" t="n">
        <v>44930</v>
      </c>
      <c r="E22" s="1" t="n">
        <v>46309</v>
      </c>
      <c r="F22" t="inlineStr">
        <is>
          <t>GOTLANDS LÄN</t>
        </is>
      </c>
      <c r="G22" t="inlineStr">
        <is>
          <t>GOTLAND</t>
        </is>
      </c>
      <c r="I22" t="n">
        <v>12.8</v>
      </c>
      <c r="J22" t="n">
        <v>5</v>
      </c>
      <c r="K22" t="n">
        <v>4</v>
      </c>
      <c r="L22" t="n">
        <v>10</v>
      </c>
      <c r="M22" t="n">
        <v>7</v>
      </c>
      <c r="N22" t="n">
        <v>0</v>
      </c>
      <c r="O22" t="n">
        <v>0</v>
      </c>
      <c r="P22" t="n">
        <v>0</v>
      </c>
      <c r="Q22" t="n">
        <v>17</v>
      </c>
      <c r="R22" t="n">
        <v>7</v>
      </c>
      <c r="S22" t="n">
        <v>24</v>
      </c>
      <c r="T22" t="n">
        <v>63</v>
      </c>
      <c r="U22" t="n">
        <v>42</v>
      </c>
      <c r="V22"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2">
        <f>HYPERLINK("https://klasma.github.io/Logging_0980/artfynd/A 569-2023 artfynd.xlsx", "A 569-2023")</f>
        <v/>
      </c>
      <c r="X22">
        <f>HYPERLINK("https://klasma.github.io/Logging_0980/kartor/A 569-2023 karta.png", "A 569-2023")</f>
        <v/>
      </c>
      <c r="Y22">
        <f>HYPERLINK("https://klasma.github.io/Logging_0980/kartor_geotiff/A 569-2023 georefererad karta.tif", "A 569-2023")</f>
        <v/>
      </c>
      <c r="AA22">
        <f>HYPERLINK("https://klasma.github.io/Logging_0980/klagomål/A 569-2023 FSC-klagomål.docx", "A 569-2023")</f>
        <v/>
      </c>
      <c r="AB22">
        <f>HYPERLINK("https://klasma.github.io/Logging_0980/klagomålsmail/A 569-2023 FSC-klagomål mail.docx", "A 569-2023")</f>
        <v/>
      </c>
      <c r="AC22">
        <f>HYPERLINK("https://klasma.github.io/Logging_0980/tillsyn/A 569-2023 tillsynsbegäran.docx", "A 569-2023")</f>
        <v/>
      </c>
      <c r="AD22">
        <f>HYPERLINK("https://klasma.github.io/Logging_0980/tillsynsmail/A 569-2023 tillsynsbegäran mail.docx", "A 569-2023")</f>
        <v/>
      </c>
      <c r="AE22">
        <f>HYPERLINK("https://klasma.github.io/Logging_0980/fåglar/A 569-2023 prioriterade fågelarter.docx", "A 569-2023")</f>
        <v/>
      </c>
    </row>
    <row r="23" ht="15" customHeight="1">
      <c r="A23" t="inlineStr">
        <is>
          <t>A 922-2023</t>
        </is>
      </c>
      <c r="B23" t="inlineStr">
        <is>
          <t>avverkningsanmälan</t>
        </is>
      </c>
      <c r="C23" t="inlineStr">
        <is>
          <t>Föryngringsavverkning</t>
        </is>
      </c>
      <c r="D23" s="1" t="n">
        <v>44932</v>
      </c>
      <c r="E23" s="1" t="n">
        <v>46309</v>
      </c>
      <c r="F23" t="inlineStr">
        <is>
          <t>GOTLANDS LÄN</t>
        </is>
      </c>
      <c r="G23" t="inlineStr">
        <is>
          <t>GOTLAND</t>
        </is>
      </c>
      <c r="I23" t="n">
        <v>6.9</v>
      </c>
      <c r="J23" t="n">
        <v>4</v>
      </c>
      <c r="K23" t="n">
        <v>8</v>
      </c>
      <c r="L23" t="n">
        <v>7</v>
      </c>
      <c r="M23" t="n">
        <v>7</v>
      </c>
      <c r="N23" t="n">
        <v>0</v>
      </c>
      <c r="O23" t="n">
        <v>0</v>
      </c>
      <c r="P23" t="n">
        <v>0</v>
      </c>
      <c r="Q23" t="n">
        <v>14</v>
      </c>
      <c r="R23" t="n">
        <v>7</v>
      </c>
      <c r="S23" t="n">
        <v>24</v>
      </c>
      <c r="T23" t="n">
        <v>104</v>
      </c>
      <c r="U23" t="n">
        <v>88</v>
      </c>
      <c r="V2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3">
        <f>HYPERLINK("https://klasma.github.io/Logging_0980/artfynd/A 922-2023 artfynd.xlsx", "A 922-2023")</f>
        <v/>
      </c>
      <c r="X23">
        <f>HYPERLINK("https://klasma.github.io/Logging_0980/kartor/A 922-2023 karta.png", "A 922-2023")</f>
        <v/>
      </c>
      <c r="Y23">
        <f>HYPERLINK("https://klasma.github.io/Logging_0980/kartor_geotiff/A 922-2023 georefererad karta.tif", "A 922-2023")</f>
        <v/>
      </c>
      <c r="AA23">
        <f>HYPERLINK("https://klasma.github.io/Logging_0980/klagomål/A 922-2023 FSC-klagomål.docx", "A 922-2023")</f>
        <v/>
      </c>
      <c r="AB23">
        <f>HYPERLINK("https://klasma.github.io/Logging_0980/klagomålsmail/A 922-2023 FSC-klagomål mail.docx", "A 922-2023")</f>
        <v/>
      </c>
      <c r="AC23">
        <f>HYPERLINK("https://klasma.github.io/Logging_0980/tillsyn/A 922-2023 tillsynsbegäran.docx", "A 922-2023")</f>
        <v/>
      </c>
      <c r="AD23">
        <f>HYPERLINK("https://klasma.github.io/Logging_0980/tillsynsmail/A 922-2023 tillsynsbegäran mail.docx", "A 922-2023")</f>
        <v/>
      </c>
      <c r="AE23">
        <f>HYPERLINK("https://klasma.github.io/Logging_0980/fåglar/A 922-2023 prioriterade fågelarter.docx", "A 922-2023")</f>
        <v/>
      </c>
    </row>
    <row r="24" ht="15" customHeight="1">
      <c r="A24" t="inlineStr">
        <is>
          <t>A 2222-2024</t>
        </is>
      </c>
      <c r="B24" t="inlineStr">
        <is>
          <t>avverkningsanmälan</t>
        </is>
      </c>
      <c r="C24" t="inlineStr">
        <is>
          <t>Föryngringsavverkning</t>
        </is>
      </c>
      <c r="D24" s="1" t="n">
        <v>45309</v>
      </c>
      <c r="E24" s="1" t="n">
        <v>46309</v>
      </c>
      <c r="F24" t="inlineStr">
        <is>
          <t>GOTLANDS LÄN</t>
        </is>
      </c>
      <c r="G24" t="inlineStr">
        <is>
          <t>GOTLAND</t>
        </is>
      </c>
      <c r="H24" t="inlineStr">
        <is>
          <t>Kyrkan</t>
        </is>
      </c>
      <c r="I24" t="n">
        <v>10.6</v>
      </c>
      <c r="J24" t="n">
        <v>1</v>
      </c>
      <c r="K24" t="n">
        <v>5</v>
      </c>
      <c r="L24" t="n">
        <v>10</v>
      </c>
      <c r="M24" t="n">
        <v>6</v>
      </c>
      <c r="N24" t="n">
        <v>0</v>
      </c>
      <c r="O24" t="n">
        <v>0</v>
      </c>
      <c r="P24" t="n">
        <v>0</v>
      </c>
      <c r="Q24" t="n">
        <v>16</v>
      </c>
      <c r="R24" t="n">
        <v>6</v>
      </c>
      <c r="S24" t="n">
        <v>22</v>
      </c>
      <c r="T24" t="n">
        <v>119</v>
      </c>
      <c r="U24" t="n">
        <v>51</v>
      </c>
      <c r="V24"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4">
        <f>HYPERLINK("https://klasma.github.io/Logging_0980/artfynd/A 2222-2024 artfynd.xlsx", "A 2222-2024")</f>
        <v/>
      </c>
      <c r="X24">
        <f>HYPERLINK("https://klasma.github.io/Logging_0980/kartor/A 2222-2024 karta.png", "A 2222-2024")</f>
        <v/>
      </c>
      <c r="Y24">
        <f>HYPERLINK("https://klasma.github.io/Logging_0980/kartor_geotiff/A 2222-2024 georefererad karta.tif", "A 2222-2024")</f>
        <v/>
      </c>
      <c r="AA24">
        <f>HYPERLINK("https://klasma.github.io/Logging_0980/klagomål/A 2222-2024 FSC-klagomål.docx", "A 2222-2024")</f>
        <v/>
      </c>
      <c r="AB24">
        <f>HYPERLINK("https://klasma.github.io/Logging_0980/klagomålsmail/A 2222-2024 FSC-klagomål mail.docx", "A 2222-2024")</f>
        <v/>
      </c>
      <c r="AC24">
        <f>HYPERLINK("https://klasma.github.io/Logging_0980/tillsyn/A 2222-2024 tillsynsbegäran.docx", "A 2222-2024")</f>
        <v/>
      </c>
      <c r="AD24">
        <f>HYPERLINK("https://klasma.github.io/Logging_0980/tillsynsmail/A 2222-2024 tillsynsbegäran mail.docx", "A 2222-2024")</f>
        <v/>
      </c>
      <c r="AE24">
        <f>HYPERLINK("https://klasma.github.io/Logging_0980/fåglar/A 2222-2024 prioriterade fågelarter.docx", "A 2222-2024")</f>
        <v/>
      </c>
    </row>
    <row r="25" ht="15" customHeight="1">
      <c r="A25" t="inlineStr">
        <is>
          <t>A 17762-2024</t>
        </is>
      </c>
      <c r="B25" t="inlineStr">
        <is>
          <t>avverkningsanmälan</t>
        </is>
      </c>
      <c r="C25" t="inlineStr">
        <is>
          <t>Föryngringsavverkning</t>
        </is>
      </c>
      <c r="D25" s="1" t="n">
        <v>45418</v>
      </c>
      <c r="E25" s="1" t="n">
        <v>46309</v>
      </c>
      <c r="F25" t="inlineStr">
        <is>
          <t>GOTLANDS LÄN</t>
        </is>
      </c>
      <c r="G25" t="inlineStr">
        <is>
          <t>GOTLAND</t>
        </is>
      </c>
      <c r="I25" t="n">
        <v>5.8</v>
      </c>
      <c r="J25" t="n">
        <v>6</v>
      </c>
      <c r="K25" t="n">
        <v>2</v>
      </c>
      <c r="L25" t="n">
        <v>9</v>
      </c>
      <c r="M25" t="n">
        <v>4</v>
      </c>
      <c r="N25" t="n">
        <v>0</v>
      </c>
      <c r="O25" t="n">
        <v>1</v>
      </c>
      <c r="P25" t="n">
        <v>0</v>
      </c>
      <c r="Q25" t="n">
        <v>14</v>
      </c>
      <c r="R25" t="n">
        <v>5</v>
      </c>
      <c r="S25" t="n">
        <v>22</v>
      </c>
      <c r="T25" t="n">
        <v>124</v>
      </c>
      <c r="U25" t="n">
        <v>119</v>
      </c>
      <c r="V25"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5">
        <f>HYPERLINK("https://klasma.github.io/Logging_0980/artfynd/A 17762-2024 artfynd.xlsx", "A 17762-2024")</f>
        <v/>
      </c>
      <c r="X25">
        <f>HYPERLINK("https://klasma.github.io/Logging_0980/kartor/A 17762-2024 karta.png", "A 17762-2024")</f>
        <v/>
      </c>
      <c r="Y25">
        <f>HYPERLINK("https://klasma.github.io/Logging_0980/kartor_geotiff/A 17762-2024 georefererad karta.tif", "A 17762-2024")</f>
        <v/>
      </c>
      <c r="AA25">
        <f>HYPERLINK("https://klasma.github.io/Logging_0980/klagomål/A 17762-2024 FSC-klagomål.docx", "A 17762-2024")</f>
        <v/>
      </c>
      <c r="AB25">
        <f>HYPERLINK("https://klasma.github.io/Logging_0980/klagomålsmail/A 17762-2024 FSC-klagomål mail.docx", "A 17762-2024")</f>
        <v/>
      </c>
      <c r="AC25">
        <f>HYPERLINK("https://klasma.github.io/Logging_0980/tillsyn/A 17762-2024 tillsynsbegäran.docx", "A 17762-2024")</f>
        <v/>
      </c>
      <c r="AD25">
        <f>HYPERLINK("https://klasma.github.io/Logging_0980/tillsynsmail/A 17762-2024 tillsynsbegäran mail.docx", "A 17762-2024")</f>
        <v/>
      </c>
    </row>
    <row r="26" ht="15" customHeight="1">
      <c r="A26" t="inlineStr">
        <is>
          <t>A 62551-2022</t>
        </is>
      </c>
      <c r="B26" t="inlineStr">
        <is>
          <t>avverkningsanmälan</t>
        </is>
      </c>
      <c r="C26" t="inlineStr">
        <is>
          <t>Föryngringsavverkning</t>
        </is>
      </c>
      <c r="D26" s="1" t="n">
        <v>44924</v>
      </c>
      <c r="E26" s="1" t="n">
        <v>46309</v>
      </c>
      <c r="F26" t="inlineStr">
        <is>
          <t>GOTLANDS LÄN</t>
        </is>
      </c>
      <c r="G26" t="inlineStr">
        <is>
          <t>GOTLAND</t>
        </is>
      </c>
      <c r="I26" t="n">
        <v>7.9</v>
      </c>
      <c r="J26" t="n">
        <v>4</v>
      </c>
      <c r="K26" t="n">
        <v>7</v>
      </c>
      <c r="L26" t="n">
        <v>9</v>
      </c>
      <c r="M26" t="n">
        <v>4</v>
      </c>
      <c r="N26" t="n">
        <v>0</v>
      </c>
      <c r="O26" t="n">
        <v>0</v>
      </c>
      <c r="P26" t="n">
        <v>0</v>
      </c>
      <c r="Q26" t="n">
        <v>13</v>
      </c>
      <c r="R26" t="n">
        <v>4</v>
      </c>
      <c r="S26" t="n">
        <v>21</v>
      </c>
      <c r="T26" t="n">
        <v>68</v>
      </c>
      <c r="U26" t="n">
        <v>40</v>
      </c>
      <c r="V26"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6">
        <f>HYPERLINK("https://klasma.github.io/Logging_0980/artfynd/A 62551-2022 artfynd.xlsx", "A 62551-2022")</f>
        <v/>
      </c>
      <c r="X26">
        <f>HYPERLINK("https://klasma.github.io/Logging_0980/kartor/A 62551-2022 karta.png", "A 62551-2022")</f>
        <v/>
      </c>
      <c r="Y26">
        <f>HYPERLINK("https://klasma.github.io/Logging_0980/kartor_geotiff/A 62551-2022 georefererad karta.tif", "A 62551-2022")</f>
        <v/>
      </c>
      <c r="AA26">
        <f>HYPERLINK("https://klasma.github.io/Logging_0980/klagomål/A 62551-2022 FSC-klagomål.docx", "A 62551-2022")</f>
        <v/>
      </c>
      <c r="AB26">
        <f>HYPERLINK("https://klasma.github.io/Logging_0980/klagomålsmail/A 62551-2022 FSC-klagomål mail.docx", "A 62551-2022")</f>
        <v/>
      </c>
      <c r="AC26">
        <f>HYPERLINK("https://klasma.github.io/Logging_0980/tillsyn/A 62551-2022 tillsynsbegäran.docx", "A 62551-2022")</f>
        <v/>
      </c>
      <c r="AD26">
        <f>HYPERLINK("https://klasma.github.io/Logging_0980/tillsynsmail/A 62551-2022 tillsynsbegäran mail.docx", "A 62551-2022")</f>
        <v/>
      </c>
    </row>
    <row r="27" ht="15" customHeight="1">
      <c r="A27" t="inlineStr">
        <is>
          <t>A 15850-2025</t>
        </is>
      </c>
      <c r="B27" t="inlineStr">
        <is>
          <t>avverkningsanmälan</t>
        </is>
      </c>
      <c r="C27" t="inlineStr">
        <is>
          <t>Föryngringsavverkning</t>
        </is>
      </c>
      <c r="D27" s="1" t="n">
        <v>45748</v>
      </c>
      <c r="E27" s="1" t="n">
        <v>46309</v>
      </c>
      <c r="F27" t="inlineStr">
        <is>
          <t>GOTLANDS LÄN</t>
        </is>
      </c>
      <c r="G27" t="inlineStr">
        <is>
          <t>GOTLAND</t>
        </is>
      </c>
      <c r="I27" t="n">
        <v>5.1</v>
      </c>
      <c r="J27" t="n">
        <v>6</v>
      </c>
      <c r="K27" t="n">
        <v>5</v>
      </c>
      <c r="L27" t="n">
        <v>8</v>
      </c>
      <c r="M27" t="n">
        <v>6</v>
      </c>
      <c r="N27" t="n">
        <v>0</v>
      </c>
      <c r="O27" t="n">
        <v>0</v>
      </c>
      <c r="P27" t="n">
        <v>0</v>
      </c>
      <c r="Q27" t="n">
        <v>14</v>
      </c>
      <c r="R27" t="n">
        <v>6</v>
      </c>
      <c r="S27" t="n">
        <v>21</v>
      </c>
      <c r="T27" t="n">
        <v>143</v>
      </c>
      <c r="U27" t="n">
        <v>106</v>
      </c>
      <c r="V27"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7">
        <f>HYPERLINK("https://klasma.github.io/Logging_0980/artfynd/A 15850-2025 artfynd.xlsx", "A 15850-2025")</f>
        <v/>
      </c>
      <c r="X27">
        <f>HYPERLINK("https://klasma.github.io/Logging_0980/kartor/A 15850-2025 karta.png", "A 15850-2025")</f>
        <v/>
      </c>
      <c r="Y27">
        <f>HYPERLINK("https://klasma.github.io/Logging_0980/kartor_geotiff/A 15850-2025 georefererad karta.tif", "A 15850-2025")</f>
        <v/>
      </c>
      <c r="AA27">
        <f>HYPERLINK("https://klasma.github.io/Logging_0980/klagomål/A 15850-2025 FSC-klagomål.docx", "A 15850-2025")</f>
        <v/>
      </c>
      <c r="AB27">
        <f>HYPERLINK("https://klasma.github.io/Logging_0980/klagomålsmail/A 15850-2025 FSC-klagomål mail.docx", "A 15850-2025")</f>
        <v/>
      </c>
      <c r="AC27">
        <f>HYPERLINK("https://klasma.github.io/Logging_0980/tillsyn/A 15850-2025 tillsynsbegäran.docx", "A 15850-2025")</f>
        <v/>
      </c>
      <c r="AD27">
        <f>HYPERLINK("https://klasma.github.io/Logging_0980/tillsynsmail/A 15850-2025 tillsynsbegäran mail.docx", "A 15850-2025")</f>
        <v/>
      </c>
      <c r="AE27">
        <f>HYPERLINK("https://klasma.github.io/Logging_0980/fåglar/A 15850-2025 prioriterade fågelarter.docx", "A 15850-2025")</f>
        <v/>
      </c>
    </row>
    <row r="28" ht="15" customHeight="1">
      <c r="A28" t="inlineStr">
        <is>
          <t>A 999-2023</t>
        </is>
      </c>
      <c r="B28" t="inlineStr">
        <is>
          <t>avverkningsanmälan</t>
        </is>
      </c>
      <c r="C28" t="inlineStr">
        <is>
          <t>Föryngringsavverkning</t>
        </is>
      </c>
      <c r="D28" s="1" t="n">
        <v>44935</v>
      </c>
      <c r="E28" s="1" t="n">
        <v>46309</v>
      </c>
      <c r="F28" t="inlineStr">
        <is>
          <t>GOTLANDS LÄN</t>
        </is>
      </c>
      <c r="G28" t="inlineStr">
        <is>
          <t>GOTLAND</t>
        </is>
      </c>
      <c r="I28" t="n">
        <v>4.7</v>
      </c>
      <c r="J28" t="n">
        <v>3</v>
      </c>
      <c r="K28" t="n">
        <v>3</v>
      </c>
      <c r="L28" t="n">
        <v>9</v>
      </c>
      <c r="M28" t="n">
        <v>5</v>
      </c>
      <c r="N28" t="n">
        <v>2</v>
      </c>
      <c r="O28" t="n">
        <v>0</v>
      </c>
      <c r="P28" t="n">
        <v>0</v>
      </c>
      <c r="Q28" t="n">
        <v>16</v>
      </c>
      <c r="R28" t="n">
        <v>7</v>
      </c>
      <c r="S28" t="n">
        <v>20</v>
      </c>
      <c r="T28" t="n">
        <v>120</v>
      </c>
      <c r="U28" t="n">
        <v>120</v>
      </c>
      <c r="V28"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8">
        <f>HYPERLINK("https://klasma.github.io/Logging_0980/artfynd/A 999-2023 artfynd.xlsx", "A 999-2023")</f>
        <v/>
      </c>
      <c r="X28">
        <f>HYPERLINK("https://klasma.github.io/Logging_0980/kartor/A 999-2023 karta.png", "A 999-2023")</f>
        <v/>
      </c>
      <c r="Y28">
        <f>HYPERLINK("https://klasma.github.io/Logging_0980/kartor_geotiff/A 999-2023 georefererad karta.tif", "A 999-2023")</f>
        <v/>
      </c>
      <c r="AA28">
        <f>HYPERLINK("https://klasma.github.io/Logging_0980/klagomål/A 999-2023 FSC-klagomål.docx", "A 999-2023")</f>
        <v/>
      </c>
      <c r="AB28">
        <f>HYPERLINK("https://klasma.github.io/Logging_0980/klagomålsmail/A 999-2023 FSC-klagomål mail.docx", "A 999-2023")</f>
        <v/>
      </c>
      <c r="AC28">
        <f>HYPERLINK("https://klasma.github.io/Logging_0980/tillsyn/A 999-2023 tillsynsbegäran.docx", "A 999-2023")</f>
        <v/>
      </c>
      <c r="AD28">
        <f>HYPERLINK("https://klasma.github.io/Logging_0980/tillsynsmail/A 999-2023 tillsynsbegäran mail.docx", "A 999-2023")</f>
        <v/>
      </c>
      <c r="AE28">
        <f>HYPERLINK("https://klasma.github.io/Logging_0980/fåglar/A 999-2023 prioriterade fågelarter.docx", "A 999-2023")</f>
        <v/>
      </c>
    </row>
    <row r="29" ht="15" customHeight="1">
      <c r="A29" t="inlineStr">
        <is>
          <t>A 15068-2025</t>
        </is>
      </c>
      <c r="B29" t="inlineStr">
        <is>
          <t>avverkningsanmälan</t>
        </is>
      </c>
      <c r="C29" t="inlineStr">
        <is>
          <t>Avverkning för annat ändamål</t>
        </is>
      </c>
      <c r="D29" s="1" t="n">
        <v>45743</v>
      </c>
      <c r="E29" s="1" t="n">
        <v>46309</v>
      </c>
      <c r="F29" t="inlineStr">
        <is>
          <t>GOTLANDS LÄN</t>
        </is>
      </c>
      <c r="G29" t="inlineStr">
        <is>
          <t>GOTLAND</t>
        </is>
      </c>
      <c r="I29" t="n">
        <v>37.3</v>
      </c>
      <c r="J29" t="n">
        <v>5</v>
      </c>
      <c r="K29" t="n">
        <v>3</v>
      </c>
      <c r="L29" t="n">
        <v>6</v>
      </c>
      <c r="M29" t="n">
        <v>4</v>
      </c>
      <c r="N29" t="n">
        <v>0</v>
      </c>
      <c r="O29" t="n">
        <v>0</v>
      </c>
      <c r="P29" t="n">
        <v>0</v>
      </c>
      <c r="Q29" t="n">
        <v>11</v>
      </c>
      <c r="R29" t="n">
        <v>4</v>
      </c>
      <c r="S29" t="n">
        <v>19</v>
      </c>
      <c r="T29" t="n">
        <v>49</v>
      </c>
      <c r="U29" t="n">
        <v>19</v>
      </c>
      <c r="V2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9">
        <f>HYPERLINK("https://klasma.github.io/Logging_0980/artfynd/A 15068-2025 artfynd.xlsx", "A 15068-2025")</f>
        <v/>
      </c>
      <c r="X29">
        <f>HYPERLINK("https://klasma.github.io/Logging_0980/kartor/A 15068-2025 karta.png", "A 15068-2025")</f>
        <v/>
      </c>
      <c r="Y29">
        <f>HYPERLINK("https://klasma.github.io/Logging_0980/kartor_geotiff/A 15068-2025 georefererad karta.tif", "A 15068-2025")</f>
        <v/>
      </c>
      <c r="AA29">
        <f>HYPERLINK("https://klasma.github.io/Logging_0980/klagomål/A 15068-2025 FSC-klagomål.docx", "A 15068-2025")</f>
        <v/>
      </c>
      <c r="AB29">
        <f>HYPERLINK("https://klasma.github.io/Logging_0980/klagomålsmail/A 15068-2025 FSC-klagomål mail.docx", "A 15068-2025")</f>
        <v/>
      </c>
      <c r="AC29">
        <f>HYPERLINK("https://klasma.github.io/Logging_0980/tillsyn/A 15068-2025 tillsynsbegäran.docx", "A 15068-2025")</f>
        <v/>
      </c>
      <c r="AD29">
        <f>HYPERLINK("https://klasma.github.io/Logging_0980/tillsynsmail/A 15068-2025 tillsynsbegäran mail.docx", "A 15068-2025")</f>
        <v/>
      </c>
    </row>
    <row r="30" ht="15" customHeight="1">
      <c r="A30" t="inlineStr">
        <is>
          <t>A 8645-2025</t>
        </is>
      </c>
      <c r="B30" t="inlineStr">
        <is>
          <t>avverkningsanmälan</t>
        </is>
      </c>
      <c r="C30" t="inlineStr">
        <is>
          <t>Föryngringsavverkning</t>
        </is>
      </c>
      <c r="D30" s="1" t="n">
        <v>45712</v>
      </c>
      <c r="E30" s="1" t="n">
        <v>46309</v>
      </c>
      <c r="F30" t="inlineStr">
        <is>
          <t>GOTLANDS LÄN</t>
        </is>
      </c>
      <c r="G30" t="inlineStr">
        <is>
          <t>GOTLAND</t>
        </is>
      </c>
      <c r="I30" t="n">
        <v>21.9</v>
      </c>
      <c r="J30" t="n">
        <v>10</v>
      </c>
      <c r="K30" t="n">
        <v>7</v>
      </c>
      <c r="L30" t="n">
        <v>5</v>
      </c>
      <c r="M30" t="n">
        <v>0</v>
      </c>
      <c r="N30" t="n">
        <v>1</v>
      </c>
      <c r="O30" t="n">
        <v>0</v>
      </c>
      <c r="P30" t="n">
        <v>0</v>
      </c>
      <c r="Q30" t="n">
        <v>6</v>
      </c>
      <c r="R30" t="n">
        <v>1</v>
      </c>
      <c r="S30" t="n">
        <v>19</v>
      </c>
      <c r="T30" t="n">
        <v>97</v>
      </c>
      <c r="U30" t="n">
        <v>97</v>
      </c>
      <c r="V30" s="2" t="inlineStr">
        <is>
          <t>Ask
Backtimjan
Dårgräsfjäril
Loppstarr
Solvända
Svinrot
Blåmossa
Grönpyrola
Kalktallört
Nästrot
Skogsknipprot
Strävlosta
Tvåblad
Spillkråka
Grönsiska
Fläcknycklar
Grönvit nattviol
Nattviol
Sankt pers nycklar</t>
        </is>
      </c>
      <c r="W30">
        <f>HYPERLINK("https://klasma.github.io/Logging_0980/artfynd/A 8645-2025 artfynd.xlsx", "A 8645-2025")</f>
        <v/>
      </c>
      <c r="X30">
        <f>HYPERLINK("https://klasma.github.io/Logging_0980/kartor/A 8645-2025 karta.png", "A 8645-2025")</f>
        <v/>
      </c>
      <c r="Y30">
        <f>HYPERLINK("https://klasma.github.io/Logging_0980/kartor_geotiff/A 8645-2025 georefererad karta.tif", "A 8645-2025")</f>
        <v/>
      </c>
      <c r="AA30">
        <f>HYPERLINK("https://klasma.github.io/Logging_0980/klagomål/A 8645-2025 FSC-klagomål.docx", "A 8645-2025")</f>
        <v/>
      </c>
      <c r="AB30">
        <f>HYPERLINK("https://klasma.github.io/Logging_0980/klagomålsmail/A 8645-2025 FSC-klagomål mail.docx", "A 8645-2025")</f>
        <v/>
      </c>
      <c r="AC30">
        <f>HYPERLINK("https://klasma.github.io/Logging_0980/tillsyn/A 8645-2025 tillsynsbegäran.docx", "A 8645-2025")</f>
        <v/>
      </c>
      <c r="AD30">
        <f>HYPERLINK("https://klasma.github.io/Logging_0980/tillsynsmail/A 8645-2025 tillsynsbegäran mail.docx", "A 8645-2025")</f>
        <v/>
      </c>
      <c r="AE30">
        <f>HYPERLINK("https://klasma.github.io/Logging_0980/fåglar/A 8645-2025 prioriterade fågelarter.docx", "A 8645-2025")</f>
        <v/>
      </c>
    </row>
    <row r="31" ht="15" customHeight="1">
      <c r="A31" t="inlineStr">
        <is>
          <t>A 61664-2023</t>
        </is>
      </c>
      <c r="B31" t="inlineStr">
        <is>
          <t>avverkningsanmälan</t>
        </is>
      </c>
      <c r="C31" t="inlineStr">
        <is>
          <t>Föryngringsavverkning</t>
        </is>
      </c>
      <c r="D31" s="1" t="n">
        <v>45265</v>
      </c>
      <c r="E31" s="1" t="n">
        <v>46309</v>
      </c>
      <c r="F31" t="inlineStr">
        <is>
          <t>GOTLANDS LÄN</t>
        </is>
      </c>
      <c r="G31" t="inlineStr">
        <is>
          <t>GOTLAND</t>
        </is>
      </c>
      <c r="I31" t="n">
        <v>4.8</v>
      </c>
      <c r="J31" t="n">
        <v>6</v>
      </c>
      <c r="K31" t="n">
        <v>7</v>
      </c>
      <c r="L31" t="n">
        <v>5</v>
      </c>
      <c r="M31" t="n">
        <v>2</v>
      </c>
      <c r="N31" t="n">
        <v>1</v>
      </c>
      <c r="O31" t="n">
        <v>0</v>
      </c>
      <c r="P31" t="n">
        <v>0</v>
      </c>
      <c r="Q31" t="n">
        <v>8</v>
      </c>
      <c r="R31" t="n">
        <v>3</v>
      </c>
      <c r="S31" t="n">
        <v>19</v>
      </c>
      <c r="T31" t="n">
        <v>59</v>
      </c>
      <c r="U31" t="n">
        <v>48</v>
      </c>
      <c r="V31" s="2" t="inlineStr">
        <is>
          <t>Klenodspindling
Duvspindling
Gulsträngad fagerspindling
Blå slemspindling
Majviva
Odörspindling
Svinrot
Ängsstarr
Anisspindling
Axag
Blåmossa
Kärrlilja
Nästrot
Skogsknipprot
Svavelriska
Spillkråka
Brudsporre
Kärrknipprot
Ängsnycklar</t>
        </is>
      </c>
      <c r="W31">
        <f>HYPERLINK("https://klasma.github.io/Logging_0980/artfynd/A 61664-2023 artfynd.xlsx", "A 61664-2023")</f>
        <v/>
      </c>
      <c r="X31">
        <f>HYPERLINK("https://klasma.github.io/Logging_0980/kartor/A 61664-2023 karta.png", "A 61664-2023")</f>
        <v/>
      </c>
      <c r="Y31">
        <f>HYPERLINK("https://klasma.github.io/Logging_0980/kartor_geotiff/A 61664-2023 georefererad karta.tif", "A 61664-2023")</f>
        <v/>
      </c>
      <c r="AA31">
        <f>HYPERLINK("https://klasma.github.io/Logging_0980/klagomål/A 61664-2023 FSC-klagomål.docx", "A 61664-2023")</f>
        <v/>
      </c>
      <c r="AB31">
        <f>HYPERLINK("https://klasma.github.io/Logging_0980/klagomålsmail/A 61664-2023 FSC-klagomål mail.docx", "A 61664-2023")</f>
        <v/>
      </c>
      <c r="AC31">
        <f>HYPERLINK("https://klasma.github.io/Logging_0980/tillsyn/A 61664-2023 tillsynsbegäran.docx", "A 61664-2023")</f>
        <v/>
      </c>
      <c r="AD31">
        <f>HYPERLINK("https://klasma.github.io/Logging_0980/tillsynsmail/A 61664-2023 tillsynsbegäran mail.docx", "A 61664-2023")</f>
        <v/>
      </c>
      <c r="AE31">
        <f>HYPERLINK("https://klasma.github.io/Logging_0980/fåglar/A 61664-2023 prioriterade fågelarter.docx", "A 61664-2023")</f>
        <v/>
      </c>
    </row>
    <row r="32" ht="15" customHeight="1">
      <c r="A32" t="inlineStr">
        <is>
          <t>A 15629-2024</t>
        </is>
      </c>
      <c r="B32" t="inlineStr">
        <is>
          <t>avverkningsanmälan</t>
        </is>
      </c>
      <c r="C32" t="inlineStr">
        <is>
          <t>Föryngringsavverkning</t>
        </is>
      </c>
      <c r="D32" s="1" t="n">
        <v>45402</v>
      </c>
      <c r="E32" s="1" t="n">
        <v>46309</v>
      </c>
      <c r="F32" t="inlineStr">
        <is>
          <t>GOTLANDS LÄN</t>
        </is>
      </c>
      <c r="G32" t="inlineStr">
        <is>
          <t>GOTLAND</t>
        </is>
      </c>
      <c r="I32" t="n">
        <v>6.3</v>
      </c>
      <c r="J32" t="n">
        <v>6</v>
      </c>
      <c r="K32" t="n">
        <v>2</v>
      </c>
      <c r="L32" t="n">
        <v>10</v>
      </c>
      <c r="M32" t="n">
        <v>2</v>
      </c>
      <c r="N32" t="n">
        <v>0</v>
      </c>
      <c r="O32" t="n">
        <v>0</v>
      </c>
      <c r="P32" t="n">
        <v>0</v>
      </c>
      <c r="Q32" t="n">
        <v>12</v>
      </c>
      <c r="R32" t="n">
        <v>2</v>
      </c>
      <c r="S32" t="n">
        <v>18</v>
      </c>
      <c r="T32" t="n">
        <v>100</v>
      </c>
      <c r="U32" t="n">
        <v>96</v>
      </c>
      <c r="V32" s="2" t="inlineStr">
        <is>
          <t>Jordhår
Solvändesäckmal
Apollofjäril
Axveronika
Backtimjan
Crepis tectorum subsp. tectorum
Jordtistel
Kalkkoppmossa
Kattfotslav
Orellia scorzonerae
Solvända
Svinrot
Blåmossa
Nästrot
Blåsippa
Spillkråka
Sankt pers nycklar
Gullviva</t>
        </is>
      </c>
      <c r="W32">
        <f>HYPERLINK("https://klasma.github.io/Logging_0980/artfynd/A 15629-2024 artfynd.xlsx", "A 15629-2024")</f>
        <v/>
      </c>
      <c r="X32">
        <f>HYPERLINK("https://klasma.github.io/Logging_0980/kartor/A 15629-2024 karta.png", "A 15629-2024")</f>
        <v/>
      </c>
      <c r="Y32">
        <f>HYPERLINK("https://klasma.github.io/Logging_0980/kartor_geotiff/A 15629-2024 georefererad karta.tif", "A 15629-2024")</f>
        <v/>
      </c>
      <c r="AA32">
        <f>HYPERLINK("https://klasma.github.io/Logging_0980/klagomål/A 15629-2024 FSC-klagomål.docx", "A 15629-2024")</f>
        <v/>
      </c>
      <c r="AB32">
        <f>HYPERLINK("https://klasma.github.io/Logging_0980/klagomålsmail/A 15629-2024 FSC-klagomål mail.docx", "A 15629-2024")</f>
        <v/>
      </c>
      <c r="AC32">
        <f>HYPERLINK("https://klasma.github.io/Logging_0980/tillsyn/A 15629-2024 tillsynsbegäran.docx", "A 15629-2024")</f>
        <v/>
      </c>
      <c r="AD32">
        <f>HYPERLINK("https://klasma.github.io/Logging_0980/tillsynsmail/A 15629-2024 tillsynsbegäran mail.docx", "A 15629-2024")</f>
        <v/>
      </c>
      <c r="AE32">
        <f>HYPERLINK("https://klasma.github.io/Logging_0980/fåglar/A 15629-2024 prioriterade fågelarter.docx", "A 15629-2024")</f>
        <v/>
      </c>
    </row>
    <row r="33" ht="15" customHeight="1">
      <c r="A33" t="inlineStr">
        <is>
          <t>A 59132-2024</t>
        </is>
      </c>
      <c r="B33" t="inlineStr">
        <is>
          <t>avverkningsanmälan</t>
        </is>
      </c>
      <c r="C33" t="inlineStr">
        <is>
          <t>Föryngringsavverkning</t>
        </is>
      </c>
      <c r="D33" s="1" t="n">
        <v>45637</v>
      </c>
      <c r="E33" s="1" t="n">
        <v>46309</v>
      </c>
      <c r="F33" t="inlineStr">
        <is>
          <t>GOTLANDS LÄN</t>
        </is>
      </c>
      <c r="G33" t="inlineStr">
        <is>
          <t>GOTLAND</t>
        </is>
      </c>
      <c r="I33" t="n">
        <v>3.5</v>
      </c>
      <c r="J33" t="n">
        <v>3</v>
      </c>
      <c r="K33" t="n">
        <v>4</v>
      </c>
      <c r="L33" t="n">
        <v>8</v>
      </c>
      <c r="M33" t="n">
        <v>2</v>
      </c>
      <c r="N33" t="n">
        <v>2</v>
      </c>
      <c r="O33" t="n">
        <v>0</v>
      </c>
      <c r="P33" t="n">
        <v>0</v>
      </c>
      <c r="Q33" t="n">
        <v>13</v>
      </c>
      <c r="R33" t="n">
        <v>4</v>
      </c>
      <c r="S33" t="n">
        <v>18</v>
      </c>
      <c r="T33" t="n">
        <v>28</v>
      </c>
      <c r="U33" t="n">
        <v>28</v>
      </c>
      <c r="V33" s="2" t="inlineStr">
        <is>
          <t>Almlav
Ask
Mörk kraterlav
Pälsticka
Klasefibbla
Korkmusslingsmal
Korskovall
Slåtterfibbla
Solvända
Svinrot
Vippärt
Vårärt
Amphisphaeria umbrina
Myskmadra
Skogsknipprot
Tvåblad
Underviol
Sankt pers nycklar</t>
        </is>
      </c>
      <c r="W33">
        <f>HYPERLINK("https://klasma.github.io/Logging_0980/artfynd/A 59132-2024 artfynd.xlsx", "A 59132-2024")</f>
        <v/>
      </c>
      <c r="X33">
        <f>HYPERLINK("https://klasma.github.io/Logging_0980/kartor/A 59132-2024 karta.png", "A 59132-2024")</f>
        <v/>
      </c>
      <c r="Y33">
        <f>HYPERLINK("https://klasma.github.io/Logging_0980/kartor_geotiff/A 59132-2024 georefererad karta.tif", "A 59132-2024")</f>
        <v/>
      </c>
      <c r="AA33">
        <f>HYPERLINK("https://klasma.github.io/Logging_0980/klagomål/A 59132-2024 FSC-klagomål.docx", "A 59132-2024")</f>
        <v/>
      </c>
      <c r="AB33">
        <f>HYPERLINK("https://klasma.github.io/Logging_0980/klagomålsmail/A 59132-2024 FSC-klagomål mail.docx", "A 59132-2024")</f>
        <v/>
      </c>
      <c r="AC33">
        <f>HYPERLINK("https://klasma.github.io/Logging_0980/tillsyn/A 59132-2024 tillsynsbegäran.docx", "A 59132-2024")</f>
        <v/>
      </c>
      <c r="AD33">
        <f>HYPERLINK("https://klasma.github.io/Logging_0980/tillsynsmail/A 59132-2024 tillsynsbegäran mail.docx", "A 59132-2024")</f>
        <v/>
      </c>
    </row>
    <row r="34" ht="15" customHeight="1">
      <c r="A34" t="inlineStr">
        <is>
          <t>A 39376-2023</t>
        </is>
      </c>
      <c r="B34" t="inlineStr">
        <is>
          <t>avverkningsanmälan</t>
        </is>
      </c>
      <c r="C34" t="inlineStr">
        <is>
          <t>Avverkning för annat ändamål</t>
        </is>
      </c>
      <c r="D34" s="1" t="n">
        <v>45166</v>
      </c>
      <c r="E34" s="1" t="n">
        <v>46309</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63872-2021</t>
        </is>
      </c>
      <c r="B35" t="inlineStr">
        <is>
          <t>avverkningsanmälan</t>
        </is>
      </c>
      <c r="C35" t="inlineStr">
        <is>
          <t>Föryngringsavverkning</t>
        </is>
      </c>
      <c r="D35" s="1" t="n">
        <v>44509</v>
      </c>
      <c r="E35" s="1" t="n">
        <v>46309</v>
      </c>
      <c r="F35" t="inlineStr">
        <is>
          <t>GOTLANDS LÄN</t>
        </is>
      </c>
      <c r="G35" t="inlineStr">
        <is>
          <t>GOTLAND</t>
        </is>
      </c>
      <c r="I35" t="n">
        <v>20.5</v>
      </c>
      <c r="J35" t="n">
        <v>4</v>
      </c>
      <c r="K35" t="n">
        <v>1</v>
      </c>
      <c r="L35" t="n">
        <v>7</v>
      </c>
      <c r="M35" t="n">
        <v>7</v>
      </c>
      <c r="N35" t="n">
        <v>0</v>
      </c>
      <c r="O35" t="n">
        <v>0</v>
      </c>
      <c r="P35" t="n">
        <v>0</v>
      </c>
      <c r="Q35" t="n">
        <v>14</v>
      </c>
      <c r="R35" t="n">
        <v>7</v>
      </c>
      <c r="S35" t="n">
        <v>18</v>
      </c>
      <c r="T35" t="n">
        <v>47</v>
      </c>
      <c r="U35" t="n">
        <v>36</v>
      </c>
      <c r="V35"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5">
        <f>HYPERLINK("https://klasma.github.io/Logging_0980/artfynd/A 63872-2021 artfynd.xlsx", "A 63872-2021")</f>
        <v/>
      </c>
      <c r="X35">
        <f>HYPERLINK("https://klasma.github.io/Logging_0980/kartor/A 63872-2021 karta.png", "A 63872-2021")</f>
        <v/>
      </c>
      <c r="Y35">
        <f>HYPERLINK("https://klasma.github.io/Logging_0980/kartor_geotiff/A 63872-2021 georefererad karta.tif", "A 63872-2021")</f>
        <v/>
      </c>
      <c r="AA35">
        <f>HYPERLINK("https://klasma.github.io/Logging_0980/klagomål/A 63872-2021 FSC-klagomål.docx", "A 63872-2021")</f>
        <v/>
      </c>
      <c r="AB35">
        <f>HYPERLINK("https://klasma.github.io/Logging_0980/klagomålsmail/A 63872-2021 FSC-klagomål mail.docx", "A 63872-2021")</f>
        <v/>
      </c>
      <c r="AC35">
        <f>HYPERLINK("https://klasma.github.io/Logging_0980/tillsyn/A 63872-2021 tillsynsbegäran.docx", "A 63872-2021")</f>
        <v/>
      </c>
      <c r="AD35">
        <f>HYPERLINK("https://klasma.github.io/Logging_0980/tillsynsmail/A 63872-2021 tillsynsbegäran mail.docx", "A 63872-2021")</f>
        <v/>
      </c>
      <c r="AE35">
        <f>HYPERLINK("https://klasma.github.io/Logging_0980/fåglar/A 63872-2021 prioriterade fågelarter.docx", "A 63872-2021")</f>
        <v/>
      </c>
    </row>
    <row r="36" ht="15" customHeight="1">
      <c r="A36" t="inlineStr">
        <is>
          <t>A 26987-2026</t>
        </is>
      </c>
      <c r="B36" t="inlineStr">
        <is>
          <t>avverkningsanmälan</t>
        </is>
      </c>
      <c r="C36" t="inlineStr">
        <is>
          <t>Föryngringsavverkning</t>
        </is>
      </c>
      <c r="D36" s="1" t="n">
        <v>46185</v>
      </c>
      <c r="E36" s="1" t="n">
        <v>46309</v>
      </c>
      <c r="F36" t="inlineStr">
        <is>
          <t>GOTLANDS LÄN</t>
        </is>
      </c>
      <c r="G36" t="inlineStr">
        <is>
          <t>GOTLAND</t>
        </is>
      </c>
      <c r="I36" t="n">
        <v>4.6</v>
      </c>
      <c r="J36" t="n">
        <v>6</v>
      </c>
      <c r="K36" t="n">
        <v>2</v>
      </c>
      <c r="L36" t="n">
        <v>11</v>
      </c>
      <c r="M36" t="n">
        <v>1</v>
      </c>
      <c r="N36" t="n">
        <v>1</v>
      </c>
      <c r="O36" t="n">
        <v>0</v>
      </c>
      <c r="P36" t="n">
        <v>0</v>
      </c>
      <c r="Q36" t="n">
        <v>13</v>
      </c>
      <c r="R36" t="n">
        <v>2</v>
      </c>
      <c r="S36" t="n">
        <v>18</v>
      </c>
      <c r="T36" t="n">
        <v>52</v>
      </c>
      <c r="U36" t="n">
        <v>44</v>
      </c>
      <c r="V36" s="2" t="inlineStr">
        <is>
          <t>Ask
Granrotspindling
Backtimjan
Blå slemspindling
Dårgräsfjäril
Grönsångare
Odörspindling
Reliktbock
Röd skogslilja
Solvända
Svinrot
Sårläka
Ängsstarr
Skogsknipprot
Svavelriska
Ormbär
Spillkråka
Halsbandsflugsnappare</t>
        </is>
      </c>
      <c r="W36">
        <f>HYPERLINK("https://klasma.github.io/Logging_0980/artfynd/A 26987-2026 artfynd.xlsx", "A 26987-2026")</f>
        <v/>
      </c>
      <c r="X36">
        <f>HYPERLINK("https://klasma.github.io/Logging_0980/kartor/A 26987-2026 karta.png", "A 26987-2026")</f>
        <v/>
      </c>
      <c r="Y36">
        <f>HYPERLINK("https://klasma.github.io/Logging_0980/kartor_geotiff/A 26987-2026 georefererad karta.tif", "A 26987-2026")</f>
        <v/>
      </c>
      <c r="AA36">
        <f>HYPERLINK("https://klasma.github.io/Logging_0980/klagomål/A 26987-2026 FSC-klagomål.docx", "A 26987-2026")</f>
        <v/>
      </c>
      <c r="AB36">
        <f>HYPERLINK("https://klasma.github.io/Logging_0980/klagomålsmail/A 26987-2026 FSC-klagomål mail.docx", "A 26987-2026")</f>
        <v/>
      </c>
      <c r="AC36">
        <f>HYPERLINK("https://klasma.github.io/Logging_0980/tillsyn/A 26987-2026 tillsynsbegäran.docx", "A 26987-2026")</f>
        <v/>
      </c>
      <c r="AD36">
        <f>HYPERLINK("https://klasma.github.io/Logging_0980/tillsynsmail/A 26987-2026 tillsynsbegäran mail.docx", "A 26987-2026")</f>
        <v/>
      </c>
      <c r="AE36">
        <f>HYPERLINK("https://klasma.github.io/Logging_0980/fåglar/A 26987-2026 prioriterade fågelarter.docx", "A 26987-2026")</f>
        <v/>
      </c>
    </row>
    <row r="37" ht="15" customHeight="1">
      <c r="A37" t="inlineStr">
        <is>
          <t>A 61697-2023</t>
        </is>
      </c>
      <c r="B37" t="inlineStr">
        <is>
          <t>avverkningsanmälan</t>
        </is>
      </c>
      <c r="C37" t="inlineStr">
        <is>
          <t>Föryngringsavverkning</t>
        </is>
      </c>
      <c r="D37" s="1" t="n">
        <v>45265</v>
      </c>
      <c r="E37" s="1" t="n">
        <v>46309</v>
      </c>
      <c r="F37" t="inlineStr">
        <is>
          <t>GOTLANDS LÄN</t>
        </is>
      </c>
      <c r="G37" t="inlineStr">
        <is>
          <t>GOTLAND</t>
        </is>
      </c>
      <c r="I37" t="n">
        <v>8.699999999999999</v>
      </c>
      <c r="J37" t="n">
        <v>3</v>
      </c>
      <c r="K37" t="n">
        <v>3</v>
      </c>
      <c r="L37" t="n">
        <v>4</v>
      </c>
      <c r="M37" t="n">
        <v>8</v>
      </c>
      <c r="N37" t="n">
        <v>1</v>
      </c>
      <c r="O37" t="n">
        <v>0</v>
      </c>
      <c r="P37" t="n">
        <v>0</v>
      </c>
      <c r="Q37" t="n">
        <v>13</v>
      </c>
      <c r="R37" t="n">
        <v>9</v>
      </c>
      <c r="S37" t="n">
        <v>17</v>
      </c>
      <c r="T37" t="n">
        <v>41</v>
      </c>
      <c r="U37" t="n">
        <v>11</v>
      </c>
      <c r="V3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7">
        <f>HYPERLINK("https://klasma.github.io/Logging_0980/artfynd/A 61697-2023 artfynd.xlsx", "A 61697-2023")</f>
        <v/>
      </c>
      <c r="X37">
        <f>HYPERLINK("https://klasma.github.io/Logging_0980/kartor/A 61697-2023 karta.png", "A 61697-2023")</f>
        <v/>
      </c>
      <c r="Y37">
        <f>HYPERLINK("https://klasma.github.io/Logging_0980/kartor_geotiff/A 61697-2023 georefererad karta.tif", "A 61697-2023")</f>
        <v/>
      </c>
      <c r="AA37">
        <f>HYPERLINK("https://klasma.github.io/Logging_0980/klagomål/A 61697-2023 FSC-klagomål.docx", "A 61697-2023")</f>
        <v/>
      </c>
      <c r="AB37">
        <f>HYPERLINK("https://klasma.github.io/Logging_0980/klagomålsmail/A 61697-2023 FSC-klagomål mail.docx", "A 61697-2023")</f>
        <v/>
      </c>
      <c r="AC37">
        <f>HYPERLINK("https://klasma.github.io/Logging_0980/tillsyn/A 61697-2023 tillsynsbegäran.docx", "A 61697-2023")</f>
        <v/>
      </c>
      <c r="AD37">
        <f>HYPERLINK("https://klasma.github.io/Logging_0980/tillsynsmail/A 61697-2023 tillsynsbegäran mail.docx", "A 61697-2023")</f>
        <v/>
      </c>
    </row>
    <row r="38" ht="15" customHeight="1">
      <c r="A38" t="inlineStr">
        <is>
          <t>A 62132-2023</t>
        </is>
      </c>
      <c r="B38" t="inlineStr">
        <is>
          <t>avverkningsanmälan</t>
        </is>
      </c>
      <c r="C38" t="inlineStr">
        <is>
          <t>Föryngringsavverkning</t>
        </is>
      </c>
      <c r="D38" s="1" t="n">
        <v>45267</v>
      </c>
      <c r="E38" s="1" t="n">
        <v>46309</v>
      </c>
      <c r="F38" t="inlineStr">
        <is>
          <t>GOTLANDS LÄN</t>
        </is>
      </c>
      <c r="G38" t="inlineStr">
        <is>
          <t>GOTLAND</t>
        </is>
      </c>
      <c r="I38" t="n">
        <v>13.9</v>
      </c>
      <c r="J38" t="n">
        <v>5</v>
      </c>
      <c r="K38" t="n">
        <v>4</v>
      </c>
      <c r="L38" t="n">
        <v>7</v>
      </c>
      <c r="M38" t="n">
        <v>4</v>
      </c>
      <c r="N38" t="n">
        <v>0</v>
      </c>
      <c r="O38" t="n">
        <v>0</v>
      </c>
      <c r="P38" t="n">
        <v>0</v>
      </c>
      <c r="Q38" t="n">
        <v>11</v>
      </c>
      <c r="R38" t="n">
        <v>4</v>
      </c>
      <c r="S38" t="n">
        <v>17</v>
      </c>
      <c r="T38" t="n">
        <v>35</v>
      </c>
      <c r="U38" t="n">
        <v>21</v>
      </c>
      <c r="V38" s="2" t="inlineStr">
        <is>
          <t>Granrotspindling
Gulsträngad fagerspindling
Källnate
Vit taggsvamp
Backtimjan
Blå slemspindling
Dårgräsfjäril
Jordtistel
Odörspindling
Solvända
Äggspindling
Blåmossa
Mindre märgborre
Nästrot
Skogsknipprot
Spillkråka
Sankt pers nycklar</t>
        </is>
      </c>
      <c r="W38">
        <f>HYPERLINK("https://klasma.github.io/Logging_0980/artfynd/A 62132-2023 artfynd.xlsx", "A 62132-2023")</f>
        <v/>
      </c>
      <c r="X38">
        <f>HYPERLINK("https://klasma.github.io/Logging_0980/kartor/A 62132-2023 karta.png", "A 62132-2023")</f>
        <v/>
      </c>
      <c r="Y38">
        <f>HYPERLINK("https://klasma.github.io/Logging_0980/kartor_geotiff/A 62132-2023 georefererad karta.tif", "A 62132-2023")</f>
        <v/>
      </c>
      <c r="AA38">
        <f>HYPERLINK("https://klasma.github.io/Logging_0980/klagomål/A 62132-2023 FSC-klagomål.docx", "A 62132-2023")</f>
        <v/>
      </c>
      <c r="AB38">
        <f>HYPERLINK("https://klasma.github.io/Logging_0980/klagomålsmail/A 62132-2023 FSC-klagomål mail.docx", "A 62132-2023")</f>
        <v/>
      </c>
      <c r="AC38">
        <f>HYPERLINK("https://klasma.github.io/Logging_0980/tillsyn/A 62132-2023 tillsynsbegäran.docx", "A 62132-2023")</f>
        <v/>
      </c>
      <c r="AD38">
        <f>HYPERLINK("https://klasma.github.io/Logging_0980/tillsynsmail/A 62132-2023 tillsynsbegäran mail.docx", "A 62132-2023")</f>
        <v/>
      </c>
      <c r="AE38">
        <f>HYPERLINK("https://klasma.github.io/Logging_0980/fåglar/A 62132-2023 prioriterade fågelarter.docx", "A 62132-2023")</f>
        <v/>
      </c>
    </row>
    <row r="39" ht="15" customHeight="1">
      <c r="A39" t="inlineStr">
        <is>
          <t>A 35141-2022</t>
        </is>
      </c>
      <c r="B39" t="inlineStr">
        <is>
          <t>avverkningsanmälan</t>
        </is>
      </c>
      <c r="C39" t="inlineStr">
        <is>
          <t>Föryngringsavverkning</t>
        </is>
      </c>
      <c r="D39" s="1" t="n">
        <v>44797</v>
      </c>
      <c r="E39" s="1" t="n">
        <v>46309</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2213-2023</t>
        </is>
      </c>
      <c r="B40" t="inlineStr">
        <is>
          <t>avverkningsanmälan</t>
        </is>
      </c>
      <c r="C40" t="inlineStr">
        <is>
          <t>Föryngringsavverkning</t>
        </is>
      </c>
      <c r="D40" s="1" t="n">
        <v>44942</v>
      </c>
      <c r="E40" s="1" t="n">
        <v>46309</v>
      </c>
      <c r="F40" t="inlineStr">
        <is>
          <t>GOTLANDS LÄN</t>
        </is>
      </c>
      <c r="G40" t="inlineStr">
        <is>
          <t>GOTLAND</t>
        </is>
      </c>
      <c r="I40" t="n">
        <v>2.7</v>
      </c>
      <c r="J40" t="n">
        <v>1</v>
      </c>
      <c r="K40" t="n">
        <v>2</v>
      </c>
      <c r="L40" t="n">
        <v>10</v>
      </c>
      <c r="M40" t="n">
        <v>4</v>
      </c>
      <c r="N40" t="n">
        <v>0</v>
      </c>
      <c r="O40" t="n">
        <v>0</v>
      </c>
      <c r="P40" t="n">
        <v>0</v>
      </c>
      <c r="Q40" t="n">
        <v>14</v>
      </c>
      <c r="R40" t="n">
        <v>4</v>
      </c>
      <c r="S40" t="n">
        <v>16</v>
      </c>
      <c r="T40" t="n">
        <v>35</v>
      </c>
      <c r="U40" t="n">
        <v>18</v>
      </c>
      <c r="V4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0">
        <f>HYPERLINK("https://klasma.github.io/Logging_0980/artfynd/A 2213-2023 artfynd.xlsx", "A 2213-2023")</f>
        <v/>
      </c>
      <c r="X40">
        <f>HYPERLINK("https://klasma.github.io/Logging_0980/kartor/A 2213-2023 karta.png", "A 2213-2023")</f>
        <v/>
      </c>
      <c r="Y40">
        <f>HYPERLINK("https://klasma.github.io/Logging_0980/kartor_geotiff/A 2213-2023 georefererad karta.tif", "A 2213-2023")</f>
        <v/>
      </c>
      <c r="AA40">
        <f>HYPERLINK("https://klasma.github.io/Logging_0980/klagomål/A 2213-2023 FSC-klagomål.docx", "A 2213-2023")</f>
        <v/>
      </c>
      <c r="AB40">
        <f>HYPERLINK("https://klasma.github.io/Logging_0980/klagomålsmail/A 2213-2023 FSC-klagomål mail.docx", "A 2213-2023")</f>
        <v/>
      </c>
      <c r="AC40">
        <f>HYPERLINK("https://klasma.github.io/Logging_0980/tillsyn/A 2213-2023 tillsynsbegäran.docx", "A 2213-2023")</f>
        <v/>
      </c>
      <c r="AD40">
        <f>HYPERLINK("https://klasma.github.io/Logging_0980/tillsynsmail/A 2213-2023 tillsynsbegäran mail.docx", "A 2213-2023")</f>
        <v/>
      </c>
    </row>
    <row r="41" ht="15" customHeight="1">
      <c r="A41" t="inlineStr">
        <is>
          <t>A 25779-2022</t>
        </is>
      </c>
      <c r="B41" t="inlineStr">
        <is>
          <t>avverkningsanmälan</t>
        </is>
      </c>
      <c r="C41" t="inlineStr">
        <is>
          <t>Föryngringsavverkning</t>
        </is>
      </c>
      <c r="D41" s="1" t="n">
        <v>44733</v>
      </c>
      <c r="E41" s="1" t="n">
        <v>46309</v>
      </c>
      <c r="F41" t="inlineStr">
        <is>
          <t>GOTLANDS LÄN</t>
        </is>
      </c>
      <c r="G41" t="inlineStr">
        <is>
          <t>GOTLAND</t>
        </is>
      </c>
      <c r="I41" t="n">
        <v>12.6</v>
      </c>
      <c r="J41" t="n">
        <v>4</v>
      </c>
      <c r="K41" t="n">
        <v>8</v>
      </c>
      <c r="L41" t="n">
        <v>5</v>
      </c>
      <c r="M41" t="n">
        <v>2</v>
      </c>
      <c r="N41" t="n">
        <v>1</v>
      </c>
      <c r="O41" t="n">
        <v>0</v>
      </c>
      <c r="P41" t="n">
        <v>0</v>
      </c>
      <c r="Q41" t="n">
        <v>8</v>
      </c>
      <c r="R41" t="n">
        <v>3</v>
      </c>
      <c r="S41" t="n">
        <v>16</v>
      </c>
      <c r="T41" t="n">
        <v>30</v>
      </c>
      <c r="U41" t="n">
        <v>5</v>
      </c>
      <c r="V41" s="2" t="inlineStr">
        <is>
          <t>Ruttaggsvamp
Duvspindling
Knärot
Blå slemspindling
Flattoppad klubbsvamp
Jordtistel
Odörspindling
Solvända
Nästrot
Rödgul trumpetsvamp
Skogsknipprot
Strimspindling
Strävlosta
Svavelriska
Vit skogslilja
Zontaggsvamp</t>
        </is>
      </c>
      <c r="W41">
        <f>HYPERLINK("https://klasma.github.io/Logging_0980/artfynd/A 25779-2022 artfynd.xlsx", "A 25779-2022")</f>
        <v/>
      </c>
      <c r="X41">
        <f>HYPERLINK("https://klasma.github.io/Logging_0980/kartor/A 25779-2022 karta.png", "A 25779-2022")</f>
        <v/>
      </c>
      <c r="Y41">
        <f>HYPERLINK("https://klasma.github.io/Logging_0980/kartor_geotiff/A 25779-2022 georefererad karta.tif", "A 25779-2022")</f>
        <v/>
      </c>
      <c r="Z41">
        <f>HYPERLINK("https://klasma.github.io/Logging_0980/knärot/A 25779-2022 karta knärot.png", "A 25779-2022")</f>
        <v/>
      </c>
      <c r="AA41">
        <f>HYPERLINK("https://klasma.github.io/Logging_0980/klagomål/A 25779-2022 FSC-klagomål.docx", "A 25779-2022")</f>
        <v/>
      </c>
      <c r="AB41">
        <f>HYPERLINK("https://klasma.github.io/Logging_0980/klagomålsmail/A 25779-2022 FSC-klagomål mail.docx", "A 25779-2022")</f>
        <v/>
      </c>
      <c r="AC41">
        <f>HYPERLINK("https://klasma.github.io/Logging_0980/tillsyn/A 25779-2022 tillsynsbegäran.docx", "A 25779-2022")</f>
        <v/>
      </c>
      <c r="AD41">
        <f>HYPERLINK("https://klasma.github.io/Logging_0980/tillsynsmail/A 25779-2022 tillsynsbegäran mail.docx", "A 25779-2022")</f>
        <v/>
      </c>
    </row>
    <row r="42" ht="15" customHeight="1">
      <c r="A42" t="inlineStr">
        <is>
          <t>A 9540-2026</t>
        </is>
      </c>
      <c r="B42" t="inlineStr">
        <is>
          <t>avverkningsanmälan</t>
        </is>
      </c>
      <c r="C42" t="inlineStr">
        <is>
          <t>Föryngringsavverkning</t>
        </is>
      </c>
      <c r="D42" s="1" t="n">
        <v>46071</v>
      </c>
      <c r="E42" s="1" t="n">
        <v>46309</v>
      </c>
      <c r="F42" t="inlineStr">
        <is>
          <t>GOTLANDS LÄN</t>
        </is>
      </c>
      <c r="G42" t="inlineStr">
        <is>
          <t>GOTLAND</t>
        </is>
      </c>
      <c r="I42" t="n">
        <v>2.8</v>
      </c>
      <c r="J42" t="n">
        <v>0</v>
      </c>
      <c r="K42" t="n">
        <v>5</v>
      </c>
      <c r="L42" t="n">
        <v>5</v>
      </c>
      <c r="M42" t="n">
        <v>6</v>
      </c>
      <c r="N42" t="n">
        <v>0</v>
      </c>
      <c r="O42" t="n">
        <v>0</v>
      </c>
      <c r="P42" t="n">
        <v>0</v>
      </c>
      <c r="Q42" t="n">
        <v>11</v>
      </c>
      <c r="R42" t="n">
        <v>6</v>
      </c>
      <c r="S42" t="n">
        <v>16</v>
      </c>
      <c r="T42" t="n">
        <v>48</v>
      </c>
      <c r="U42" t="n">
        <v>48</v>
      </c>
      <c r="V42"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2">
        <f>HYPERLINK("https://klasma.github.io/Logging_0980/artfynd/A 9540-2026 artfynd.xlsx", "A 9540-2026")</f>
        <v/>
      </c>
      <c r="X42">
        <f>HYPERLINK("https://klasma.github.io/Logging_0980/kartor/A 9540-2026 karta.png", "A 9540-2026")</f>
        <v/>
      </c>
      <c r="Y42">
        <f>HYPERLINK("https://klasma.github.io/Logging_0980/kartor_geotiff/A 9540-2026 georefererad karta.tif", "A 9540-2026")</f>
        <v/>
      </c>
      <c r="AA42">
        <f>HYPERLINK("https://klasma.github.io/Logging_0980/klagomål/A 9540-2026 FSC-klagomål.docx", "A 9540-2026")</f>
        <v/>
      </c>
      <c r="AB42">
        <f>HYPERLINK("https://klasma.github.io/Logging_0980/klagomålsmail/A 9540-2026 FSC-klagomål mail.docx", "A 9540-2026")</f>
        <v/>
      </c>
      <c r="AC42">
        <f>HYPERLINK("https://klasma.github.io/Logging_0980/tillsyn/A 9540-2026 tillsynsbegäran.docx", "A 9540-2026")</f>
        <v/>
      </c>
      <c r="AD42">
        <f>HYPERLINK("https://klasma.github.io/Logging_0980/tillsynsmail/A 9540-2026 tillsynsbegäran mail.docx", "A 9540-2026")</f>
        <v/>
      </c>
    </row>
    <row r="43" ht="15" customHeight="1">
      <c r="A43" t="inlineStr">
        <is>
          <t>A 44204-2022</t>
        </is>
      </c>
      <c r="B43" t="inlineStr">
        <is>
          <t>avverkningsanmälan</t>
        </is>
      </c>
      <c r="C43" t="inlineStr">
        <is>
          <t>Föryngringsavverkning</t>
        </is>
      </c>
      <c r="D43" s="1" t="n">
        <v>44839</v>
      </c>
      <c r="E43" s="1" t="n">
        <v>46309</v>
      </c>
      <c r="F43" t="inlineStr">
        <is>
          <t>GOTLANDS LÄN</t>
        </is>
      </c>
      <c r="G43" t="inlineStr">
        <is>
          <t>GOTLAND</t>
        </is>
      </c>
      <c r="I43" t="n">
        <v>2.3</v>
      </c>
      <c r="J43" t="n">
        <v>4</v>
      </c>
      <c r="K43" t="n">
        <v>3</v>
      </c>
      <c r="L43" t="n">
        <v>6</v>
      </c>
      <c r="M43" t="n">
        <v>3</v>
      </c>
      <c r="N43" t="n">
        <v>2</v>
      </c>
      <c r="O43" t="n">
        <v>0</v>
      </c>
      <c r="P43" t="n">
        <v>0</v>
      </c>
      <c r="Q43" t="n">
        <v>11</v>
      </c>
      <c r="R43" t="n">
        <v>5</v>
      </c>
      <c r="S43" t="n">
        <v>16</v>
      </c>
      <c r="T43" t="n">
        <v>104</v>
      </c>
      <c r="U43" t="n">
        <v>104</v>
      </c>
      <c r="V4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3">
        <f>HYPERLINK("https://klasma.github.io/Logging_0980/artfynd/A 44204-2022 artfynd.xlsx", "A 44204-2022")</f>
        <v/>
      </c>
      <c r="X43">
        <f>HYPERLINK("https://klasma.github.io/Logging_0980/kartor/A 44204-2022 karta.png", "A 44204-2022")</f>
        <v/>
      </c>
      <c r="Y43">
        <f>HYPERLINK("https://klasma.github.io/Logging_0980/kartor_geotiff/A 44204-2022 georefererad karta.tif", "A 44204-2022")</f>
        <v/>
      </c>
      <c r="AA43">
        <f>HYPERLINK("https://klasma.github.io/Logging_0980/klagomål/A 44204-2022 FSC-klagomål.docx", "A 44204-2022")</f>
        <v/>
      </c>
      <c r="AB43">
        <f>HYPERLINK("https://klasma.github.io/Logging_0980/klagomålsmail/A 44204-2022 FSC-klagomål mail.docx", "A 44204-2022")</f>
        <v/>
      </c>
      <c r="AC43">
        <f>HYPERLINK("https://klasma.github.io/Logging_0980/tillsyn/A 44204-2022 tillsynsbegäran.docx", "A 44204-2022")</f>
        <v/>
      </c>
      <c r="AD43">
        <f>HYPERLINK("https://klasma.github.io/Logging_0980/tillsynsmail/A 44204-2022 tillsynsbegäran mail.docx", "A 44204-2022")</f>
        <v/>
      </c>
      <c r="AE43">
        <f>HYPERLINK("https://klasma.github.io/Logging_0980/fåglar/A 44204-2022 prioriterade fågelarter.docx", "A 44204-2022")</f>
        <v/>
      </c>
    </row>
    <row r="44" ht="15" customHeight="1">
      <c r="A44" t="inlineStr">
        <is>
          <t>A 43201-2023</t>
        </is>
      </c>
      <c r="B44" t="inlineStr">
        <is>
          <t>avverkningsanmälan</t>
        </is>
      </c>
      <c r="C44" t="inlineStr">
        <is>
          <t>Avverkning för annat ändamål</t>
        </is>
      </c>
      <c r="D44" s="1" t="n">
        <v>45183</v>
      </c>
      <c r="E44" s="1" t="n">
        <v>46309</v>
      </c>
      <c r="F44" t="inlineStr">
        <is>
          <t>GOTLANDS LÄN</t>
        </is>
      </c>
      <c r="G44" t="inlineStr">
        <is>
          <t>GOTLAND</t>
        </is>
      </c>
      <c r="I44" t="n">
        <v>5.6</v>
      </c>
      <c r="J44" t="n">
        <v>0</v>
      </c>
      <c r="K44" t="n">
        <v>6</v>
      </c>
      <c r="L44" t="n">
        <v>4</v>
      </c>
      <c r="M44" t="n">
        <v>3</v>
      </c>
      <c r="N44" t="n">
        <v>2</v>
      </c>
      <c r="O44" t="n">
        <v>0</v>
      </c>
      <c r="P44" t="n">
        <v>0</v>
      </c>
      <c r="Q44" t="n">
        <v>9</v>
      </c>
      <c r="R44" t="n">
        <v>5</v>
      </c>
      <c r="S44" t="n">
        <v>15</v>
      </c>
      <c r="T44" t="n">
        <v>36</v>
      </c>
      <c r="U44" t="n">
        <v>0</v>
      </c>
      <c r="V44" s="2" t="inlineStr">
        <is>
          <t>Almlav
Mörk lundlav
Blek kraterlav
Mörk kraterlav
Ädellav
Hjälmbrosklav
Lunglav
Rosa skärelav
Skuggorangelav
Guldlockmossa
Gulpudrad spiklav
Lönnlav
Rostfläck
Slät lönnlav
Vitskivlav</t>
        </is>
      </c>
      <c r="W44">
        <f>HYPERLINK("https://klasma.github.io/Logging_0980/artfynd/A 43201-2023 artfynd.xlsx", "A 43201-2023")</f>
        <v/>
      </c>
      <c r="X44">
        <f>HYPERLINK("https://klasma.github.io/Logging_0980/kartor/A 43201-2023 karta.png", "A 43201-2023")</f>
        <v/>
      </c>
      <c r="Y44">
        <f>HYPERLINK("https://klasma.github.io/Logging_0980/kartor_geotiff/A 43201-2023 georefererad karta.tif", "A 43201-2023")</f>
        <v/>
      </c>
      <c r="AA44">
        <f>HYPERLINK("https://klasma.github.io/Logging_0980/klagomål/A 43201-2023 FSC-klagomål.docx", "A 43201-2023")</f>
        <v/>
      </c>
      <c r="AB44">
        <f>HYPERLINK("https://klasma.github.io/Logging_0980/klagomålsmail/A 43201-2023 FSC-klagomål mail.docx", "A 43201-2023")</f>
        <v/>
      </c>
      <c r="AC44">
        <f>HYPERLINK("https://klasma.github.io/Logging_0980/tillsyn/A 43201-2023 tillsynsbegäran.docx", "A 43201-2023")</f>
        <v/>
      </c>
      <c r="AD44">
        <f>HYPERLINK("https://klasma.github.io/Logging_0980/tillsynsmail/A 43201-2023 tillsynsbegäran mail.docx", "A 43201-2023")</f>
        <v/>
      </c>
    </row>
    <row r="45" ht="15" customHeight="1">
      <c r="A45" t="inlineStr">
        <is>
          <t>A 44928-2022</t>
        </is>
      </c>
      <c r="B45" t="inlineStr">
        <is>
          <t>avverkningsanmälan</t>
        </is>
      </c>
      <c r="C45" t="inlineStr">
        <is>
          <t>Föryngringsavverkning</t>
        </is>
      </c>
      <c r="D45" s="1" t="n">
        <v>44841</v>
      </c>
      <c r="E45" s="1" t="n">
        <v>46309</v>
      </c>
      <c r="F45" t="inlineStr">
        <is>
          <t>GOTLANDS LÄN</t>
        </is>
      </c>
      <c r="G45" t="inlineStr">
        <is>
          <t>GOTLAND</t>
        </is>
      </c>
      <c r="I45" t="n">
        <v>3.7</v>
      </c>
      <c r="J45" t="n">
        <v>1</v>
      </c>
      <c r="K45" t="n">
        <v>4</v>
      </c>
      <c r="L45" t="n">
        <v>5</v>
      </c>
      <c r="M45" t="n">
        <v>3</v>
      </c>
      <c r="N45" t="n">
        <v>1</v>
      </c>
      <c r="O45" t="n">
        <v>0</v>
      </c>
      <c r="P45" t="n">
        <v>0</v>
      </c>
      <c r="Q45" t="n">
        <v>10</v>
      </c>
      <c r="R45" t="n">
        <v>4</v>
      </c>
      <c r="S45" t="n">
        <v>14</v>
      </c>
      <c r="T45" t="n">
        <v>18</v>
      </c>
      <c r="U45" t="n">
        <v>15</v>
      </c>
      <c r="V45" s="2" t="inlineStr">
        <is>
          <t>Barkkvastmossa
Gulsträngad fagerspindling
Mörk kraterlav
Tvillingspindling
Blå slemspindling
Kattfotslav
Odörspindling
Puderspindling
Ängsstarr
Frostig asplav
Anisspindling
Axag
Kärrlilja
Svavelriska</t>
        </is>
      </c>
      <c r="W45">
        <f>HYPERLINK("https://klasma.github.io/Logging_0980/artfynd/A 44928-2022 artfynd.xlsx", "A 44928-2022")</f>
        <v/>
      </c>
      <c r="X45">
        <f>HYPERLINK("https://klasma.github.io/Logging_0980/kartor/A 44928-2022 karta.png", "A 44928-2022")</f>
        <v/>
      </c>
      <c r="Y45">
        <f>HYPERLINK("https://klasma.github.io/Logging_0980/kartor_geotiff/A 44928-2022 georefererad karta.tif", "A 44928-2022")</f>
        <v/>
      </c>
      <c r="AA45">
        <f>HYPERLINK("https://klasma.github.io/Logging_0980/klagomål/A 44928-2022 FSC-klagomål.docx", "A 44928-2022")</f>
        <v/>
      </c>
      <c r="AB45">
        <f>HYPERLINK("https://klasma.github.io/Logging_0980/klagomålsmail/A 44928-2022 FSC-klagomål mail.docx", "A 44928-2022")</f>
        <v/>
      </c>
      <c r="AC45">
        <f>HYPERLINK("https://klasma.github.io/Logging_0980/tillsyn/A 44928-2022 tillsynsbegäran.docx", "A 44928-2022")</f>
        <v/>
      </c>
      <c r="AD45">
        <f>HYPERLINK("https://klasma.github.io/Logging_0980/tillsynsmail/A 44928-2022 tillsynsbegäran mail.docx", "A 44928-2022")</f>
        <v/>
      </c>
    </row>
    <row r="46" ht="15" customHeight="1">
      <c r="A46" t="inlineStr">
        <is>
          <t>A 11176-2024</t>
        </is>
      </c>
      <c r="B46" t="inlineStr">
        <is>
          <t>avverkningsanmälan</t>
        </is>
      </c>
      <c r="C46" t="inlineStr">
        <is>
          <t>Föryngringsavverkning</t>
        </is>
      </c>
      <c r="D46" s="1" t="n">
        <v>45371</v>
      </c>
      <c r="E46" s="1" t="n">
        <v>46309</v>
      </c>
      <c r="F46" t="inlineStr">
        <is>
          <t>GOTLANDS LÄN</t>
        </is>
      </c>
      <c r="G46" t="inlineStr">
        <is>
          <t>GOTLAND</t>
        </is>
      </c>
      <c r="I46" t="n">
        <v>1.7</v>
      </c>
      <c r="J46" t="n">
        <v>0</v>
      </c>
      <c r="K46" t="n">
        <v>4</v>
      </c>
      <c r="L46" t="n">
        <v>3</v>
      </c>
      <c r="M46" t="n">
        <v>7</v>
      </c>
      <c r="N46" t="n">
        <v>0</v>
      </c>
      <c r="O46" t="n">
        <v>0</v>
      </c>
      <c r="P46" t="n">
        <v>0</v>
      </c>
      <c r="Q46" t="n">
        <v>10</v>
      </c>
      <c r="R46" t="n">
        <v>7</v>
      </c>
      <c r="S46" t="n">
        <v>14</v>
      </c>
      <c r="T46" t="n">
        <v>25</v>
      </c>
      <c r="U46" t="n">
        <v>0</v>
      </c>
      <c r="V46" s="2" t="inlineStr">
        <is>
          <t>Granrotspindling
Gul lammticka
Gulsträngad fagerspindling
Svartgrön spindling
Tvillingspindling
Violettfläckig spindling
Vit taggsvamp
Bittermusseron
Blå slemspindling
Odörspindling
Anisspindling
Olivspindling
Rödbrun jordstjärna
Svavelriska</t>
        </is>
      </c>
      <c r="W46">
        <f>HYPERLINK("https://klasma.github.io/Logging_0980/artfynd/A 11176-2024 artfynd.xlsx", "A 11176-2024")</f>
        <v/>
      </c>
      <c r="X46">
        <f>HYPERLINK("https://klasma.github.io/Logging_0980/kartor/A 11176-2024 karta.png", "A 11176-2024")</f>
        <v/>
      </c>
      <c r="Y46">
        <f>HYPERLINK("https://klasma.github.io/Logging_0980/kartor_geotiff/A 11176-2024 georefererad karta.tif", "A 11176-2024")</f>
        <v/>
      </c>
      <c r="AA46">
        <f>HYPERLINK("https://klasma.github.io/Logging_0980/klagomål/A 11176-2024 FSC-klagomål.docx", "A 11176-2024")</f>
        <v/>
      </c>
      <c r="AB46">
        <f>HYPERLINK("https://klasma.github.io/Logging_0980/klagomålsmail/A 11176-2024 FSC-klagomål mail.docx", "A 11176-2024")</f>
        <v/>
      </c>
      <c r="AC46">
        <f>HYPERLINK("https://klasma.github.io/Logging_0980/tillsyn/A 11176-2024 tillsynsbegäran.docx", "A 11176-2024")</f>
        <v/>
      </c>
      <c r="AD46">
        <f>HYPERLINK("https://klasma.github.io/Logging_0980/tillsynsmail/A 11176-2024 tillsynsbegäran mail.docx", "A 11176-2024")</f>
        <v/>
      </c>
    </row>
    <row r="47" ht="15" customHeight="1">
      <c r="A47" t="inlineStr">
        <is>
          <t>A 33153-2024</t>
        </is>
      </c>
      <c r="B47" t="inlineStr">
        <is>
          <t>avverkningsanmälan</t>
        </is>
      </c>
      <c r="C47" t="inlineStr">
        <is>
          <t>Avverkning för annat ändamål</t>
        </is>
      </c>
      <c r="D47" s="1" t="n">
        <v>45518</v>
      </c>
      <c r="E47" s="1" t="n">
        <v>46309</v>
      </c>
      <c r="F47" t="inlineStr">
        <is>
          <t>GOTLANDS LÄN</t>
        </is>
      </c>
      <c r="G47" t="inlineStr">
        <is>
          <t>GOTLAND</t>
        </is>
      </c>
      <c r="I47" t="n">
        <v>10.3</v>
      </c>
      <c r="J47" t="n">
        <v>3</v>
      </c>
      <c r="K47" t="n">
        <v>8</v>
      </c>
      <c r="L47" t="n">
        <v>5</v>
      </c>
      <c r="M47" t="n">
        <v>1</v>
      </c>
      <c r="N47" t="n">
        <v>0</v>
      </c>
      <c r="O47" t="n">
        <v>0</v>
      </c>
      <c r="P47" t="n">
        <v>0</v>
      </c>
      <c r="Q47" t="n">
        <v>6</v>
      </c>
      <c r="R47" t="n">
        <v>1</v>
      </c>
      <c r="S47" t="n">
        <v>14</v>
      </c>
      <c r="T47" t="n">
        <v>23</v>
      </c>
      <c r="U47" t="n">
        <v>0</v>
      </c>
      <c r="V47" s="2" t="inlineStr">
        <is>
          <t>Duvspindling
Blå slemspindling
Flattoppad klubbsvamp
Jordtistel
Odörspindling
Solvända
Nästrot
Rödgul trumpetsvamp
Skogsknipprot
Strimspindling
Strävlosta
Svavelriska
Vit skogslilja
Zontaggsvamp</t>
        </is>
      </c>
      <c r="W47">
        <f>HYPERLINK("https://klasma.github.io/Logging_0980/artfynd/A 33153-2024 artfynd.xlsx", "A 33153-2024")</f>
        <v/>
      </c>
      <c r="X47">
        <f>HYPERLINK("https://klasma.github.io/Logging_0980/kartor/A 33153-2024 karta.png", "A 33153-2024")</f>
        <v/>
      </c>
      <c r="Y47">
        <f>HYPERLINK("https://klasma.github.io/Logging_0980/kartor_geotiff/A 33153-2024 georefererad karta.tif", "A 33153-2024")</f>
        <v/>
      </c>
      <c r="Z47">
        <f>HYPERLINK("https://klasma.github.io/Logging_0980/knärot/A 33153-2024 karta knärot.png", "A 33153-2024")</f>
        <v/>
      </c>
      <c r="AA47">
        <f>HYPERLINK("https://klasma.github.io/Logging_0980/klagomål/A 33153-2024 FSC-klagomål.docx", "A 33153-2024")</f>
        <v/>
      </c>
      <c r="AB47">
        <f>HYPERLINK("https://klasma.github.io/Logging_0980/klagomålsmail/A 33153-2024 FSC-klagomål mail.docx", "A 33153-2024")</f>
        <v/>
      </c>
      <c r="AC47">
        <f>HYPERLINK("https://klasma.github.io/Logging_0980/tillsyn/A 33153-2024 tillsynsbegäran.docx", "A 33153-2024")</f>
        <v/>
      </c>
      <c r="AD47">
        <f>HYPERLINK("https://klasma.github.io/Logging_0980/tillsynsmail/A 33153-2024 tillsynsbegäran mail.docx", "A 33153-2024")</f>
        <v/>
      </c>
    </row>
    <row r="48" ht="15" customHeight="1">
      <c r="A48" t="inlineStr">
        <is>
          <t>A 10274-2026</t>
        </is>
      </c>
      <c r="B48" t="inlineStr">
        <is>
          <t>avverkningsanmälan</t>
        </is>
      </c>
      <c r="C48" t="inlineStr">
        <is>
          <t>Föryngringsavverkning</t>
        </is>
      </c>
      <c r="D48" s="1" t="n">
        <v>46076</v>
      </c>
      <c r="E48" s="1" t="n">
        <v>46309</v>
      </c>
      <c r="F48" t="inlineStr">
        <is>
          <t>GOTLANDS LÄN</t>
        </is>
      </c>
      <c r="G48" t="inlineStr">
        <is>
          <t>GOTLAND</t>
        </is>
      </c>
      <c r="I48" t="n">
        <v>9.800000000000001</v>
      </c>
      <c r="J48" t="n">
        <v>6</v>
      </c>
      <c r="K48" t="n">
        <v>3</v>
      </c>
      <c r="L48" t="n">
        <v>5</v>
      </c>
      <c r="M48" t="n">
        <v>2</v>
      </c>
      <c r="N48" t="n">
        <v>0</v>
      </c>
      <c r="O48" t="n">
        <v>0</v>
      </c>
      <c r="P48" t="n">
        <v>0</v>
      </c>
      <c r="Q48" t="n">
        <v>7</v>
      </c>
      <c r="R48" t="n">
        <v>2</v>
      </c>
      <c r="S48" t="n">
        <v>14</v>
      </c>
      <c r="T48" t="n">
        <v>45</v>
      </c>
      <c r="U48" t="n">
        <v>39</v>
      </c>
      <c r="V48" s="2" t="inlineStr">
        <is>
          <t>Garderönn
Gråfingerört
Backstarr
Backtimjan
Dårgräsfjäril
Reliktbock
Vippärt
Axag
Grönpyrola
Kragjordstjärna
Spillkråka
Alvarstånds
Nattviol
Sankt pers nycklar</t>
        </is>
      </c>
      <c r="W48">
        <f>HYPERLINK("https://klasma.github.io/Logging_0980/artfynd/A 10274-2026 artfynd.xlsx", "A 10274-2026")</f>
        <v/>
      </c>
      <c r="X48">
        <f>HYPERLINK("https://klasma.github.io/Logging_0980/kartor/A 10274-2026 karta.png", "A 10274-2026")</f>
        <v/>
      </c>
      <c r="Y48">
        <f>HYPERLINK("https://klasma.github.io/Logging_0980/kartor_geotiff/A 10274-2026 georefererad karta.tif", "A 10274-2026")</f>
        <v/>
      </c>
      <c r="AA48">
        <f>HYPERLINK("https://klasma.github.io/Logging_0980/klagomål/A 10274-2026 FSC-klagomål.docx", "A 10274-2026")</f>
        <v/>
      </c>
      <c r="AB48">
        <f>HYPERLINK("https://klasma.github.io/Logging_0980/klagomålsmail/A 10274-2026 FSC-klagomål mail.docx", "A 10274-2026")</f>
        <v/>
      </c>
      <c r="AC48">
        <f>HYPERLINK("https://klasma.github.io/Logging_0980/tillsyn/A 10274-2026 tillsynsbegäran.docx", "A 10274-2026")</f>
        <v/>
      </c>
      <c r="AD48">
        <f>HYPERLINK("https://klasma.github.io/Logging_0980/tillsynsmail/A 10274-2026 tillsynsbegäran mail.docx", "A 10274-2026")</f>
        <v/>
      </c>
      <c r="AE48">
        <f>HYPERLINK("https://klasma.github.io/Logging_0980/fåglar/A 10274-2026 prioriterade fågelarter.docx", "A 10274-2026")</f>
        <v/>
      </c>
    </row>
    <row r="49" ht="15" customHeight="1">
      <c r="A49" t="inlineStr">
        <is>
          <t>A 14354-2024</t>
        </is>
      </c>
      <c r="B49" t="inlineStr">
        <is>
          <t>avverkningsanmälan</t>
        </is>
      </c>
      <c r="C49" t="inlineStr">
        <is>
          <t>Föryngringsavverkning</t>
        </is>
      </c>
      <c r="D49" s="1" t="n">
        <v>45393</v>
      </c>
      <c r="E49" s="1" t="n">
        <v>46309</v>
      </c>
      <c r="F49" t="inlineStr">
        <is>
          <t>GOTLANDS LÄN</t>
        </is>
      </c>
      <c r="G49" t="inlineStr">
        <is>
          <t>GOTLAND</t>
        </is>
      </c>
      <c r="I49" t="n">
        <v>2.4</v>
      </c>
      <c r="J49" t="n">
        <v>10</v>
      </c>
      <c r="K49" t="n">
        <v>4</v>
      </c>
      <c r="L49" t="n">
        <v>6</v>
      </c>
      <c r="M49" t="n">
        <v>0</v>
      </c>
      <c r="N49" t="n">
        <v>0</v>
      </c>
      <c r="O49" t="n">
        <v>0</v>
      </c>
      <c r="P49" t="n">
        <v>0</v>
      </c>
      <c r="Q49" t="n">
        <v>6</v>
      </c>
      <c r="R49" t="n">
        <v>0</v>
      </c>
      <c r="S49" t="n">
        <v>14</v>
      </c>
      <c r="T49" t="n">
        <v>125</v>
      </c>
      <c r="U49" t="n">
        <v>110</v>
      </c>
      <c r="V49" s="2" t="inlineStr">
        <is>
          <t>Dårgräsfjäril
Entita
Grönsångare
Smedbock
Svinrot
Ängsskära
Blåmossa
Nästrot
Skogsknipprot
Tvåblad
Blåsippa
Spillkråka
Fläcknycklar
Nattviol</t>
        </is>
      </c>
      <c r="W49">
        <f>HYPERLINK("https://klasma.github.io/Logging_0980/artfynd/A 14354-2024 artfynd.xlsx", "A 14354-2024")</f>
        <v/>
      </c>
      <c r="X49">
        <f>HYPERLINK("https://klasma.github.io/Logging_0980/kartor/A 14354-2024 karta.png", "A 14354-2024")</f>
        <v/>
      </c>
      <c r="Y49">
        <f>HYPERLINK("https://klasma.github.io/Logging_0980/kartor_geotiff/A 14354-2024 georefererad karta.tif", "A 14354-2024")</f>
        <v/>
      </c>
      <c r="AA49">
        <f>HYPERLINK("https://klasma.github.io/Logging_0980/klagomål/A 14354-2024 FSC-klagomål.docx", "A 14354-2024")</f>
        <v/>
      </c>
      <c r="AB49">
        <f>HYPERLINK("https://klasma.github.io/Logging_0980/klagomålsmail/A 14354-2024 FSC-klagomål mail.docx", "A 14354-2024")</f>
        <v/>
      </c>
      <c r="AC49">
        <f>HYPERLINK("https://klasma.github.io/Logging_0980/tillsyn/A 14354-2024 tillsynsbegäran.docx", "A 14354-2024")</f>
        <v/>
      </c>
      <c r="AD49">
        <f>HYPERLINK("https://klasma.github.io/Logging_0980/tillsynsmail/A 14354-2024 tillsynsbegäran mail.docx", "A 14354-2024")</f>
        <v/>
      </c>
      <c r="AE49">
        <f>HYPERLINK("https://klasma.github.io/Logging_0980/fåglar/A 14354-2024 prioriterade fågelarter.docx", "A 14354-2024")</f>
        <v/>
      </c>
    </row>
    <row r="50" ht="15" customHeight="1">
      <c r="A50" t="inlineStr">
        <is>
          <t>A 27168-2022</t>
        </is>
      </c>
      <c r="B50" t="inlineStr">
        <is>
          <t>avverkningsanmälan</t>
        </is>
      </c>
      <c r="C50" t="inlineStr">
        <is>
          <t>Föryngringsavverkning</t>
        </is>
      </c>
      <c r="D50" s="1" t="n">
        <v>44741</v>
      </c>
      <c r="E50" s="1" t="n">
        <v>46309</v>
      </c>
      <c r="F50" t="inlineStr">
        <is>
          <t>GOTLANDS LÄN</t>
        </is>
      </c>
      <c r="G50" t="inlineStr">
        <is>
          <t>GOTLAND</t>
        </is>
      </c>
      <c r="I50" t="n">
        <v>2.2</v>
      </c>
      <c r="J50" t="n">
        <v>9</v>
      </c>
      <c r="K50" t="n">
        <v>4</v>
      </c>
      <c r="L50" t="n">
        <v>2</v>
      </c>
      <c r="M50" t="n">
        <v>2</v>
      </c>
      <c r="N50" t="n">
        <v>0</v>
      </c>
      <c r="O50" t="n">
        <v>0</v>
      </c>
      <c r="P50" t="n">
        <v>0</v>
      </c>
      <c r="Q50" t="n">
        <v>4</v>
      </c>
      <c r="R50" t="n">
        <v>2</v>
      </c>
      <c r="S50" t="n">
        <v>13</v>
      </c>
      <c r="T50" t="n">
        <v>29</v>
      </c>
      <c r="U50" t="n">
        <v>29</v>
      </c>
      <c r="V50" s="2" t="inlineStr">
        <is>
          <t>Bredbrämad bastardsvärmare
Gotlandsmåra
Solvända
Svinrot
Purpurknipprot
Skogsknipprot
Tvåblad
Vit skogslilja
Citronfläckad kärrtrollslända
Brudsporre
Fläcknycklar
Kärrknipprot
Nattviol</t>
        </is>
      </c>
      <c r="W50">
        <f>HYPERLINK("https://klasma.github.io/Logging_0980/artfynd/A 27168-2022 artfynd.xlsx", "A 27168-2022")</f>
        <v/>
      </c>
      <c r="X50">
        <f>HYPERLINK("https://klasma.github.io/Logging_0980/kartor/A 27168-2022 karta.png", "A 27168-2022")</f>
        <v/>
      </c>
      <c r="Y50">
        <f>HYPERLINK("https://klasma.github.io/Logging_0980/kartor_geotiff/A 27168-2022 georefererad karta.tif", "A 27168-2022")</f>
        <v/>
      </c>
      <c r="AA50">
        <f>HYPERLINK("https://klasma.github.io/Logging_0980/klagomål/A 27168-2022 FSC-klagomål.docx", "A 27168-2022")</f>
        <v/>
      </c>
      <c r="AB50">
        <f>HYPERLINK("https://klasma.github.io/Logging_0980/klagomålsmail/A 27168-2022 FSC-klagomål mail.docx", "A 27168-2022")</f>
        <v/>
      </c>
      <c r="AC50">
        <f>HYPERLINK("https://klasma.github.io/Logging_0980/tillsyn/A 27168-2022 tillsynsbegäran.docx", "A 27168-2022")</f>
        <v/>
      </c>
      <c r="AD50">
        <f>HYPERLINK("https://klasma.github.io/Logging_0980/tillsynsmail/A 27168-2022 tillsynsbegäran mail.docx", "A 27168-2022")</f>
        <v/>
      </c>
    </row>
    <row r="51" ht="15" customHeight="1">
      <c r="A51" t="inlineStr">
        <is>
          <t>A 63149-2025</t>
        </is>
      </c>
      <c r="B51" t="inlineStr">
        <is>
          <t>avverkningsanmälan</t>
        </is>
      </c>
      <c r="C51" t="inlineStr">
        <is>
          <t>Föryngringsavverkning</t>
        </is>
      </c>
      <c r="D51" s="1" t="n">
        <v>46010</v>
      </c>
      <c r="E51" s="1" t="n">
        <v>46309</v>
      </c>
      <c r="F51" t="inlineStr">
        <is>
          <t>GOTLANDS LÄN</t>
        </is>
      </c>
      <c r="G51" t="inlineStr">
        <is>
          <t>GOTLAND</t>
        </is>
      </c>
      <c r="I51" t="n">
        <v>4.3</v>
      </c>
      <c r="J51" t="n">
        <v>7</v>
      </c>
      <c r="K51" t="n">
        <v>2</v>
      </c>
      <c r="L51" t="n">
        <v>6</v>
      </c>
      <c r="M51" t="n">
        <v>0</v>
      </c>
      <c r="N51" t="n">
        <v>0</v>
      </c>
      <c r="O51" t="n">
        <v>0</v>
      </c>
      <c r="P51" t="n">
        <v>0</v>
      </c>
      <c r="Q51" t="n">
        <v>6</v>
      </c>
      <c r="R51" t="n">
        <v>0</v>
      </c>
      <c r="S51" t="n">
        <v>13</v>
      </c>
      <c r="T51" t="n">
        <v>102</v>
      </c>
      <c r="U51" t="n">
        <v>101</v>
      </c>
      <c r="V51" s="2" t="inlineStr">
        <is>
          <t>Backtimjan
Berggräsfjäril
Dårgräsfjäril
Gulsparv
Solvända
Svinrot
Anisspindling
Skogsknipprot
Ormbär
Spillkråka
Fläcknycklar
Nattviol
Sankt pers nycklar</t>
        </is>
      </c>
      <c r="W51">
        <f>HYPERLINK("https://klasma.github.io/Logging_0980/artfynd/A 63149-2025 artfynd.xlsx", "A 63149-2025")</f>
        <v/>
      </c>
      <c r="X51">
        <f>HYPERLINK("https://klasma.github.io/Logging_0980/kartor/A 63149-2025 karta.png", "A 63149-2025")</f>
        <v/>
      </c>
      <c r="Y51">
        <f>HYPERLINK("https://klasma.github.io/Logging_0980/kartor_geotiff/A 63149-2025 georefererad karta.tif", "A 63149-2025")</f>
        <v/>
      </c>
      <c r="AA51">
        <f>HYPERLINK("https://klasma.github.io/Logging_0980/klagomål/A 63149-2025 FSC-klagomål.docx", "A 63149-2025")</f>
        <v/>
      </c>
      <c r="AB51">
        <f>HYPERLINK("https://klasma.github.io/Logging_0980/klagomålsmail/A 63149-2025 FSC-klagomål mail.docx", "A 63149-2025")</f>
        <v/>
      </c>
      <c r="AC51">
        <f>HYPERLINK("https://klasma.github.io/Logging_0980/tillsyn/A 63149-2025 tillsynsbegäran.docx", "A 63149-2025")</f>
        <v/>
      </c>
      <c r="AD51">
        <f>HYPERLINK("https://klasma.github.io/Logging_0980/tillsynsmail/A 63149-2025 tillsynsbegäran mail.docx", "A 63149-2025")</f>
        <v/>
      </c>
      <c r="AE51">
        <f>HYPERLINK("https://klasma.github.io/Logging_0980/fåglar/A 63149-2025 prioriterade fågelarter.docx", "A 63149-2025")</f>
        <v/>
      </c>
    </row>
    <row r="52" ht="15" customHeight="1">
      <c r="A52" t="inlineStr">
        <is>
          <t>A 6052-2024</t>
        </is>
      </c>
      <c r="B52" t="inlineStr">
        <is>
          <t>avverkningsanmälan</t>
        </is>
      </c>
      <c r="C52" t="inlineStr">
        <is>
          <t>Föryngringsavverkning</t>
        </is>
      </c>
      <c r="D52" s="1" t="n">
        <v>45336</v>
      </c>
      <c r="E52" s="1" t="n">
        <v>46309</v>
      </c>
      <c r="F52" t="inlineStr">
        <is>
          <t>GOTLANDS LÄN</t>
        </is>
      </c>
      <c r="G52" t="inlineStr">
        <is>
          <t>GOTLAND</t>
        </is>
      </c>
      <c r="I52" t="n">
        <v>10.3</v>
      </c>
      <c r="J52" t="n">
        <v>1</v>
      </c>
      <c r="K52" t="n">
        <v>3</v>
      </c>
      <c r="L52" t="n">
        <v>7</v>
      </c>
      <c r="M52" t="n">
        <v>2</v>
      </c>
      <c r="N52" t="n">
        <v>0</v>
      </c>
      <c r="O52" t="n">
        <v>0</v>
      </c>
      <c r="P52" t="n">
        <v>0</v>
      </c>
      <c r="Q52" t="n">
        <v>9</v>
      </c>
      <c r="R52" t="n">
        <v>2</v>
      </c>
      <c r="S52" t="n">
        <v>12</v>
      </c>
      <c r="T52" t="n">
        <v>14</v>
      </c>
      <c r="U52" t="n">
        <v>3</v>
      </c>
      <c r="V52" s="2" t="inlineStr">
        <is>
          <t>Lansettfibbla
Narrspindling
Ladlav
Odörspindling
Smedbock
Svinrot
Tallticka
Vippärt
Vårärt
Anisspindling
Nästrot
Olivspindling</t>
        </is>
      </c>
      <c r="W52">
        <f>HYPERLINK("https://klasma.github.io/Logging_0980/artfynd/A 6052-2024 artfynd.xlsx", "A 6052-2024")</f>
        <v/>
      </c>
      <c r="X52">
        <f>HYPERLINK("https://klasma.github.io/Logging_0980/kartor/A 6052-2024 karta.png", "A 6052-2024")</f>
        <v/>
      </c>
      <c r="Y52">
        <f>HYPERLINK("https://klasma.github.io/Logging_0980/kartor_geotiff/A 6052-2024 georefererad karta.tif", "A 6052-2024")</f>
        <v/>
      </c>
      <c r="AA52">
        <f>HYPERLINK("https://klasma.github.io/Logging_0980/klagomål/A 6052-2024 FSC-klagomål.docx", "A 6052-2024")</f>
        <v/>
      </c>
      <c r="AB52">
        <f>HYPERLINK("https://klasma.github.io/Logging_0980/klagomålsmail/A 6052-2024 FSC-klagomål mail.docx", "A 6052-2024")</f>
        <v/>
      </c>
      <c r="AC52">
        <f>HYPERLINK("https://klasma.github.io/Logging_0980/tillsyn/A 6052-2024 tillsynsbegäran.docx", "A 6052-2024")</f>
        <v/>
      </c>
      <c r="AD52">
        <f>HYPERLINK("https://klasma.github.io/Logging_0980/tillsynsmail/A 6052-2024 tillsynsbegäran mail.docx", "A 6052-2024")</f>
        <v/>
      </c>
    </row>
    <row r="53" ht="15" customHeight="1">
      <c r="A53" t="inlineStr">
        <is>
          <t>A 3324-2023</t>
        </is>
      </c>
      <c r="B53" t="inlineStr">
        <is>
          <t>avverkningsanmälan</t>
        </is>
      </c>
      <c r="C53" t="inlineStr">
        <is>
          <t>Avverkning för annat ändamål</t>
        </is>
      </c>
      <c r="D53" s="1" t="n">
        <v>44949</v>
      </c>
      <c r="E53" s="1" t="n">
        <v>46309</v>
      </c>
      <c r="F53" t="inlineStr">
        <is>
          <t>GOTLANDS LÄN</t>
        </is>
      </c>
      <c r="G53" t="inlineStr">
        <is>
          <t>GOTLAND</t>
        </is>
      </c>
      <c r="I53" t="n">
        <v>6.2</v>
      </c>
      <c r="J53" t="n">
        <v>0</v>
      </c>
      <c r="K53" t="n">
        <v>3</v>
      </c>
      <c r="L53" t="n">
        <v>3</v>
      </c>
      <c r="M53" t="n">
        <v>6</v>
      </c>
      <c r="N53" t="n">
        <v>0</v>
      </c>
      <c r="O53" t="n">
        <v>0</v>
      </c>
      <c r="P53" t="n">
        <v>0</v>
      </c>
      <c r="Q53" t="n">
        <v>9</v>
      </c>
      <c r="R53" t="n">
        <v>6</v>
      </c>
      <c r="S53" t="n">
        <v>12</v>
      </c>
      <c r="T53" t="n">
        <v>73</v>
      </c>
      <c r="U53" t="n">
        <v>0</v>
      </c>
      <c r="V53" s="2" t="inlineStr">
        <is>
          <t>Blåfotad fagerspindling
Duvspindling
Granrotspindling
Gulsträngad fagerspindling
Svartgrön spindling
Tvillingspindling
Blå slemspindling
Odörspindling
Äggspindling
Anisspindling
Olivspindling
Rödgul trumpetsvamp</t>
        </is>
      </c>
      <c r="W53">
        <f>HYPERLINK("https://klasma.github.io/Logging_0980/artfynd/A 3324-2023 artfynd.xlsx", "A 3324-2023")</f>
        <v/>
      </c>
      <c r="X53">
        <f>HYPERLINK("https://klasma.github.io/Logging_0980/kartor/A 3324-2023 karta.png", "A 3324-2023")</f>
        <v/>
      </c>
      <c r="Y53">
        <f>HYPERLINK("https://klasma.github.io/Logging_0980/kartor_geotiff/A 3324-2023 georefererad karta.tif", "A 3324-2023")</f>
        <v/>
      </c>
      <c r="AA53">
        <f>HYPERLINK("https://klasma.github.io/Logging_0980/klagomål/A 3324-2023 FSC-klagomål.docx", "A 3324-2023")</f>
        <v/>
      </c>
      <c r="AB53">
        <f>HYPERLINK("https://klasma.github.io/Logging_0980/klagomålsmail/A 3324-2023 FSC-klagomål mail.docx", "A 3324-2023")</f>
        <v/>
      </c>
      <c r="AC53">
        <f>HYPERLINK("https://klasma.github.io/Logging_0980/tillsyn/A 3324-2023 tillsynsbegäran.docx", "A 3324-2023")</f>
        <v/>
      </c>
      <c r="AD53">
        <f>HYPERLINK("https://klasma.github.io/Logging_0980/tillsynsmail/A 3324-2023 tillsynsbegäran mail.docx", "A 3324-2023")</f>
        <v/>
      </c>
    </row>
    <row r="54" ht="15" customHeight="1">
      <c r="A54" t="inlineStr">
        <is>
          <t>A 34809-2024</t>
        </is>
      </c>
      <c r="B54" t="inlineStr">
        <is>
          <t>avverkningsanmälan</t>
        </is>
      </c>
      <c r="C54" t="inlineStr">
        <is>
          <t>Föryngringsavverkning</t>
        </is>
      </c>
      <c r="D54" s="1" t="n">
        <v>45526</v>
      </c>
      <c r="E54" s="1" t="n">
        <v>46309</v>
      </c>
      <c r="F54" t="inlineStr">
        <is>
          <t>GOTLANDS LÄN</t>
        </is>
      </c>
      <c r="G54" t="inlineStr">
        <is>
          <t>GOTLAND</t>
        </is>
      </c>
      <c r="I54" t="n">
        <v>9.9</v>
      </c>
      <c r="J54" t="n">
        <v>1</v>
      </c>
      <c r="K54" t="n">
        <v>3</v>
      </c>
      <c r="L54" t="n">
        <v>4</v>
      </c>
      <c r="M54" t="n">
        <v>5</v>
      </c>
      <c r="N54" t="n">
        <v>0</v>
      </c>
      <c r="O54" t="n">
        <v>0</v>
      </c>
      <c r="P54" t="n">
        <v>0</v>
      </c>
      <c r="Q54" t="n">
        <v>9</v>
      </c>
      <c r="R54" t="n">
        <v>5</v>
      </c>
      <c r="S54" t="n">
        <v>12</v>
      </c>
      <c r="T54" t="n">
        <v>39</v>
      </c>
      <c r="U54" t="n">
        <v>38</v>
      </c>
      <c r="V54" s="2" t="inlineStr">
        <is>
          <t>Granrotspindling
Gulsträngad fagerspindling
Narrspindling
Trollspindling
Vit taggsvamp
Blå slemspindling
Brun ögontröst
Flattoppad klubbsvamp
Odörspindling
Anisspindling
Besk kastanjemusseron
Svavelriska</t>
        </is>
      </c>
      <c r="W54">
        <f>HYPERLINK("https://klasma.github.io/Logging_0980/artfynd/A 34809-2024 artfynd.xlsx", "A 34809-2024")</f>
        <v/>
      </c>
      <c r="X54">
        <f>HYPERLINK("https://klasma.github.io/Logging_0980/kartor/A 34809-2024 karta.png", "A 34809-2024")</f>
        <v/>
      </c>
      <c r="Y54">
        <f>HYPERLINK("https://klasma.github.io/Logging_0980/kartor_geotiff/A 34809-2024 georefererad karta.tif", "A 34809-2024")</f>
        <v/>
      </c>
      <c r="AA54">
        <f>HYPERLINK("https://klasma.github.io/Logging_0980/klagomål/A 34809-2024 FSC-klagomål.docx", "A 34809-2024")</f>
        <v/>
      </c>
      <c r="AB54">
        <f>HYPERLINK("https://klasma.github.io/Logging_0980/klagomålsmail/A 34809-2024 FSC-klagomål mail.docx", "A 34809-2024")</f>
        <v/>
      </c>
      <c r="AC54">
        <f>HYPERLINK("https://klasma.github.io/Logging_0980/tillsyn/A 34809-2024 tillsynsbegäran.docx", "A 34809-2024")</f>
        <v/>
      </c>
      <c r="AD54">
        <f>HYPERLINK("https://klasma.github.io/Logging_0980/tillsynsmail/A 34809-2024 tillsynsbegäran mail.docx", "A 34809-2024")</f>
        <v/>
      </c>
    </row>
    <row r="55" ht="15" customHeight="1">
      <c r="A55" t="inlineStr">
        <is>
          <t>A 28287-2024</t>
        </is>
      </c>
      <c r="B55" t="inlineStr">
        <is>
          <t>avverkningsanmälan</t>
        </is>
      </c>
      <c r="C55" t="inlineStr">
        <is>
          <t>Avverkning för annat ändamål</t>
        </is>
      </c>
      <c r="D55" s="1" t="n">
        <v>45477</v>
      </c>
      <c r="E55" s="1" t="n">
        <v>46309</v>
      </c>
      <c r="F55" t="inlineStr">
        <is>
          <t>GOTLANDS LÄN</t>
        </is>
      </c>
      <c r="G55" t="inlineStr">
        <is>
          <t>GOTLAND</t>
        </is>
      </c>
      <c r="I55" t="n">
        <v>23.4</v>
      </c>
      <c r="J55" t="n">
        <v>2</v>
      </c>
      <c r="K55" t="n">
        <v>0</v>
      </c>
      <c r="L55" t="n">
        <v>10</v>
      </c>
      <c r="M55" t="n">
        <v>0</v>
      </c>
      <c r="N55" t="n">
        <v>1</v>
      </c>
      <c r="O55" t="n">
        <v>0</v>
      </c>
      <c r="P55" t="n">
        <v>0</v>
      </c>
      <c r="Q55" t="n">
        <v>11</v>
      </c>
      <c r="R55" t="n">
        <v>1</v>
      </c>
      <c r="S55" t="n">
        <v>12</v>
      </c>
      <c r="T55" t="n">
        <v>112</v>
      </c>
      <c r="U55" t="n">
        <v>111</v>
      </c>
      <c r="V55" s="2" t="inlineStr">
        <is>
          <t>Ask
Axveronika
Backtimjan
Flentimotej
Gulsparv
Jordtistel
Piggtistel
Silversmygare
Smedbock
Solvända
Vårstarr
Blåsippa</t>
        </is>
      </c>
      <c r="W55">
        <f>HYPERLINK("https://klasma.github.io/Logging_0980/artfynd/A 28287-2024 artfynd.xlsx", "A 28287-2024")</f>
        <v/>
      </c>
      <c r="X55">
        <f>HYPERLINK("https://klasma.github.io/Logging_0980/kartor/A 28287-2024 karta.png", "A 28287-2024")</f>
        <v/>
      </c>
      <c r="Y55">
        <f>HYPERLINK("https://klasma.github.io/Logging_0980/kartor_geotiff/A 28287-2024 georefererad karta.tif", "A 28287-2024")</f>
        <v/>
      </c>
      <c r="AA55">
        <f>HYPERLINK("https://klasma.github.io/Logging_0980/klagomål/A 28287-2024 FSC-klagomål.docx", "A 28287-2024")</f>
        <v/>
      </c>
      <c r="AB55">
        <f>HYPERLINK("https://klasma.github.io/Logging_0980/klagomålsmail/A 28287-2024 FSC-klagomål mail.docx", "A 28287-2024")</f>
        <v/>
      </c>
      <c r="AC55">
        <f>HYPERLINK("https://klasma.github.io/Logging_0980/tillsyn/A 28287-2024 tillsynsbegäran.docx", "A 28287-2024")</f>
        <v/>
      </c>
      <c r="AD55">
        <f>HYPERLINK("https://klasma.github.io/Logging_0980/tillsynsmail/A 28287-2024 tillsynsbegäran mail.docx", "A 28287-2024")</f>
        <v/>
      </c>
      <c r="AE55">
        <f>HYPERLINK("https://klasma.github.io/Logging_0980/fåglar/A 28287-2024 prioriterade fågelarter.docx", "A 28287-2024")</f>
        <v/>
      </c>
    </row>
    <row r="56" ht="15" customHeight="1">
      <c r="A56" t="inlineStr">
        <is>
          <t>A 17766-2024</t>
        </is>
      </c>
      <c r="B56" t="inlineStr">
        <is>
          <t>avverkningsanmälan</t>
        </is>
      </c>
      <c r="C56" t="inlineStr">
        <is>
          <t>Föryngringsavverkning</t>
        </is>
      </c>
      <c r="D56" s="1" t="n">
        <v>45418</v>
      </c>
      <c r="E56" s="1" t="n">
        <v>46309</v>
      </c>
      <c r="F56" t="inlineStr">
        <is>
          <t>GOTLANDS LÄN</t>
        </is>
      </c>
      <c r="G56" t="inlineStr">
        <is>
          <t>GOTLAND</t>
        </is>
      </c>
      <c r="I56" t="n">
        <v>1.3</v>
      </c>
      <c r="J56" t="n">
        <v>2</v>
      </c>
      <c r="K56" t="n">
        <v>3</v>
      </c>
      <c r="L56" t="n">
        <v>3</v>
      </c>
      <c r="M56" t="n">
        <v>5</v>
      </c>
      <c r="N56" t="n">
        <v>1</v>
      </c>
      <c r="O56" t="n">
        <v>0</v>
      </c>
      <c r="P56" t="n">
        <v>0</v>
      </c>
      <c r="Q56" t="n">
        <v>9</v>
      </c>
      <c r="R56" t="n">
        <v>6</v>
      </c>
      <c r="S56" t="n">
        <v>12</v>
      </c>
      <c r="T56" t="n">
        <v>45</v>
      </c>
      <c r="U56" t="n">
        <v>22</v>
      </c>
      <c r="V56" s="2" t="inlineStr">
        <is>
          <t>Svartnande fingersvamp
Bredbrämad bastardsvärmare
Gråfingerört
Gulsträngad fagerspindling
Naveljordstjärna
Svartfläckig blåvinge
Fyrflikig jordstjärna
Timjansnyltrot
Vippärt
Besk kastanjemusseron
Kragjordstjärna
Rödgul trumpetsvamp</t>
        </is>
      </c>
      <c r="W56">
        <f>HYPERLINK("https://klasma.github.io/Logging_0980/artfynd/A 17766-2024 artfynd.xlsx", "A 17766-2024")</f>
        <v/>
      </c>
      <c r="X56">
        <f>HYPERLINK("https://klasma.github.io/Logging_0980/kartor/A 17766-2024 karta.png", "A 17766-2024")</f>
        <v/>
      </c>
      <c r="Y56">
        <f>HYPERLINK("https://klasma.github.io/Logging_0980/kartor_geotiff/A 17766-2024 georefererad karta.tif", "A 17766-2024")</f>
        <v/>
      </c>
      <c r="AA56">
        <f>HYPERLINK("https://klasma.github.io/Logging_0980/klagomål/A 17766-2024 FSC-klagomål.docx", "A 17766-2024")</f>
        <v/>
      </c>
      <c r="AB56">
        <f>HYPERLINK("https://klasma.github.io/Logging_0980/klagomålsmail/A 17766-2024 FSC-klagomål mail.docx", "A 17766-2024")</f>
        <v/>
      </c>
      <c r="AC56">
        <f>HYPERLINK("https://klasma.github.io/Logging_0980/tillsyn/A 17766-2024 tillsynsbegäran.docx", "A 17766-2024")</f>
        <v/>
      </c>
      <c r="AD56">
        <f>HYPERLINK("https://klasma.github.io/Logging_0980/tillsynsmail/A 17766-2024 tillsynsbegäran mail.docx", "A 17766-2024")</f>
        <v/>
      </c>
    </row>
    <row r="57" ht="15" customHeight="1">
      <c r="A57" t="inlineStr">
        <is>
          <t>A 42201-2023</t>
        </is>
      </c>
      <c r="B57" t="inlineStr">
        <is>
          <t>avverkningsanmälan</t>
        </is>
      </c>
      <c r="C57" t="inlineStr">
        <is>
          <t>Föryngringsavverkning</t>
        </is>
      </c>
      <c r="D57" s="1" t="n">
        <v>45179</v>
      </c>
      <c r="E57" s="1" t="n">
        <v>46309</v>
      </c>
      <c r="F57" t="inlineStr">
        <is>
          <t>GOTLANDS LÄN</t>
        </is>
      </c>
      <c r="G57" t="inlineStr">
        <is>
          <t>GOTLAND</t>
        </is>
      </c>
      <c r="I57" t="n">
        <v>11.9</v>
      </c>
      <c r="J57" t="n">
        <v>1</v>
      </c>
      <c r="K57" t="n">
        <v>4</v>
      </c>
      <c r="L57" t="n">
        <v>4</v>
      </c>
      <c r="M57" t="n">
        <v>4</v>
      </c>
      <c r="N57" t="n">
        <v>0</v>
      </c>
      <c r="O57" t="n">
        <v>0</v>
      </c>
      <c r="P57" t="n">
        <v>0</v>
      </c>
      <c r="Q57" t="n">
        <v>8</v>
      </c>
      <c r="R57" t="n">
        <v>4</v>
      </c>
      <c r="S57" t="n">
        <v>12</v>
      </c>
      <c r="T57" t="n">
        <v>56</v>
      </c>
      <c r="U57" t="n">
        <v>56</v>
      </c>
      <c r="V57" s="2" t="inlineStr">
        <is>
          <t>Gulsträngad fagerspindling
Mörkfjällig olivspindling
Narrspindling
Violettfläckig spindling
Motaggsvamp
Odörspindling
Puderspindling
Äggspindling
Anisspindling
Olivspindling
Skogsknipprot
Svavelriska</t>
        </is>
      </c>
      <c r="W57">
        <f>HYPERLINK("https://klasma.github.io/Logging_0980/artfynd/A 42201-2023 artfynd.xlsx", "A 42201-2023")</f>
        <v/>
      </c>
      <c r="X57">
        <f>HYPERLINK("https://klasma.github.io/Logging_0980/kartor/A 42201-2023 karta.png", "A 42201-2023")</f>
        <v/>
      </c>
      <c r="Y57">
        <f>HYPERLINK("https://klasma.github.io/Logging_0980/kartor_geotiff/A 42201-2023 georefererad karta.tif", "A 42201-2023")</f>
        <v/>
      </c>
      <c r="AA57">
        <f>HYPERLINK("https://klasma.github.io/Logging_0980/klagomål/A 42201-2023 FSC-klagomål.docx", "A 42201-2023")</f>
        <v/>
      </c>
      <c r="AB57">
        <f>HYPERLINK("https://klasma.github.io/Logging_0980/klagomålsmail/A 42201-2023 FSC-klagomål mail.docx", "A 42201-2023")</f>
        <v/>
      </c>
      <c r="AC57">
        <f>HYPERLINK("https://klasma.github.io/Logging_0980/tillsyn/A 42201-2023 tillsynsbegäran.docx", "A 42201-2023")</f>
        <v/>
      </c>
      <c r="AD57">
        <f>HYPERLINK("https://klasma.github.io/Logging_0980/tillsynsmail/A 42201-2023 tillsynsbegäran mail.docx", "A 42201-2023")</f>
        <v/>
      </c>
    </row>
    <row r="58" ht="15" customHeight="1">
      <c r="A58" t="inlineStr">
        <is>
          <t>A 2649-2023</t>
        </is>
      </c>
      <c r="B58" t="inlineStr">
        <is>
          <t>avverkningsanmälan</t>
        </is>
      </c>
      <c r="C58" t="inlineStr">
        <is>
          <t>Föryngringsavverkning</t>
        </is>
      </c>
      <c r="D58" s="1" t="n">
        <v>44943</v>
      </c>
      <c r="E58" s="1" t="n">
        <v>46309</v>
      </c>
      <c r="F58" t="inlineStr">
        <is>
          <t>GOTLANDS LÄN</t>
        </is>
      </c>
      <c r="G58" t="inlineStr">
        <is>
          <t>GOTLAND</t>
        </is>
      </c>
      <c r="I58" t="n">
        <v>2.6</v>
      </c>
      <c r="J58" t="n">
        <v>1</v>
      </c>
      <c r="K58" t="n">
        <v>2</v>
      </c>
      <c r="L58" t="n">
        <v>2</v>
      </c>
      <c r="M58" t="n">
        <v>7</v>
      </c>
      <c r="N58" t="n">
        <v>0</v>
      </c>
      <c r="O58" t="n">
        <v>0</v>
      </c>
      <c r="P58" t="n">
        <v>0</v>
      </c>
      <c r="Q58" t="n">
        <v>9</v>
      </c>
      <c r="R58" t="n">
        <v>7</v>
      </c>
      <c r="S58" t="n">
        <v>11</v>
      </c>
      <c r="T58" t="n">
        <v>32</v>
      </c>
      <c r="U58" t="n">
        <v>14</v>
      </c>
      <c r="V58" s="2" t="inlineStr">
        <is>
          <t>Duvspindling
Garderönn
Granrotspindling
Gul lammticka
Gulsträngad fagerspindling
Svartgrön spindling
Violettfläckig spindling
Blå slemspindling
Svinrot
Anisspindling
Olivspindling</t>
        </is>
      </c>
      <c r="W58">
        <f>HYPERLINK("https://klasma.github.io/Logging_0980/artfynd/A 2649-2023 artfynd.xlsx", "A 2649-2023")</f>
        <v/>
      </c>
      <c r="X58">
        <f>HYPERLINK("https://klasma.github.io/Logging_0980/kartor/A 2649-2023 karta.png", "A 2649-2023")</f>
        <v/>
      </c>
      <c r="Y58">
        <f>HYPERLINK("https://klasma.github.io/Logging_0980/kartor_geotiff/A 2649-2023 georefererad karta.tif", "A 2649-2023")</f>
        <v/>
      </c>
      <c r="AA58">
        <f>HYPERLINK("https://klasma.github.io/Logging_0980/klagomål/A 2649-2023 FSC-klagomål.docx", "A 2649-2023")</f>
        <v/>
      </c>
      <c r="AB58">
        <f>HYPERLINK("https://klasma.github.io/Logging_0980/klagomålsmail/A 2649-2023 FSC-klagomål mail.docx", "A 2649-2023")</f>
        <v/>
      </c>
      <c r="AC58">
        <f>HYPERLINK("https://klasma.github.io/Logging_0980/tillsyn/A 2649-2023 tillsynsbegäran.docx", "A 2649-2023")</f>
        <v/>
      </c>
      <c r="AD58">
        <f>HYPERLINK("https://klasma.github.io/Logging_0980/tillsynsmail/A 2649-2023 tillsynsbegäran mail.docx", "A 2649-2023")</f>
        <v/>
      </c>
    </row>
    <row r="59" ht="15" customHeight="1">
      <c r="A59" t="inlineStr">
        <is>
          <t>A 27280-2023</t>
        </is>
      </c>
      <c r="B59" t="inlineStr">
        <is>
          <t>avverkningsanmälan</t>
        </is>
      </c>
      <c r="C59" t="inlineStr">
        <is>
          <t>Föryngringsavverkning</t>
        </is>
      </c>
      <c r="D59" s="1" t="n">
        <v>45096</v>
      </c>
      <c r="E59" s="1" t="n">
        <v>46309</v>
      </c>
      <c r="F59" t="inlineStr">
        <is>
          <t>GOTLANDS LÄN</t>
        </is>
      </c>
      <c r="G59" t="inlineStr">
        <is>
          <t>GOTLAND</t>
        </is>
      </c>
      <c r="I59" t="n">
        <v>2.7</v>
      </c>
      <c r="J59" t="n">
        <v>11</v>
      </c>
      <c r="K59" t="n">
        <v>2</v>
      </c>
      <c r="L59" t="n">
        <v>2</v>
      </c>
      <c r="M59" t="n">
        <v>1</v>
      </c>
      <c r="N59" t="n">
        <v>1</v>
      </c>
      <c r="O59" t="n">
        <v>0</v>
      </c>
      <c r="P59" t="n">
        <v>0</v>
      </c>
      <c r="Q59" t="n">
        <v>4</v>
      </c>
      <c r="R59" t="n">
        <v>2</v>
      </c>
      <c r="S59" t="n">
        <v>11</v>
      </c>
      <c r="T59" t="n">
        <v>14</v>
      </c>
      <c r="U59" t="n">
        <v>14</v>
      </c>
      <c r="V59" s="2" t="inlineStr">
        <is>
          <t>Sommargylling
Stare
Björktrast
Mindre hackspett
Skogsknipprot
Tvåblad
Spillkråka
Brudsporre
Fläcknycklar
Grönvit nattviol
Nattviol</t>
        </is>
      </c>
      <c r="W59">
        <f>HYPERLINK("https://klasma.github.io/Logging_0980/artfynd/A 27280-2023 artfynd.xlsx", "A 27280-2023")</f>
        <v/>
      </c>
      <c r="X59">
        <f>HYPERLINK("https://klasma.github.io/Logging_0980/kartor/A 27280-2023 karta.png", "A 27280-2023")</f>
        <v/>
      </c>
      <c r="Y59">
        <f>HYPERLINK("https://klasma.github.io/Logging_0980/kartor_geotiff/A 27280-2023 georefererad karta.tif", "A 27280-2023")</f>
        <v/>
      </c>
      <c r="AA59">
        <f>HYPERLINK("https://klasma.github.io/Logging_0980/klagomål/A 27280-2023 FSC-klagomål.docx", "A 27280-2023")</f>
        <v/>
      </c>
      <c r="AB59">
        <f>HYPERLINK("https://klasma.github.io/Logging_0980/klagomålsmail/A 27280-2023 FSC-klagomål mail.docx", "A 27280-2023")</f>
        <v/>
      </c>
      <c r="AC59">
        <f>HYPERLINK("https://klasma.github.io/Logging_0980/tillsyn/A 27280-2023 tillsynsbegäran.docx", "A 27280-2023")</f>
        <v/>
      </c>
      <c r="AD59">
        <f>HYPERLINK("https://klasma.github.io/Logging_0980/tillsynsmail/A 27280-2023 tillsynsbegäran mail.docx", "A 27280-2023")</f>
        <v/>
      </c>
      <c r="AE59">
        <f>HYPERLINK("https://klasma.github.io/Logging_0980/fåglar/A 27280-2023 prioriterade fågelarter.docx", "A 27280-2023")</f>
        <v/>
      </c>
    </row>
    <row r="60" ht="15" customHeight="1">
      <c r="A60" t="inlineStr">
        <is>
          <t>A 584-2023</t>
        </is>
      </c>
      <c r="B60" t="inlineStr">
        <is>
          <t>avverkningsanmälan</t>
        </is>
      </c>
      <c r="C60" t="inlineStr">
        <is>
          <t>Föryngringsavverkning</t>
        </is>
      </c>
      <c r="D60" s="1" t="n">
        <v>44930</v>
      </c>
      <c r="E60" s="1" t="n">
        <v>46309</v>
      </c>
      <c r="F60" t="inlineStr">
        <is>
          <t>GOTLANDS LÄN</t>
        </is>
      </c>
      <c r="G60" t="inlineStr">
        <is>
          <t>GOTLAND</t>
        </is>
      </c>
      <c r="I60" t="n">
        <v>27.2</v>
      </c>
      <c r="J60" t="n">
        <v>3</v>
      </c>
      <c r="K60" t="n">
        <v>2</v>
      </c>
      <c r="L60" t="n">
        <v>6</v>
      </c>
      <c r="M60" t="n">
        <v>2</v>
      </c>
      <c r="N60" t="n">
        <v>0</v>
      </c>
      <c r="O60" t="n">
        <v>0</v>
      </c>
      <c r="P60" t="n">
        <v>0</v>
      </c>
      <c r="Q60" t="n">
        <v>8</v>
      </c>
      <c r="R60" t="n">
        <v>2</v>
      </c>
      <c r="S60" t="n">
        <v>11</v>
      </c>
      <c r="T60" t="n">
        <v>22</v>
      </c>
      <c r="U60" t="n">
        <v>17</v>
      </c>
      <c r="V60" s="2" t="inlineStr">
        <is>
          <t>Garderönn
Granrotspindling
Backtimjan
Denisespindling
Dårgräsfjäril
Jungfrulin
Solvända
Vippärt
Rödgul trumpetsvamp
Vågbandad barkbock
Sankt pers nycklar</t>
        </is>
      </c>
      <c r="W60">
        <f>HYPERLINK("https://klasma.github.io/Logging_0980/artfynd/A 584-2023 artfynd.xlsx", "A 584-2023")</f>
        <v/>
      </c>
      <c r="X60">
        <f>HYPERLINK("https://klasma.github.io/Logging_0980/kartor/A 584-2023 karta.png", "A 584-2023")</f>
        <v/>
      </c>
      <c r="Y60">
        <f>HYPERLINK("https://klasma.github.io/Logging_0980/kartor_geotiff/A 584-2023 georefererad karta.tif", "A 584-2023")</f>
        <v/>
      </c>
      <c r="AA60">
        <f>HYPERLINK("https://klasma.github.io/Logging_0980/klagomål/A 584-2023 FSC-klagomål.docx", "A 584-2023")</f>
        <v/>
      </c>
      <c r="AB60">
        <f>HYPERLINK("https://klasma.github.io/Logging_0980/klagomålsmail/A 584-2023 FSC-klagomål mail.docx", "A 584-2023")</f>
        <v/>
      </c>
      <c r="AC60">
        <f>HYPERLINK("https://klasma.github.io/Logging_0980/tillsyn/A 584-2023 tillsynsbegäran.docx", "A 584-2023")</f>
        <v/>
      </c>
      <c r="AD60">
        <f>HYPERLINK("https://klasma.github.io/Logging_0980/tillsynsmail/A 584-2023 tillsynsbegäran mail.docx", "A 584-2023")</f>
        <v/>
      </c>
    </row>
    <row r="61" ht="15" customHeight="1">
      <c r="A61" t="inlineStr">
        <is>
          <t>S 160-2026</t>
        </is>
      </c>
      <c r="B61" t="inlineStr">
        <is>
          <t>samrådsanmälan</t>
        </is>
      </c>
      <c r="C61" t="inlineStr">
        <is>
          <t>Annan skogsbruksåtgärd</t>
        </is>
      </c>
      <c r="D61" s="1" t="n">
        <v>46044</v>
      </c>
      <c r="E61" s="1" t="n">
        <v>46309</v>
      </c>
      <c r="F61" t="inlineStr">
        <is>
          <t>GOTLANDS LÄN</t>
        </is>
      </c>
      <c r="G61" t="inlineStr">
        <is>
          <t>GOTLAND</t>
        </is>
      </c>
      <c r="I61" t="n">
        <v>16.2</v>
      </c>
      <c r="J61" t="n">
        <v>1</v>
      </c>
      <c r="K61" t="n">
        <v>3</v>
      </c>
      <c r="L61" t="n">
        <v>5</v>
      </c>
      <c r="M61" t="n">
        <v>2</v>
      </c>
      <c r="N61" t="n">
        <v>0</v>
      </c>
      <c r="O61" t="n">
        <v>0</v>
      </c>
      <c r="P61" t="n">
        <v>0</v>
      </c>
      <c r="Q61" t="n">
        <v>7</v>
      </c>
      <c r="R61" t="n">
        <v>2</v>
      </c>
      <c r="S61" t="n">
        <v>11</v>
      </c>
      <c r="T61" t="n">
        <v>26</v>
      </c>
      <c r="U61" t="n">
        <v>7</v>
      </c>
      <c r="V61" s="2" t="inlineStr">
        <is>
          <t>Djävulssopp
Igelkott
Bleknande kamskivling
Oxtungssvamp
Rotsopp
Skugglosta
Svinrot
Hasselsopp
Strävlosta
Underviol
Kråka</t>
        </is>
      </c>
      <c r="W61">
        <f>HYPERLINK("https://klasma.github.io/Logging_0980/artfynd/S 160-2026 artfynd.xlsx", "S 160-2026")</f>
        <v/>
      </c>
      <c r="X61">
        <f>HYPERLINK("https://klasma.github.io/Logging_0980/kartor/S 160-2026 karta.png", "S 160-2026")</f>
        <v/>
      </c>
      <c r="Y61">
        <f>HYPERLINK("https://klasma.github.io/Logging_0980/kartor_geotiff/S 160-2026 georefererad karta.tif", "S 160-2026")</f>
        <v/>
      </c>
      <c r="AA61">
        <f>HYPERLINK("https://klasma.github.io/Logging_0980/klagomål/S 160-2026 FSC-klagomål.docx", "S 160-2026")</f>
        <v/>
      </c>
      <c r="AB61">
        <f>HYPERLINK("https://klasma.github.io/Logging_0980/klagomålsmail/S 160-2026 FSC-klagomål mail.docx", "S 160-2026")</f>
        <v/>
      </c>
      <c r="AC61">
        <f>HYPERLINK("https://klasma.github.io/Logging_0980/tillsyn/S 160-2026 tillsynsbegäran.docx", "S 160-2026")</f>
        <v/>
      </c>
      <c r="AD61">
        <f>HYPERLINK("https://klasma.github.io/Logging_0980/tillsynsmail/S 160-2026 tillsynsbegäran mail.docx", "S 160-2026")</f>
        <v/>
      </c>
    </row>
    <row r="62" ht="15" customHeight="1">
      <c r="A62" t="inlineStr">
        <is>
          <t>A 66091-2021</t>
        </is>
      </c>
      <c r="B62" t="inlineStr">
        <is>
          <t>avverkningsanmälan</t>
        </is>
      </c>
      <c r="C62" t="inlineStr">
        <is>
          <t>Avverkning för annat ändamål</t>
        </is>
      </c>
      <c r="D62" s="1" t="n">
        <v>44517</v>
      </c>
      <c r="E62" s="1" t="n">
        <v>46309</v>
      </c>
      <c r="F62" t="inlineStr">
        <is>
          <t>GOTLANDS LÄN</t>
        </is>
      </c>
      <c r="G62" t="inlineStr">
        <is>
          <t>GOTLAND</t>
        </is>
      </c>
      <c r="I62" t="n">
        <v>11.7</v>
      </c>
      <c r="J62" t="n">
        <v>5</v>
      </c>
      <c r="K62" t="n">
        <v>1</v>
      </c>
      <c r="L62" t="n">
        <v>5</v>
      </c>
      <c r="M62" t="n">
        <v>0</v>
      </c>
      <c r="N62" t="n">
        <v>1</v>
      </c>
      <c r="O62" t="n">
        <v>0</v>
      </c>
      <c r="P62" t="n">
        <v>0</v>
      </c>
      <c r="Q62" t="n">
        <v>6</v>
      </c>
      <c r="R62" t="n">
        <v>1</v>
      </c>
      <c r="S62" t="n">
        <v>10</v>
      </c>
      <c r="T62" t="n">
        <v>10</v>
      </c>
      <c r="U62" t="n">
        <v>5</v>
      </c>
      <c r="V62" s="2" t="inlineStr">
        <is>
          <t>Pärluggla
Axveronika
Göktyta
Kattfotslav
Solvända
Säfferot
Havstulpanlav
Nattskärra
Trädlärka
Salepsrot</t>
        </is>
      </c>
      <c r="W62">
        <f>HYPERLINK("https://klasma.github.io/Logging_0980/artfynd/A 66091-2021 artfynd.xlsx", "A 66091-2021")</f>
        <v/>
      </c>
      <c r="X62">
        <f>HYPERLINK("https://klasma.github.io/Logging_0980/kartor/A 66091-2021 karta.png", "A 66091-2021")</f>
        <v/>
      </c>
      <c r="Y62">
        <f>HYPERLINK("https://klasma.github.io/Logging_0980/kartor_geotiff/A 66091-2021 georefererad karta.tif", "A 66091-2021")</f>
        <v/>
      </c>
      <c r="AA62">
        <f>HYPERLINK("https://klasma.github.io/Logging_0980/klagomål/A 66091-2021 FSC-klagomål.docx", "A 66091-2021")</f>
        <v/>
      </c>
      <c r="AB62">
        <f>HYPERLINK("https://klasma.github.io/Logging_0980/klagomålsmail/A 66091-2021 FSC-klagomål mail.docx", "A 66091-2021")</f>
        <v/>
      </c>
      <c r="AC62">
        <f>HYPERLINK("https://klasma.github.io/Logging_0980/tillsyn/A 66091-2021 tillsynsbegäran.docx", "A 66091-2021")</f>
        <v/>
      </c>
      <c r="AD62">
        <f>HYPERLINK("https://klasma.github.io/Logging_0980/tillsynsmail/A 66091-2021 tillsynsbegäran mail.docx", "A 66091-2021")</f>
        <v/>
      </c>
      <c r="AE62">
        <f>HYPERLINK("https://klasma.github.io/Logging_0980/fåglar/A 66091-2021 prioriterade fågelarter.docx", "A 66091-2021")</f>
        <v/>
      </c>
    </row>
    <row r="63" ht="15" customHeight="1">
      <c r="A63" t="inlineStr">
        <is>
          <t>A 4984-2025</t>
        </is>
      </c>
      <c r="B63" t="inlineStr">
        <is>
          <t>avverkningsanmälan</t>
        </is>
      </c>
      <c r="C63" t="inlineStr">
        <is>
          <t>Föryngringsavverkning</t>
        </is>
      </c>
      <c r="D63" s="1" t="n">
        <v>45691</v>
      </c>
      <c r="E63" s="1" t="n">
        <v>46309</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46309</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45248-2024</t>
        </is>
      </c>
      <c r="B65" t="inlineStr">
        <is>
          <t>avverkningsanmälan</t>
        </is>
      </c>
      <c r="C65" t="inlineStr">
        <is>
          <t>Avverkning för annat ändamål</t>
        </is>
      </c>
      <c r="D65" s="1" t="n">
        <v>45576</v>
      </c>
      <c r="E65" s="1" t="n">
        <v>46309</v>
      </c>
      <c r="F65" t="inlineStr">
        <is>
          <t>GOTLANDS LÄN</t>
        </is>
      </c>
      <c r="G65" t="inlineStr">
        <is>
          <t>GOTLAND</t>
        </is>
      </c>
      <c r="I65" t="n">
        <v>9.4</v>
      </c>
      <c r="J65" t="n">
        <v>0</v>
      </c>
      <c r="K65" t="n">
        <v>5</v>
      </c>
      <c r="L65" t="n">
        <v>3</v>
      </c>
      <c r="M65" t="n">
        <v>0</v>
      </c>
      <c r="N65" t="n">
        <v>2</v>
      </c>
      <c r="O65" t="n">
        <v>0</v>
      </c>
      <c r="P65" t="n">
        <v>0</v>
      </c>
      <c r="Q65" t="n">
        <v>5</v>
      </c>
      <c r="R65" t="n">
        <v>2</v>
      </c>
      <c r="S65" t="n">
        <v>10</v>
      </c>
      <c r="T65" t="n">
        <v>11</v>
      </c>
      <c r="U65" t="n">
        <v>9</v>
      </c>
      <c r="V65" s="2" t="inlineStr">
        <is>
          <t>Ask
Lundalm
Blå slemspindling
Mjölspindling
Oxtungssvamp
Bolmörtsskivling
Myskmadra
Stinkbrosking
Toppvaxing
Underviol</t>
        </is>
      </c>
      <c r="W65">
        <f>HYPERLINK("https://klasma.github.io/Logging_0980/artfynd/A 45248-2024 artfynd.xlsx", "A 45248-2024")</f>
        <v/>
      </c>
      <c r="X65">
        <f>HYPERLINK("https://klasma.github.io/Logging_0980/kartor/A 45248-2024 karta.png", "A 45248-2024")</f>
        <v/>
      </c>
      <c r="Y65">
        <f>HYPERLINK("https://klasma.github.io/Logging_0980/kartor_geotiff/A 45248-2024 georefererad karta.tif", "A 45248-2024")</f>
        <v/>
      </c>
      <c r="AA65">
        <f>HYPERLINK("https://klasma.github.io/Logging_0980/klagomål/A 45248-2024 FSC-klagomål.docx", "A 45248-2024")</f>
        <v/>
      </c>
      <c r="AB65">
        <f>HYPERLINK("https://klasma.github.io/Logging_0980/klagomålsmail/A 45248-2024 FSC-klagomål mail.docx", "A 45248-2024")</f>
        <v/>
      </c>
      <c r="AC65">
        <f>HYPERLINK("https://klasma.github.io/Logging_0980/tillsyn/A 45248-2024 tillsynsbegäran.docx", "A 45248-2024")</f>
        <v/>
      </c>
      <c r="AD65">
        <f>HYPERLINK("https://klasma.github.io/Logging_0980/tillsynsmail/A 45248-2024 tillsynsbegäran mail.docx", "A 45248-2024")</f>
        <v/>
      </c>
    </row>
    <row r="66" ht="15" customHeight="1">
      <c r="A66" t="inlineStr">
        <is>
          <t>A 44944-2022</t>
        </is>
      </c>
      <c r="B66" t="inlineStr">
        <is>
          <t>avverkningsanmälan</t>
        </is>
      </c>
      <c r="C66" t="inlineStr">
        <is>
          <t>Föryngringsavverkning</t>
        </is>
      </c>
      <c r="D66" s="1" t="n">
        <v>44841</v>
      </c>
      <c r="E66" s="1" t="n">
        <v>46309</v>
      </c>
      <c r="F66" t="inlineStr">
        <is>
          <t>GOTLANDS LÄN</t>
        </is>
      </c>
      <c r="G66" t="inlineStr">
        <is>
          <t>GOTLAND</t>
        </is>
      </c>
      <c r="I66" t="n">
        <v>2.8</v>
      </c>
      <c r="J66" t="n">
        <v>0</v>
      </c>
      <c r="K66" t="n">
        <v>3</v>
      </c>
      <c r="L66" t="n">
        <v>4</v>
      </c>
      <c r="M66" t="n">
        <v>2</v>
      </c>
      <c r="N66" t="n">
        <v>1</v>
      </c>
      <c r="O66" t="n">
        <v>0</v>
      </c>
      <c r="P66" t="n">
        <v>0</v>
      </c>
      <c r="Q66" t="n">
        <v>7</v>
      </c>
      <c r="R66" t="n">
        <v>3</v>
      </c>
      <c r="S66" t="n">
        <v>10</v>
      </c>
      <c r="T66" t="n">
        <v>13</v>
      </c>
      <c r="U66" t="n">
        <v>9</v>
      </c>
      <c r="V66" s="2" t="inlineStr">
        <is>
          <t>Sienamusseron
Bredbrämad bastardsvärmare
Gotlandsmåra
Axveronika
Denisespindling
Fjällig taggsvamp s.str.
Odörspindling
Anisspindling
Olivspindling
Rödgul trumpetsvamp</t>
        </is>
      </c>
      <c r="W66">
        <f>HYPERLINK("https://klasma.github.io/Logging_0980/artfynd/A 44944-2022 artfynd.xlsx", "A 44944-2022")</f>
        <v/>
      </c>
      <c r="X66">
        <f>HYPERLINK("https://klasma.github.io/Logging_0980/kartor/A 44944-2022 karta.png", "A 44944-2022")</f>
        <v/>
      </c>
      <c r="Y66">
        <f>HYPERLINK("https://klasma.github.io/Logging_0980/kartor_geotiff/A 44944-2022 georefererad karta.tif", "A 44944-2022")</f>
        <v/>
      </c>
      <c r="AA66">
        <f>HYPERLINK("https://klasma.github.io/Logging_0980/klagomål/A 44944-2022 FSC-klagomål.docx", "A 44944-2022")</f>
        <v/>
      </c>
      <c r="AB66">
        <f>HYPERLINK("https://klasma.github.io/Logging_0980/klagomålsmail/A 44944-2022 FSC-klagomål mail.docx", "A 44944-2022")</f>
        <v/>
      </c>
      <c r="AC66">
        <f>HYPERLINK("https://klasma.github.io/Logging_0980/tillsyn/A 44944-2022 tillsynsbegäran.docx", "A 44944-2022")</f>
        <v/>
      </c>
      <c r="AD66">
        <f>HYPERLINK("https://klasma.github.io/Logging_0980/tillsynsmail/A 44944-2022 tillsynsbegäran mail.docx", "A 44944-2022")</f>
        <v/>
      </c>
    </row>
    <row r="67" ht="15" customHeight="1">
      <c r="A67" t="inlineStr">
        <is>
          <t>A 55649-2024</t>
        </is>
      </c>
      <c r="B67" t="inlineStr">
        <is>
          <t>avverkningsanmälan</t>
        </is>
      </c>
      <c r="C67" t="inlineStr">
        <is>
          <t>Föryngringsavverkning</t>
        </is>
      </c>
      <c r="D67" s="1" t="n">
        <v>45622</v>
      </c>
      <c r="E67" s="1" t="n">
        <v>46309</v>
      </c>
      <c r="F67" t="inlineStr">
        <is>
          <t>GOTLANDS LÄN</t>
        </is>
      </c>
      <c r="G67" t="inlineStr">
        <is>
          <t>GOTLAND</t>
        </is>
      </c>
      <c r="I67" t="n">
        <v>4.6</v>
      </c>
      <c r="J67" t="n">
        <v>3</v>
      </c>
      <c r="K67" t="n">
        <v>1</v>
      </c>
      <c r="L67" t="n">
        <v>6</v>
      </c>
      <c r="M67" t="n">
        <v>0</v>
      </c>
      <c r="N67" t="n">
        <v>0</v>
      </c>
      <c r="O67" t="n">
        <v>0</v>
      </c>
      <c r="P67" t="n">
        <v>0</v>
      </c>
      <c r="Q67" t="n">
        <v>6</v>
      </c>
      <c r="R67" t="n">
        <v>0</v>
      </c>
      <c r="S67" t="n">
        <v>10</v>
      </c>
      <c r="T67" t="n">
        <v>20</v>
      </c>
      <c r="U67" t="n">
        <v>0</v>
      </c>
      <c r="V67" s="2" t="inlineStr">
        <is>
          <t>Backtimjan
Jordtistel
Jungfrulin
Solvända
Svinrot
Ängsnätfjäril
Guldlockmossa
Blåsippa
Sankt pers nycklar
Gullviva</t>
        </is>
      </c>
      <c r="W67">
        <f>HYPERLINK("https://klasma.github.io/Logging_0980/artfynd/A 55649-2024 artfynd.xlsx", "A 55649-2024")</f>
        <v/>
      </c>
      <c r="X67">
        <f>HYPERLINK("https://klasma.github.io/Logging_0980/kartor/A 55649-2024 karta.png", "A 55649-2024")</f>
        <v/>
      </c>
      <c r="Y67">
        <f>HYPERLINK("https://klasma.github.io/Logging_0980/kartor_geotiff/A 55649-2024 georefererad karta.tif", "A 55649-2024")</f>
        <v/>
      </c>
      <c r="AA67">
        <f>HYPERLINK("https://klasma.github.io/Logging_0980/klagomål/A 55649-2024 FSC-klagomål.docx", "A 55649-2024")</f>
        <v/>
      </c>
      <c r="AB67">
        <f>HYPERLINK("https://klasma.github.io/Logging_0980/klagomålsmail/A 55649-2024 FSC-klagomål mail.docx", "A 55649-2024")</f>
        <v/>
      </c>
      <c r="AC67">
        <f>HYPERLINK("https://klasma.github.io/Logging_0980/tillsyn/A 55649-2024 tillsynsbegäran.docx", "A 55649-2024")</f>
        <v/>
      </c>
      <c r="AD67">
        <f>HYPERLINK("https://klasma.github.io/Logging_0980/tillsynsmail/A 55649-2024 tillsynsbegäran mail.docx", "A 55649-2024")</f>
        <v/>
      </c>
    </row>
    <row r="68" ht="15" customHeight="1">
      <c r="A68" t="inlineStr">
        <is>
          <t>A 186-2023</t>
        </is>
      </c>
      <c r="B68" t="inlineStr">
        <is>
          <t>avverkningsanmälan</t>
        </is>
      </c>
      <c r="C68" t="inlineStr">
        <is>
          <t>Föryngringsavverkning</t>
        </is>
      </c>
      <c r="D68" s="1" t="n">
        <v>44928</v>
      </c>
      <c r="E68" s="1" t="n">
        <v>46309</v>
      </c>
      <c r="F68" t="inlineStr">
        <is>
          <t>GOTLANDS LÄN</t>
        </is>
      </c>
      <c r="G68" t="inlineStr">
        <is>
          <t>GOTLAND</t>
        </is>
      </c>
      <c r="I68" t="n">
        <v>2.2</v>
      </c>
      <c r="J68" t="n">
        <v>2</v>
      </c>
      <c r="K68" t="n">
        <v>4</v>
      </c>
      <c r="L68" t="n">
        <v>4</v>
      </c>
      <c r="M68" t="n">
        <v>2</v>
      </c>
      <c r="N68" t="n">
        <v>0</v>
      </c>
      <c r="O68" t="n">
        <v>0</v>
      </c>
      <c r="P68" t="n">
        <v>0</v>
      </c>
      <c r="Q68" t="n">
        <v>6</v>
      </c>
      <c r="R68" t="n">
        <v>2</v>
      </c>
      <c r="S68" t="n">
        <v>10</v>
      </c>
      <c r="T68" t="n">
        <v>11</v>
      </c>
      <c r="U68" t="n">
        <v>6</v>
      </c>
      <c r="V68" s="2" t="inlineStr">
        <is>
          <t>Svartgrön spindling
Vit taggsvamp
Blå slemspindling
Bronspraktbagge
Odörspindling
Smedbock
Anisspindling
Mindre märgborre
Nästrot
Skogsknipprot</t>
        </is>
      </c>
      <c r="W68">
        <f>HYPERLINK("https://klasma.github.io/Logging_0980/artfynd/A 186-2023 artfynd.xlsx", "A 186-2023")</f>
        <v/>
      </c>
      <c r="X68">
        <f>HYPERLINK("https://klasma.github.io/Logging_0980/kartor/A 186-2023 karta.png", "A 186-2023")</f>
        <v/>
      </c>
      <c r="Y68">
        <f>HYPERLINK("https://klasma.github.io/Logging_0980/kartor_geotiff/A 186-2023 georefererad karta.tif", "A 186-2023")</f>
        <v/>
      </c>
      <c r="AA68">
        <f>HYPERLINK("https://klasma.github.io/Logging_0980/klagomål/A 186-2023 FSC-klagomål.docx", "A 186-2023")</f>
        <v/>
      </c>
      <c r="AB68">
        <f>HYPERLINK("https://klasma.github.io/Logging_0980/klagomålsmail/A 186-2023 FSC-klagomål mail.docx", "A 186-2023")</f>
        <v/>
      </c>
      <c r="AC68">
        <f>HYPERLINK("https://klasma.github.io/Logging_0980/tillsyn/A 186-2023 tillsynsbegäran.docx", "A 186-2023")</f>
        <v/>
      </c>
      <c r="AD68">
        <f>HYPERLINK("https://klasma.github.io/Logging_0980/tillsynsmail/A 186-2023 tillsynsbegäran mail.docx", "A 186-2023")</f>
        <v/>
      </c>
    </row>
    <row r="69" ht="15" customHeight="1">
      <c r="A69" t="inlineStr">
        <is>
          <t>A 32326-2024</t>
        </is>
      </c>
      <c r="B69" t="inlineStr">
        <is>
          <t>avverkningsanmälan</t>
        </is>
      </c>
      <c r="C69" t="inlineStr">
        <is>
          <t>Föryngringsavverkning</t>
        </is>
      </c>
      <c r="D69" s="1" t="n">
        <v>45512</v>
      </c>
      <c r="E69" s="1" t="n">
        <v>46309</v>
      </c>
      <c r="F69" t="inlineStr">
        <is>
          <t>GOTLANDS LÄN</t>
        </is>
      </c>
      <c r="G69" t="inlineStr">
        <is>
          <t>GOTLAND</t>
        </is>
      </c>
      <c r="I69" t="n">
        <v>9.199999999999999</v>
      </c>
      <c r="J69" t="n">
        <v>4</v>
      </c>
      <c r="K69" t="n">
        <v>2</v>
      </c>
      <c r="L69" t="n">
        <v>5</v>
      </c>
      <c r="M69" t="n">
        <v>1</v>
      </c>
      <c r="N69" t="n">
        <v>0</v>
      </c>
      <c r="O69" t="n">
        <v>0</v>
      </c>
      <c r="P69" t="n">
        <v>0</v>
      </c>
      <c r="Q69" t="n">
        <v>6</v>
      </c>
      <c r="R69" t="n">
        <v>1</v>
      </c>
      <c r="S69" t="n">
        <v>10</v>
      </c>
      <c r="T69" t="n">
        <v>41</v>
      </c>
      <c r="U69" t="n">
        <v>40</v>
      </c>
      <c r="V69" s="2" t="inlineStr">
        <is>
          <t>Tallgångbagge
Backruta
Backtimjan
Jordtistel
Svinrot
Säfferot
Purpurknipprot
Skogsknipprot
Nattskärra
Brudsporre</t>
        </is>
      </c>
      <c r="W69">
        <f>HYPERLINK("https://klasma.github.io/Logging_0980/artfynd/A 32326-2024 artfynd.xlsx", "A 32326-2024")</f>
        <v/>
      </c>
      <c r="X69">
        <f>HYPERLINK("https://klasma.github.io/Logging_0980/kartor/A 32326-2024 karta.png", "A 32326-2024")</f>
        <v/>
      </c>
      <c r="Y69">
        <f>HYPERLINK("https://klasma.github.io/Logging_0980/kartor_geotiff/A 32326-2024 georefererad karta.tif", "A 32326-2024")</f>
        <v/>
      </c>
      <c r="AA69">
        <f>HYPERLINK("https://klasma.github.io/Logging_0980/klagomål/A 32326-2024 FSC-klagomål.docx", "A 32326-2024")</f>
        <v/>
      </c>
      <c r="AB69">
        <f>HYPERLINK("https://klasma.github.io/Logging_0980/klagomålsmail/A 32326-2024 FSC-klagomål mail.docx", "A 32326-2024")</f>
        <v/>
      </c>
      <c r="AC69">
        <f>HYPERLINK("https://klasma.github.io/Logging_0980/tillsyn/A 32326-2024 tillsynsbegäran.docx", "A 32326-2024")</f>
        <v/>
      </c>
      <c r="AD69">
        <f>HYPERLINK("https://klasma.github.io/Logging_0980/tillsynsmail/A 32326-2024 tillsynsbegäran mail.docx", "A 32326-2024")</f>
        <v/>
      </c>
      <c r="AE69">
        <f>HYPERLINK("https://klasma.github.io/Logging_0980/fåglar/A 32326-2024 prioriterade fågelarter.docx", "A 32326-2024")</f>
        <v/>
      </c>
    </row>
    <row r="70" ht="15" customHeight="1">
      <c r="A70" t="inlineStr">
        <is>
          <t>A 22404-2024</t>
        </is>
      </c>
      <c r="B70" t="inlineStr">
        <is>
          <t>avverkningsanmälan</t>
        </is>
      </c>
      <c r="C70" t="inlineStr">
        <is>
          <t>Avverkning för annat ändamål</t>
        </is>
      </c>
      <c r="D70" s="1" t="n">
        <v>45446</v>
      </c>
      <c r="E70" s="1" t="n">
        <v>46309</v>
      </c>
      <c r="F70" t="inlineStr">
        <is>
          <t>GOTLANDS LÄN</t>
        </is>
      </c>
      <c r="G70" t="inlineStr">
        <is>
          <t>GOTLAND</t>
        </is>
      </c>
      <c r="I70" t="n">
        <v>11.4</v>
      </c>
      <c r="J70" t="n">
        <v>3</v>
      </c>
      <c r="K70" t="n">
        <v>5</v>
      </c>
      <c r="L70" t="n">
        <v>2</v>
      </c>
      <c r="M70" t="n">
        <v>3</v>
      </c>
      <c r="N70" t="n">
        <v>0</v>
      </c>
      <c r="O70" t="n">
        <v>0</v>
      </c>
      <c r="P70" t="n">
        <v>0</v>
      </c>
      <c r="Q70" t="n">
        <v>5</v>
      </c>
      <c r="R70" t="n">
        <v>3</v>
      </c>
      <c r="S70" t="n">
        <v>10</v>
      </c>
      <c r="T70" t="n">
        <v>10</v>
      </c>
      <c r="U70" t="n">
        <v>3</v>
      </c>
      <c r="V70" s="2" t="inlineStr">
        <is>
          <t>Blåfotad fagerspindling
Bullspindling
Vit taggsvamp
Barrfagerspindling
Blå slemspindling
Flugblomster
Purpurknipprot
Rödgul trumpetsvamp
Svavelriska
Tvåblad</t>
        </is>
      </c>
      <c r="W70">
        <f>HYPERLINK("https://klasma.github.io/Logging_0980/artfynd/A 22404-2024 artfynd.xlsx", "A 22404-2024")</f>
        <v/>
      </c>
      <c r="X70">
        <f>HYPERLINK("https://klasma.github.io/Logging_0980/kartor/A 22404-2024 karta.png", "A 22404-2024")</f>
        <v/>
      </c>
      <c r="Y70">
        <f>HYPERLINK("https://klasma.github.io/Logging_0980/kartor_geotiff/A 22404-2024 georefererad karta.tif", "A 22404-2024")</f>
        <v/>
      </c>
      <c r="AA70">
        <f>HYPERLINK("https://klasma.github.io/Logging_0980/klagomål/A 22404-2024 FSC-klagomål.docx", "A 22404-2024")</f>
        <v/>
      </c>
      <c r="AB70">
        <f>HYPERLINK("https://klasma.github.io/Logging_0980/klagomålsmail/A 22404-2024 FSC-klagomål mail.docx", "A 22404-2024")</f>
        <v/>
      </c>
      <c r="AC70">
        <f>HYPERLINK("https://klasma.github.io/Logging_0980/tillsyn/A 22404-2024 tillsynsbegäran.docx", "A 22404-2024")</f>
        <v/>
      </c>
      <c r="AD70">
        <f>HYPERLINK("https://klasma.github.io/Logging_0980/tillsynsmail/A 22404-2024 tillsynsbegäran mail.docx", "A 22404-2024")</f>
        <v/>
      </c>
    </row>
    <row r="71" ht="15" customHeight="1">
      <c r="A71" t="inlineStr">
        <is>
          <t>A 7039-2023</t>
        </is>
      </c>
      <c r="B71" t="inlineStr">
        <is>
          <t>avverkningsanmälan</t>
        </is>
      </c>
      <c r="C71" t="inlineStr">
        <is>
          <t>Föryngringsavverkning</t>
        </is>
      </c>
      <c r="D71" s="1" t="n">
        <v>44968</v>
      </c>
      <c r="E71" s="1" t="n">
        <v>46309</v>
      </c>
      <c r="F71" t="inlineStr">
        <is>
          <t>GOTLANDS LÄN</t>
        </is>
      </c>
      <c r="G71" t="inlineStr">
        <is>
          <t>GOTLAND</t>
        </is>
      </c>
      <c r="I71" t="n">
        <v>2.9</v>
      </c>
      <c r="J71" t="n">
        <v>1</v>
      </c>
      <c r="K71" t="n">
        <v>3</v>
      </c>
      <c r="L71" t="n">
        <v>2</v>
      </c>
      <c r="M71" t="n">
        <v>2</v>
      </c>
      <c r="N71" t="n">
        <v>0</v>
      </c>
      <c r="O71" t="n">
        <v>1</v>
      </c>
      <c r="P71" t="n">
        <v>0</v>
      </c>
      <c r="Q71" t="n">
        <v>6</v>
      </c>
      <c r="R71" t="n">
        <v>3</v>
      </c>
      <c r="S71" t="n">
        <v>9</v>
      </c>
      <c r="T71" t="n">
        <v>14</v>
      </c>
      <c r="U71" t="n">
        <v>0</v>
      </c>
      <c r="V71" s="2" t="inlineStr">
        <is>
          <t>Stor blanklav
Mörk kraterlav
Ädellav
Dårgräsfjäril
Svinrot
Frostig asplav
Havstulpanlav
Klippfrullania
Stubbspretmossa</t>
        </is>
      </c>
      <c r="W71">
        <f>HYPERLINK("https://klasma.github.io/Logging_0980/artfynd/A 7039-2023 artfynd.xlsx", "A 7039-2023")</f>
        <v/>
      </c>
      <c r="X71">
        <f>HYPERLINK("https://klasma.github.io/Logging_0980/kartor/A 7039-2023 karta.png", "A 7039-2023")</f>
        <v/>
      </c>
      <c r="Y71">
        <f>HYPERLINK("https://klasma.github.io/Logging_0980/kartor_geotiff/A 7039-2023 georefererad karta.tif", "A 7039-2023")</f>
        <v/>
      </c>
      <c r="AA71">
        <f>HYPERLINK("https://klasma.github.io/Logging_0980/klagomål/A 7039-2023 FSC-klagomål.docx", "A 7039-2023")</f>
        <v/>
      </c>
      <c r="AB71">
        <f>HYPERLINK("https://klasma.github.io/Logging_0980/klagomålsmail/A 7039-2023 FSC-klagomål mail.docx", "A 7039-2023")</f>
        <v/>
      </c>
      <c r="AC71">
        <f>HYPERLINK("https://klasma.github.io/Logging_0980/tillsyn/A 7039-2023 tillsynsbegäran.docx", "A 7039-2023")</f>
        <v/>
      </c>
      <c r="AD71">
        <f>HYPERLINK("https://klasma.github.io/Logging_0980/tillsynsmail/A 7039-2023 tillsynsbegäran mail.docx", "A 7039-2023")</f>
        <v/>
      </c>
    </row>
    <row r="72" ht="15" customHeight="1">
      <c r="A72" t="inlineStr">
        <is>
          <t>A 20833-2024</t>
        </is>
      </c>
      <c r="B72" t="inlineStr">
        <is>
          <t>avverkningsanmälan</t>
        </is>
      </c>
      <c r="C72" t="inlineStr">
        <is>
          <t>Föryngringsavverkning</t>
        </is>
      </c>
      <c r="D72" s="1" t="n">
        <v>45439</v>
      </c>
      <c r="E72" s="1" t="n">
        <v>46309</v>
      </c>
      <c r="F72" t="inlineStr">
        <is>
          <t>GOTLANDS LÄN</t>
        </is>
      </c>
      <c r="G72" t="inlineStr">
        <is>
          <t>GOTLAND</t>
        </is>
      </c>
      <c r="I72" t="n">
        <v>0.9</v>
      </c>
      <c r="J72" t="n">
        <v>5</v>
      </c>
      <c r="K72" t="n">
        <v>2</v>
      </c>
      <c r="L72" t="n">
        <v>5</v>
      </c>
      <c r="M72" t="n">
        <v>1</v>
      </c>
      <c r="N72" t="n">
        <v>0</v>
      </c>
      <c r="O72" t="n">
        <v>0</v>
      </c>
      <c r="P72" t="n">
        <v>0</v>
      </c>
      <c r="Q72" t="n">
        <v>6</v>
      </c>
      <c r="R72" t="n">
        <v>1</v>
      </c>
      <c r="S72" t="n">
        <v>9</v>
      </c>
      <c r="T72" t="n">
        <v>30</v>
      </c>
      <c r="U72" t="n">
        <v>30</v>
      </c>
      <c r="V72" s="2" t="inlineStr">
        <is>
          <t>Svartfläckig blåvinge
Backtimjan
Dårgräsfjäril
Jordtistel
Solvända
Svinrot
Skogsknipprot
Tvåblad
Spillkråka</t>
        </is>
      </c>
      <c r="W72">
        <f>HYPERLINK("https://klasma.github.io/Logging_0980/artfynd/A 20833-2024 artfynd.xlsx", "A 20833-2024")</f>
        <v/>
      </c>
      <c r="X72">
        <f>HYPERLINK("https://klasma.github.io/Logging_0980/kartor/A 20833-2024 karta.png", "A 20833-2024")</f>
        <v/>
      </c>
      <c r="Y72">
        <f>HYPERLINK("https://klasma.github.io/Logging_0980/kartor_geotiff/A 20833-2024 georefererad karta.tif", "A 20833-2024")</f>
        <v/>
      </c>
      <c r="AA72">
        <f>HYPERLINK("https://klasma.github.io/Logging_0980/klagomål/A 20833-2024 FSC-klagomål.docx", "A 20833-2024")</f>
        <v/>
      </c>
      <c r="AB72">
        <f>HYPERLINK("https://klasma.github.io/Logging_0980/klagomålsmail/A 20833-2024 FSC-klagomål mail.docx", "A 20833-2024")</f>
        <v/>
      </c>
      <c r="AC72">
        <f>HYPERLINK("https://klasma.github.io/Logging_0980/tillsyn/A 20833-2024 tillsynsbegäran.docx", "A 20833-2024")</f>
        <v/>
      </c>
      <c r="AD72">
        <f>HYPERLINK("https://klasma.github.io/Logging_0980/tillsynsmail/A 20833-2024 tillsynsbegäran mail.docx", "A 20833-2024")</f>
        <v/>
      </c>
      <c r="AE72">
        <f>HYPERLINK("https://klasma.github.io/Logging_0980/fåglar/A 20833-2024 prioriterade fågelarter.docx", "A 20833-2024")</f>
        <v/>
      </c>
    </row>
    <row r="73" ht="15" customHeight="1">
      <c r="A73" t="inlineStr">
        <is>
          <t>A 17328-2026</t>
        </is>
      </c>
      <c r="B73" t="inlineStr">
        <is>
          <t>avverkningsanmälan</t>
        </is>
      </c>
      <c r="C73" t="inlineStr">
        <is>
          <t>Föryngringsavverkning</t>
        </is>
      </c>
      <c r="D73" s="1" t="n">
        <v>46119</v>
      </c>
      <c r="E73" s="1" t="n">
        <v>46309</v>
      </c>
      <c r="F73" t="inlineStr">
        <is>
          <t>GOTLANDS LÄN</t>
        </is>
      </c>
      <c r="G73" t="inlineStr">
        <is>
          <t>GOTLAND</t>
        </is>
      </c>
      <c r="H73" t="inlineStr">
        <is>
          <t>Kyrkan</t>
        </is>
      </c>
      <c r="I73" t="n">
        <v>4</v>
      </c>
      <c r="J73" t="n">
        <v>3</v>
      </c>
      <c r="K73" t="n">
        <v>0</v>
      </c>
      <c r="L73" t="n">
        <v>6</v>
      </c>
      <c r="M73" t="n">
        <v>1</v>
      </c>
      <c r="N73" t="n">
        <v>1</v>
      </c>
      <c r="O73" t="n">
        <v>0</v>
      </c>
      <c r="P73" t="n">
        <v>0</v>
      </c>
      <c r="Q73" t="n">
        <v>8</v>
      </c>
      <c r="R73" t="n">
        <v>2</v>
      </c>
      <c r="S73" t="n">
        <v>9</v>
      </c>
      <c r="T73" t="n">
        <v>40</v>
      </c>
      <c r="U73" t="n">
        <v>40</v>
      </c>
      <c r="V73" s="2" t="inlineStr">
        <is>
          <t>Ask
Garderönn
Backtimjan
Bergjohannesört
Dårgräsfjäril
Jordtistel
Solvända
Svinrot
Spillkråka</t>
        </is>
      </c>
      <c r="W73">
        <f>HYPERLINK("https://klasma.github.io/Logging_0980/artfynd/A 17328-2026 artfynd.xlsx", "A 17328-2026")</f>
        <v/>
      </c>
      <c r="X73">
        <f>HYPERLINK("https://klasma.github.io/Logging_0980/kartor/A 17328-2026 karta.png", "A 17328-2026")</f>
        <v/>
      </c>
      <c r="Y73">
        <f>HYPERLINK("https://klasma.github.io/Logging_0980/kartor_geotiff/A 17328-2026 georefererad karta.tif", "A 17328-2026")</f>
        <v/>
      </c>
      <c r="AA73">
        <f>HYPERLINK("https://klasma.github.io/Logging_0980/klagomål/A 17328-2026 FSC-klagomål.docx", "A 17328-2026")</f>
        <v/>
      </c>
      <c r="AB73">
        <f>HYPERLINK("https://klasma.github.io/Logging_0980/klagomålsmail/A 17328-2026 FSC-klagomål mail.docx", "A 17328-2026")</f>
        <v/>
      </c>
      <c r="AC73">
        <f>HYPERLINK("https://klasma.github.io/Logging_0980/tillsyn/A 17328-2026 tillsynsbegäran.docx", "A 17328-2026")</f>
        <v/>
      </c>
      <c r="AD73">
        <f>HYPERLINK("https://klasma.github.io/Logging_0980/tillsynsmail/A 17328-2026 tillsynsbegäran mail.docx", "A 17328-2026")</f>
        <v/>
      </c>
      <c r="AE73">
        <f>HYPERLINK("https://klasma.github.io/Logging_0980/fåglar/A 17328-2026 prioriterade fågelarter.docx", "A 17328-2026")</f>
        <v/>
      </c>
    </row>
    <row r="74" ht="15" customHeight="1">
      <c r="A74" t="inlineStr">
        <is>
          <t>S 423-2024</t>
        </is>
      </c>
      <c r="B74" t="inlineStr">
        <is>
          <t>samrådsanmälan</t>
        </is>
      </c>
      <c r="C74" t="inlineStr">
        <is>
          <t>Annan skogsbruksåtgärd</t>
        </is>
      </c>
      <c r="D74" s="1" t="n">
        <v>45336</v>
      </c>
      <c r="E74" s="1" t="n">
        <v>46309</v>
      </c>
      <c r="F74" t="inlineStr">
        <is>
          <t>GOTLANDS LÄN</t>
        </is>
      </c>
      <c r="G74" t="inlineStr">
        <is>
          <t>GOTLAND</t>
        </is>
      </c>
      <c r="H74" t="inlineStr">
        <is>
          <t>Kyrkan</t>
        </is>
      </c>
      <c r="I74" t="n">
        <v>0.3</v>
      </c>
      <c r="J74" t="n">
        <v>1</v>
      </c>
      <c r="K74" t="n">
        <v>5</v>
      </c>
      <c r="L74" t="n">
        <v>3</v>
      </c>
      <c r="M74" t="n">
        <v>1</v>
      </c>
      <c r="N74" t="n">
        <v>0</v>
      </c>
      <c r="O74" t="n">
        <v>0</v>
      </c>
      <c r="P74" t="n">
        <v>0</v>
      </c>
      <c r="Q74" t="n">
        <v>4</v>
      </c>
      <c r="R74" t="n">
        <v>1</v>
      </c>
      <c r="S74" t="n">
        <v>9</v>
      </c>
      <c r="T74" t="n">
        <v>11</v>
      </c>
      <c r="U74" t="n">
        <v>4</v>
      </c>
      <c r="V74" s="2" t="inlineStr">
        <is>
          <t>Elaphomyces barrioi
Knottrig rottryffel
Lunglav
Svinrot
Lönnlav
Rikfruktig blemlav
Slät lönnlav
Tvåblad
Underviol</t>
        </is>
      </c>
      <c r="W74">
        <f>HYPERLINK("https://klasma.github.io/Logging_0980/artfynd/S 423-2024 artfynd.xlsx", "S 423-2024")</f>
        <v/>
      </c>
      <c r="X74">
        <f>HYPERLINK("https://klasma.github.io/Logging_0980/kartor/S 423-2024 karta.png", "S 423-2024")</f>
        <v/>
      </c>
      <c r="Y74">
        <f>HYPERLINK("https://klasma.github.io/Logging_0980/kartor_geotiff/S 423-2024 georefererad karta.tif", "S 423-2024")</f>
        <v/>
      </c>
      <c r="AA74">
        <f>HYPERLINK("https://klasma.github.io/Logging_0980/klagomål/S 423-2024 FSC-klagomål.docx", "S 423-2024")</f>
        <v/>
      </c>
      <c r="AB74">
        <f>HYPERLINK("https://klasma.github.io/Logging_0980/klagomålsmail/S 423-2024 FSC-klagomål mail.docx", "S 423-2024")</f>
        <v/>
      </c>
      <c r="AC74">
        <f>HYPERLINK("https://klasma.github.io/Logging_0980/tillsyn/S 423-2024 tillsynsbegäran.docx", "S 423-2024")</f>
        <v/>
      </c>
      <c r="AD74">
        <f>HYPERLINK("https://klasma.github.io/Logging_0980/tillsynsmail/S 423-2024 tillsynsbegäran mail.docx", "S 423-2024")</f>
        <v/>
      </c>
    </row>
    <row r="75" ht="15" customHeight="1">
      <c r="A75" t="inlineStr">
        <is>
          <t>A 1971-2023</t>
        </is>
      </c>
      <c r="B75" t="inlineStr">
        <is>
          <t>avverkningsanmälan</t>
        </is>
      </c>
      <c r="C75" t="inlineStr">
        <is>
          <t>Föryngringsavverkning</t>
        </is>
      </c>
      <c r="D75" s="1" t="n">
        <v>44939</v>
      </c>
      <c r="E75" s="1" t="n">
        <v>46309</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t="n">
        <v>2</v>
      </c>
      <c r="V75" s="2" t="inlineStr">
        <is>
          <t>Granrotspindling
Gulsträngad fagerspindling
Fjällig taggsvamp s.str.
Sandviol
Svinrot
Blomkålssvamp
Olivspindling
Rödbrun jordstjärna</t>
        </is>
      </c>
      <c r="W75">
        <f>HYPERLINK("https://klasma.github.io/Logging_0980/artfynd/A 1971-2023 artfynd.xlsx", "A 1971-2023")</f>
        <v/>
      </c>
      <c r="X75">
        <f>HYPERLINK("https://klasma.github.io/Logging_0980/kartor/A 1971-2023 karta.png", "A 1971-2023")</f>
        <v/>
      </c>
      <c r="Y75">
        <f>HYPERLINK("https://klasma.github.io/Logging_0980/kartor_geotiff/A 1971-2023 georefererad karta.tif", "A 1971-2023")</f>
        <v/>
      </c>
      <c r="AA75">
        <f>HYPERLINK("https://klasma.github.io/Logging_0980/klagomål/A 1971-2023 FSC-klagomål.docx", "A 1971-2023")</f>
        <v/>
      </c>
      <c r="AB75">
        <f>HYPERLINK("https://klasma.github.io/Logging_0980/klagomålsmail/A 1971-2023 FSC-klagomål mail.docx", "A 1971-2023")</f>
        <v/>
      </c>
      <c r="AC75">
        <f>HYPERLINK("https://klasma.github.io/Logging_0980/tillsyn/A 1971-2023 tillsynsbegäran.docx", "A 1971-2023")</f>
        <v/>
      </c>
      <c r="AD75">
        <f>HYPERLINK("https://klasma.github.io/Logging_0980/tillsynsmail/A 1971-2023 tillsynsbegäran mail.docx", "A 1971-2023")</f>
        <v/>
      </c>
    </row>
    <row r="76" ht="15" customHeight="1">
      <c r="A76" t="inlineStr">
        <is>
          <t>A 54527-2023</t>
        </is>
      </c>
      <c r="B76" t="inlineStr">
        <is>
          <t>avverkningsanmälan</t>
        </is>
      </c>
      <c r="C76" t="inlineStr">
        <is>
          <t>Avverkning för annat ändamål</t>
        </is>
      </c>
      <c r="D76" s="1" t="n">
        <v>45233</v>
      </c>
      <c r="E76" s="1" t="n">
        <v>46309</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54527-2023</t>
        </is>
      </c>
      <c r="B77" t="inlineStr">
        <is>
          <t>avverkningsanmälan</t>
        </is>
      </c>
      <c r="C77" t="inlineStr">
        <is>
          <t>Avverkning för annat ändamål</t>
        </is>
      </c>
      <c r="D77" s="1" t="n">
        <v>45233</v>
      </c>
      <c r="E77" s="1" t="n">
        <v>46309</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t="n">
        <v>0</v>
      </c>
      <c r="V77" s="2" t="inlineStr">
        <is>
          <t>Ask
Sexfläckig bastardsvärmare
Backstarr
Backtimjan
Jordtistel
Solvända
Nattskärra
Brudsporre</t>
        </is>
      </c>
      <c r="W77">
        <f>HYPERLINK("https://klasma.github.io/Logging_0980/artfynd/A 54527-2023 artfynd.xlsx", "A 54527-2023")</f>
        <v/>
      </c>
      <c r="X77">
        <f>HYPERLINK("https://klasma.github.io/Logging_0980/kartor/A 54527-2023 karta.png", "A 54527-2023")</f>
        <v/>
      </c>
      <c r="Y77">
        <f>HYPERLINK("https://klasma.github.io/Logging_0980/kartor_geotiff/A 54527-2023 georefererad karta.tif", "A 54527-2023")</f>
        <v/>
      </c>
      <c r="AA77">
        <f>HYPERLINK("https://klasma.github.io/Logging_0980/klagomål/A 54527-2023 FSC-klagomål.docx", "A 54527-2023")</f>
        <v/>
      </c>
      <c r="AB77">
        <f>HYPERLINK("https://klasma.github.io/Logging_0980/klagomålsmail/A 54527-2023 FSC-klagomål mail.docx", "A 54527-2023")</f>
        <v/>
      </c>
      <c r="AC77">
        <f>HYPERLINK("https://klasma.github.io/Logging_0980/tillsyn/A 54527-2023 tillsynsbegäran.docx", "A 54527-2023")</f>
        <v/>
      </c>
      <c r="AD77">
        <f>HYPERLINK("https://klasma.github.io/Logging_0980/tillsynsmail/A 54527-2023 tillsynsbegäran mail.docx", "A 54527-2023")</f>
        <v/>
      </c>
      <c r="AE77">
        <f>HYPERLINK("https://klasma.github.io/Logging_0980/fåglar/A 54527-2023 prioriterade fågelarter.docx", "A 54527-2023")</f>
        <v/>
      </c>
    </row>
    <row r="78" ht="15" customHeight="1">
      <c r="A78" t="inlineStr">
        <is>
          <t>A 7038-2023</t>
        </is>
      </c>
      <c r="B78" t="inlineStr">
        <is>
          <t>avverkningsanmälan</t>
        </is>
      </c>
      <c r="C78" t="inlineStr">
        <is>
          <t>Föryngringsavverkning</t>
        </is>
      </c>
      <c r="D78" s="1" t="n">
        <v>44968</v>
      </c>
      <c r="E78" s="1" t="n">
        <v>46309</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20831-2024</t>
        </is>
      </c>
      <c r="B79" t="inlineStr">
        <is>
          <t>avverkningsanmälan</t>
        </is>
      </c>
      <c r="C79" t="inlineStr">
        <is>
          <t>Föryngringsavverkning</t>
        </is>
      </c>
      <c r="D79" s="1" t="n">
        <v>45439</v>
      </c>
      <c r="E79" s="1" t="n">
        <v>46309</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57773-2025</t>
        </is>
      </c>
      <c r="B80" t="inlineStr">
        <is>
          <t>avverkningsanmälan</t>
        </is>
      </c>
      <c r="C80" t="inlineStr">
        <is>
          <t>Föryngringsavverkning</t>
        </is>
      </c>
      <c r="D80" s="1" t="n">
        <v>45981</v>
      </c>
      <c r="E80" s="1" t="n">
        <v>46309</v>
      </c>
      <c r="F80" t="inlineStr">
        <is>
          <t>GOTLANDS LÄN</t>
        </is>
      </c>
      <c r="G80" t="inlineStr">
        <is>
          <t>GOTLAND</t>
        </is>
      </c>
      <c r="I80" t="n">
        <v>4.4</v>
      </c>
      <c r="J80" t="n">
        <v>0</v>
      </c>
      <c r="K80" t="n">
        <v>5</v>
      </c>
      <c r="L80" t="n">
        <v>1</v>
      </c>
      <c r="M80" t="n">
        <v>2</v>
      </c>
      <c r="N80" t="n">
        <v>0</v>
      </c>
      <c r="O80" t="n">
        <v>0</v>
      </c>
      <c r="P80" t="n">
        <v>0</v>
      </c>
      <c r="Q80" t="n">
        <v>3</v>
      </c>
      <c r="R80" t="n">
        <v>2</v>
      </c>
      <c r="S80" t="n">
        <v>8</v>
      </c>
      <c r="T80" t="n">
        <v>14</v>
      </c>
      <c r="U80" t="n">
        <v>0</v>
      </c>
      <c r="V80" s="2" t="inlineStr">
        <is>
          <t>Duvspindling
Mörkfjällig olivspindling
Backklöver
Besk kastanjemusseron
Brun klibbskivling
Olivspindling
Rödgul trumpetsvamp
Strimspindling</t>
        </is>
      </c>
      <c r="W80">
        <f>HYPERLINK("https://klasma.github.io/Logging_0980/artfynd/A 57773-2025 artfynd.xlsx", "A 57773-2025")</f>
        <v/>
      </c>
      <c r="X80">
        <f>HYPERLINK("https://klasma.github.io/Logging_0980/kartor/A 57773-2025 karta.png", "A 57773-2025")</f>
        <v/>
      </c>
      <c r="Y80">
        <f>HYPERLINK("https://klasma.github.io/Logging_0980/kartor_geotiff/A 57773-2025 georefererad karta.tif", "A 57773-2025")</f>
        <v/>
      </c>
      <c r="AA80">
        <f>HYPERLINK("https://klasma.github.io/Logging_0980/klagomål/A 57773-2025 FSC-klagomål.docx", "A 57773-2025")</f>
        <v/>
      </c>
      <c r="AB80">
        <f>HYPERLINK("https://klasma.github.io/Logging_0980/klagomålsmail/A 57773-2025 FSC-klagomål mail.docx", "A 57773-2025")</f>
        <v/>
      </c>
      <c r="AC80">
        <f>HYPERLINK("https://klasma.github.io/Logging_0980/tillsyn/A 57773-2025 tillsynsbegäran.docx", "A 57773-2025")</f>
        <v/>
      </c>
      <c r="AD80">
        <f>HYPERLINK("https://klasma.github.io/Logging_0980/tillsynsmail/A 57773-2025 tillsynsbegäran mail.docx", "A 57773-2025")</f>
        <v/>
      </c>
    </row>
    <row r="81" ht="15" customHeight="1">
      <c r="A81" t="inlineStr">
        <is>
          <t>A 6836-2026</t>
        </is>
      </c>
      <c r="B81" t="inlineStr">
        <is>
          <t>avverkningsanmälan</t>
        </is>
      </c>
      <c r="C81" t="inlineStr">
        <is>
          <t>Föryngringsavverkning</t>
        </is>
      </c>
      <c r="D81" s="1" t="n">
        <v>46057</v>
      </c>
      <c r="E81" s="1" t="n">
        <v>46309</v>
      </c>
      <c r="F81" t="inlineStr">
        <is>
          <t>GOTLANDS LÄN</t>
        </is>
      </c>
      <c r="G81" t="inlineStr">
        <is>
          <t>GOTLAND</t>
        </is>
      </c>
      <c r="I81" t="n">
        <v>3.8</v>
      </c>
      <c r="J81" t="n">
        <v>1</v>
      </c>
      <c r="K81" t="n">
        <v>3</v>
      </c>
      <c r="L81" t="n">
        <v>2</v>
      </c>
      <c r="M81" t="n">
        <v>3</v>
      </c>
      <c r="N81" t="n">
        <v>0</v>
      </c>
      <c r="O81" t="n">
        <v>0</v>
      </c>
      <c r="P81" t="n">
        <v>0</v>
      </c>
      <c r="Q81" t="n">
        <v>5</v>
      </c>
      <c r="R81" t="n">
        <v>3</v>
      </c>
      <c r="S81" t="n">
        <v>8</v>
      </c>
      <c r="T81" t="n">
        <v>10</v>
      </c>
      <c r="U81" t="n">
        <v>1</v>
      </c>
      <c r="V81" s="2" t="inlineStr">
        <is>
          <t>Knärot
Svartgrön spindling
Violettfläckig spindling
Odörspindling
Skarp dropptaggsvamp
Fransig jordstjärna
Rödgul trumpetsvamp
Svavelriska</t>
        </is>
      </c>
      <c r="W81">
        <f>HYPERLINK("https://klasma.github.io/Logging_0980/artfynd/A 6836-2026 artfynd.xlsx", "A 6836-2026")</f>
        <v/>
      </c>
      <c r="X81">
        <f>HYPERLINK("https://klasma.github.io/Logging_0980/kartor/A 6836-2026 karta.png", "A 6836-2026")</f>
        <v/>
      </c>
      <c r="Y81">
        <f>HYPERLINK("https://klasma.github.io/Logging_0980/kartor_geotiff/A 6836-2026 georefererad karta.tif", "A 6836-2026")</f>
        <v/>
      </c>
      <c r="Z81">
        <f>HYPERLINK("https://klasma.github.io/Logging_0980/knärot/A 6836-2026 karta knärot.png", "A 6836-2026")</f>
        <v/>
      </c>
      <c r="AA81">
        <f>HYPERLINK("https://klasma.github.io/Logging_0980/klagomål/A 6836-2026 FSC-klagomål.docx", "A 6836-2026")</f>
        <v/>
      </c>
      <c r="AB81">
        <f>HYPERLINK("https://klasma.github.io/Logging_0980/klagomålsmail/A 6836-2026 FSC-klagomål mail.docx", "A 6836-2026")</f>
        <v/>
      </c>
      <c r="AC81">
        <f>HYPERLINK("https://klasma.github.io/Logging_0980/tillsyn/A 6836-2026 tillsynsbegäran.docx", "A 6836-2026")</f>
        <v/>
      </c>
      <c r="AD81">
        <f>HYPERLINK("https://klasma.github.io/Logging_0980/tillsynsmail/A 6836-2026 tillsynsbegäran mail.docx", "A 6836-2026")</f>
        <v/>
      </c>
    </row>
    <row r="82" ht="15" customHeight="1">
      <c r="A82" t="inlineStr">
        <is>
          <t>A 9518-2026</t>
        </is>
      </c>
      <c r="B82" t="inlineStr">
        <is>
          <t>avverkningsanmälan</t>
        </is>
      </c>
      <c r="C82" t="inlineStr">
        <is>
          <t>Föryngringsavverkning</t>
        </is>
      </c>
      <c r="D82" s="1" t="n">
        <v>46071</v>
      </c>
      <c r="E82" s="1" t="n">
        <v>46309</v>
      </c>
      <c r="F82" t="inlineStr">
        <is>
          <t>GOTLANDS LÄN</t>
        </is>
      </c>
      <c r="G82" t="inlineStr">
        <is>
          <t>GOTLAND</t>
        </is>
      </c>
      <c r="I82" t="n">
        <v>6.2</v>
      </c>
      <c r="J82" t="n">
        <v>0</v>
      </c>
      <c r="K82" t="n">
        <v>1</v>
      </c>
      <c r="L82" t="n">
        <v>4</v>
      </c>
      <c r="M82" t="n">
        <v>3</v>
      </c>
      <c r="N82" t="n">
        <v>0</v>
      </c>
      <c r="O82" t="n">
        <v>0</v>
      </c>
      <c r="P82" t="n">
        <v>0</v>
      </c>
      <c r="Q82" t="n">
        <v>7</v>
      </c>
      <c r="R82" t="n">
        <v>3</v>
      </c>
      <c r="S82" t="n">
        <v>8</v>
      </c>
      <c r="T82" t="n">
        <v>16</v>
      </c>
      <c r="U82" t="n">
        <v>16</v>
      </c>
      <c r="V82" s="2" t="inlineStr">
        <is>
          <t>Clitopaxillus alexandri
Duvspindling
Svartgrön spindling
Blå slemspindling
Fjällig taggsvamp s.str.
Odörspindling
Vårärt
Anisspindling</t>
        </is>
      </c>
      <c r="W82">
        <f>HYPERLINK("https://klasma.github.io/Logging_0980/artfynd/A 9518-2026 artfynd.xlsx", "A 9518-2026")</f>
        <v/>
      </c>
      <c r="X82">
        <f>HYPERLINK("https://klasma.github.io/Logging_0980/kartor/A 9518-2026 karta.png", "A 9518-2026")</f>
        <v/>
      </c>
      <c r="Y82">
        <f>HYPERLINK("https://klasma.github.io/Logging_0980/kartor_geotiff/A 9518-2026 georefererad karta.tif", "A 9518-2026")</f>
        <v/>
      </c>
      <c r="AA82">
        <f>HYPERLINK("https://klasma.github.io/Logging_0980/klagomål/A 9518-2026 FSC-klagomål.docx", "A 9518-2026")</f>
        <v/>
      </c>
      <c r="AB82">
        <f>HYPERLINK("https://klasma.github.io/Logging_0980/klagomålsmail/A 9518-2026 FSC-klagomål mail.docx", "A 9518-2026")</f>
        <v/>
      </c>
      <c r="AC82">
        <f>HYPERLINK("https://klasma.github.io/Logging_0980/tillsyn/A 9518-2026 tillsynsbegäran.docx", "A 9518-2026")</f>
        <v/>
      </c>
      <c r="AD82">
        <f>HYPERLINK("https://klasma.github.io/Logging_0980/tillsynsmail/A 9518-2026 tillsynsbegäran mail.docx", "A 9518-2026")</f>
        <v/>
      </c>
    </row>
    <row r="83" ht="15" customHeight="1">
      <c r="A83" t="inlineStr">
        <is>
          <t>A 9543-2026</t>
        </is>
      </c>
      <c r="B83" t="inlineStr">
        <is>
          <t>avverkningsanmälan</t>
        </is>
      </c>
      <c r="C83" t="inlineStr">
        <is>
          <t>Föryngringsavverkning</t>
        </is>
      </c>
      <c r="D83" s="1" t="n">
        <v>46071</v>
      </c>
      <c r="E83" s="1" t="n">
        <v>46309</v>
      </c>
      <c r="F83" t="inlineStr">
        <is>
          <t>GOTLANDS LÄN</t>
        </is>
      </c>
      <c r="G83" t="inlineStr">
        <is>
          <t>GOTLAND</t>
        </is>
      </c>
      <c r="I83" t="n">
        <v>2.6</v>
      </c>
      <c r="J83" t="n">
        <v>0</v>
      </c>
      <c r="K83" t="n">
        <v>3</v>
      </c>
      <c r="L83" t="n">
        <v>4</v>
      </c>
      <c r="M83" t="n">
        <v>1</v>
      </c>
      <c r="N83" t="n">
        <v>0</v>
      </c>
      <c r="O83" t="n">
        <v>0</v>
      </c>
      <c r="P83" t="n">
        <v>0</v>
      </c>
      <c r="Q83" t="n">
        <v>5</v>
      </c>
      <c r="R83" t="n">
        <v>1</v>
      </c>
      <c r="S83" t="n">
        <v>8</v>
      </c>
      <c r="T83" t="n">
        <v>24</v>
      </c>
      <c r="U83" t="n">
        <v>24</v>
      </c>
      <c r="V83" s="2" t="inlineStr">
        <is>
          <t>Vit taggsvamp
Flattoppad klubbsvamp
Loppstarr
Odörspindling
Svinrot
Anisspindling
Olivspindling
Svavelriska</t>
        </is>
      </c>
      <c r="W83">
        <f>HYPERLINK("https://klasma.github.io/Logging_0980/artfynd/A 9543-2026 artfynd.xlsx", "A 9543-2026")</f>
        <v/>
      </c>
      <c r="X83">
        <f>HYPERLINK("https://klasma.github.io/Logging_0980/kartor/A 9543-2026 karta.png", "A 9543-2026")</f>
        <v/>
      </c>
      <c r="Y83">
        <f>HYPERLINK("https://klasma.github.io/Logging_0980/kartor_geotiff/A 9543-2026 georefererad karta.tif", "A 9543-2026")</f>
        <v/>
      </c>
      <c r="AA83">
        <f>HYPERLINK("https://klasma.github.io/Logging_0980/klagomål/A 9543-2026 FSC-klagomål.docx", "A 9543-2026")</f>
        <v/>
      </c>
      <c r="AB83">
        <f>HYPERLINK("https://klasma.github.io/Logging_0980/klagomålsmail/A 9543-2026 FSC-klagomål mail.docx", "A 9543-2026")</f>
        <v/>
      </c>
      <c r="AC83">
        <f>HYPERLINK("https://klasma.github.io/Logging_0980/tillsyn/A 9543-2026 tillsynsbegäran.docx", "A 9543-2026")</f>
        <v/>
      </c>
      <c r="AD83">
        <f>HYPERLINK("https://klasma.github.io/Logging_0980/tillsynsmail/A 9543-2026 tillsynsbegäran mail.docx", "A 9543-2026")</f>
        <v/>
      </c>
    </row>
    <row r="84" ht="15" customHeight="1">
      <c r="A84" t="inlineStr">
        <is>
          <t>A 27170-2026</t>
        </is>
      </c>
      <c r="B84" t="inlineStr">
        <is>
          <t>avverkningsanmälan</t>
        </is>
      </c>
      <c r="C84" t="inlineStr">
        <is>
          <t>Föryngringsavverkning</t>
        </is>
      </c>
      <c r="D84" s="1" t="n">
        <v>46188</v>
      </c>
      <c r="E84" s="1" t="n">
        <v>46309</v>
      </c>
      <c r="F84" t="inlineStr">
        <is>
          <t>GOTLANDS LÄN</t>
        </is>
      </c>
      <c r="G84" t="inlineStr">
        <is>
          <t>GOTLAND</t>
        </is>
      </c>
      <c r="I84" t="n">
        <v>1.8</v>
      </c>
      <c r="J84" t="n">
        <v>3</v>
      </c>
      <c r="K84" t="n">
        <v>2</v>
      </c>
      <c r="L84" t="n">
        <v>2</v>
      </c>
      <c r="M84" t="n">
        <v>0</v>
      </c>
      <c r="N84" t="n">
        <v>0</v>
      </c>
      <c r="O84" t="n">
        <v>0</v>
      </c>
      <c r="P84" t="n">
        <v>0</v>
      </c>
      <c r="Q84" t="n">
        <v>2</v>
      </c>
      <c r="R84" t="n">
        <v>0</v>
      </c>
      <c r="S84" t="n">
        <v>8</v>
      </c>
      <c r="T84" t="n">
        <v>25</v>
      </c>
      <c r="U84" t="n">
        <v>25</v>
      </c>
      <c r="V84" s="2" t="inlineStr">
        <is>
          <t>Dårgräsfjäril
Svinrot
Blåmossa
Skogsknipprot
Liljekonvalj
Majbräken
Ormbär
Fläcknycklar</t>
        </is>
      </c>
      <c r="W84">
        <f>HYPERLINK("https://klasma.github.io/Logging_0980/artfynd/A 27170-2026 artfynd.xlsx", "A 27170-2026")</f>
        <v/>
      </c>
      <c r="X84">
        <f>HYPERLINK("https://klasma.github.io/Logging_0980/kartor/A 27170-2026 karta.png", "A 27170-2026")</f>
        <v/>
      </c>
      <c r="Y84">
        <f>HYPERLINK("https://klasma.github.io/Logging_0980/kartor_geotiff/A 27170-2026 georefererad karta.tif", "A 27170-2026")</f>
        <v/>
      </c>
      <c r="AA84">
        <f>HYPERLINK("https://klasma.github.io/Logging_0980/klagomål/A 27170-2026 FSC-klagomål.docx", "A 27170-2026")</f>
        <v/>
      </c>
      <c r="AB84">
        <f>HYPERLINK("https://klasma.github.io/Logging_0980/klagomålsmail/A 27170-2026 FSC-klagomål mail.docx", "A 27170-2026")</f>
        <v/>
      </c>
      <c r="AC84">
        <f>HYPERLINK("https://klasma.github.io/Logging_0980/tillsyn/A 27170-2026 tillsynsbegäran.docx", "A 27170-2026")</f>
        <v/>
      </c>
      <c r="AD84">
        <f>HYPERLINK("https://klasma.github.io/Logging_0980/tillsynsmail/A 27170-2026 tillsynsbegäran mail.docx", "A 27170-2026")</f>
        <v/>
      </c>
    </row>
    <row r="85" ht="15" customHeight="1">
      <c r="A85" t="inlineStr">
        <is>
          <t>A 2085-2023</t>
        </is>
      </c>
      <c r="B85" t="inlineStr">
        <is>
          <t>avverkningsanmälan</t>
        </is>
      </c>
      <c r="C85" t="inlineStr">
        <is>
          <t>Föryngringsavverkning</t>
        </is>
      </c>
      <c r="D85" s="1" t="n">
        <v>44939</v>
      </c>
      <c r="E85" s="1" t="n">
        <v>46309</v>
      </c>
      <c r="F85" t="inlineStr">
        <is>
          <t>GOTLANDS LÄN</t>
        </is>
      </c>
      <c r="G85" t="inlineStr">
        <is>
          <t>GOTLAND</t>
        </is>
      </c>
      <c r="I85" t="n">
        <v>0.9</v>
      </c>
      <c r="J85" t="n">
        <v>2</v>
      </c>
      <c r="K85" t="n">
        <v>4</v>
      </c>
      <c r="L85" t="n">
        <v>2</v>
      </c>
      <c r="M85" t="n">
        <v>0</v>
      </c>
      <c r="N85" t="n">
        <v>0</v>
      </c>
      <c r="O85" t="n">
        <v>0</v>
      </c>
      <c r="P85" t="n">
        <v>0</v>
      </c>
      <c r="Q85" t="n">
        <v>2</v>
      </c>
      <c r="R85" t="n">
        <v>0</v>
      </c>
      <c r="S85" t="n">
        <v>7</v>
      </c>
      <c r="T85" t="n">
        <v>14</v>
      </c>
      <c r="U85" t="n">
        <v>14</v>
      </c>
      <c r="V85" s="2" t="inlineStr">
        <is>
          <t>Blå slemspindling
Kattfotslav
Blåmossa
Mindre märgborre
Skogsknipprot
Vågbandad barkbock
Skogsduva</t>
        </is>
      </c>
      <c r="W85">
        <f>HYPERLINK("https://klasma.github.io/Logging_0980/artfynd/A 2085-2023 artfynd.xlsx", "A 2085-2023")</f>
        <v/>
      </c>
      <c r="X85">
        <f>HYPERLINK("https://klasma.github.io/Logging_0980/kartor/A 2085-2023 karta.png", "A 2085-2023")</f>
        <v/>
      </c>
      <c r="Y85">
        <f>HYPERLINK("https://klasma.github.io/Logging_0980/kartor_geotiff/A 2085-2023 georefererad karta.tif", "A 2085-2023")</f>
        <v/>
      </c>
      <c r="AA85">
        <f>HYPERLINK("https://klasma.github.io/Logging_0980/klagomål/A 2085-2023 FSC-klagomål.docx", "A 2085-2023")</f>
        <v/>
      </c>
      <c r="AB85">
        <f>HYPERLINK("https://klasma.github.io/Logging_0980/klagomålsmail/A 2085-2023 FSC-klagomål mail.docx", "A 2085-2023")</f>
        <v/>
      </c>
      <c r="AC85">
        <f>HYPERLINK("https://klasma.github.io/Logging_0980/tillsyn/A 2085-2023 tillsynsbegäran.docx", "A 2085-2023")</f>
        <v/>
      </c>
      <c r="AD85">
        <f>HYPERLINK("https://klasma.github.io/Logging_0980/tillsynsmail/A 2085-2023 tillsynsbegäran mail.docx", "A 2085-2023")</f>
        <v/>
      </c>
    </row>
    <row r="86" ht="15" customHeight="1">
      <c r="A86" t="inlineStr">
        <is>
          <t>A 35293-2025</t>
        </is>
      </c>
      <c r="B86" t="inlineStr">
        <is>
          <t>avverkningsanmälan</t>
        </is>
      </c>
      <c r="C86" t="inlineStr">
        <is>
          <t>Föryngringsavverkning</t>
        </is>
      </c>
      <c r="D86" s="1" t="n">
        <v>45854</v>
      </c>
      <c r="E86" s="1" t="n">
        <v>46309</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A 34142-2024</t>
        </is>
      </c>
      <c r="B87" t="inlineStr">
        <is>
          <t>avverkningsanmälan</t>
        </is>
      </c>
      <c r="C87" t="inlineStr">
        <is>
          <t>Föryngringsavverkning</t>
        </is>
      </c>
      <c r="D87" s="1" t="n">
        <v>45524</v>
      </c>
      <c r="E87" s="1" t="n">
        <v>46309</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30892-2024</t>
        </is>
      </c>
      <c r="B88" t="inlineStr">
        <is>
          <t>avverkningsanmälan</t>
        </is>
      </c>
      <c r="C88" t="inlineStr">
        <is>
          <t>Föryngringsavverkning</t>
        </is>
      </c>
      <c r="D88" s="1" t="n">
        <v>45491</v>
      </c>
      <c r="E88" s="1" t="n">
        <v>46309</v>
      </c>
      <c r="F88" t="inlineStr">
        <is>
          <t>GOTLANDS LÄN</t>
        </is>
      </c>
      <c r="G88" t="inlineStr">
        <is>
          <t>GOTLAND</t>
        </is>
      </c>
      <c r="I88" t="n">
        <v>6.1</v>
      </c>
      <c r="J88" t="n">
        <v>0</v>
      </c>
      <c r="K88" t="n">
        <v>2</v>
      </c>
      <c r="L88" t="n">
        <v>2</v>
      </c>
      <c r="M88" t="n">
        <v>2</v>
      </c>
      <c r="N88" t="n">
        <v>0</v>
      </c>
      <c r="O88" t="n">
        <v>0</v>
      </c>
      <c r="P88" t="n">
        <v>0</v>
      </c>
      <c r="Q88" t="n">
        <v>4</v>
      </c>
      <c r="R88" t="n">
        <v>2</v>
      </c>
      <c r="S88" t="n">
        <v>7</v>
      </c>
      <c r="T88" t="n">
        <v>9</v>
      </c>
      <c r="U88" t="n">
        <v>9</v>
      </c>
      <c r="V88" s="2" t="inlineStr">
        <is>
          <t>Gulsträngad fagerspindling
Svartgrön spindling
Flattoppad klubbsvamp
Odörspindling
Anisspindling
Svavelriska
Kransmossa</t>
        </is>
      </c>
      <c r="W88">
        <f>HYPERLINK("https://klasma.github.io/Logging_0980/artfynd/A 30892-2024 artfynd.xlsx", "A 30892-2024")</f>
        <v/>
      </c>
      <c r="X88">
        <f>HYPERLINK("https://klasma.github.io/Logging_0980/kartor/A 30892-2024 karta.png", "A 30892-2024")</f>
        <v/>
      </c>
      <c r="Y88">
        <f>HYPERLINK("https://klasma.github.io/Logging_0980/kartor_geotiff/A 30892-2024 georefererad karta.tif", "A 30892-2024")</f>
        <v/>
      </c>
      <c r="AA88">
        <f>HYPERLINK("https://klasma.github.io/Logging_0980/klagomål/A 30892-2024 FSC-klagomål.docx", "A 30892-2024")</f>
        <v/>
      </c>
      <c r="AB88">
        <f>HYPERLINK("https://klasma.github.io/Logging_0980/klagomålsmail/A 30892-2024 FSC-klagomål mail.docx", "A 30892-2024")</f>
        <v/>
      </c>
      <c r="AC88">
        <f>HYPERLINK("https://klasma.github.io/Logging_0980/tillsyn/A 30892-2024 tillsynsbegäran.docx", "A 30892-2024")</f>
        <v/>
      </c>
      <c r="AD88">
        <f>HYPERLINK("https://klasma.github.io/Logging_0980/tillsynsmail/A 30892-2024 tillsynsbegäran mail.docx", "A 30892-2024")</f>
        <v/>
      </c>
    </row>
    <row r="89" ht="15" customHeight="1">
      <c r="A89" t="inlineStr">
        <is>
          <t>A 63152-2025</t>
        </is>
      </c>
      <c r="B89" t="inlineStr">
        <is>
          <t>avverkningsanmälan</t>
        </is>
      </c>
      <c r="C89" t="inlineStr">
        <is>
          <t>Föryngringsavverkning</t>
        </is>
      </c>
      <c r="D89" s="1" t="n">
        <v>46010</v>
      </c>
      <c r="E89" s="1" t="n">
        <v>46309</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A 10419-2025</t>
        </is>
      </c>
      <c r="B90" t="inlineStr">
        <is>
          <t>avverkningsanmälan</t>
        </is>
      </c>
      <c r="C90" t="inlineStr">
        <is>
          <t>Avverkning för att bevara och utveckla /försöksver</t>
        </is>
      </c>
      <c r="D90" s="1" t="n">
        <v>45720</v>
      </c>
      <c r="E90" s="1" t="n">
        <v>46309</v>
      </c>
      <c r="F90" t="inlineStr">
        <is>
          <t>GOTLANDS LÄN</t>
        </is>
      </c>
      <c r="G90" t="inlineStr">
        <is>
          <t>GOTLAND</t>
        </is>
      </c>
      <c r="I90" t="n">
        <v>1.2</v>
      </c>
      <c r="J90" t="n">
        <v>0</v>
      </c>
      <c r="K90" t="n">
        <v>2</v>
      </c>
      <c r="L90" t="n">
        <v>3</v>
      </c>
      <c r="M90" t="n">
        <v>2</v>
      </c>
      <c r="N90" t="n">
        <v>0</v>
      </c>
      <c r="O90" t="n">
        <v>0</v>
      </c>
      <c r="P90" t="n">
        <v>0</v>
      </c>
      <c r="Q90" t="n">
        <v>5</v>
      </c>
      <c r="R90" t="n">
        <v>2</v>
      </c>
      <c r="S90" t="n">
        <v>7</v>
      </c>
      <c r="T90" t="n">
        <v>16</v>
      </c>
      <c r="U90" t="n">
        <v>0</v>
      </c>
      <c r="V90" s="2" t="inlineStr">
        <is>
          <t>Mörkfjällig olivspindling
Violettfläckig spindling
Blå slemspindling
Fjällig taggsvamp s.str.
Kryddspindling
Anisspindling
Olivspindling</t>
        </is>
      </c>
      <c r="W90">
        <f>HYPERLINK("https://klasma.github.io/Logging_0980/artfynd/A 10419-2025 artfynd.xlsx", "A 10419-2025")</f>
        <v/>
      </c>
      <c r="X90">
        <f>HYPERLINK("https://klasma.github.io/Logging_0980/kartor/A 10419-2025 karta.png", "A 10419-2025")</f>
        <v/>
      </c>
      <c r="Y90">
        <f>HYPERLINK("https://klasma.github.io/Logging_0980/kartor_geotiff/A 10419-2025 georefererad karta.tif", "A 10419-2025")</f>
        <v/>
      </c>
      <c r="AA90">
        <f>HYPERLINK("https://klasma.github.io/Logging_0980/klagomål/A 10419-2025 FSC-klagomål.docx", "A 10419-2025")</f>
        <v/>
      </c>
      <c r="AB90">
        <f>HYPERLINK("https://klasma.github.io/Logging_0980/klagomålsmail/A 10419-2025 FSC-klagomål mail.docx", "A 10419-2025")</f>
        <v/>
      </c>
      <c r="AC90">
        <f>HYPERLINK("https://klasma.github.io/Logging_0980/tillsyn/A 10419-2025 tillsynsbegäran.docx", "A 10419-2025")</f>
        <v/>
      </c>
      <c r="AD90">
        <f>HYPERLINK("https://klasma.github.io/Logging_0980/tillsynsmail/A 10419-2025 tillsynsbegäran mail.docx", "A 10419-2025")</f>
        <v/>
      </c>
    </row>
    <row r="91" ht="15" customHeight="1">
      <c r="A91" t="inlineStr">
        <is>
          <t>S 3948-2024</t>
        </is>
      </c>
      <c r="B91" t="inlineStr">
        <is>
          <t>samrådsanmälan</t>
        </is>
      </c>
      <c r="C91" t="inlineStr">
        <is>
          <t>Annan skogsbruksåtgärd</t>
        </is>
      </c>
      <c r="D91" s="1" t="n">
        <v>45567</v>
      </c>
      <c r="E91" s="1" t="n">
        <v>46309</v>
      </c>
      <c r="F91" t="inlineStr">
        <is>
          <t>GOTLANDS LÄN</t>
        </is>
      </c>
      <c r="G91" t="inlineStr">
        <is>
          <t>GOTLAND</t>
        </is>
      </c>
      <c r="I91" t="n">
        <v>2</v>
      </c>
      <c r="J91" t="n">
        <v>1</v>
      </c>
      <c r="K91" t="n">
        <v>4</v>
      </c>
      <c r="L91" t="n">
        <v>2</v>
      </c>
      <c r="M91" t="n">
        <v>0</v>
      </c>
      <c r="N91" t="n">
        <v>0</v>
      </c>
      <c r="O91" t="n">
        <v>0</v>
      </c>
      <c r="P91" t="n">
        <v>0</v>
      </c>
      <c r="Q91" t="n">
        <v>2</v>
      </c>
      <c r="R91" t="n">
        <v>0</v>
      </c>
      <c r="S91" t="n">
        <v>7</v>
      </c>
      <c r="T91" t="n">
        <v>7</v>
      </c>
      <c r="U91" t="n">
        <v>1</v>
      </c>
      <c r="V91" s="2" t="inlineStr">
        <is>
          <t>Barrfagerspindling
Blå slemspindling
Anisspindling
Brandmusseron
Rödgul trumpetsvamp
Svavelriska
Svartvit flugsnappare</t>
        </is>
      </c>
      <c r="W91">
        <f>HYPERLINK("https://klasma.github.io/Logging_0980/artfynd/S 3948-2024 artfynd.xlsx", "S 3948-2024")</f>
        <v/>
      </c>
      <c r="X91">
        <f>HYPERLINK("https://klasma.github.io/Logging_0980/kartor/S 3948-2024 karta.png", "S 3948-2024")</f>
        <v/>
      </c>
      <c r="Y91">
        <f>HYPERLINK("https://klasma.github.io/Logging_0980/kartor_geotiff/S 3948-2024 georefererad karta.tif", "S 3948-2024")</f>
        <v/>
      </c>
      <c r="AA91">
        <f>HYPERLINK("https://klasma.github.io/Logging_0980/klagomål/S 3948-2024 FSC-klagomål.docx", "S 3948-2024")</f>
        <v/>
      </c>
      <c r="AB91">
        <f>HYPERLINK("https://klasma.github.io/Logging_0980/klagomålsmail/S 3948-2024 FSC-klagomål mail.docx", "S 3948-2024")</f>
        <v/>
      </c>
      <c r="AC91">
        <f>HYPERLINK("https://klasma.github.io/Logging_0980/tillsyn/S 3948-2024 tillsynsbegäran.docx", "S 3948-2024")</f>
        <v/>
      </c>
      <c r="AD91">
        <f>HYPERLINK("https://klasma.github.io/Logging_0980/tillsynsmail/S 3948-2024 tillsynsbegäran mail.docx", "S 3948-2024")</f>
        <v/>
      </c>
    </row>
    <row r="92" ht="15" customHeight="1">
      <c r="A92" t="inlineStr">
        <is>
          <t>A 48126-2022</t>
        </is>
      </c>
      <c r="B92" t="inlineStr">
        <is>
          <t>avverkningsanmälan</t>
        </is>
      </c>
      <c r="C92" t="inlineStr">
        <is>
          <t>Föryngringsavverkning</t>
        </is>
      </c>
      <c r="D92" s="1" t="n">
        <v>44857</v>
      </c>
      <c r="E92" s="1" t="n">
        <v>46309</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16823-2024</t>
        </is>
      </c>
      <c r="B93" t="inlineStr">
        <is>
          <t>avverkningsanmälan</t>
        </is>
      </c>
      <c r="C93" t="inlineStr">
        <is>
          <t>Avverkning för annat ändamål</t>
        </is>
      </c>
      <c r="D93" s="1" t="n">
        <v>45411</v>
      </c>
      <c r="E93" s="1" t="n">
        <v>46309</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49709-2025</t>
        </is>
      </c>
      <c r="B94" t="inlineStr">
        <is>
          <t>avverkningsanmälan</t>
        </is>
      </c>
      <c r="C94" t="inlineStr">
        <is>
          <t>Föryngringsavverkning</t>
        </is>
      </c>
      <c r="D94" s="1" t="n">
        <v>45939</v>
      </c>
      <c r="E94" s="1" t="n">
        <v>46309</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20838-2024</t>
        </is>
      </c>
      <c r="B95" t="inlineStr">
        <is>
          <t>avverkningsanmälan</t>
        </is>
      </c>
      <c r="C95" t="inlineStr">
        <is>
          <t>Föryngringsavverkning</t>
        </is>
      </c>
      <c r="D95" s="1" t="n">
        <v>45439</v>
      </c>
      <c r="E95" s="1" t="n">
        <v>46309</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A 31693-2026</t>
        </is>
      </c>
      <c r="B96" t="inlineStr">
        <is>
          <t>avverkningsanmälan</t>
        </is>
      </c>
      <c r="C96" t="inlineStr">
        <is>
          <t>Föryngringsavverkning</t>
        </is>
      </c>
      <c r="D96" s="1" t="n">
        <v>46226</v>
      </c>
      <c r="E96" s="1" t="n">
        <v>46309</v>
      </c>
      <c r="F96" t="inlineStr">
        <is>
          <t>GOTLANDS LÄN</t>
        </is>
      </c>
      <c r="G96" t="inlineStr">
        <is>
          <t>GOTLAND</t>
        </is>
      </c>
      <c r="I96" t="n">
        <v>4.8</v>
      </c>
      <c r="J96" t="n">
        <v>0</v>
      </c>
      <c r="K96" t="n">
        <v>2</v>
      </c>
      <c r="L96" t="n">
        <v>4</v>
      </c>
      <c r="M96" t="n">
        <v>0</v>
      </c>
      <c r="N96" t="n">
        <v>0</v>
      </c>
      <c r="O96" t="n">
        <v>0</v>
      </c>
      <c r="P96" t="n">
        <v>0</v>
      </c>
      <c r="Q96" t="n">
        <v>4</v>
      </c>
      <c r="R96" t="n">
        <v>0</v>
      </c>
      <c r="S96" t="n">
        <v>6</v>
      </c>
      <c r="T96" t="n">
        <v>11</v>
      </c>
      <c r="U96" t="n">
        <v>11</v>
      </c>
      <c r="V96" s="2" t="inlineStr">
        <is>
          <t>Blå slemspindling
Fjällig taggsvamp s.str.
Lädervaxing
Odörspindling
Olivspindling
Svavelriska</t>
        </is>
      </c>
      <c r="W96">
        <f>HYPERLINK("https://klasma.github.io/Logging_0980/artfynd/A 31693-2026 artfynd.xlsx", "A 31693-2026")</f>
        <v/>
      </c>
      <c r="X96">
        <f>HYPERLINK("https://klasma.github.io/Logging_0980/kartor/A 31693-2026 karta.png", "A 31693-2026")</f>
        <v/>
      </c>
      <c r="Y96">
        <f>HYPERLINK("https://klasma.github.io/Logging_0980/kartor_geotiff/A 31693-2026 georefererad karta.tif", "A 31693-2026")</f>
        <v/>
      </c>
      <c r="AA96">
        <f>HYPERLINK("https://klasma.github.io/Logging_0980/klagomål/A 31693-2026 FSC-klagomål.docx", "A 31693-2026")</f>
        <v/>
      </c>
      <c r="AB96">
        <f>HYPERLINK("https://klasma.github.io/Logging_0980/klagomålsmail/A 31693-2026 FSC-klagomål mail.docx", "A 31693-2026")</f>
        <v/>
      </c>
      <c r="AC96">
        <f>HYPERLINK("https://klasma.github.io/Logging_0980/tillsyn/A 31693-2026 tillsynsbegäran.docx", "A 31693-2026")</f>
        <v/>
      </c>
      <c r="AD96">
        <f>HYPERLINK("https://klasma.github.io/Logging_0980/tillsynsmail/A 31693-2026 tillsynsbegäran mail.docx", "A 31693-2026")</f>
        <v/>
      </c>
    </row>
    <row r="97" ht="15" customHeight="1">
      <c r="A97" t="inlineStr">
        <is>
          <t>A 49884-2023</t>
        </is>
      </c>
      <c r="B97" t="inlineStr">
        <is>
          <t>avverkningsanmälan</t>
        </is>
      </c>
      <c r="C97" t="inlineStr">
        <is>
          <t>Föryngringsavverkning</t>
        </is>
      </c>
      <c r="D97" s="1" t="n">
        <v>45213</v>
      </c>
      <c r="E97" s="1" t="n">
        <v>46309</v>
      </c>
      <c r="F97" t="inlineStr">
        <is>
          <t>GOTLANDS LÄN</t>
        </is>
      </c>
      <c r="G97" t="inlineStr">
        <is>
          <t>GOTLAND</t>
        </is>
      </c>
      <c r="I97" t="n">
        <v>8.9</v>
      </c>
      <c r="J97" t="n">
        <v>2</v>
      </c>
      <c r="K97" t="n">
        <v>5</v>
      </c>
      <c r="L97" t="n">
        <v>1</v>
      </c>
      <c r="M97" t="n">
        <v>0</v>
      </c>
      <c r="N97" t="n">
        <v>0</v>
      </c>
      <c r="O97" t="n">
        <v>0</v>
      </c>
      <c r="P97" t="n">
        <v>0</v>
      </c>
      <c r="Q97" t="n">
        <v>1</v>
      </c>
      <c r="R97" t="n">
        <v>0</v>
      </c>
      <c r="S97" t="n">
        <v>6</v>
      </c>
      <c r="T97" t="n">
        <v>9</v>
      </c>
      <c r="U97" t="n">
        <v>9</v>
      </c>
      <c r="V97" s="2" t="inlineStr">
        <is>
          <t>Blå slemspindling
Nästrot
Olivspindling
Rödgul trumpetsvamp
Skogsknipprot
Svavelriska</t>
        </is>
      </c>
      <c r="W97">
        <f>HYPERLINK("https://klasma.github.io/Logging_0980/artfynd/A 49884-2023 artfynd.xlsx", "A 49884-2023")</f>
        <v/>
      </c>
      <c r="X97">
        <f>HYPERLINK("https://klasma.github.io/Logging_0980/kartor/A 49884-2023 karta.png", "A 49884-2023")</f>
        <v/>
      </c>
      <c r="Y97">
        <f>HYPERLINK("https://klasma.github.io/Logging_0980/kartor_geotiff/A 49884-2023 georefererad karta.tif", "A 49884-2023")</f>
        <v/>
      </c>
      <c r="AA97">
        <f>HYPERLINK("https://klasma.github.io/Logging_0980/klagomål/A 49884-2023 FSC-klagomål.docx", "A 49884-2023")</f>
        <v/>
      </c>
      <c r="AB97">
        <f>HYPERLINK("https://klasma.github.io/Logging_0980/klagomålsmail/A 49884-2023 FSC-klagomål mail.docx", "A 49884-2023")</f>
        <v/>
      </c>
      <c r="AC97">
        <f>HYPERLINK("https://klasma.github.io/Logging_0980/tillsyn/A 49884-2023 tillsynsbegäran.docx", "A 49884-2023")</f>
        <v/>
      </c>
      <c r="AD97">
        <f>HYPERLINK("https://klasma.github.io/Logging_0980/tillsynsmail/A 49884-2023 tillsynsbegäran mail.docx", "A 49884-2023")</f>
        <v/>
      </c>
    </row>
    <row r="98" ht="15" customHeight="1">
      <c r="A98" t="inlineStr">
        <is>
          <t>A 43200-2023</t>
        </is>
      </c>
      <c r="B98" t="inlineStr">
        <is>
          <t>avverkningsanmälan</t>
        </is>
      </c>
      <c r="C98" t="inlineStr">
        <is>
          <t>Föryngringsavverkning</t>
        </is>
      </c>
      <c r="D98" s="1" t="n">
        <v>45183</v>
      </c>
      <c r="E98" s="1" t="n">
        <v>46309</v>
      </c>
      <c r="F98" t="inlineStr">
        <is>
          <t>GOTLANDS LÄN</t>
        </is>
      </c>
      <c r="G98" t="inlineStr">
        <is>
          <t>GOTLAND</t>
        </is>
      </c>
      <c r="I98" t="n">
        <v>0.5</v>
      </c>
      <c r="J98" t="n">
        <v>2</v>
      </c>
      <c r="K98" t="n">
        <v>3</v>
      </c>
      <c r="L98" t="n">
        <v>3</v>
      </c>
      <c r="M98" t="n">
        <v>0</v>
      </c>
      <c r="N98" t="n">
        <v>0</v>
      </c>
      <c r="O98" t="n">
        <v>0</v>
      </c>
      <c r="P98" t="n">
        <v>0</v>
      </c>
      <c r="Q98" t="n">
        <v>3</v>
      </c>
      <c r="R98" t="n">
        <v>0</v>
      </c>
      <c r="S98" t="n">
        <v>6</v>
      </c>
      <c r="T98" t="n">
        <v>8</v>
      </c>
      <c r="U98" t="n">
        <v>0</v>
      </c>
      <c r="V98" s="2" t="inlineStr">
        <is>
          <t>Kattfotslav
Sårläka
Vårärt
Kalktallört
Nästrot
Skogsknipprot</t>
        </is>
      </c>
      <c r="W98">
        <f>HYPERLINK("https://klasma.github.io/Logging_0980/artfynd/A 43200-2023 artfynd.xlsx", "A 43200-2023")</f>
        <v/>
      </c>
      <c r="X98">
        <f>HYPERLINK("https://klasma.github.io/Logging_0980/kartor/A 43200-2023 karta.png", "A 43200-2023")</f>
        <v/>
      </c>
      <c r="Y98">
        <f>HYPERLINK("https://klasma.github.io/Logging_0980/kartor_geotiff/A 43200-2023 georefererad karta.tif", "A 43200-2023")</f>
        <v/>
      </c>
      <c r="AA98">
        <f>HYPERLINK("https://klasma.github.io/Logging_0980/klagomål/A 43200-2023 FSC-klagomål.docx", "A 43200-2023")</f>
        <v/>
      </c>
      <c r="AB98">
        <f>HYPERLINK("https://klasma.github.io/Logging_0980/klagomålsmail/A 43200-2023 FSC-klagomål mail.docx", "A 43200-2023")</f>
        <v/>
      </c>
      <c r="AC98">
        <f>HYPERLINK("https://klasma.github.io/Logging_0980/tillsyn/A 43200-2023 tillsynsbegäran.docx", "A 43200-2023")</f>
        <v/>
      </c>
      <c r="AD98">
        <f>HYPERLINK("https://klasma.github.io/Logging_0980/tillsynsmail/A 43200-2023 tillsynsbegäran mail.docx", "A 43200-2023")</f>
        <v/>
      </c>
    </row>
    <row r="99" ht="15" customHeight="1">
      <c r="A99" t="inlineStr">
        <is>
          <t>A 64208-2021</t>
        </is>
      </c>
      <c r="B99" t="inlineStr">
        <is>
          <t>avverkningsanmälan</t>
        </is>
      </c>
      <c r="C99" t="inlineStr">
        <is>
          <t>Föryngringsavverkning</t>
        </is>
      </c>
      <c r="D99" s="1" t="n">
        <v>44510</v>
      </c>
      <c r="E99" s="1" t="n">
        <v>46309</v>
      </c>
      <c r="F99" t="inlineStr">
        <is>
          <t>GOTLANDS LÄN</t>
        </is>
      </c>
      <c r="G99" t="inlineStr">
        <is>
          <t>GOTLAND</t>
        </is>
      </c>
      <c r="I99" t="n">
        <v>4.7</v>
      </c>
      <c r="J99" t="n">
        <v>2</v>
      </c>
      <c r="K99" t="n">
        <v>0</v>
      </c>
      <c r="L99" t="n">
        <v>4</v>
      </c>
      <c r="M99" t="n">
        <v>1</v>
      </c>
      <c r="N99" t="n">
        <v>0</v>
      </c>
      <c r="O99" t="n">
        <v>0</v>
      </c>
      <c r="P99" t="n">
        <v>0</v>
      </c>
      <c r="Q99" t="n">
        <v>5</v>
      </c>
      <c r="R99" t="n">
        <v>1</v>
      </c>
      <c r="S99" t="n">
        <v>6</v>
      </c>
      <c r="T99" t="n">
        <v>9</v>
      </c>
      <c r="U99" t="n">
        <v>9</v>
      </c>
      <c r="V99" s="2" t="inlineStr">
        <is>
          <t>Svartfläckig blåvinge
Axveronika
Backtimjan
Jordtistel
Solvända
Alvarstånds</t>
        </is>
      </c>
      <c r="W99">
        <f>HYPERLINK("https://klasma.github.io/Logging_0980/artfynd/A 64208-2021 artfynd.xlsx", "A 64208-2021")</f>
        <v/>
      </c>
      <c r="X99">
        <f>HYPERLINK("https://klasma.github.io/Logging_0980/kartor/A 64208-2021 karta.png", "A 64208-2021")</f>
        <v/>
      </c>
      <c r="Y99">
        <f>HYPERLINK("https://klasma.github.io/Logging_0980/kartor_geotiff/A 64208-2021 georefererad karta.tif", "A 64208-2021")</f>
        <v/>
      </c>
      <c r="AA99">
        <f>HYPERLINK("https://klasma.github.io/Logging_0980/klagomål/A 64208-2021 FSC-klagomål.docx", "A 64208-2021")</f>
        <v/>
      </c>
      <c r="AB99">
        <f>HYPERLINK("https://klasma.github.io/Logging_0980/klagomålsmail/A 64208-2021 FSC-klagomål mail.docx", "A 64208-2021")</f>
        <v/>
      </c>
      <c r="AC99">
        <f>HYPERLINK("https://klasma.github.io/Logging_0980/tillsyn/A 64208-2021 tillsynsbegäran.docx", "A 64208-2021")</f>
        <v/>
      </c>
      <c r="AD99">
        <f>HYPERLINK("https://klasma.github.io/Logging_0980/tillsynsmail/A 64208-2021 tillsynsbegäran mail.docx", "A 64208-2021")</f>
        <v/>
      </c>
    </row>
    <row r="100" ht="15" customHeight="1">
      <c r="A100" t="inlineStr">
        <is>
          <t>S 452-2025</t>
        </is>
      </c>
      <c r="B100" t="inlineStr">
        <is>
          <t>samrådsanmälan</t>
        </is>
      </c>
      <c r="C100" t="inlineStr">
        <is>
          <t>Askåterföring</t>
        </is>
      </c>
      <c r="D100" s="1" t="n">
        <v>45701</v>
      </c>
      <c r="E100" s="1" t="n">
        <v>46309</v>
      </c>
      <c r="F100" t="inlineStr">
        <is>
          <t>GOTLANDS LÄN</t>
        </is>
      </c>
      <c r="G100" t="inlineStr">
        <is>
          <t>GOTLAND</t>
        </is>
      </c>
      <c r="H100" t="inlineStr">
        <is>
          <t>Övriga statliga verk och myndigheter</t>
        </is>
      </c>
      <c r="I100" t="n">
        <v>31.5</v>
      </c>
      <c r="J100" t="n">
        <v>1</v>
      </c>
      <c r="K100" t="n">
        <v>0</v>
      </c>
      <c r="L100" t="n">
        <v>4</v>
      </c>
      <c r="M100" t="n">
        <v>2</v>
      </c>
      <c r="N100" t="n">
        <v>0</v>
      </c>
      <c r="O100" t="n">
        <v>0</v>
      </c>
      <c r="P100" t="n">
        <v>0</v>
      </c>
      <c r="Q100" t="n">
        <v>6</v>
      </c>
      <c r="R100" t="n">
        <v>2</v>
      </c>
      <c r="S100" t="n">
        <v>6</v>
      </c>
      <c r="T100" t="n">
        <v>6</v>
      </c>
      <c r="U100" t="n">
        <v>4</v>
      </c>
      <c r="V100" s="2" t="inlineStr">
        <is>
          <t>Sexfläckig bastardsvärmare
Sommarklynne
Apollofjäril
Grådådra
Vippärt
Åkerranunkel</t>
        </is>
      </c>
      <c r="W100">
        <f>HYPERLINK("https://klasma.github.io/Logging_0980/artfynd/S 452-2025 artfynd.xlsx", "S 452-2025")</f>
        <v/>
      </c>
      <c r="X100">
        <f>HYPERLINK("https://klasma.github.io/Logging_0980/kartor/S 452-2025 karta.png", "S 452-2025")</f>
        <v/>
      </c>
      <c r="Y100">
        <f>HYPERLINK("https://klasma.github.io/Logging_0980/kartor_geotiff/S 452-2025 georefererad karta.tif", "S 452-2025")</f>
        <v/>
      </c>
      <c r="AA100">
        <f>HYPERLINK("https://klasma.github.io/Logging_0980/klagomål/S 452-2025 FSC-klagomål.docx", "S 452-2025")</f>
        <v/>
      </c>
      <c r="AB100">
        <f>HYPERLINK("https://klasma.github.io/Logging_0980/klagomålsmail/S 452-2025 FSC-klagomål mail.docx", "S 452-2025")</f>
        <v/>
      </c>
      <c r="AC100">
        <f>HYPERLINK("https://klasma.github.io/Logging_0980/tillsyn/S 452-2025 tillsynsbegäran.docx", "S 452-2025")</f>
        <v/>
      </c>
      <c r="AD100">
        <f>HYPERLINK("https://klasma.github.io/Logging_0980/tillsynsmail/S 452-2025 tillsynsbegäran mail.docx", "S 452-2025")</f>
        <v/>
      </c>
    </row>
    <row r="101" ht="15" customHeight="1">
      <c r="A101" t="inlineStr">
        <is>
          <t>A 5904-2024</t>
        </is>
      </c>
      <c r="B101" t="inlineStr">
        <is>
          <t>avverkningsanmälan</t>
        </is>
      </c>
      <c r="C101" t="inlineStr">
        <is>
          <t>Föryngringsavverkning</t>
        </is>
      </c>
      <c r="D101" s="1" t="n">
        <v>45335</v>
      </c>
      <c r="E101" s="1" t="n">
        <v>46309</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54055-2022</t>
        </is>
      </c>
      <c r="B102" t="inlineStr">
        <is>
          <t>avverkningsanmälan</t>
        </is>
      </c>
      <c r="C102" t="inlineStr">
        <is>
          <t>Föryngringsavverkning</t>
        </is>
      </c>
      <c r="D102" s="1" t="n">
        <v>44881</v>
      </c>
      <c r="E102" s="1" t="n">
        <v>46309</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43197-2023</t>
        </is>
      </c>
      <c r="B103" t="inlineStr">
        <is>
          <t>avverkningsanmälan</t>
        </is>
      </c>
      <c r="C103" t="inlineStr">
        <is>
          <t>Föryngringsavverkning</t>
        </is>
      </c>
      <c r="D103" s="1" t="n">
        <v>45183</v>
      </c>
      <c r="E103" s="1" t="n">
        <v>46309</v>
      </c>
      <c r="F103" t="inlineStr">
        <is>
          <t>GOTLANDS LÄN</t>
        </is>
      </c>
      <c r="G103" t="inlineStr">
        <is>
          <t>GOTLAND</t>
        </is>
      </c>
      <c r="I103" t="n">
        <v>3.7</v>
      </c>
      <c r="J103" t="n">
        <v>2</v>
      </c>
      <c r="K103" t="n">
        <v>1</v>
      </c>
      <c r="L103" t="n">
        <v>1</v>
      </c>
      <c r="M103" t="n">
        <v>1</v>
      </c>
      <c r="N103" t="n">
        <v>1</v>
      </c>
      <c r="O103" t="n">
        <v>0</v>
      </c>
      <c r="P103" t="n">
        <v>0</v>
      </c>
      <c r="Q103" t="n">
        <v>3</v>
      </c>
      <c r="R103" t="n">
        <v>2</v>
      </c>
      <c r="S103" t="n">
        <v>5</v>
      </c>
      <c r="T103" t="n">
        <v>7</v>
      </c>
      <c r="U103" t="n">
        <v>0</v>
      </c>
      <c r="V103" s="2" t="inlineStr">
        <is>
          <t>Ask
Allékantlav
Svinrot
Skogsknipprot
Revlummer</t>
        </is>
      </c>
      <c r="W103">
        <f>HYPERLINK("https://klasma.github.io/Logging_0980/artfynd/A 43197-2023 artfynd.xlsx", "A 43197-2023")</f>
        <v/>
      </c>
      <c r="X103">
        <f>HYPERLINK("https://klasma.github.io/Logging_0980/kartor/A 43197-2023 karta.png", "A 43197-2023")</f>
        <v/>
      </c>
      <c r="Y103">
        <f>HYPERLINK("https://klasma.github.io/Logging_0980/kartor_geotiff/A 43197-2023 georefererad karta.tif", "A 43197-2023")</f>
        <v/>
      </c>
      <c r="AA103">
        <f>HYPERLINK("https://klasma.github.io/Logging_0980/klagomål/A 43197-2023 FSC-klagomål.docx", "A 43197-2023")</f>
        <v/>
      </c>
      <c r="AB103">
        <f>HYPERLINK("https://klasma.github.io/Logging_0980/klagomålsmail/A 43197-2023 FSC-klagomål mail.docx", "A 43197-2023")</f>
        <v/>
      </c>
      <c r="AC103">
        <f>HYPERLINK("https://klasma.github.io/Logging_0980/tillsyn/A 43197-2023 tillsynsbegäran.docx", "A 43197-2023")</f>
        <v/>
      </c>
      <c r="AD103">
        <f>HYPERLINK("https://klasma.github.io/Logging_0980/tillsynsmail/A 43197-2023 tillsynsbegäran mail.docx", "A 43197-2023")</f>
        <v/>
      </c>
    </row>
    <row r="104" ht="15" customHeight="1">
      <c r="A104" t="inlineStr">
        <is>
          <t>A 42936-2024</t>
        </is>
      </c>
      <c r="B104" t="inlineStr">
        <is>
          <t>avverkningsanmälan</t>
        </is>
      </c>
      <c r="C104" t="inlineStr">
        <is>
          <t>Föryngringsavverkning</t>
        </is>
      </c>
      <c r="D104" s="1" t="n">
        <v>45567</v>
      </c>
      <c r="E104" s="1" t="n">
        <v>46309</v>
      </c>
      <c r="F104" t="inlineStr">
        <is>
          <t>GOTLANDS LÄN</t>
        </is>
      </c>
      <c r="G104" t="inlineStr">
        <is>
          <t>GOTLAND</t>
        </is>
      </c>
      <c r="I104" t="n">
        <v>3.4</v>
      </c>
      <c r="J104" t="n">
        <v>0</v>
      </c>
      <c r="K104" t="n">
        <v>1</v>
      </c>
      <c r="L104" t="n">
        <v>3</v>
      </c>
      <c r="M104" t="n">
        <v>1</v>
      </c>
      <c r="N104" t="n">
        <v>0</v>
      </c>
      <c r="O104" t="n">
        <v>0</v>
      </c>
      <c r="P104" t="n">
        <v>0</v>
      </c>
      <c r="Q104" t="n">
        <v>4</v>
      </c>
      <c r="R104" t="n">
        <v>1</v>
      </c>
      <c r="S104" t="n">
        <v>5</v>
      </c>
      <c r="T104" t="n">
        <v>5</v>
      </c>
      <c r="U104" t="n">
        <v>0</v>
      </c>
      <c r="V104" s="2" t="inlineStr">
        <is>
          <t>Vit taggsvamp
Barrfagerspindling
Blå slemspindling
Äggspindling
Svavelriska</t>
        </is>
      </c>
      <c r="W104">
        <f>HYPERLINK("https://klasma.github.io/Logging_0980/artfynd/A 42936-2024 artfynd.xlsx", "A 42936-2024")</f>
        <v/>
      </c>
      <c r="X104">
        <f>HYPERLINK("https://klasma.github.io/Logging_0980/kartor/A 42936-2024 karta.png", "A 42936-2024")</f>
        <v/>
      </c>
      <c r="Y104">
        <f>HYPERLINK("https://klasma.github.io/Logging_0980/kartor_geotiff/A 42936-2024 georefererad karta.tif", "A 42936-2024")</f>
        <v/>
      </c>
      <c r="AA104">
        <f>HYPERLINK("https://klasma.github.io/Logging_0980/klagomål/A 42936-2024 FSC-klagomål.docx", "A 42936-2024")</f>
        <v/>
      </c>
      <c r="AB104">
        <f>HYPERLINK("https://klasma.github.io/Logging_0980/klagomålsmail/A 42936-2024 FSC-klagomål mail.docx", "A 42936-2024")</f>
        <v/>
      </c>
      <c r="AC104">
        <f>HYPERLINK("https://klasma.github.io/Logging_0980/tillsyn/A 42936-2024 tillsynsbegäran.docx", "A 42936-2024")</f>
        <v/>
      </c>
      <c r="AD104">
        <f>HYPERLINK("https://klasma.github.io/Logging_0980/tillsynsmail/A 42936-2024 tillsynsbegäran mail.docx", "A 42936-2024")</f>
        <v/>
      </c>
    </row>
    <row r="105" ht="15" customHeight="1">
      <c r="A105" t="inlineStr">
        <is>
          <t>A 39425-2023</t>
        </is>
      </c>
      <c r="B105" t="inlineStr">
        <is>
          <t>avverkningsanmälan</t>
        </is>
      </c>
      <c r="C105" t="inlineStr">
        <is>
          <t>Avverkning för annat ändamål</t>
        </is>
      </c>
      <c r="D105" s="1" t="n">
        <v>45166</v>
      </c>
      <c r="E105" s="1" t="n">
        <v>46309</v>
      </c>
      <c r="F105" t="inlineStr">
        <is>
          <t>GOTLANDS LÄN</t>
        </is>
      </c>
      <c r="G105" t="inlineStr">
        <is>
          <t>GOTLAND</t>
        </is>
      </c>
      <c r="I105" t="n">
        <v>3.9</v>
      </c>
      <c r="J105" t="n">
        <v>1</v>
      </c>
      <c r="K105" t="n">
        <v>3</v>
      </c>
      <c r="L105" t="n">
        <v>0</v>
      </c>
      <c r="M105" t="n">
        <v>1</v>
      </c>
      <c r="N105" t="n">
        <v>1</v>
      </c>
      <c r="O105" t="n">
        <v>0</v>
      </c>
      <c r="P105" t="n">
        <v>0</v>
      </c>
      <c r="Q105" t="n">
        <v>2</v>
      </c>
      <c r="R105" t="n">
        <v>2</v>
      </c>
      <c r="S105" t="n">
        <v>5</v>
      </c>
      <c r="T105" t="n">
        <v>7</v>
      </c>
      <c r="U105" t="n">
        <v>7</v>
      </c>
      <c r="V105" s="2" t="inlineStr">
        <is>
          <t>Violgubbe
Knärot
Anisspindling
Rödgul trumpetsvamp
Svavelriska</t>
        </is>
      </c>
      <c r="W105">
        <f>HYPERLINK("https://klasma.github.io/Logging_0980/artfynd/A 39425-2023 artfynd.xlsx", "A 39425-2023")</f>
        <v/>
      </c>
      <c r="X105">
        <f>HYPERLINK("https://klasma.github.io/Logging_0980/kartor/A 39425-2023 karta.png", "A 39425-2023")</f>
        <v/>
      </c>
      <c r="Y105">
        <f>HYPERLINK("https://klasma.github.io/Logging_0980/kartor_geotiff/A 39425-2023 georefererad karta.tif", "A 39425-2023")</f>
        <v/>
      </c>
      <c r="Z105">
        <f>HYPERLINK("https://klasma.github.io/Logging_0980/knärot/A 39425-2023 karta knärot.png", "A 39425-2023")</f>
        <v/>
      </c>
      <c r="AA105">
        <f>HYPERLINK("https://klasma.github.io/Logging_0980/klagomål/A 39425-2023 FSC-klagomål.docx", "A 39425-2023")</f>
        <v/>
      </c>
      <c r="AB105">
        <f>HYPERLINK("https://klasma.github.io/Logging_0980/klagomålsmail/A 39425-2023 FSC-klagomål mail.docx", "A 39425-2023")</f>
        <v/>
      </c>
      <c r="AC105">
        <f>HYPERLINK("https://klasma.github.io/Logging_0980/tillsyn/A 39425-2023 tillsynsbegäran.docx", "A 39425-2023")</f>
        <v/>
      </c>
      <c r="AD105">
        <f>HYPERLINK("https://klasma.github.io/Logging_0980/tillsynsmail/A 39425-2023 tillsynsbegäran mail.docx", "A 39425-2023")</f>
        <v/>
      </c>
    </row>
    <row r="106" ht="15" customHeight="1">
      <c r="A106" t="inlineStr">
        <is>
          <t>A 8265-2023</t>
        </is>
      </c>
      <c r="B106" t="inlineStr">
        <is>
          <t>avverkningsanmälan</t>
        </is>
      </c>
      <c r="C106" t="inlineStr">
        <is>
          <t>Föryngringsavverkning</t>
        </is>
      </c>
      <c r="D106" s="1" t="n">
        <v>44974</v>
      </c>
      <c r="E106" s="1" t="n">
        <v>46309</v>
      </c>
      <c r="F106" t="inlineStr">
        <is>
          <t>GOTLANDS LÄN</t>
        </is>
      </c>
      <c r="G106" t="inlineStr">
        <is>
          <t>GOTLAND</t>
        </is>
      </c>
      <c r="I106" t="n">
        <v>3.3</v>
      </c>
      <c r="J106" t="n">
        <v>4</v>
      </c>
      <c r="K106" t="n">
        <v>3</v>
      </c>
      <c r="L106" t="n">
        <v>1</v>
      </c>
      <c r="M106" t="n">
        <v>0</v>
      </c>
      <c r="N106" t="n">
        <v>0</v>
      </c>
      <c r="O106" t="n">
        <v>0</v>
      </c>
      <c r="P106" t="n">
        <v>0</v>
      </c>
      <c r="Q106" t="n">
        <v>1</v>
      </c>
      <c r="R106" t="n">
        <v>0</v>
      </c>
      <c r="S106" t="n">
        <v>5</v>
      </c>
      <c r="T106" t="n">
        <v>9</v>
      </c>
      <c r="U106" t="n">
        <v>9</v>
      </c>
      <c r="V106" s="2" t="inlineStr">
        <is>
          <t>Säfferot
Flugblomster
Purpurknipprot
Tvåblad
Salepsrot</t>
        </is>
      </c>
      <c r="W106">
        <f>HYPERLINK("https://klasma.github.io/Logging_0980/artfynd/A 8265-2023 artfynd.xlsx", "A 8265-2023")</f>
        <v/>
      </c>
      <c r="X106">
        <f>HYPERLINK("https://klasma.github.io/Logging_0980/kartor/A 8265-2023 karta.png", "A 8265-2023")</f>
        <v/>
      </c>
      <c r="Y106">
        <f>HYPERLINK("https://klasma.github.io/Logging_0980/kartor_geotiff/A 8265-2023 georefererad karta.tif", "A 8265-2023")</f>
        <v/>
      </c>
      <c r="AA106">
        <f>HYPERLINK("https://klasma.github.io/Logging_0980/klagomål/A 8265-2023 FSC-klagomål.docx", "A 8265-2023")</f>
        <v/>
      </c>
      <c r="AB106">
        <f>HYPERLINK("https://klasma.github.io/Logging_0980/klagomålsmail/A 8265-2023 FSC-klagomål mail.docx", "A 8265-2023")</f>
        <v/>
      </c>
      <c r="AC106">
        <f>HYPERLINK("https://klasma.github.io/Logging_0980/tillsyn/A 8265-2023 tillsynsbegäran.docx", "A 8265-2023")</f>
        <v/>
      </c>
      <c r="AD106">
        <f>HYPERLINK("https://klasma.github.io/Logging_0980/tillsynsmail/A 8265-2023 tillsynsbegäran mail.docx", "A 8265-2023")</f>
        <v/>
      </c>
    </row>
    <row r="107" ht="15" customHeight="1">
      <c r="A107" t="inlineStr">
        <is>
          <t>A 73144-2021</t>
        </is>
      </c>
      <c r="B107" t="inlineStr">
        <is>
          <t>avverkningsanmälan</t>
        </is>
      </c>
      <c r="C107" t="inlineStr">
        <is>
          <t>Föryngringsavverkning</t>
        </is>
      </c>
      <c r="D107" s="1" t="n">
        <v>44550</v>
      </c>
      <c r="E107" s="1" t="n">
        <v>46309</v>
      </c>
      <c r="F107" t="inlineStr">
        <is>
          <t>GOTLANDS LÄN</t>
        </is>
      </c>
      <c r="G107" t="inlineStr">
        <is>
          <t>GOTLAND</t>
        </is>
      </c>
      <c r="I107" t="n">
        <v>1.9</v>
      </c>
      <c r="J107" t="n">
        <v>0</v>
      </c>
      <c r="K107" t="n">
        <v>1</v>
      </c>
      <c r="L107" t="n">
        <v>1</v>
      </c>
      <c r="M107" t="n">
        <v>3</v>
      </c>
      <c r="N107" t="n">
        <v>0</v>
      </c>
      <c r="O107" t="n">
        <v>0</v>
      </c>
      <c r="P107" t="n">
        <v>0</v>
      </c>
      <c r="Q107" t="n">
        <v>4</v>
      </c>
      <c r="R107" t="n">
        <v>3</v>
      </c>
      <c r="S107" t="n">
        <v>5</v>
      </c>
      <c r="T107" t="n">
        <v>7</v>
      </c>
      <c r="U107" t="n">
        <v>7</v>
      </c>
      <c r="V107" s="2" t="inlineStr">
        <is>
          <t>Igelkott
Skogskorn
Svartgrön spindling
Äggspindling
Kambräken</t>
        </is>
      </c>
      <c r="W107">
        <f>HYPERLINK("https://klasma.github.io/Logging_0980/artfynd/A 73144-2021 artfynd.xlsx", "A 73144-2021")</f>
        <v/>
      </c>
      <c r="X107">
        <f>HYPERLINK("https://klasma.github.io/Logging_0980/kartor/A 73144-2021 karta.png", "A 73144-2021")</f>
        <v/>
      </c>
      <c r="Y107">
        <f>HYPERLINK("https://klasma.github.io/Logging_0980/kartor_geotiff/A 73144-2021 georefererad karta.tif", "A 73144-2021")</f>
        <v/>
      </c>
      <c r="AA107">
        <f>HYPERLINK("https://klasma.github.io/Logging_0980/klagomål/A 73144-2021 FSC-klagomål.docx", "A 73144-2021")</f>
        <v/>
      </c>
      <c r="AB107">
        <f>HYPERLINK("https://klasma.github.io/Logging_0980/klagomålsmail/A 73144-2021 FSC-klagomål mail.docx", "A 73144-2021")</f>
        <v/>
      </c>
      <c r="AC107">
        <f>HYPERLINK("https://klasma.github.io/Logging_0980/tillsyn/A 73144-2021 tillsynsbegäran.docx", "A 73144-2021")</f>
        <v/>
      </c>
      <c r="AD107">
        <f>HYPERLINK("https://klasma.github.io/Logging_0980/tillsynsmail/A 73144-2021 tillsynsbegäran mail.docx", "A 73144-2021")</f>
        <v/>
      </c>
    </row>
    <row r="108" ht="15" customHeight="1">
      <c r="A108" t="inlineStr">
        <is>
          <t>A 57463-2025</t>
        </is>
      </c>
      <c r="B108" t="inlineStr">
        <is>
          <t>avverkningsanmälan</t>
        </is>
      </c>
      <c r="C108" t="inlineStr">
        <is>
          <t>Föryngringsavverkning</t>
        </is>
      </c>
      <c r="D108" s="1" t="n">
        <v>45980</v>
      </c>
      <c r="E108" s="1" t="n">
        <v>46309</v>
      </c>
      <c r="F108" t="inlineStr">
        <is>
          <t>GOTLANDS LÄN</t>
        </is>
      </c>
      <c r="G108" t="inlineStr">
        <is>
          <t>GOTLAND</t>
        </is>
      </c>
      <c r="I108" t="n">
        <v>3.8</v>
      </c>
      <c r="J108" t="n">
        <v>0</v>
      </c>
      <c r="K108" t="n">
        <v>0</v>
      </c>
      <c r="L108" t="n">
        <v>2</v>
      </c>
      <c r="M108" t="n">
        <v>3</v>
      </c>
      <c r="N108" t="n">
        <v>0</v>
      </c>
      <c r="O108" t="n">
        <v>0</v>
      </c>
      <c r="P108" t="n">
        <v>0</v>
      </c>
      <c r="Q108" t="n">
        <v>5</v>
      </c>
      <c r="R108" t="n">
        <v>3</v>
      </c>
      <c r="S108" t="n">
        <v>5</v>
      </c>
      <c r="T108" t="n">
        <v>7</v>
      </c>
      <c r="U108" t="n">
        <v>0</v>
      </c>
      <c r="V108" s="2" t="inlineStr">
        <is>
          <t>Bullspindling
Gulsträngad fagerspindling
Tvillingspindling
Blå slemspindling
Odörspindling</t>
        </is>
      </c>
      <c r="W108">
        <f>HYPERLINK("https://klasma.github.io/Logging_0980/artfynd/A 57463-2025 artfynd.xlsx", "A 57463-2025")</f>
        <v/>
      </c>
      <c r="X108">
        <f>HYPERLINK("https://klasma.github.io/Logging_0980/kartor/A 57463-2025 karta.png", "A 57463-2025")</f>
        <v/>
      </c>
      <c r="Y108">
        <f>HYPERLINK("https://klasma.github.io/Logging_0980/kartor_geotiff/A 57463-2025 georefererad karta.tif", "A 57463-2025")</f>
        <v/>
      </c>
      <c r="AA108">
        <f>HYPERLINK("https://klasma.github.io/Logging_0980/klagomål/A 57463-2025 FSC-klagomål.docx", "A 57463-2025")</f>
        <v/>
      </c>
      <c r="AB108">
        <f>HYPERLINK("https://klasma.github.io/Logging_0980/klagomålsmail/A 57463-2025 FSC-klagomål mail.docx", "A 57463-2025")</f>
        <v/>
      </c>
      <c r="AC108">
        <f>HYPERLINK("https://klasma.github.io/Logging_0980/tillsyn/A 57463-2025 tillsynsbegäran.docx", "A 57463-2025")</f>
        <v/>
      </c>
      <c r="AD108">
        <f>HYPERLINK("https://klasma.github.io/Logging_0980/tillsynsmail/A 57463-2025 tillsynsbegäran mail.docx", "A 57463-2025")</f>
        <v/>
      </c>
    </row>
    <row r="109" ht="15" customHeight="1">
      <c r="A109" t="inlineStr">
        <is>
          <t>S 1702-2020</t>
        </is>
      </c>
      <c r="B109" t="inlineStr">
        <is>
          <t>samrådsanmälan</t>
        </is>
      </c>
      <c r="C109" t="n">
        <v/>
      </c>
      <c r="D109" s="1" t="n">
        <v>44040</v>
      </c>
      <c r="E109" s="1" t="n">
        <v>46309</v>
      </c>
      <c r="F109" t="inlineStr">
        <is>
          <t>GOTLANDS LÄN</t>
        </is>
      </c>
      <c r="G109" t="inlineStr">
        <is>
          <t>GOTLAND</t>
        </is>
      </c>
      <c r="I109" t="n">
        <v>2.7</v>
      </c>
      <c r="J109" t="n">
        <v>0</v>
      </c>
      <c r="K109" t="n">
        <v>0</v>
      </c>
      <c r="L109" t="n">
        <v>0</v>
      </c>
      <c r="M109" t="n">
        <v>2</v>
      </c>
      <c r="N109" t="n">
        <v>3</v>
      </c>
      <c r="O109" t="n">
        <v>0</v>
      </c>
      <c r="P109" t="n">
        <v>0</v>
      </c>
      <c r="Q109" t="n">
        <v>5</v>
      </c>
      <c r="R109" t="n">
        <v>5</v>
      </c>
      <c r="S109" t="n">
        <v>5</v>
      </c>
      <c r="T109" t="n">
        <v>7</v>
      </c>
      <c r="U109" t="n">
        <v>7</v>
      </c>
      <c r="V109" s="2" t="inlineStr">
        <is>
          <t>Almlav
Lundalm
Savlundlav
Blek kraterlav
Klosterlav</t>
        </is>
      </c>
      <c r="W109">
        <f>HYPERLINK("https://klasma.github.io/Logging_0980/artfynd/S 1702-2020 artfynd.xlsx", "S 1702-2020")</f>
        <v/>
      </c>
      <c r="X109">
        <f>HYPERLINK("https://klasma.github.io/Logging_0980/kartor/S 1702-2020 karta.png", "S 1702-2020")</f>
        <v/>
      </c>
      <c r="Y109">
        <f>HYPERLINK("https://klasma.github.io/Logging_0980/kartor_geotiff/S 1702-2020 georefererad karta.tif", "S 1702-2020")</f>
        <v/>
      </c>
      <c r="AA109">
        <f>HYPERLINK("https://klasma.github.io/Logging_0980/klagomål/S 1702-2020 FSC-klagomål.docx", "S 1702-2020")</f>
        <v/>
      </c>
      <c r="AB109">
        <f>HYPERLINK("https://klasma.github.io/Logging_0980/klagomålsmail/S 1702-2020 FSC-klagomål mail.docx", "S 1702-2020")</f>
        <v/>
      </c>
      <c r="AC109">
        <f>HYPERLINK("https://klasma.github.io/Logging_0980/tillsyn/S 1702-2020 tillsynsbegäran.docx", "S 1702-2020")</f>
        <v/>
      </c>
      <c r="AD109">
        <f>HYPERLINK("https://klasma.github.io/Logging_0980/tillsynsmail/S 1702-2020 tillsynsbegäran mail.docx", "S 1702-2020")</f>
        <v/>
      </c>
    </row>
    <row r="110" ht="15" customHeight="1">
      <c r="A110" t="inlineStr">
        <is>
          <t>A 1273-2023</t>
        </is>
      </c>
      <c r="B110" t="inlineStr">
        <is>
          <t>avverkningsanmälan</t>
        </is>
      </c>
      <c r="C110" t="inlineStr">
        <is>
          <t>Föryngringsavverkning</t>
        </is>
      </c>
      <c r="D110" s="1" t="n">
        <v>44936</v>
      </c>
      <c r="E110" s="1" t="n">
        <v>46309</v>
      </c>
      <c r="F110" t="inlineStr">
        <is>
          <t>GOTLANDS LÄN</t>
        </is>
      </c>
      <c r="G110" t="inlineStr">
        <is>
          <t>GOTLAND</t>
        </is>
      </c>
      <c r="I110" t="n">
        <v>4.5</v>
      </c>
      <c r="J110" t="n">
        <v>2</v>
      </c>
      <c r="K110" t="n">
        <v>1</v>
      </c>
      <c r="L110" t="n">
        <v>2</v>
      </c>
      <c r="M110" t="n">
        <v>1</v>
      </c>
      <c r="N110" t="n">
        <v>0</v>
      </c>
      <c r="O110" t="n">
        <v>0</v>
      </c>
      <c r="P110" t="n">
        <v>0</v>
      </c>
      <c r="Q110" t="n">
        <v>3</v>
      </c>
      <c r="R110" t="n">
        <v>1</v>
      </c>
      <c r="S110" t="n">
        <v>4</v>
      </c>
      <c r="T110" t="n">
        <v>7</v>
      </c>
      <c r="U110" t="n">
        <v>3</v>
      </c>
      <c r="V110" s="2" t="inlineStr">
        <is>
          <t>Garderönn
Svinrot
Vårärt
Skogsknipprot</t>
        </is>
      </c>
      <c r="W110">
        <f>HYPERLINK("https://klasma.github.io/Logging_0980/artfynd/A 1273-2023 artfynd.xlsx", "A 1273-2023")</f>
        <v/>
      </c>
      <c r="X110">
        <f>HYPERLINK("https://klasma.github.io/Logging_0980/kartor/A 1273-2023 karta.png", "A 1273-2023")</f>
        <v/>
      </c>
      <c r="Y110">
        <f>HYPERLINK("https://klasma.github.io/Logging_0980/kartor_geotiff/A 1273-2023 georefererad karta.tif", "A 1273-2023")</f>
        <v/>
      </c>
      <c r="AA110">
        <f>HYPERLINK("https://klasma.github.io/Logging_0980/klagomål/A 1273-2023 FSC-klagomål.docx", "A 1273-2023")</f>
        <v/>
      </c>
      <c r="AB110">
        <f>HYPERLINK("https://klasma.github.io/Logging_0980/klagomålsmail/A 1273-2023 FSC-klagomål mail.docx", "A 1273-2023")</f>
        <v/>
      </c>
      <c r="AC110">
        <f>HYPERLINK("https://klasma.github.io/Logging_0980/tillsyn/A 1273-2023 tillsynsbegäran.docx", "A 1273-2023")</f>
        <v/>
      </c>
      <c r="AD110">
        <f>HYPERLINK("https://klasma.github.io/Logging_0980/tillsynsmail/A 1273-2023 tillsynsbegäran mail.docx", "A 1273-2023")</f>
        <v/>
      </c>
    </row>
    <row r="111" ht="15" customHeight="1">
      <c r="A111" t="inlineStr">
        <is>
          <t>A 61100-2022</t>
        </is>
      </c>
      <c r="B111" t="inlineStr">
        <is>
          <t>avverkningsanmälan</t>
        </is>
      </c>
      <c r="C111" t="inlineStr">
        <is>
          <t>Föryngringsavverkning</t>
        </is>
      </c>
      <c r="D111" s="1" t="n">
        <v>44915</v>
      </c>
      <c r="E111" s="1" t="n">
        <v>46309</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54523-2023</t>
        </is>
      </c>
      <c r="B112" t="inlineStr">
        <is>
          <t>avverkningsanmälan</t>
        </is>
      </c>
      <c r="C112" t="inlineStr">
        <is>
          <t>Föryngringsavverkning</t>
        </is>
      </c>
      <c r="D112" s="1" t="n">
        <v>45233</v>
      </c>
      <c r="E112" s="1" t="n">
        <v>46309</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46309</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2485-2025</t>
        </is>
      </c>
      <c r="B114" t="inlineStr">
        <is>
          <t>avverkningsanmälan</t>
        </is>
      </c>
      <c r="C114" t="inlineStr">
        <is>
          <t>Föryngringsavverkning</t>
        </is>
      </c>
      <c r="D114" s="1" t="n">
        <v>45673</v>
      </c>
      <c r="E114" s="1" t="n">
        <v>46309</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61386-2023</t>
        </is>
      </c>
      <c r="B115" t="inlineStr">
        <is>
          <t>avverkningsanmälan</t>
        </is>
      </c>
      <c r="C115" t="inlineStr">
        <is>
          <t>Avverkning för annat ändamål</t>
        </is>
      </c>
      <c r="D115" s="1" t="n">
        <v>45264</v>
      </c>
      <c r="E115" s="1" t="n">
        <v>46309</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38832-2026</t>
        </is>
      </c>
      <c r="B116" t="inlineStr">
        <is>
          <t>avverkningsanmälan</t>
        </is>
      </c>
      <c r="C116" t="inlineStr">
        <is>
          <t>Föryngringsavverkning</t>
        </is>
      </c>
      <c r="D116" s="1" t="n">
        <v>46286</v>
      </c>
      <c r="E116" s="1" t="n">
        <v>46309</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46309</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56717-2024</t>
        </is>
      </c>
      <c r="B118" t="inlineStr">
        <is>
          <t>avverkningsanmälan</t>
        </is>
      </c>
      <c r="C118" t="inlineStr">
        <is>
          <t>Föryngringsavverkning</t>
        </is>
      </c>
      <c r="D118" s="1" t="n">
        <v>45628</v>
      </c>
      <c r="E118" s="1" t="n">
        <v>46309</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37591-2023</t>
        </is>
      </c>
      <c r="B119" t="inlineStr">
        <is>
          <t>avverkningsanmälan</t>
        </is>
      </c>
      <c r="C119" t="inlineStr">
        <is>
          <t>Föryngringsavverkning</t>
        </is>
      </c>
      <c r="D119" s="1" t="n">
        <v>45159</v>
      </c>
      <c r="E119" s="1" t="n">
        <v>46309</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16997-2026</t>
        </is>
      </c>
      <c r="B120" t="inlineStr">
        <is>
          <t>avverkningsanmälan</t>
        </is>
      </c>
      <c r="C120" t="inlineStr">
        <is>
          <t>Föryngringsavverkning</t>
        </is>
      </c>
      <c r="D120" s="1" t="n">
        <v>46114</v>
      </c>
      <c r="E120" s="1" t="n">
        <v>46309</v>
      </c>
      <c r="F120" t="inlineStr">
        <is>
          <t>GOTLANDS LÄN</t>
        </is>
      </c>
      <c r="G120" t="inlineStr">
        <is>
          <t>GOTLAND</t>
        </is>
      </c>
      <c r="I120" t="n">
        <v>0.7</v>
      </c>
      <c r="J120" t="n">
        <v>0</v>
      </c>
      <c r="K120" t="n">
        <v>3</v>
      </c>
      <c r="L120" t="n">
        <v>0</v>
      </c>
      <c r="M120" t="n">
        <v>0</v>
      </c>
      <c r="N120" t="n">
        <v>1</v>
      </c>
      <c r="O120" t="n">
        <v>0</v>
      </c>
      <c r="P120" t="n">
        <v>0</v>
      </c>
      <c r="Q120" t="n">
        <v>1</v>
      </c>
      <c r="R120" t="n">
        <v>1</v>
      </c>
      <c r="S120" t="n">
        <v>4</v>
      </c>
      <c r="T120" t="n">
        <v>5</v>
      </c>
      <c r="U120" t="n">
        <v>0</v>
      </c>
      <c r="V120" s="2" t="inlineStr">
        <is>
          <t>Ask
Hasselticka
Läderskål
Stubbspretmossa</t>
        </is>
      </c>
      <c r="W120">
        <f>HYPERLINK("https://klasma.github.io/Logging_0980/artfynd/A 16997-2026 artfynd.xlsx", "A 16997-2026")</f>
        <v/>
      </c>
      <c r="X120">
        <f>HYPERLINK("https://klasma.github.io/Logging_0980/kartor/A 16997-2026 karta.png", "A 16997-2026")</f>
        <v/>
      </c>
      <c r="Y120">
        <f>HYPERLINK("https://klasma.github.io/Logging_0980/kartor_geotiff/A 16997-2026 georefererad karta.tif", "A 16997-2026")</f>
        <v/>
      </c>
      <c r="AA120">
        <f>HYPERLINK("https://klasma.github.io/Logging_0980/klagomål/A 16997-2026 FSC-klagomål.docx", "A 16997-2026")</f>
        <v/>
      </c>
      <c r="AB120">
        <f>HYPERLINK("https://klasma.github.io/Logging_0980/klagomålsmail/A 16997-2026 FSC-klagomål mail.docx", "A 16997-2026")</f>
        <v/>
      </c>
      <c r="AC120">
        <f>HYPERLINK("https://klasma.github.io/Logging_0980/tillsyn/A 16997-2026 tillsynsbegäran.docx", "A 16997-2026")</f>
        <v/>
      </c>
      <c r="AD120">
        <f>HYPERLINK("https://klasma.github.io/Logging_0980/tillsynsmail/A 16997-2026 tillsynsbegäran mail.docx", "A 16997-2026")</f>
        <v/>
      </c>
    </row>
    <row r="121" ht="15" customHeight="1">
      <c r="A121" t="inlineStr">
        <is>
          <t>A 7625-2026</t>
        </is>
      </c>
      <c r="B121" t="inlineStr">
        <is>
          <t>avverkningsanmälan</t>
        </is>
      </c>
      <c r="C121" t="inlineStr">
        <is>
          <t>Föryngringsavverkning</t>
        </is>
      </c>
      <c r="D121" s="1" t="n">
        <v>46062</v>
      </c>
      <c r="E121" s="1" t="n">
        <v>46309</v>
      </c>
      <c r="F121" t="inlineStr">
        <is>
          <t>GOTLANDS LÄN</t>
        </is>
      </c>
      <c r="G121" t="inlineStr">
        <is>
          <t>GOTLAND</t>
        </is>
      </c>
      <c r="I121" t="n">
        <v>2.1</v>
      </c>
      <c r="J121" t="n">
        <v>1</v>
      </c>
      <c r="K121" t="n">
        <v>0</v>
      </c>
      <c r="L121" t="n">
        <v>4</v>
      </c>
      <c r="M121" t="n">
        <v>0</v>
      </c>
      <c r="N121" t="n">
        <v>0</v>
      </c>
      <c r="O121" t="n">
        <v>0</v>
      </c>
      <c r="P121" t="n">
        <v>0</v>
      </c>
      <c r="Q121" t="n">
        <v>4</v>
      </c>
      <c r="R121" t="n">
        <v>0</v>
      </c>
      <c r="S121" t="n">
        <v>4</v>
      </c>
      <c r="T121" t="n">
        <v>26</v>
      </c>
      <c r="U121" t="n">
        <v>26</v>
      </c>
      <c r="V121" s="2" t="inlineStr">
        <is>
          <t>Backstarr
Backtimjan
Dårgräsfjäril
Solvända</t>
        </is>
      </c>
      <c r="W121">
        <f>HYPERLINK("https://klasma.github.io/Logging_0980/artfynd/A 7625-2026 artfynd.xlsx", "A 7625-2026")</f>
        <v/>
      </c>
      <c r="X121">
        <f>HYPERLINK("https://klasma.github.io/Logging_0980/kartor/A 7625-2026 karta.png", "A 7625-2026")</f>
        <v/>
      </c>
      <c r="Y121">
        <f>HYPERLINK("https://klasma.github.io/Logging_0980/kartor_geotiff/A 7625-2026 georefererad karta.tif", "A 7625-2026")</f>
        <v/>
      </c>
      <c r="AA121">
        <f>HYPERLINK("https://klasma.github.io/Logging_0980/klagomål/A 7625-2026 FSC-klagomål.docx", "A 7625-2026")</f>
        <v/>
      </c>
      <c r="AB121">
        <f>HYPERLINK("https://klasma.github.io/Logging_0980/klagomålsmail/A 7625-2026 FSC-klagomål mail.docx", "A 7625-2026")</f>
        <v/>
      </c>
      <c r="AC121">
        <f>HYPERLINK("https://klasma.github.io/Logging_0980/tillsyn/A 7625-2026 tillsynsbegäran.docx", "A 7625-2026")</f>
        <v/>
      </c>
      <c r="AD121">
        <f>HYPERLINK("https://klasma.github.io/Logging_0980/tillsynsmail/A 7625-2026 tillsynsbegäran mail.docx", "A 7625-2026")</f>
        <v/>
      </c>
    </row>
    <row r="122" ht="15" customHeight="1">
      <c r="A122" t="inlineStr">
        <is>
          <t>A 65927-2021</t>
        </is>
      </c>
      <c r="B122" t="inlineStr">
        <is>
          <t>avverkningsanmälan</t>
        </is>
      </c>
      <c r="C122" t="inlineStr">
        <is>
          <t>Föryngringsavverkning</t>
        </is>
      </c>
      <c r="D122" s="1" t="n">
        <v>44516</v>
      </c>
      <c r="E122" s="1" t="n">
        <v>46309</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t="n">
        <v>3</v>
      </c>
      <c r="V122" s="2" t="inlineStr">
        <is>
          <t>Grenigt kungsljus
Åkerkulla
Gullviva</t>
        </is>
      </c>
      <c r="W122">
        <f>HYPERLINK("https://klasma.github.io/Logging_0980/artfynd/A 65927-2021 artfynd.xlsx", "A 65927-2021")</f>
        <v/>
      </c>
      <c r="X122">
        <f>HYPERLINK("https://klasma.github.io/Logging_0980/kartor/A 65927-2021 karta.png", "A 65927-2021")</f>
        <v/>
      </c>
      <c r="Y122">
        <f>HYPERLINK("https://klasma.github.io/Logging_0980/kartor_geotiff/A 65927-2021 georefererad karta.tif", "A 65927-2021")</f>
        <v/>
      </c>
      <c r="AA122">
        <f>HYPERLINK("https://klasma.github.io/Logging_0980/klagomål/A 65927-2021 FSC-klagomål.docx", "A 65927-2021")</f>
        <v/>
      </c>
      <c r="AB122">
        <f>HYPERLINK("https://klasma.github.io/Logging_0980/klagomålsmail/A 65927-2021 FSC-klagomål mail.docx", "A 65927-2021")</f>
        <v/>
      </c>
      <c r="AC122">
        <f>HYPERLINK("https://klasma.github.io/Logging_0980/tillsyn/A 65927-2021 tillsynsbegäran.docx", "A 65927-2021")</f>
        <v/>
      </c>
      <c r="AD122">
        <f>HYPERLINK("https://klasma.github.io/Logging_0980/tillsynsmail/A 65927-2021 tillsynsbegäran mail.docx", "A 65927-2021")</f>
        <v/>
      </c>
    </row>
    <row r="123" ht="15" customHeight="1">
      <c r="A123" t="inlineStr">
        <is>
          <t>A 2476-2025</t>
        </is>
      </c>
      <c r="B123" t="inlineStr">
        <is>
          <t>avverkningsanmälan</t>
        </is>
      </c>
      <c r="C123" t="inlineStr">
        <is>
          <t>Föryngringsavverkning</t>
        </is>
      </c>
      <c r="D123" s="1" t="n">
        <v>45673</v>
      </c>
      <c r="E123" s="1" t="n">
        <v>46309</v>
      </c>
      <c r="F123" t="inlineStr">
        <is>
          <t>GOTLANDS LÄN</t>
        </is>
      </c>
      <c r="G123" t="inlineStr">
        <is>
          <t>GOTLAND</t>
        </is>
      </c>
      <c r="I123" t="n">
        <v>3.1</v>
      </c>
      <c r="J123" t="n">
        <v>0</v>
      </c>
      <c r="K123" t="n">
        <v>1</v>
      </c>
      <c r="L123" t="n">
        <v>2</v>
      </c>
      <c r="M123" t="n">
        <v>0</v>
      </c>
      <c r="N123" t="n">
        <v>0</v>
      </c>
      <c r="O123" t="n">
        <v>0</v>
      </c>
      <c r="P123" t="n">
        <v>0</v>
      </c>
      <c r="Q123" t="n">
        <v>2</v>
      </c>
      <c r="R123" t="n">
        <v>0</v>
      </c>
      <c r="S123" t="n">
        <v>3</v>
      </c>
      <c r="T123" t="n">
        <v>3</v>
      </c>
      <c r="U123" t="n">
        <v>0</v>
      </c>
      <c r="V123" s="2" t="inlineStr">
        <is>
          <t>Barrviolspindling
Kryddspindling
Strimspindling</t>
        </is>
      </c>
      <c r="W123">
        <f>HYPERLINK("https://klasma.github.io/Logging_0980/artfynd/A 2476-2025 artfynd.xlsx", "A 2476-2025")</f>
        <v/>
      </c>
      <c r="X123">
        <f>HYPERLINK("https://klasma.github.io/Logging_0980/kartor/A 2476-2025 karta.png", "A 2476-2025")</f>
        <v/>
      </c>
      <c r="Y123">
        <f>HYPERLINK("https://klasma.github.io/Logging_0980/kartor_geotiff/A 2476-2025 georefererad karta.tif", "A 2476-2025")</f>
        <v/>
      </c>
      <c r="AA123">
        <f>HYPERLINK("https://klasma.github.io/Logging_0980/klagomål/A 2476-2025 FSC-klagomål.docx", "A 2476-2025")</f>
        <v/>
      </c>
      <c r="AB123">
        <f>HYPERLINK("https://klasma.github.io/Logging_0980/klagomålsmail/A 2476-2025 FSC-klagomål mail.docx", "A 2476-2025")</f>
        <v/>
      </c>
      <c r="AC123">
        <f>HYPERLINK("https://klasma.github.io/Logging_0980/tillsyn/A 2476-2025 tillsynsbegäran.docx", "A 2476-2025")</f>
        <v/>
      </c>
      <c r="AD123">
        <f>HYPERLINK("https://klasma.github.io/Logging_0980/tillsynsmail/A 2476-2025 tillsynsbegäran mail.docx", "A 2476-2025")</f>
        <v/>
      </c>
    </row>
    <row r="124" ht="15" customHeight="1">
      <c r="A124" t="inlineStr">
        <is>
          <t>A 43013-2022</t>
        </is>
      </c>
      <c r="B124" t="inlineStr">
        <is>
          <t>avverkningsanmälan</t>
        </is>
      </c>
      <c r="C124" t="inlineStr">
        <is>
          <t>Föryngringsavverkning</t>
        </is>
      </c>
      <c r="D124" s="1" t="n">
        <v>44833</v>
      </c>
      <c r="E124" s="1" t="n">
        <v>46309</v>
      </c>
      <c r="F124" t="inlineStr">
        <is>
          <t>GOTLANDS LÄN</t>
        </is>
      </c>
      <c r="G124" t="inlineStr">
        <is>
          <t>GOTLAND</t>
        </is>
      </c>
      <c r="I124" t="n">
        <v>9.300000000000001</v>
      </c>
      <c r="J124" t="n">
        <v>0</v>
      </c>
      <c r="K124" t="n">
        <v>1</v>
      </c>
      <c r="L124" t="n">
        <v>1</v>
      </c>
      <c r="M124" t="n">
        <v>1</v>
      </c>
      <c r="N124" t="n">
        <v>0</v>
      </c>
      <c r="O124" t="n">
        <v>0</v>
      </c>
      <c r="P124" t="n">
        <v>0</v>
      </c>
      <c r="Q124" t="n">
        <v>2</v>
      </c>
      <c r="R124" t="n">
        <v>1</v>
      </c>
      <c r="S124" t="n">
        <v>3</v>
      </c>
      <c r="T124" t="n">
        <v>4</v>
      </c>
      <c r="U124" t="n">
        <v>4</v>
      </c>
      <c r="V124" s="2" t="inlineStr">
        <is>
          <t>Violettfläckig spindling
Blå slemspindling
Anisspindling</t>
        </is>
      </c>
      <c r="W124">
        <f>HYPERLINK("https://klasma.github.io/Logging_0980/artfynd/A 43013-2022 artfynd.xlsx", "A 43013-2022")</f>
        <v/>
      </c>
      <c r="X124">
        <f>HYPERLINK("https://klasma.github.io/Logging_0980/kartor/A 43013-2022 karta.png", "A 43013-2022")</f>
        <v/>
      </c>
      <c r="Y124">
        <f>HYPERLINK("https://klasma.github.io/Logging_0980/kartor_geotiff/A 43013-2022 georefererad karta.tif", "A 43013-2022")</f>
        <v/>
      </c>
      <c r="AA124">
        <f>HYPERLINK("https://klasma.github.io/Logging_0980/klagomål/A 43013-2022 FSC-klagomål.docx", "A 43013-2022")</f>
        <v/>
      </c>
      <c r="AB124">
        <f>HYPERLINK("https://klasma.github.io/Logging_0980/klagomålsmail/A 43013-2022 FSC-klagomål mail.docx", "A 43013-2022")</f>
        <v/>
      </c>
      <c r="AC124">
        <f>HYPERLINK("https://klasma.github.io/Logging_0980/tillsyn/A 43013-2022 tillsynsbegäran.docx", "A 43013-2022")</f>
        <v/>
      </c>
      <c r="AD124">
        <f>HYPERLINK("https://klasma.github.io/Logging_0980/tillsynsmail/A 43013-2022 tillsynsbegäran mail.docx", "A 43013-2022")</f>
        <v/>
      </c>
    </row>
    <row r="125" ht="15" customHeight="1">
      <c r="A125" t="inlineStr">
        <is>
          <t>A 34312-2024</t>
        </is>
      </c>
      <c r="B125" t="inlineStr">
        <is>
          <t>avverkningsanmälan</t>
        </is>
      </c>
      <c r="C125" t="inlineStr">
        <is>
          <t>Föryngringsavverkning</t>
        </is>
      </c>
      <c r="D125" s="1" t="n">
        <v>45524</v>
      </c>
      <c r="E125" s="1" t="n">
        <v>46309</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19322-2026</t>
        </is>
      </c>
      <c r="B126" t="inlineStr">
        <is>
          <t>avverkningsanmälan</t>
        </is>
      </c>
      <c r="C126" t="inlineStr">
        <is>
          <t>Avverkning för annat ändamål</t>
        </is>
      </c>
      <c r="D126" s="1" t="n">
        <v>46129</v>
      </c>
      <c r="E126" s="1" t="n">
        <v>46309</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63576-2021</t>
        </is>
      </c>
      <c r="B127" t="inlineStr">
        <is>
          <t>avverkningsanmälan</t>
        </is>
      </c>
      <c r="C127" t="inlineStr">
        <is>
          <t>Föryngringsavverkning</t>
        </is>
      </c>
      <c r="D127" s="1" t="n">
        <v>44508</v>
      </c>
      <c r="E127" s="1" t="n">
        <v>46309</v>
      </c>
      <c r="F127" t="inlineStr">
        <is>
          <t>GOTLANDS LÄN</t>
        </is>
      </c>
      <c r="G127" t="inlineStr">
        <is>
          <t>GOTLAND</t>
        </is>
      </c>
      <c r="H127" t="inlineStr">
        <is>
          <t>Kyrkan</t>
        </is>
      </c>
      <c r="I127" t="n">
        <v>4.1</v>
      </c>
      <c r="J127" t="n">
        <v>1</v>
      </c>
      <c r="K127" t="n">
        <v>1</v>
      </c>
      <c r="L127" t="n">
        <v>2</v>
      </c>
      <c r="M127" t="n">
        <v>0</v>
      </c>
      <c r="N127" t="n">
        <v>0</v>
      </c>
      <c r="O127" t="n">
        <v>0</v>
      </c>
      <c r="P127" t="n">
        <v>0</v>
      </c>
      <c r="Q127" t="n">
        <v>2</v>
      </c>
      <c r="R127" t="n">
        <v>0</v>
      </c>
      <c r="S127" t="n">
        <v>3</v>
      </c>
      <c r="T127" t="n">
        <v>3</v>
      </c>
      <c r="U127" t="n">
        <v>3</v>
      </c>
      <c r="V127" s="2" t="inlineStr">
        <is>
          <t>Dårgräsfjäril
Loppstarr
Stubbspretmossa</t>
        </is>
      </c>
      <c r="W127">
        <f>HYPERLINK("https://klasma.github.io/Logging_0980/artfynd/A 63576-2021 artfynd.xlsx", "A 63576-2021")</f>
        <v/>
      </c>
      <c r="X127">
        <f>HYPERLINK("https://klasma.github.io/Logging_0980/kartor/A 63576-2021 karta.png", "A 63576-2021")</f>
        <v/>
      </c>
      <c r="Y127">
        <f>HYPERLINK("https://klasma.github.io/Logging_0980/kartor_geotiff/A 63576-2021 georefererad karta.tif", "A 63576-2021")</f>
        <v/>
      </c>
      <c r="AA127">
        <f>HYPERLINK("https://klasma.github.io/Logging_0980/klagomål/A 63576-2021 FSC-klagomål.docx", "A 63576-2021")</f>
        <v/>
      </c>
      <c r="AB127">
        <f>HYPERLINK("https://klasma.github.io/Logging_0980/klagomålsmail/A 63576-2021 FSC-klagomål mail.docx", "A 63576-2021")</f>
        <v/>
      </c>
      <c r="AC127">
        <f>HYPERLINK("https://klasma.github.io/Logging_0980/tillsyn/A 63576-2021 tillsynsbegäran.docx", "A 63576-2021")</f>
        <v/>
      </c>
      <c r="AD127">
        <f>HYPERLINK("https://klasma.github.io/Logging_0980/tillsynsmail/A 63576-2021 tillsynsbegäran mail.docx", "A 63576-2021")</f>
        <v/>
      </c>
    </row>
    <row r="128" ht="15" customHeight="1">
      <c r="A128" t="inlineStr">
        <is>
          <t>A 35574-2024</t>
        </is>
      </c>
      <c r="B128" t="inlineStr">
        <is>
          <t>avverkningsanmälan</t>
        </is>
      </c>
      <c r="C128" t="inlineStr">
        <is>
          <t>Föryngringsavverkning</t>
        </is>
      </c>
      <c r="D128" s="1" t="n">
        <v>45531</v>
      </c>
      <c r="E128" s="1" t="n">
        <v>46309</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17982-2023</t>
        </is>
      </c>
      <c r="B129" t="inlineStr">
        <is>
          <t>avverkningsanmälan</t>
        </is>
      </c>
      <c r="C129" t="inlineStr">
        <is>
          <t>Avverkning för att bevara och utveckla /försöksver</t>
        </is>
      </c>
      <c r="D129" s="1" t="n">
        <v>45040</v>
      </c>
      <c r="E129" s="1" t="n">
        <v>46309</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46309</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13499-2022</t>
        </is>
      </c>
      <c r="B131" t="inlineStr">
        <is>
          <t>avverkningsanmälan</t>
        </is>
      </c>
      <c r="C131" t="inlineStr">
        <is>
          <t>Föryngringsavverkning</t>
        </is>
      </c>
      <c r="D131" s="1" t="n">
        <v>44647</v>
      </c>
      <c r="E131" s="1" t="n">
        <v>46309</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46309</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26992-2026</t>
        </is>
      </c>
      <c r="B133" t="inlineStr">
        <is>
          <t>avverkningsanmälan</t>
        </is>
      </c>
      <c r="C133" t="inlineStr">
        <is>
          <t>Föryngringsavverkning</t>
        </is>
      </c>
      <c r="D133" s="1" t="n">
        <v>46185</v>
      </c>
      <c r="E133" s="1" t="n">
        <v>46309</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12315-2024</t>
        </is>
      </c>
      <c r="B134" t="inlineStr">
        <is>
          <t>avverkningsanmälan</t>
        </is>
      </c>
      <c r="C134" t="inlineStr">
        <is>
          <t>Föryngringsavverkning</t>
        </is>
      </c>
      <c r="D134" s="1" t="n">
        <v>45378</v>
      </c>
      <c r="E134" s="1" t="n">
        <v>46309</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46309</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61561-2023</t>
        </is>
      </c>
      <c r="B136" t="inlineStr">
        <is>
          <t>avverkningsanmälan</t>
        </is>
      </c>
      <c r="C136" t="inlineStr">
        <is>
          <t>Föryngringsavverkning</t>
        </is>
      </c>
      <c r="D136" s="1" t="n">
        <v>45265</v>
      </c>
      <c r="E136" s="1" t="n">
        <v>46309</v>
      </c>
      <c r="F136" t="inlineStr">
        <is>
          <t>GOTLANDS LÄN</t>
        </is>
      </c>
      <c r="G136" t="inlineStr">
        <is>
          <t>GOTLAND</t>
        </is>
      </c>
      <c r="I136" t="n">
        <v>7.4</v>
      </c>
      <c r="J136" t="n">
        <v>0</v>
      </c>
      <c r="K136" t="n">
        <v>0</v>
      </c>
      <c r="L136" t="n">
        <v>3</v>
      </c>
      <c r="M136" t="n">
        <v>0</v>
      </c>
      <c r="N136" t="n">
        <v>0</v>
      </c>
      <c r="O136" t="n">
        <v>0</v>
      </c>
      <c r="P136" t="n">
        <v>0</v>
      </c>
      <c r="Q136" t="n">
        <v>3</v>
      </c>
      <c r="R136" t="n">
        <v>0</v>
      </c>
      <c r="S136" t="n">
        <v>3</v>
      </c>
      <c r="T136" t="n">
        <v>3</v>
      </c>
      <c r="U136" t="n">
        <v>1</v>
      </c>
      <c r="V136" s="2" t="inlineStr">
        <is>
          <t>Jordtistel
Loppstarr
Solvända</t>
        </is>
      </c>
      <c r="W136">
        <f>HYPERLINK("https://klasma.github.io/Logging_0980/artfynd/A 61561-2023 artfynd.xlsx", "A 61561-2023")</f>
        <v/>
      </c>
      <c r="X136">
        <f>HYPERLINK("https://klasma.github.io/Logging_0980/kartor/A 61561-2023 karta.png", "A 61561-2023")</f>
        <v/>
      </c>
      <c r="Y136">
        <f>HYPERLINK("https://klasma.github.io/Logging_0980/kartor_geotiff/A 61561-2023 georefererad karta.tif", "A 61561-2023")</f>
        <v/>
      </c>
      <c r="AA136">
        <f>HYPERLINK("https://klasma.github.io/Logging_0980/klagomål/A 61561-2023 FSC-klagomål.docx", "A 61561-2023")</f>
        <v/>
      </c>
      <c r="AB136">
        <f>HYPERLINK("https://klasma.github.io/Logging_0980/klagomålsmail/A 61561-2023 FSC-klagomål mail.docx", "A 61561-2023")</f>
        <v/>
      </c>
      <c r="AC136">
        <f>HYPERLINK("https://klasma.github.io/Logging_0980/tillsyn/A 61561-2023 tillsynsbegäran.docx", "A 61561-2023")</f>
        <v/>
      </c>
      <c r="AD136">
        <f>HYPERLINK("https://klasma.github.io/Logging_0980/tillsynsmail/A 61561-2023 tillsynsbegäran mail.docx", "A 61561-2023")</f>
        <v/>
      </c>
    </row>
    <row r="137" ht="15" customHeight="1">
      <c r="A137" t="inlineStr">
        <is>
          <t>A 5909-2025</t>
        </is>
      </c>
      <c r="B137" t="inlineStr">
        <is>
          <t>avverkningsanmälan</t>
        </is>
      </c>
      <c r="C137" t="inlineStr">
        <is>
          <t>Föryngringsavverkning</t>
        </is>
      </c>
      <c r="D137" s="1" t="n">
        <v>45695</v>
      </c>
      <c r="E137" s="1" t="n">
        <v>46309</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10440-2024</t>
        </is>
      </c>
      <c r="B138" t="inlineStr">
        <is>
          <t>avverkningsanmälan</t>
        </is>
      </c>
      <c r="C138" t="inlineStr">
        <is>
          <t>Föryngringsavverkning</t>
        </is>
      </c>
      <c r="D138" s="1" t="n">
        <v>45366</v>
      </c>
      <c r="E138" s="1" t="n">
        <v>46309</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46309</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46309</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46309</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46309</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46309</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33011-2025</t>
        </is>
      </c>
      <c r="B144" t="inlineStr">
        <is>
          <t>avverkningsanmälan</t>
        </is>
      </c>
      <c r="C144" t="inlineStr">
        <is>
          <t>Föryngringsavverkning</t>
        </is>
      </c>
      <c r="D144" s="1" t="n">
        <v>45840</v>
      </c>
      <c r="E144" s="1" t="n">
        <v>46309</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62760-2025</t>
        </is>
      </c>
      <c r="B145" t="inlineStr">
        <is>
          <t>avverkningsanmälan</t>
        </is>
      </c>
      <c r="C145" t="inlineStr">
        <is>
          <t>Föryngringsavverkning</t>
        </is>
      </c>
      <c r="D145" s="1" t="n">
        <v>46008</v>
      </c>
      <c r="E145" s="1" t="n">
        <v>46309</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46309</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1010-2024</t>
        </is>
      </c>
      <c r="B147" t="inlineStr">
        <is>
          <t>avverkningsanmälan</t>
        </is>
      </c>
      <c r="C147" t="inlineStr">
        <is>
          <t>Föryngringsavverkning</t>
        </is>
      </c>
      <c r="D147" s="1" t="n">
        <v>45301</v>
      </c>
      <c r="E147" s="1" t="n">
        <v>46309</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27589-2023</t>
        </is>
      </c>
      <c r="B148" t="inlineStr">
        <is>
          <t>avverkningsanmälan</t>
        </is>
      </c>
      <c r="C148" t="inlineStr">
        <is>
          <t>Avverkning för annat ändamål</t>
        </is>
      </c>
      <c r="D148" s="1" t="n">
        <v>45097</v>
      </c>
      <c r="E148" s="1" t="n">
        <v>46309</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46309</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7070-2022</t>
        </is>
      </c>
      <c r="B150" t="inlineStr">
        <is>
          <t>avverkningsanmälan</t>
        </is>
      </c>
      <c r="C150" t="inlineStr">
        <is>
          <t>Föryngringsavverkning</t>
        </is>
      </c>
      <c r="D150" s="1" t="n">
        <v>44603</v>
      </c>
      <c r="E150" s="1" t="n">
        <v>46309</v>
      </c>
      <c r="F150" t="inlineStr">
        <is>
          <t>GOTLANDS LÄN</t>
        </is>
      </c>
      <c r="G150" t="inlineStr">
        <is>
          <t>GOTLAND</t>
        </is>
      </c>
      <c r="I150" t="n">
        <v>2.6</v>
      </c>
      <c r="J150" t="n">
        <v>0</v>
      </c>
      <c r="K150" t="n">
        <v>1</v>
      </c>
      <c r="L150" t="n">
        <v>1</v>
      </c>
      <c r="M150" t="n">
        <v>0</v>
      </c>
      <c r="N150" t="n">
        <v>0</v>
      </c>
      <c r="O150" t="n">
        <v>0</v>
      </c>
      <c r="P150" t="n">
        <v>0</v>
      </c>
      <c r="Q150" t="n">
        <v>1</v>
      </c>
      <c r="R150" t="n">
        <v>0</v>
      </c>
      <c r="S150" t="n">
        <v>2</v>
      </c>
      <c r="T150" t="n">
        <v>2</v>
      </c>
      <c r="U150" t="n">
        <v>0</v>
      </c>
      <c r="V150" s="2" t="inlineStr">
        <is>
          <t>Kattfotslav
Blåmossa</t>
        </is>
      </c>
      <c r="W150">
        <f>HYPERLINK("https://klasma.github.io/Logging_0980/artfynd/A 7070-2022 artfynd.xlsx", "A 7070-2022")</f>
        <v/>
      </c>
      <c r="X150">
        <f>HYPERLINK("https://klasma.github.io/Logging_0980/kartor/A 7070-2022 karta.png", "A 7070-2022")</f>
        <v/>
      </c>
      <c r="Y150">
        <f>HYPERLINK("https://klasma.github.io/Logging_0980/kartor_geotiff/A 7070-2022 georefererad karta.tif", "A 7070-2022")</f>
        <v/>
      </c>
      <c r="AA150">
        <f>HYPERLINK("https://klasma.github.io/Logging_0980/klagomål/A 7070-2022 FSC-klagomål.docx", "A 7070-2022")</f>
        <v/>
      </c>
      <c r="AB150">
        <f>HYPERLINK("https://klasma.github.io/Logging_0980/klagomålsmail/A 7070-2022 FSC-klagomål mail.docx", "A 7070-2022")</f>
        <v/>
      </c>
      <c r="AC150">
        <f>HYPERLINK("https://klasma.github.io/Logging_0980/tillsyn/A 7070-2022 tillsynsbegäran.docx", "A 7070-2022")</f>
        <v/>
      </c>
      <c r="AD150">
        <f>HYPERLINK("https://klasma.github.io/Logging_0980/tillsynsmail/A 7070-2022 tillsynsbegäran mail.docx", "A 7070-2022")</f>
        <v/>
      </c>
    </row>
    <row r="151" ht="15" customHeight="1">
      <c r="A151" t="inlineStr">
        <is>
          <t>A 883-2025</t>
        </is>
      </c>
      <c r="B151" t="inlineStr">
        <is>
          <t>avverkningsanmälan</t>
        </is>
      </c>
      <c r="C151" t="inlineStr">
        <is>
          <t>Föryngringsavverkning</t>
        </is>
      </c>
      <c r="D151" s="1" t="n">
        <v>45665</v>
      </c>
      <c r="E151" s="1" t="n">
        <v>46309</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28261-2024</t>
        </is>
      </c>
      <c r="B152" t="inlineStr">
        <is>
          <t>avverkningsanmälan</t>
        </is>
      </c>
      <c r="C152" t="inlineStr">
        <is>
          <t>Avverkning för annat ändamål</t>
        </is>
      </c>
      <c r="D152" s="1" t="n">
        <v>45477</v>
      </c>
      <c r="E152" s="1" t="n">
        <v>46309</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27621-2026</t>
        </is>
      </c>
      <c r="B153" t="inlineStr">
        <is>
          <t>avverkningsanmälan</t>
        </is>
      </c>
      <c r="C153" t="inlineStr">
        <is>
          <t>Föryngringsavverkning</t>
        </is>
      </c>
      <c r="D153" s="1" t="n">
        <v>46190</v>
      </c>
      <c r="E153" s="1" t="n">
        <v>46309</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28276-2024</t>
        </is>
      </c>
      <c r="B154" t="inlineStr">
        <is>
          <t>avverkningsanmälan</t>
        </is>
      </c>
      <c r="C154" t="inlineStr">
        <is>
          <t>Avverkning för annat ändamål</t>
        </is>
      </c>
      <c r="D154" s="1" t="n">
        <v>45477</v>
      </c>
      <c r="E154" s="1" t="n">
        <v>46309</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35127-2026</t>
        </is>
      </c>
      <c r="B155" t="inlineStr">
        <is>
          <t>avverkningsanmälan</t>
        </is>
      </c>
      <c r="C155" t="inlineStr">
        <is>
          <t>Föryngringsavverkning</t>
        </is>
      </c>
      <c r="D155" s="1" t="n">
        <v>46260</v>
      </c>
      <c r="E155" s="1" t="n">
        <v>46309</v>
      </c>
      <c r="F155" t="inlineStr">
        <is>
          <t>GOTLANDS LÄN</t>
        </is>
      </c>
      <c r="G155" t="inlineStr">
        <is>
          <t>GOTLAND</t>
        </is>
      </c>
      <c r="I155" t="n">
        <v>2.1</v>
      </c>
      <c r="J155" t="n">
        <v>1</v>
      </c>
      <c r="K155" t="n">
        <v>0</v>
      </c>
      <c r="L155" t="n">
        <v>2</v>
      </c>
      <c r="M155" t="n">
        <v>0</v>
      </c>
      <c r="N155" t="n">
        <v>0</v>
      </c>
      <c r="O155" t="n">
        <v>0</v>
      </c>
      <c r="P155" t="n">
        <v>0</v>
      </c>
      <c r="Q155" t="n">
        <v>2</v>
      </c>
      <c r="R155" t="n">
        <v>0</v>
      </c>
      <c r="S155" t="n">
        <v>2</v>
      </c>
      <c r="T155" t="n">
        <v>2</v>
      </c>
      <c r="U155" t="n">
        <v>2</v>
      </c>
      <c r="V155" s="2" t="inlineStr">
        <is>
          <t>Mindre hackspett
Sårläka</t>
        </is>
      </c>
      <c r="W155">
        <f>HYPERLINK("https://klasma.github.io/Logging_0980/artfynd/A 35127-2026 artfynd.xlsx", "A 35127-2026")</f>
        <v/>
      </c>
      <c r="X155">
        <f>HYPERLINK("https://klasma.github.io/Logging_0980/kartor/A 35127-2026 karta.png", "A 35127-2026")</f>
        <v/>
      </c>
      <c r="Y155">
        <f>HYPERLINK("https://klasma.github.io/Logging_0980/kartor_geotiff/A 35127-2026 georefererad karta.tif", "A 35127-2026")</f>
        <v/>
      </c>
      <c r="AA155">
        <f>HYPERLINK("https://klasma.github.io/Logging_0980/klagomål/A 35127-2026 FSC-klagomål.docx", "A 35127-2026")</f>
        <v/>
      </c>
      <c r="AB155">
        <f>HYPERLINK("https://klasma.github.io/Logging_0980/klagomålsmail/A 35127-2026 FSC-klagomål mail.docx", "A 35127-2026")</f>
        <v/>
      </c>
      <c r="AC155">
        <f>HYPERLINK("https://klasma.github.io/Logging_0980/tillsyn/A 35127-2026 tillsynsbegäran.docx", "A 35127-2026")</f>
        <v/>
      </c>
      <c r="AD155">
        <f>HYPERLINK("https://klasma.github.io/Logging_0980/tillsynsmail/A 35127-2026 tillsynsbegäran mail.docx", "A 35127-2026")</f>
        <v/>
      </c>
      <c r="AE155">
        <f>HYPERLINK("https://klasma.github.io/Logging_0980/fåglar/A 35127-2026 prioriterade fågelarter.docx", "A 35127-2026")</f>
        <v/>
      </c>
    </row>
    <row r="156" ht="15" customHeight="1">
      <c r="A156" t="inlineStr">
        <is>
          <t>S 3320-2023</t>
        </is>
      </c>
      <c r="B156" t="inlineStr">
        <is>
          <t>samrådsanmälan</t>
        </is>
      </c>
      <c r="C156" t="inlineStr">
        <is>
          <t>Annan skogsbruksåtgärd</t>
        </is>
      </c>
      <c r="D156" s="1" t="n">
        <v>45198</v>
      </c>
      <c r="E156" s="1" t="n">
        <v>46309</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11029-2022</t>
        </is>
      </c>
      <c r="B157" t="inlineStr">
        <is>
          <t>avverkningsanmälan</t>
        </is>
      </c>
      <c r="C157" t="inlineStr">
        <is>
          <t>Avverkning för annat ändamål</t>
        </is>
      </c>
      <c r="D157" s="1" t="n">
        <v>44628</v>
      </c>
      <c r="E157" s="1" t="n">
        <v>46309</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46309</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46309</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5751-2024</t>
        </is>
      </c>
      <c r="B160" t="inlineStr">
        <is>
          <t>avverkningsanmälan</t>
        </is>
      </c>
      <c r="C160" t="inlineStr">
        <is>
          <t>Avverkning för att bevara och utveckla /försöksver</t>
        </is>
      </c>
      <c r="D160" s="1" t="n">
        <v>45335</v>
      </c>
      <c r="E160" s="1" t="n">
        <v>46309</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12379-2024</t>
        </is>
      </c>
      <c r="B161" t="inlineStr">
        <is>
          <t>avverkningsanmälan</t>
        </is>
      </c>
      <c r="C161" t="inlineStr">
        <is>
          <t>Föryngringsavverkning</t>
        </is>
      </c>
      <c r="D161" s="1" t="n">
        <v>45379</v>
      </c>
      <c r="E161" s="1" t="n">
        <v>46309</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t="n">
        <v>0</v>
      </c>
      <c r="V161" s="2" t="inlineStr">
        <is>
          <t>Svinrot</t>
        </is>
      </c>
      <c r="W161">
        <f>HYPERLINK("https://klasma.github.io/Logging_0980/artfynd/A 12379-2024 artfynd.xlsx", "A 12379-2024")</f>
        <v/>
      </c>
      <c r="X161">
        <f>HYPERLINK("https://klasma.github.io/Logging_0980/kartor/A 12379-2024 karta.png", "A 12379-2024")</f>
        <v/>
      </c>
      <c r="Y161">
        <f>HYPERLINK("https://klasma.github.io/Logging_0980/kartor_geotiff/A 12379-2024 georefererad karta.tif", "A 12379-2024")</f>
        <v/>
      </c>
      <c r="AA161">
        <f>HYPERLINK("https://klasma.github.io/Logging_0980/klagomål/A 12379-2024 FSC-klagomål.docx", "A 12379-2024")</f>
        <v/>
      </c>
      <c r="AB161">
        <f>HYPERLINK("https://klasma.github.io/Logging_0980/klagomålsmail/A 12379-2024 FSC-klagomål mail.docx", "A 12379-2024")</f>
        <v/>
      </c>
      <c r="AC161">
        <f>HYPERLINK("https://klasma.github.io/Logging_0980/tillsyn/A 12379-2024 tillsynsbegäran.docx", "A 12379-2024")</f>
        <v/>
      </c>
      <c r="AD161">
        <f>HYPERLINK("https://klasma.github.io/Logging_0980/tillsynsmail/A 12379-2024 tillsynsbegäran mail.docx", "A 12379-2024")</f>
        <v/>
      </c>
    </row>
    <row r="162" ht="15" customHeight="1">
      <c r="A162" t="inlineStr">
        <is>
          <t>A 46189-2022</t>
        </is>
      </c>
      <c r="B162" t="inlineStr">
        <is>
          <t>avverkningsanmälan</t>
        </is>
      </c>
      <c r="C162" t="inlineStr">
        <is>
          <t>Avverkning för annat ändamål</t>
        </is>
      </c>
      <c r="D162" s="1" t="n">
        <v>44847</v>
      </c>
      <c r="E162" s="1" t="n">
        <v>46309</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46309</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46309</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46309</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34141-2024</t>
        </is>
      </c>
      <c r="B166" t="inlineStr">
        <is>
          <t>avverkningsanmälan</t>
        </is>
      </c>
      <c r="C166" t="inlineStr">
        <is>
          <t>Föryngringsavverkning</t>
        </is>
      </c>
      <c r="D166" s="1" t="n">
        <v>45524</v>
      </c>
      <c r="E166" s="1" t="n">
        <v>46309</v>
      </c>
      <c r="F166" t="inlineStr">
        <is>
          <t>GOTLANDS LÄN</t>
        </is>
      </c>
      <c r="G166" t="inlineStr">
        <is>
          <t>GOTLAND</t>
        </is>
      </c>
      <c r="I166" t="n">
        <v>0.9</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34141-2024 artfynd.xlsx", "A 34141-2024")</f>
        <v/>
      </c>
      <c r="X166">
        <f>HYPERLINK("https://klasma.github.io/Logging_0980/kartor/A 34141-2024 karta.png", "A 34141-2024")</f>
        <v/>
      </c>
      <c r="Y166">
        <f>HYPERLINK("https://klasma.github.io/Logging_0980/kartor_geotiff/A 34141-2024 georefererad karta.tif", "A 34141-2024")</f>
        <v/>
      </c>
      <c r="AA166">
        <f>HYPERLINK("https://klasma.github.io/Logging_0980/klagomål/A 34141-2024 FSC-klagomål.docx", "A 34141-2024")</f>
        <v/>
      </c>
      <c r="AB166">
        <f>HYPERLINK("https://klasma.github.io/Logging_0980/klagomålsmail/A 34141-2024 FSC-klagomål mail.docx", "A 34141-2024")</f>
        <v/>
      </c>
      <c r="AC166">
        <f>HYPERLINK("https://klasma.github.io/Logging_0980/tillsyn/A 34141-2024 tillsynsbegäran.docx", "A 34141-2024")</f>
        <v/>
      </c>
      <c r="AD166">
        <f>HYPERLINK("https://klasma.github.io/Logging_0980/tillsynsmail/A 34141-2024 tillsynsbegäran mail.docx", "A 34141-2024")</f>
        <v/>
      </c>
    </row>
    <row r="167" ht="15" customHeight="1">
      <c r="A167" t="inlineStr">
        <is>
          <t>A 9862-2024</t>
        </is>
      </c>
      <c r="B167" t="inlineStr">
        <is>
          <t>avverkningsanmälan</t>
        </is>
      </c>
      <c r="C167" t="inlineStr">
        <is>
          <t>Föryngringsavverkning</t>
        </is>
      </c>
      <c r="D167" s="1" t="n">
        <v>45363</v>
      </c>
      <c r="E167" s="1" t="n">
        <v>46309</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4568-2025</t>
        </is>
      </c>
      <c r="B168" t="inlineStr">
        <is>
          <t>avverkningsanmälan</t>
        </is>
      </c>
      <c r="C168" t="inlineStr">
        <is>
          <t>Föryngringsavverkning</t>
        </is>
      </c>
      <c r="D168" s="1" t="n">
        <v>45687</v>
      </c>
      <c r="E168" s="1" t="n">
        <v>46309</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1</v>
      </c>
      <c r="U168" t="n">
        <v>1</v>
      </c>
      <c r="V168" s="2" t="inlineStr">
        <is>
          <t>Backfryle</t>
        </is>
      </c>
      <c r="W168">
        <f>HYPERLINK("https://klasma.github.io/Logging_0980/artfynd/A 4568-2025 artfynd.xlsx", "A 4568-2025")</f>
        <v/>
      </c>
      <c r="X168">
        <f>HYPERLINK("https://klasma.github.io/Logging_0980/kartor/A 4568-2025 karta.png", "A 4568-2025")</f>
        <v/>
      </c>
      <c r="Y168">
        <f>HYPERLINK("https://klasma.github.io/Logging_0980/kartor_geotiff/A 4568-2025 georefererad karta.tif", "A 4568-2025")</f>
        <v/>
      </c>
      <c r="AA168">
        <f>HYPERLINK("https://klasma.github.io/Logging_0980/klagomål/A 4568-2025 FSC-klagomål.docx", "A 4568-2025")</f>
        <v/>
      </c>
      <c r="AB168">
        <f>HYPERLINK("https://klasma.github.io/Logging_0980/klagomålsmail/A 4568-2025 FSC-klagomål mail.docx", "A 4568-2025")</f>
        <v/>
      </c>
      <c r="AC168">
        <f>HYPERLINK("https://klasma.github.io/Logging_0980/tillsyn/A 4568-2025 tillsynsbegäran.docx", "A 4568-2025")</f>
        <v/>
      </c>
      <c r="AD168">
        <f>HYPERLINK("https://klasma.github.io/Logging_0980/tillsynsmail/A 4568-2025 tillsynsbegäran mail.docx", "A 4568-2025")</f>
        <v/>
      </c>
    </row>
    <row r="169" ht="15" customHeight="1">
      <c r="A169" t="inlineStr">
        <is>
          <t>A 61796-2022</t>
        </is>
      </c>
      <c r="B169" t="inlineStr">
        <is>
          <t>avverkningsanmälan</t>
        </is>
      </c>
      <c r="C169" t="inlineStr">
        <is>
          <t>Föryngringsavverkning</t>
        </is>
      </c>
      <c r="D169" s="1" t="n">
        <v>44917</v>
      </c>
      <c r="E169" s="1" t="n">
        <v>46309</v>
      </c>
      <c r="F169" t="inlineStr">
        <is>
          <t>GOTLANDS LÄN</t>
        </is>
      </c>
      <c r="G169" t="inlineStr">
        <is>
          <t>GOTLAND</t>
        </is>
      </c>
      <c r="I169" t="n">
        <v>1.5</v>
      </c>
      <c r="J169" t="n">
        <v>1</v>
      </c>
      <c r="K169" t="n">
        <v>0</v>
      </c>
      <c r="L169" t="n">
        <v>0</v>
      </c>
      <c r="M169" t="n">
        <v>0</v>
      </c>
      <c r="N169" t="n">
        <v>0</v>
      </c>
      <c r="O169" t="n">
        <v>0</v>
      </c>
      <c r="P169" t="n">
        <v>0</v>
      </c>
      <c r="Q169" t="n">
        <v>0</v>
      </c>
      <c r="R169" t="n">
        <v>0</v>
      </c>
      <c r="S169" t="n">
        <v>1</v>
      </c>
      <c r="T169" t="n">
        <v>1</v>
      </c>
      <c r="U169" t="n">
        <v>1</v>
      </c>
      <c r="V169" s="2" t="inlineStr">
        <is>
          <t>Skogsduva</t>
        </is>
      </c>
      <c r="W169">
        <f>HYPERLINK("https://klasma.github.io/Logging_0980/artfynd/A 61796-2022 artfynd.xlsx", "A 61796-2022")</f>
        <v/>
      </c>
      <c r="X169">
        <f>HYPERLINK("https://klasma.github.io/Logging_0980/kartor/A 61796-2022 karta.png", "A 61796-2022")</f>
        <v/>
      </c>
      <c r="Y169">
        <f>HYPERLINK("https://klasma.github.io/Logging_0980/kartor_geotiff/A 61796-2022 georefererad karta.tif", "A 61796-2022")</f>
        <v/>
      </c>
      <c r="AA169">
        <f>HYPERLINK("https://klasma.github.io/Logging_0980/klagomål/A 61796-2022 FSC-klagomål.docx", "A 61796-2022")</f>
        <v/>
      </c>
      <c r="AB169">
        <f>HYPERLINK("https://klasma.github.io/Logging_0980/klagomålsmail/A 61796-2022 FSC-klagomål mail.docx", "A 61796-2022")</f>
        <v/>
      </c>
      <c r="AC169">
        <f>HYPERLINK("https://klasma.github.io/Logging_0980/tillsyn/A 61796-2022 tillsynsbegäran.docx", "A 61796-2022")</f>
        <v/>
      </c>
      <c r="AD169">
        <f>HYPERLINK("https://klasma.github.io/Logging_0980/tillsynsmail/A 61796-2022 tillsynsbegäran mail.docx", "A 61796-2022")</f>
        <v/>
      </c>
    </row>
    <row r="170" ht="15" customHeight="1">
      <c r="A170" t="inlineStr">
        <is>
          <t>A 30489-2025</t>
        </is>
      </c>
      <c r="B170" t="inlineStr">
        <is>
          <t>avverkningsanmälan</t>
        </is>
      </c>
      <c r="C170" t="inlineStr">
        <is>
          <t>Föryngringsavverkning</t>
        </is>
      </c>
      <c r="D170" s="1" t="n">
        <v>45830</v>
      </c>
      <c r="E170" s="1" t="n">
        <v>46309</v>
      </c>
      <c r="F170" t="inlineStr">
        <is>
          <t>GOTLANDS LÄN</t>
        </is>
      </c>
      <c r="G170" t="inlineStr">
        <is>
          <t>GOTLAND</t>
        </is>
      </c>
      <c r="I170" t="n">
        <v>4.6</v>
      </c>
      <c r="J170" t="n">
        <v>0</v>
      </c>
      <c r="K170" t="n">
        <v>0</v>
      </c>
      <c r="L170" t="n">
        <v>1</v>
      </c>
      <c r="M170" t="n">
        <v>0</v>
      </c>
      <c r="N170" t="n">
        <v>0</v>
      </c>
      <c r="O170" t="n">
        <v>0</v>
      </c>
      <c r="P170" t="n">
        <v>0</v>
      </c>
      <c r="Q170" t="n">
        <v>1</v>
      </c>
      <c r="R170" t="n">
        <v>0</v>
      </c>
      <c r="S170" t="n">
        <v>1</v>
      </c>
      <c r="T170" t="n">
        <v>1</v>
      </c>
      <c r="U170" t="n">
        <v>0</v>
      </c>
      <c r="V170" s="2" t="inlineStr">
        <is>
          <t>Skarp dropptaggsvamp</t>
        </is>
      </c>
      <c r="W170">
        <f>HYPERLINK("https://klasma.github.io/Logging_0980/artfynd/A 30489-2025 artfynd.xlsx", "A 30489-2025")</f>
        <v/>
      </c>
      <c r="X170">
        <f>HYPERLINK("https://klasma.github.io/Logging_0980/kartor/A 30489-2025 karta.png", "A 30489-2025")</f>
        <v/>
      </c>
      <c r="Y170">
        <f>HYPERLINK("https://klasma.github.io/Logging_0980/kartor_geotiff/A 30489-2025 georefererad karta.tif", "A 30489-2025")</f>
        <v/>
      </c>
      <c r="AA170">
        <f>HYPERLINK("https://klasma.github.io/Logging_0980/klagomål/A 30489-2025 FSC-klagomål.docx", "A 30489-2025")</f>
        <v/>
      </c>
      <c r="AB170">
        <f>HYPERLINK("https://klasma.github.io/Logging_0980/klagomålsmail/A 30489-2025 FSC-klagomål mail.docx", "A 30489-2025")</f>
        <v/>
      </c>
      <c r="AC170">
        <f>HYPERLINK("https://klasma.github.io/Logging_0980/tillsyn/A 30489-2025 tillsynsbegäran.docx", "A 30489-2025")</f>
        <v/>
      </c>
      <c r="AD170">
        <f>HYPERLINK("https://klasma.github.io/Logging_0980/tillsynsmail/A 30489-2025 tillsynsbegäran mail.docx", "A 30489-2025")</f>
        <v/>
      </c>
    </row>
    <row r="171" ht="15" customHeight="1">
      <c r="A171" t="inlineStr">
        <is>
          <t>A 29809-2022</t>
        </is>
      </c>
      <c r="B171" t="inlineStr">
        <is>
          <t>avverkningsanmälan</t>
        </is>
      </c>
      <c r="C171" t="inlineStr">
        <is>
          <t>Föryngringsavverkning</t>
        </is>
      </c>
      <c r="D171" s="1" t="n">
        <v>44755</v>
      </c>
      <c r="E171" s="1" t="n">
        <v>46309</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15637-2024</t>
        </is>
      </c>
      <c r="B172" t="inlineStr">
        <is>
          <t>avverkningsanmälan</t>
        </is>
      </c>
      <c r="C172" t="inlineStr">
        <is>
          <t>Föryngringsavverkning</t>
        </is>
      </c>
      <c r="D172" s="1" t="n">
        <v>45403</v>
      </c>
      <c r="E172" s="1" t="n">
        <v>46309</v>
      </c>
      <c r="F172" t="inlineStr">
        <is>
          <t>GOTLANDS LÄN</t>
        </is>
      </c>
      <c r="G172" t="inlineStr">
        <is>
          <t>GOTLAND</t>
        </is>
      </c>
      <c r="I172" t="n">
        <v>4.1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HYPERLINK("https://klasma.github.io/Logging_0980/artfynd/A 15637-2024 artfynd.xlsx", "A 15637-2024")</f>
        <v/>
      </c>
      <c r="X172">
        <f>HYPERLINK("https://klasma.github.io/Logging_0980/kartor/A 15637-2024 karta.png", "A 15637-2024")</f>
        <v/>
      </c>
      <c r="Y172">
        <f>HYPERLINK("https://klasma.github.io/Logging_0980/kartor_geotiff/A 15637-2024 georefererad karta.tif", "A 15637-2024")</f>
        <v/>
      </c>
      <c r="AA172">
        <f>HYPERLINK("https://klasma.github.io/Logging_0980/klagomål/A 15637-2024 FSC-klagomål.docx", "A 15637-2024")</f>
        <v/>
      </c>
      <c r="AB172">
        <f>HYPERLINK("https://klasma.github.io/Logging_0980/klagomålsmail/A 15637-2024 FSC-klagomål mail.docx", "A 15637-2024")</f>
        <v/>
      </c>
      <c r="AC172">
        <f>HYPERLINK("https://klasma.github.io/Logging_0980/tillsyn/A 15637-2024 tillsynsbegäran.docx", "A 15637-2024")</f>
        <v/>
      </c>
      <c r="AD172">
        <f>HYPERLINK("https://klasma.github.io/Logging_0980/tillsynsmail/A 15637-2024 tillsynsbegäran mail.docx", "A 15637-2024")</f>
        <v/>
      </c>
    </row>
    <row r="173" ht="15" customHeight="1">
      <c r="A173" t="inlineStr">
        <is>
          <t>A 7042-2023</t>
        </is>
      </c>
      <c r="B173" t="inlineStr">
        <is>
          <t>avverkningsanmälan</t>
        </is>
      </c>
      <c r="C173" t="inlineStr">
        <is>
          <t>Föryngringsavverkning</t>
        </is>
      </c>
      <c r="D173" s="1" t="n">
        <v>44968</v>
      </c>
      <c r="E173" s="1" t="n">
        <v>46309</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63229-2021</t>
        </is>
      </c>
      <c r="B174" t="inlineStr">
        <is>
          <t>avverkningsanmälan</t>
        </is>
      </c>
      <c r="C174" t="inlineStr">
        <is>
          <t>Föryngringsavverkning</t>
        </is>
      </c>
      <c r="D174" s="1" t="n">
        <v>44508</v>
      </c>
      <c r="E174" s="1" t="n">
        <v>46309</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10995-2023</t>
        </is>
      </c>
      <c r="B175" t="inlineStr">
        <is>
          <t>avverkningsanmälan</t>
        </is>
      </c>
      <c r="C175" t="inlineStr">
        <is>
          <t>Föryngringsavverkning</t>
        </is>
      </c>
      <c r="D175" s="1" t="n">
        <v>44986</v>
      </c>
      <c r="E175" s="1" t="n">
        <v>46309</v>
      </c>
      <c r="F175" t="inlineStr">
        <is>
          <t>GOTLANDS LÄN</t>
        </is>
      </c>
      <c r="G175" t="inlineStr">
        <is>
          <t>GOTLAND</t>
        </is>
      </c>
      <c r="I175" t="n">
        <v>2.8</v>
      </c>
      <c r="J175" t="n">
        <v>0</v>
      </c>
      <c r="K175" t="n">
        <v>0</v>
      </c>
      <c r="L175" t="n">
        <v>0</v>
      </c>
      <c r="M175" t="n">
        <v>1</v>
      </c>
      <c r="N175" t="n">
        <v>0</v>
      </c>
      <c r="O175" t="n">
        <v>0</v>
      </c>
      <c r="P175" t="n">
        <v>0</v>
      </c>
      <c r="Q175" t="n">
        <v>1</v>
      </c>
      <c r="R175" t="n">
        <v>1</v>
      </c>
      <c r="S175" t="n">
        <v>1</v>
      </c>
      <c r="T175" t="n">
        <v>1</v>
      </c>
      <c r="U175" t="n">
        <v>0</v>
      </c>
      <c r="V175" s="2" t="inlineStr">
        <is>
          <t>Violettfläckig spindling</t>
        </is>
      </c>
      <c r="W175">
        <f>HYPERLINK("https://klasma.github.io/Logging_0980/artfynd/A 10995-2023 artfynd.xlsx", "A 10995-2023")</f>
        <v/>
      </c>
      <c r="X175">
        <f>HYPERLINK("https://klasma.github.io/Logging_0980/kartor/A 10995-2023 karta.png", "A 10995-2023")</f>
        <v/>
      </c>
      <c r="Y175">
        <f>HYPERLINK("https://klasma.github.io/Logging_0980/kartor_geotiff/A 10995-2023 georefererad karta.tif", "A 10995-2023")</f>
        <v/>
      </c>
      <c r="AA175">
        <f>HYPERLINK("https://klasma.github.io/Logging_0980/klagomål/A 10995-2023 FSC-klagomål.docx", "A 10995-2023")</f>
        <v/>
      </c>
      <c r="AB175">
        <f>HYPERLINK("https://klasma.github.io/Logging_0980/klagomålsmail/A 10995-2023 FSC-klagomål mail.docx", "A 10995-2023")</f>
        <v/>
      </c>
      <c r="AC175">
        <f>HYPERLINK("https://klasma.github.io/Logging_0980/tillsyn/A 10995-2023 tillsynsbegäran.docx", "A 10995-2023")</f>
        <v/>
      </c>
      <c r="AD175">
        <f>HYPERLINK("https://klasma.github.io/Logging_0980/tillsynsmail/A 10995-2023 tillsynsbegäran mail.docx", "A 10995-2023")</f>
        <v/>
      </c>
    </row>
    <row r="176" ht="15" customHeight="1">
      <c r="A176" t="inlineStr">
        <is>
          <t>A 62552-2022</t>
        </is>
      </c>
      <c r="B176" t="inlineStr">
        <is>
          <t>avverkningsanmälan</t>
        </is>
      </c>
      <c r="C176" t="inlineStr">
        <is>
          <t>Föryngringsavverkning</t>
        </is>
      </c>
      <c r="D176" s="1" t="n">
        <v>44924</v>
      </c>
      <c r="E176" s="1" t="n">
        <v>46309</v>
      </c>
      <c r="F176" t="inlineStr">
        <is>
          <t>GOTLANDS LÄN</t>
        </is>
      </c>
      <c r="G176" t="inlineStr">
        <is>
          <t>GOTLAND</t>
        </is>
      </c>
      <c r="I176" t="n">
        <v>1.6</v>
      </c>
      <c r="J176" t="n">
        <v>0</v>
      </c>
      <c r="K176" t="n">
        <v>0</v>
      </c>
      <c r="L176" t="n">
        <v>1</v>
      </c>
      <c r="M176" t="n">
        <v>0</v>
      </c>
      <c r="N176" t="n">
        <v>0</v>
      </c>
      <c r="O176" t="n">
        <v>0</v>
      </c>
      <c r="P176" t="n">
        <v>0</v>
      </c>
      <c r="Q176" t="n">
        <v>1</v>
      </c>
      <c r="R176" t="n">
        <v>0</v>
      </c>
      <c r="S176" t="n">
        <v>1</v>
      </c>
      <c r="T176" t="n">
        <v>1</v>
      </c>
      <c r="U176" t="n">
        <v>0</v>
      </c>
      <c r="V176" s="2" t="inlineStr">
        <is>
          <t>Äggspindling</t>
        </is>
      </c>
      <c r="W176">
        <f>HYPERLINK("https://klasma.github.io/Logging_0980/artfynd/A 62552-2022 artfynd.xlsx", "A 62552-2022")</f>
        <v/>
      </c>
      <c r="X176">
        <f>HYPERLINK("https://klasma.github.io/Logging_0980/kartor/A 62552-2022 karta.png", "A 62552-2022")</f>
        <v/>
      </c>
      <c r="Y176">
        <f>HYPERLINK("https://klasma.github.io/Logging_0980/kartor_geotiff/A 62552-2022 georefererad karta.tif", "A 62552-2022")</f>
        <v/>
      </c>
      <c r="AA176">
        <f>HYPERLINK("https://klasma.github.io/Logging_0980/klagomål/A 62552-2022 FSC-klagomål.docx", "A 62552-2022")</f>
        <v/>
      </c>
      <c r="AB176">
        <f>HYPERLINK("https://klasma.github.io/Logging_0980/klagomålsmail/A 62552-2022 FSC-klagomål mail.docx", "A 62552-2022")</f>
        <v/>
      </c>
      <c r="AC176">
        <f>HYPERLINK("https://klasma.github.io/Logging_0980/tillsyn/A 62552-2022 tillsynsbegäran.docx", "A 62552-2022")</f>
        <v/>
      </c>
      <c r="AD176">
        <f>HYPERLINK("https://klasma.github.io/Logging_0980/tillsynsmail/A 62552-2022 tillsynsbegäran mail.docx", "A 62552-2022")</f>
        <v/>
      </c>
    </row>
    <row r="177" ht="15" customHeight="1">
      <c r="A177" t="inlineStr">
        <is>
          <t>A 44088-2022</t>
        </is>
      </c>
      <c r="B177" t="inlineStr">
        <is>
          <t>avverkningsanmälan</t>
        </is>
      </c>
      <c r="C177" t="inlineStr">
        <is>
          <t>Föryngringsavverkning</t>
        </is>
      </c>
      <c r="D177" s="1" t="n">
        <v>44839</v>
      </c>
      <c r="E177" s="1" t="n">
        <v>46309</v>
      </c>
      <c r="F177" t="inlineStr">
        <is>
          <t>GOTLANDS LÄN</t>
        </is>
      </c>
      <c r="G177" t="inlineStr">
        <is>
          <t>GOTLAND</t>
        </is>
      </c>
      <c r="I177" t="n">
        <v>1.5</v>
      </c>
      <c r="J177" t="n">
        <v>0</v>
      </c>
      <c r="K177" t="n">
        <v>1</v>
      </c>
      <c r="L177" t="n">
        <v>0</v>
      </c>
      <c r="M177" t="n">
        <v>0</v>
      </c>
      <c r="N177" t="n">
        <v>0</v>
      </c>
      <c r="O177" t="n">
        <v>0</v>
      </c>
      <c r="P177" t="n">
        <v>0</v>
      </c>
      <c r="Q177" t="n">
        <v>0</v>
      </c>
      <c r="R177" t="n">
        <v>0</v>
      </c>
      <c r="S177" t="n">
        <v>1</v>
      </c>
      <c r="T177" t="n">
        <v>1</v>
      </c>
      <c r="U177" t="n">
        <v>0</v>
      </c>
      <c r="V177" s="2" t="inlineStr">
        <is>
          <t>Strävlosta</t>
        </is>
      </c>
      <c r="W177">
        <f>HYPERLINK("https://klasma.github.io/Logging_0980/artfynd/A 44088-2022 artfynd.xlsx", "A 44088-2022")</f>
        <v/>
      </c>
      <c r="X177">
        <f>HYPERLINK("https://klasma.github.io/Logging_0980/kartor/A 44088-2022 karta.png", "A 44088-2022")</f>
        <v/>
      </c>
      <c r="Y177">
        <f>HYPERLINK("https://klasma.github.io/Logging_0980/kartor_geotiff/A 44088-2022 georefererad karta.tif", "A 44088-2022")</f>
        <v/>
      </c>
      <c r="AA177">
        <f>HYPERLINK("https://klasma.github.io/Logging_0980/klagomål/A 44088-2022 FSC-klagomål.docx", "A 44088-2022")</f>
        <v/>
      </c>
      <c r="AB177">
        <f>HYPERLINK("https://klasma.github.io/Logging_0980/klagomålsmail/A 44088-2022 FSC-klagomål mail.docx", "A 44088-2022")</f>
        <v/>
      </c>
      <c r="AC177">
        <f>HYPERLINK("https://klasma.github.io/Logging_0980/tillsyn/A 44088-2022 tillsynsbegäran.docx", "A 44088-2022")</f>
        <v/>
      </c>
      <c r="AD177">
        <f>HYPERLINK("https://klasma.github.io/Logging_0980/tillsynsmail/A 44088-2022 tillsynsbegäran mail.docx", "A 44088-2022")</f>
        <v/>
      </c>
    </row>
    <row r="178" ht="15" customHeight="1">
      <c r="A178" t="inlineStr">
        <is>
          <t>A 49693-2023</t>
        </is>
      </c>
      <c r="B178" t="inlineStr">
        <is>
          <t>avverkningsanmälan</t>
        </is>
      </c>
      <c r="C178" t="inlineStr">
        <is>
          <t>Föryngringsavverkning</t>
        </is>
      </c>
      <c r="D178" s="1" t="n">
        <v>45212</v>
      </c>
      <c r="E178" s="1" t="n">
        <v>46309</v>
      </c>
      <c r="F178" t="inlineStr">
        <is>
          <t>GOTLANDS LÄN</t>
        </is>
      </c>
      <c r="G178" t="inlineStr">
        <is>
          <t>GOTLAND</t>
        </is>
      </c>
      <c r="I178" t="n">
        <v>2.4</v>
      </c>
      <c r="J178" t="n">
        <v>0</v>
      </c>
      <c r="K178" t="n">
        <v>0</v>
      </c>
      <c r="L178" t="n">
        <v>0</v>
      </c>
      <c r="M178" t="n">
        <v>1</v>
      </c>
      <c r="N178" t="n">
        <v>0</v>
      </c>
      <c r="O178" t="n">
        <v>0</v>
      </c>
      <c r="P178" t="n">
        <v>0</v>
      </c>
      <c r="Q178" t="n">
        <v>1</v>
      </c>
      <c r="R178" t="n">
        <v>1</v>
      </c>
      <c r="S178" t="n">
        <v>1</v>
      </c>
      <c r="T178" t="n">
        <v>1</v>
      </c>
      <c r="U178" t="n">
        <v>1</v>
      </c>
      <c r="V178" s="2" t="inlineStr">
        <is>
          <t>Vit taggsvamp</t>
        </is>
      </c>
      <c r="W178">
        <f>HYPERLINK("https://klasma.github.io/Logging_0980/artfynd/A 49693-2023 artfynd.xlsx", "A 49693-2023")</f>
        <v/>
      </c>
      <c r="X178">
        <f>HYPERLINK("https://klasma.github.io/Logging_0980/kartor/A 49693-2023 karta.png", "A 49693-2023")</f>
        <v/>
      </c>
      <c r="Y178">
        <f>HYPERLINK("https://klasma.github.io/Logging_0980/kartor_geotiff/A 49693-2023 georefererad karta.tif", "A 49693-2023")</f>
        <v/>
      </c>
      <c r="AA178">
        <f>HYPERLINK("https://klasma.github.io/Logging_0980/klagomål/A 49693-2023 FSC-klagomål.docx", "A 49693-2023")</f>
        <v/>
      </c>
      <c r="AB178">
        <f>HYPERLINK("https://klasma.github.io/Logging_0980/klagomålsmail/A 49693-2023 FSC-klagomål mail.docx", "A 49693-2023")</f>
        <v/>
      </c>
      <c r="AC178">
        <f>HYPERLINK("https://klasma.github.io/Logging_0980/tillsyn/A 49693-2023 tillsynsbegäran.docx", "A 49693-2023")</f>
        <v/>
      </c>
      <c r="AD178">
        <f>HYPERLINK("https://klasma.github.io/Logging_0980/tillsynsmail/A 49693-2023 tillsynsbegäran mail.docx", "A 49693-2023")</f>
        <v/>
      </c>
    </row>
    <row r="179" ht="15" customHeight="1">
      <c r="A179" t="inlineStr">
        <is>
          <t>A 4662-2026</t>
        </is>
      </c>
      <c r="B179" t="inlineStr">
        <is>
          <t>avverkningsanmälan</t>
        </is>
      </c>
      <c r="C179" t="inlineStr">
        <is>
          <t>Föryngringsavverkning</t>
        </is>
      </c>
      <c r="D179" s="1" t="n">
        <v>46048</v>
      </c>
      <c r="E179" s="1" t="n">
        <v>46309</v>
      </c>
      <c r="F179" t="inlineStr">
        <is>
          <t>GOTLANDS LÄN</t>
        </is>
      </c>
      <c r="G179" t="inlineStr">
        <is>
          <t>GOTLAND</t>
        </is>
      </c>
      <c r="I179" t="n">
        <v>7.6</v>
      </c>
      <c r="J179" t="n">
        <v>0</v>
      </c>
      <c r="K179" t="n">
        <v>0</v>
      </c>
      <c r="L179" t="n">
        <v>0</v>
      </c>
      <c r="M179" t="n">
        <v>1</v>
      </c>
      <c r="N179" t="n">
        <v>0</v>
      </c>
      <c r="O179" t="n">
        <v>0</v>
      </c>
      <c r="P179" t="n">
        <v>0</v>
      </c>
      <c r="Q179" t="n">
        <v>1</v>
      </c>
      <c r="R179" t="n">
        <v>1</v>
      </c>
      <c r="S179" t="n">
        <v>1</v>
      </c>
      <c r="T179" t="n">
        <v>1</v>
      </c>
      <c r="U179" t="n">
        <v>0</v>
      </c>
      <c r="V179" s="2" t="inlineStr">
        <is>
          <t>Strandviol</t>
        </is>
      </c>
      <c r="W179">
        <f>HYPERLINK("https://klasma.github.io/Logging_0980/artfynd/A 4662-2026 artfynd.xlsx", "A 4662-2026")</f>
        <v/>
      </c>
      <c r="X179">
        <f>HYPERLINK("https://klasma.github.io/Logging_0980/kartor/A 4662-2026 karta.png", "A 4662-2026")</f>
        <v/>
      </c>
      <c r="Y179">
        <f>HYPERLINK("https://klasma.github.io/Logging_0980/kartor_geotiff/A 4662-2026 georefererad karta.tif", "A 4662-2026")</f>
        <v/>
      </c>
      <c r="AA179">
        <f>HYPERLINK("https://klasma.github.io/Logging_0980/klagomål/A 4662-2026 FSC-klagomål.docx", "A 4662-2026")</f>
        <v/>
      </c>
      <c r="AB179">
        <f>HYPERLINK("https://klasma.github.io/Logging_0980/klagomålsmail/A 4662-2026 FSC-klagomål mail.docx", "A 4662-2026")</f>
        <v/>
      </c>
      <c r="AC179">
        <f>HYPERLINK("https://klasma.github.io/Logging_0980/tillsyn/A 4662-2026 tillsynsbegäran.docx", "A 4662-2026")</f>
        <v/>
      </c>
      <c r="AD179">
        <f>HYPERLINK("https://klasma.github.io/Logging_0980/tillsynsmail/A 4662-2026 tillsynsbegäran mail.docx", "A 4662-2026")</f>
        <v/>
      </c>
    </row>
    <row r="180" ht="15" customHeight="1">
      <c r="A180" t="inlineStr">
        <is>
          <t>A 69112-2021</t>
        </is>
      </c>
      <c r="B180" t="inlineStr">
        <is>
          <t>avverkningsanmälan</t>
        </is>
      </c>
      <c r="C180" t="inlineStr">
        <is>
          <t>Avverkning för annat ändamål</t>
        </is>
      </c>
      <c r="D180" s="1" t="n">
        <v>44530</v>
      </c>
      <c r="E180" s="1" t="n">
        <v>46309</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46309</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46309</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46309</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46309</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46309</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46309</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46309</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46309</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6303-2024</t>
        </is>
      </c>
      <c r="B189" t="inlineStr">
        <is>
          <t>avverkningsanmälan</t>
        </is>
      </c>
      <c r="C189" t="inlineStr">
        <is>
          <t>Föryngringsavverkning</t>
        </is>
      </c>
      <c r="D189" s="1" t="n">
        <v>45338</v>
      </c>
      <c r="E189" s="1" t="n">
        <v>46309</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6303-2024 artfynd.xlsx", "A 6303-2024")</f>
        <v/>
      </c>
      <c r="X189">
        <f>HYPERLINK("https://klasma.github.io/Logging_0980/kartor/A 6303-2024 karta.png", "A 6303-2024")</f>
        <v/>
      </c>
      <c r="Y189">
        <f>HYPERLINK("https://klasma.github.io/Logging_0980/kartor_geotiff/A 6303-2024 georefererad karta.tif", "A 6303-2024")</f>
        <v/>
      </c>
      <c r="AA189">
        <f>HYPERLINK("https://klasma.github.io/Logging_0980/klagomål/A 6303-2024 FSC-klagomål.docx", "A 6303-2024")</f>
        <v/>
      </c>
      <c r="AB189">
        <f>HYPERLINK("https://klasma.github.io/Logging_0980/klagomålsmail/A 6303-2024 FSC-klagomål mail.docx", "A 6303-2024")</f>
        <v/>
      </c>
      <c r="AC189">
        <f>HYPERLINK("https://klasma.github.io/Logging_0980/tillsyn/A 6303-2024 tillsynsbegäran.docx", "A 6303-2024")</f>
        <v/>
      </c>
      <c r="AD189">
        <f>HYPERLINK("https://klasma.github.io/Logging_0980/tillsynsmail/A 6303-2024 tillsynsbegäran mail.docx", "A 6303-2024")</f>
        <v/>
      </c>
    </row>
    <row r="190" ht="15" customHeight="1">
      <c r="A190" t="inlineStr">
        <is>
          <t>A 40294-2022</t>
        </is>
      </c>
      <c r="B190" t="inlineStr">
        <is>
          <t>avverkningsanmälan</t>
        </is>
      </c>
      <c r="C190" t="inlineStr">
        <is>
          <t>Föryngringsavverkning</t>
        </is>
      </c>
      <c r="D190" s="1" t="n">
        <v>44821</v>
      </c>
      <c r="E190" s="1" t="n">
        <v>46309</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1066-2024</t>
        </is>
      </c>
      <c r="B191" t="inlineStr">
        <is>
          <t>avverkningsanmälan</t>
        </is>
      </c>
      <c r="C191" t="inlineStr">
        <is>
          <t>Föryngringsavverkning</t>
        </is>
      </c>
      <c r="D191" s="1" t="n">
        <v>45302</v>
      </c>
      <c r="E191" s="1" t="n">
        <v>46309</v>
      </c>
      <c r="F191" t="inlineStr">
        <is>
          <t>GOTLANDS LÄN</t>
        </is>
      </c>
      <c r="G191" t="inlineStr">
        <is>
          <t>GOTLAND</t>
        </is>
      </c>
      <c r="I191" t="n">
        <v>1.4</v>
      </c>
      <c r="J191" t="n">
        <v>0</v>
      </c>
      <c r="K191" t="n">
        <v>0</v>
      </c>
      <c r="L191" t="n">
        <v>1</v>
      </c>
      <c r="M191" t="n">
        <v>0</v>
      </c>
      <c r="N191" t="n">
        <v>0</v>
      </c>
      <c r="O191" t="n">
        <v>0</v>
      </c>
      <c r="P191" t="n">
        <v>0</v>
      </c>
      <c r="Q191" t="n">
        <v>1</v>
      </c>
      <c r="R191" t="n">
        <v>0</v>
      </c>
      <c r="S191" t="n">
        <v>1</v>
      </c>
      <c r="T191" t="n">
        <v>1</v>
      </c>
      <c r="U191" t="n">
        <v>1</v>
      </c>
      <c r="V191" s="2" t="inlineStr">
        <is>
          <t>Svinrot</t>
        </is>
      </c>
      <c r="W191">
        <f>HYPERLINK("https://klasma.github.io/Logging_0980/artfynd/A 1066-2024 artfynd.xlsx", "A 1066-2024")</f>
        <v/>
      </c>
      <c r="X191">
        <f>HYPERLINK("https://klasma.github.io/Logging_0980/kartor/A 1066-2024 karta.png", "A 1066-2024")</f>
        <v/>
      </c>
      <c r="Y191">
        <f>HYPERLINK("https://klasma.github.io/Logging_0980/kartor_geotiff/A 1066-2024 georefererad karta.tif", "A 1066-2024")</f>
        <v/>
      </c>
      <c r="AA191">
        <f>HYPERLINK("https://klasma.github.io/Logging_0980/klagomål/A 1066-2024 FSC-klagomål.docx", "A 1066-2024")</f>
        <v/>
      </c>
      <c r="AB191">
        <f>HYPERLINK("https://klasma.github.io/Logging_0980/klagomålsmail/A 1066-2024 FSC-klagomål mail.docx", "A 1066-2024")</f>
        <v/>
      </c>
      <c r="AC191">
        <f>HYPERLINK("https://klasma.github.io/Logging_0980/tillsyn/A 1066-2024 tillsynsbegäran.docx", "A 1066-2024")</f>
        <v/>
      </c>
      <c r="AD191">
        <f>HYPERLINK("https://klasma.github.io/Logging_0980/tillsynsmail/A 1066-2024 tillsynsbegäran mail.docx", "A 1066-2024")</f>
        <v/>
      </c>
    </row>
    <row r="192" ht="15" customHeight="1">
      <c r="A192" t="inlineStr">
        <is>
          <t>A 30176-2026</t>
        </is>
      </c>
      <c r="B192" t="inlineStr">
        <is>
          <t>avverkningsanmälan</t>
        </is>
      </c>
      <c r="C192" t="inlineStr">
        <is>
          <t>Avverkning för annat ändamål</t>
        </is>
      </c>
      <c r="D192" s="1" t="n">
        <v>46203</v>
      </c>
      <c r="E192" s="1" t="n">
        <v>46309</v>
      </c>
      <c r="F192" t="inlineStr">
        <is>
          <t>GOTLANDS LÄN</t>
        </is>
      </c>
      <c r="G192" t="inlineStr">
        <is>
          <t>GOTLAND</t>
        </is>
      </c>
      <c r="I192" t="n">
        <v>3.7</v>
      </c>
      <c r="J192" t="n">
        <v>1</v>
      </c>
      <c r="K192" t="n">
        <v>0</v>
      </c>
      <c r="L192" t="n">
        <v>0</v>
      </c>
      <c r="M192" t="n">
        <v>0</v>
      </c>
      <c r="N192" t="n">
        <v>0</v>
      </c>
      <c r="O192" t="n">
        <v>0</v>
      </c>
      <c r="P192" t="n">
        <v>0</v>
      </c>
      <c r="Q192" t="n">
        <v>0</v>
      </c>
      <c r="R192" t="n">
        <v>0</v>
      </c>
      <c r="S192" t="n">
        <v>1</v>
      </c>
      <c r="T192" t="n">
        <v>1</v>
      </c>
      <c r="U192" t="n">
        <v>0</v>
      </c>
      <c r="V192" s="2" t="inlineStr">
        <is>
          <t>Bredarun</t>
        </is>
      </c>
      <c r="W192">
        <f>HYPERLINK("https://klasma.github.io/Logging_0980/artfynd/A 30176-2026 artfynd.xlsx", "A 30176-2026")</f>
        <v/>
      </c>
      <c r="X192">
        <f>HYPERLINK("https://klasma.github.io/Logging_0980/kartor/A 30176-2026 karta.png", "A 30176-2026")</f>
        <v/>
      </c>
      <c r="Y192">
        <f>HYPERLINK("https://klasma.github.io/Logging_0980/kartor_geotiff/A 30176-2026 georefererad karta.tif", "A 30176-2026")</f>
        <v/>
      </c>
      <c r="AA192">
        <f>HYPERLINK("https://klasma.github.io/Logging_0980/klagomål/A 30176-2026 FSC-klagomål.docx", "A 30176-2026")</f>
        <v/>
      </c>
      <c r="AB192">
        <f>HYPERLINK("https://klasma.github.io/Logging_0980/klagomålsmail/A 30176-2026 FSC-klagomål mail.docx", "A 30176-2026")</f>
        <v/>
      </c>
      <c r="AC192">
        <f>HYPERLINK("https://klasma.github.io/Logging_0980/tillsyn/A 30176-2026 tillsynsbegäran.docx", "A 30176-2026")</f>
        <v/>
      </c>
      <c r="AD192">
        <f>HYPERLINK("https://klasma.github.io/Logging_0980/tillsynsmail/A 30176-2026 tillsynsbegäran mail.docx", "A 30176-2026")</f>
        <v/>
      </c>
    </row>
    <row r="193" ht="15" customHeight="1">
      <c r="A193" t="inlineStr">
        <is>
          <t>A 22782-2023</t>
        </is>
      </c>
      <c r="B193" t="inlineStr">
        <is>
          <t>avverkningsanmälan</t>
        </is>
      </c>
      <c r="C193" t="inlineStr">
        <is>
          <t>Föryngringsavverkning</t>
        </is>
      </c>
      <c r="D193" s="1" t="n">
        <v>45072</v>
      </c>
      <c r="E193" s="1" t="n">
        <v>46309</v>
      </c>
      <c r="F193" t="inlineStr">
        <is>
          <t>GOTLANDS LÄN</t>
        </is>
      </c>
      <c r="G193" t="inlineStr">
        <is>
          <t>GOTLAND</t>
        </is>
      </c>
      <c r="H193" t="inlineStr">
        <is>
          <t>Kyrkan</t>
        </is>
      </c>
      <c r="I193" t="n">
        <v>3.1</v>
      </c>
      <c r="J193" t="n">
        <v>1</v>
      </c>
      <c r="K193" t="n">
        <v>0</v>
      </c>
      <c r="L193" t="n">
        <v>0</v>
      </c>
      <c r="M193" t="n">
        <v>0</v>
      </c>
      <c r="N193" t="n">
        <v>0</v>
      </c>
      <c r="O193" t="n">
        <v>0</v>
      </c>
      <c r="P193" t="n">
        <v>0</v>
      </c>
      <c r="Q193" t="n">
        <v>0</v>
      </c>
      <c r="R193" t="n">
        <v>0</v>
      </c>
      <c r="S193" t="n">
        <v>1</v>
      </c>
      <c r="T193" t="n">
        <v>1</v>
      </c>
      <c r="U193" t="n">
        <v>1</v>
      </c>
      <c r="V193" s="2" t="inlineStr">
        <is>
          <t>Ängsnycklar × skogsnycklar</t>
        </is>
      </c>
      <c r="W193">
        <f>HYPERLINK("https://klasma.github.io/Logging_0980/artfynd/A 22782-2023 artfynd.xlsx", "A 22782-2023")</f>
        <v/>
      </c>
      <c r="X193">
        <f>HYPERLINK("https://klasma.github.io/Logging_0980/kartor/A 22782-2023 karta.png", "A 22782-2023")</f>
        <v/>
      </c>
      <c r="Y193">
        <f>HYPERLINK("https://klasma.github.io/Logging_0980/kartor_geotiff/A 22782-2023 georefererad karta.tif", "A 22782-2023")</f>
        <v/>
      </c>
      <c r="AA193">
        <f>HYPERLINK("https://klasma.github.io/Logging_0980/klagomål/A 22782-2023 FSC-klagomål.docx", "A 22782-2023")</f>
        <v/>
      </c>
      <c r="AB193">
        <f>HYPERLINK("https://klasma.github.io/Logging_0980/klagomålsmail/A 22782-2023 FSC-klagomål mail.docx", "A 22782-2023")</f>
        <v/>
      </c>
      <c r="AC193">
        <f>HYPERLINK("https://klasma.github.io/Logging_0980/tillsyn/A 22782-2023 tillsynsbegäran.docx", "A 22782-2023")</f>
        <v/>
      </c>
      <c r="AD193">
        <f>HYPERLINK("https://klasma.github.io/Logging_0980/tillsynsmail/A 22782-2023 tillsynsbegäran mail.docx", "A 22782-2023")</f>
        <v/>
      </c>
    </row>
    <row r="194" ht="15" customHeight="1">
      <c r="A194" t="inlineStr">
        <is>
          <t>A 27602-2023</t>
        </is>
      </c>
      <c r="B194" t="inlineStr">
        <is>
          <t>avverkningsanmälan</t>
        </is>
      </c>
      <c r="C194" t="inlineStr">
        <is>
          <t>Avverkning för annat ändamål</t>
        </is>
      </c>
      <c r="D194" s="1" t="n">
        <v>45097</v>
      </c>
      <c r="E194" s="1" t="n">
        <v>46309</v>
      </c>
      <c r="F194" t="inlineStr">
        <is>
          <t>GOTLANDS LÄN</t>
        </is>
      </c>
      <c r="G194" t="inlineStr">
        <is>
          <t>GOTLAND</t>
        </is>
      </c>
      <c r="I194" t="n">
        <v>2.7</v>
      </c>
      <c r="J194" t="n">
        <v>1</v>
      </c>
      <c r="K194" t="n">
        <v>0</v>
      </c>
      <c r="L194" t="n">
        <v>0</v>
      </c>
      <c r="M194" t="n">
        <v>0</v>
      </c>
      <c r="N194" t="n">
        <v>0</v>
      </c>
      <c r="O194" t="n">
        <v>0</v>
      </c>
      <c r="P194" t="n">
        <v>0</v>
      </c>
      <c r="Q194" t="n">
        <v>0</v>
      </c>
      <c r="R194" t="n">
        <v>0</v>
      </c>
      <c r="S194" t="n">
        <v>1</v>
      </c>
      <c r="T194" t="n">
        <v>1</v>
      </c>
      <c r="U194" t="n">
        <v>0</v>
      </c>
      <c r="V194" s="2" t="inlineStr">
        <is>
          <t>Blåsippa</t>
        </is>
      </c>
      <c r="W194">
        <f>HYPERLINK("https://klasma.github.io/Logging_0980/artfynd/A 27602-2023 artfynd.xlsx", "A 27602-2023")</f>
        <v/>
      </c>
      <c r="X194">
        <f>HYPERLINK("https://klasma.github.io/Logging_0980/kartor/A 27602-2023 karta.png", "A 27602-2023")</f>
        <v/>
      </c>
      <c r="Y194">
        <f>HYPERLINK("https://klasma.github.io/Logging_0980/kartor_geotiff/A 27602-2023 georefererad karta.tif", "A 27602-2023")</f>
        <v/>
      </c>
      <c r="AA194">
        <f>HYPERLINK("https://klasma.github.io/Logging_0980/klagomål/A 27602-2023 FSC-klagomål.docx", "A 27602-2023")</f>
        <v/>
      </c>
      <c r="AB194">
        <f>HYPERLINK("https://klasma.github.io/Logging_0980/klagomålsmail/A 27602-2023 FSC-klagomål mail.docx", "A 27602-2023")</f>
        <v/>
      </c>
      <c r="AC194">
        <f>HYPERLINK("https://klasma.github.io/Logging_0980/tillsyn/A 27602-2023 tillsynsbegäran.docx", "A 27602-2023")</f>
        <v/>
      </c>
      <c r="AD194">
        <f>HYPERLINK("https://klasma.github.io/Logging_0980/tillsynsmail/A 27602-2023 tillsynsbegäran mail.docx", "A 27602-2023")</f>
        <v/>
      </c>
    </row>
    <row r="195" ht="15" customHeight="1">
      <c r="A195" t="inlineStr">
        <is>
          <t>A 22883-2024</t>
        </is>
      </c>
      <c r="B195" t="inlineStr">
        <is>
          <t>avverkningsanmälan</t>
        </is>
      </c>
      <c r="C195" t="inlineStr">
        <is>
          <t>Föryngringsavverkning</t>
        </is>
      </c>
      <c r="D195" s="1" t="n">
        <v>45448</v>
      </c>
      <c r="E195" s="1" t="n">
        <v>46309</v>
      </c>
      <c r="F195" t="inlineStr">
        <is>
          <t>GOTLANDS LÄN</t>
        </is>
      </c>
      <c r="G195" t="inlineStr">
        <is>
          <t>GOTLAND</t>
        </is>
      </c>
      <c r="I195" t="n">
        <v>0.5</v>
      </c>
      <c r="J195" t="n">
        <v>0</v>
      </c>
      <c r="K195" t="n">
        <v>0</v>
      </c>
      <c r="L195" t="n">
        <v>0</v>
      </c>
      <c r="M195" t="n">
        <v>1</v>
      </c>
      <c r="N195" t="n">
        <v>0</v>
      </c>
      <c r="O195" t="n">
        <v>0</v>
      </c>
      <c r="P195" t="n">
        <v>0</v>
      </c>
      <c r="Q195" t="n">
        <v>1</v>
      </c>
      <c r="R195" t="n">
        <v>1</v>
      </c>
      <c r="S195" t="n">
        <v>1</v>
      </c>
      <c r="T195" t="n">
        <v>2</v>
      </c>
      <c r="U195" t="n">
        <v>2</v>
      </c>
      <c r="V195" s="2" t="inlineStr">
        <is>
          <t>Gotlandsmåra</t>
        </is>
      </c>
      <c r="W195">
        <f>HYPERLINK("https://klasma.github.io/Logging_0980/artfynd/A 22883-2024 artfynd.xlsx", "A 22883-2024")</f>
        <v/>
      </c>
      <c r="X195">
        <f>HYPERLINK("https://klasma.github.io/Logging_0980/kartor/A 22883-2024 karta.png", "A 22883-2024")</f>
        <v/>
      </c>
      <c r="Y195">
        <f>HYPERLINK("https://klasma.github.io/Logging_0980/kartor_geotiff/A 22883-2024 georefererad karta.tif", "A 22883-2024")</f>
        <v/>
      </c>
      <c r="AA195">
        <f>HYPERLINK("https://klasma.github.io/Logging_0980/klagomål/A 22883-2024 FSC-klagomål.docx", "A 22883-2024")</f>
        <v/>
      </c>
      <c r="AB195">
        <f>HYPERLINK("https://klasma.github.io/Logging_0980/klagomålsmail/A 22883-2024 FSC-klagomål mail.docx", "A 22883-2024")</f>
        <v/>
      </c>
      <c r="AC195">
        <f>HYPERLINK("https://klasma.github.io/Logging_0980/tillsyn/A 22883-2024 tillsynsbegäran.docx", "A 22883-2024")</f>
        <v/>
      </c>
      <c r="AD195">
        <f>HYPERLINK("https://klasma.github.io/Logging_0980/tillsynsmail/A 22883-2024 tillsynsbegäran mail.docx", "A 22883-2024")</f>
        <v/>
      </c>
    </row>
    <row r="196" ht="15" customHeight="1">
      <c r="A196" t="inlineStr">
        <is>
          <t>A 18036-2026</t>
        </is>
      </c>
      <c r="B196" t="inlineStr">
        <is>
          <t>avverkningsanmälan</t>
        </is>
      </c>
      <c r="C196" t="inlineStr">
        <is>
          <t>Föryngringsavverkning</t>
        </is>
      </c>
      <c r="D196" s="1" t="n">
        <v>46125</v>
      </c>
      <c r="E196" s="1" t="n">
        <v>46309</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57534-2022</t>
        </is>
      </c>
      <c r="B197" t="inlineStr">
        <is>
          <t>avverkningsanmälan</t>
        </is>
      </c>
      <c r="C197" t="inlineStr">
        <is>
          <t>Föryngringsavverkning</t>
        </is>
      </c>
      <c r="D197" s="1" t="n">
        <v>44896</v>
      </c>
      <c r="E197" s="1" t="n">
        <v>46309</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21396-2026</t>
        </is>
      </c>
      <c r="B198" t="inlineStr">
        <is>
          <t>avverkningsanmälan</t>
        </is>
      </c>
      <c r="C198" t="inlineStr">
        <is>
          <t>Föryngringsavverkning</t>
        </is>
      </c>
      <c r="D198" s="1" t="n">
        <v>46148</v>
      </c>
      <c r="E198" s="1" t="n">
        <v>46309</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24245-2022</t>
        </is>
      </c>
      <c r="B199" t="inlineStr">
        <is>
          <t>avverkningsanmälan</t>
        </is>
      </c>
      <c r="C199" t="inlineStr">
        <is>
          <t>Föryngringsavverkning</t>
        </is>
      </c>
      <c r="D199" s="1" t="n">
        <v>44725</v>
      </c>
      <c r="E199" s="1" t="n">
        <v>46309</v>
      </c>
      <c r="F199" t="inlineStr">
        <is>
          <t>GOTLANDS LÄN</t>
        </is>
      </c>
      <c r="G199" t="inlineStr">
        <is>
          <t>GOTLAND</t>
        </is>
      </c>
      <c r="I199" t="n">
        <v>4.9</v>
      </c>
      <c r="J199" t="n">
        <v>0</v>
      </c>
      <c r="K199" t="n">
        <v>0</v>
      </c>
      <c r="L199" t="n">
        <v>0</v>
      </c>
      <c r="M199" t="n">
        <v>0</v>
      </c>
      <c r="N199" t="n">
        <v>1</v>
      </c>
      <c r="O199" t="n">
        <v>0</v>
      </c>
      <c r="P199" t="n">
        <v>0</v>
      </c>
      <c r="Q199" t="n">
        <v>1</v>
      </c>
      <c r="R199" t="n">
        <v>1</v>
      </c>
      <c r="S199" t="n">
        <v>1</v>
      </c>
      <c r="T199" t="n">
        <v>2</v>
      </c>
      <c r="U199" t="n">
        <v>0</v>
      </c>
      <c r="V199" s="2" t="inlineStr">
        <is>
          <t>Slät taggsvamp</t>
        </is>
      </c>
      <c r="W199">
        <f>HYPERLINK("https://klasma.github.io/Logging_0980/artfynd/A 24245-2022 artfynd.xlsx", "A 24245-2022")</f>
        <v/>
      </c>
      <c r="X199">
        <f>HYPERLINK("https://klasma.github.io/Logging_0980/kartor/A 24245-2022 karta.png", "A 24245-2022")</f>
        <v/>
      </c>
      <c r="Y199">
        <f>HYPERLINK("https://klasma.github.io/Logging_0980/kartor_geotiff/A 24245-2022 georefererad karta.tif", "A 24245-2022")</f>
        <v/>
      </c>
      <c r="AA199">
        <f>HYPERLINK("https://klasma.github.io/Logging_0980/klagomål/A 24245-2022 FSC-klagomål.docx", "A 24245-2022")</f>
        <v/>
      </c>
      <c r="AB199">
        <f>HYPERLINK("https://klasma.github.io/Logging_0980/klagomålsmail/A 24245-2022 FSC-klagomål mail.docx", "A 24245-2022")</f>
        <v/>
      </c>
      <c r="AC199">
        <f>HYPERLINK("https://klasma.github.io/Logging_0980/tillsyn/A 24245-2022 tillsynsbegäran.docx", "A 24245-2022")</f>
        <v/>
      </c>
      <c r="AD199">
        <f>HYPERLINK("https://klasma.github.io/Logging_0980/tillsynsmail/A 24245-2022 tillsynsbegäran mail.docx", "A 24245-2022")</f>
        <v/>
      </c>
    </row>
    <row r="200" ht="15" customHeight="1">
      <c r="A200" t="inlineStr">
        <is>
          <t>A 64700-2021</t>
        </is>
      </c>
      <c r="B200" t="inlineStr">
        <is>
          <t>avverkningsanmälan</t>
        </is>
      </c>
      <c r="C200" t="inlineStr">
        <is>
          <t>Avverkning för att bevara och utveckla /försöksver</t>
        </is>
      </c>
      <c r="D200" s="1" t="n">
        <v>44511</v>
      </c>
      <c r="E200" s="1" t="n">
        <v>46309</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49847-2023</t>
        </is>
      </c>
      <c r="B201" t="inlineStr">
        <is>
          <t>avverkningsanmälan</t>
        </is>
      </c>
      <c r="C201" t="inlineStr">
        <is>
          <t>Föryngringsavverkning</t>
        </is>
      </c>
      <c r="D201" s="1" t="n">
        <v>45212</v>
      </c>
      <c r="E201" s="1" t="n">
        <v>46309</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46309</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10218-2025</t>
        </is>
      </c>
      <c r="B203" t="inlineStr">
        <is>
          <t>avverkningsanmälan</t>
        </is>
      </c>
      <c r="C203" t="inlineStr">
        <is>
          <t>Föryngringsavverkning</t>
        </is>
      </c>
      <c r="D203" s="1" t="n">
        <v>45720</v>
      </c>
      <c r="E203" s="1" t="n">
        <v>46309</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t="n">
        <v>1</v>
      </c>
      <c r="V203" s="2" t="inlineStr">
        <is>
          <t>Kalktallört</t>
        </is>
      </c>
      <c r="W203">
        <f>HYPERLINK("https://klasma.github.io/Logging_0980/artfynd/A 10218-2025 artfynd.xlsx", "A 10218-2025")</f>
        <v/>
      </c>
      <c r="X203">
        <f>HYPERLINK("https://klasma.github.io/Logging_0980/kartor/A 10218-2025 karta.png", "A 10218-2025")</f>
        <v/>
      </c>
      <c r="Y203">
        <f>HYPERLINK("https://klasma.github.io/Logging_0980/kartor_geotiff/A 10218-2025 georefererad karta.tif", "A 10218-2025")</f>
        <v/>
      </c>
      <c r="AA203">
        <f>HYPERLINK("https://klasma.github.io/Logging_0980/klagomål/A 10218-2025 FSC-klagomål.docx", "A 10218-2025")</f>
        <v/>
      </c>
      <c r="AB203">
        <f>HYPERLINK("https://klasma.github.io/Logging_0980/klagomålsmail/A 10218-2025 FSC-klagomål mail.docx", "A 10218-2025")</f>
        <v/>
      </c>
      <c r="AC203">
        <f>HYPERLINK("https://klasma.github.io/Logging_0980/tillsyn/A 10218-2025 tillsynsbegäran.docx", "A 10218-2025")</f>
        <v/>
      </c>
      <c r="AD203">
        <f>HYPERLINK("https://klasma.github.io/Logging_0980/tillsynsmail/A 10218-2025 tillsynsbegäran mail.docx", "A 10218-2025")</f>
        <v/>
      </c>
    </row>
    <row r="204" ht="15" customHeight="1">
      <c r="A204" t="inlineStr">
        <is>
          <t>A 5863-2026</t>
        </is>
      </c>
      <c r="B204" t="inlineStr">
        <is>
          <t>avverkningsanmälan</t>
        </is>
      </c>
      <c r="C204" t="inlineStr">
        <is>
          <t>Föryngringsavverkning</t>
        </is>
      </c>
      <c r="D204" s="1" t="n">
        <v>46052</v>
      </c>
      <c r="E204" s="1" t="n">
        <v>46309</v>
      </c>
      <c r="F204" t="inlineStr">
        <is>
          <t>GOTLANDS LÄN</t>
        </is>
      </c>
      <c r="G204" t="inlineStr">
        <is>
          <t>GOTLAND</t>
        </is>
      </c>
      <c r="I204" t="n">
        <v>1.8</v>
      </c>
      <c r="J204" t="n">
        <v>1</v>
      </c>
      <c r="K204" t="n">
        <v>0</v>
      </c>
      <c r="L204" t="n">
        <v>1</v>
      </c>
      <c r="M204" t="n">
        <v>0</v>
      </c>
      <c r="N204" t="n">
        <v>0</v>
      </c>
      <c r="O204" t="n">
        <v>0</v>
      </c>
      <c r="P204" t="n">
        <v>0</v>
      </c>
      <c r="Q204" t="n">
        <v>1</v>
      </c>
      <c r="R204" t="n">
        <v>0</v>
      </c>
      <c r="S204" t="n">
        <v>1</v>
      </c>
      <c r="T204" t="n">
        <v>35</v>
      </c>
      <c r="U204" t="n">
        <v>25</v>
      </c>
      <c r="V204" s="2" t="inlineStr">
        <is>
          <t>Dårgräsfjäril</t>
        </is>
      </c>
      <c r="W204">
        <f>HYPERLINK("https://klasma.github.io/Logging_0980/artfynd/A 5863-2026 artfynd.xlsx", "A 5863-2026")</f>
        <v/>
      </c>
      <c r="X204">
        <f>HYPERLINK("https://klasma.github.io/Logging_0980/kartor/A 5863-2026 karta.png", "A 5863-2026")</f>
        <v/>
      </c>
      <c r="Y204">
        <f>HYPERLINK("https://klasma.github.io/Logging_0980/kartor_geotiff/A 5863-2026 georefererad karta.tif", "A 5863-2026")</f>
        <v/>
      </c>
      <c r="AA204">
        <f>HYPERLINK("https://klasma.github.io/Logging_0980/klagomål/A 5863-2026 FSC-klagomål.docx", "A 5863-2026")</f>
        <v/>
      </c>
      <c r="AB204">
        <f>HYPERLINK("https://klasma.github.io/Logging_0980/klagomålsmail/A 5863-2026 FSC-klagomål mail.docx", "A 5863-2026")</f>
        <v/>
      </c>
      <c r="AC204">
        <f>HYPERLINK("https://klasma.github.io/Logging_0980/tillsyn/A 5863-2026 tillsynsbegäran.docx", "A 5863-2026")</f>
        <v/>
      </c>
      <c r="AD204">
        <f>HYPERLINK("https://klasma.github.io/Logging_0980/tillsynsmail/A 5863-2026 tillsynsbegäran mail.docx", "A 5863-2026")</f>
        <v/>
      </c>
    </row>
    <row r="205" ht="15" customHeight="1">
      <c r="A205" t="inlineStr">
        <is>
          <t>S 2744-2023</t>
        </is>
      </c>
      <c r="B205" t="inlineStr">
        <is>
          <t>samrådsanmälan</t>
        </is>
      </c>
      <c r="C205" t="inlineStr">
        <is>
          <t>Annan skogsbruksåtgärd</t>
        </is>
      </c>
      <c r="D205" s="1" t="n">
        <v>45159</v>
      </c>
      <c r="E205" s="1" t="n">
        <v>46309</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46309</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46309</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46309</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46309</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46309</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46309</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46309</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46309</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46309</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46309</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46309</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46309</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46309</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46309</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46309</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46309</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46309</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13498-2022</t>
        </is>
      </c>
      <c r="B223" t="inlineStr">
        <is>
          <t>avverkningsanmälan</t>
        </is>
      </c>
      <c r="C223" t="inlineStr">
        <is>
          <t>Föryngringsavverkning</t>
        </is>
      </c>
      <c r="D223" s="1" t="n">
        <v>44647</v>
      </c>
      <c r="E223" s="1" t="n">
        <v>46309</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13500-2022</t>
        </is>
      </c>
      <c r="B224" t="inlineStr">
        <is>
          <t>avverkningsanmälan</t>
        </is>
      </c>
      <c r="C224" t="inlineStr">
        <is>
          <t>Föryngringsavverkning</t>
        </is>
      </c>
      <c r="D224" s="1" t="n">
        <v>44647</v>
      </c>
      <c r="E224" s="1" t="n">
        <v>46309</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57219-2021</t>
        </is>
      </c>
      <c r="B225" t="inlineStr">
        <is>
          <t>avverkningsanmälan</t>
        </is>
      </c>
      <c r="C225" t="inlineStr">
        <is>
          <t>Föryngringsavverkning</t>
        </is>
      </c>
      <c r="D225" s="1" t="n">
        <v>44483</v>
      </c>
      <c r="E225" s="1" t="n">
        <v>46309</v>
      </c>
      <c r="F225" t="inlineStr">
        <is>
          <t>GOTLANDS LÄN</t>
        </is>
      </c>
      <c r="G225" t="inlineStr">
        <is>
          <t>GOTLAND</t>
        </is>
      </c>
      <c r="H225" t="inlineStr">
        <is>
          <t>Kyrkan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30282-2022</t>
        </is>
      </c>
      <c r="B226" t="inlineStr">
        <is>
          <t>avverkningsanmälan</t>
        </is>
      </c>
      <c r="C226" t="inlineStr">
        <is>
          <t>Föryngringsavverkning</t>
        </is>
      </c>
      <c r="D226" s="1" t="n">
        <v>44760</v>
      </c>
      <c r="E226" s="1" t="n">
        <v>46309</v>
      </c>
      <c r="F226" t="inlineStr">
        <is>
          <t>GOTLANDS LÄN</t>
        </is>
      </c>
      <c r="G226" t="inlineStr">
        <is>
          <t>GOTLAND</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22031-2024</t>
        </is>
      </c>
      <c r="B227" t="inlineStr">
        <is>
          <t>avverkningsanmälan</t>
        </is>
      </c>
      <c r="C227" t="inlineStr">
        <is>
          <t>Föryngringsavverkning</t>
        </is>
      </c>
      <c r="D227" s="1" t="n">
        <v>45443</v>
      </c>
      <c r="E227" s="1" t="n">
        <v>46309</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44919-2022</t>
        </is>
      </c>
      <c r="B228" t="inlineStr">
        <is>
          <t>avverkningsanmälan</t>
        </is>
      </c>
      <c r="C228" t="inlineStr">
        <is>
          <t>Föryngringsavverkning</t>
        </is>
      </c>
      <c r="D228" s="1" t="n">
        <v>44841</v>
      </c>
      <c r="E228" s="1" t="n">
        <v>46309</v>
      </c>
      <c r="F228" t="inlineStr">
        <is>
          <t>GOTLANDS LÄN</t>
        </is>
      </c>
      <c r="G228" t="inlineStr">
        <is>
          <t>GOTLAND</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65901-2021</t>
        </is>
      </c>
      <c r="B229" t="inlineStr">
        <is>
          <t>avverkningsanmälan</t>
        </is>
      </c>
      <c r="C229" t="inlineStr">
        <is>
          <t>Föryngringsavverkning</t>
        </is>
      </c>
      <c r="D229" s="1" t="n">
        <v>44516</v>
      </c>
      <c r="E229" s="1" t="n">
        <v>46309</v>
      </c>
      <c r="F229" t="inlineStr">
        <is>
          <t>GOTLANDS LÄN</t>
        </is>
      </c>
      <c r="G229" t="inlineStr">
        <is>
          <t>GOTLAND</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48503-2023</t>
        </is>
      </c>
      <c r="B230" t="inlineStr">
        <is>
          <t>avverkningsanmälan</t>
        </is>
      </c>
      <c r="C230" t="inlineStr">
        <is>
          <t>Föryngringsavverkning</t>
        </is>
      </c>
      <c r="D230" s="1" t="n">
        <v>45207</v>
      </c>
      <c r="E230" s="1" t="n">
        <v>46309</v>
      </c>
      <c r="F230" t="inlineStr">
        <is>
          <t>GOTLANDS LÄN</t>
        </is>
      </c>
      <c r="G230" t="inlineStr">
        <is>
          <t>GOTLAND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20356-2022</t>
        </is>
      </c>
      <c r="B231" t="inlineStr">
        <is>
          <t>avverkningsanmälan</t>
        </is>
      </c>
      <c r="C231" t="inlineStr">
        <is>
          <t>Avverkning för annat ändamål</t>
        </is>
      </c>
      <c r="D231" s="1" t="n">
        <v>44699</v>
      </c>
      <c r="E231" s="1" t="n">
        <v>46309</v>
      </c>
      <c r="F231" t="inlineStr">
        <is>
          <t>GOTLANDS LÄN</t>
        </is>
      </c>
      <c r="G231" t="inlineStr">
        <is>
          <t>GOTLAND</t>
        </is>
      </c>
      <c r="H231" t="inlineStr">
        <is>
          <t>Övriga Aktiebolag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46309</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61078-2025</t>
        </is>
      </c>
      <c r="B233" t="inlineStr">
        <is>
          <t>avverkningsanmälan</t>
        </is>
      </c>
      <c r="C233" t="inlineStr">
        <is>
          <t>Föryngringsavverkning</t>
        </is>
      </c>
      <c r="D233" s="1" t="n">
        <v>46000</v>
      </c>
      <c r="E233" s="1" t="n">
        <v>46309</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17682-2024</t>
        </is>
      </c>
      <c r="B234" t="inlineStr">
        <is>
          <t>avverkningsanmälan</t>
        </is>
      </c>
      <c r="C234" t="inlineStr">
        <is>
          <t>Föryngringsavverkning</t>
        </is>
      </c>
      <c r="D234" s="1" t="n">
        <v>45418</v>
      </c>
      <c r="E234" s="1" t="n">
        <v>46309</v>
      </c>
      <c r="F234" t="inlineStr">
        <is>
          <t>GOTLANDS LÄN</t>
        </is>
      </c>
      <c r="G234" t="inlineStr">
        <is>
          <t>GOTLAND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57522-2022</t>
        </is>
      </c>
      <c r="B235" t="inlineStr">
        <is>
          <t>avverkningsanmälan</t>
        </is>
      </c>
      <c r="C235" t="inlineStr">
        <is>
          <t>Föryngringsavverkning</t>
        </is>
      </c>
      <c r="D235" s="1" t="n">
        <v>44896</v>
      </c>
      <c r="E235" s="1" t="n">
        <v>46309</v>
      </c>
      <c r="F235" t="inlineStr">
        <is>
          <t>GOTLANDS LÄN</t>
        </is>
      </c>
      <c r="G235" t="inlineStr">
        <is>
          <t>GOTLAND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36-2026</t>
        </is>
      </c>
      <c r="B236" t="inlineStr">
        <is>
          <t>avverkningsanmälan</t>
        </is>
      </c>
      <c r="C236" t="inlineStr">
        <is>
          <t>Föryngringsavverkning</t>
        </is>
      </c>
      <c r="D236" s="1" t="n">
        <v>46024</v>
      </c>
      <c r="E236" s="1" t="n">
        <v>46309</v>
      </c>
      <c r="F236" t="inlineStr">
        <is>
          <t>GOTLANDS LÄN</t>
        </is>
      </c>
      <c r="G236" t="inlineStr">
        <is>
          <t>GOTLAND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6749-2025</t>
        </is>
      </c>
      <c r="B237" t="inlineStr">
        <is>
          <t>avverkningsanmälan</t>
        </is>
      </c>
      <c r="C237" t="inlineStr">
        <is>
          <t>Föryngringsavverkning</t>
        </is>
      </c>
      <c r="D237" s="1" t="n">
        <v>45700</v>
      </c>
      <c r="E237" s="1" t="n">
        <v>46309</v>
      </c>
      <c r="F237" t="inlineStr">
        <is>
          <t>GOTLANDS LÄN</t>
        </is>
      </c>
      <c r="G237" t="inlineStr">
        <is>
          <t>GOTLAND</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23698-2025</t>
        </is>
      </c>
      <c r="B238" t="inlineStr">
        <is>
          <t>avverkningsanmälan</t>
        </is>
      </c>
      <c r="C238" t="inlineStr">
        <is>
          <t>Föryngringsavverkning</t>
        </is>
      </c>
      <c r="D238" s="1" t="n">
        <v>45793</v>
      </c>
      <c r="E238" s="1" t="n">
        <v>46309</v>
      </c>
      <c r="F238" t="inlineStr">
        <is>
          <t>GOTLANDS LÄN</t>
        </is>
      </c>
      <c r="G238" t="inlineStr">
        <is>
          <t>GOTLAND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46309</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5462-2025</t>
        </is>
      </c>
      <c r="B240" t="inlineStr">
        <is>
          <t>avverkningsanmälan</t>
        </is>
      </c>
      <c r="C240" t="inlineStr">
        <is>
          <t>Föryngringsavverkning</t>
        </is>
      </c>
      <c r="D240" s="1" t="n">
        <v>45693</v>
      </c>
      <c r="E240" s="1" t="n">
        <v>46309</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12599-2025</t>
        </is>
      </c>
      <c r="B241" t="inlineStr">
        <is>
          <t>avverkningsanmälan</t>
        </is>
      </c>
      <c r="C241" t="inlineStr">
        <is>
          <t>Föryngringsavverkning</t>
        </is>
      </c>
      <c r="D241" s="1" t="n">
        <v>45733</v>
      </c>
      <c r="E241" s="1" t="n">
        <v>46309</v>
      </c>
      <c r="F241" t="inlineStr">
        <is>
          <t>GOTLANDS LÄN</t>
        </is>
      </c>
      <c r="G241" t="inlineStr">
        <is>
          <t>GOTLAND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35141-2025</t>
        </is>
      </c>
      <c r="B242" t="inlineStr">
        <is>
          <t>avverkningsanmälan</t>
        </is>
      </c>
      <c r="C242" t="inlineStr">
        <is>
          <t>Föryngringsavverkning</t>
        </is>
      </c>
      <c r="D242" s="1" t="n">
        <v>45852</v>
      </c>
      <c r="E242" s="1" t="n">
        <v>46309</v>
      </c>
      <c r="F242" t="inlineStr">
        <is>
          <t>GOTLANDS LÄN</t>
        </is>
      </c>
      <c r="G242" t="inlineStr">
        <is>
          <t>GOTLAND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35142-2025</t>
        </is>
      </c>
      <c r="B243" t="inlineStr">
        <is>
          <t>avverkningsanmälan</t>
        </is>
      </c>
      <c r="C243" t="inlineStr">
        <is>
          <t>Föryngringsavverkning</t>
        </is>
      </c>
      <c r="D243" s="1" t="n">
        <v>45852</v>
      </c>
      <c r="E243" s="1" t="n">
        <v>46309</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30365-2024</t>
        </is>
      </c>
      <c r="B244" t="inlineStr">
        <is>
          <t>avverkningsanmälan</t>
        </is>
      </c>
      <c r="C244" t="inlineStr">
        <is>
          <t>Föryngringsavverkning</t>
        </is>
      </c>
      <c r="D244" s="1" t="n">
        <v>45491</v>
      </c>
      <c r="E244" s="1" t="n">
        <v>46309</v>
      </c>
      <c r="F244" t="inlineStr">
        <is>
          <t>GOTLANDS LÄN</t>
        </is>
      </c>
      <c r="G244" t="inlineStr">
        <is>
          <t>GOTLAND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39816-2025</t>
        </is>
      </c>
      <c r="B245" t="inlineStr">
        <is>
          <t>avverkningsanmälan</t>
        </is>
      </c>
      <c r="C245" t="inlineStr">
        <is>
          <t>Föryngringsavverkning</t>
        </is>
      </c>
      <c r="D245" s="1" t="n">
        <v>45891</v>
      </c>
      <c r="E245" s="1" t="n">
        <v>46309</v>
      </c>
      <c r="F245" t="inlineStr">
        <is>
          <t>GOTLANDS LÄN</t>
        </is>
      </c>
      <c r="G245" t="inlineStr">
        <is>
          <t>GOTLAND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1681-2023</t>
        </is>
      </c>
      <c r="B246" t="inlineStr">
        <is>
          <t>avverkningsanmälan</t>
        </is>
      </c>
      <c r="C246" t="inlineStr">
        <is>
          <t>Föryngringsavverkning</t>
        </is>
      </c>
      <c r="D246" s="1" t="n">
        <v>44938</v>
      </c>
      <c r="E246" s="1" t="n">
        <v>46309</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40373-2025</t>
        </is>
      </c>
      <c r="B247" t="inlineStr">
        <is>
          <t>avverkningsanmälan</t>
        </is>
      </c>
      <c r="C247" t="inlineStr">
        <is>
          <t>Föryngringsavverkning</t>
        </is>
      </c>
      <c r="D247" s="1" t="n">
        <v>45895</v>
      </c>
      <c r="E247" s="1" t="n">
        <v>46309</v>
      </c>
      <c r="F247" t="inlineStr">
        <is>
          <t>GOTLANDS LÄN</t>
        </is>
      </c>
      <c r="G247" t="inlineStr">
        <is>
          <t>GOTLAND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6099-2024</t>
        </is>
      </c>
      <c r="B248" t="inlineStr">
        <is>
          <t>avverkningsanmälan</t>
        </is>
      </c>
      <c r="C248" t="inlineStr">
        <is>
          <t>Föryngringsavverkning</t>
        </is>
      </c>
      <c r="D248" s="1" t="n">
        <v>45337</v>
      </c>
      <c r="E248" s="1" t="n">
        <v>46309</v>
      </c>
      <c r="F248" t="inlineStr">
        <is>
          <t>GOTLANDS LÄN</t>
        </is>
      </c>
      <c r="G248" t="inlineStr">
        <is>
          <t>GOTLAND</t>
        </is>
      </c>
      <c r="I248" t="n">
        <v>12.6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58780-2024</t>
        </is>
      </c>
      <c r="B249" t="inlineStr">
        <is>
          <t>avverkningsanmälan</t>
        </is>
      </c>
      <c r="C249" t="inlineStr">
        <is>
          <t>Föryngringsavverkning</t>
        </is>
      </c>
      <c r="D249" s="1" t="n">
        <v>45635</v>
      </c>
      <c r="E249" s="1" t="n">
        <v>46309</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7850-2025</t>
        </is>
      </c>
      <c r="B250" t="inlineStr">
        <is>
          <t>avverkningsanmälan</t>
        </is>
      </c>
      <c r="C250" t="inlineStr">
        <is>
          <t>Föryngringsavverkning</t>
        </is>
      </c>
      <c r="D250" s="1" t="n">
        <v>45706</v>
      </c>
      <c r="E250" s="1" t="n">
        <v>46309</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46309</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8444-2025</t>
        </is>
      </c>
      <c r="B252" t="inlineStr">
        <is>
          <t>avverkningsanmälan</t>
        </is>
      </c>
      <c r="C252" t="inlineStr">
        <is>
          <t>Föryngringsavverkning</t>
        </is>
      </c>
      <c r="D252" s="1" t="n">
        <v>45709</v>
      </c>
      <c r="E252" s="1" t="n">
        <v>46309</v>
      </c>
      <c r="F252" t="inlineStr">
        <is>
          <t>GOTLANDS LÄN</t>
        </is>
      </c>
      <c r="G252" t="inlineStr">
        <is>
          <t>GOTLAND</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28285-2024</t>
        </is>
      </c>
      <c r="B253" t="inlineStr">
        <is>
          <t>avverkningsanmälan</t>
        </is>
      </c>
      <c r="C253" t="inlineStr">
        <is>
          <t>Avverkning för annat ändamål</t>
        </is>
      </c>
      <c r="D253" s="1" t="n">
        <v>45477</v>
      </c>
      <c r="E253" s="1" t="n">
        <v>46309</v>
      </c>
      <c r="F253" t="inlineStr">
        <is>
          <t>GOTLANDS LÄN</t>
        </is>
      </c>
      <c r="G253" t="inlineStr">
        <is>
          <t>GOTLAND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61682-2024</t>
        </is>
      </c>
      <c r="B254" t="inlineStr">
        <is>
          <t>avverkningsanmälan</t>
        </is>
      </c>
      <c r="C254" t="inlineStr">
        <is>
          <t>Föryngringsavverkning</t>
        </is>
      </c>
      <c r="D254" s="1" t="n">
        <v>45647</v>
      </c>
      <c r="E254" s="1" t="n">
        <v>46309</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29196-2025</t>
        </is>
      </c>
      <c r="B255" t="inlineStr">
        <is>
          <t>avverkningsanmälan</t>
        </is>
      </c>
      <c r="C255" t="inlineStr">
        <is>
          <t>Föryngringsavverkning</t>
        </is>
      </c>
      <c r="D255" s="1" t="n">
        <v>45822</v>
      </c>
      <c r="E255" s="1" t="n">
        <v>46309</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43951-2025</t>
        </is>
      </c>
      <c r="B256" t="inlineStr">
        <is>
          <t>avverkningsanmälan</t>
        </is>
      </c>
      <c r="C256" t="inlineStr">
        <is>
          <t>Föryngringsavverkning</t>
        </is>
      </c>
      <c r="D256" s="1" t="n">
        <v>45915</v>
      </c>
      <c r="E256" s="1" t="n">
        <v>46309</v>
      </c>
      <c r="F256" t="inlineStr">
        <is>
          <t>GOTLANDS LÄN</t>
        </is>
      </c>
      <c r="G256" t="inlineStr">
        <is>
          <t>GOTLAND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58160-2024</t>
        </is>
      </c>
      <c r="B257" t="inlineStr">
        <is>
          <t>avverkningsanmälan</t>
        </is>
      </c>
      <c r="C257" t="inlineStr">
        <is>
          <t>Föryngringsavverkning</t>
        </is>
      </c>
      <c r="D257" s="1" t="n">
        <v>45632</v>
      </c>
      <c r="E257" s="1" t="n">
        <v>46309</v>
      </c>
      <c r="F257" t="inlineStr">
        <is>
          <t>GOTLANDS LÄN</t>
        </is>
      </c>
      <c r="G257" t="inlineStr">
        <is>
          <t>GOTLAND</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26391-2025</t>
        </is>
      </c>
      <c r="B258" t="inlineStr">
        <is>
          <t>avverkningsanmälan</t>
        </is>
      </c>
      <c r="C258" t="inlineStr">
        <is>
          <t>Avverkning för annat ändamål</t>
        </is>
      </c>
      <c r="D258" s="1" t="n">
        <v>45806</v>
      </c>
      <c r="E258" s="1" t="n">
        <v>46309</v>
      </c>
      <c r="F258" t="inlineStr">
        <is>
          <t>GOTLANDS LÄN</t>
        </is>
      </c>
      <c r="G258" t="inlineStr">
        <is>
          <t>GOTLAND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46836-2025</t>
        </is>
      </c>
      <c r="B259" t="inlineStr">
        <is>
          <t>avverkningsanmälan</t>
        </is>
      </c>
      <c r="C259" t="inlineStr">
        <is>
          <t>Föryngringsavverkning</t>
        </is>
      </c>
      <c r="D259" s="1" t="n">
        <v>45928</v>
      </c>
      <c r="E259" s="1" t="n">
        <v>46309</v>
      </c>
      <c r="F259" t="inlineStr">
        <is>
          <t>GOTLANDS LÄN</t>
        </is>
      </c>
      <c r="G259" t="inlineStr">
        <is>
          <t>GOTLAND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2415-2026</t>
        </is>
      </c>
      <c r="B260" t="inlineStr">
        <is>
          <t>avverkningsanmälan</t>
        </is>
      </c>
      <c r="C260" t="inlineStr">
        <is>
          <t>Föryngringsavverkning</t>
        </is>
      </c>
      <c r="D260" s="1" t="n">
        <v>46036</v>
      </c>
      <c r="E260" s="1" t="n">
        <v>46309</v>
      </c>
      <c r="F260" t="inlineStr">
        <is>
          <t>GOTLANDS LÄN</t>
        </is>
      </c>
      <c r="G260" t="inlineStr">
        <is>
          <t>GOTLAND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16109-2025</t>
        </is>
      </c>
      <c r="B261" t="inlineStr">
        <is>
          <t>avverkningsanmälan</t>
        </is>
      </c>
      <c r="C261" t="inlineStr">
        <is>
          <t>Avverkning för annat ändamål</t>
        </is>
      </c>
      <c r="D261" s="1" t="n">
        <v>45750</v>
      </c>
      <c r="E261" s="1" t="n">
        <v>46309</v>
      </c>
      <c r="F261" t="inlineStr">
        <is>
          <t>GOTLANDS LÄN</t>
        </is>
      </c>
      <c r="G261" t="inlineStr">
        <is>
          <t>GOTLAND</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17688-2024</t>
        </is>
      </c>
      <c r="B262" t="inlineStr">
        <is>
          <t>avverkningsanmälan</t>
        </is>
      </c>
      <c r="C262" t="inlineStr">
        <is>
          <t>Föryngringsavverkning</t>
        </is>
      </c>
      <c r="D262" s="1" t="n">
        <v>45418</v>
      </c>
      <c r="E262" s="1" t="n">
        <v>46309</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47637-2025</t>
        </is>
      </c>
      <c r="B263" t="inlineStr">
        <is>
          <t>avverkningsanmälan</t>
        </is>
      </c>
      <c r="C263" t="inlineStr">
        <is>
          <t>Föryngringsavverkning</t>
        </is>
      </c>
      <c r="D263" s="1" t="n">
        <v>45931</v>
      </c>
      <c r="E263" s="1" t="n">
        <v>46309</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46309</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35550-2025</t>
        </is>
      </c>
      <c r="B265" t="inlineStr">
        <is>
          <t>avverkningsanmälan</t>
        </is>
      </c>
      <c r="C265" t="inlineStr">
        <is>
          <t>Föryngringsavverkning</t>
        </is>
      </c>
      <c r="D265" s="1" t="n">
        <v>45856</v>
      </c>
      <c r="E265" s="1" t="n">
        <v>46309</v>
      </c>
      <c r="F265" t="inlineStr">
        <is>
          <t>GOTLANDS LÄN</t>
        </is>
      </c>
      <c r="G265" t="inlineStr">
        <is>
          <t>GOTLAND</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47578-2025</t>
        </is>
      </c>
      <c r="B266" t="inlineStr">
        <is>
          <t>avverkningsanmälan</t>
        </is>
      </c>
      <c r="C266" t="inlineStr">
        <is>
          <t>Avverkning för annat ändamål</t>
        </is>
      </c>
      <c r="D266" s="1" t="n">
        <v>45931</v>
      </c>
      <c r="E266" s="1" t="n">
        <v>46309</v>
      </c>
      <c r="F266" t="inlineStr">
        <is>
          <t>GOTLANDS LÄN</t>
        </is>
      </c>
      <c r="G266" t="inlineStr">
        <is>
          <t>GOTLAND</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35123-2025</t>
        </is>
      </c>
      <c r="B267" t="inlineStr">
        <is>
          <t>avverkningsanmälan</t>
        </is>
      </c>
      <c r="C267" t="inlineStr">
        <is>
          <t>Föryngringsavverkning</t>
        </is>
      </c>
      <c r="D267" s="1" t="n">
        <v>45852</v>
      </c>
      <c r="E267" s="1" t="n">
        <v>46309</v>
      </c>
      <c r="F267" t="inlineStr">
        <is>
          <t>GOTLANDS LÄN</t>
        </is>
      </c>
      <c r="G267" t="inlineStr">
        <is>
          <t>GOTLAND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49730-2025</t>
        </is>
      </c>
      <c r="B268" t="inlineStr">
        <is>
          <t>avverkningsanmälan</t>
        </is>
      </c>
      <c r="C268" t="inlineStr">
        <is>
          <t>Föryngringsavverkning</t>
        </is>
      </c>
      <c r="D268" s="1" t="n">
        <v>45939</v>
      </c>
      <c r="E268" s="1" t="n">
        <v>46309</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49690-2025</t>
        </is>
      </c>
      <c r="B269" t="inlineStr">
        <is>
          <t>avverkningsanmälan</t>
        </is>
      </c>
      <c r="C269" t="inlineStr">
        <is>
          <t>Föryngringsavverkning</t>
        </is>
      </c>
      <c r="D269" s="1" t="n">
        <v>45939</v>
      </c>
      <c r="E269" s="1" t="n">
        <v>46309</v>
      </c>
      <c r="F269" t="inlineStr">
        <is>
          <t>GOTLANDS LÄN</t>
        </is>
      </c>
      <c r="G269" t="inlineStr">
        <is>
          <t>GOTLAND</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32669-2024</t>
        </is>
      </c>
      <c r="B270" t="inlineStr">
        <is>
          <t>avverkningsanmälan</t>
        </is>
      </c>
      <c r="C270" t="inlineStr">
        <is>
          <t>Föryngringsavverkning</t>
        </is>
      </c>
      <c r="D270" s="1" t="n">
        <v>45514</v>
      </c>
      <c r="E270" s="1" t="n">
        <v>46309</v>
      </c>
      <c r="F270" t="inlineStr">
        <is>
          <t>GOTLANDS LÄN</t>
        </is>
      </c>
      <c r="G270" t="inlineStr">
        <is>
          <t>GOTLAND</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35512-2023</t>
        </is>
      </c>
      <c r="B271" t="inlineStr">
        <is>
          <t>avverkningsanmälan</t>
        </is>
      </c>
      <c r="C271" t="inlineStr">
        <is>
          <t>Föryngringsavverkning</t>
        </is>
      </c>
      <c r="D271" s="1" t="n">
        <v>45147</v>
      </c>
      <c r="E271" s="1" t="n">
        <v>46309</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5905-2024</t>
        </is>
      </c>
      <c r="B272" t="inlineStr">
        <is>
          <t>avverkningsanmälan</t>
        </is>
      </c>
      <c r="C272" t="inlineStr">
        <is>
          <t>Föryngringsavverkning</t>
        </is>
      </c>
      <c r="D272" s="1" t="n">
        <v>45335</v>
      </c>
      <c r="E272" s="1" t="n">
        <v>46309</v>
      </c>
      <c r="F272" t="inlineStr">
        <is>
          <t>GOTLANDS LÄN</t>
        </is>
      </c>
      <c r="G272" t="inlineStr">
        <is>
          <t>GOTLAND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15216-2025</t>
        </is>
      </c>
      <c r="B273" t="inlineStr">
        <is>
          <t>avverkningsanmälan</t>
        </is>
      </c>
      <c r="C273" t="inlineStr">
        <is>
          <t>Föryngringsavverkning</t>
        </is>
      </c>
      <c r="D273" s="1" t="n">
        <v>45744</v>
      </c>
      <c r="E273" s="1" t="n">
        <v>46309</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4646-2026</t>
        </is>
      </c>
      <c r="B274" t="inlineStr">
        <is>
          <t>avverkningsanmälan</t>
        </is>
      </c>
      <c r="C274" t="inlineStr">
        <is>
          <t>Föryngringsavverkning</t>
        </is>
      </c>
      <c r="D274" s="1" t="n">
        <v>46048</v>
      </c>
      <c r="E274" s="1" t="n">
        <v>46309</v>
      </c>
      <c r="F274" t="inlineStr">
        <is>
          <t>GOTLANDS LÄN</t>
        </is>
      </c>
      <c r="G274" t="inlineStr">
        <is>
          <t>GOTLAND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4634-2026</t>
        </is>
      </c>
      <c r="B275" t="inlineStr">
        <is>
          <t>avverkningsanmälan</t>
        </is>
      </c>
      <c r="C275" t="inlineStr">
        <is>
          <t>Föryngringsavverkning</t>
        </is>
      </c>
      <c r="D275" s="1" t="n">
        <v>46048</v>
      </c>
      <c r="E275" s="1" t="n">
        <v>46309</v>
      </c>
      <c r="F275" t="inlineStr">
        <is>
          <t>GOTLANDS LÄN</t>
        </is>
      </c>
      <c r="G275" t="inlineStr">
        <is>
          <t>GOTLAND</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4670-2026</t>
        </is>
      </c>
      <c r="B276" t="inlineStr">
        <is>
          <t>avverkningsanmälan</t>
        </is>
      </c>
      <c r="C276" t="inlineStr">
        <is>
          <t>Föryngringsavverkning</t>
        </is>
      </c>
      <c r="D276" s="1" t="n">
        <v>46048</v>
      </c>
      <c r="E276" s="1" t="n">
        <v>46309</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43790-2024</t>
        </is>
      </c>
      <c r="B277" t="inlineStr">
        <is>
          <t>avverkningsanmälan</t>
        </is>
      </c>
      <c r="C277" t="inlineStr">
        <is>
          <t>Föryngringsavverkning</t>
        </is>
      </c>
      <c r="D277" s="1" t="n">
        <v>45571</v>
      </c>
      <c r="E277" s="1" t="n">
        <v>46309</v>
      </c>
      <c r="F277" t="inlineStr">
        <is>
          <t>GOTLANDS LÄN</t>
        </is>
      </c>
      <c r="G277" t="inlineStr">
        <is>
          <t>GOTLAND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1291-2023</t>
        </is>
      </c>
      <c r="B278" t="inlineStr">
        <is>
          <t>avverkningsanmälan</t>
        </is>
      </c>
      <c r="C278" t="inlineStr">
        <is>
          <t>Föryngringsavverkning</t>
        </is>
      </c>
      <c r="D278" s="1" t="n">
        <v>44936</v>
      </c>
      <c r="E278" s="1" t="n">
        <v>46309</v>
      </c>
      <c r="F278" t="inlineStr">
        <is>
          <t>GOTLANDS LÄN</t>
        </is>
      </c>
      <c r="G278" t="inlineStr">
        <is>
          <t>GOTLAND</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15001-2025</t>
        </is>
      </c>
      <c r="B279" t="inlineStr">
        <is>
          <t>avverkningsanmälan</t>
        </is>
      </c>
      <c r="C279" t="inlineStr">
        <is>
          <t>Föryngringsavverkning</t>
        </is>
      </c>
      <c r="D279" s="1" t="n">
        <v>45743</v>
      </c>
      <c r="E279" s="1" t="n">
        <v>46309</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30488-2025</t>
        </is>
      </c>
      <c r="B280" t="inlineStr">
        <is>
          <t>avverkningsanmälan</t>
        </is>
      </c>
      <c r="C280" t="inlineStr">
        <is>
          <t>Föryngringsavverkning</t>
        </is>
      </c>
      <c r="D280" s="1" t="n">
        <v>45830</v>
      </c>
      <c r="E280" s="1" t="n">
        <v>46309</v>
      </c>
      <c r="F280" t="inlineStr">
        <is>
          <t>GOTLANDS LÄN</t>
        </is>
      </c>
      <c r="G280" t="inlineStr">
        <is>
          <t>GOTLAND</t>
        </is>
      </c>
      <c r="H280" t="inlineStr">
        <is>
          <t>Kyrkan</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17847-2025</t>
        </is>
      </c>
      <c r="B281" t="inlineStr">
        <is>
          <t>avverkningsanmälan</t>
        </is>
      </c>
      <c r="C281" t="inlineStr">
        <is>
          <t>Föryngringsavverkning</t>
        </is>
      </c>
      <c r="D281" s="1" t="n">
        <v>45758</v>
      </c>
      <c r="E281" s="1" t="n">
        <v>46309</v>
      </c>
      <c r="F281" t="inlineStr">
        <is>
          <t>GOTLANDS LÄN</t>
        </is>
      </c>
      <c r="G281" t="inlineStr">
        <is>
          <t>GOTLAND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18742-2025</t>
        </is>
      </c>
      <c r="B282" t="inlineStr">
        <is>
          <t>avverkningsanmälan</t>
        </is>
      </c>
      <c r="C282" t="inlineStr">
        <is>
          <t>Avverkning för annat ändamål</t>
        </is>
      </c>
      <c r="D282" s="1" t="n">
        <v>45763</v>
      </c>
      <c r="E282" s="1" t="n">
        <v>46309</v>
      </c>
      <c r="F282" t="inlineStr">
        <is>
          <t>GOTLANDS LÄN</t>
        </is>
      </c>
      <c r="G282" t="inlineStr">
        <is>
          <t>GOTLAND</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35129-2025</t>
        </is>
      </c>
      <c r="B283" t="inlineStr">
        <is>
          <t>avverkningsanmälan</t>
        </is>
      </c>
      <c r="C283" t="inlineStr">
        <is>
          <t>Föryngringsavverkning</t>
        </is>
      </c>
      <c r="D283" s="1" t="n">
        <v>45852</v>
      </c>
      <c r="E283" s="1" t="n">
        <v>46309</v>
      </c>
      <c r="F283" t="inlineStr">
        <is>
          <t>GOTLANDS LÄN</t>
        </is>
      </c>
      <c r="G283" t="inlineStr">
        <is>
          <t>GOTLAND</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57652-2023</t>
        </is>
      </c>
      <c r="B284" t="inlineStr">
        <is>
          <t>avverkningsanmälan</t>
        </is>
      </c>
      <c r="C284" t="inlineStr">
        <is>
          <t>Avverkning för annat ändamål</t>
        </is>
      </c>
      <c r="D284" s="1" t="n">
        <v>45246</v>
      </c>
      <c r="E284" s="1" t="n">
        <v>46309</v>
      </c>
      <c r="F284" t="inlineStr">
        <is>
          <t>GOTLANDS LÄN</t>
        </is>
      </c>
      <c r="G284" t="inlineStr">
        <is>
          <t>GOTLAND</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49315-2024</t>
        </is>
      </c>
      <c r="B285" t="inlineStr">
        <is>
          <t>avverkningsanmälan</t>
        </is>
      </c>
      <c r="C285" t="inlineStr">
        <is>
          <t>Avverkning för annat ändamål</t>
        </is>
      </c>
      <c r="D285" s="1" t="n">
        <v>45595</v>
      </c>
      <c r="E285" s="1" t="n">
        <v>46309</v>
      </c>
      <c r="F285" t="inlineStr">
        <is>
          <t>GOTLANDS LÄN</t>
        </is>
      </c>
      <c r="G285" t="inlineStr">
        <is>
          <t>GOTLAND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2676-2023</t>
        </is>
      </c>
      <c r="B286" t="inlineStr">
        <is>
          <t>avverkningsanmälan</t>
        </is>
      </c>
      <c r="C286" t="inlineStr">
        <is>
          <t>Avverkning för annat ändamål</t>
        </is>
      </c>
      <c r="D286" s="1" t="n">
        <v>44944</v>
      </c>
      <c r="E286" s="1" t="n">
        <v>46309</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8484-2025</t>
        </is>
      </c>
      <c r="B287" t="inlineStr">
        <is>
          <t>avverkningsanmälan</t>
        </is>
      </c>
      <c r="C287" t="inlineStr">
        <is>
          <t>Avverkning för annat ändamål</t>
        </is>
      </c>
      <c r="D287" s="1" t="n">
        <v>45709</v>
      </c>
      <c r="E287" s="1" t="n">
        <v>46309</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7636-2025</t>
        </is>
      </c>
      <c r="B288" t="inlineStr">
        <is>
          <t>avverkningsanmälan</t>
        </is>
      </c>
      <c r="C288" t="inlineStr">
        <is>
          <t>Föryngringsavverkning</t>
        </is>
      </c>
      <c r="D288" s="1" t="n">
        <v>45705</v>
      </c>
      <c r="E288" s="1" t="n">
        <v>46309</v>
      </c>
      <c r="F288" t="inlineStr">
        <is>
          <t>GOTLANDS LÄN</t>
        </is>
      </c>
      <c r="G288" t="inlineStr">
        <is>
          <t>GOTLAND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7639-2025</t>
        </is>
      </c>
      <c r="B289" t="inlineStr">
        <is>
          <t>avverkningsanmälan</t>
        </is>
      </c>
      <c r="C289" t="inlineStr">
        <is>
          <t>Föryngringsavverkning</t>
        </is>
      </c>
      <c r="D289" s="1" t="n">
        <v>45705</v>
      </c>
      <c r="E289" s="1" t="n">
        <v>46309</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6108-2025</t>
        </is>
      </c>
      <c r="B290" t="inlineStr">
        <is>
          <t>avverkningsanmälan</t>
        </is>
      </c>
      <c r="C290" t="inlineStr">
        <is>
          <t>Föryngringsavverkning</t>
        </is>
      </c>
      <c r="D290" s="1" t="n">
        <v>45698</v>
      </c>
      <c r="E290" s="1" t="n">
        <v>46309</v>
      </c>
      <c r="F290" t="inlineStr">
        <is>
          <t>GOTLANDS LÄN</t>
        </is>
      </c>
      <c r="G290" t="inlineStr">
        <is>
          <t>GOTLAND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21142-2025</t>
        </is>
      </c>
      <c r="B291" t="inlineStr">
        <is>
          <t>avverkningsanmälan</t>
        </is>
      </c>
      <c r="C291" t="inlineStr">
        <is>
          <t>Föryngringsavverkning</t>
        </is>
      </c>
      <c r="D291" s="1" t="n">
        <v>45779</v>
      </c>
      <c r="E291" s="1" t="n">
        <v>46309</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18938-2025</t>
        </is>
      </c>
      <c r="B292" t="inlineStr">
        <is>
          <t>avverkningsanmälan</t>
        </is>
      </c>
      <c r="C292" t="inlineStr">
        <is>
          <t>Föryngringsavverkning</t>
        </is>
      </c>
      <c r="D292" s="1" t="n">
        <v>45764</v>
      </c>
      <c r="E292" s="1" t="n">
        <v>46309</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20356-2022</t>
        </is>
      </c>
      <c r="B293" t="inlineStr">
        <is>
          <t>avverkningsanmälan</t>
        </is>
      </c>
      <c r="C293" t="inlineStr">
        <is>
          <t>Avverkning för annat ändamål</t>
        </is>
      </c>
      <c r="D293" s="1" t="n">
        <v>44699</v>
      </c>
      <c r="E293" s="1" t="n">
        <v>46309</v>
      </c>
      <c r="F293" t="inlineStr">
        <is>
          <t>GOTLANDS LÄN</t>
        </is>
      </c>
      <c r="G293" t="inlineStr">
        <is>
          <t>GOTLAND</t>
        </is>
      </c>
      <c r="H293" t="inlineStr">
        <is>
          <t>Övriga Aktiebolag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48734-2022</t>
        </is>
      </c>
      <c r="B294" t="inlineStr">
        <is>
          <t>avverkningsanmälan</t>
        </is>
      </c>
      <c r="C294" t="inlineStr">
        <is>
          <t>Föryngringsavverkning</t>
        </is>
      </c>
      <c r="D294" s="1" t="n">
        <v>44855</v>
      </c>
      <c r="E294" s="1" t="n">
        <v>46309</v>
      </c>
      <c r="F294" t="inlineStr">
        <is>
          <t>GOTLANDS LÄN</t>
        </is>
      </c>
      <c r="G294" t="inlineStr">
        <is>
          <t>GOTLAND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20307-2025</t>
        </is>
      </c>
      <c r="B295" t="inlineStr">
        <is>
          <t>avverkningsanmälan</t>
        </is>
      </c>
      <c r="C295" t="inlineStr">
        <is>
          <t>Föryngringsavverkning</t>
        </is>
      </c>
      <c r="D295" s="1" t="n">
        <v>45774</v>
      </c>
      <c r="E295" s="1" t="n">
        <v>46309</v>
      </c>
      <c r="F295" t="inlineStr">
        <is>
          <t>GOTLANDS LÄN</t>
        </is>
      </c>
      <c r="G295" t="inlineStr">
        <is>
          <t>GOTLAND</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57685-2022</t>
        </is>
      </c>
      <c r="B296" t="inlineStr">
        <is>
          <t>avverkningsanmälan</t>
        </is>
      </c>
      <c r="C296" t="inlineStr">
        <is>
          <t>Föryngringsavverkning</t>
        </is>
      </c>
      <c r="D296" s="1" t="n">
        <v>44897</v>
      </c>
      <c r="E296" s="1" t="n">
        <v>46309</v>
      </c>
      <c r="F296" t="inlineStr">
        <is>
          <t>GOTLANDS LÄN</t>
        </is>
      </c>
      <c r="G296" t="inlineStr">
        <is>
          <t>GOTLAND</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30815-2023</t>
        </is>
      </c>
      <c r="B297" t="inlineStr">
        <is>
          <t>avverkningsanmälan</t>
        </is>
      </c>
      <c r="C297" t="inlineStr">
        <is>
          <t>Avverkning för annat ändamål</t>
        </is>
      </c>
      <c r="D297" s="1" t="n">
        <v>45112</v>
      </c>
      <c r="E297" s="1" t="n">
        <v>46309</v>
      </c>
      <c r="F297" t="inlineStr">
        <is>
          <t>GOTLANDS LÄN</t>
        </is>
      </c>
      <c r="G297" t="inlineStr">
        <is>
          <t>GOTLAND</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56799-2025</t>
        </is>
      </c>
      <c r="B298" t="inlineStr">
        <is>
          <t>avverkningsanmälan</t>
        </is>
      </c>
      <c r="C298" t="inlineStr">
        <is>
          <t>Föryngringsavverkning</t>
        </is>
      </c>
      <c r="D298" s="1" t="n">
        <v>45978</v>
      </c>
      <c r="E298" s="1" t="n">
        <v>46309</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7034-2023</t>
        </is>
      </c>
      <c r="B299" t="inlineStr">
        <is>
          <t>avverkningsanmälan</t>
        </is>
      </c>
      <c r="C299" t="inlineStr">
        <is>
          <t>Föryngringsavverkning</t>
        </is>
      </c>
      <c r="D299" s="1" t="n">
        <v>44968</v>
      </c>
      <c r="E299" s="1" t="n">
        <v>46309</v>
      </c>
      <c r="F299" t="inlineStr">
        <is>
          <t>GOTLANDS LÄN</t>
        </is>
      </c>
      <c r="G299" t="inlineStr">
        <is>
          <t>GOTLAND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23516-2023</t>
        </is>
      </c>
      <c r="B300" t="inlineStr">
        <is>
          <t>avverkningsanmälan</t>
        </is>
      </c>
      <c r="C300" t="inlineStr">
        <is>
          <t>Föryngringsavverkning</t>
        </is>
      </c>
      <c r="D300" s="1" t="n">
        <v>45076</v>
      </c>
      <c r="E300" s="1" t="n">
        <v>46309</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63763-2023</t>
        </is>
      </c>
      <c r="B301" t="inlineStr">
        <is>
          <t>avverkningsanmälan</t>
        </is>
      </c>
      <c r="C301" t="inlineStr">
        <is>
          <t>Föryngringsavverkning</t>
        </is>
      </c>
      <c r="D301" s="1" t="n">
        <v>45278</v>
      </c>
      <c r="E301" s="1" t="n">
        <v>46309</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7627-2026</t>
        </is>
      </c>
      <c r="B302" t="inlineStr">
        <is>
          <t>avverkningsanmälan</t>
        </is>
      </c>
      <c r="C302" t="inlineStr">
        <is>
          <t>Föryngringsavverkning</t>
        </is>
      </c>
      <c r="D302" s="1" t="n">
        <v>46062</v>
      </c>
      <c r="E302" s="1" t="n">
        <v>46309</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2135-2026</t>
        </is>
      </c>
      <c r="B303" t="inlineStr">
        <is>
          <t>avverkningsanmälan</t>
        </is>
      </c>
      <c r="C303" t="inlineStr">
        <is>
          <t>Avverkning för annat ändamål</t>
        </is>
      </c>
      <c r="D303" s="1" t="n">
        <v>46036</v>
      </c>
      <c r="E303" s="1" t="n">
        <v>46309</v>
      </c>
      <c r="F303" t="inlineStr">
        <is>
          <t>GOTLANDS LÄN</t>
        </is>
      </c>
      <c r="G303" t="inlineStr">
        <is>
          <t>GOTLAND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9519-2026</t>
        </is>
      </c>
      <c r="B304" t="inlineStr">
        <is>
          <t>avverkningsanmälan</t>
        </is>
      </c>
      <c r="C304" t="inlineStr">
        <is>
          <t>Föryngringsavverkning</t>
        </is>
      </c>
      <c r="D304" s="1" t="n">
        <v>46071</v>
      </c>
      <c r="E304" s="1" t="n">
        <v>46309</v>
      </c>
      <c r="F304" t="inlineStr">
        <is>
          <t>GOTLANDS LÄN</t>
        </is>
      </c>
      <c r="G304" t="inlineStr">
        <is>
          <t>GOTLAND</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1734-2025</t>
        </is>
      </c>
      <c r="B305" t="inlineStr">
        <is>
          <t>avverkningsanmälan</t>
        </is>
      </c>
      <c r="C305" t="inlineStr">
        <is>
          <t>Föryngringsavverkning</t>
        </is>
      </c>
      <c r="D305" s="1" t="n">
        <v>45671</v>
      </c>
      <c r="E305" s="1" t="n">
        <v>46309</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9521-2026</t>
        </is>
      </c>
      <c r="B306" t="inlineStr">
        <is>
          <t>avverkningsanmälan</t>
        </is>
      </c>
      <c r="C306" t="inlineStr">
        <is>
          <t>Föryngringsavverkning</t>
        </is>
      </c>
      <c r="D306" s="1" t="n">
        <v>46071</v>
      </c>
      <c r="E306" s="1" t="n">
        <v>46309</v>
      </c>
      <c r="F306" t="inlineStr">
        <is>
          <t>GOTLANDS LÄN</t>
        </is>
      </c>
      <c r="G306" t="inlineStr">
        <is>
          <t>GOTLAND</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9524-2026</t>
        </is>
      </c>
      <c r="B307" t="inlineStr">
        <is>
          <t>avverkningsanmälan</t>
        </is>
      </c>
      <c r="C307" t="inlineStr">
        <is>
          <t>Föryngringsavverkning</t>
        </is>
      </c>
      <c r="D307" s="1" t="n">
        <v>46071</v>
      </c>
      <c r="E307" s="1" t="n">
        <v>46309</v>
      </c>
      <c r="F307" t="inlineStr">
        <is>
          <t>GOTLANDS LÄN</t>
        </is>
      </c>
      <c r="G307" t="inlineStr">
        <is>
          <t>GOTLAND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20993-2023</t>
        </is>
      </c>
      <c r="B308" t="inlineStr">
        <is>
          <t>avverkningsanmälan</t>
        </is>
      </c>
      <c r="C308" t="inlineStr">
        <is>
          <t>Föryngringsavverkning</t>
        </is>
      </c>
      <c r="D308" s="1" t="n">
        <v>45056</v>
      </c>
      <c r="E308" s="1" t="n">
        <v>46309</v>
      </c>
      <c r="F308" t="inlineStr">
        <is>
          <t>GOTLANDS LÄN</t>
        </is>
      </c>
      <c r="G308" t="inlineStr">
        <is>
          <t>GOTLAND</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12596-2023</t>
        </is>
      </c>
      <c r="B309" t="inlineStr">
        <is>
          <t>avverkningsanmälan</t>
        </is>
      </c>
      <c r="C309" t="inlineStr">
        <is>
          <t>Föryngringsavverkning</t>
        </is>
      </c>
      <c r="D309" s="1" t="n">
        <v>45000</v>
      </c>
      <c r="E309" s="1" t="n">
        <v>46309</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2125-2025</t>
        </is>
      </c>
      <c r="B310" t="inlineStr">
        <is>
          <t>avverkningsanmälan</t>
        </is>
      </c>
      <c r="C310" t="inlineStr">
        <is>
          <t>Föryngringsavverkning</t>
        </is>
      </c>
      <c r="D310" s="1" t="n">
        <v>45672</v>
      </c>
      <c r="E310" s="1" t="n">
        <v>46309</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12155-2023</t>
        </is>
      </c>
      <c r="B311" t="inlineStr">
        <is>
          <t>avverkningsanmälan</t>
        </is>
      </c>
      <c r="C311" t="inlineStr">
        <is>
          <t>Föryngringsavverkning</t>
        </is>
      </c>
      <c r="D311" s="1" t="n">
        <v>44998</v>
      </c>
      <c r="E311" s="1" t="n">
        <v>46309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457-2023</t>
        </is>
      </c>
      <c r="B312" t="inlineStr">
        <is>
          <t>avverkningsanmälan</t>
        </is>
      </c>
      <c r="C312" t="inlineStr">
        <is>
          <t>Föryngringsavverkning</t>
        </is>
      </c>
      <c r="D312" s="1" t="n">
        <v>44929</v>
      </c>
      <c r="E312" s="1" t="n">
        <v>46309</v>
      </c>
      <c r="F312" t="inlineStr">
        <is>
          <t>GOTLANDS LÄN</t>
        </is>
      </c>
      <c r="G312" t="inlineStr">
        <is>
          <t>GOTLAND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459-2023</t>
        </is>
      </c>
      <c r="B313" t="inlineStr">
        <is>
          <t>avverkningsanmälan</t>
        </is>
      </c>
      <c r="C313" t="inlineStr">
        <is>
          <t>Föryngringsavverkning</t>
        </is>
      </c>
      <c r="D313" s="1" t="n">
        <v>44929</v>
      </c>
      <c r="E313" s="1" t="n">
        <v>46309</v>
      </c>
      <c r="F313" t="inlineStr">
        <is>
          <t>GOTLANDS LÄN</t>
        </is>
      </c>
      <c r="G313" t="inlineStr">
        <is>
          <t>GOTLAND</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38234-2023</t>
        </is>
      </c>
      <c r="B314" t="inlineStr">
        <is>
          <t>avverkningsanmälan</t>
        </is>
      </c>
      <c r="C314" t="inlineStr">
        <is>
          <t>Föryngringsavverkning</t>
        </is>
      </c>
      <c r="D314" s="1" t="n">
        <v>45161</v>
      </c>
      <c r="E314" s="1" t="n">
        <v>46309</v>
      </c>
      <c r="F314" t="inlineStr">
        <is>
          <t>GOTLANDS LÄN</t>
        </is>
      </c>
      <c r="G314" t="inlineStr">
        <is>
          <t>GOTLAND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50744-2024</t>
        </is>
      </c>
      <c r="B315" t="inlineStr">
        <is>
          <t>avverkningsanmälan</t>
        </is>
      </c>
      <c r="C315" t="inlineStr">
        <is>
          <t>Föryngringsavverkning</t>
        </is>
      </c>
      <c r="D315" s="1" t="n">
        <v>45602</v>
      </c>
      <c r="E315" s="1" t="n">
        <v>46309</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63002-2025</t>
        </is>
      </c>
      <c r="B316" t="inlineStr">
        <is>
          <t>avverkningsanmälan</t>
        </is>
      </c>
      <c r="C316" t="inlineStr">
        <is>
          <t>Föryngringsavverkning</t>
        </is>
      </c>
      <c r="D316" s="1" t="n">
        <v>46009</v>
      </c>
      <c r="E316" s="1" t="n">
        <v>46309</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3067-2026</t>
        </is>
      </c>
      <c r="B317" t="inlineStr">
        <is>
          <t>avverkningsanmälan</t>
        </is>
      </c>
      <c r="C317" t="inlineStr">
        <is>
          <t>Föryngringsavverkning</t>
        </is>
      </c>
      <c r="D317" s="1" t="n">
        <v>46040</v>
      </c>
      <c r="E317" s="1" t="n">
        <v>46309</v>
      </c>
      <c r="F317" t="inlineStr">
        <is>
          <t>GOTLANDS LÄN</t>
        </is>
      </c>
      <c r="G317" t="inlineStr">
        <is>
          <t>GOTLAND</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46309</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43901-2023</t>
        </is>
      </c>
      <c r="B319" t="inlineStr">
        <is>
          <t>avverkningsanmälan</t>
        </is>
      </c>
      <c r="C319" t="inlineStr">
        <is>
          <t>Föryngringsavverkning</t>
        </is>
      </c>
      <c r="D319" s="1" t="n">
        <v>45187</v>
      </c>
      <c r="E319" s="1" t="n">
        <v>46309</v>
      </c>
      <c r="F319" t="inlineStr">
        <is>
          <t>GOTLANDS LÄN</t>
        </is>
      </c>
      <c r="G319" t="inlineStr">
        <is>
          <t>GOTLAND</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10746-2025</t>
        </is>
      </c>
      <c r="B320" t="inlineStr">
        <is>
          <t>avverkningsanmälan</t>
        </is>
      </c>
      <c r="C320" t="inlineStr">
        <is>
          <t>Föryngringsavverkning</t>
        </is>
      </c>
      <c r="D320" s="1" t="n">
        <v>45722</v>
      </c>
      <c r="E320" s="1" t="n">
        <v>46309</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16501-2023</t>
        </is>
      </c>
      <c r="B321" t="inlineStr">
        <is>
          <t>avverkningsanmälan</t>
        </is>
      </c>
      <c r="C321" t="inlineStr">
        <is>
          <t>Avverkning för att bevara och utveckla /försöksver</t>
        </is>
      </c>
      <c r="D321" s="1" t="n">
        <v>45029</v>
      </c>
      <c r="E321" s="1" t="n">
        <v>46309</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61962-2024</t>
        </is>
      </c>
      <c r="B322" t="inlineStr">
        <is>
          <t>avverkningsanmälan</t>
        </is>
      </c>
      <c r="C322" t="inlineStr">
        <is>
          <t>Föryngringsavverkning</t>
        </is>
      </c>
      <c r="D322" s="1" t="n">
        <v>45653</v>
      </c>
      <c r="E322" s="1" t="n">
        <v>46309</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10492-2023</t>
        </is>
      </c>
      <c r="B323" t="inlineStr">
        <is>
          <t>avverkningsanmälan</t>
        </is>
      </c>
      <c r="C323" t="inlineStr">
        <is>
          <t>Föryngringsavverkning</t>
        </is>
      </c>
      <c r="D323" s="1" t="n">
        <v>44987</v>
      </c>
      <c r="E323" s="1" t="n">
        <v>46309</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63000-2025</t>
        </is>
      </c>
      <c r="B324" t="inlineStr">
        <is>
          <t>avverkningsanmälan</t>
        </is>
      </c>
      <c r="C324" t="inlineStr">
        <is>
          <t>Föryngringsavverkning</t>
        </is>
      </c>
      <c r="D324" s="1" t="n">
        <v>46009</v>
      </c>
      <c r="E324" s="1" t="n">
        <v>46309</v>
      </c>
      <c r="F324" t="inlineStr">
        <is>
          <t>GOTLANDS LÄN</t>
        </is>
      </c>
      <c r="G324" t="inlineStr">
        <is>
          <t>GOTLAND</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62751-2025</t>
        </is>
      </c>
      <c r="B325" t="inlineStr">
        <is>
          <t>avverkningsanmälan</t>
        </is>
      </c>
      <c r="C325" t="inlineStr">
        <is>
          <t>Föryngringsavverkning</t>
        </is>
      </c>
      <c r="D325" s="1" t="n">
        <v>46008</v>
      </c>
      <c r="E325" s="1" t="n">
        <v>46309</v>
      </c>
      <c r="F325" t="inlineStr">
        <is>
          <t>GOTLANDS LÄN</t>
        </is>
      </c>
      <c r="G325" t="inlineStr">
        <is>
          <t>GOTLAND</t>
        </is>
      </c>
      <c r="H325" t="inlineStr">
        <is>
          <t>Övriga Aktiebolag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10653-2023</t>
        </is>
      </c>
      <c r="B326" t="inlineStr">
        <is>
          <t>avverkningsanmälan</t>
        </is>
      </c>
      <c r="C326" t="inlineStr">
        <is>
          <t>Föryngringsavverkning</t>
        </is>
      </c>
      <c r="D326" s="1" t="n">
        <v>44988</v>
      </c>
      <c r="E326" s="1" t="n">
        <v>46309</v>
      </c>
      <c r="F326" t="inlineStr">
        <is>
          <t>GOTLANDS LÄN</t>
        </is>
      </c>
      <c r="G326" t="inlineStr">
        <is>
          <t>GOTLAND</t>
        </is>
      </c>
      <c r="H326" t="inlineStr">
        <is>
          <t>Kyrkan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4990-2025</t>
        </is>
      </c>
      <c r="B327" t="inlineStr">
        <is>
          <t>avverkningsanmälan</t>
        </is>
      </c>
      <c r="C327" t="inlineStr">
        <is>
          <t>Föryngringsavverkning</t>
        </is>
      </c>
      <c r="D327" s="1" t="n">
        <v>45691</v>
      </c>
      <c r="E327" s="1" t="n">
        <v>46309</v>
      </c>
      <c r="F327" t="inlineStr">
        <is>
          <t>GOTLANDS LÄN</t>
        </is>
      </c>
      <c r="G327" t="inlineStr">
        <is>
          <t>GOTLAND</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43081-2022</t>
        </is>
      </c>
      <c r="B328" t="inlineStr">
        <is>
          <t>avverkningsanmälan</t>
        </is>
      </c>
      <c r="C328" t="inlineStr">
        <is>
          <t>Föryngringsavverkning</t>
        </is>
      </c>
      <c r="D328" s="1" t="n">
        <v>44833</v>
      </c>
      <c r="E328" s="1" t="n">
        <v>46309</v>
      </c>
      <c r="F328" t="inlineStr">
        <is>
          <t>GOTLANDS LÄN</t>
        </is>
      </c>
      <c r="G328" t="inlineStr">
        <is>
          <t>GOTLAND</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5884-2025</t>
        </is>
      </c>
      <c r="B329" t="inlineStr">
        <is>
          <t>avverkningsanmälan</t>
        </is>
      </c>
      <c r="C329" t="inlineStr">
        <is>
          <t>Föryngringsavverkning</t>
        </is>
      </c>
      <c r="D329" s="1" t="n">
        <v>45695</v>
      </c>
      <c r="E329" s="1" t="n">
        <v>46309</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5897-2025</t>
        </is>
      </c>
      <c r="B330" t="inlineStr">
        <is>
          <t>avverkningsanmälan</t>
        </is>
      </c>
      <c r="C330" t="inlineStr">
        <is>
          <t>Föryngringsavverkning</t>
        </is>
      </c>
      <c r="D330" s="1" t="n">
        <v>45695</v>
      </c>
      <c r="E330" s="1" t="n">
        <v>46309</v>
      </c>
      <c r="F330" t="inlineStr">
        <is>
          <t>GOTLANDS LÄN</t>
        </is>
      </c>
      <c r="G330" t="inlineStr">
        <is>
          <t>GOTLAND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49697-2023</t>
        </is>
      </c>
      <c r="B331" t="inlineStr">
        <is>
          <t>avverkningsanmälan</t>
        </is>
      </c>
      <c r="C331" t="inlineStr">
        <is>
          <t>Föryngringsavverkning</t>
        </is>
      </c>
      <c r="D331" s="1" t="n">
        <v>45212</v>
      </c>
      <c r="E331" s="1" t="n">
        <v>46309</v>
      </c>
      <c r="F331" t="inlineStr">
        <is>
          <t>GOTLANDS LÄN</t>
        </is>
      </c>
      <c r="G331" t="inlineStr">
        <is>
          <t>GOTLAND</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17901-2023</t>
        </is>
      </c>
      <c r="B332" t="inlineStr">
        <is>
          <t>avverkningsanmälan</t>
        </is>
      </c>
      <c r="C332" t="inlineStr">
        <is>
          <t>Föryngringsavverkning</t>
        </is>
      </c>
      <c r="D332" s="1" t="n">
        <v>45039</v>
      </c>
      <c r="E332" s="1" t="n">
        <v>46309</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46396-2023</t>
        </is>
      </c>
      <c r="B333" t="inlineStr">
        <is>
          <t>avverkningsanmälan</t>
        </is>
      </c>
      <c r="C333" t="inlineStr">
        <is>
          <t>Föryngringsavverkning</t>
        </is>
      </c>
      <c r="D333" s="1" t="n">
        <v>45197</v>
      </c>
      <c r="E333" s="1" t="n">
        <v>46309</v>
      </c>
      <c r="F333" t="inlineStr">
        <is>
          <t>GOTLANDS LÄN</t>
        </is>
      </c>
      <c r="G333" t="inlineStr">
        <is>
          <t>GOTLAND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17724-2024</t>
        </is>
      </c>
      <c r="B334" t="inlineStr">
        <is>
          <t>avverkningsanmälan</t>
        </is>
      </c>
      <c r="C334" t="inlineStr">
        <is>
          <t>Föryngringsavverkning</t>
        </is>
      </c>
      <c r="D334" s="1" t="n">
        <v>45418</v>
      </c>
      <c r="E334" s="1" t="n">
        <v>46309</v>
      </c>
      <c r="F334" t="inlineStr">
        <is>
          <t>GOTLANDS LÄN</t>
        </is>
      </c>
      <c r="G334" t="inlineStr">
        <is>
          <t>GOTLAND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7638-2025</t>
        </is>
      </c>
      <c r="B335" t="inlineStr">
        <is>
          <t>avverkningsanmälan</t>
        </is>
      </c>
      <c r="C335" t="inlineStr">
        <is>
          <t>Föryngringsavverkning</t>
        </is>
      </c>
      <c r="D335" s="1" t="n">
        <v>45705</v>
      </c>
      <c r="E335" s="1" t="n">
        <v>46309</v>
      </c>
      <c r="F335" t="inlineStr">
        <is>
          <t>GOTLANDS LÄN</t>
        </is>
      </c>
      <c r="G335" t="inlineStr">
        <is>
          <t>GOTLAND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50482-2024</t>
        </is>
      </c>
      <c r="B336" t="inlineStr">
        <is>
          <t>avverkningsanmälan</t>
        </is>
      </c>
      <c r="C336" t="inlineStr">
        <is>
          <t>Föryngringsavverkning</t>
        </is>
      </c>
      <c r="D336" s="1" t="n">
        <v>45601</v>
      </c>
      <c r="E336" s="1" t="n">
        <v>46309</v>
      </c>
      <c r="F336" t="inlineStr">
        <is>
          <t>GOTLANDS LÄN</t>
        </is>
      </c>
      <c r="G336" t="inlineStr">
        <is>
          <t>GOTLAND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1394-2023</t>
        </is>
      </c>
      <c r="B337" t="inlineStr">
        <is>
          <t>avverkningsanmälan</t>
        </is>
      </c>
      <c r="C337" t="inlineStr">
        <is>
          <t>Föryngringsavverkning</t>
        </is>
      </c>
      <c r="D337" s="1" t="n">
        <v>44936</v>
      </c>
      <c r="E337" s="1" t="n">
        <v>46309</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1462-2025</t>
        </is>
      </c>
      <c r="B338" t="inlineStr">
        <is>
          <t>avverkningsanmälan</t>
        </is>
      </c>
      <c r="C338" t="inlineStr">
        <is>
          <t>Föryngringsavverkning</t>
        </is>
      </c>
      <c r="D338" s="1" t="n">
        <v>45670</v>
      </c>
      <c r="E338" s="1" t="n">
        <v>46309</v>
      </c>
      <c r="F338" t="inlineStr">
        <is>
          <t>GOTLANDS LÄN</t>
        </is>
      </c>
      <c r="G338" t="inlineStr">
        <is>
          <t>GOTLAND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18804-2026</t>
        </is>
      </c>
      <c r="B339" t="inlineStr">
        <is>
          <t>avverkningsanmälan</t>
        </is>
      </c>
      <c r="C339" t="inlineStr">
        <is>
          <t>Föryngringsavverkning</t>
        </is>
      </c>
      <c r="D339" s="1" t="n">
        <v>46128</v>
      </c>
      <c r="E339" s="1" t="n">
        <v>46309</v>
      </c>
      <c r="F339" t="inlineStr">
        <is>
          <t>GOTLANDS LÄN</t>
        </is>
      </c>
      <c r="G339" t="inlineStr">
        <is>
          <t>GOTLAND</t>
        </is>
      </c>
      <c r="H339" t="inlineStr">
        <is>
          <t>Kyrkan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25129-2023</t>
        </is>
      </c>
      <c r="B340" t="inlineStr">
        <is>
          <t>avverkningsanmälan</t>
        </is>
      </c>
      <c r="C340" t="inlineStr">
        <is>
          <t>Föryngringsavverkning</t>
        </is>
      </c>
      <c r="D340" s="1" t="n">
        <v>45086</v>
      </c>
      <c r="E340" s="1" t="n">
        <v>46309</v>
      </c>
      <c r="F340" t="inlineStr">
        <is>
          <t>GOTLANDS LÄN</t>
        </is>
      </c>
      <c r="G340" t="inlineStr">
        <is>
          <t>GOTLAND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24192-2023</t>
        </is>
      </c>
      <c r="B341" t="inlineStr">
        <is>
          <t>avverkningsanmälan</t>
        </is>
      </c>
      <c r="C341" t="inlineStr">
        <is>
          <t>Föryngringsavverkning</t>
        </is>
      </c>
      <c r="D341" s="1" t="n">
        <v>45079</v>
      </c>
      <c r="E341" s="1" t="n">
        <v>46309</v>
      </c>
      <c r="F341" t="inlineStr">
        <is>
          <t>GOTLANDS LÄN</t>
        </is>
      </c>
      <c r="G341" t="inlineStr">
        <is>
          <t>GOTLAND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5386-2023</t>
        </is>
      </c>
      <c r="B342" t="inlineStr">
        <is>
          <t>avverkningsanmälan</t>
        </is>
      </c>
      <c r="C342" t="inlineStr">
        <is>
          <t>Föryngringsavverkning</t>
        </is>
      </c>
      <c r="D342" s="1" t="n">
        <v>44959</v>
      </c>
      <c r="E342" s="1" t="n">
        <v>46309</v>
      </c>
      <c r="F342" t="inlineStr">
        <is>
          <t>GOTLANDS LÄN</t>
        </is>
      </c>
      <c r="G342" t="inlineStr">
        <is>
          <t>GOTLAND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7026-2023</t>
        </is>
      </c>
      <c r="B343" t="inlineStr">
        <is>
          <t>avverkningsanmälan</t>
        </is>
      </c>
      <c r="C343" t="inlineStr">
        <is>
          <t>Föryngringsavverkning</t>
        </is>
      </c>
      <c r="D343" s="1" t="n">
        <v>44968</v>
      </c>
      <c r="E343" s="1" t="n">
        <v>46309</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20855-2023</t>
        </is>
      </c>
      <c r="B344" t="inlineStr">
        <is>
          <t>avverkningsanmälan</t>
        </is>
      </c>
      <c r="C344" t="inlineStr">
        <is>
          <t>Föryngringsavverkning</t>
        </is>
      </c>
      <c r="D344" s="1" t="n">
        <v>45058</v>
      </c>
      <c r="E344" s="1" t="n">
        <v>46309</v>
      </c>
      <c r="F344" t="inlineStr">
        <is>
          <t>GOTLANDS LÄN</t>
        </is>
      </c>
      <c r="G344" t="inlineStr">
        <is>
          <t>GOTLAND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26467-2025</t>
        </is>
      </c>
      <c r="B345" t="inlineStr">
        <is>
          <t>avverkningsanmälan</t>
        </is>
      </c>
      <c r="C345" t="inlineStr">
        <is>
          <t>Föryngringsavverkning</t>
        </is>
      </c>
      <c r="D345" s="1" t="n">
        <v>45807</v>
      </c>
      <c r="E345" s="1" t="n">
        <v>46309</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1000-2024</t>
        </is>
      </c>
      <c r="B346" t="inlineStr">
        <is>
          <t>avverkningsanmälan</t>
        </is>
      </c>
      <c r="C346" t="inlineStr">
        <is>
          <t>Föryngringsavverkning</t>
        </is>
      </c>
      <c r="D346" s="1" t="n">
        <v>45301</v>
      </c>
      <c r="E346" s="1" t="n">
        <v>46309</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29207-2025</t>
        </is>
      </c>
      <c r="B347" t="inlineStr">
        <is>
          <t>avverkningsanmälan</t>
        </is>
      </c>
      <c r="C347" t="inlineStr">
        <is>
          <t>Föryngringsavverkning</t>
        </is>
      </c>
      <c r="D347" s="1" t="n">
        <v>45823</v>
      </c>
      <c r="E347" s="1" t="n">
        <v>46309</v>
      </c>
      <c r="F347" t="inlineStr">
        <is>
          <t>GOTLANDS LÄN</t>
        </is>
      </c>
      <c r="G347" t="inlineStr">
        <is>
          <t>GOTLAND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25796-2025</t>
        </is>
      </c>
      <c r="B348" t="inlineStr">
        <is>
          <t>avverkningsanmälan</t>
        </is>
      </c>
      <c r="C348" t="inlineStr">
        <is>
          <t>Föryngringsavverkning</t>
        </is>
      </c>
      <c r="D348" s="1" t="n">
        <v>45804</v>
      </c>
      <c r="E348" s="1" t="n">
        <v>46309</v>
      </c>
      <c r="F348" t="inlineStr">
        <is>
          <t>GOTLANDS LÄN</t>
        </is>
      </c>
      <c r="G348" t="inlineStr">
        <is>
          <t>GOTLAND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2180-2025</t>
        </is>
      </c>
      <c r="B349" t="inlineStr">
        <is>
          <t>avverkningsanmälan</t>
        </is>
      </c>
      <c r="C349" t="inlineStr">
        <is>
          <t>Föryngringsavverkning</t>
        </is>
      </c>
      <c r="D349" s="1" t="n">
        <v>45673</v>
      </c>
      <c r="E349" s="1" t="n">
        <v>46309</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62754-2025</t>
        </is>
      </c>
      <c r="B350" t="inlineStr">
        <is>
          <t>avverkningsanmälan</t>
        </is>
      </c>
      <c r="C350" t="inlineStr">
        <is>
          <t>Föryngringsavverkning</t>
        </is>
      </c>
      <c r="D350" s="1" t="n">
        <v>46008</v>
      </c>
      <c r="E350" s="1" t="n">
        <v>46309</v>
      </c>
      <c r="F350" t="inlineStr">
        <is>
          <t>GOTLANDS LÄN</t>
        </is>
      </c>
      <c r="G350" t="inlineStr">
        <is>
          <t>GOTLAND</t>
        </is>
      </c>
      <c r="H350" t="inlineStr">
        <is>
          <t>Övriga Aktiebolag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47762-2023</t>
        </is>
      </c>
      <c r="B351" t="inlineStr">
        <is>
          <t>avverkningsanmälan</t>
        </is>
      </c>
      <c r="C351" t="inlineStr">
        <is>
          <t>Föryngringsavverkning</t>
        </is>
      </c>
      <c r="D351" s="1" t="n">
        <v>45203</v>
      </c>
      <c r="E351" s="1" t="n">
        <v>46309</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20225-2025</t>
        </is>
      </c>
      <c r="B352" t="inlineStr">
        <is>
          <t>avverkningsanmälan</t>
        </is>
      </c>
      <c r="C352" t="inlineStr">
        <is>
          <t>Föryngringsavverkning</t>
        </is>
      </c>
      <c r="D352" s="1" t="n">
        <v>45772</v>
      </c>
      <c r="E352" s="1" t="n">
        <v>46309</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32379-2025</t>
        </is>
      </c>
      <c r="B353" t="inlineStr">
        <is>
          <t>avverkningsanmälan</t>
        </is>
      </c>
      <c r="C353" t="inlineStr">
        <is>
          <t>Föryngringsavverkning</t>
        </is>
      </c>
      <c r="D353" s="1" t="n">
        <v>45837</v>
      </c>
      <c r="E353" s="1" t="n">
        <v>46309</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45112-2024</t>
        </is>
      </c>
      <c r="B354" t="inlineStr">
        <is>
          <t>avverkningsanmälan</t>
        </is>
      </c>
      <c r="C354" t="inlineStr">
        <is>
          <t>Föryngringsavverkning</t>
        </is>
      </c>
      <c r="D354" s="1" t="n">
        <v>45575</v>
      </c>
      <c r="E354" s="1" t="n">
        <v>46309</v>
      </c>
      <c r="F354" t="inlineStr">
        <is>
          <t>GOTLANDS LÄN</t>
        </is>
      </c>
      <c r="G354" t="inlineStr">
        <is>
          <t>GOTLAND</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46309</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60086-2022</t>
        </is>
      </c>
      <c r="B356" t="inlineStr">
        <is>
          <t>avverkningsanmälan</t>
        </is>
      </c>
      <c r="C356" t="inlineStr">
        <is>
          <t>Föryngringsavverkning</t>
        </is>
      </c>
      <c r="D356" s="1" t="n">
        <v>44909</v>
      </c>
      <c r="E356" s="1" t="n">
        <v>46309</v>
      </c>
      <c r="F356" t="inlineStr">
        <is>
          <t>GOTLANDS LÄN</t>
        </is>
      </c>
      <c r="G356" t="inlineStr">
        <is>
          <t>GOTLAND</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13910-2025</t>
        </is>
      </c>
      <c r="B357" t="inlineStr">
        <is>
          <t>avverkningsanmälan</t>
        </is>
      </c>
      <c r="C357" t="inlineStr">
        <is>
          <t>Föryngringsavverkning</t>
        </is>
      </c>
      <c r="D357" s="1" t="n">
        <v>45737</v>
      </c>
      <c r="E357" s="1" t="n">
        <v>46309</v>
      </c>
      <c r="F357" t="inlineStr">
        <is>
          <t>GOTLANDS LÄN</t>
        </is>
      </c>
      <c r="G357" t="inlineStr">
        <is>
          <t>GOTLAND</t>
        </is>
      </c>
      <c r="H357" t="inlineStr">
        <is>
          <t>Kommuner</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28485-2023</t>
        </is>
      </c>
      <c r="B358" t="inlineStr">
        <is>
          <t>avverkningsanmälan</t>
        </is>
      </c>
      <c r="C358" t="inlineStr">
        <is>
          <t>Föryngringsavverkning</t>
        </is>
      </c>
      <c r="D358" s="1" t="n">
        <v>45103</v>
      </c>
      <c r="E358" s="1" t="n">
        <v>46309</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44949-2023</t>
        </is>
      </c>
      <c r="B359" t="inlineStr">
        <is>
          <t>avverkningsanmälan</t>
        </is>
      </c>
      <c r="C359" t="inlineStr">
        <is>
          <t>Föryngringsavverkning</t>
        </is>
      </c>
      <c r="D359" s="1" t="n">
        <v>45190</v>
      </c>
      <c r="E359" s="1" t="n">
        <v>46309</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6959-2026</t>
        </is>
      </c>
      <c r="B360" t="inlineStr">
        <is>
          <t>avverkningsanmälan</t>
        </is>
      </c>
      <c r="C360" t="inlineStr">
        <is>
          <t>Föryngringsavverkning</t>
        </is>
      </c>
      <c r="D360" s="1" t="n">
        <v>46057</v>
      </c>
      <c r="E360" s="1" t="n">
        <v>46309</v>
      </c>
      <c r="F360" t="inlineStr">
        <is>
          <t>GOTLANDS LÄN</t>
        </is>
      </c>
      <c r="G360" t="inlineStr">
        <is>
          <t>GOTLAND</t>
        </is>
      </c>
      <c r="H360" t="inlineStr">
        <is>
          <t>Kyrkan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38165-2023</t>
        </is>
      </c>
      <c r="B361" t="inlineStr">
        <is>
          <t>avverkningsanmälan</t>
        </is>
      </c>
      <c r="C361" t="inlineStr">
        <is>
          <t>Föryngringsavverkning</t>
        </is>
      </c>
      <c r="D361" s="1" t="n">
        <v>45161</v>
      </c>
      <c r="E361" s="1" t="n">
        <v>46309</v>
      </c>
      <c r="F361" t="inlineStr">
        <is>
          <t>GOTLANDS LÄN</t>
        </is>
      </c>
      <c r="G361" t="inlineStr">
        <is>
          <t>GOTLAND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3964-2024</t>
        </is>
      </c>
      <c r="B362" t="inlineStr">
        <is>
          <t>avverkningsanmälan</t>
        </is>
      </c>
      <c r="C362" t="inlineStr">
        <is>
          <t>Föryngringsavverkning</t>
        </is>
      </c>
      <c r="D362" s="1" t="n">
        <v>45322</v>
      </c>
      <c r="E362" s="1" t="n">
        <v>46309</v>
      </c>
      <c r="F362" t="inlineStr">
        <is>
          <t>GOTLANDS LÄN</t>
        </is>
      </c>
      <c r="G362" t="inlineStr">
        <is>
          <t>GOTLAND</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45084-2024</t>
        </is>
      </c>
      <c r="B363" t="inlineStr">
        <is>
          <t>avverkningsanmälan</t>
        </is>
      </c>
      <c r="C363" t="inlineStr">
        <is>
          <t>Föryngringsavverkning</t>
        </is>
      </c>
      <c r="D363" s="1" t="n">
        <v>45575</v>
      </c>
      <c r="E363" s="1" t="n">
        <v>46309</v>
      </c>
      <c r="F363" t="inlineStr">
        <is>
          <t>GOTLANDS LÄN</t>
        </is>
      </c>
      <c r="G363" t="inlineStr">
        <is>
          <t>GOTLAND</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5217-2023</t>
        </is>
      </c>
      <c r="B364" t="inlineStr">
        <is>
          <t>avverkningsanmälan</t>
        </is>
      </c>
      <c r="C364" t="inlineStr">
        <is>
          <t>Föryngringsavverkning</t>
        </is>
      </c>
      <c r="D364" s="1" t="n">
        <v>44959</v>
      </c>
      <c r="E364" s="1" t="n">
        <v>46309</v>
      </c>
      <c r="F364" t="inlineStr">
        <is>
          <t>GOTLANDS LÄN</t>
        </is>
      </c>
      <c r="G364" t="inlineStr">
        <is>
          <t>GOTLAND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45244-2024</t>
        </is>
      </c>
      <c r="B365" t="inlineStr">
        <is>
          <t>avverkningsanmälan</t>
        </is>
      </c>
      <c r="C365" t="inlineStr">
        <is>
          <t>Avverkning för annat ändamål</t>
        </is>
      </c>
      <c r="D365" s="1" t="n">
        <v>45576</v>
      </c>
      <c r="E365" s="1" t="n">
        <v>46309</v>
      </c>
      <c r="F365" t="inlineStr">
        <is>
          <t>GOTLANDS LÄN</t>
        </is>
      </c>
      <c r="G365" t="inlineStr">
        <is>
          <t>GOTLAND</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8260-2023</t>
        </is>
      </c>
      <c r="B366" t="inlineStr">
        <is>
          <t>avverkningsanmälan</t>
        </is>
      </c>
      <c r="C366" t="inlineStr">
        <is>
          <t>Föryngringsavverkning</t>
        </is>
      </c>
      <c r="D366" s="1" t="n">
        <v>44974</v>
      </c>
      <c r="E366" s="1" t="n">
        <v>46309</v>
      </c>
      <c r="F366" t="inlineStr">
        <is>
          <t>GOTLANDS LÄN</t>
        </is>
      </c>
      <c r="G366" t="inlineStr">
        <is>
          <t>GOTLAND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64969-2023</t>
        </is>
      </c>
      <c r="B367" t="inlineStr">
        <is>
          <t>avverkningsanmälan</t>
        </is>
      </c>
      <c r="C367" t="inlineStr">
        <is>
          <t>Föryngringsavverkning</t>
        </is>
      </c>
      <c r="D367" s="1" t="n">
        <v>45284</v>
      </c>
      <c r="E367" s="1" t="n">
        <v>46309</v>
      </c>
      <c r="F367" t="inlineStr">
        <is>
          <t>GOTLANDS LÄN</t>
        </is>
      </c>
      <c r="G367" t="inlineStr">
        <is>
          <t>GOTLAND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48843-2024</t>
        </is>
      </c>
      <c r="B368" t="inlineStr">
        <is>
          <t>avverkningsanmälan</t>
        </is>
      </c>
      <c r="C368" t="inlineStr">
        <is>
          <t>Föryngringsavverkning</t>
        </is>
      </c>
      <c r="D368" s="1" t="n">
        <v>45593</v>
      </c>
      <c r="E368" s="1" t="n">
        <v>46309</v>
      </c>
      <c r="F368" t="inlineStr">
        <is>
          <t>GOTLANDS LÄN</t>
        </is>
      </c>
      <c r="G368" t="inlineStr">
        <is>
          <t>GOTLAND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17541-2024</t>
        </is>
      </c>
      <c r="B369" t="inlineStr">
        <is>
          <t>avverkningsanmälan</t>
        </is>
      </c>
      <c r="C369" t="inlineStr">
        <is>
          <t>Föryngringsavverkning</t>
        </is>
      </c>
      <c r="D369" s="1" t="n">
        <v>45415</v>
      </c>
      <c r="E369" s="1" t="n">
        <v>46309</v>
      </c>
      <c r="F369" t="inlineStr">
        <is>
          <t>GOTLANDS LÄN</t>
        </is>
      </c>
      <c r="G369" t="inlineStr">
        <is>
          <t>GOTLAND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15434-2024</t>
        </is>
      </c>
      <c r="B370" t="inlineStr">
        <is>
          <t>avverkningsanmälan</t>
        </is>
      </c>
      <c r="C370" t="inlineStr">
        <is>
          <t>Föryngringsavverkning</t>
        </is>
      </c>
      <c r="D370" s="1" t="n">
        <v>45401</v>
      </c>
      <c r="E370" s="1" t="n">
        <v>46309</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5943-2024</t>
        </is>
      </c>
      <c r="B371" t="inlineStr">
        <is>
          <t>avverkningsanmälan</t>
        </is>
      </c>
      <c r="C371" t="inlineStr">
        <is>
          <t>Avverkning för annat ändamål</t>
        </is>
      </c>
      <c r="D371" s="1" t="n">
        <v>45336</v>
      </c>
      <c r="E371" s="1" t="n">
        <v>46309</v>
      </c>
      <c r="F371" t="inlineStr">
        <is>
          <t>GOTLANDS LÄN</t>
        </is>
      </c>
      <c r="G371" t="inlineStr">
        <is>
          <t>GOTLAND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54073-2022</t>
        </is>
      </c>
      <c r="B372" t="inlineStr">
        <is>
          <t>avverkningsanmälan</t>
        </is>
      </c>
      <c r="C372" t="inlineStr">
        <is>
          <t>Föryngringsavverkning</t>
        </is>
      </c>
      <c r="D372" s="1" t="n">
        <v>44881</v>
      </c>
      <c r="E372" s="1" t="n">
        <v>46309</v>
      </c>
      <c r="F372" t="inlineStr">
        <is>
          <t>GOTLANDS LÄN</t>
        </is>
      </c>
      <c r="G372" t="inlineStr">
        <is>
          <t>GOTLAND</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16361-2024</t>
        </is>
      </c>
      <c r="B373" t="inlineStr">
        <is>
          <t>avverkningsanmälan</t>
        </is>
      </c>
      <c r="C373" t="inlineStr">
        <is>
          <t>Föryngringsavverkning</t>
        </is>
      </c>
      <c r="D373" s="1" t="n">
        <v>45407</v>
      </c>
      <c r="E373" s="1" t="n">
        <v>46309</v>
      </c>
      <c r="F373" t="inlineStr">
        <is>
          <t>GOTLANDS LÄN</t>
        </is>
      </c>
      <c r="G373" t="inlineStr">
        <is>
          <t>GOTLAND</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41038-2023</t>
        </is>
      </c>
      <c r="B374" t="inlineStr">
        <is>
          <t>avverkningsanmälan</t>
        </is>
      </c>
      <c r="C374" t="inlineStr">
        <is>
          <t>Föryngringsavverkning</t>
        </is>
      </c>
      <c r="D374" s="1" t="n">
        <v>45173</v>
      </c>
      <c r="E374" s="1" t="n">
        <v>46309</v>
      </c>
      <c r="F374" t="inlineStr">
        <is>
          <t>GOTLANDS LÄN</t>
        </is>
      </c>
      <c r="G374" t="inlineStr">
        <is>
          <t>GOTLAND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14427-2024</t>
        </is>
      </c>
      <c r="B375" t="inlineStr">
        <is>
          <t>avverkningsanmälan</t>
        </is>
      </c>
      <c r="C375" t="inlineStr">
        <is>
          <t>Avverkning för att bevara och utveckla /försöksver</t>
        </is>
      </c>
      <c r="D375" s="1" t="n">
        <v>45394</v>
      </c>
      <c r="E375" s="1" t="n">
        <v>46309</v>
      </c>
      <c r="F375" t="inlineStr">
        <is>
          <t>GOTLANDS LÄN</t>
        </is>
      </c>
      <c r="G375" t="inlineStr">
        <is>
          <t>GOTLAND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31802-2024</t>
        </is>
      </c>
      <c r="B376" t="inlineStr">
        <is>
          <t>avverkningsanmälan</t>
        </is>
      </c>
      <c r="C376" t="inlineStr">
        <is>
          <t>Avverkning för annat ändamål</t>
        </is>
      </c>
      <c r="D376" s="1" t="n">
        <v>45509</v>
      </c>
      <c r="E376" s="1" t="n">
        <v>46309</v>
      </c>
      <c r="F376" t="inlineStr">
        <is>
          <t>GOTLANDS LÄN</t>
        </is>
      </c>
      <c r="G376" t="inlineStr">
        <is>
          <t>GOTLAND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12846-2025</t>
        </is>
      </c>
      <c r="B377" t="inlineStr">
        <is>
          <t>avverkningsanmälan</t>
        </is>
      </c>
      <c r="C377" t="inlineStr">
        <is>
          <t>Föryngringsavverkning</t>
        </is>
      </c>
      <c r="D377" s="1" t="n">
        <v>45733</v>
      </c>
      <c r="E377" s="1" t="n">
        <v>46309</v>
      </c>
      <c r="F377" t="inlineStr">
        <is>
          <t>GOTLANDS LÄN</t>
        </is>
      </c>
      <c r="G377" t="inlineStr">
        <is>
          <t>GOTLAND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22281-2026</t>
        </is>
      </c>
      <c r="B378" t="inlineStr">
        <is>
          <t>avverkningsanmälan</t>
        </is>
      </c>
      <c r="C378" t="inlineStr">
        <is>
          <t>Avverkning för annat ändamål</t>
        </is>
      </c>
      <c r="D378" s="1" t="n">
        <v>46154</v>
      </c>
      <c r="E378" s="1" t="n">
        <v>46309</v>
      </c>
      <c r="F378" t="inlineStr">
        <is>
          <t>GOTLANDS LÄN</t>
        </is>
      </c>
      <c r="G378" t="inlineStr">
        <is>
          <t>GOTLAND</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46949-2024</t>
        </is>
      </c>
      <c r="B379" t="inlineStr">
        <is>
          <t>avverkningsanmälan</t>
        </is>
      </c>
      <c r="C379" t="inlineStr">
        <is>
          <t>Föryngringsavverkning</t>
        </is>
      </c>
      <c r="D379" s="1" t="n">
        <v>45585</v>
      </c>
      <c r="E379" s="1" t="n">
        <v>46309</v>
      </c>
      <c r="F379" t="inlineStr">
        <is>
          <t>GOTLANDS LÄN</t>
        </is>
      </c>
      <c r="G379" t="inlineStr">
        <is>
          <t>GOTLAND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22348-2026</t>
        </is>
      </c>
      <c r="B380" t="inlineStr">
        <is>
          <t>avverkningsanmälan</t>
        </is>
      </c>
      <c r="C380" t="inlineStr">
        <is>
          <t>Föryngringsavverkning</t>
        </is>
      </c>
      <c r="D380" s="1" t="n">
        <v>46154</v>
      </c>
      <c r="E380" s="1" t="n">
        <v>46309</v>
      </c>
      <c r="F380" t="inlineStr">
        <is>
          <t>GOTLANDS LÄN</t>
        </is>
      </c>
      <c r="G380" t="inlineStr">
        <is>
          <t>GOTLAND</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22351-2026</t>
        </is>
      </c>
      <c r="B381" t="inlineStr">
        <is>
          <t>avverkningsanmälan</t>
        </is>
      </c>
      <c r="C381" t="inlineStr">
        <is>
          <t>Föryngringsavverkning</t>
        </is>
      </c>
      <c r="D381" s="1" t="n">
        <v>46154</v>
      </c>
      <c r="E381" s="1" t="n">
        <v>46309</v>
      </c>
      <c r="F381" t="inlineStr">
        <is>
          <t>GOTLANDS LÄN</t>
        </is>
      </c>
      <c r="G381" t="inlineStr">
        <is>
          <t>GOTLAND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10650-2022</t>
        </is>
      </c>
      <c r="B382" t="inlineStr">
        <is>
          <t>avverkningsanmälan</t>
        </is>
      </c>
      <c r="C382" t="inlineStr">
        <is>
          <t>Föryngringsavverkning</t>
        </is>
      </c>
      <c r="D382" s="1" t="n">
        <v>44624</v>
      </c>
      <c r="E382" s="1" t="n">
        <v>46309</v>
      </c>
      <c r="F382" t="inlineStr">
        <is>
          <t>GOTLANDS LÄN</t>
        </is>
      </c>
      <c r="G382" t="inlineStr">
        <is>
          <t>GOTLAND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35096-2025</t>
        </is>
      </c>
      <c r="B383" t="inlineStr">
        <is>
          <t>avverkningsanmälan</t>
        </is>
      </c>
      <c r="C383" t="inlineStr">
        <is>
          <t>Föryngringsavverkning</t>
        </is>
      </c>
      <c r="D383" s="1" t="n">
        <v>45852</v>
      </c>
      <c r="E383" s="1" t="n">
        <v>46309</v>
      </c>
      <c r="F383" t="inlineStr">
        <is>
          <t>GOTLANDS LÄN</t>
        </is>
      </c>
      <c r="G383" t="inlineStr">
        <is>
          <t>GOTLAND</t>
        </is>
      </c>
      <c r="H383" t="inlineStr">
        <is>
          <t>Kyrkan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1351-2025</t>
        </is>
      </c>
      <c r="B384" t="inlineStr">
        <is>
          <t>avverkningsanmälan</t>
        </is>
      </c>
      <c r="C384" t="inlineStr">
        <is>
          <t>Föryngringsavverkning</t>
        </is>
      </c>
      <c r="D384" s="1" t="n">
        <v>45667</v>
      </c>
      <c r="E384" s="1" t="n">
        <v>46309</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39496-2022</t>
        </is>
      </c>
      <c r="B385" t="inlineStr">
        <is>
          <t>avverkningsanmälan</t>
        </is>
      </c>
      <c r="C385" t="inlineStr">
        <is>
          <t>Föryngringsavverkning</t>
        </is>
      </c>
      <c r="D385" s="1" t="n">
        <v>44818</v>
      </c>
      <c r="E385" s="1" t="n">
        <v>46309</v>
      </c>
      <c r="F385" t="inlineStr">
        <is>
          <t>GOTLANDS LÄN</t>
        </is>
      </c>
      <c r="G385" t="inlineStr">
        <is>
          <t>GOTLAND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49874-2024</t>
        </is>
      </c>
      <c r="B386" t="inlineStr">
        <is>
          <t>avverkningsanmälan</t>
        </is>
      </c>
      <c r="C386" t="inlineStr">
        <is>
          <t>Föryngringsavverkning</t>
        </is>
      </c>
      <c r="D386" s="1" t="n">
        <v>45597</v>
      </c>
      <c r="E386" s="1" t="n">
        <v>46309</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46400-2023</t>
        </is>
      </c>
      <c r="B387" t="inlineStr">
        <is>
          <t>avverkningsanmälan</t>
        </is>
      </c>
      <c r="C387" t="inlineStr">
        <is>
          <t>Föryngringsavverkning</t>
        </is>
      </c>
      <c r="D387" s="1" t="n">
        <v>45197</v>
      </c>
      <c r="E387" s="1" t="n">
        <v>46309</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21164-2024</t>
        </is>
      </c>
      <c r="B388" t="inlineStr">
        <is>
          <t>avverkningsanmälan</t>
        </is>
      </c>
      <c r="C388" t="inlineStr">
        <is>
          <t>Föryngringsavverkning</t>
        </is>
      </c>
      <c r="D388" s="1" t="n">
        <v>45440</v>
      </c>
      <c r="E388" s="1" t="n">
        <v>46309</v>
      </c>
      <c r="F388" t="inlineStr">
        <is>
          <t>GOTLANDS LÄN</t>
        </is>
      </c>
      <c r="G388" t="inlineStr">
        <is>
          <t>GOTLAND</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8045-2022</t>
        </is>
      </c>
      <c r="B389" t="inlineStr">
        <is>
          <t>avverkningsanmälan</t>
        </is>
      </c>
      <c r="C389" t="inlineStr">
        <is>
          <t>Föryngringsavverkning</t>
        </is>
      </c>
      <c r="D389" s="1" t="n">
        <v>44609</v>
      </c>
      <c r="E389" s="1" t="n">
        <v>46309</v>
      </c>
      <c r="F389" t="inlineStr">
        <is>
          <t>GOTLANDS LÄN</t>
        </is>
      </c>
      <c r="G389" t="inlineStr">
        <is>
          <t>GOTLAND</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22897-2023</t>
        </is>
      </c>
      <c r="B390" t="inlineStr">
        <is>
          <t>avverkningsanmälan</t>
        </is>
      </c>
      <c r="C390" t="inlineStr">
        <is>
          <t>Föryngringsavverkning</t>
        </is>
      </c>
      <c r="D390" s="1" t="n">
        <v>45072</v>
      </c>
      <c r="E390" s="1" t="n">
        <v>46309</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61897-2024</t>
        </is>
      </c>
      <c r="B391" t="inlineStr">
        <is>
          <t>avverkningsanmälan</t>
        </is>
      </c>
      <c r="C391" t="inlineStr">
        <is>
          <t>Föryngringsavverkning</t>
        </is>
      </c>
      <c r="D391" s="1" t="n">
        <v>45652</v>
      </c>
      <c r="E391" s="1" t="n">
        <v>46309</v>
      </c>
      <c r="F391" t="inlineStr">
        <is>
          <t>GOTLANDS LÄN</t>
        </is>
      </c>
      <c r="G391" t="inlineStr">
        <is>
          <t>GOTLAND</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20165-2022</t>
        </is>
      </c>
      <c r="B392" t="inlineStr">
        <is>
          <t>avverkningsanmälan</t>
        </is>
      </c>
      <c r="C392" t="inlineStr">
        <is>
          <t>Föryngringsavverkning</t>
        </is>
      </c>
      <c r="D392" s="1" t="n">
        <v>44698</v>
      </c>
      <c r="E392" s="1" t="n">
        <v>46309</v>
      </c>
      <c r="F392" t="inlineStr">
        <is>
          <t>GOTLANDS LÄN</t>
        </is>
      </c>
      <c r="G392" t="inlineStr">
        <is>
          <t>GOTLAND</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12032-2025</t>
        </is>
      </c>
      <c r="B393" t="inlineStr">
        <is>
          <t>avverkningsanmälan</t>
        </is>
      </c>
      <c r="C393" t="inlineStr">
        <is>
          <t>Föryngringsavverkning</t>
        </is>
      </c>
      <c r="D393" s="1" t="n">
        <v>45728</v>
      </c>
      <c r="E393" s="1" t="n">
        <v>46309</v>
      </c>
      <c r="F393" t="inlineStr">
        <is>
          <t>GOTLANDS LÄN</t>
        </is>
      </c>
      <c r="G393" t="inlineStr">
        <is>
          <t>GOTLAND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38787-2023</t>
        </is>
      </c>
      <c r="B394" t="inlineStr">
        <is>
          <t>avverkningsanmälan</t>
        </is>
      </c>
      <c r="C394" t="inlineStr">
        <is>
          <t>Föryngringsavverkning</t>
        </is>
      </c>
      <c r="D394" s="1" t="n">
        <v>45163</v>
      </c>
      <c r="E394" s="1" t="n">
        <v>46309</v>
      </c>
      <c r="F394" t="inlineStr">
        <is>
          <t>GOTLANDS LÄN</t>
        </is>
      </c>
      <c r="G394" t="inlineStr">
        <is>
          <t>GOTLAND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24448-2026</t>
        </is>
      </c>
      <c r="B395" t="inlineStr">
        <is>
          <t>avverkningsanmälan</t>
        </is>
      </c>
      <c r="C395" t="inlineStr">
        <is>
          <t>Föryngringsavverkning</t>
        </is>
      </c>
      <c r="D395" s="1" t="n">
        <v>46170</v>
      </c>
      <c r="E395" s="1" t="n">
        <v>46309</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43231-2023</t>
        </is>
      </c>
      <c r="B396" t="inlineStr">
        <is>
          <t>avverkningsanmälan</t>
        </is>
      </c>
      <c r="C396" t="inlineStr">
        <is>
          <t>Föryngringsavverkning</t>
        </is>
      </c>
      <c r="D396" s="1" t="n">
        <v>45183</v>
      </c>
      <c r="E396" s="1" t="n">
        <v>46309</v>
      </c>
      <c r="F396" t="inlineStr">
        <is>
          <t>GOTLANDS LÄN</t>
        </is>
      </c>
      <c r="G396" t="inlineStr">
        <is>
          <t>GOTLAND</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17532-2024</t>
        </is>
      </c>
      <c r="B397" t="inlineStr">
        <is>
          <t>avverkningsanmälan</t>
        </is>
      </c>
      <c r="C397" t="inlineStr">
        <is>
          <t>Föryngringsavverkning</t>
        </is>
      </c>
      <c r="D397" s="1" t="n">
        <v>45415</v>
      </c>
      <c r="E397" s="1" t="n">
        <v>46309</v>
      </c>
      <c r="F397" t="inlineStr">
        <is>
          <t>GOTLANDS LÄN</t>
        </is>
      </c>
      <c r="G397" t="inlineStr">
        <is>
          <t>GOTLAND</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27354-2026</t>
        </is>
      </c>
      <c r="B398" t="inlineStr">
        <is>
          <t>avverkningsanmälan</t>
        </is>
      </c>
      <c r="C398" t="inlineStr">
        <is>
          <t>Föryngringsavverkning</t>
        </is>
      </c>
      <c r="D398" s="1" t="n">
        <v>46184</v>
      </c>
      <c r="E398" s="1" t="n">
        <v>46309</v>
      </c>
      <c r="F398" t="inlineStr">
        <is>
          <t>GOTLANDS LÄN</t>
        </is>
      </c>
      <c r="G398" t="inlineStr">
        <is>
          <t>GOTLAND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42338-2023</t>
        </is>
      </c>
      <c r="B399" t="inlineStr">
        <is>
          <t>avverkningsanmälan</t>
        </is>
      </c>
      <c r="C399" t="inlineStr">
        <is>
          <t>Föryngringsavverkning</t>
        </is>
      </c>
      <c r="D399" s="1" t="n">
        <v>45180</v>
      </c>
      <c r="E399" s="1" t="n">
        <v>46309</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873-2024</t>
        </is>
      </c>
      <c r="B400" t="inlineStr">
        <is>
          <t>avverkningsanmälan</t>
        </is>
      </c>
      <c r="C400" t="inlineStr">
        <is>
          <t>Avverkning för annat ändamål</t>
        </is>
      </c>
      <c r="D400" s="1" t="n">
        <v>45301</v>
      </c>
      <c r="E400" s="1" t="n">
        <v>46309</v>
      </c>
      <c r="F400" t="inlineStr">
        <is>
          <t>GOTLANDS LÄN</t>
        </is>
      </c>
      <c r="G400" t="inlineStr">
        <is>
          <t>GOTLAND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22275-2023</t>
        </is>
      </c>
      <c r="B401" t="inlineStr">
        <is>
          <t>avverkningsanmälan</t>
        </is>
      </c>
      <c r="C401" t="inlineStr">
        <is>
          <t>Föryngringsavverkning</t>
        </is>
      </c>
      <c r="D401" s="1" t="n">
        <v>45070</v>
      </c>
      <c r="E401" s="1" t="n">
        <v>46309</v>
      </c>
      <c r="F401" t="inlineStr">
        <is>
          <t>GOTLANDS LÄN</t>
        </is>
      </c>
      <c r="G401" t="inlineStr">
        <is>
          <t>GOTLAND</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12322-2025</t>
        </is>
      </c>
      <c r="B402" t="inlineStr">
        <is>
          <t>avverkningsanmälan</t>
        </is>
      </c>
      <c r="C402" t="inlineStr">
        <is>
          <t>Föryngringsavverkning</t>
        </is>
      </c>
      <c r="D402" s="1" t="n">
        <v>45730</v>
      </c>
      <c r="E402" s="1" t="n">
        <v>46309</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14797-2024</t>
        </is>
      </c>
      <c r="B403" t="inlineStr">
        <is>
          <t>avverkningsanmälan</t>
        </is>
      </c>
      <c r="C403" t="inlineStr">
        <is>
          <t>Föryngringsavverkning</t>
        </is>
      </c>
      <c r="D403" s="1" t="n">
        <v>45397</v>
      </c>
      <c r="E403" s="1" t="n">
        <v>46309</v>
      </c>
      <c r="F403" t="inlineStr">
        <is>
          <t>GOTLANDS LÄN</t>
        </is>
      </c>
      <c r="G403" t="inlineStr">
        <is>
          <t>GOTLAND</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999-2024</t>
        </is>
      </c>
      <c r="B404" t="inlineStr">
        <is>
          <t>avverkningsanmälan</t>
        </is>
      </c>
      <c r="C404" t="inlineStr">
        <is>
          <t>Föryngringsavverkning</t>
        </is>
      </c>
      <c r="D404" s="1" t="n">
        <v>45301</v>
      </c>
      <c r="E404" s="1" t="n">
        <v>46309</v>
      </c>
      <c r="F404" t="inlineStr">
        <is>
          <t>GOTLANDS LÄN</t>
        </is>
      </c>
      <c r="G404" t="inlineStr">
        <is>
          <t>GOTLAND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61596-2023</t>
        </is>
      </c>
      <c r="B405" t="inlineStr">
        <is>
          <t>avverkningsanmälan</t>
        </is>
      </c>
      <c r="C405" t="inlineStr">
        <is>
          <t>Föryngringsavverkning</t>
        </is>
      </c>
      <c r="D405" s="1" t="n">
        <v>45265</v>
      </c>
      <c r="E405" s="1" t="n">
        <v>46309</v>
      </c>
      <c r="F405" t="inlineStr">
        <is>
          <t>GOTLANDS LÄN</t>
        </is>
      </c>
      <c r="G405" t="inlineStr">
        <is>
          <t>GOTLAND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60675-2021</t>
        </is>
      </c>
      <c r="B406" t="inlineStr">
        <is>
          <t>avverkningsanmälan</t>
        </is>
      </c>
      <c r="C406" t="inlineStr">
        <is>
          <t>Föryngringsavverkning</t>
        </is>
      </c>
      <c r="D406" s="1" t="n">
        <v>44496</v>
      </c>
      <c r="E406" s="1" t="n">
        <v>46309</v>
      </c>
      <c r="F406" t="inlineStr">
        <is>
          <t>GOTLANDS LÄN</t>
        </is>
      </c>
      <c r="G406" t="inlineStr">
        <is>
          <t>GOTLAND</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37728-2024</t>
        </is>
      </c>
      <c r="B407" t="inlineStr">
        <is>
          <t>avverkningsanmälan</t>
        </is>
      </c>
      <c r="C407" t="inlineStr">
        <is>
          <t>Föryngringsavverkning</t>
        </is>
      </c>
      <c r="D407" s="1" t="n">
        <v>45541</v>
      </c>
      <c r="E407" s="1" t="n">
        <v>46309</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22287-2022</t>
        </is>
      </c>
      <c r="B408" t="inlineStr">
        <is>
          <t>avverkningsanmälan</t>
        </is>
      </c>
      <c r="C408" t="inlineStr">
        <is>
          <t>Avverkning för annat ändamål</t>
        </is>
      </c>
      <c r="D408" s="1" t="n">
        <v>44712</v>
      </c>
      <c r="E408" s="1" t="n">
        <v>46309</v>
      </c>
      <c r="F408" t="inlineStr">
        <is>
          <t>GOTLANDS LÄN</t>
        </is>
      </c>
      <c r="G408" t="inlineStr">
        <is>
          <t>GOTLAND</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54074-2022</t>
        </is>
      </c>
      <c r="B409" t="inlineStr">
        <is>
          <t>avverkningsanmälan</t>
        </is>
      </c>
      <c r="C409" t="inlineStr">
        <is>
          <t>Föryngringsavverkning</t>
        </is>
      </c>
      <c r="D409" s="1" t="n">
        <v>44881</v>
      </c>
      <c r="E409" s="1" t="n">
        <v>46309</v>
      </c>
      <c r="F409" t="inlineStr">
        <is>
          <t>GOTLANDS LÄN</t>
        </is>
      </c>
      <c r="G409" t="inlineStr">
        <is>
          <t>GOTLAND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65249-2023</t>
        </is>
      </c>
      <c r="B410" t="inlineStr">
        <is>
          <t>avverkningsanmälan</t>
        </is>
      </c>
      <c r="C410" t="inlineStr">
        <is>
          <t>Föryngringsavverkning</t>
        </is>
      </c>
      <c r="D410" s="1" t="n">
        <v>45290</v>
      </c>
      <c r="E410" s="1" t="n">
        <v>46309</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17780-2022</t>
        </is>
      </c>
      <c r="B411" t="inlineStr">
        <is>
          <t>avverkningsanmälan</t>
        </is>
      </c>
      <c r="C411" t="inlineStr">
        <is>
          <t>Föryngringsavverkning</t>
        </is>
      </c>
      <c r="D411" s="1" t="n">
        <v>44682</v>
      </c>
      <c r="E411" s="1" t="n">
        <v>46309</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59986-2022</t>
        </is>
      </c>
      <c r="B412" t="inlineStr">
        <is>
          <t>avverkningsanmälan</t>
        </is>
      </c>
      <c r="C412" t="inlineStr">
        <is>
          <t>Avverkning för annat ändamål</t>
        </is>
      </c>
      <c r="D412" s="1" t="n">
        <v>44909</v>
      </c>
      <c r="E412" s="1" t="n">
        <v>46309</v>
      </c>
      <c r="F412" t="inlineStr">
        <is>
          <t>GOTLANDS LÄN</t>
        </is>
      </c>
      <c r="G412" t="inlineStr">
        <is>
          <t>GOTLAND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11874-2024</t>
        </is>
      </c>
      <c r="B413" t="inlineStr">
        <is>
          <t>avverkningsanmälan</t>
        </is>
      </c>
      <c r="C413" t="inlineStr">
        <is>
          <t>Föryngringsavverkning</t>
        </is>
      </c>
      <c r="D413" s="1" t="n">
        <v>45376</v>
      </c>
      <c r="E413" s="1" t="n">
        <v>46309</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42041-2024</t>
        </is>
      </c>
      <c r="B414" t="inlineStr">
        <is>
          <t>avverkningsanmälan</t>
        </is>
      </c>
      <c r="C414" t="inlineStr">
        <is>
          <t>Föryngringsavverkning</t>
        </is>
      </c>
      <c r="D414" s="1" t="n">
        <v>45561</v>
      </c>
      <c r="E414" s="1" t="n">
        <v>46309</v>
      </c>
      <c r="F414" t="inlineStr">
        <is>
          <t>GOTLANDS LÄN</t>
        </is>
      </c>
      <c r="G414" t="inlineStr">
        <is>
          <t>GOTLAND</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61694-2023</t>
        </is>
      </c>
      <c r="B415" t="inlineStr">
        <is>
          <t>avverkningsanmälan</t>
        </is>
      </c>
      <c r="C415" t="inlineStr">
        <is>
          <t>Föryngringsavverkning</t>
        </is>
      </c>
      <c r="D415" s="1" t="n">
        <v>45264</v>
      </c>
      <c r="E415" s="1" t="n">
        <v>46309</v>
      </c>
      <c r="F415" t="inlineStr">
        <is>
          <t>GOTLANDS LÄN</t>
        </is>
      </c>
      <c r="G415" t="inlineStr">
        <is>
          <t>GOTLAND</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30925-2026</t>
        </is>
      </c>
      <c r="B416" t="inlineStr">
        <is>
          <t>avverkningsanmälan</t>
        </is>
      </c>
      <c r="C416" t="inlineStr">
        <is>
          <t>Föryngringsavverkning</t>
        </is>
      </c>
      <c r="D416" s="1" t="n">
        <v>46213</v>
      </c>
      <c r="E416" s="1" t="n">
        <v>46309</v>
      </c>
      <c r="F416" t="inlineStr">
        <is>
          <t>GOTLANDS LÄN</t>
        </is>
      </c>
      <c r="G416" t="inlineStr">
        <is>
          <t>GOTLAND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30926-2026</t>
        </is>
      </c>
      <c r="B417" t="inlineStr">
        <is>
          <t>avverkningsanmälan</t>
        </is>
      </c>
      <c r="C417" t="inlineStr">
        <is>
          <t>Föryngringsavverkning</t>
        </is>
      </c>
      <c r="D417" s="1" t="n">
        <v>46213</v>
      </c>
      <c r="E417" s="1" t="n">
        <v>46309</v>
      </c>
      <c r="F417" t="inlineStr">
        <is>
          <t>GOTLANDS LÄN</t>
        </is>
      </c>
      <c r="G417" t="inlineStr">
        <is>
          <t>GOTLAND</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46309</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46309</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31287-2026</t>
        </is>
      </c>
      <c r="B420" t="inlineStr">
        <is>
          <t>avverkningsanmälan</t>
        </is>
      </c>
      <c r="C420" t="inlineStr">
        <is>
          <t>Föryngringsavverkning</t>
        </is>
      </c>
      <c r="D420" s="1" t="n">
        <v>46218</v>
      </c>
      <c r="E420" s="1" t="n">
        <v>46309</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4377-2023</t>
        </is>
      </c>
      <c r="B421" t="inlineStr">
        <is>
          <t>avverkningsanmälan</t>
        </is>
      </c>
      <c r="C421" t="inlineStr">
        <is>
          <t>Föryngringsavverkning</t>
        </is>
      </c>
      <c r="D421" s="1" t="n">
        <v>44955</v>
      </c>
      <c r="E421" s="1" t="n">
        <v>46309</v>
      </c>
      <c r="F421" t="inlineStr">
        <is>
          <t>GOTLANDS LÄN</t>
        </is>
      </c>
      <c r="G421" t="inlineStr">
        <is>
          <t>GOTLAND</t>
        </is>
      </c>
      <c r="H421" t="inlineStr">
        <is>
          <t>Kyrkan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4387-2023</t>
        </is>
      </c>
      <c r="B422" t="inlineStr">
        <is>
          <t>avverkningsanmälan</t>
        </is>
      </c>
      <c r="C422" t="inlineStr">
        <is>
          <t>Föryngringsavverkning</t>
        </is>
      </c>
      <c r="D422" s="1" t="n">
        <v>44955</v>
      </c>
      <c r="E422" s="1" t="n">
        <v>46309</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39479-2022</t>
        </is>
      </c>
      <c r="B423" t="inlineStr">
        <is>
          <t>avverkningsanmälan</t>
        </is>
      </c>
      <c r="C423" t="inlineStr">
        <is>
          <t>Föryngringsavverkning</t>
        </is>
      </c>
      <c r="D423" s="1" t="n">
        <v>44818</v>
      </c>
      <c r="E423" s="1" t="n">
        <v>46309</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51963-2024</t>
        </is>
      </c>
      <c r="B424" t="inlineStr">
        <is>
          <t>avverkningsanmälan</t>
        </is>
      </c>
      <c r="C424" t="inlineStr">
        <is>
          <t>Föryngringsavverkning</t>
        </is>
      </c>
      <c r="D424" s="1" t="n">
        <v>45607</v>
      </c>
      <c r="E424" s="1" t="n">
        <v>46309</v>
      </c>
      <c r="F424" t="inlineStr">
        <is>
          <t>GOTLANDS LÄN</t>
        </is>
      </c>
      <c r="G424" t="inlineStr">
        <is>
          <t>GOTLAND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811-2023</t>
        </is>
      </c>
      <c r="B425" t="inlineStr">
        <is>
          <t>avverkningsanmälan</t>
        </is>
      </c>
      <c r="C425" t="inlineStr">
        <is>
          <t>Föryngringsavverkning</t>
        </is>
      </c>
      <c r="D425" s="1" t="n">
        <v>44931</v>
      </c>
      <c r="E425" s="1" t="n">
        <v>46309</v>
      </c>
      <c r="F425" t="inlineStr">
        <is>
          <t>GOTLANDS LÄN</t>
        </is>
      </c>
      <c r="G425" t="inlineStr">
        <is>
          <t>GOTLAND</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5923-2023</t>
        </is>
      </c>
      <c r="B426" t="inlineStr">
        <is>
          <t>avverkningsanmälan</t>
        </is>
      </c>
      <c r="C426" t="inlineStr">
        <is>
          <t>Föryngringsavverkning</t>
        </is>
      </c>
      <c r="D426" s="1" t="n">
        <v>44963</v>
      </c>
      <c r="E426" s="1" t="n">
        <v>46309</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18918-2025</t>
        </is>
      </c>
      <c r="B427" t="inlineStr">
        <is>
          <t>avverkningsanmälan</t>
        </is>
      </c>
      <c r="C427" t="inlineStr">
        <is>
          <t>Avverkning för annat ändamål</t>
        </is>
      </c>
      <c r="D427" s="1" t="n">
        <v>45764</v>
      </c>
      <c r="E427" s="1" t="n">
        <v>46309</v>
      </c>
      <c r="F427" t="inlineStr">
        <is>
          <t>GOTLANDS LÄN</t>
        </is>
      </c>
      <c r="G427" t="inlineStr">
        <is>
          <t>GOTLAND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2674-2023</t>
        </is>
      </c>
      <c r="B428" t="inlineStr">
        <is>
          <t>avverkningsanmälan</t>
        </is>
      </c>
      <c r="C428" t="inlineStr">
        <is>
          <t>Avverkning för annat ändamål</t>
        </is>
      </c>
      <c r="D428" s="1" t="n">
        <v>44944</v>
      </c>
      <c r="E428" s="1" t="n">
        <v>46309</v>
      </c>
      <c r="F428" t="inlineStr">
        <is>
          <t>GOTLANDS LÄN</t>
        </is>
      </c>
      <c r="G428" t="inlineStr">
        <is>
          <t>GOTLAND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31695-2026</t>
        </is>
      </c>
      <c r="B429" t="inlineStr">
        <is>
          <t>avverkningsanmälan</t>
        </is>
      </c>
      <c r="C429" t="inlineStr">
        <is>
          <t>Föryngringsavverkning</t>
        </is>
      </c>
      <c r="D429" s="1" t="n">
        <v>46226</v>
      </c>
      <c r="E429" s="1" t="n">
        <v>46309</v>
      </c>
      <c r="F429" t="inlineStr">
        <is>
          <t>GOTLANDS LÄN</t>
        </is>
      </c>
      <c r="G429" t="inlineStr">
        <is>
          <t>GOTLAND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36499-2026</t>
        </is>
      </c>
      <c r="B430" t="inlineStr">
        <is>
          <t>avverkningsanmälan</t>
        </is>
      </c>
      <c r="C430" t="inlineStr">
        <is>
          <t>Föryngringsavverkning</t>
        </is>
      </c>
      <c r="D430" s="1" t="n">
        <v>46268</v>
      </c>
      <c r="E430" s="1" t="n">
        <v>46309</v>
      </c>
      <c r="F430" t="inlineStr">
        <is>
          <t>GOTLANDS LÄN</t>
        </is>
      </c>
      <c r="G430" t="inlineStr">
        <is>
          <t>GOTLAND</t>
        </is>
      </c>
      <c r="H430" t="inlineStr">
        <is>
          <t>Kommuner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36510-2026</t>
        </is>
      </c>
      <c r="B431" t="inlineStr">
        <is>
          <t>avverkningsanmälan</t>
        </is>
      </c>
      <c r="C431" t="inlineStr">
        <is>
          <t>Föryngringsavverkning</t>
        </is>
      </c>
      <c r="D431" s="1" t="n">
        <v>46268</v>
      </c>
      <c r="E431" s="1" t="n">
        <v>46309</v>
      </c>
      <c r="F431" t="inlineStr">
        <is>
          <t>GOTLANDS LÄN</t>
        </is>
      </c>
      <c r="G431" t="inlineStr">
        <is>
          <t>GOTLAND</t>
        </is>
      </c>
      <c r="H431" t="inlineStr">
        <is>
          <t>Kommuner</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10655-2023</t>
        </is>
      </c>
      <c r="B432" t="inlineStr">
        <is>
          <t>avverkningsanmälan</t>
        </is>
      </c>
      <c r="C432" t="inlineStr">
        <is>
          <t>Föryngringsavverkning</t>
        </is>
      </c>
      <c r="D432" s="1" t="n">
        <v>44988</v>
      </c>
      <c r="E432" s="1" t="n">
        <v>46309</v>
      </c>
      <c r="F432" t="inlineStr">
        <is>
          <t>GOTLANDS LÄN</t>
        </is>
      </c>
      <c r="G432" t="inlineStr">
        <is>
          <t>GOTLAND</t>
        </is>
      </c>
      <c r="H432" t="inlineStr">
        <is>
          <t>Kyrkan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2719-2023</t>
        </is>
      </c>
      <c r="B433" t="inlineStr">
        <is>
          <t>avverkningsanmälan</t>
        </is>
      </c>
      <c r="C433" t="inlineStr">
        <is>
          <t>Föryngringsavverkning</t>
        </is>
      </c>
      <c r="D433" s="1" t="n">
        <v>44944</v>
      </c>
      <c r="E433" s="1" t="n">
        <v>46309</v>
      </c>
      <c r="F433" t="inlineStr">
        <is>
          <t>GOTLANDS LÄN</t>
        </is>
      </c>
      <c r="G433" t="inlineStr">
        <is>
          <t>GOTLAND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42007-2023</t>
        </is>
      </c>
      <c r="B434" t="inlineStr">
        <is>
          <t>avverkningsanmälan</t>
        </is>
      </c>
      <c r="C434" t="inlineStr">
        <is>
          <t>Avverkning för annat ändamål</t>
        </is>
      </c>
      <c r="D434" s="1" t="n">
        <v>45177</v>
      </c>
      <c r="E434" s="1" t="n">
        <v>46309</v>
      </c>
      <c r="F434" t="inlineStr">
        <is>
          <t>GOTLANDS LÄN</t>
        </is>
      </c>
      <c r="G434" t="inlineStr">
        <is>
          <t>GOTLAND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9887-2025</t>
        </is>
      </c>
      <c r="B435" t="inlineStr">
        <is>
          <t>avverkningsanmälan</t>
        </is>
      </c>
      <c r="C435" t="inlineStr">
        <is>
          <t>Föryngringsavverkning</t>
        </is>
      </c>
      <c r="D435" s="1" t="n">
        <v>45716</v>
      </c>
      <c r="E435" s="1" t="n">
        <v>46309</v>
      </c>
      <c r="F435" t="inlineStr">
        <is>
          <t>GOTLANDS LÄN</t>
        </is>
      </c>
      <c r="G435" t="inlineStr">
        <is>
          <t>GOTLAND</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27596-2023</t>
        </is>
      </c>
      <c r="B436" t="inlineStr">
        <is>
          <t>avverkningsanmälan</t>
        </is>
      </c>
      <c r="C436" t="inlineStr">
        <is>
          <t>Avverkning för annat ändamål</t>
        </is>
      </c>
      <c r="D436" s="1" t="n">
        <v>45097</v>
      </c>
      <c r="E436" s="1" t="n">
        <v>46309</v>
      </c>
      <c r="F436" t="inlineStr">
        <is>
          <t>GOTLANDS LÄN</t>
        </is>
      </c>
      <c r="G436" t="inlineStr">
        <is>
          <t>GOTLAND</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24825-2024</t>
        </is>
      </c>
      <c r="B437" t="inlineStr">
        <is>
          <t>avverkningsanmälan</t>
        </is>
      </c>
      <c r="C437" t="inlineStr">
        <is>
          <t>Avverkning för annat ändamål</t>
        </is>
      </c>
      <c r="D437" s="1" t="n">
        <v>45461</v>
      </c>
      <c r="E437" s="1" t="n">
        <v>46309</v>
      </c>
      <c r="F437" t="inlineStr">
        <is>
          <t>GOTLANDS LÄN</t>
        </is>
      </c>
      <c r="G437" t="inlineStr">
        <is>
          <t>GOTLAND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6696-2023</t>
        </is>
      </c>
      <c r="B438" t="inlineStr">
        <is>
          <t>avverkningsanmälan</t>
        </is>
      </c>
      <c r="C438" t="inlineStr">
        <is>
          <t>Föryngringsavverkning</t>
        </is>
      </c>
      <c r="D438" s="1" t="n">
        <v>44966</v>
      </c>
      <c r="E438" s="1" t="n">
        <v>46309</v>
      </c>
      <c r="F438" t="inlineStr">
        <is>
          <t>GOTLANDS LÄN</t>
        </is>
      </c>
      <c r="G438" t="inlineStr">
        <is>
          <t>GOTLAND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21247-2022</t>
        </is>
      </c>
      <c r="B439" t="inlineStr">
        <is>
          <t>avverkningsanmälan</t>
        </is>
      </c>
      <c r="C439" t="inlineStr">
        <is>
          <t>Föryngringsavverkning</t>
        </is>
      </c>
      <c r="D439" s="1" t="n">
        <v>44705</v>
      </c>
      <c r="E439" s="1" t="n">
        <v>46309</v>
      </c>
      <c r="F439" t="inlineStr">
        <is>
          <t>GOTLANDS LÄN</t>
        </is>
      </c>
      <c r="G439" t="inlineStr">
        <is>
          <t>GOTLAND</t>
        </is>
      </c>
      <c r="I439" t="n">
        <v>16.2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456-2023</t>
        </is>
      </c>
      <c r="B440" t="inlineStr">
        <is>
          <t>avverkningsanmälan</t>
        </is>
      </c>
      <c r="C440" t="inlineStr">
        <is>
          <t>Föryngringsavverkning</t>
        </is>
      </c>
      <c r="D440" s="1" t="n">
        <v>44929</v>
      </c>
      <c r="E440" s="1" t="n">
        <v>46309</v>
      </c>
      <c r="F440" t="inlineStr">
        <is>
          <t>GOTLANDS LÄN</t>
        </is>
      </c>
      <c r="G440" t="inlineStr">
        <is>
          <t>GOTLAND</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2714-2023</t>
        </is>
      </c>
      <c r="B441" t="inlineStr">
        <is>
          <t>avverkningsanmälan</t>
        </is>
      </c>
      <c r="C441" t="inlineStr">
        <is>
          <t>Föryngringsavverkning</t>
        </is>
      </c>
      <c r="D441" s="1" t="n">
        <v>44944</v>
      </c>
      <c r="E441" s="1" t="n">
        <v>46309</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4421-2024</t>
        </is>
      </c>
      <c r="B442" t="inlineStr">
        <is>
          <t>avverkningsanmälan</t>
        </is>
      </c>
      <c r="C442" t="inlineStr">
        <is>
          <t>Föryngringsavverkning</t>
        </is>
      </c>
      <c r="D442" s="1" t="n">
        <v>45327</v>
      </c>
      <c r="E442" s="1" t="n">
        <v>46309</v>
      </c>
      <c r="F442" t="inlineStr">
        <is>
          <t>GOTLANDS LÄN</t>
        </is>
      </c>
      <c r="G442" t="inlineStr">
        <is>
          <t>GOTLAND</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51782-2023</t>
        </is>
      </c>
      <c r="B443" t="inlineStr">
        <is>
          <t>avverkningsanmälan</t>
        </is>
      </c>
      <c r="C443" t="inlineStr">
        <is>
          <t>Föryngringsavverkning</t>
        </is>
      </c>
      <c r="D443" s="1" t="n">
        <v>45222</v>
      </c>
      <c r="E443" s="1" t="n">
        <v>46309</v>
      </c>
      <c r="F443" t="inlineStr">
        <is>
          <t>GOTLANDS LÄN</t>
        </is>
      </c>
      <c r="G443" t="inlineStr">
        <is>
          <t>GOTLAND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54268-2022</t>
        </is>
      </c>
      <c r="B444" t="inlineStr">
        <is>
          <t>avverkningsanmälan</t>
        </is>
      </c>
      <c r="C444" t="inlineStr">
        <is>
          <t>Föryngringsavverkning</t>
        </is>
      </c>
      <c r="D444" s="1" t="n">
        <v>44882</v>
      </c>
      <c r="E444" s="1" t="n">
        <v>46309</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25866-2022</t>
        </is>
      </c>
      <c r="B445" t="inlineStr">
        <is>
          <t>avverkningsanmälan</t>
        </is>
      </c>
      <c r="C445" t="inlineStr">
        <is>
          <t>Föryngringsavverkning</t>
        </is>
      </c>
      <c r="D445" s="1" t="n">
        <v>44733</v>
      </c>
      <c r="E445" s="1" t="n">
        <v>46309</v>
      </c>
      <c r="F445" t="inlineStr">
        <is>
          <t>GOTLANDS LÄN</t>
        </is>
      </c>
      <c r="G445" t="inlineStr">
        <is>
          <t>GOTLAND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43229-2023</t>
        </is>
      </c>
      <c r="B446" t="inlineStr">
        <is>
          <t>avverkningsanmälan</t>
        </is>
      </c>
      <c r="C446" t="inlineStr">
        <is>
          <t>Föryngringsavverkning</t>
        </is>
      </c>
      <c r="D446" s="1" t="n">
        <v>45183</v>
      </c>
      <c r="E446" s="1" t="n">
        <v>46309</v>
      </c>
      <c r="F446" t="inlineStr">
        <is>
          <t>GOTLANDS LÄN</t>
        </is>
      </c>
      <c r="G446" t="inlineStr">
        <is>
          <t>GOTLAND</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27095-2022</t>
        </is>
      </c>
      <c r="B447" t="inlineStr">
        <is>
          <t>avverkningsanmälan</t>
        </is>
      </c>
      <c r="C447" t="inlineStr">
        <is>
          <t>Avverkning för annat ändamål</t>
        </is>
      </c>
      <c r="D447" s="1" t="n">
        <v>44741</v>
      </c>
      <c r="E447" s="1" t="n">
        <v>46309</v>
      </c>
      <c r="F447" t="inlineStr">
        <is>
          <t>GOTLANDS LÄN</t>
        </is>
      </c>
      <c r="G447" t="inlineStr">
        <is>
          <t>GOTLAND</t>
        </is>
      </c>
      <c r="H447" t="inlineStr">
        <is>
          <t>Övriga Aktiebolag</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22899-2023</t>
        </is>
      </c>
      <c r="B448" t="inlineStr">
        <is>
          <t>avverkningsanmälan</t>
        </is>
      </c>
      <c r="C448" t="inlineStr">
        <is>
          <t>Föryngringsavverkning</t>
        </is>
      </c>
      <c r="D448" s="1" t="n">
        <v>45072</v>
      </c>
      <c r="E448" s="1" t="n">
        <v>46309</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32239-2026</t>
        </is>
      </c>
      <c r="B449" t="inlineStr">
        <is>
          <t>avverkningsanmälan</t>
        </is>
      </c>
      <c r="C449" t="inlineStr">
        <is>
          <t>Föryngringsavverkning</t>
        </is>
      </c>
      <c r="D449" s="1" t="n">
        <v>46237</v>
      </c>
      <c r="E449" s="1" t="n">
        <v>46309</v>
      </c>
      <c r="F449" t="inlineStr">
        <is>
          <t>GOTLANDS LÄN</t>
        </is>
      </c>
      <c r="G449" t="inlineStr">
        <is>
          <t>GOTLAND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23978-2023</t>
        </is>
      </c>
      <c r="B450" t="inlineStr">
        <is>
          <t>avverkningsanmälan</t>
        </is>
      </c>
      <c r="C450" t="inlineStr">
        <is>
          <t>Föryngringsavverkning</t>
        </is>
      </c>
      <c r="D450" s="1" t="n">
        <v>45078</v>
      </c>
      <c r="E450" s="1" t="n">
        <v>46309</v>
      </c>
      <c r="F450" t="inlineStr">
        <is>
          <t>GOTLANDS LÄN</t>
        </is>
      </c>
      <c r="G450" t="inlineStr">
        <is>
          <t>GOTLAND</t>
        </is>
      </c>
      <c r="H450" t="inlineStr">
        <is>
          <t>Naturvårdsverket</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34407-2023</t>
        </is>
      </c>
      <c r="B451" t="inlineStr">
        <is>
          <t>avverkningsanmälan</t>
        </is>
      </c>
      <c r="C451" t="inlineStr">
        <is>
          <t>Föryngringsavverkning</t>
        </is>
      </c>
      <c r="D451" s="1" t="n">
        <v>45132</v>
      </c>
      <c r="E451" s="1" t="n">
        <v>46309</v>
      </c>
      <c r="F451" t="inlineStr">
        <is>
          <t>GOTLANDS LÄN</t>
        </is>
      </c>
      <c r="G451" t="inlineStr">
        <is>
          <t>GOTLAND</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11013-2024</t>
        </is>
      </c>
      <c r="B452" t="inlineStr">
        <is>
          <t>avverkningsanmälan</t>
        </is>
      </c>
      <c r="C452" t="inlineStr">
        <is>
          <t>Föryngringsavverkning</t>
        </is>
      </c>
      <c r="D452" s="1" t="n">
        <v>45370</v>
      </c>
      <c r="E452" s="1" t="n">
        <v>46309</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27694-2024</t>
        </is>
      </c>
      <c r="B453" t="inlineStr">
        <is>
          <t>avverkningsanmälan</t>
        </is>
      </c>
      <c r="C453" t="inlineStr">
        <is>
          <t>Föryngringsavverkning</t>
        </is>
      </c>
      <c r="D453" s="1" t="n">
        <v>45475</v>
      </c>
      <c r="E453" s="1" t="n">
        <v>46309</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32553-2026</t>
        </is>
      </c>
      <c r="B454" t="inlineStr">
        <is>
          <t>avverkningsanmälan</t>
        </is>
      </c>
      <c r="C454" t="inlineStr">
        <is>
          <t>Föryngringsavverkning</t>
        </is>
      </c>
      <c r="D454" s="1" t="n">
        <v>46239</v>
      </c>
      <c r="E454" s="1" t="n">
        <v>46309</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15083-2025</t>
        </is>
      </c>
      <c r="B455" t="inlineStr">
        <is>
          <t>avverkningsanmälan</t>
        </is>
      </c>
      <c r="C455" t="inlineStr">
        <is>
          <t>Avverkning för annat ändamål</t>
        </is>
      </c>
      <c r="D455" s="1" t="n">
        <v>45743</v>
      </c>
      <c r="E455" s="1" t="n">
        <v>46309</v>
      </c>
      <c r="F455" t="inlineStr">
        <is>
          <t>GOTLANDS LÄN</t>
        </is>
      </c>
      <c r="G455" t="inlineStr">
        <is>
          <t>GOTLAND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13037-2025</t>
        </is>
      </c>
      <c r="B456" t="inlineStr">
        <is>
          <t>avverkningsanmälan</t>
        </is>
      </c>
      <c r="C456" t="inlineStr">
        <is>
          <t>Avverkning för att bevara och utveckla /försöksver</t>
        </is>
      </c>
      <c r="D456" s="1" t="n">
        <v>45734</v>
      </c>
      <c r="E456" s="1" t="n">
        <v>46309</v>
      </c>
      <c r="F456" t="inlineStr">
        <is>
          <t>GOTLANDS LÄN</t>
        </is>
      </c>
      <c r="G456" t="inlineStr">
        <is>
          <t>GOTLAND</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44228-2022</t>
        </is>
      </c>
      <c r="B457" t="inlineStr">
        <is>
          <t>avverkningsanmälan</t>
        </is>
      </c>
      <c r="C457" t="inlineStr">
        <is>
          <t>Föryngringsavverkning</t>
        </is>
      </c>
      <c r="D457" s="1" t="n">
        <v>44839</v>
      </c>
      <c r="E457" s="1" t="n">
        <v>46309</v>
      </c>
      <c r="F457" t="inlineStr">
        <is>
          <t>GOTLANDS LÄN</t>
        </is>
      </c>
      <c r="G457" t="inlineStr">
        <is>
          <t>GOTLAND</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58132-2023</t>
        </is>
      </c>
      <c r="B458" t="inlineStr">
        <is>
          <t>avverkningsanmälan</t>
        </is>
      </c>
      <c r="C458" t="inlineStr">
        <is>
          <t>Föryngringsavverkning</t>
        </is>
      </c>
      <c r="D458" s="1" t="n">
        <v>45250</v>
      </c>
      <c r="E458" s="1" t="n">
        <v>46309</v>
      </c>
      <c r="F458" t="inlineStr">
        <is>
          <t>GOTLANDS LÄN</t>
        </is>
      </c>
      <c r="G458" t="inlineStr">
        <is>
          <t>GOTLAND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38311-2026</t>
        </is>
      </c>
      <c r="B459" t="inlineStr">
        <is>
          <t>avverkningsanmälan</t>
        </is>
      </c>
      <c r="C459" t="inlineStr">
        <is>
          <t>Föryngringsavverkning</t>
        </is>
      </c>
      <c r="D459" s="1" t="n">
        <v>46282</v>
      </c>
      <c r="E459" s="1" t="n">
        <v>46309</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38932-2026</t>
        </is>
      </c>
      <c r="B460" t="inlineStr">
        <is>
          <t>avverkningsanmälan</t>
        </is>
      </c>
      <c r="C460" t="inlineStr">
        <is>
          <t>Föryngringsavverkning</t>
        </is>
      </c>
      <c r="D460" s="1" t="n">
        <v>46286</v>
      </c>
      <c r="E460" s="1" t="n">
        <v>46309</v>
      </c>
      <c r="F460" t="inlineStr">
        <is>
          <t>GOTLANDS LÄN</t>
        </is>
      </c>
      <c r="G460" t="inlineStr">
        <is>
          <t>GOTLAND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38928-2026</t>
        </is>
      </c>
      <c r="B461" t="inlineStr">
        <is>
          <t>avverkningsanmälan</t>
        </is>
      </c>
      <c r="C461" t="inlineStr">
        <is>
          <t>Föryngringsavverkning</t>
        </is>
      </c>
      <c r="D461" s="1" t="n">
        <v>46286</v>
      </c>
      <c r="E461" s="1" t="n">
        <v>46309</v>
      </c>
      <c r="F461" t="inlineStr">
        <is>
          <t>GOTLANDS LÄN</t>
        </is>
      </c>
      <c r="G461" t="inlineStr">
        <is>
          <t>GOTLAND</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32626-2026</t>
        </is>
      </c>
      <c r="B462" t="inlineStr">
        <is>
          <t>avverkningsanmälan</t>
        </is>
      </c>
      <c r="C462" t="inlineStr">
        <is>
          <t>Föryngringsavverkning</t>
        </is>
      </c>
      <c r="D462" s="1" t="n">
        <v>46240</v>
      </c>
      <c r="E462" s="1" t="n">
        <v>46309</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876-2024</t>
        </is>
      </c>
      <c r="B463" t="inlineStr">
        <is>
          <t>avverkningsanmälan</t>
        </is>
      </c>
      <c r="C463" t="inlineStr">
        <is>
          <t>Avverkning för annat ändamål</t>
        </is>
      </c>
      <c r="D463" s="1" t="n">
        <v>45301</v>
      </c>
      <c r="E463" s="1" t="n">
        <v>46309</v>
      </c>
      <c r="F463" t="inlineStr">
        <is>
          <t>GOTLANDS LÄN</t>
        </is>
      </c>
      <c r="G463" t="inlineStr">
        <is>
          <t>GOTLAND</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22704-2023</t>
        </is>
      </c>
      <c r="B464" t="inlineStr">
        <is>
          <t>avverkningsanmälan</t>
        </is>
      </c>
      <c r="C464" t="inlineStr">
        <is>
          <t>Föryngringsavverkning</t>
        </is>
      </c>
      <c r="D464" s="1" t="n">
        <v>45071</v>
      </c>
      <c r="E464" s="1" t="n">
        <v>46309</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28425-2023</t>
        </is>
      </c>
      <c r="B465" t="inlineStr">
        <is>
          <t>avverkningsanmälan</t>
        </is>
      </c>
      <c r="C465" t="inlineStr">
        <is>
          <t>Föryngringsavverkning</t>
        </is>
      </c>
      <c r="D465" s="1" t="n">
        <v>45102</v>
      </c>
      <c r="E465" s="1" t="n">
        <v>46309</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23188-2025</t>
        </is>
      </c>
      <c r="B466" t="inlineStr">
        <is>
          <t>avverkningsanmälan</t>
        </is>
      </c>
      <c r="C466" t="inlineStr">
        <is>
          <t>Avverkning för annat ändamål</t>
        </is>
      </c>
      <c r="D466" s="1" t="n">
        <v>45791</v>
      </c>
      <c r="E466" s="1" t="n">
        <v>46309</v>
      </c>
      <c r="F466" t="inlineStr">
        <is>
          <t>GOTLANDS LÄN</t>
        </is>
      </c>
      <c r="G466" t="inlineStr">
        <is>
          <t>GOTLAND</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43223-2023</t>
        </is>
      </c>
      <c r="B467" t="inlineStr">
        <is>
          <t>avverkningsanmälan</t>
        </is>
      </c>
      <c r="C467" t="inlineStr">
        <is>
          <t>Föryngringsavverkning</t>
        </is>
      </c>
      <c r="D467" s="1" t="n">
        <v>45183</v>
      </c>
      <c r="E467" s="1" t="n">
        <v>46309</v>
      </c>
      <c r="F467" t="inlineStr">
        <is>
          <t>GOTLANDS LÄN</t>
        </is>
      </c>
      <c r="G467" t="inlineStr">
        <is>
          <t>GOTLAND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3431-2025</t>
        </is>
      </c>
      <c r="B468" t="inlineStr">
        <is>
          <t>avverkningsanmälan</t>
        </is>
      </c>
      <c r="C468" t="inlineStr">
        <is>
          <t>Föryngringsavverkning</t>
        </is>
      </c>
      <c r="D468" s="1" t="n">
        <v>45680</v>
      </c>
      <c r="E468" s="1" t="n">
        <v>46309</v>
      </c>
      <c r="F468" t="inlineStr">
        <is>
          <t>GOTLANDS LÄN</t>
        </is>
      </c>
      <c r="G468" t="inlineStr">
        <is>
          <t>GOTLAND</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22275-2026</t>
        </is>
      </c>
      <c r="B469" t="inlineStr">
        <is>
          <t>avverkningsanmälan</t>
        </is>
      </c>
      <c r="C469" t="inlineStr">
        <is>
          <t>Föryngringsavverkning</t>
        </is>
      </c>
      <c r="D469" s="1" t="n">
        <v>46154</v>
      </c>
      <c r="E469" s="1" t="n">
        <v>46309</v>
      </c>
      <c r="F469" t="inlineStr">
        <is>
          <t>GOTLANDS LÄN</t>
        </is>
      </c>
      <c r="G469" t="inlineStr">
        <is>
          <t>GOTLAND</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22887-2026</t>
        </is>
      </c>
      <c r="B470" t="inlineStr">
        <is>
          <t>avverkningsanmälan</t>
        </is>
      </c>
      <c r="C470" t="inlineStr">
        <is>
          <t>Avverkning för att bevara och utveckla /försöksver</t>
        </is>
      </c>
      <c r="D470" s="1" t="n">
        <v>46160</v>
      </c>
      <c r="E470" s="1" t="n">
        <v>46309</v>
      </c>
      <c r="F470" t="inlineStr">
        <is>
          <t>GOTLANDS LÄN</t>
        </is>
      </c>
      <c r="G470" t="inlineStr">
        <is>
          <t>GOTLAND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23504-2026</t>
        </is>
      </c>
      <c r="B471" t="inlineStr">
        <is>
          <t>avverkningsanmälan</t>
        </is>
      </c>
      <c r="C471" t="inlineStr">
        <is>
          <t>Föryngringsavverkning</t>
        </is>
      </c>
      <c r="D471" s="1" t="n">
        <v>46163</v>
      </c>
      <c r="E471" s="1" t="n">
        <v>46309</v>
      </c>
      <c r="F471" t="inlineStr">
        <is>
          <t>GOTLANDS LÄN</t>
        </is>
      </c>
      <c r="G471" t="inlineStr">
        <is>
          <t>GOTLAND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27164-2026</t>
        </is>
      </c>
      <c r="B472" t="inlineStr">
        <is>
          <t>avverkningsanmälan</t>
        </is>
      </c>
      <c r="C472" t="inlineStr">
        <is>
          <t>Föryngringsavverkning</t>
        </is>
      </c>
      <c r="D472" s="1" t="n">
        <v>46188</v>
      </c>
      <c r="E472" s="1" t="n">
        <v>46309</v>
      </c>
      <c r="F472" t="inlineStr">
        <is>
          <t>GOTLANDS LÄN</t>
        </is>
      </c>
      <c r="G472" t="inlineStr">
        <is>
          <t>GOTLAND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27341-2026</t>
        </is>
      </c>
      <c r="B473" t="inlineStr">
        <is>
          <t>avverkningsanmälan</t>
        </is>
      </c>
      <c r="C473" t="inlineStr">
        <is>
          <t>Föryngringsavverkning</t>
        </is>
      </c>
      <c r="D473" s="1" t="n">
        <v>46188</v>
      </c>
      <c r="E473" s="1" t="n">
        <v>46309</v>
      </c>
      <c r="F473" t="inlineStr">
        <is>
          <t>GOTLANDS LÄN</t>
        </is>
      </c>
      <c r="G473" t="inlineStr">
        <is>
          <t>GOTLAND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39400-2026</t>
        </is>
      </c>
      <c r="B474" t="inlineStr">
        <is>
          <t>avverkningsanmälan</t>
        </is>
      </c>
      <c r="C474" t="inlineStr">
        <is>
          <t>Föryngringsavverkning</t>
        </is>
      </c>
      <c r="D474" s="1" t="n">
        <v>46288</v>
      </c>
      <c r="E474" s="1" t="n">
        <v>46309</v>
      </c>
      <c r="F474" t="inlineStr">
        <is>
          <t>GOTLANDS LÄN</t>
        </is>
      </c>
      <c r="G474" t="inlineStr">
        <is>
          <t>GOTLAND</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37202-2024</t>
        </is>
      </c>
      <c r="B475" t="inlineStr">
        <is>
          <t>avverkningsanmälan</t>
        </is>
      </c>
      <c r="C475" t="inlineStr">
        <is>
          <t>Föryngringsavverkning</t>
        </is>
      </c>
      <c r="D475" s="1" t="n">
        <v>45539</v>
      </c>
      <c r="E475" s="1" t="n">
        <v>46309</v>
      </c>
      <c r="F475" t="inlineStr">
        <is>
          <t>GOTLANDS LÄN</t>
        </is>
      </c>
      <c r="G475" t="inlineStr">
        <is>
          <t>GOTLAND</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10284-2026</t>
        </is>
      </c>
      <c r="B476" t="inlineStr">
        <is>
          <t>avverkningsanmälan</t>
        </is>
      </c>
      <c r="C476" t="inlineStr">
        <is>
          <t>Avverkning för annat ändamål</t>
        </is>
      </c>
      <c r="D476" s="1" t="n">
        <v>46076</v>
      </c>
      <c r="E476" s="1" t="n">
        <v>46309</v>
      </c>
      <c r="F476" t="inlineStr">
        <is>
          <t>GOTLANDS LÄN</t>
        </is>
      </c>
      <c r="G476" t="inlineStr">
        <is>
          <t>GOTLAND</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46527-2023</t>
        </is>
      </c>
      <c r="B477" t="inlineStr">
        <is>
          <t>avverkningsanmälan</t>
        </is>
      </c>
      <c r="C477" t="inlineStr">
        <is>
          <t>Avverkning för annat ändamål</t>
        </is>
      </c>
      <c r="D477" s="1" t="n">
        <v>45197</v>
      </c>
      <c r="E477" s="1" t="n">
        <v>46309</v>
      </c>
      <c r="F477" t="inlineStr">
        <is>
          <t>GOTLANDS LÄN</t>
        </is>
      </c>
      <c r="G477" t="inlineStr">
        <is>
          <t>GOTLAND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2774-2024</t>
        </is>
      </c>
      <c r="B478" t="inlineStr">
        <is>
          <t>avverkningsanmälan</t>
        </is>
      </c>
      <c r="C478" t="inlineStr">
        <is>
          <t>Föryngringsavverkning</t>
        </is>
      </c>
      <c r="D478" s="1" t="n">
        <v>45314</v>
      </c>
      <c r="E478" s="1" t="n">
        <v>46309</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60709-2023</t>
        </is>
      </c>
      <c r="B479" t="inlineStr">
        <is>
          <t>avverkningsanmälan</t>
        </is>
      </c>
      <c r="C479" t="inlineStr">
        <is>
          <t>Föryngringsavverkning</t>
        </is>
      </c>
      <c r="D479" s="1" t="n">
        <v>45260</v>
      </c>
      <c r="E479" s="1" t="n">
        <v>46309</v>
      </c>
      <c r="F479" t="inlineStr">
        <is>
          <t>GOTLANDS LÄN</t>
        </is>
      </c>
      <c r="G479" t="inlineStr">
        <is>
          <t>GOTLAND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40001-2026</t>
        </is>
      </c>
      <c r="B480" t="inlineStr">
        <is>
          <t>avverkningsanmälan</t>
        </is>
      </c>
      <c r="C480" t="inlineStr">
        <is>
          <t>Föryngringsavverkning</t>
        </is>
      </c>
      <c r="D480" s="1" t="n">
        <v>46293</v>
      </c>
      <c r="E480" s="1" t="n">
        <v>46309</v>
      </c>
      <c r="F480" t="inlineStr">
        <is>
          <t>GOTLANDS LÄN</t>
        </is>
      </c>
      <c r="G480" t="inlineStr">
        <is>
          <t>GOTLAND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39764-2022</t>
        </is>
      </c>
      <c r="B481" t="inlineStr">
        <is>
          <t>avverkningsanmälan</t>
        </is>
      </c>
      <c r="C481" t="inlineStr">
        <is>
          <t>Föryngringsavverkning</t>
        </is>
      </c>
      <c r="D481" s="1" t="n">
        <v>44819</v>
      </c>
      <c r="E481" s="1" t="n">
        <v>46309</v>
      </c>
      <c r="F481" t="inlineStr">
        <is>
          <t>GOTLANDS LÄN</t>
        </is>
      </c>
      <c r="G481" t="inlineStr">
        <is>
          <t>GOTLAND</t>
        </is>
      </c>
      <c r="H481" t="inlineStr">
        <is>
          <t>Kyrkan</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39967-2026</t>
        </is>
      </c>
      <c r="B482" t="inlineStr">
        <is>
          <t>avverkningsanmälan</t>
        </is>
      </c>
      <c r="C482" t="inlineStr">
        <is>
          <t>Föryngringsavverkning</t>
        </is>
      </c>
      <c r="D482" s="1" t="n">
        <v>46292</v>
      </c>
      <c r="E482" s="1" t="n">
        <v>46309</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30956-2024</t>
        </is>
      </c>
      <c r="B483" t="inlineStr">
        <is>
          <t>avverkningsanmälan</t>
        </is>
      </c>
      <c r="C483" t="inlineStr">
        <is>
          <t>Föryngringsavverkning</t>
        </is>
      </c>
      <c r="D483" s="1" t="n">
        <v>45499</v>
      </c>
      <c r="E483" s="1" t="n">
        <v>46309</v>
      </c>
      <c r="F483" t="inlineStr">
        <is>
          <t>GOTLANDS LÄN</t>
        </is>
      </c>
      <c r="G483" t="inlineStr">
        <is>
          <t>GOTLAND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14635-2023</t>
        </is>
      </c>
      <c r="B484" t="inlineStr">
        <is>
          <t>avverkningsanmälan</t>
        </is>
      </c>
      <c r="C484" t="inlineStr">
        <is>
          <t>Föryngringsavverkning</t>
        </is>
      </c>
      <c r="D484" s="1" t="n">
        <v>45013</v>
      </c>
      <c r="E484" s="1" t="n">
        <v>46309</v>
      </c>
      <c r="F484" t="inlineStr">
        <is>
          <t>GOTLANDS LÄN</t>
        </is>
      </c>
      <c r="G484" t="inlineStr">
        <is>
          <t>GOTLAND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59469-2024</t>
        </is>
      </c>
      <c r="B485" t="inlineStr">
        <is>
          <t>avverkningsanmälan</t>
        </is>
      </c>
      <c r="C485" t="inlineStr">
        <is>
          <t>Föryngringsavverkning</t>
        </is>
      </c>
      <c r="D485" s="1" t="n">
        <v>45638</v>
      </c>
      <c r="E485" s="1" t="n">
        <v>46309</v>
      </c>
      <c r="F485" t="inlineStr">
        <is>
          <t>GOTLANDS LÄN</t>
        </is>
      </c>
      <c r="G485" t="inlineStr">
        <is>
          <t>GOTLAND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7858-2025</t>
        </is>
      </c>
      <c r="B486" t="inlineStr">
        <is>
          <t>avverkningsanmälan</t>
        </is>
      </c>
      <c r="C486" t="inlineStr">
        <is>
          <t>Föryngringsavverkning</t>
        </is>
      </c>
      <c r="D486" s="1" t="n">
        <v>45706</v>
      </c>
      <c r="E486" s="1" t="n">
        <v>46309</v>
      </c>
      <c r="F486" t="inlineStr">
        <is>
          <t>GOTLANDS LÄN</t>
        </is>
      </c>
      <c r="G486" t="inlineStr">
        <is>
          <t>GOTLAND</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53935-2024</t>
        </is>
      </c>
      <c r="B487" t="inlineStr">
        <is>
          <t>avverkningsanmälan</t>
        </is>
      </c>
      <c r="C487" t="inlineStr">
        <is>
          <t>Föryngringsavverkning</t>
        </is>
      </c>
      <c r="D487" s="1" t="n">
        <v>45615</v>
      </c>
      <c r="E487" s="1" t="n">
        <v>46309</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40372-2025</t>
        </is>
      </c>
      <c r="B488" t="inlineStr">
        <is>
          <t>avverkningsanmälan</t>
        </is>
      </c>
      <c r="C488" t="inlineStr">
        <is>
          <t>Föryngringsavverkning</t>
        </is>
      </c>
      <c r="D488" s="1" t="n">
        <v>45895</v>
      </c>
      <c r="E488" s="1" t="n">
        <v>46309</v>
      </c>
      <c r="F488" t="inlineStr">
        <is>
          <t>GOTLANDS LÄN</t>
        </is>
      </c>
      <c r="G488" t="inlineStr">
        <is>
          <t>GOTLAND</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5891-2025</t>
        </is>
      </c>
      <c r="B489" t="inlineStr">
        <is>
          <t>avverkningsanmälan</t>
        </is>
      </c>
      <c r="C489" t="inlineStr">
        <is>
          <t>Föryngringsavverkning</t>
        </is>
      </c>
      <c r="D489" s="1" t="n">
        <v>45695</v>
      </c>
      <c r="E489" s="1" t="n">
        <v>46309</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7835-2024</t>
        </is>
      </c>
      <c r="B490" t="inlineStr">
        <is>
          <t>avverkningsanmälan</t>
        </is>
      </c>
      <c r="C490" t="inlineStr">
        <is>
          <t>Föryngringsavverkning</t>
        </is>
      </c>
      <c r="D490" s="1" t="n">
        <v>45349</v>
      </c>
      <c r="E490" s="1" t="n">
        <v>46309</v>
      </c>
      <c r="F490" t="inlineStr">
        <is>
          <t>GOTLANDS LÄN</t>
        </is>
      </c>
      <c r="G490" t="inlineStr">
        <is>
          <t>GOTLAND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21389-2025</t>
        </is>
      </c>
      <c r="B491" t="inlineStr">
        <is>
          <t>avverkningsanmälan</t>
        </is>
      </c>
      <c r="C491" t="inlineStr">
        <is>
          <t>Föryngringsavverkning</t>
        </is>
      </c>
      <c r="D491" s="1" t="n">
        <v>45782</v>
      </c>
      <c r="E491" s="1" t="n">
        <v>46309</v>
      </c>
      <c r="F491" t="inlineStr">
        <is>
          <t>GOTLANDS LÄN</t>
        </is>
      </c>
      <c r="G491" t="inlineStr">
        <is>
          <t>GOTLAND</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28012-2026</t>
        </is>
      </c>
      <c r="B492" t="inlineStr">
        <is>
          <t>avverkningsanmälan</t>
        </is>
      </c>
      <c r="C492" t="inlineStr">
        <is>
          <t>Föryngringsavverkning</t>
        </is>
      </c>
      <c r="D492" s="1" t="n">
        <v>46195</v>
      </c>
      <c r="E492" s="1" t="n">
        <v>46309</v>
      </c>
      <c r="F492" t="inlineStr">
        <is>
          <t>GOTLANDS LÄN</t>
        </is>
      </c>
      <c r="G492" t="inlineStr">
        <is>
          <t>GOTLAND</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41129-2026</t>
        </is>
      </c>
      <c r="B493" t="inlineStr">
        <is>
          <t>avverkningsanmälan</t>
        </is>
      </c>
      <c r="C493" t="inlineStr">
        <is>
          <t>Föryngringsavverkning</t>
        </is>
      </c>
      <c r="D493" s="1" t="n">
        <v>46300</v>
      </c>
      <c r="E493" s="1" t="n">
        <v>46309</v>
      </c>
      <c r="F493" t="inlineStr">
        <is>
          <t>GOTLANDS LÄN</t>
        </is>
      </c>
      <c r="G493" t="inlineStr">
        <is>
          <t>GOTLAND</t>
        </is>
      </c>
      <c r="I493" t="n">
        <v>7.7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57356-2023</t>
        </is>
      </c>
      <c r="B494" t="inlineStr">
        <is>
          <t>avverkningsanmälan</t>
        </is>
      </c>
      <c r="C494" t="inlineStr">
        <is>
          <t>Föryngringsavverkning</t>
        </is>
      </c>
      <c r="D494" s="1" t="n">
        <v>45240</v>
      </c>
      <c r="E494" s="1" t="n">
        <v>46309</v>
      </c>
      <c r="F494" t="inlineStr">
        <is>
          <t>GOTLANDS LÄN</t>
        </is>
      </c>
      <c r="G494" t="inlineStr">
        <is>
          <t>GOTLAND</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10656-2024</t>
        </is>
      </c>
      <c r="B495" t="inlineStr">
        <is>
          <t>avverkningsanmälan</t>
        </is>
      </c>
      <c r="C495" t="inlineStr">
        <is>
          <t>Föryngringsavverkning</t>
        </is>
      </c>
      <c r="D495" s="1" t="n">
        <v>45368</v>
      </c>
      <c r="E495" s="1" t="n">
        <v>46309</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28506-2023</t>
        </is>
      </c>
      <c r="B496" t="inlineStr">
        <is>
          <t>avverkningsanmälan</t>
        </is>
      </c>
      <c r="C496" t="inlineStr">
        <is>
          <t>Avverkning för annat ändamål</t>
        </is>
      </c>
      <c r="D496" s="1" t="n">
        <v>45103</v>
      </c>
      <c r="E496" s="1" t="n">
        <v>46309</v>
      </c>
      <c r="F496" t="inlineStr">
        <is>
          <t>GOTLANDS LÄN</t>
        </is>
      </c>
      <c r="G496" t="inlineStr">
        <is>
          <t>GOTLAND</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21420-2024</t>
        </is>
      </c>
      <c r="B497" t="inlineStr">
        <is>
          <t>avverkningsanmälan</t>
        </is>
      </c>
      <c r="C497" t="inlineStr">
        <is>
          <t>Föryngringsavverkning</t>
        </is>
      </c>
      <c r="D497" s="1" t="n">
        <v>45441</v>
      </c>
      <c r="E497" s="1" t="n">
        <v>46309</v>
      </c>
      <c r="F497" t="inlineStr">
        <is>
          <t>GOTLANDS LÄN</t>
        </is>
      </c>
      <c r="G497" t="inlineStr">
        <is>
          <t>GOTLAND</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46309</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46309</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46309</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46309</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46309</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46309</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46309</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46309</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46309</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46309</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46309</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46309</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46309</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46309</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46309</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46309</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46309</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46309</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2026-10-14T02:00:04Z</dcterms:created>
  <dcterms:modified xmlns:dcterms="http://purl.org/dc/terms/" xmlns:xsi="http://www.w3.org/2001/XMLSchema-instance" xsi:type="dcterms:W3CDTF">2026-10-14T02:00:04Z</dcterms:modified>
</cp:coreProperties>
</file>