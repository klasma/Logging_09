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46145</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46145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46145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46145</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46145</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46145</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46145</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46145</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46145</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46145</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46145</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46145</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46145</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46145</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46145</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46145</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46145</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46145</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46145</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46145</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46145</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46145</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46145</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46145</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46145</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46145</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46145</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46145</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46145</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46145</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46145</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46145</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46145</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46145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46145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46145</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46145</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46145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14354-2024</t>
        </is>
      </c>
      <c r="B46" s="1" t="n">
        <v>45393</v>
      </c>
      <c r="C46" s="1" t="n">
        <v>46145</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17766-2024</t>
        </is>
      </c>
      <c r="B47" s="1" t="n">
        <v>45418</v>
      </c>
      <c r="C47" s="1" t="n">
        <v>46145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46145</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46145</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46145</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584-2023</t>
        </is>
      </c>
      <c r="B51" s="1" t="n">
        <v>44930</v>
      </c>
      <c r="C51" s="1" t="n">
        <v>46145</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46145</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46145</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46145</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46145</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46145</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46145</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46145</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2649-2023</t>
        </is>
      </c>
      <c r="B60" s="1" t="n">
        <v>44943</v>
      </c>
      <c r="C60" s="1" t="n">
        <v>46145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46145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46145</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46145</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46145</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46145</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46145</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46145</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46145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46145</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46145</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54527-2023</t>
        </is>
      </c>
      <c r="B71" s="1" t="n">
        <v>45233</v>
      </c>
      <c r="C71" s="1" t="n">
        <v>46145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46145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46145</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7038-2023</t>
        </is>
      </c>
      <c r="B74" s="1" t="n">
        <v>44968</v>
      </c>
      <c r="C74" s="1" t="n">
        <v>46145</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57773-2025</t>
        </is>
      </c>
      <c r="B75" s="1" t="n">
        <v>45981.56349537037</v>
      </c>
      <c r="C75" s="1" t="n">
        <v>46145</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46145</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46145</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46145</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46145</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39425-2023</t>
        </is>
      </c>
      <c r="B80" s="1" t="n">
        <v>45166</v>
      </c>
      <c r="C80" s="1" t="n">
        <v>46145</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52245-2025</t>
        </is>
      </c>
      <c r="B81" s="1" t="n">
        <v>45953.47115740741</v>
      </c>
      <c r="C81" s="1" t="n">
        <v>46145</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46145</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46145</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46145</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46145</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46145</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46145</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46145</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46145</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46145</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5904-2024</t>
        </is>
      </c>
      <c r="B91" s="1" t="n">
        <v>45335</v>
      </c>
      <c r="C91" s="1" t="n">
        <v>46145</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46145</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44933-2022</t>
        </is>
      </c>
      <c r="B93" s="1" t="n">
        <v>44841</v>
      </c>
      <c r="C93" s="1" t="n">
        <v>46145</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2485-2025</t>
        </is>
      </c>
      <c r="B94" s="1" t="n">
        <v>45673</v>
      </c>
      <c r="C94" s="1" t="n">
        <v>46145</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54523-2023</t>
        </is>
      </c>
      <c r="B95" s="1" t="n">
        <v>45233</v>
      </c>
      <c r="C95" s="1" t="n">
        <v>46145</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52250-2025</t>
        </is>
      </c>
      <c r="B96" s="1" t="n">
        <v>45953.48998842593</v>
      </c>
      <c r="C96" s="1" t="n">
        <v>46145</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6836-2026</t>
        </is>
      </c>
      <c r="B97" s="1" t="n">
        <v>46057.40902777778</v>
      </c>
      <c r="C97" s="1" t="n">
        <v>46145</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57463-2025</t>
        </is>
      </c>
      <c r="B98" s="1" t="n">
        <v>45980.54174768519</v>
      </c>
      <c r="C98" s="1" t="n">
        <v>46145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13203-2026</t>
        </is>
      </c>
      <c r="B99" s="1" t="n">
        <v>46093</v>
      </c>
      <c r="C99" s="1" t="n">
        <v>46145</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8265-2023</t>
        </is>
      </c>
      <c r="B100" s="1" t="n">
        <v>44974</v>
      </c>
      <c r="C100" s="1" t="n">
        <v>46145</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46145</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46145</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20833-2024</t>
        </is>
      </c>
      <c r="B103" s="1" t="n">
        <v>45439</v>
      </c>
      <c r="C103" s="1" t="n">
        <v>46145</v>
      </c>
      <c r="D103" t="inlineStr">
        <is>
          <t>GOTLANDS LÄN</t>
        </is>
      </c>
      <c r="E103" t="inlineStr">
        <is>
          <t>GOTLAND</t>
        </is>
      </c>
      <c r="G103" t="n">
        <v>0.9</v>
      </c>
      <c r="H103" t="n">
        <v>3</v>
      </c>
      <c r="I103" t="n">
        <v>1</v>
      </c>
      <c r="J103" t="n">
        <v>3</v>
      </c>
      <c r="K103" t="n">
        <v>0</v>
      </c>
      <c r="L103" t="n">
        <v>0</v>
      </c>
      <c r="M103" t="n">
        <v>0</v>
      </c>
      <c r="N103" t="n">
        <v>0</v>
      </c>
      <c r="O103" t="n">
        <v>3</v>
      </c>
      <c r="P103" t="n">
        <v>0</v>
      </c>
      <c r="Q103" t="n">
        <v>4</v>
      </c>
      <c r="R103" s="2" t="inlineStr">
        <is>
          <t>Dårgräsfjäril
Spillkråka
Svinrot
Skogsknipprot</t>
        </is>
      </c>
      <c r="S103">
        <f>HYPERLINK("https://klasma.github.io/Logging_0980/artfynd/A 20833-2024 artfynd.xlsx", "A 20833-2024")</f>
        <v/>
      </c>
      <c r="T103">
        <f>HYPERLINK("https://klasma.github.io/Logging_0980/kartor/A 20833-2024 karta.png", "A 20833-2024")</f>
        <v/>
      </c>
      <c r="V103">
        <f>HYPERLINK("https://klasma.github.io/Logging_0980/klagomål/A 20833-2024 FSC-klagomål.docx", "A 20833-2024")</f>
        <v/>
      </c>
      <c r="W103">
        <f>HYPERLINK("https://klasma.github.io/Logging_0980/klagomålsmail/A 20833-2024 FSC-klagomål mail.docx", "A 20833-2024")</f>
        <v/>
      </c>
      <c r="X103">
        <f>HYPERLINK("https://klasma.github.io/Logging_0980/tillsyn/A 20833-2024 tillsynsbegäran.docx", "A 20833-2024")</f>
        <v/>
      </c>
      <c r="Y103">
        <f>HYPERLINK("https://klasma.github.io/Logging_0980/tillsynsmail/A 20833-2024 tillsynsbegäran mail.docx", "A 20833-2024")</f>
        <v/>
      </c>
      <c r="Z103">
        <f>HYPERLINK("https://klasma.github.io/Logging_0980/fåglar/A 20833-2024 prioriterade fågelarter.docx", "A 20833-2024")</f>
        <v/>
      </c>
    </row>
    <row r="104" ht="15" customHeight="1">
      <c r="A104" t="inlineStr">
        <is>
          <t>A 44323-2021</t>
        </is>
      </c>
      <c r="B104" s="1" t="n">
        <v>44434</v>
      </c>
      <c r="C104" s="1" t="n">
        <v>46145</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46145</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46145</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46145</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43013-2022</t>
        </is>
      </c>
      <c r="B108" s="1" t="n">
        <v>44833</v>
      </c>
      <c r="C108" s="1" t="n">
        <v>46145</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5235-2025</t>
        </is>
      </c>
      <c r="B109" s="1" t="n">
        <v>45692.26797453704</v>
      </c>
      <c r="C109" s="1" t="n">
        <v>46145</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53552-2021</t>
        </is>
      </c>
      <c r="B110" s="1" t="n">
        <v>44468</v>
      </c>
      <c r="C110" s="1" t="n">
        <v>46145</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55334-2024</t>
        </is>
      </c>
      <c r="B111" s="1" t="n">
        <v>45621</v>
      </c>
      <c r="C111" s="1" t="n">
        <v>46145</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46145</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17982-2023</t>
        </is>
      </c>
      <c r="B113" s="1" t="n">
        <v>45040</v>
      </c>
      <c r="C113" s="1" t="n">
        <v>46145</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46145</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46145</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12315-2024</t>
        </is>
      </c>
      <c r="B116" s="1" t="n">
        <v>45378.6434837963</v>
      </c>
      <c r="C116" s="1" t="n">
        <v>46145</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46145</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73144-2021</t>
        </is>
      </c>
      <c r="B118" s="1" t="n">
        <v>44550</v>
      </c>
      <c r="C118" s="1" t="n">
        <v>46145</v>
      </c>
      <c r="D118" t="inlineStr">
        <is>
          <t>GOTLANDS LÄN</t>
        </is>
      </c>
      <c r="E118" t="inlineStr">
        <is>
          <t>GOTLAND</t>
        </is>
      </c>
      <c r="G118" t="n">
        <v>1.9</v>
      </c>
      <c r="H118" t="n">
        <v>0</v>
      </c>
      <c r="I118" t="n">
        <v>1</v>
      </c>
      <c r="J118" t="n">
        <v>1</v>
      </c>
      <c r="K118" t="n">
        <v>1</v>
      </c>
      <c r="L118" t="n">
        <v>0</v>
      </c>
      <c r="M118" t="n">
        <v>0</v>
      </c>
      <c r="N118" t="n">
        <v>0</v>
      </c>
      <c r="O118" t="n">
        <v>2</v>
      </c>
      <c r="P118" t="n">
        <v>1</v>
      </c>
      <c r="Q118" t="n">
        <v>3</v>
      </c>
      <c r="R118" s="2" t="inlineStr">
        <is>
          <t>Skogskorn
Igelkott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30490-2025</t>
        </is>
      </c>
      <c r="B119" s="1" t="n">
        <v>45830</v>
      </c>
      <c r="C119" s="1" t="n">
        <v>46145</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20831-2024</t>
        </is>
      </c>
      <c r="B120" s="1" t="n">
        <v>45439</v>
      </c>
      <c r="C120" s="1" t="n">
        <v>46145</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29870-2021</t>
        </is>
      </c>
      <c r="B121" s="1" t="n">
        <v>44362</v>
      </c>
      <c r="C121" s="1" t="n">
        <v>46145</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46145</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46145</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46145</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46145</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20838-2024</t>
        </is>
      </c>
      <c r="B126" s="1" t="n">
        <v>45439</v>
      </c>
      <c r="C126" s="1" t="n">
        <v>46145</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20429-2025</t>
        </is>
      </c>
      <c r="B127" s="1" t="n">
        <v>45775.47728009259</v>
      </c>
      <c r="C127" s="1" t="n">
        <v>46145</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54357-2024</t>
        </is>
      </c>
      <c r="B128" s="1" t="n">
        <v>45617.40662037037</v>
      </c>
      <c r="C128" s="1" t="n">
        <v>46145</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46145</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46145</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46145</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46145</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46145</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62760-2025</t>
        </is>
      </c>
      <c r="B134" s="1" t="n">
        <v>46008</v>
      </c>
      <c r="C134" s="1" t="n">
        <v>46145</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46010.37629629629</v>
      </c>
      <c r="C135" s="1" t="n">
        <v>46145</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46145</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28276-2024</t>
        </is>
      </c>
      <c r="B137" s="1" t="n">
        <v>45477</v>
      </c>
      <c r="C137" s="1" t="n">
        <v>46145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46145</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46145</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46145</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46145</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46145</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46145</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65927-2021</t>
        </is>
      </c>
      <c r="B144" s="1" t="n">
        <v>44516</v>
      </c>
      <c r="C144" s="1" t="n">
        <v>46145</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46145</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15637-2024</t>
        </is>
      </c>
      <c r="B146" s="1" t="n">
        <v>45403.6684837963</v>
      </c>
      <c r="C146" s="1" t="n">
        <v>46145</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12924-2025</t>
        </is>
      </c>
      <c r="B147" s="1" t="n">
        <v>45734</v>
      </c>
      <c r="C147" s="1" t="n">
        <v>46145</v>
      </c>
      <c r="D147" t="inlineStr">
        <is>
          <t>GOTLANDS LÄN</t>
        </is>
      </c>
      <c r="E147" t="inlineStr">
        <is>
          <t>GOTLAND</t>
        </is>
      </c>
      <c r="G147" t="n">
        <v>11.7</v>
      </c>
      <c r="H147" t="n">
        <v>0</v>
      </c>
      <c r="I147" t="n">
        <v>0</v>
      </c>
      <c r="J147" t="n">
        <v>0</v>
      </c>
      <c r="K147" t="n">
        <v>1</v>
      </c>
      <c r="L147" t="n">
        <v>0</v>
      </c>
      <c r="M147" t="n">
        <v>0</v>
      </c>
      <c r="N147" t="n">
        <v>0</v>
      </c>
      <c r="O147" t="n">
        <v>1</v>
      </c>
      <c r="P147" t="n">
        <v>1</v>
      </c>
      <c r="Q147" t="n">
        <v>1</v>
      </c>
      <c r="R147" s="2" t="inlineStr">
        <is>
          <t>Gotlandsmåra</t>
        </is>
      </c>
      <c r="S147">
        <f>HYPERLINK("https://klasma.github.io/Logging_0980/artfynd/A 12924-2025 artfynd.xlsx", "A 12924-2025")</f>
        <v/>
      </c>
      <c r="T147">
        <f>HYPERLINK("https://klasma.github.io/Logging_0980/kartor/A 12924-2025 karta.png", "A 12924-2025")</f>
        <v/>
      </c>
      <c r="V147">
        <f>HYPERLINK("https://klasma.github.io/Logging_0980/klagomål/A 12924-2025 FSC-klagomål.docx", "A 12924-2025")</f>
        <v/>
      </c>
      <c r="W147">
        <f>HYPERLINK("https://klasma.github.io/Logging_0980/klagomålsmail/A 12924-2025 FSC-klagomål mail.docx", "A 12924-2025")</f>
        <v/>
      </c>
      <c r="X147">
        <f>HYPERLINK("https://klasma.github.io/Logging_0980/tillsyn/A 12924-2025 tillsynsbegäran.docx", "A 12924-2025")</f>
        <v/>
      </c>
      <c r="Y147">
        <f>HYPERLINK("https://klasma.github.io/Logging_0980/tillsynsmail/A 12924-2025 tillsynsbegäran mail.docx", "A 12924-2025")</f>
        <v/>
      </c>
    </row>
    <row r="148" ht="15" customHeight="1">
      <c r="A148" t="inlineStr">
        <is>
          <t>A 2476-2025</t>
        </is>
      </c>
      <c r="B148" s="1" t="n">
        <v>45673</v>
      </c>
      <c r="C148" s="1" t="n">
        <v>46145</v>
      </c>
      <c r="D148" t="inlineStr">
        <is>
          <t>GOTLANDS LÄN</t>
        </is>
      </c>
      <c r="E148" t="inlineStr">
        <is>
          <t>GOTLAND</t>
        </is>
      </c>
      <c r="G148" t="n">
        <v>3.1</v>
      </c>
      <c r="H148" t="n">
        <v>0</v>
      </c>
      <c r="I148" t="n">
        <v>1</v>
      </c>
      <c r="J148" t="n">
        <v>0</v>
      </c>
      <c r="K148" t="n">
        <v>0</v>
      </c>
      <c r="L148" t="n">
        <v>0</v>
      </c>
      <c r="M148" t="n">
        <v>0</v>
      </c>
      <c r="N148" t="n">
        <v>0</v>
      </c>
      <c r="O148" t="n">
        <v>0</v>
      </c>
      <c r="P148" t="n">
        <v>0</v>
      </c>
      <c r="Q148" t="n">
        <v>1</v>
      </c>
      <c r="R148" s="2" t="inlineStr">
        <is>
          <t>Kryddspindling</t>
        </is>
      </c>
      <c r="S148">
        <f>HYPERLINK("https://klasma.github.io/Logging_0980/artfynd/A 2476-2025 artfynd.xlsx", "A 2476-2025")</f>
        <v/>
      </c>
      <c r="T148">
        <f>HYPERLINK("https://klasma.github.io/Logging_0980/kartor/A 2476-2025 karta.png", "A 2476-2025")</f>
        <v/>
      </c>
      <c r="V148">
        <f>HYPERLINK("https://klasma.github.io/Logging_0980/klagomål/A 2476-2025 FSC-klagomål.docx", "A 2476-2025")</f>
        <v/>
      </c>
      <c r="W148">
        <f>HYPERLINK("https://klasma.github.io/Logging_0980/klagomålsmail/A 2476-2025 FSC-klagomål mail.docx", "A 2476-2025")</f>
        <v/>
      </c>
      <c r="X148">
        <f>HYPERLINK("https://klasma.github.io/Logging_0980/tillsyn/A 2476-2025 tillsynsbegäran.docx", "A 2476-2025")</f>
        <v/>
      </c>
      <c r="Y148">
        <f>HYPERLINK("https://klasma.github.io/Logging_0980/tillsynsmail/A 2476-2025 tillsynsbegäran mail.docx", "A 2476-2025")</f>
        <v/>
      </c>
    </row>
    <row r="149" ht="15" customHeight="1">
      <c r="A149" t="inlineStr">
        <is>
          <t>A 39812-2025</t>
        </is>
      </c>
      <c r="B149" s="1" t="n">
        <v>45891</v>
      </c>
      <c r="C149" s="1" t="n">
        <v>46145</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10995-2023</t>
        </is>
      </c>
      <c r="B150" s="1" t="n">
        <v>44986</v>
      </c>
      <c r="C150" s="1" t="n">
        <v>46145</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62552-2022</t>
        </is>
      </c>
      <c r="B151" s="1" t="n">
        <v>44924</v>
      </c>
      <c r="C151" s="1" t="n">
        <v>46145</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46145</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44088-2022</t>
        </is>
      </c>
      <c r="B153" s="1" t="n">
        <v>44839</v>
      </c>
      <c r="C153" s="1" t="n">
        <v>46145</v>
      </c>
      <c r="D153" t="inlineStr">
        <is>
          <t>GOTLANDS LÄN</t>
        </is>
      </c>
      <c r="E153" t="inlineStr">
        <is>
          <t>GOTLAND</t>
        </is>
      </c>
      <c r="G153" t="n">
        <v>1.5</v>
      </c>
      <c r="H153" t="n">
        <v>0</v>
      </c>
      <c r="I153" t="n">
        <v>1</v>
      </c>
      <c r="J153" t="n">
        <v>0</v>
      </c>
      <c r="K153" t="n">
        <v>0</v>
      </c>
      <c r="L153" t="n">
        <v>0</v>
      </c>
      <c r="M153" t="n">
        <v>0</v>
      </c>
      <c r="N153" t="n">
        <v>0</v>
      </c>
      <c r="O153" t="n">
        <v>0</v>
      </c>
      <c r="P153" t="n">
        <v>0</v>
      </c>
      <c r="Q153" t="n">
        <v>1</v>
      </c>
      <c r="R153" s="2" t="inlineStr">
        <is>
          <t>Strävlosta</t>
        </is>
      </c>
      <c r="S153">
        <f>HYPERLINK("https://klasma.github.io/Logging_0980/artfynd/A 44088-2022 artfynd.xlsx", "A 44088-2022")</f>
        <v/>
      </c>
      <c r="T153">
        <f>HYPERLINK("https://klasma.github.io/Logging_0980/kartor/A 44088-2022 karta.png", "A 44088-2022")</f>
        <v/>
      </c>
      <c r="V153">
        <f>HYPERLINK("https://klasma.github.io/Logging_0980/klagomål/A 44088-2022 FSC-klagomål.docx", "A 44088-2022")</f>
        <v/>
      </c>
      <c r="W153">
        <f>HYPERLINK("https://klasma.github.io/Logging_0980/klagomålsmail/A 44088-2022 FSC-klagomål mail.docx", "A 44088-2022")</f>
        <v/>
      </c>
      <c r="X153">
        <f>HYPERLINK("https://klasma.github.io/Logging_0980/tillsyn/A 44088-2022 tillsynsbegäran.docx", "A 44088-2022")</f>
        <v/>
      </c>
      <c r="Y153">
        <f>HYPERLINK("https://klasma.github.io/Logging_0980/tillsynsmail/A 44088-2022 tillsynsbegäran mail.docx", "A 44088-2022")</f>
        <v/>
      </c>
    </row>
    <row r="154" ht="15" customHeight="1">
      <c r="A154" t="inlineStr">
        <is>
          <t>A 44619-2025</t>
        </is>
      </c>
      <c r="B154" s="1" t="n">
        <v>45917</v>
      </c>
      <c r="C154" s="1" t="n">
        <v>46145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44308-2021</t>
        </is>
      </c>
      <c r="B155" s="1" t="n">
        <v>44434</v>
      </c>
      <c r="C155" s="1" t="n">
        <v>46145</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447-2023</t>
        </is>
      </c>
      <c r="B156" s="1" t="n">
        <v>44929</v>
      </c>
      <c r="C156" s="1" t="n">
        <v>46145</v>
      </c>
      <c r="D156" t="inlineStr">
        <is>
          <t>GOTLANDS LÄN</t>
        </is>
      </c>
      <c r="E156" t="inlineStr">
        <is>
          <t>GOTLAND</t>
        </is>
      </c>
      <c r="G156" t="n">
        <v>5.1</v>
      </c>
      <c r="H156" t="n">
        <v>0</v>
      </c>
      <c r="I156" t="n">
        <v>0</v>
      </c>
      <c r="J156" t="n">
        <v>1</v>
      </c>
      <c r="K156" t="n">
        <v>0</v>
      </c>
      <c r="L156" t="n">
        <v>0</v>
      </c>
      <c r="M156" t="n">
        <v>0</v>
      </c>
      <c r="N156" t="n">
        <v>0</v>
      </c>
      <c r="O156" t="n">
        <v>1</v>
      </c>
      <c r="P156" t="n">
        <v>0</v>
      </c>
      <c r="Q156" t="n">
        <v>1</v>
      </c>
      <c r="R156" s="2" t="inlineStr">
        <is>
          <t>Äggspindling</t>
        </is>
      </c>
      <c r="S156">
        <f>HYPERLINK("https://klasma.github.io/Logging_0980/artfynd/A 447-2023 artfynd.xlsx", "A 447-2023")</f>
        <v/>
      </c>
      <c r="T156">
        <f>HYPERLINK("https://klasma.github.io/Logging_0980/kartor/A 447-2023 karta.png", "A 447-2023")</f>
        <v/>
      </c>
      <c r="V156">
        <f>HYPERLINK("https://klasma.github.io/Logging_0980/klagomål/A 447-2023 FSC-klagomål.docx", "A 447-2023")</f>
        <v/>
      </c>
      <c r="W156">
        <f>HYPERLINK("https://klasma.github.io/Logging_0980/klagomålsmail/A 447-2023 FSC-klagomål mail.docx", "A 447-2023")</f>
        <v/>
      </c>
      <c r="X156">
        <f>HYPERLINK("https://klasma.github.io/Logging_0980/tillsyn/A 447-2023 tillsynsbegäran.docx", "A 447-2023")</f>
        <v/>
      </c>
      <c r="Y156">
        <f>HYPERLINK("https://klasma.github.io/Logging_0980/tillsynsmail/A 447-2023 tillsynsbegäran mail.docx", "A 447-2023")</f>
        <v/>
      </c>
    </row>
    <row r="157" ht="15" customHeight="1">
      <c r="A157" t="inlineStr">
        <is>
          <t>A 49726-2025</t>
        </is>
      </c>
      <c r="B157" s="1" t="n">
        <v>45939.84466435185</v>
      </c>
      <c r="C157" s="1" t="n">
        <v>46145</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947-2023</t>
        </is>
      </c>
      <c r="B158" s="1" t="n">
        <v>44934</v>
      </c>
      <c r="C158" s="1" t="n">
        <v>46145</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49304-2024</t>
        </is>
      </c>
      <c r="B159" s="1" t="n">
        <v>45595.54996527778</v>
      </c>
      <c r="C159" s="1" t="n">
        <v>46145</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63576-2021</t>
        </is>
      </c>
      <c r="B160" s="1" t="n">
        <v>44508</v>
      </c>
      <c r="C160" s="1" t="n">
        <v>46145</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46145</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27589-2023</t>
        </is>
      </c>
      <c r="B162" s="1" t="n">
        <v>45097</v>
      </c>
      <c r="C162" s="1" t="n">
        <v>46145</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1477-2024</t>
        </is>
      </c>
      <c r="B163" s="1" t="n">
        <v>45305.37987268518</v>
      </c>
      <c r="C163" s="1" t="n">
        <v>46145</v>
      </c>
      <c r="D163" t="inlineStr">
        <is>
          <t>GOTLANDS LÄN</t>
        </is>
      </c>
      <c r="E163" t="inlineStr">
        <is>
          <t>GOTLAND</t>
        </is>
      </c>
      <c r="G163" t="n">
        <v>6.9</v>
      </c>
      <c r="H163" t="n">
        <v>0</v>
      </c>
      <c r="I163" t="n">
        <v>0</v>
      </c>
      <c r="J163" t="n">
        <v>1</v>
      </c>
      <c r="K163" t="n">
        <v>0</v>
      </c>
      <c r="L163" t="n">
        <v>0</v>
      </c>
      <c r="M163" t="n">
        <v>0</v>
      </c>
      <c r="N163" t="n">
        <v>0</v>
      </c>
      <c r="O163" t="n">
        <v>1</v>
      </c>
      <c r="P163" t="n">
        <v>0</v>
      </c>
      <c r="Q163" t="n">
        <v>1</v>
      </c>
      <c r="R163" s="2" t="inlineStr">
        <is>
          <t>Igelkott</t>
        </is>
      </c>
      <c r="S163">
        <f>HYPERLINK("https://klasma.github.io/Logging_0980/artfynd/A 1477-2024 artfynd.xlsx", "A 1477-2024")</f>
        <v/>
      </c>
      <c r="T163">
        <f>HYPERLINK("https://klasma.github.io/Logging_0980/kartor/A 1477-2024 karta.png", "A 1477-2024")</f>
        <v/>
      </c>
      <c r="V163">
        <f>HYPERLINK("https://klasma.github.io/Logging_0980/klagomål/A 1477-2024 FSC-klagomål.docx", "A 1477-2024")</f>
        <v/>
      </c>
      <c r="W163">
        <f>HYPERLINK("https://klasma.github.io/Logging_0980/klagomålsmail/A 1477-2024 FSC-klagomål mail.docx", "A 1477-2024")</f>
        <v/>
      </c>
      <c r="X163">
        <f>HYPERLINK("https://klasma.github.io/Logging_0980/tillsyn/A 1477-2024 tillsynsbegäran.docx", "A 1477-2024")</f>
        <v/>
      </c>
      <c r="Y163">
        <f>HYPERLINK("https://klasma.github.io/Logging_0980/tillsynsmail/A 1477-2024 tillsynsbegäran mail.docx", "A 1477-2024")</f>
        <v/>
      </c>
    </row>
    <row r="164" ht="15" customHeight="1">
      <c r="A164" t="inlineStr">
        <is>
          <t>A 35574-2024</t>
        </is>
      </c>
      <c r="B164" s="1" t="n">
        <v>45531</v>
      </c>
      <c r="C164" s="1" t="n">
        <v>46145</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46145</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6303-2024</t>
        </is>
      </c>
      <c r="B166" s="1" t="n">
        <v>45338.35376157407</v>
      </c>
      <c r="C166" s="1" t="n">
        <v>46145</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34809-2024</t>
        </is>
      </c>
      <c r="B167" s="1" t="n">
        <v>45526</v>
      </c>
      <c r="C167" s="1" t="n">
        <v>46145</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61561-2023</t>
        </is>
      </c>
      <c r="B168" s="1" t="n">
        <v>45265</v>
      </c>
      <c r="C168" s="1" t="n">
        <v>46145</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22782-2023</t>
        </is>
      </c>
      <c r="B169" s="1" t="n">
        <v>45072</v>
      </c>
      <c r="C169" s="1" t="n">
        <v>46145</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63149-2025</t>
        </is>
      </c>
      <c r="B170" s="1" t="n">
        <v>46010</v>
      </c>
      <c r="C170" s="1" t="n">
        <v>46145</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10013-2026</t>
        </is>
      </c>
      <c r="B171" s="1" t="n">
        <v>46073</v>
      </c>
      <c r="C171" s="1" t="n">
        <v>46145</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22883-2024</t>
        </is>
      </c>
      <c r="B172" s="1" t="n">
        <v>45448.66368055555</v>
      </c>
      <c r="C172" s="1" t="n">
        <v>46145</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17854-2026</t>
        </is>
      </c>
      <c r="B173" s="1" t="n">
        <v>46121</v>
      </c>
      <c r="C173" s="1" t="n">
        <v>46145</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46145</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46145</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24245-2022</t>
        </is>
      </c>
      <c r="B176" s="1" t="n">
        <v>44725</v>
      </c>
      <c r="C176" s="1" t="n">
        <v>46145</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13482-2026</t>
        </is>
      </c>
      <c r="B177" s="1" t="n">
        <v>46094</v>
      </c>
      <c r="C177" s="1" t="n">
        <v>46145</v>
      </c>
      <c r="D177" t="inlineStr">
        <is>
          <t>GOTLANDS LÄN</t>
        </is>
      </c>
      <c r="E177" t="inlineStr">
        <is>
          <t>GOTLAND</t>
        </is>
      </c>
      <c r="G177" t="n">
        <v>1.7</v>
      </c>
      <c r="H177" t="n">
        <v>1</v>
      </c>
      <c r="I177" t="n">
        <v>0</v>
      </c>
      <c r="J177" t="n">
        <v>1</v>
      </c>
      <c r="K177" t="n">
        <v>0</v>
      </c>
      <c r="L177" t="n">
        <v>0</v>
      </c>
      <c r="M177" t="n">
        <v>0</v>
      </c>
      <c r="N177" t="n">
        <v>0</v>
      </c>
      <c r="O177" t="n">
        <v>1</v>
      </c>
      <c r="P177" t="n">
        <v>0</v>
      </c>
      <c r="Q177" t="n">
        <v>1</v>
      </c>
      <c r="R177" s="2" t="inlineStr">
        <is>
          <t>Spillkråka</t>
        </is>
      </c>
      <c r="S177">
        <f>HYPERLINK("https://klasma.github.io/Logging_0980/artfynd/A 13482-2026 artfynd.xlsx", "A 13482-2026")</f>
        <v/>
      </c>
      <c r="T177">
        <f>HYPERLINK("https://klasma.github.io/Logging_0980/kartor/A 13482-2026 karta.png", "A 13482-2026")</f>
        <v/>
      </c>
      <c r="V177">
        <f>HYPERLINK("https://klasma.github.io/Logging_0980/klagomål/A 13482-2026 FSC-klagomål.docx", "A 13482-2026")</f>
        <v/>
      </c>
      <c r="W177">
        <f>HYPERLINK("https://klasma.github.io/Logging_0980/klagomålsmail/A 13482-2026 FSC-klagomål mail.docx", "A 13482-2026")</f>
        <v/>
      </c>
      <c r="X177">
        <f>HYPERLINK("https://klasma.github.io/Logging_0980/tillsyn/A 13482-2026 tillsynsbegäran.docx", "A 13482-2026")</f>
        <v/>
      </c>
      <c r="Y177">
        <f>HYPERLINK("https://klasma.github.io/Logging_0980/tillsynsmail/A 13482-2026 tillsynsbegäran mail.docx", "A 13482-2026")</f>
        <v/>
      </c>
      <c r="Z177">
        <f>HYPERLINK("https://klasma.github.io/Logging_0980/fåglar/A 13482-2026 prioriterade fågelarter.docx", "A 13482-2026")</f>
        <v/>
      </c>
    </row>
    <row r="178" ht="15" customHeight="1">
      <c r="A178" t="inlineStr">
        <is>
          <t>A 49847-2023</t>
        </is>
      </c>
      <c r="B178" s="1" t="n">
        <v>45212</v>
      </c>
      <c r="C178" s="1" t="n">
        <v>46145</v>
      </c>
      <c r="D178" t="inlineStr">
        <is>
          <t>GOTLANDS LÄN</t>
        </is>
      </c>
      <c r="E178" t="inlineStr">
        <is>
          <t>GOTLAND</t>
        </is>
      </c>
      <c r="G178" t="n">
        <v>35.2</v>
      </c>
      <c r="H178" t="n">
        <v>0</v>
      </c>
      <c r="I178" t="n">
        <v>0</v>
      </c>
      <c r="J178" t="n">
        <v>0</v>
      </c>
      <c r="K178" t="n">
        <v>1</v>
      </c>
      <c r="L178" t="n">
        <v>0</v>
      </c>
      <c r="M178" t="n">
        <v>0</v>
      </c>
      <c r="N178" t="n">
        <v>0</v>
      </c>
      <c r="O178" t="n">
        <v>1</v>
      </c>
      <c r="P178" t="n">
        <v>1</v>
      </c>
      <c r="Q178" t="n">
        <v>1</v>
      </c>
      <c r="R178" s="2" t="inlineStr">
        <is>
          <t>Strandviol</t>
        </is>
      </c>
      <c r="S178">
        <f>HYPERLINK("https://klasma.github.io/Logging_0980/artfynd/A 49847-2023 artfynd.xlsx", "A 49847-2023")</f>
        <v/>
      </c>
      <c r="T178">
        <f>HYPERLINK("https://klasma.github.io/Logging_0980/kartor/A 49847-2023 karta.png", "A 49847-2023")</f>
        <v/>
      </c>
      <c r="V178">
        <f>HYPERLINK("https://klasma.github.io/Logging_0980/klagomål/A 49847-2023 FSC-klagomål.docx", "A 49847-2023")</f>
        <v/>
      </c>
      <c r="W178">
        <f>HYPERLINK("https://klasma.github.io/Logging_0980/klagomålsmail/A 49847-2023 FSC-klagomål mail.docx", "A 49847-2023")</f>
        <v/>
      </c>
      <c r="X178">
        <f>HYPERLINK("https://klasma.github.io/Logging_0980/tillsyn/A 49847-2023 tillsynsbegäran.docx", "A 49847-2023")</f>
        <v/>
      </c>
      <c r="Y178">
        <f>HYPERLINK("https://klasma.github.io/Logging_0980/tillsynsmail/A 49847-2023 tillsynsbegäran mail.docx", "A 49847-2023")</f>
        <v/>
      </c>
    </row>
    <row r="179" ht="15" customHeight="1">
      <c r="A179" t="inlineStr">
        <is>
          <t>A 46527-2023</t>
        </is>
      </c>
      <c r="B179" s="1" t="n">
        <v>45197</v>
      </c>
      <c r="C179" s="1" t="n">
        <v>46145</v>
      </c>
      <c r="D179" t="inlineStr">
        <is>
          <t>GOTLANDS LÄN</t>
        </is>
      </c>
      <c r="E179" t="inlineStr">
        <is>
          <t>GOTLAND</t>
        </is>
      </c>
      <c r="G179" t="n">
        <v>0.9</v>
      </c>
      <c r="H179" t="n">
        <v>0</v>
      </c>
      <c r="I179" t="n">
        <v>0</v>
      </c>
      <c r="J179" t="n">
        <v>1</v>
      </c>
      <c r="K179" t="n">
        <v>0</v>
      </c>
      <c r="L179" t="n">
        <v>0</v>
      </c>
      <c r="M179" t="n">
        <v>0</v>
      </c>
      <c r="N179" t="n">
        <v>0</v>
      </c>
      <c r="O179" t="n">
        <v>1</v>
      </c>
      <c r="P179" t="n">
        <v>0</v>
      </c>
      <c r="Q179" t="n">
        <v>1</v>
      </c>
      <c r="R179" s="2" t="inlineStr">
        <is>
          <t>Guldgräshoppa</t>
        </is>
      </c>
      <c r="S179">
        <f>HYPERLINK("https://klasma.github.io/Logging_0980/artfynd/A 46527-2023 artfynd.xlsx", "A 46527-2023")</f>
        <v/>
      </c>
      <c r="T179">
        <f>HYPERLINK("https://klasma.github.io/Logging_0980/kartor/A 46527-2023 karta.png", "A 46527-2023")</f>
        <v/>
      </c>
      <c r="V179">
        <f>HYPERLINK("https://klasma.github.io/Logging_0980/klagomål/A 46527-2023 FSC-klagomål.docx", "A 46527-2023")</f>
        <v/>
      </c>
      <c r="W179">
        <f>HYPERLINK("https://klasma.github.io/Logging_0980/klagomålsmail/A 46527-2023 FSC-klagomål mail.docx", "A 46527-2023")</f>
        <v/>
      </c>
      <c r="X179">
        <f>HYPERLINK("https://klasma.github.io/Logging_0980/tillsyn/A 46527-2023 tillsynsbegäran.docx", "A 46527-2023")</f>
        <v/>
      </c>
      <c r="Y179">
        <f>HYPERLINK("https://klasma.github.io/Logging_0980/tillsynsmail/A 46527-2023 tillsynsbegäran mail.docx", "A 46527-2023")</f>
        <v/>
      </c>
    </row>
    <row r="180" ht="15" customHeight="1">
      <c r="A180" t="inlineStr">
        <is>
          <t>A 12324-2025</t>
        </is>
      </c>
      <c r="B180" s="1" t="n">
        <v>45730</v>
      </c>
      <c r="C180" s="1" t="n">
        <v>46145</v>
      </c>
      <c r="D180" t="inlineStr">
        <is>
          <t>GOTLANDS LÄN</t>
        </is>
      </c>
      <c r="E180" t="inlineStr">
        <is>
          <t>GOTLAND</t>
        </is>
      </c>
      <c r="G180" t="n">
        <v>5</v>
      </c>
      <c r="H180" t="n">
        <v>0</v>
      </c>
      <c r="I180" t="n">
        <v>0</v>
      </c>
      <c r="J180" t="n">
        <v>0</v>
      </c>
      <c r="K180" t="n">
        <v>1</v>
      </c>
      <c r="L180" t="n">
        <v>0</v>
      </c>
      <c r="M180" t="n">
        <v>0</v>
      </c>
      <c r="N180" t="n">
        <v>0</v>
      </c>
      <c r="O180" t="n">
        <v>1</v>
      </c>
      <c r="P180" t="n">
        <v>1</v>
      </c>
      <c r="Q180" t="n">
        <v>1</v>
      </c>
      <c r="R180" s="2" t="inlineStr">
        <is>
          <t>Sommarklynne</t>
        </is>
      </c>
      <c r="S180">
        <f>HYPERLINK("https://klasma.github.io/Logging_0980/artfynd/A 12324-2025 artfynd.xlsx", "A 12324-2025")</f>
        <v/>
      </c>
      <c r="T180">
        <f>HYPERLINK("https://klasma.github.io/Logging_0980/kartor/A 12324-2025 karta.png", "A 12324-2025")</f>
        <v/>
      </c>
      <c r="V180">
        <f>HYPERLINK("https://klasma.github.io/Logging_0980/klagomål/A 12324-2025 FSC-klagomål.docx", "A 12324-2025")</f>
        <v/>
      </c>
      <c r="W180">
        <f>HYPERLINK("https://klasma.github.io/Logging_0980/klagomålsmail/A 12324-2025 FSC-klagomål mail.docx", "A 12324-2025")</f>
        <v/>
      </c>
      <c r="X180">
        <f>HYPERLINK("https://klasma.github.io/Logging_0980/tillsyn/A 12324-2025 tillsynsbegäran.docx", "A 12324-2025")</f>
        <v/>
      </c>
      <c r="Y180">
        <f>HYPERLINK("https://klasma.github.io/Logging_0980/tillsynsmail/A 12324-2025 tillsynsbegäran mail.docx", "A 12324-2025")</f>
        <v/>
      </c>
    </row>
    <row r="181" ht="15" customHeight="1">
      <c r="A181" t="inlineStr">
        <is>
          <t>A 37591-2023</t>
        </is>
      </c>
      <c r="B181" s="1" t="n">
        <v>45159</v>
      </c>
      <c r="C181" s="1" t="n">
        <v>46145</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21466-2025</t>
        </is>
      </c>
      <c r="B182" s="1" t="n">
        <v>45782</v>
      </c>
      <c r="C182" s="1" t="n">
        <v>46145</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46145</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46145</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34141-2024</t>
        </is>
      </c>
      <c r="B185" s="1" t="n">
        <v>45524.36229166666</v>
      </c>
      <c r="C185" s="1" t="n">
        <v>46145</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46145</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36313-2021</t>
        </is>
      </c>
      <c r="B187" s="1" t="n">
        <v>44390</v>
      </c>
      <c r="C187" s="1" t="n">
        <v>46145</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46145</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46145</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46145</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46145</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46145</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46145</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46145</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46145</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46145</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46145</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46145</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46145</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46145</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46145</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46145</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46145</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46145</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46145</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46145</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46145</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46145</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46145</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46145</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46145</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46145</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46145</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46145</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46145</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46145</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46145</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46145</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46145</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46145</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46145</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46145</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32330-2024</t>
        </is>
      </c>
      <c r="B224" s="1" t="n">
        <v>45512</v>
      </c>
      <c r="C224" s="1" t="n">
        <v>46145</v>
      </c>
      <c r="D224" t="inlineStr">
        <is>
          <t>GOTLANDS LÄN</t>
        </is>
      </c>
      <c r="E224" t="inlineStr">
        <is>
          <t>GOTLAND</t>
        </is>
      </c>
      <c r="G224" t="n">
        <v>2.6</v>
      </c>
      <c r="H224" t="n">
        <v>0</v>
      </c>
      <c r="I224" t="n">
        <v>0</v>
      </c>
      <c r="J224" t="n">
        <v>0</v>
      </c>
      <c r="K224" t="n">
        <v>0</v>
      </c>
      <c r="L224" t="n">
        <v>0</v>
      </c>
      <c r="M224" t="n">
        <v>0</v>
      </c>
      <c r="N224" t="n">
        <v>0</v>
      </c>
      <c r="O224" t="n">
        <v>0</v>
      </c>
      <c r="P224" t="n">
        <v>0</v>
      </c>
      <c r="Q224" t="n">
        <v>0</v>
      </c>
      <c r="R224" s="2" t="inlineStr"/>
    </row>
    <row r="225" ht="15" customHeight="1">
      <c r="A225" t="inlineStr">
        <is>
          <t>A 5751-2024</t>
        </is>
      </c>
      <c r="B225" s="1" t="n">
        <v>45335.32702546296</v>
      </c>
      <c r="C225" s="1" t="n">
        <v>46145</v>
      </c>
      <c r="D225" t="inlineStr">
        <is>
          <t>GOTLANDS LÄN</t>
        </is>
      </c>
      <c r="E225" t="inlineStr">
        <is>
          <t>GOTLAND</t>
        </is>
      </c>
      <c r="G225" t="n">
        <v>4.2</v>
      </c>
      <c r="H225" t="n">
        <v>0</v>
      </c>
      <c r="I225" t="n">
        <v>0</v>
      </c>
      <c r="J225" t="n">
        <v>0</v>
      </c>
      <c r="K225" t="n">
        <v>0</v>
      </c>
      <c r="L225" t="n">
        <v>0</v>
      </c>
      <c r="M225" t="n">
        <v>0</v>
      </c>
      <c r="N225" t="n">
        <v>0</v>
      </c>
      <c r="O225" t="n">
        <v>0</v>
      </c>
      <c r="P225" t="n">
        <v>0</v>
      </c>
      <c r="Q225" t="n">
        <v>0</v>
      </c>
      <c r="R225" s="2" t="inlineStr"/>
    </row>
    <row r="226" ht="15" customHeight="1">
      <c r="A226" t="inlineStr">
        <is>
          <t>A 9613-2025</t>
        </is>
      </c>
      <c r="B226" s="1" t="n">
        <v>45715</v>
      </c>
      <c r="C226" s="1" t="n">
        <v>46145</v>
      </c>
      <c r="D226" t="inlineStr">
        <is>
          <t>GOTLANDS LÄN</t>
        </is>
      </c>
      <c r="E226" t="inlineStr">
        <is>
          <t>GOTLAND</t>
        </is>
      </c>
      <c r="G226" t="n">
        <v>3.5</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46145</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46145</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46145</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46145</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46145</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46145</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46145</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46145</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46145</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46145</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27593-2023</t>
        </is>
      </c>
      <c r="B237" s="1" t="n">
        <v>45097</v>
      </c>
      <c r="C237" s="1" t="n">
        <v>46145</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46145</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57522-2022</t>
        </is>
      </c>
      <c r="B239" s="1" t="n">
        <v>44896</v>
      </c>
      <c r="C239" s="1" t="n">
        <v>46145</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63516-2023</t>
        </is>
      </c>
      <c r="B240" s="1" t="n">
        <v>45274</v>
      </c>
      <c r="C240" s="1" t="n">
        <v>46145</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24001-2021</t>
        </is>
      </c>
      <c r="B241" s="1" t="n">
        <v>44335</v>
      </c>
      <c r="C241" s="1" t="n">
        <v>46145</v>
      </c>
      <c r="D241" t="inlineStr">
        <is>
          <t>GOTLANDS LÄN</t>
        </is>
      </c>
      <c r="E241" t="inlineStr">
        <is>
          <t>GOTLAND</t>
        </is>
      </c>
      <c r="G241" t="n">
        <v>3.4</v>
      </c>
      <c r="H241" t="n">
        <v>0</v>
      </c>
      <c r="I241" t="n">
        <v>0</v>
      </c>
      <c r="J241" t="n">
        <v>0</v>
      </c>
      <c r="K241" t="n">
        <v>0</v>
      </c>
      <c r="L241" t="n">
        <v>0</v>
      </c>
      <c r="M241" t="n">
        <v>0</v>
      </c>
      <c r="N241" t="n">
        <v>0</v>
      </c>
      <c r="O241" t="n">
        <v>0</v>
      </c>
      <c r="P241" t="n">
        <v>0</v>
      </c>
      <c r="Q241" t="n">
        <v>0</v>
      </c>
      <c r="R241" s="2" t="inlineStr"/>
    </row>
    <row r="242" ht="15" customHeight="1">
      <c r="A242" t="inlineStr">
        <is>
          <t>A 1681-2023</t>
        </is>
      </c>
      <c r="B242" s="1" t="n">
        <v>44938.39715277778</v>
      </c>
      <c r="C242" s="1" t="n">
        <v>46145</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30365-2024</t>
        </is>
      </c>
      <c r="B243" s="1" t="n">
        <v>45491.3716087963</v>
      </c>
      <c r="C243" s="1" t="n">
        <v>46145</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6099-2024</t>
        </is>
      </c>
      <c r="B244" s="1" t="n">
        <v>45337</v>
      </c>
      <c r="C244" s="1" t="n">
        <v>46145</v>
      </c>
      <c r="D244" t="inlineStr">
        <is>
          <t>GOTLANDS LÄN</t>
        </is>
      </c>
      <c r="E244" t="inlineStr">
        <is>
          <t>GOTLAND</t>
        </is>
      </c>
      <c r="G244" t="n">
        <v>12.6</v>
      </c>
      <c r="H244" t="n">
        <v>0</v>
      </c>
      <c r="I244" t="n">
        <v>0</v>
      </c>
      <c r="J244" t="n">
        <v>0</v>
      </c>
      <c r="K244" t="n">
        <v>0</v>
      </c>
      <c r="L244" t="n">
        <v>0</v>
      </c>
      <c r="M244" t="n">
        <v>0</v>
      </c>
      <c r="N244" t="n">
        <v>0</v>
      </c>
      <c r="O244" t="n">
        <v>0</v>
      </c>
      <c r="P244" t="n">
        <v>0</v>
      </c>
      <c r="Q244" t="n">
        <v>0</v>
      </c>
      <c r="R244" s="2" t="inlineStr"/>
    </row>
    <row r="245" ht="15" customHeight="1">
      <c r="A245" t="inlineStr">
        <is>
          <t>A 1273-2023</t>
        </is>
      </c>
      <c r="B245" s="1" t="n">
        <v>44936</v>
      </c>
      <c r="C245" s="1" t="n">
        <v>46145</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45635.84113425926</v>
      </c>
      <c r="C246" s="1" t="n">
        <v>46145</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28285-2024</t>
        </is>
      </c>
      <c r="B247" s="1" t="n">
        <v>45477</v>
      </c>
      <c r="C247" s="1" t="n">
        <v>46145</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45692-2023</t>
        </is>
      </c>
      <c r="B248" s="1" t="n">
        <v>45195</v>
      </c>
      <c r="C248" s="1" t="n">
        <v>46145</v>
      </c>
      <c r="D248" t="inlineStr">
        <is>
          <t>GOTLANDS LÄN</t>
        </is>
      </c>
      <c r="E248" t="inlineStr">
        <is>
          <t>GOTLAND</t>
        </is>
      </c>
      <c r="G248" t="n">
        <v>5.3</v>
      </c>
      <c r="H248" t="n">
        <v>0</v>
      </c>
      <c r="I248" t="n">
        <v>0</v>
      </c>
      <c r="J248" t="n">
        <v>0</v>
      </c>
      <c r="K248" t="n">
        <v>0</v>
      </c>
      <c r="L248" t="n">
        <v>0</v>
      </c>
      <c r="M248" t="n">
        <v>0</v>
      </c>
      <c r="N248" t="n">
        <v>0</v>
      </c>
      <c r="O248" t="n">
        <v>0</v>
      </c>
      <c r="P248" t="n">
        <v>0</v>
      </c>
      <c r="Q248" t="n">
        <v>0</v>
      </c>
      <c r="R248" s="2" t="inlineStr"/>
    </row>
    <row r="249" ht="15" customHeight="1">
      <c r="A249" t="inlineStr">
        <is>
          <t>A 61100-2022</t>
        </is>
      </c>
      <c r="B249" s="1" t="n">
        <v>44915</v>
      </c>
      <c r="C249" s="1" t="n">
        <v>46145</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46145</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45647.48824074074</v>
      </c>
      <c r="C251" s="1" t="n">
        <v>46145</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58388-2022</t>
        </is>
      </c>
      <c r="B252" s="1" t="n">
        <v>44894</v>
      </c>
      <c r="C252" s="1" t="n">
        <v>46145</v>
      </c>
      <c r="D252" t="inlineStr">
        <is>
          <t>GOTLANDS LÄN</t>
        </is>
      </c>
      <c r="E252" t="inlineStr">
        <is>
          <t>GOTLAND</t>
        </is>
      </c>
      <c r="F252" t="inlineStr">
        <is>
          <t>Övriga statliga verk och myndigheter</t>
        </is>
      </c>
      <c r="G252" t="n">
        <v>3.1</v>
      </c>
      <c r="H252" t="n">
        <v>0</v>
      </c>
      <c r="I252" t="n">
        <v>0</v>
      </c>
      <c r="J252" t="n">
        <v>0</v>
      </c>
      <c r="K252" t="n">
        <v>0</v>
      </c>
      <c r="L252" t="n">
        <v>0</v>
      </c>
      <c r="M252" t="n">
        <v>0</v>
      </c>
      <c r="N252" t="n">
        <v>0</v>
      </c>
      <c r="O252" t="n">
        <v>0</v>
      </c>
      <c r="P252" t="n">
        <v>0</v>
      </c>
      <c r="Q252" t="n">
        <v>0</v>
      </c>
      <c r="R252" s="2" t="inlineStr"/>
    </row>
    <row r="253" ht="15" customHeight="1">
      <c r="A253" t="inlineStr">
        <is>
          <t>A 21792-2024</t>
        </is>
      </c>
      <c r="B253" s="1" t="n">
        <v>45442.64326388889</v>
      </c>
      <c r="C253" s="1" t="n">
        <v>46145</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17688-2024</t>
        </is>
      </c>
      <c r="B254" s="1" t="n">
        <v>45418.43575231481</v>
      </c>
      <c r="C254" s="1" t="n">
        <v>46145</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7837-2024</t>
        </is>
      </c>
      <c r="B255" s="1" t="n">
        <v>45349.83787037037</v>
      </c>
      <c r="C255" s="1" t="n">
        <v>46145</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4568-2025</t>
        </is>
      </c>
      <c r="B256" s="1" t="n">
        <v>45687</v>
      </c>
      <c r="C256" s="1" t="n">
        <v>46145</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35512-2023</t>
        </is>
      </c>
      <c r="B257" s="1" t="n">
        <v>45147.25623842593</v>
      </c>
      <c r="C257" s="1" t="n">
        <v>46145</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5905-2024</t>
        </is>
      </c>
      <c r="B258" s="1" t="n">
        <v>45335.88993055555</v>
      </c>
      <c r="C258" s="1" t="n">
        <v>46145</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1291-2023</t>
        </is>
      </c>
      <c r="B259" s="1" t="n">
        <v>44936.47561342592</v>
      </c>
      <c r="C259" s="1" t="n">
        <v>46145</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57652-2023</t>
        </is>
      </c>
      <c r="B260" s="1" t="n">
        <v>45246</v>
      </c>
      <c r="C260" s="1" t="n">
        <v>46145</v>
      </c>
      <c r="D260" t="inlineStr">
        <is>
          <t>GOTLANDS LÄN</t>
        </is>
      </c>
      <c r="E260" t="inlineStr">
        <is>
          <t>GOTLAND</t>
        </is>
      </c>
      <c r="G260" t="n">
        <v>7.2</v>
      </c>
      <c r="H260" t="n">
        <v>0</v>
      </c>
      <c r="I260" t="n">
        <v>0</v>
      </c>
      <c r="J260" t="n">
        <v>0</v>
      </c>
      <c r="K260" t="n">
        <v>0</v>
      </c>
      <c r="L260" t="n">
        <v>0</v>
      </c>
      <c r="M260" t="n">
        <v>0</v>
      </c>
      <c r="N260" t="n">
        <v>0</v>
      </c>
      <c r="O260" t="n">
        <v>0</v>
      </c>
      <c r="P260" t="n">
        <v>0</v>
      </c>
      <c r="Q260" t="n">
        <v>0</v>
      </c>
      <c r="R260" s="2" t="inlineStr"/>
    </row>
    <row r="261" ht="15" customHeight="1">
      <c r="A261" t="inlineStr">
        <is>
          <t>A 45106-2024</t>
        </is>
      </c>
      <c r="B261" s="1" t="n">
        <v>45575</v>
      </c>
      <c r="C261" s="1" t="n">
        <v>46145</v>
      </c>
      <c r="D261" t="inlineStr">
        <is>
          <t>GOTLANDS LÄN</t>
        </is>
      </c>
      <c r="E261" t="inlineStr">
        <is>
          <t>GOTLAND</t>
        </is>
      </c>
      <c r="G261" t="n">
        <v>10</v>
      </c>
      <c r="H261" t="n">
        <v>0</v>
      </c>
      <c r="I261" t="n">
        <v>0</v>
      </c>
      <c r="J261" t="n">
        <v>0</v>
      </c>
      <c r="K261" t="n">
        <v>0</v>
      </c>
      <c r="L261" t="n">
        <v>0</v>
      </c>
      <c r="M261" t="n">
        <v>0</v>
      </c>
      <c r="N261" t="n">
        <v>0</v>
      </c>
      <c r="O261" t="n">
        <v>0</v>
      </c>
      <c r="P261" t="n">
        <v>0</v>
      </c>
      <c r="Q261" t="n">
        <v>0</v>
      </c>
      <c r="R261" s="2" t="inlineStr"/>
    </row>
    <row r="262" ht="15" customHeight="1">
      <c r="A262" t="inlineStr">
        <is>
          <t>A 45112-2024</t>
        </is>
      </c>
      <c r="B262" s="1" t="n">
        <v>45575</v>
      </c>
      <c r="C262" s="1" t="n">
        <v>46145</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49315-2024</t>
        </is>
      </c>
      <c r="B263" s="1" t="n">
        <v>45595</v>
      </c>
      <c r="C263" s="1" t="n">
        <v>46145</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2676-2023</t>
        </is>
      </c>
      <c r="B264" s="1" t="n">
        <v>44944</v>
      </c>
      <c r="C264" s="1" t="n">
        <v>46145</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3150-2025</t>
        </is>
      </c>
      <c r="B265" s="1" t="n">
        <v>45679.28974537037</v>
      </c>
      <c r="C265" s="1" t="n">
        <v>46145</v>
      </c>
      <c r="D265" t="inlineStr">
        <is>
          <t>GOTLANDS LÄN</t>
        </is>
      </c>
      <c r="E265" t="inlineStr">
        <is>
          <t>GOTLAND</t>
        </is>
      </c>
      <c r="G265" t="n">
        <v>2.5</v>
      </c>
      <c r="H265" t="n">
        <v>0</v>
      </c>
      <c r="I265" t="n">
        <v>0</v>
      </c>
      <c r="J265" t="n">
        <v>0</v>
      </c>
      <c r="K265" t="n">
        <v>0</v>
      </c>
      <c r="L265" t="n">
        <v>0</v>
      </c>
      <c r="M265" t="n">
        <v>0</v>
      </c>
      <c r="N265" t="n">
        <v>0</v>
      </c>
      <c r="O265" t="n">
        <v>0</v>
      </c>
      <c r="P265" t="n">
        <v>0</v>
      </c>
      <c r="Q265" t="n">
        <v>0</v>
      </c>
      <c r="R265" s="2" t="inlineStr"/>
    </row>
    <row r="266" ht="15" customHeight="1">
      <c r="A266" t="inlineStr">
        <is>
          <t>A 20356-2022</t>
        </is>
      </c>
      <c r="B266" s="1" t="n">
        <v>44699</v>
      </c>
      <c r="C266" s="1" t="n">
        <v>46145</v>
      </c>
      <c r="D266" t="inlineStr">
        <is>
          <t>GOTLANDS LÄN</t>
        </is>
      </c>
      <c r="E266" t="inlineStr">
        <is>
          <t>GOTLAND</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48734-2022</t>
        </is>
      </c>
      <c r="B267" s="1" t="n">
        <v>44855</v>
      </c>
      <c r="C267" s="1" t="n">
        <v>46145</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14141-2024</t>
        </is>
      </c>
      <c r="B268" s="1" t="n">
        <v>45392.85193287037</v>
      </c>
      <c r="C268" s="1" t="n">
        <v>46145</v>
      </c>
      <c r="D268" t="inlineStr">
        <is>
          <t>GOTLANDS LÄN</t>
        </is>
      </c>
      <c r="E268" t="inlineStr">
        <is>
          <t>GOTLAND</t>
        </is>
      </c>
      <c r="G268" t="n">
        <v>5.3</v>
      </c>
      <c r="H268" t="n">
        <v>0</v>
      </c>
      <c r="I268" t="n">
        <v>0</v>
      </c>
      <c r="J268" t="n">
        <v>0</v>
      </c>
      <c r="K268" t="n">
        <v>0</v>
      </c>
      <c r="L268" t="n">
        <v>0</v>
      </c>
      <c r="M268" t="n">
        <v>0</v>
      </c>
      <c r="N268" t="n">
        <v>0</v>
      </c>
      <c r="O268" t="n">
        <v>0</v>
      </c>
      <c r="P268" t="n">
        <v>0</v>
      </c>
      <c r="Q268" t="n">
        <v>0</v>
      </c>
      <c r="R268" s="2" t="inlineStr"/>
    </row>
    <row r="269" ht="15" customHeight="1">
      <c r="A269" t="inlineStr">
        <is>
          <t>A 8484-2025</t>
        </is>
      </c>
      <c r="B269" s="1" t="n">
        <v>45709</v>
      </c>
      <c r="C269" s="1" t="n">
        <v>46145</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29809-2022</t>
        </is>
      </c>
      <c r="B270" s="1" t="n">
        <v>44755.8713425926</v>
      </c>
      <c r="C270" s="1" t="n">
        <v>46145</v>
      </c>
      <c r="D270" t="inlineStr">
        <is>
          <t>GOTLANDS LÄN</t>
        </is>
      </c>
      <c r="E270" t="inlineStr">
        <is>
          <t>GOTLAND</t>
        </is>
      </c>
      <c r="G270" t="n">
        <v>11.5</v>
      </c>
      <c r="H270" t="n">
        <v>0</v>
      </c>
      <c r="I270" t="n">
        <v>0</v>
      </c>
      <c r="J270" t="n">
        <v>0</v>
      </c>
      <c r="K270" t="n">
        <v>0</v>
      </c>
      <c r="L270" t="n">
        <v>0</v>
      </c>
      <c r="M270" t="n">
        <v>0</v>
      </c>
      <c r="N270" t="n">
        <v>0</v>
      </c>
      <c r="O270" t="n">
        <v>0</v>
      </c>
      <c r="P270" t="n">
        <v>0</v>
      </c>
      <c r="Q270" t="n">
        <v>0</v>
      </c>
      <c r="R270" s="2" t="inlineStr"/>
    </row>
    <row r="271" ht="15" customHeight="1">
      <c r="A271" t="inlineStr">
        <is>
          <t>A 7635-2025</t>
        </is>
      </c>
      <c r="B271" s="1" t="n">
        <v>45705</v>
      </c>
      <c r="C271" s="1" t="n">
        <v>46145</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46145</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46145</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57685-2022</t>
        </is>
      </c>
      <c r="B274" s="1" t="n">
        <v>44897.4777662037</v>
      </c>
      <c r="C274" s="1" t="n">
        <v>46145</v>
      </c>
      <c r="D274" t="inlineStr">
        <is>
          <t>GOTLANDS LÄN</t>
        </is>
      </c>
      <c r="E274" t="inlineStr">
        <is>
          <t>GOTLAND</t>
        </is>
      </c>
      <c r="G274" t="n">
        <v>3.7</v>
      </c>
      <c r="H274" t="n">
        <v>0</v>
      </c>
      <c r="I274" t="n">
        <v>0</v>
      </c>
      <c r="J274" t="n">
        <v>0</v>
      </c>
      <c r="K274" t="n">
        <v>0</v>
      </c>
      <c r="L274" t="n">
        <v>0</v>
      </c>
      <c r="M274" t="n">
        <v>0</v>
      </c>
      <c r="N274" t="n">
        <v>0</v>
      </c>
      <c r="O274" t="n">
        <v>0</v>
      </c>
      <c r="P274" t="n">
        <v>0</v>
      </c>
      <c r="Q274" t="n">
        <v>0</v>
      </c>
      <c r="R274" s="2" t="inlineStr"/>
    </row>
    <row r="275" ht="15" customHeight="1">
      <c r="A275" t="inlineStr">
        <is>
          <t>A 30815-2023</t>
        </is>
      </c>
      <c r="B275" s="1" t="n">
        <v>45112</v>
      </c>
      <c r="C275" s="1" t="n">
        <v>46145</v>
      </c>
      <c r="D275" t="inlineStr">
        <is>
          <t>GOTLANDS LÄN</t>
        </is>
      </c>
      <c r="E275" t="inlineStr">
        <is>
          <t>GOTLAND</t>
        </is>
      </c>
      <c r="G275" t="n">
        <v>6</v>
      </c>
      <c r="H275" t="n">
        <v>0</v>
      </c>
      <c r="I275" t="n">
        <v>0</v>
      </c>
      <c r="J275" t="n">
        <v>0</v>
      </c>
      <c r="K275" t="n">
        <v>0</v>
      </c>
      <c r="L275" t="n">
        <v>0</v>
      </c>
      <c r="M275" t="n">
        <v>0</v>
      </c>
      <c r="N275" t="n">
        <v>0</v>
      </c>
      <c r="O275" t="n">
        <v>0</v>
      </c>
      <c r="P275" t="n">
        <v>0</v>
      </c>
      <c r="Q275" t="n">
        <v>0</v>
      </c>
      <c r="R275" s="2" t="inlineStr"/>
    </row>
    <row r="276" ht="15" customHeight="1">
      <c r="A276" t="inlineStr">
        <is>
          <t>A 7034-2023</t>
        </is>
      </c>
      <c r="B276" s="1" t="n">
        <v>44968.32108796296</v>
      </c>
      <c r="C276" s="1" t="n">
        <v>46145</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7042-2023</t>
        </is>
      </c>
      <c r="B277" s="1" t="n">
        <v>44968</v>
      </c>
      <c r="C277" s="1" t="n">
        <v>46145</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45076.93391203704</v>
      </c>
      <c r="C278" s="1" t="n">
        <v>46145</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46145</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63763-2023</t>
        </is>
      </c>
      <c r="B280" s="1" t="n">
        <v>45278.33944444444</v>
      </c>
      <c r="C280" s="1" t="n">
        <v>46145</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63229-2021</t>
        </is>
      </c>
      <c r="B281" s="1" t="n">
        <v>44508.34518518519</v>
      </c>
      <c r="C281" s="1" t="n">
        <v>46145</v>
      </c>
      <c r="D281" t="inlineStr">
        <is>
          <t>GOTLANDS LÄN</t>
        </is>
      </c>
      <c r="E281" t="inlineStr">
        <is>
          <t>GOTLAND</t>
        </is>
      </c>
      <c r="F281" t="inlineStr">
        <is>
          <t>Kyrkan</t>
        </is>
      </c>
      <c r="G281" t="n">
        <v>3.8</v>
      </c>
      <c r="H281" t="n">
        <v>0</v>
      </c>
      <c r="I281" t="n">
        <v>0</v>
      </c>
      <c r="J281" t="n">
        <v>0</v>
      </c>
      <c r="K281" t="n">
        <v>0</v>
      </c>
      <c r="L281" t="n">
        <v>0</v>
      </c>
      <c r="M281" t="n">
        <v>0</v>
      </c>
      <c r="N281" t="n">
        <v>0</v>
      </c>
      <c r="O281" t="n">
        <v>0</v>
      </c>
      <c r="P281" t="n">
        <v>0</v>
      </c>
      <c r="Q281" t="n">
        <v>0</v>
      </c>
      <c r="R281" s="2" t="inlineStr"/>
    </row>
    <row r="282" ht="15" customHeight="1">
      <c r="A282" t="inlineStr">
        <is>
          <t>A 46375-2024</t>
        </is>
      </c>
      <c r="B282" s="1" t="n">
        <v>45582</v>
      </c>
      <c r="C282" s="1" t="n">
        <v>46145</v>
      </c>
      <c r="D282" t="inlineStr">
        <is>
          <t>GOTLANDS LÄN</t>
        </is>
      </c>
      <c r="E282" t="inlineStr">
        <is>
          <t>GOTLAND</t>
        </is>
      </c>
      <c r="G282" t="n">
        <v>3</v>
      </c>
      <c r="H282" t="n">
        <v>0</v>
      </c>
      <c r="I282" t="n">
        <v>0</v>
      </c>
      <c r="J282" t="n">
        <v>0</v>
      </c>
      <c r="K282" t="n">
        <v>0</v>
      </c>
      <c r="L282" t="n">
        <v>0</v>
      </c>
      <c r="M282" t="n">
        <v>0</v>
      </c>
      <c r="N282" t="n">
        <v>0</v>
      </c>
      <c r="O282" t="n">
        <v>0</v>
      </c>
      <c r="P282" t="n">
        <v>0</v>
      </c>
      <c r="Q282" t="n">
        <v>0</v>
      </c>
      <c r="R282" s="2" t="inlineStr"/>
    </row>
    <row r="283" ht="15" customHeight="1">
      <c r="A283" t="inlineStr">
        <is>
          <t>A 6108-2025</t>
        </is>
      </c>
      <c r="B283" s="1" t="n">
        <v>45698.29880787037</v>
      </c>
      <c r="C283" s="1" t="n">
        <v>46145</v>
      </c>
      <c r="D283" t="inlineStr">
        <is>
          <t>GOTLANDS LÄN</t>
        </is>
      </c>
      <c r="E283" t="inlineStr">
        <is>
          <t>GOTLAND</t>
        </is>
      </c>
      <c r="G283" t="n">
        <v>2.8</v>
      </c>
      <c r="H283" t="n">
        <v>0</v>
      </c>
      <c r="I283" t="n">
        <v>0</v>
      </c>
      <c r="J283" t="n">
        <v>0</v>
      </c>
      <c r="K283" t="n">
        <v>0</v>
      </c>
      <c r="L283" t="n">
        <v>0</v>
      </c>
      <c r="M283" t="n">
        <v>0</v>
      </c>
      <c r="N283" t="n">
        <v>0</v>
      </c>
      <c r="O283" t="n">
        <v>0</v>
      </c>
      <c r="P283" t="n">
        <v>0</v>
      </c>
      <c r="Q283" t="n">
        <v>0</v>
      </c>
      <c r="R283" s="2" t="inlineStr"/>
    </row>
    <row r="284" ht="15" customHeight="1">
      <c r="A284" t="inlineStr">
        <is>
          <t>A 21142-2025</t>
        </is>
      </c>
      <c r="B284" s="1" t="n">
        <v>45779</v>
      </c>
      <c r="C284" s="1" t="n">
        <v>46145</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17343-2025</t>
        </is>
      </c>
      <c r="B285" s="1" t="n">
        <v>45756.6687037037</v>
      </c>
      <c r="C285" s="1" t="n">
        <v>46145</v>
      </c>
      <c r="D285" t="inlineStr">
        <is>
          <t>GOTLANDS LÄN</t>
        </is>
      </c>
      <c r="E285" t="inlineStr">
        <is>
          <t>GOTLAND</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18938-2025</t>
        </is>
      </c>
      <c r="B286" s="1" t="n">
        <v>45764.49172453704</v>
      </c>
      <c r="C286" s="1" t="n">
        <v>46145</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30489-2025</t>
        </is>
      </c>
      <c r="B287" s="1" t="n">
        <v>45830</v>
      </c>
      <c r="C287" s="1" t="n">
        <v>46145</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20307-2025</t>
        </is>
      </c>
      <c r="B288" s="1" t="n">
        <v>45774.95546296296</v>
      </c>
      <c r="C288" s="1" t="n">
        <v>46145</v>
      </c>
      <c r="D288" t="inlineStr">
        <is>
          <t>GOTLANDS LÄN</t>
        </is>
      </c>
      <c r="E288" t="inlineStr">
        <is>
          <t>GOTLAND</t>
        </is>
      </c>
      <c r="G288" t="n">
        <v>6.8</v>
      </c>
      <c r="H288" t="n">
        <v>0</v>
      </c>
      <c r="I288" t="n">
        <v>0</v>
      </c>
      <c r="J288" t="n">
        <v>0</v>
      </c>
      <c r="K288" t="n">
        <v>0</v>
      </c>
      <c r="L288" t="n">
        <v>0</v>
      </c>
      <c r="M288" t="n">
        <v>0</v>
      </c>
      <c r="N288" t="n">
        <v>0</v>
      </c>
      <c r="O288" t="n">
        <v>0</v>
      </c>
      <c r="P288" t="n">
        <v>0</v>
      </c>
      <c r="Q288" t="n">
        <v>0</v>
      </c>
      <c r="R288" s="2" t="inlineStr"/>
    </row>
    <row r="289" ht="15" customHeight="1">
      <c r="A289" t="inlineStr">
        <is>
          <t>A 18993-2025</t>
        </is>
      </c>
      <c r="B289" s="1" t="n">
        <v>45764</v>
      </c>
      <c r="C289" s="1" t="n">
        <v>46145</v>
      </c>
      <c r="D289" t="inlineStr">
        <is>
          <t>GOTLANDS LÄN</t>
        </is>
      </c>
      <c r="E289" t="inlineStr">
        <is>
          <t>GOTLAND</t>
        </is>
      </c>
      <c r="G289" t="n">
        <v>3</v>
      </c>
      <c r="H289" t="n">
        <v>0</v>
      </c>
      <c r="I289" t="n">
        <v>0</v>
      </c>
      <c r="J289" t="n">
        <v>0</v>
      </c>
      <c r="K289" t="n">
        <v>0</v>
      </c>
      <c r="L289" t="n">
        <v>0</v>
      </c>
      <c r="M289" t="n">
        <v>0</v>
      </c>
      <c r="N289" t="n">
        <v>0</v>
      </c>
      <c r="O289" t="n">
        <v>0</v>
      </c>
      <c r="P289" t="n">
        <v>0</v>
      </c>
      <c r="Q289" t="n">
        <v>0</v>
      </c>
      <c r="R289" s="2" t="inlineStr"/>
    </row>
    <row r="290" ht="15" customHeight="1">
      <c r="A290" t="inlineStr">
        <is>
          <t>A 1734-2025</t>
        </is>
      </c>
      <c r="B290" s="1" t="n">
        <v>45671.3840625</v>
      </c>
      <c r="C290" s="1" t="n">
        <v>46145</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30135-2025</t>
        </is>
      </c>
      <c r="B291" s="1" t="n">
        <v>45826</v>
      </c>
      <c r="C291" s="1" t="n">
        <v>46145</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20993-2023</t>
        </is>
      </c>
      <c r="B292" s="1" t="n">
        <v>45056</v>
      </c>
      <c r="C292" s="1" t="n">
        <v>46145</v>
      </c>
      <c r="D292" t="inlineStr">
        <is>
          <t>GOTLANDS LÄN</t>
        </is>
      </c>
      <c r="E292" t="inlineStr">
        <is>
          <t>GOTLAND</t>
        </is>
      </c>
      <c r="G292" t="n">
        <v>7.1</v>
      </c>
      <c r="H292" t="n">
        <v>0</v>
      </c>
      <c r="I292" t="n">
        <v>0</v>
      </c>
      <c r="J292" t="n">
        <v>0</v>
      </c>
      <c r="K292" t="n">
        <v>0</v>
      </c>
      <c r="L292" t="n">
        <v>0</v>
      </c>
      <c r="M292" t="n">
        <v>0</v>
      </c>
      <c r="N292" t="n">
        <v>0</v>
      </c>
      <c r="O292" t="n">
        <v>0</v>
      </c>
      <c r="P292" t="n">
        <v>0</v>
      </c>
      <c r="Q292" t="n">
        <v>0</v>
      </c>
      <c r="R292" s="2" t="inlineStr"/>
    </row>
    <row r="293" ht="15" customHeight="1">
      <c r="A293" t="inlineStr">
        <is>
          <t>A 12599-2025</t>
        </is>
      </c>
      <c r="B293" s="1" t="n">
        <v>45733.29546296296</v>
      </c>
      <c r="C293" s="1" t="n">
        <v>46145</v>
      </c>
      <c r="D293" t="inlineStr">
        <is>
          <t>GOTLANDS LÄN</t>
        </is>
      </c>
      <c r="E293" t="inlineStr">
        <is>
          <t>GOTLAND</t>
        </is>
      </c>
      <c r="G293" t="n">
        <v>4.7</v>
      </c>
      <c r="H293" t="n">
        <v>0</v>
      </c>
      <c r="I293" t="n">
        <v>0</v>
      </c>
      <c r="J293" t="n">
        <v>0</v>
      </c>
      <c r="K293" t="n">
        <v>0</v>
      </c>
      <c r="L293" t="n">
        <v>0</v>
      </c>
      <c r="M293" t="n">
        <v>0</v>
      </c>
      <c r="N293" t="n">
        <v>0</v>
      </c>
      <c r="O293" t="n">
        <v>0</v>
      </c>
      <c r="P293" t="n">
        <v>0</v>
      </c>
      <c r="Q293" t="n">
        <v>0</v>
      </c>
      <c r="R293" s="2" t="inlineStr"/>
    </row>
    <row r="294" ht="15" customHeight="1">
      <c r="A294" t="inlineStr">
        <is>
          <t>A 35141-2025</t>
        </is>
      </c>
      <c r="B294" s="1" t="n">
        <v>45852.65206018519</v>
      </c>
      <c r="C294" s="1" t="n">
        <v>46145</v>
      </c>
      <c r="D294" t="inlineStr">
        <is>
          <t>GOTLANDS LÄN</t>
        </is>
      </c>
      <c r="E294" t="inlineStr">
        <is>
          <t>GOTLAND</t>
        </is>
      </c>
      <c r="G294" t="n">
        <v>1</v>
      </c>
      <c r="H294" t="n">
        <v>0</v>
      </c>
      <c r="I294" t="n">
        <v>0</v>
      </c>
      <c r="J294" t="n">
        <v>0</v>
      </c>
      <c r="K294" t="n">
        <v>0</v>
      </c>
      <c r="L294" t="n">
        <v>0</v>
      </c>
      <c r="M294" t="n">
        <v>0</v>
      </c>
      <c r="N294" t="n">
        <v>0</v>
      </c>
      <c r="O294" t="n">
        <v>0</v>
      </c>
      <c r="P294" t="n">
        <v>0</v>
      </c>
      <c r="Q294" t="n">
        <v>0</v>
      </c>
      <c r="R294" s="2" t="inlineStr"/>
    </row>
    <row r="295" ht="15" customHeight="1">
      <c r="A295" t="inlineStr">
        <is>
          <t>A 35142-2025</t>
        </is>
      </c>
      <c r="B295" s="1" t="n">
        <v>45852.65532407408</v>
      </c>
      <c r="C295" s="1" t="n">
        <v>46145</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12596-2023</t>
        </is>
      </c>
      <c r="B296" s="1" t="n">
        <v>45000.43310185185</v>
      </c>
      <c r="C296" s="1" t="n">
        <v>46145</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2125-2025</t>
        </is>
      </c>
      <c r="B297" s="1" t="n">
        <v>45672.64940972222</v>
      </c>
      <c r="C297" s="1" t="n">
        <v>46145</v>
      </c>
      <c r="D297" t="inlineStr">
        <is>
          <t>GOTLANDS LÄN</t>
        </is>
      </c>
      <c r="E297" t="inlineStr">
        <is>
          <t>GOTLAND</t>
        </is>
      </c>
      <c r="G297" t="n">
        <v>2.3</v>
      </c>
      <c r="H297" t="n">
        <v>0</v>
      </c>
      <c r="I297" t="n">
        <v>0</v>
      </c>
      <c r="J297" t="n">
        <v>0</v>
      </c>
      <c r="K297" t="n">
        <v>0</v>
      </c>
      <c r="L297" t="n">
        <v>0</v>
      </c>
      <c r="M297" t="n">
        <v>0</v>
      </c>
      <c r="N297" t="n">
        <v>0</v>
      </c>
      <c r="O297" t="n">
        <v>0</v>
      </c>
      <c r="P297" t="n">
        <v>0</v>
      </c>
      <c r="Q297" t="n">
        <v>0</v>
      </c>
      <c r="R297" s="2" t="inlineStr"/>
    </row>
    <row r="298" ht="15" customHeight="1">
      <c r="A298" t="inlineStr">
        <is>
          <t>A 12155-2023</t>
        </is>
      </c>
      <c r="B298" s="1" t="n">
        <v>44998.49106481481</v>
      </c>
      <c r="C298" s="1" t="n">
        <v>46145</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20356-2022</t>
        </is>
      </c>
      <c r="B299" s="1" t="n">
        <v>44699</v>
      </c>
      <c r="C299" s="1" t="n">
        <v>46145</v>
      </c>
      <c r="D299" t="inlineStr">
        <is>
          <t>GOTLANDS LÄN</t>
        </is>
      </c>
      <c r="E299" t="inlineStr">
        <is>
          <t>GOTLAND</t>
        </is>
      </c>
      <c r="F299" t="inlineStr">
        <is>
          <t>Övriga Aktiebolag</t>
        </is>
      </c>
      <c r="G299" t="n">
        <v>4.4</v>
      </c>
      <c r="H299" t="n">
        <v>0</v>
      </c>
      <c r="I299" t="n">
        <v>0</v>
      </c>
      <c r="J299" t="n">
        <v>0</v>
      </c>
      <c r="K299" t="n">
        <v>0</v>
      </c>
      <c r="L299" t="n">
        <v>0</v>
      </c>
      <c r="M299" t="n">
        <v>0</v>
      </c>
      <c r="N299" t="n">
        <v>0</v>
      </c>
      <c r="O299" t="n">
        <v>0</v>
      </c>
      <c r="P299" t="n">
        <v>0</v>
      </c>
      <c r="Q299" t="n">
        <v>0</v>
      </c>
      <c r="R299" s="2" t="inlineStr"/>
    </row>
    <row r="300" ht="15" customHeight="1">
      <c r="A300" t="inlineStr">
        <is>
          <t>A 457-2023</t>
        </is>
      </c>
      <c r="B300" s="1" t="n">
        <v>44929.87238425926</v>
      </c>
      <c r="C300" s="1" t="n">
        <v>46145</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459-2023</t>
        </is>
      </c>
      <c r="B301" s="1" t="n">
        <v>44929.87423611111</v>
      </c>
      <c r="C301" s="1" t="n">
        <v>46145</v>
      </c>
      <c r="D301" t="inlineStr">
        <is>
          <t>GOTLANDS LÄN</t>
        </is>
      </c>
      <c r="E301" t="inlineStr">
        <is>
          <t>GOTLAND</t>
        </is>
      </c>
      <c r="G301" t="n">
        <v>4.2</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46145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50744-2024</t>
        </is>
      </c>
      <c r="B303" s="1" t="n">
        <v>45602.4187037037</v>
      </c>
      <c r="C303" s="1" t="n">
        <v>46145</v>
      </c>
      <c r="D303" t="inlineStr">
        <is>
          <t>GOTLANDS LÄN</t>
        </is>
      </c>
      <c r="E303" t="inlineStr">
        <is>
          <t>GOTLAND</t>
        </is>
      </c>
      <c r="G303" t="n">
        <v>3.2</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46145</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39814-2025</t>
        </is>
      </c>
      <c r="B305" s="1" t="n">
        <v>45891.52694444444</v>
      </c>
      <c r="C305" s="1" t="n">
        <v>46145</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53934-2024</t>
        </is>
      </c>
      <c r="B306" s="1" t="n">
        <v>45615</v>
      </c>
      <c r="C306" s="1" t="n">
        <v>46145</v>
      </c>
      <c r="D306" t="inlineStr">
        <is>
          <t>GOTLANDS LÄN</t>
        </is>
      </c>
      <c r="E306" t="inlineStr">
        <is>
          <t>GOTLAND</t>
        </is>
      </c>
      <c r="G306" t="n">
        <v>5</v>
      </c>
      <c r="H306" t="n">
        <v>0</v>
      </c>
      <c r="I306" t="n">
        <v>0</v>
      </c>
      <c r="J306" t="n">
        <v>0</v>
      </c>
      <c r="K306" t="n">
        <v>0</v>
      </c>
      <c r="L306" t="n">
        <v>0</v>
      </c>
      <c r="M306" t="n">
        <v>0</v>
      </c>
      <c r="N306" t="n">
        <v>0</v>
      </c>
      <c r="O306" t="n">
        <v>0</v>
      </c>
      <c r="P306" t="n">
        <v>0</v>
      </c>
      <c r="Q306" t="n">
        <v>0</v>
      </c>
      <c r="R306" s="2" t="inlineStr"/>
    </row>
    <row r="307" ht="15" customHeight="1">
      <c r="A307" t="inlineStr">
        <is>
          <t>A 39849-2025</t>
        </is>
      </c>
      <c r="B307" s="1" t="n">
        <v>45891.58502314815</v>
      </c>
      <c r="C307" s="1" t="n">
        <v>46145</v>
      </c>
      <c r="D307" t="inlineStr">
        <is>
          <t>GOTLANDS LÄN</t>
        </is>
      </c>
      <c r="E307" t="inlineStr">
        <is>
          <t>GOTLAND</t>
        </is>
      </c>
      <c r="G307" t="n">
        <v>6.1</v>
      </c>
      <c r="H307" t="n">
        <v>0</v>
      </c>
      <c r="I307" t="n">
        <v>0</v>
      </c>
      <c r="J307" t="n">
        <v>0</v>
      </c>
      <c r="K307" t="n">
        <v>0</v>
      </c>
      <c r="L307" t="n">
        <v>0</v>
      </c>
      <c r="M307" t="n">
        <v>0</v>
      </c>
      <c r="N307" t="n">
        <v>0</v>
      </c>
      <c r="O307" t="n">
        <v>0</v>
      </c>
      <c r="P307" t="n">
        <v>0</v>
      </c>
      <c r="Q307" t="n">
        <v>0</v>
      </c>
      <c r="R307" s="2" t="inlineStr"/>
    </row>
    <row r="308" ht="15" customHeight="1">
      <c r="A308" t="inlineStr">
        <is>
          <t>A 39752-2025</t>
        </is>
      </c>
      <c r="B308" s="1" t="n">
        <v>45891</v>
      </c>
      <c r="C308" s="1" t="n">
        <v>46145</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39816-2025</t>
        </is>
      </c>
      <c r="B309" s="1" t="n">
        <v>45891</v>
      </c>
      <c r="C309" s="1" t="n">
        <v>46145</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40103-2025</t>
        </is>
      </c>
      <c r="B310" s="1" t="n">
        <v>45894.4880324074</v>
      </c>
      <c r="C310" s="1" t="n">
        <v>46145</v>
      </c>
      <c r="D310" t="inlineStr">
        <is>
          <t>GOTLANDS LÄN</t>
        </is>
      </c>
      <c r="E310" t="inlineStr">
        <is>
          <t>GOTLAND</t>
        </is>
      </c>
      <c r="G310" t="n">
        <v>0.9</v>
      </c>
      <c r="H310" t="n">
        <v>0</v>
      </c>
      <c r="I310" t="n">
        <v>0</v>
      </c>
      <c r="J310" t="n">
        <v>0</v>
      </c>
      <c r="K310" t="n">
        <v>0</v>
      </c>
      <c r="L310" t="n">
        <v>0</v>
      </c>
      <c r="M310" t="n">
        <v>0</v>
      </c>
      <c r="N310" t="n">
        <v>0</v>
      </c>
      <c r="O310" t="n">
        <v>0</v>
      </c>
      <c r="P310" t="n">
        <v>0</v>
      </c>
      <c r="Q310" t="n">
        <v>0</v>
      </c>
      <c r="R310" s="2" t="inlineStr"/>
    </row>
    <row r="311" ht="15" customHeight="1">
      <c r="A311" t="inlineStr">
        <is>
          <t>A 40373-2025</t>
        </is>
      </c>
      <c r="B311" s="1" t="n">
        <v>45895.51821759259</v>
      </c>
      <c r="C311" s="1" t="n">
        <v>46145</v>
      </c>
      <c r="D311" t="inlineStr">
        <is>
          <t>GOTLANDS LÄN</t>
        </is>
      </c>
      <c r="E311" t="inlineStr">
        <is>
          <t>GOTLAND</t>
        </is>
      </c>
      <c r="G311" t="n">
        <v>0.6</v>
      </c>
      <c r="H311" t="n">
        <v>0</v>
      </c>
      <c r="I311" t="n">
        <v>0</v>
      </c>
      <c r="J311" t="n">
        <v>0</v>
      </c>
      <c r="K311" t="n">
        <v>0</v>
      </c>
      <c r="L311" t="n">
        <v>0</v>
      </c>
      <c r="M311" t="n">
        <v>0</v>
      </c>
      <c r="N311" t="n">
        <v>0</v>
      </c>
      <c r="O311" t="n">
        <v>0</v>
      </c>
      <c r="P311" t="n">
        <v>0</v>
      </c>
      <c r="Q311" t="n">
        <v>0</v>
      </c>
      <c r="R311" s="2" t="inlineStr"/>
    </row>
    <row r="312" ht="15" customHeight="1">
      <c r="A312" t="inlineStr">
        <is>
          <t>A 40499-2025</t>
        </is>
      </c>
      <c r="B312" s="1" t="n">
        <v>45896.32517361111</v>
      </c>
      <c r="C312" s="1" t="n">
        <v>46145</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40372-2025</t>
        </is>
      </c>
      <c r="B313" s="1" t="n">
        <v>45895.5162037037</v>
      </c>
      <c r="C313" s="1" t="n">
        <v>46145</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39278-2025</t>
        </is>
      </c>
      <c r="B314" s="1" t="n">
        <v>45889</v>
      </c>
      <c r="C314" s="1" t="n">
        <v>46145</v>
      </c>
      <c r="D314" t="inlineStr">
        <is>
          <t>GOTLANDS LÄN</t>
        </is>
      </c>
      <c r="E314" t="inlineStr">
        <is>
          <t>GOTLAND</t>
        </is>
      </c>
      <c r="G314" t="n">
        <v>3.7</v>
      </c>
      <c r="H314" t="n">
        <v>0</v>
      </c>
      <c r="I314" t="n">
        <v>0</v>
      </c>
      <c r="J314" t="n">
        <v>0</v>
      </c>
      <c r="K314" t="n">
        <v>0</v>
      </c>
      <c r="L314" t="n">
        <v>0</v>
      </c>
      <c r="M314" t="n">
        <v>0</v>
      </c>
      <c r="N314" t="n">
        <v>0</v>
      </c>
      <c r="O314" t="n">
        <v>0</v>
      </c>
      <c r="P314" t="n">
        <v>0</v>
      </c>
      <c r="Q314" t="n">
        <v>0</v>
      </c>
      <c r="R314" s="2" t="inlineStr"/>
    </row>
    <row r="315" ht="15" customHeight="1">
      <c r="A315" t="inlineStr">
        <is>
          <t>A 1446-2025</t>
        </is>
      </c>
      <c r="B315" s="1" t="n">
        <v>45669.86035879629</v>
      </c>
      <c r="C315" s="1" t="n">
        <v>46145</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41435-2025</t>
        </is>
      </c>
      <c r="B316" s="1" t="n">
        <v>45901.39974537037</v>
      </c>
      <c r="C316" s="1" t="n">
        <v>46145</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31264-2021</t>
        </is>
      </c>
      <c r="B317" s="1" t="n">
        <v>44368</v>
      </c>
      <c r="C317" s="1" t="n">
        <v>46145</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41551-2025</t>
        </is>
      </c>
      <c r="B318" s="1" t="n">
        <v>45901.58854166666</v>
      </c>
      <c r="C318" s="1" t="n">
        <v>46145</v>
      </c>
      <c r="D318" t="inlineStr">
        <is>
          <t>GOTLANDS LÄN</t>
        </is>
      </c>
      <c r="E318" t="inlineStr">
        <is>
          <t>GOTLAND</t>
        </is>
      </c>
      <c r="G318" t="n">
        <v>5.6</v>
      </c>
      <c r="H318" t="n">
        <v>0</v>
      </c>
      <c r="I318" t="n">
        <v>0</v>
      </c>
      <c r="J318" t="n">
        <v>0</v>
      </c>
      <c r="K318" t="n">
        <v>0</v>
      </c>
      <c r="L318" t="n">
        <v>0</v>
      </c>
      <c r="M318" t="n">
        <v>0</v>
      </c>
      <c r="N318" t="n">
        <v>0</v>
      </c>
      <c r="O318" t="n">
        <v>0</v>
      </c>
      <c r="P318" t="n">
        <v>0</v>
      </c>
      <c r="Q318" t="n">
        <v>0</v>
      </c>
      <c r="R318" s="2" t="inlineStr"/>
    </row>
    <row r="319" ht="15" customHeight="1">
      <c r="A319" t="inlineStr">
        <is>
          <t>A 43901-2023</t>
        </is>
      </c>
      <c r="B319" s="1" t="n">
        <v>45187</v>
      </c>
      <c r="C319" s="1" t="n">
        <v>46145</v>
      </c>
      <c r="D319" t="inlineStr">
        <is>
          <t>GOTLANDS LÄN</t>
        </is>
      </c>
      <c r="E319" t="inlineStr">
        <is>
          <t>GOTLAND</t>
        </is>
      </c>
      <c r="G319" t="n">
        <v>5.4</v>
      </c>
      <c r="H319" t="n">
        <v>0</v>
      </c>
      <c r="I319" t="n">
        <v>0</v>
      </c>
      <c r="J319" t="n">
        <v>0</v>
      </c>
      <c r="K319" t="n">
        <v>0</v>
      </c>
      <c r="L319" t="n">
        <v>0</v>
      </c>
      <c r="M319" t="n">
        <v>0</v>
      </c>
      <c r="N319" t="n">
        <v>0</v>
      </c>
      <c r="O319" t="n">
        <v>0</v>
      </c>
      <c r="P319" t="n">
        <v>0</v>
      </c>
      <c r="Q319" t="n">
        <v>0</v>
      </c>
      <c r="R319" s="2" t="inlineStr"/>
    </row>
    <row r="320" ht="15" customHeight="1">
      <c r="A320" t="inlineStr">
        <is>
          <t>A 10746-2025</t>
        </is>
      </c>
      <c r="B320" s="1" t="n">
        <v>45722.42766203704</v>
      </c>
      <c r="C320" s="1" t="n">
        <v>46145</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16501-2023</t>
        </is>
      </c>
      <c r="B321" s="1" t="n">
        <v>45029</v>
      </c>
      <c r="C321" s="1" t="n">
        <v>46145</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27930-2021</t>
        </is>
      </c>
      <c r="B322" s="1" t="n">
        <v>44354</v>
      </c>
      <c r="C322" s="1" t="n">
        <v>46145</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46145</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10492-2023</t>
        </is>
      </c>
      <c r="B324" s="1" t="n">
        <v>44987</v>
      </c>
      <c r="C324" s="1" t="n">
        <v>46145</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42608-2025</t>
        </is>
      </c>
      <c r="B325" s="1" t="n">
        <v>45905</v>
      </c>
      <c r="C325" s="1" t="n">
        <v>46145</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46145</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5909-2025</t>
        </is>
      </c>
      <c r="B327" s="1" t="n">
        <v>45695.40634259259</v>
      </c>
      <c r="C327" s="1" t="n">
        <v>46145</v>
      </c>
      <c r="D327" t="inlineStr">
        <is>
          <t>GOTLANDS LÄN</t>
        </is>
      </c>
      <c r="E327" t="inlineStr">
        <is>
          <t>GOTLAND</t>
        </is>
      </c>
      <c r="G327" t="n">
        <v>2.9</v>
      </c>
      <c r="H327" t="n">
        <v>0</v>
      </c>
      <c r="I327" t="n">
        <v>0</v>
      </c>
      <c r="J327" t="n">
        <v>0</v>
      </c>
      <c r="K327" t="n">
        <v>0</v>
      </c>
      <c r="L327" t="n">
        <v>0</v>
      </c>
      <c r="M327" t="n">
        <v>0</v>
      </c>
      <c r="N327" t="n">
        <v>0</v>
      </c>
      <c r="O327" t="n">
        <v>0</v>
      </c>
      <c r="P327" t="n">
        <v>0</v>
      </c>
      <c r="Q327" t="n">
        <v>0</v>
      </c>
      <c r="R327" s="2" t="inlineStr"/>
    </row>
    <row r="328" ht="15" customHeight="1">
      <c r="A328" t="inlineStr">
        <is>
          <t>A 10653-2023</t>
        </is>
      </c>
      <c r="B328" s="1" t="n">
        <v>44988.48859953704</v>
      </c>
      <c r="C328" s="1" t="n">
        <v>46145</v>
      </c>
      <c r="D328" t="inlineStr">
        <is>
          <t>GOTLANDS LÄN</t>
        </is>
      </c>
      <c r="E328" t="inlineStr">
        <is>
          <t>GOTLAND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4990-2025</t>
        </is>
      </c>
      <c r="B329" s="1" t="n">
        <v>45691</v>
      </c>
      <c r="C329" s="1" t="n">
        <v>46145</v>
      </c>
      <c r="D329" t="inlineStr">
        <is>
          <t>GOTLANDS LÄN</t>
        </is>
      </c>
      <c r="E329" t="inlineStr">
        <is>
          <t>GOTLAND</t>
        </is>
      </c>
      <c r="G329" t="n">
        <v>7.7</v>
      </c>
      <c r="H329" t="n">
        <v>0</v>
      </c>
      <c r="I329" t="n">
        <v>0</v>
      </c>
      <c r="J329" t="n">
        <v>0</v>
      </c>
      <c r="K329" t="n">
        <v>0</v>
      </c>
      <c r="L329" t="n">
        <v>0</v>
      </c>
      <c r="M329" t="n">
        <v>0</v>
      </c>
      <c r="N329" t="n">
        <v>0</v>
      </c>
      <c r="O329" t="n">
        <v>0</v>
      </c>
      <c r="P329" t="n">
        <v>0</v>
      </c>
      <c r="Q329" t="n">
        <v>0</v>
      </c>
      <c r="R329" s="2" t="inlineStr"/>
    </row>
    <row r="330" ht="15" customHeight="1">
      <c r="A330" t="inlineStr">
        <is>
          <t>A 10158-2025</t>
        </is>
      </c>
      <c r="B330" s="1" t="n">
        <v>45719</v>
      </c>
      <c r="C330" s="1" t="n">
        <v>46145</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43911-2025</t>
        </is>
      </c>
      <c r="B331" s="1" t="n">
        <v>45914.3881712963</v>
      </c>
      <c r="C331" s="1" t="n">
        <v>46145</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44410-2025</t>
        </is>
      </c>
      <c r="B332" s="1" t="n">
        <v>45916.53699074074</v>
      </c>
      <c r="C332" s="1" t="n">
        <v>46145</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43951-2025</t>
        </is>
      </c>
      <c r="B333" s="1" t="n">
        <v>45915.38119212963</v>
      </c>
      <c r="C333" s="1" t="n">
        <v>46145</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43081-2022</t>
        </is>
      </c>
      <c r="B334" s="1" t="n">
        <v>44833</v>
      </c>
      <c r="C334" s="1" t="n">
        <v>46145</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44405-2025</t>
        </is>
      </c>
      <c r="B335" s="1" t="n">
        <v>45916.52405092592</v>
      </c>
      <c r="C335" s="1" t="n">
        <v>46145</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32958-2021</t>
        </is>
      </c>
      <c r="B336" s="1" t="n">
        <v>44376</v>
      </c>
      <c r="C336" s="1" t="n">
        <v>46145</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5884-2025</t>
        </is>
      </c>
      <c r="B337" s="1" t="n">
        <v>45695.37482638889</v>
      </c>
      <c r="C337" s="1" t="n">
        <v>46145</v>
      </c>
      <c r="D337" t="inlineStr">
        <is>
          <t>GOTLANDS LÄN</t>
        </is>
      </c>
      <c r="E337" t="inlineStr">
        <is>
          <t>GOTLAND</t>
        </is>
      </c>
      <c r="G337" t="n">
        <v>2.1</v>
      </c>
      <c r="H337" t="n">
        <v>0</v>
      </c>
      <c r="I337" t="n">
        <v>0</v>
      </c>
      <c r="J337" t="n">
        <v>0</v>
      </c>
      <c r="K337" t="n">
        <v>0</v>
      </c>
      <c r="L337" t="n">
        <v>0</v>
      </c>
      <c r="M337" t="n">
        <v>0</v>
      </c>
      <c r="N337" t="n">
        <v>0</v>
      </c>
      <c r="O337" t="n">
        <v>0</v>
      </c>
      <c r="P337" t="n">
        <v>0</v>
      </c>
      <c r="Q337" t="n">
        <v>0</v>
      </c>
      <c r="R337" s="2" t="inlineStr"/>
    </row>
    <row r="338" ht="15" customHeight="1">
      <c r="A338" t="inlineStr">
        <is>
          <t>A 5897-2025</t>
        </is>
      </c>
      <c r="B338" s="1" t="n">
        <v>45695.39273148148</v>
      </c>
      <c r="C338" s="1" t="n">
        <v>46145</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49693-2023</t>
        </is>
      </c>
      <c r="B339" s="1" t="n">
        <v>45212.38138888889</v>
      </c>
      <c r="C339" s="1" t="n">
        <v>46145</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49697-2023</t>
        </is>
      </c>
      <c r="B340" s="1" t="n">
        <v>45212.38909722222</v>
      </c>
      <c r="C340" s="1" t="n">
        <v>46145</v>
      </c>
      <c r="D340" t="inlineStr">
        <is>
          <t>GOTLANDS LÄN</t>
        </is>
      </c>
      <c r="E340" t="inlineStr">
        <is>
          <t>GOTLAND</t>
        </is>
      </c>
      <c r="G340" t="n">
        <v>4.4</v>
      </c>
      <c r="H340" t="n">
        <v>0</v>
      </c>
      <c r="I340" t="n">
        <v>0</v>
      </c>
      <c r="J340" t="n">
        <v>0</v>
      </c>
      <c r="K340" t="n">
        <v>0</v>
      </c>
      <c r="L340" t="n">
        <v>0</v>
      </c>
      <c r="M340" t="n">
        <v>0</v>
      </c>
      <c r="N340" t="n">
        <v>0</v>
      </c>
      <c r="O340" t="n">
        <v>0</v>
      </c>
      <c r="P340" t="n">
        <v>0</v>
      </c>
      <c r="Q340" t="n">
        <v>0</v>
      </c>
      <c r="R340" s="2" t="inlineStr"/>
    </row>
    <row r="341" ht="15" customHeight="1">
      <c r="A341" t="inlineStr">
        <is>
          <t>A 17901-2023</t>
        </is>
      </c>
      <c r="B341" s="1" t="n">
        <v>45039</v>
      </c>
      <c r="C341" s="1" t="n">
        <v>46145</v>
      </c>
      <c r="D341" t="inlineStr">
        <is>
          <t>GOTLANDS LÄN</t>
        </is>
      </c>
      <c r="E341" t="inlineStr">
        <is>
          <t>GOTLAND</t>
        </is>
      </c>
      <c r="F341" t="inlineStr">
        <is>
          <t>Kyrkan</t>
        </is>
      </c>
      <c r="G341" t="n">
        <v>0.6</v>
      </c>
      <c r="H341" t="n">
        <v>0</v>
      </c>
      <c r="I341" t="n">
        <v>0</v>
      </c>
      <c r="J341" t="n">
        <v>0</v>
      </c>
      <c r="K341" t="n">
        <v>0</v>
      </c>
      <c r="L341" t="n">
        <v>0</v>
      </c>
      <c r="M341" t="n">
        <v>0</v>
      </c>
      <c r="N341" t="n">
        <v>0</v>
      </c>
      <c r="O341" t="n">
        <v>0</v>
      </c>
      <c r="P341" t="n">
        <v>0</v>
      </c>
      <c r="Q341" t="n">
        <v>0</v>
      </c>
      <c r="R341" s="2" t="inlineStr"/>
    </row>
    <row r="342" ht="15" customHeight="1">
      <c r="A342" t="inlineStr">
        <is>
          <t>A 52892-2021</t>
        </is>
      </c>
      <c r="B342" s="1" t="n">
        <v>44467.49048611111</v>
      </c>
      <c r="C342" s="1" t="n">
        <v>46145</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46396-2023</t>
        </is>
      </c>
      <c r="B343" s="1" t="n">
        <v>45197</v>
      </c>
      <c r="C343" s="1" t="n">
        <v>46145</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46145</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46836-2025</t>
        </is>
      </c>
      <c r="B345" s="1" t="n">
        <v>45928.31511574074</v>
      </c>
      <c r="C345" s="1" t="n">
        <v>46145</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17724-2024</t>
        </is>
      </c>
      <c r="B346" s="1" t="n">
        <v>45418.55096064815</v>
      </c>
      <c r="C346" s="1" t="n">
        <v>46145</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34312-2024</t>
        </is>
      </c>
      <c r="B347" s="1" t="n">
        <v>45524.69703703704</v>
      </c>
      <c r="C347" s="1" t="n">
        <v>46145</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69112-2021</t>
        </is>
      </c>
      <c r="B348" s="1" t="n">
        <v>44530</v>
      </c>
      <c r="C348" s="1" t="n">
        <v>46145</v>
      </c>
      <c r="D348" t="inlineStr">
        <is>
          <t>GOTLANDS LÄN</t>
        </is>
      </c>
      <c r="E348" t="inlineStr">
        <is>
          <t>GOTLAND</t>
        </is>
      </c>
      <c r="G348" t="n">
        <v>4.2</v>
      </c>
      <c r="H348" t="n">
        <v>0</v>
      </c>
      <c r="I348" t="n">
        <v>0</v>
      </c>
      <c r="J348" t="n">
        <v>0</v>
      </c>
      <c r="K348" t="n">
        <v>0</v>
      </c>
      <c r="L348" t="n">
        <v>0</v>
      </c>
      <c r="M348" t="n">
        <v>0</v>
      </c>
      <c r="N348" t="n">
        <v>0</v>
      </c>
      <c r="O348" t="n">
        <v>0</v>
      </c>
      <c r="P348" t="n">
        <v>0</v>
      </c>
      <c r="Q348" t="n">
        <v>0</v>
      </c>
      <c r="R348" s="2" t="inlineStr"/>
    </row>
    <row r="349" ht="15" customHeight="1">
      <c r="A349" t="inlineStr">
        <is>
          <t>A 47637-2025</t>
        </is>
      </c>
      <c r="B349" s="1" t="n">
        <v>45931.49753472222</v>
      </c>
      <c r="C349" s="1" t="n">
        <v>46145</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7638-2025</t>
        </is>
      </c>
      <c r="B350" s="1" t="n">
        <v>45705.77306712963</v>
      </c>
      <c r="C350" s="1" t="n">
        <v>46145</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50482-2024</t>
        </is>
      </c>
      <c r="B351" s="1" t="n">
        <v>45601.48114583334</v>
      </c>
      <c r="C351" s="1" t="n">
        <v>46145</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32378-2025</t>
        </is>
      </c>
      <c r="B352" s="1" t="n">
        <v>45837</v>
      </c>
      <c r="C352" s="1" t="n">
        <v>46145</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1394-2023</t>
        </is>
      </c>
      <c r="B353" s="1" t="n">
        <v>44936.72997685185</v>
      </c>
      <c r="C353" s="1" t="n">
        <v>46145</v>
      </c>
      <c r="D353" t="inlineStr">
        <is>
          <t>GOTLANDS LÄN</t>
        </is>
      </c>
      <c r="E353" t="inlineStr">
        <is>
          <t>GOTLAND</t>
        </is>
      </c>
      <c r="G353" t="n">
        <v>2.1</v>
      </c>
      <c r="H353" t="n">
        <v>0</v>
      </c>
      <c r="I353" t="n">
        <v>0</v>
      </c>
      <c r="J353" t="n">
        <v>0</v>
      </c>
      <c r="K353" t="n">
        <v>0</v>
      </c>
      <c r="L353" t="n">
        <v>0</v>
      </c>
      <c r="M353" t="n">
        <v>0</v>
      </c>
      <c r="N353" t="n">
        <v>0</v>
      </c>
      <c r="O353" t="n">
        <v>0</v>
      </c>
      <c r="P353" t="n">
        <v>0</v>
      </c>
      <c r="Q353" t="n">
        <v>0</v>
      </c>
      <c r="R353" s="2" t="inlineStr"/>
    </row>
    <row r="354" ht="15" customHeight="1">
      <c r="A354" t="inlineStr">
        <is>
          <t>A 35550-2025</t>
        </is>
      </c>
      <c r="B354" s="1" t="n">
        <v>45856.49324074074</v>
      </c>
      <c r="C354" s="1" t="n">
        <v>46145</v>
      </c>
      <c r="D354" t="inlineStr">
        <is>
          <t>GOTLANDS LÄN</t>
        </is>
      </c>
      <c r="E354" t="inlineStr">
        <is>
          <t>GOTLAND</t>
        </is>
      </c>
      <c r="G354" t="n">
        <v>3.2</v>
      </c>
      <c r="H354" t="n">
        <v>0</v>
      </c>
      <c r="I354" t="n">
        <v>0</v>
      </c>
      <c r="J354" t="n">
        <v>0</v>
      </c>
      <c r="K354" t="n">
        <v>0</v>
      </c>
      <c r="L354" t="n">
        <v>0</v>
      </c>
      <c r="M354" t="n">
        <v>0</v>
      </c>
      <c r="N354" t="n">
        <v>0</v>
      </c>
      <c r="O354" t="n">
        <v>0</v>
      </c>
      <c r="P354" t="n">
        <v>0</v>
      </c>
      <c r="Q354" t="n">
        <v>0</v>
      </c>
      <c r="R354" s="2" t="inlineStr"/>
    </row>
    <row r="355" ht="15" customHeight="1">
      <c r="A355" t="inlineStr">
        <is>
          <t>A 58230-2024</t>
        </is>
      </c>
      <c r="B355" s="1" t="n">
        <v>45632.51625</v>
      </c>
      <c r="C355" s="1" t="n">
        <v>46145</v>
      </c>
      <c r="D355" t="inlineStr">
        <is>
          <t>GOTLANDS LÄN</t>
        </is>
      </c>
      <c r="E355" t="inlineStr">
        <is>
          <t>GOTLAND</t>
        </is>
      </c>
      <c r="G355" t="n">
        <v>7.3</v>
      </c>
      <c r="H355" t="n">
        <v>0</v>
      </c>
      <c r="I355" t="n">
        <v>0</v>
      </c>
      <c r="J355" t="n">
        <v>0</v>
      </c>
      <c r="K355" t="n">
        <v>0</v>
      </c>
      <c r="L355" t="n">
        <v>0</v>
      </c>
      <c r="M355" t="n">
        <v>0</v>
      </c>
      <c r="N355" t="n">
        <v>0</v>
      </c>
      <c r="O355" t="n">
        <v>0</v>
      </c>
      <c r="P355" t="n">
        <v>0</v>
      </c>
      <c r="Q355" t="n">
        <v>0</v>
      </c>
      <c r="R355" s="2" t="inlineStr"/>
    </row>
    <row r="356" ht="15" customHeight="1">
      <c r="A356" t="inlineStr">
        <is>
          <t>A 1462-2025</t>
        </is>
      </c>
      <c r="B356" s="1" t="n">
        <v>45670.36319444444</v>
      </c>
      <c r="C356" s="1" t="n">
        <v>46145</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46145</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46145</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46145</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25129-2023</t>
        </is>
      </c>
      <c r="B360" s="1" t="n">
        <v>45086.44261574074</v>
      </c>
      <c r="C360" s="1" t="n">
        <v>46145</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46145</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49690-2025</t>
        </is>
      </c>
      <c r="B362" s="1" t="n">
        <v>45939.66730324074</v>
      </c>
      <c r="C362" s="1" t="n">
        <v>46145</v>
      </c>
      <c r="D362" t="inlineStr">
        <is>
          <t>GOTLANDS LÄN</t>
        </is>
      </c>
      <c r="E362" t="inlineStr">
        <is>
          <t>GOTLAND</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33011-2025</t>
        </is>
      </c>
      <c r="B363" s="1" t="n">
        <v>45840</v>
      </c>
      <c r="C363" s="1" t="n">
        <v>46145</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46145</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5386-2023</t>
        </is>
      </c>
      <c r="B365" s="1" t="n">
        <v>44959</v>
      </c>
      <c r="C365" s="1" t="n">
        <v>46145</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7026-2023</t>
        </is>
      </c>
      <c r="B366" s="1" t="n">
        <v>44968.30340277778</v>
      </c>
      <c r="C366" s="1" t="n">
        <v>46145</v>
      </c>
      <c r="D366" t="inlineStr">
        <is>
          <t>GOTLANDS LÄN</t>
        </is>
      </c>
      <c r="E366" t="inlineStr">
        <is>
          <t>GOTLAND</t>
        </is>
      </c>
      <c r="G366" t="n">
        <v>2.9</v>
      </c>
      <c r="H366" t="n">
        <v>0</v>
      </c>
      <c r="I366" t="n">
        <v>0</v>
      </c>
      <c r="J366" t="n">
        <v>0</v>
      </c>
      <c r="K366" t="n">
        <v>0</v>
      </c>
      <c r="L366" t="n">
        <v>0</v>
      </c>
      <c r="M366" t="n">
        <v>0</v>
      </c>
      <c r="N366" t="n">
        <v>0</v>
      </c>
      <c r="O366" t="n">
        <v>0</v>
      </c>
      <c r="P366" t="n">
        <v>0</v>
      </c>
      <c r="Q366" t="n">
        <v>0</v>
      </c>
      <c r="R366" s="2" t="inlineStr"/>
    </row>
    <row r="367" ht="15" customHeight="1">
      <c r="A367" t="inlineStr">
        <is>
          <t>A 20855-2023</t>
        </is>
      </c>
      <c r="B367" s="1" t="n">
        <v>45058.82172453704</v>
      </c>
      <c r="C367" s="1" t="n">
        <v>46145</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46145</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50928-2025</t>
        </is>
      </c>
      <c r="B369" s="1" t="n">
        <v>45946.67896990741</v>
      </c>
      <c r="C369" s="1" t="n">
        <v>46145</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1000-2024</t>
        </is>
      </c>
      <c r="B370" s="1" t="n">
        <v>45301.63371527778</v>
      </c>
      <c r="C370" s="1" t="n">
        <v>46145</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1010-2024</t>
        </is>
      </c>
      <c r="B371" s="1" t="n">
        <v>45301</v>
      </c>
      <c r="C371" s="1" t="n">
        <v>46145</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47762-2023</t>
        </is>
      </c>
      <c r="B372" s="1" t="n">
        <v>45203.86256944444</v>
      </c>
      <c r="C372" s="1" t="n">
        <v>46145</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51262-2025</t>
        </is>
      </c>
      <c r="B373" s="1" t="n">
        <v>45949.49872685185</v>
      </c>
      <c r="C373" s="1" t="n">
        <v>46145</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46545-2024</t>
        </is>
      </c>
      <c r="B374" s="1" t="n">
        <v>45582.65831018519</v>
      </c>
      <c r="C374" s="1" t="n">
        <v>46145</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60086-2022</t>
        </is>
      </c>
      <c r="B375" s="1" t="n">
        <v>44909</v>
      </c>
      <c r="C375" s="1" t="n">
        <v>46145</v>
      </c>
      <c r="D375" t="inlineStr">
        <is>
          <t>GOTLANDS LÄN</t>
        </is>
      </c>
      <c r="E375" t="inlineStr">
        <is>
          <t>GOTLAND</t>
        </is>
      </c>
      <c r="G375" t="n">
        <v>2.1</v>
      </c>
      <c r="H375" t="n">
        <v>0</v>
      </c>
      <c r="I375" t="n">
        <v>0</v>
      </c>
      <c r="J375" t="n">
        <v>0</v>
      </c>
      <c r="K375" t="n">
        <v>0</v>
      </c>
      <c r="L375" t="n">
        <v>0</v>
      </c>
      <c r="M375" t="n">
        <v>0</v>
      </c>
      <c r="N375" t="n">
        <v>0</v>
      </c>
      <c r="O375" t="n">
        <v>0</v>
      </c>
      <c r="P375" t="n">
        <v>0</v>
      </c>
      <c r="Q375" t="n">
        <v>0</v>
      </c>
      <c r="R375" s="2" t="inlineStr"/>
    </row>
    <row r="376" ht="15" customHeight="1">
      <c r="A376" t="inlineStr">
        <is>
          <t>A 28480-2023</t>
        </is>
      </c>
      <c r="B376" s="1" t="n">
        <v>45103</v>
      </c>
      <c r="C376" s="1" t="n">
        <v>46145</v>
      </c>
      <c r="D376" t="inlineStr">
        <is>
          <t>GOTLANDS LÄN</t>
        </is>
      </c>
      <c r="E376" t="inlineStr">
        <is>
          <t>GOTLAND</t>
        </is>
      </c>
      <c r="G376" t="n">
        <v>5.7</v>
      </c>
      <c r="H376" t="n">
        <v>0</v>
      </c>
      <c r="I376" t="n">
        <v>0</v>
      </c>
      <c r="J376" t="n">
        <v>0</v>
      </c>
      <c r="K376" t="n">
        <v>0</v>
      </c>
      <c r="L376" t="n">
        <v>0</v>
      </c>
      <c r="M376" t="n">
        <v>0</v>
      </c>
      <c r="N376" t="n">
        <v>0</v>
      </c>
      <c r="O376" t="n">
        <v>0</v>
      </c>
      <c r="P376" t="n">
        <v>0</v>
      </c>
      <c r="Q376" t="n">
        <v>0</v>
      </c>
      <c r="R376" s="2" t="inlineStr"/>
    </row>
    <row r="377" ht="15" customHeight="1">
      <c r="A377" t="inlineStr">
        <is>
          <t>A 28485-2023</t>
        </is>
      </c>
      <c r="B377" s="1" t="n">
        <v>45103.43731481482</v>
      </c>
      <c r="C377" s="1" t="n">
        <v>46145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62915-2021</t>
        </is>
      </c>
      <c r="B378" s="1" t="n">
        <v>44504</v>
      </c>
      <c r="C378" s="1" t="n">
        <v>46145</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52249-2025</t>
        </is>
      </c>
      <c r="B379" s="1" t="n">
        <v>45953.48637731482</v>
      </c>
      <c r="C379" s="1" t="n">
        <v>46145</v>
      </c>
      <c r="D379" t="inlineStr">
        <is>
          <t>GOTLANDS LÄN</t>
        </is>
      </c>
      <c r="E379" t="inlineStr">
        <is>
          <t>GOTLAND</t>
        </is>
      </c>
      <c r="F379" t="inlineStr">
        <is>
          <t>Övriga Aktiebolag</t>
        </is>
      </c>
      <c r="G379" t="n">
        <v>1</v>
      </c>
      <c r="H379" t="n">
        <v>0</v>
      </c>
      <c r="I379" t="n">
        <v>0</v>
      </c>
      <c r="J379" t="n">
        <v>0</v>
      </c>
      <c r="K379" t="n">
        <v>0</v>
      </c>
      <c r="L379" t="n">
        <v>0</v>
      </c>
      <c r="M379" t="n">
        <v>0</v>
      </c>
      <c r="N379" t="n">
        <v>0</v>
      </c>
      <c r="O379" t="n">
        <v>0</v>
      </c>
      <c r="P379" t="n">
        <v>0</v>
      </c>
      <c r="Q379" t="n">
        <v>0</v>
      </c>
      <c r="R379" s="2" t="inlineStr"/>
    </row>
    <row r="380" ht="15" customHeight="1">
      <c r="A380" t="inlineStr">
        <is>
          <t>A 44949-2023</t>
        </is>
      </c>
      <c r="B380" s="1" t="n">
        <v>45190.69520833333</v>
      </c>
      <c r="C380" s="1" t="n">
        <v>46145</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37222-2021</t>
        </is>
      </c>
      <c r="B381" s="1" t="n">
        <v>44396</v>
      </c>
      <c r="C381" s="1" t="n">
        <v>46145</v>
      </c>
      <c r="D381" t="inlineStr">
        <is>
          <t>GOTLANDS LÄN</t>
        </is>
      </c>
      <c r="E381" t="inlineStr">
        <is>
          <t>GOTLAND</t>
        </is>
      </c>
      <c r="G381" t="n">
        <v>3</v>
      </c>
      <c r="H381" t="n">
        <v>0</v>
      </c>
      <c r="I381" t="n">
        <v>0</v>
      </c>
      <c r="J381" t="n">
        <v>0</v>
      </c>
      <c r="K381" t="n">
        <v>0</v>
      </c>
      <c r="L381" t="n">
        <v>0</v>
      </c>
      <c r="M381" t="n">
        <v>0</v>
      </c>
      <c r="N381" t="n">
        <v>0</v>
      </c>
      <c r="O381" t="n">
        <v>0</v>
      </c>
      <c r="P381" t="n">
        <v>0</v>
      </c>
      <c r="Q381" t="n">
        <v>0</v>
      </c>
      <c r="R381" s="2" t="inlineStr"/>
    </row>
    <row r="382" ht="15" customHeight="1">
      <c r="A382" t="inlineStr">
        <is>
          <t>A 52637-2025</t>
        </is>
      </c>
      <c r="B382" s="1" t="n">
        <v>45954.75099537037</v>
      </c>
      <c r="C382" s="1" t="n">
        <v>46145</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3964-2024</t>
        </is>
      </c>
      <c r="B383" s="1" t="n">
        <v>45322</v>
      </c>
      <c r="C383" s="1" t="n">
        <v>46145</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45084-2024</t>
        </is>
      </c>
      <c r="B384" s="1" t="n">
        <v>45575</v>
      </c>
      <c r="C384" s="1" t="n">
        <v>46145</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53569-2025</t>
        </is>
      </c>
      <c r="B385" s="1" t="n">
        <v>45960.41155092593</v>
      </c>
      <c r="C385" s="1" t="n">
        <v>46145</v>
      </c>
      <c r="D385" t="inlineStr">
        <is>
          <t>GOTLANDS LÄN</t>
        </is>
      </c>
      <c r="E385" t="inlineStr">
        <is>
          <t>GOTLAND</t>
        </is>
      </c>
      <c r="F385" t="inlineStr">
        <is>
          <t>Övriga Aktiebolag</t>
        </is>
      </c>
      <c r="G385" t="n">
        <v>11.3</v>
      </c>
      <c r="H385" t="n">
        <v>0</v>
      </c>
      <c r="I385" t="n">
        <v>0</v>
      </c>
      <c r="J385" t="n">
        <v>0</v>
      </c>
      <c r="K385" t="n">
        <v>0</v>
      </c>
      <c r="L385" t="n">
        <v>0</v>
      </c>
      <c r="M385" t="n">
        <v>0</v>
      </c>
      <c r="N385" t="n">
        <v>0</v>
      </c>
      <c r="O385" t="n">
        <v>0</v>
      </c>
      <c r="P385" t="n">
        <v>0</v>
      </c>
      <c r="Q385" t="n">
        <v>0</v>
      </c>
      <c r="R385" s="2" t="inlineStr"/>
    </row>
    <row r="386" ht="15" customHeight="1">
      <c r="A386" t="inlineStr">
        <is>
          <t>A 53577-2025</t>
        </is>
      </c>
      <c r="B386" s="1" t="n">
        <v>45960.42224537037</v>
      </c>
      <c r="C386" s="1" t="n">
        <v>46145</v>
      </c>
      <c r="D386" t="inlineStr">
        <is>
          <t>GOTLANDS LÄN</t>
        </is>
      </c>
      <c r="E386" t="inlineStr">
        <is>
          <t>GOTLAND</t>
        </is>
      </c>
      <c r="F386" t="inlineStr">
        <is>
          <t>Övriga Aktiebolag</t>
        </is>
      </c>
      <c r="G386" t="n">
        <v>3.3</v>
      </c>
      <c r="H386" t="n">
        <v>0</v>
      </c>
      <c r="I386" t="n">
        <v>0</v>
      </c>
      <c r="J386" t="n">
        <v>0</v>
      </c>
      <c r="K386" t="n">
        <v>0</v>
      </c>
      <c r="L386" t="n">
        <v>0</v>
      </c>
      <c r="M386" t="n">
        <v>0</v>
      </c>
      <c r="N386" t="n">
        <v>0</v>
      </c>
      <c r="O386" t="n">
        <v>0</v>
      </c>
      <c r="P386" t="n">
        <v>0</v>
      </c>
      <c r="Q386" t="n">
        <v>0</v>
      </c>
      <c r="R386" s="2" t="inlineStr"/>
    </row>
    <row r="387" ht="15" customHeight="1">
      <c r="A387" t="inlineStr">
        <is>
          <t>A 5217-2023</t>
        </is>
      </c>
      <c r="B387" s="1" t="n">
        <v>44959.39582175926</v>
      </c>
      <c r="C387" s="1" t="n">
        <v>46145</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1677-2023</t>
        </is>
      </c>
      <c r="B388" s="1" t="n">
        <v>44938</v>
      </c>
      <c r="C388" s="1" t="n">
        <v>46145</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45244-2024</t>
        </is>
      </c>
      <c r="B389" s="1" t="n">
        <v>45576</v>
      </c>
      <c r="C389" s="1" t="n">
        <v>46145</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8260-2023</t>
        </is>
      </c>
      <c r="B390" s="1" t="n">
        <v>44974.61608796296</v>
      </c>
      <c r="C390" s="1" t="n">
        <v>46145</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64969-2023</t>
        </is>
      </c>
      <c r="B391" s="1" t="n">
        <v>45284.54009259259</v>
      </c>
      <c r="C391" s="1" t="n">
        <v>46145</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48843-2024</t>
        </is>
      </c>
      <c r="B392" s="1" t="n">
        <v>45593</v>
      </c>
      <c r="C392" s="1" t="n">
        <v>46145</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17541-2024</t>
        </is>
      </c>
      <c r="B393" s="1" t="n">
        <v>45415</v>
      </c>
      <c r="C393" s="1" t="n">
        <v>46145</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2241-2025</t>
        </is>
      </c>
      <c r="B394" s="1" t="n">
        <v>45673.48710648148</v>
      </c>
      <c r="C394" s="1" t="n">
        <v>46145</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15434-2024</t>
        </is>
      </c>
      <c r="B395" s="1" t="n">
        <v>45401.38836805556</v>
      </c>
      <c r="C395" s="1" t="n">
        <v>46145</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56799-2025</t>
        </is>
      </c>
      <c r="B396" s="1" t="n">
        <v>45978.43392361111</v>
      </c>
      <c r="C396" s="1" t="n">
        <v>46145</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56688-2025</t>
        </is>
      </c>
      <c r="B397" s="1" t="n">
        <v>45975.84331018518</v>
      </c>
      <c r="C397" s="1" t="n">
        <v>46145</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5943-2024</t>
        </is>
      </c>
      <c r="B398" s="1" t="n">
        <v>45336</v>
      </c>
      <c r="C398" s="1" t="n">
        <v>46145</v>
      </c>
      <c r="D398" t="inlineStr">
        <is>
          <t>GOTLANDS LÄN</t>
        </is>
      </c>
      <c r="E398" t="inlineStr">
        <is>
          <t>GOTLAND</t>
        </is>
      </c>
      <c r="G398" t="n">
        <v>4.3</v>
      </c>
      <c r="H398" t="n">
        <v>0</v>
      </c>
      <c r="I398" t="n">
        <v>0</v>
      </c>
      <c r="J398" t="n">
        <v>0</v>
      </c>
      <c r="K398" t="n">
        <v>0</v>
      </c>
      <c r="L398" t="n">
        <v>0</v>
      </c>
      <c r="M398" t="n">
        <v>0</v>
      </c>
      <c r="N398" t="n">
        <v>0</v>
      </c>
      <c r="O398" t="n">
        <v>0</v>
      </c>
      <c r="P398" t="n">
        <v>0</v>
      </c>
      <c r="Q398" t="n">
        <v>0</v>
      </c>
      <c r="R398" s="2" t="inlineStr"/>
    </row>
    <row r="399" ht="15" customHeight="1">
      <c r="A399" t="inlineStr">
        <is>
          <t>A 54073-2022</t>
        </is>
      </c>
      <c r="B399" s="1" t="n">
        <v>44881.50380787037</v>
      </c>
      <c r="C399" s="1" t="n">
        <v>46145</v>
      </c>
      <c r="D399" t="inlineStr">
        <is>
          <t>GOTLANDS LÄN</t>
        </is>
      </c>
      <c r="E399" t="inlineStr">
        <is>
          <t>GOTLAND</t>
        </is>
      </c>
      <c r="G399" t="n">
        <v>3.8</v>
      </c>
      <c r="H399" t="n">
        <v>0</v>
      </c>
      <c r="I399" t="n">
        <v>0</v>
      </c>
      <c r="J399" t="n">
        <v>0</v>
      </c>
      <c r="K399" t="n">
        <v>0</v>
      </c>
      <c r="L399" t="n">
        <v>0</v>
      </c>
      <c r="M399" t="n">
        <v>0</v>
      </c>
      <c r="N399" t="n">
        <v>0</v>
      </c>
      <c r="O399" t="n">
        <v>0</v>
      </c>
      <c r="P399" t="n">
        <v>0</v>
      </c>
      <c r="Q399" t="n">
        <v>0</v>
      </c>
      <c r="R399" s="2" t="inlineStr"/>
    </row>
    <row r="400" ht="15" customHeight="1">
      <c r="A400" t="inlineStr">
        <is>
          <t>A 16361-2024</t>
        </is>
      </c>
      <c r="B400" s="1" t="n">
        <v>45407</v>
      </c>
      <c r="C400" s="1" t="n">
        <v>46145</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41038-2023</t>
        </is>
      </c>
      <c r="B401" s="1" t="n">
        <v>45173.60959490741</v>
      </c>
      <c r="C401" s="1" t="n">
        <v>46145</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14427-2024</t>
        </is>
      </c>
      <c r="B402" s="1" t="n">
        <v>45394</v>
      </c>
      <c r="C402" s="1" t="n">
        <v>46145</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31802-2024</t>
        </is>
      </c>
      <c r="B403" s="1" t="n">
        <v>45509</v>
      </c>
      <c r="C403" s="1" t="n">
        <v>46145</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8036-2022</t>
        </is>
      </c>
      <c r="B404" s="1" t="n">
        <v>44609.44362268518</v>
      </c>
      <c r="C404" s="1" t="n">
        <v>46145</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12846-2025</t>
        </is>
      </c>
      <c r="B405" s="1" t="n">
        <v>45733.65049768519</v>
      </c>
      <c r="C405" s="1" t="n">
        <v>46145</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59197-2025</t>
        </is>
      </c>
      <c r="B406" s="1" t="n">
        <v>45988.59846064815</v>
      </c>
      <c r="C406" s="1" t="n">
        <v>46145</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46949-2024</t>
        </is>
      </c>
      <c r="B407" s="1" t="n">
        <v>45585</v>
      </c>
      <c r="C407" s="1" t="n">
        <v>46145</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10650-2022</t>
        </is>
      </c>
      <c r="B408" s="1" t="n">
        <v>44624.57945601852</v>
      </c>
      <c r="C408" s="1" t="n">
        <v>46145</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36319-2025</t>
        </is>
      </c>
      <c r="B409" s="1" t="n">
        <v>45868</v>
      </c>
      <c r="C409" s="1" t="n">
        <v>46145</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11634-2024</t>
        </is>
      </c>
      <c r="B410" s="1" t="n">
        <v>45373</v>
      </c>
      <c r="C410" s="1" t="n">
        <v>46145</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1351-2025</t>
        </is>
      </c>
      <c r="B411" s="1" t="n">
        <v>45667.62246527777</v>
      </c>
      <c r="C411" s="1" t="n">
        <v>46145</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39496-2022</t>
        </is>
      </c>
      <c r="B412" s="1" t="n">
        <v>44818</v>
      </c>
      <c r="C412" s="1" t="n">
        <v>46145</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49874-2024</t>
        </is>
      </c>
      <c r="B413" s="1" t="n">
        <v>45597.49274305555</v>
      </c>
      <c r="C413" s="1" t="n">
        <v>46145</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46400-2023</t>
        </is>
      </c>
      <c r="B414" s="1" t="n">
        <v>45197.49290509259</v>
      </c>
      <c r="C414" s="1" t="n">
        <v>46145</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9875-2025</t>
        </is>
      </c>
      <c r="B415" s="1" t="n">
        <v>45716</v>
      </c>
      <c r="C415" s="1" t="n">
        <v>46145</v>
      </c>
      <c r="D415" t="inlineStr">
        <is>
          <t>GOTLANDS LÄN</t>
        </is>
      </c>
      <c r="E415" t="inlineStr">
        <is>
          <t>GOTLAND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46145</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21164-2024</t>
        </is>
      </c>
      <c r="B417" s="1" t="n">
        <v>45440</v>
      </c>
      <c r="C417" s="1" t="n">
        <v>46145</v>
      </c>
      <c r="D417" t="inlineStr">
        <is>
          <t>GOTLANDS LÄN</t>
        </is>
      </c>
      <c r="E417" t="inlineStr">
        <is>
          <t>GOTLAND</t>
        </is>
      </c>
      <c r="G417" t="n">
        <v>6.3</v>
      </c>
      <c r="H417" t="n">
        <v>0</v>
      </c>
      <c r="I417" t="n">
        <v>0</v>
      </c>
      <c r="J417" t="n">
        <v>0</v>
      </c>
      <c r="K417" t="n">
        <v>0</v>
      </c>
      <c r="L417" t="n">
        <v>0</v>
      </c>
      <c r="M417" t="n">
        <v>0</v>
      </c>
      <c r="N417" t="n">
        <v>0</v>
      </c>
      <c r="O417" t="n">
        <v>0</v>
      </c>
      <c r="P417" t="n">
        <v>0</v>
      </c>
      <c r="Q417" t="n">
        <v>0</v>
      </c>
      <c r="R417" s="2" t="inlineStr"/>
    </row>
    <row r="418" ht="15" customHeight="1">
      <c r="A418" t="inlineStr">
        <is>
          <t>A 62103-2025</t>
        </is>
      </c>
      <c r="B418" s="1" t="n">
        <v>46006</v>
      </c>
      <c r="C418" s="1" t="n">
        <v>46145</v>
      </c>
      <c r="D418" t="inlineStr">
        <is>
          <t>GOTLANDS LÄN</t>
        </is>
      </c>
      <c r="E418" t="inlineStr">
        <is>
          <t>GOTLAND</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8045-2022</t>
        </is>
      </c>
      <c r="B419" s="1" t="n">
        <v>44609</v>
      </c>
      <c r="C419" s="1" t="n">
        <v>46145</v>
      </c>
      <c r="D419" t="inlineStr">
        <is>
          <t>GOTLANDS LÄN</t>
        </is>
      </c>
      <c r="E419" t="inlineStr">
        <is>
          <t>GOTLAND</t>
        </is>
      </c>
      <c r="G419" t="n">
        <v>7</v>
      </c>
      <c r="H419" t="n">
        <v>0</v>
      </c>
      <c r="I419" t="n">
        <v>0</v>
      </c>
      <c r="J419" t="n">
        <v>0</v>
      </c>
      <c r="K419" t="n">
        <v>0</v>
      </c>
      <c r="L419" t="n">
        <v>0</v>
      </c>
      <c r="M419" t="n">
        <v>0</v>
      </c>
      <c r="N419" t="n">
        <v>0</v>
      </c>
      <c r="O419" t="n">
        <v>0</v>
      </c>
      <c r="P419" t="n">
        <v>0</v>
      </c>
      <c r="Q419" t="n">
        <v>0</v>
      </c>
      <c r="R419" s="2" t="inlineStr"/>
    </row>
    <row r="420" ht="15" customHeight="1">
      <c r="A420" t="inlineStr">
        <is>
          <t>A 22897-2023</t>
        </is>
      </c>
      <c r="B420" s="1" t="n">
        <v>45072.55239583334</v>
      </c>
      <c r="C420" s="1" t="n">
        <v>46145</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61897-2024</t>
        </is>
      </c>
      <c r="B421" s="1" t="n">
        <v>45652.75685185185</v>
      </c>
      <c r="C421" s="1" t="n">
        <v>46145</v>
      </c>
      <c r="D421" t="inlineStr">
        <is>
          <t>GOTLANDS LÄN</t>
        </is>
      </c>
      <c r="E421" t="inlineStr">
        <is>
          <t>GOTLAND</t>
        </is>
      </c>
      <c r="G421" t="n">
        <v>6.4</v>
      </c>
      <c r="H421" t="n">
        <v>0</v>
      </c>
      <c r="I421" t="n">
        <v>0</v>
      </c>
      <c r="J421" t="n">
        <v>0</v>
      </c>
      <c r="K421" t="n">
        <v>0</v>
      </c>
      <c r="L421" t="n">
        <v>0</v>
      </c>
      <c r="M421" t="n">
        <v>0</v>
      </c>
      <c r="N421" t="n">
        <v>0</v>
      </c>
      <c r="O421" t="n">
        <v>0</v>
      </c>
      <c r="P421" t="n">
        <v>0</v>
      </c>
      <c r="Q421" t="n">
        <v>0</v>
      </c>
      <c r="R421" s="2" t="inlineStr"/>
    </row>
    <row r="422" ht="15" customHeight="1">
      <c r="A422" t="inlineStr">
        <is>
          <t>A 49962-2023</t>
        </is>
      </c>
      <c r="B422" s="1" t="n">
        <v>45215.38775462963</v>
      </c>
      <c r="C422" s="1" t="n">
        <v>46145</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63002-2025</t>
        </is>
      </c>
      <c r="B423" s="1" t="n">
        <v>46009.56564814815</v>
      </c>
      <c r="C423" s="1" t="n">
        <v>46145</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20165-2022</t>
        </is>
      </c>
      <c r="B424" s="1" t="n">
        <v>44698.49854166667</v>
      </c>
      <c r="C424" s="1" t="n">
        <v>46145</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40294-2022</t>
        </is>
      </c>
      <c r="B425" s="1" t="n">
        <v>44821</v>
      </c>
      <c r="C425" s="1" t="n">
        <v>46145</v>
      </c>
      <c r="D425" t="inlineStr">
        <is>
          <t>GOTLANDS LÄN</t>
        </is>
      </c>
      <c r="E425" t="inlineStr">
        <is>
          <t>GOTLAND</t>
        </is>
      </c>
      <c r="G425" t="n">
        <v>1.6</v>
      </c>
      <c r="H425" t="n">
        <v>0</v>
      </c>
      <c r="I425" t="n">
        <v>0</v>
      </c>
      <c r="J425" t="n">
        <v>0</v>
      </c>
      <c r="K425" t="n">
        <v>0</v>
      </c>
      <c r="L425" t="n">
        <v>0</v>
      </c>
      <c r="M425" t="n">
        <v>0</v>
      </c>
      <c r="N425" t="n">
        <v>0</v>
      </c>
      <c r="O425" t="n">
        <v>0</v>
      </c>
      <c r="P425" t="n">
        <v>0</v>
      </c>
      <c r="Q425" t="n">
        <v>0</v>
      </c>
      <c r="R425" s="2" t="inlineStr"/>
    </row>
    <row r="426" ht="15" customHeight="1">
      <c r="A426" t="inlineStr">
        <is>
          <t>A 38649-2025</t>
        </is>
      </c>
      <c r="B426" s="1" t="n">
        <v>45884</v>
      </c>
      <c r="C426" s="1" t="n">
        <v>46145</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12032-2025</t>
        </is>
      </c>
      <c r="B427" s="1" t="n">
        <v>45728.64472222222</v>
      </c>
      <c r="C427" s="1" t="n">
        <v>46145</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38787-2023</t>
        </is>
      </c>
      <c r="B428" s="1" t="n">
        <v>45163</v>
      </c>
      <c r="C428" s="1" t="n">
        <v>46145</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61078-2025</t>
        </is>
      </c>
      <c r="B429" s="1" t="n">
        <v>46000</v>
      </c>
      <c r="C429" s="1" t="n">
        <v>46145</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36-2026</t>
        </is>
      </c>
      <c r="B430" s="1" t="n">
        <v>46024.38886574074</v>
      </c>
      <c r="C430" s="1" t="n">
        <v>46145</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43231-2023</t>
        </is>
      </c>
      <c r="B431" s="1" t="n">
        <v>45183.47025462963</v>
      </c>
      <c r="C431" s="1" t="n">
        <v>46145</v>
      </c>
      <c r="D431" t="inlineStr">
        <is>
          <t>GOTLANDS LÄN</t>
        </is>
      </c>
      <c r="E431" t="inlineStr">
        <is>
          <t>GOTLAND</t>
        </is>
      </c>
      <c r="G431" t="n">
        <v>3.6</v>
      </c>
      <c r="H431" t="n">
        <v>0</v>
      </c>
      <c r="I431" t="n">
        <v>0</v>
      </c>
      <c r="J431" t="n">
        <v>0</v>
      </c>
      <c r="K431" t="n">
        <v>0</v>
      </c>
      <c r="L431" t="n">
        <v>0</v>
      </c>
      <c r="M431" t="n">
        <v>0</v>
      </c>
      <c r="N431" t="n">
        <v>0</v>
      </c>
      <c r="O431" t="n">
        <v>0</v>
      </c>
      <c r="P431" t="n">
        <v>0</v>
      </c>
      <c r="Q431" t="n">
        <v>0</v>
      </c>
      <c r="R431" s="2" t="inlineStr"/>
    </row>
    <row r="432" ht="15" customHeight="1">
      <c r="A432" t="inlineStr">
        <is>
          <t>A 62674-2025</t>
        </is>
      </c>
      <c r="B432" s="1" t="n">
        <v>46008</v>
      </c>
      <c r="C432" s="1" t="n">
        <v>46145</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17532-2024</t>
        </is>
      </c>
      <c r="B433" s="1" t="n">
        <v>45415</v>
      </c>
      <c r="C433" s="1" t="n">
        <v>46145</v>
      </c>
      <c r="D433" t="inlineStr">
        <is>
          <t>GOTLANDS LÄN</t>
        </is>
      </c>
      <c r="E433" t="inlineStr">
        <is>
          <t>GOTLAND</t>
        </is>
      </c>
      <c r="G433" t="n">
        <v>4.3</v>
      </c>
      <c r="H433" t="n">
        <v>0</v>
      </c>
      <c r="I433" t="n">
        <v>0</v>
      </c>
      <c r="J433" t="n">
        <v>0</v>
      </c>
      <c r="K433" t="n">
        <v>0</v>
      </c>
      <c r="L433" t="n">
        <v>0</v>
      </c>
      <c r="M433" t="n">
        <v>0</v>
      </c>
      <c r="N433" t="n">
        <v>0</v>
      </c>
      <c r="O433" t="n">
        <v>0</v>
      </c>
      <c r="P433" t="n">
        <v>0</v>
      </c>
      <c r="Q433" t="n">
        <v>0</v>
      </c>
      <c r="R433" s="2" t="inlineStr"/>
    </row>
    <row r="434" ht="15" customHeight="1">
      <c r="A434" t="inlineStr">
        <is>
          <t>A 3935-2025</t>
        </is>
      </c>
      <c r="B434" s="1" t="n">
        <v>45684.46070601852</v>
      </c>
      <c r="C434" s="1" t="n">
        <v>46145</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20225-2025</t>
        </is>
      </c>
      <c r="B435" s="1" t="n">
        <v>45772.65802083333</v>
      </c>
      <c r="C435" s="1" t="n">
        <v>46145</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46145</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1355-2026</t>
        </is>
      </c>
      <c r="B437" s="1" t="n">
        <v>46031.59909722222</v>
      </c>
      <c r="C437" s="1" t="n">
        <v>46145</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1898-2026</t>
        </is>
      </c>
      <c r="B438" s="1" t="n">
        <v>46035.52024305556</v>
      </c>
      <c r="C438" s="1" t="n">
        <v>46145</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1066-2024</t>
        </is>
      </c>
      <c r="B439" s="1" t="n">
        <v>45302.285</v>
      </c>
      <c r="C439" s="1" t="n">
        <v>46145</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17144-2025</t>
        </is>
      </c>
      <c r="B440" s="1" t="n">
        <v>45755.9499537037</v>
      </c>
      <c r="C440" s="1" t="n">
        <v>46145</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2415-2026</t>
        </is>
      </c>
      <c r="B441" s="1" t="n">
        <v>46036.76203703704</v>
      </c>
      <c r="C441" s="1" t="n">
        <v>46145</v>
      </c>
      <c r="D441" t="inlineStr">
        <is>
          <t>GOTLANDS LÄN</t>
        </is>
      </c>
      <c r="E441" t="inlineStr">
        <is>
          <t>GOTLAND</t>
        </is>
      </c>
      <c r="G441" t="n">
        <v>6.9</v>
      </c>
      <c r="H441" t="n">
        <v>0</v>
      </c>
      <c r="I441" t="n">
        <v>0</v>
      </c>
      <c r="J441" t="n">
        <v>0</v>
      </c>
      <c r="K441" t="n">
        <v>0</v>
      </c>
      <c r="L441" t="n">
        <v>0</v>
      </c>
      <c r="M441" t="n">
        <v>0</v>
      </c>
      <c r="N441" t="n">
        <v>0</v>
      </c>
      <c r="O441" t="n">
        <v>0</v>
      </c>
      <c r="P441" t="n">
        <v>0</v>
      </c>
      <c r="Q441" t="n">
        <v>0</v>
      </c>
      <c r="R441" s="2" t="inlineStr"/>
    </row>
    <row r="442" ht="15" customHeight="1">
      <c r="A442" t="inlineStr">
        <is>
          <t>A 56009-2024</t>
        </is>
      </c>
      <c r="B442" s="1" t="n">
        <v>45623.80864583333</v>
      </c>
      <c r="C442" s="1" t="n">
        <v>46145</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46145</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3253-2026</t>
        </is>
      </c>
      <c r="B444" s="1" t="n">
        <v>46041.58902777778</v>
      </c>
      <c r="C444" s="1" t="n">
        <v>46145</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4646-2026</t>
        </is>
      </c>
      <c r="B445" s="1" t="n">
        <v>46048.40357638889</v>
      </c>
      <c r="C445" s="1" t="n">
        <v>46145</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4662-2026</t>
        </is>
      </c>
      <c r="B446" s="1" t="n">
        <v>46048.40949074074</v>
      </c>
      <c r="C446" s="1" t="n">
        <v>46145</v>
      </c>
      <c r="D446" t="inlineStr">
        <is>
          <t>GOTLANDS LÄN</t>
        </is>
      </c>
      <c r="E446" t="inlineStr">
        <is>
          <t>GOTLAND</t>
        </is>
      </c>
      <c r="G446" t="n">
        <v>7.6</v>
      </c>
      <c r="H446" t="n">
        <v>0</v>
      </c>
      <c r="I446" t="n">
        <v>0</v>
      </c>
      <c r="J446" t="n">
        <v>0</v>
      </c>
      <c r="K446" t="n">
        <v>0</v>
      </c>
      <c r="L446" t="n">
        <v>0</v>
      </c>
      <c r="M446" t="n">
        <v>0</v>
      </c>
      <c r="N446" t="n">
        <v>0</v>
      </c>
      <c r="O446" t="n">
        <v>0</v>
      </c>
      <c r="P446" t="n">
        <v>0</v>
      </c>
      <c r="Q446" t="n">
        <v>0</v>
      </c>
      <c r="R446" s="2" t="inlineStr"/>
    </row>
    <row r="447" ht="15" customHeight="1">
      <c r="A447" t="inlineStr">
        <is>
          <t>A 4639-2026</t>
        </is>
      </c>
      <c r="B447" s="1" t="n">
        <v>46048.39880787037</v>
      </c>
      <c r="C447" s="1" t="n">
        <v>46145</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1839-2026</t>
        </is>
      </c>
      <c r="B448" s="1" t="n">
        <v>46035.3942824074</v>
      </c>
      <c r="C448" s="1" t="n">
        <v>46145</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4634-2026</t>
        </is>
      </c>
      <c r="B449" s="1" t="n">
        <v>46048.39304398148</v>
      </c>
      <c r="C449" s="1" t="n">
        <v>46145</v>
      </c>
      <c r="D449" t="inlineStr">
        <is>
          <t>GOTLANDS LÄN</t>
        </is>
      </c>
      <c r="E449" t="inlineStr">
        <is>
          <t>GOTLAND</t>
        </is>
      </c>
      <c r="G449" t="n">
        <v>7.8</v>
      </c>
      <c r="H449" t="n">
        <v>0</v>
      </c>
      <c r="I449" t="n">
        <v>0</v>
      </c>
      <c r="J449" t="n">
        <v>0</v>
      </c>
      <c r="K449" t="n">
        <v>0</v>
      </c>
      <c r="L449" t="n">
        <v>0</v>
      </c>
      <c r="M449" t="n">
        <v>0</v>
      </c>
      <c r="N449" t="n">
        <v>0</v>
      </c>
      <c r="O449" t="n">
        <v>0</v>
      </c>
      <c r="P449" t="n">
        <v>0</v>
      </c>
      <c r="Q449" t="n">
        <v>0</v>
      </c>
      <c r="R449" s="2" t="inlineStr"/>
    </row>
    <row r="450" ht="15" customHeight="1">
      <c r="A450" t="inlineStr">
        <is>
          <t>A 4670-2026</t>
        </is>
      </c>
      <c r="B450" s="1" t="n">
        <v>46048.41733796296</v>
      </c>
      <c r="C450" s="1" t="n">
        <v>46145</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581-2023</t>
        </is>
      </c>
      <c r="B451" s="1" t="n">
        <v>44930</v>
      </c>
      <c r="C451" s="1" t="n">
        <v>46145</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61386-2023</t>
        </is>
      </c>
      <c r="B452" s="1" t="n">
        <v>45264</v>
      </c>
      <c r="C452" s="1" t="n">
        <v>46145</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873-2024</t>
        </is>
      </c>
      <c r="B453" s="1" t="n">
        <v>45301</v>
      </c>
      <c r="C453" s="1" t="n">
        <v>46145</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49411-2023</t>
        </is>
      </c>
      <c r="B454" s="1" t="n">
        <v>45205</v>
      </c>
      <c r="C454" s="1" t="n">
        <v>46145</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22275-2023</t>
        </is>
      </c>
      <c r="B455" s="1" t="n">
        <v>45070.39875</v>
      </c>
      <c r="C455" s="1" t="n">
        <v>46145</v>
      </c>
      <c r="D455" t="inlineStr">
        <is>
          <t>GOTLANDS LÄN</t>
        </is>
      </c>
      <c r="E455" t="inlineStr">
        <is>
          <t>GOTLAND</t>
        </is>
      </c>
      <c r="G455" t="n">
        <v>7.2</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46145</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46145</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14797-2024</t>
        </is>
      </c>
      <c r="B458" s="1" t="n">
        <v>45397.87030092593</v>
      </c>
      <c r="C458" s="1" t="n">
        <v>46145</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999-2024</t>
        </is>
      </c>
      <c r="B459" s="1" t="n">
        <v>45301</v>
      </c>
      <c r="C459" s="1" t="n">
        <v>46145</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61596-2023</t>
        </is>
      </c>
      <c r="B460" s="1" t="n">
        <v>45265</v>
      </c>
      <c r="C460" s="1" t="n">
        <v>46145</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14638-2025</t>
        </is>
      </c>
      <c r="B461" s="1" t="n">
        <v>45742</v>
      </c>
      <c r="C461" s="1" t="n">
        <v>46145</v>
      </c>
      <c r="D461" t="inlineStr">
        <is>
          <t>GOTLANDS LÄN</t>
        </is>
      </c>
      <c r="E461" t="inlineStr">
        <is>
          <t>GOTLAND</t>
        </is>
      </c>
      <c r="G461" t="n">
        <v>13.4</v>
      </c>
      <c r="H461" t="n">
        <v>0</v>
      </c>
      <c r="I461" t="n">
        <v>0</v>
      </c>
      <c r="J461" t="n">
        <v>0</v>
      </c>
      <c r="K461" t="n">
        <v>0</v>
      </c>
      <c r="L461" t="n">
        <v>0</v>
      </c>
      <c r="M461" t="n">
        <v>0</v>
      </c>
      <c r="N461" t="n">
        <v>0</v>
      </c>
      <c r="O461" t="n">
        <v>0</v>
      </c>
      <c r="P461" t="n">
        <v>0</v>
      </c>
      <c r="Q461" t="n">
        <v>0</v>
      </c>
      <c r="R461" s="2" t="inlineStr"/>
    </row>
    <row r="462" ht="15" customHeight="1">
      <c r="A462" t="inlineStr">
        <is>
          <t>A 6218-2026</t>
        </is>
      </c>
      <c r="B462" s="1" t="n">
        <v>46055.42859953704</v>
      </c>
      <c r="C462" s="1" t="n">
        <v>46145</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44496.64855324074</v>
      </c>
      <c r="C463" s="1" t="n">
        <v>46145</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6207-2026</t>
        </is>
      </c>
      <c r="B464" s="1" t="n">
        <v>46055.42083333333</v>
      </c>
      <c r="C464" s="1" t="n">
        <v>46145</v>
      </c>
      <c r="D464" t="inlineStr">
        <is>
          <t>GOTLANDS LÄN</t>
        </is>
      </c>
      <c r="E464" t="inlineStr">
        <is>
          <t>GOTLAND</t>
        </is>
      </c>
      <c r="G464" t="n">
        <v>7.6</v>
      </c>
      <c r="H464" t="n">
        <v>0</v>
      </c>
      <c r="I464" t="n">
        <v>0</v>
      </c>
      <c r="J464" t="n">
        <v>0</v>
      </c>
      <c r="K464" t="n">
        <v>0</v>
      </c>
      <c r="L464" t="n">
        <v>0</v>
      </c>
      <c r="M464" t="n">
        <v>0</v>
      </c>
      <c r="N464" t="n">
        <v>0</v>
      </c>
      <c r="O464" t="n">
        <v>0</v>
      </c>
      <c r="P464" t="n">
        <v>0</v>
      </c>
      <c r="Q464" t="n">
        <v>0</v>
      </c>
      <c r="R464" s="2" t="inlineStr"/>
    </row>
    <row r="465" ht="15" customHeight="1">
      <c r="A465" t="inlineStr">
        <is>
          <t>A 37728-2024</t>
        </is>
      </c>
      <c r="B465" s="1" t="n">
        <v>45541</v>
      </c>
      <c r="C465" s="1" t="n">
        <v>46145</v>
      </c>
      <c r="D465" t="inlineStr">
        <is>
          <t>GOTLANDS LÄN</t>
        </is>
      </c>
      <c r="E465" t="inlineStr">
        <is>
          <t>GOTLAND</t>
        </is>
      </c>
      <c r="G465" t="n">
        <v>0.4</v>
      </c>
      <c r="H465" t="n">
        <v>0</v>
      </c>
      <c r="I465" t="n">
        <v>0</v>
      </c>
      <c r="J465" t="n">
        <v>0</v>
      </c>
      <c r="K465" t="n">
        <v>0</v>
      </c>
      <c r="L465" t="n">
        <v>0</v>
      </c>
      <c r="M465" t="n">
        <v>0</v>
      </c>
      <c r="N465" t="n">
        <v>0</v>
      </c>
      <c r="O465" t="n">
        <v>0</v>
      </c>
      <c r="P465" t="n">
        <v>0</v>
      </c>
      <c r="Q465" t="n">
        <v>0</v>
      </c>
      <c r="R465" s="2" t="inlineStr"/>
    </row>
    <row r="466" ht="15" customHeight="1">
      <c r="A466" t="inlineStr">
        <is>
          <t>A 6959-2026</t>
        </is>
      </c>
      <c r="B466" s="1" t="n">
        <v>46057.580625</v>
      </c>
      <c r="C466" s="1" t="n">
        <v>46145</v>
      </c>
      <c r="D466" t="inlineStr">
        <is>
          <t>GOTLANDS LÄN</t>
        </is>
      </c>
      <c r="E466" t="inlineStr">
        <is>
          <t>GOTLAND</t>
        </is>
      </c>
      <c r="F466" t="inlineStr">
        <is>
          <t>Kyrkan</t>
        </is>
      </c>
      <c r="G466" t="n">
        <v>1.2</v>
      </c>
      <c r="H466" t="n">
        <v>0</v>
      </c>
      <c r="I466" t="n">
        <v>0</v>
      </c>
      <c r="J466" t="n">
        <v>0</v>
      </c>
      <c r="K466" t="n">
        <v>0</v>
      </c>
      <c r="L466" t="n">
        <v>0</v>
      </c>
      <c r="M466" t="n">
        <v>0</v>
      </c>
      <c r="N466" t="n">
        <v>0</v>
      </c>
      <c r="O466" t="n">
        <v>0</v>
      </c>
      <c r="P466" t="n">
        <v>0</v>
      </c>
      <c r="Q466" t="n">
        <v>0</v>
      </c>
      <c r="R466" s="2" t="inlineStr"/>
    </row>
    <row r="467" ht="15" customHeight="1">
      <c r="A467" t="inlineStr">
        <is>
          <t>A 6960-2026</t>
        </is>
      </c>
      <c r="B467" s="1" t="n">
        <v>46057.58105324074</v>
      </c>
      <c r="C467" s="1" t="n">
        <v>46145</v>
      </c>
      <c r="D467" t="inlineStr">
        <is>
          <t>GOTLANDS LÄN</t>
        </is>
      </c>
      <c r="E467" t="inlineStr">
        <is>
          <t>GOTLAND</t>
        </is>
      </c>
      <c r="F467" t="inlineStr">
        <is>
          <t>Kyrkan</t>
        </is>
      </c>
      <c r="G467" t="n">
        <v>2.4</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46145</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54074-2022</t>
        </is>
      </c>
      <c r="B469" s="1" t="n">
        <v>44881</v>
      </c>
      <c r="C469" s="1" t="n">
        <v>46145</v>
      </c>
      <c r="D469" t="inlineStr">
        <is>
          <t>GOTLANDS LÄN</t>
        </is>
      </c>
      <c r="E469" t="inlineStr">
        <is>
          <t>GOTLAND</t>
        </is>
      </c>
      <c r="G469" t="n">
        <v>0.9</v>
      </c>
      <c r="H469" t="n">
        <v>0</v>
      </c>
      <c r="I469" t="n">
        <v>0</v>
      </c>
      <c r="J469" t="n">
        <v>0</v>
      </c>
      <c r="K469" t="n">
        <v>0</v>
      </c>
      <c r="L469" t="n">
        <v>0</v>
      </c>
      <c r="M469" t="n">
        <v>0</v>
      </c>
      <c r="N469" t="n">
        <v>0</v>
      </c>
      <c r="O469" t="n">
        <v>0</v>
      </c>
      <c r="P469" t="n">
        <v>0</v>
      </c>
      <c r="Q469" t="n">
        <v>0</v>
      </c>
      <c r="R469" s="2" t="inlineStr"/>
    </row>
    <row r="470" ht="15" customHeight="1">
      <c r="A470" t="inlineStr">
        <is>
          <t>A 14840-2026</t>
        </is>
      </c>
      <c r="B470" s="1" t="n">
        <v>46104.39498842593</v>
      </c>
      <c r="C470" s="1" t="n">
        <v>46145</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7625-2026</t>
        </is>
      </c>
      <c r="B471" s="1" t="n">
        <v>46062.35135416667</v>
      </c>
      <c r="C471" s="1" t="n">
        <v>46145</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65249-2023</t>
        </is>
      </c>
      <c r="B472" s="1" t="n">
        <v>45290</v>
      </c>
      <c r="C472" s="1" t="n">
        <v>46145</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7627-2026</t>
        </is>
      </c>
      <c r="B473" s="1" t="n">
        <v>46062.35465277778</v>
      </c>
      <c r="C473" s="1" t="n">
        <v>46145</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63105-2025</t>
        </is>
      </c>
      <c r="B474" s="1" t="n">
        <v>46009</v>
      </c>
      <c r="C474" s="1" t="n">
        <v>46145</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2135-2026</t>
        </is>
      </c>
      <c r="B475" s="1" t="n">
        <v>46036</v>
      </c>
      <c r="C475" s="1" t="n">
        <v>46145</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13910-2025</t>
        </is>
      </c>
      <c r="B476" s="1" t="n">
        <v>45737</v>
      </c>
      <c r="C476" s="1" t="n">
        <v>46145</v>
      </c>
      <c r="D476" t="inlineStr">
        <is>
          <t>GOTLANDS LÄN</t>
        </is>
      </c>
      <c r="E476" t="inlineStr">
        <is>
          <t>GOTLAND</t>
        </is>
      </c>
      <c r="F476" t="inlineStr">
        <is>
          <t>Kommuner</t>
        </is>
      </c>
      <c r="G476" t="n">
        <v>3.2</v>
      </c>
      <c r="H476" t="n">
        <v>0</v>
      </c>
      <c r="I476" t="n">
        <v>0</v>
      </c>
      <c r="J476" t="n">
        <v>0</v>
      </c>
      <c r="K476" t="n">
        <v>0</v>
      </c>
      <c r="L476" t="n">
        <v>0</v>
      </c>
      <c r="M476" t="n">
        <v>0</v>
      </c>
      <c r="N476" t="n">
        <v>0</v>
      </c>
      <c r="O476" t="n">
        <v>0</v>
      </c>
      <c r="P476" t="n">
        <v>0</v>
      </c>
      <c r="Q476" t="n">
        <v>0</v>
      </c>
      <c r="R476" s="2" t="inlineStr"/>
    </row>
    <row r="477" ht="15" customHeight="1">
      <c r="A477" t="inlineStr">
        <is>
          <t>A 2134-2026</t>
        </is>
      </c>
      <c r="B477" s="1" t="n">
        <v>46036</v>
      </c>
      <c r="C477" s="1" t="n">
        <v>46145</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17780-2022</t>
        </is>
      </c>
      <c r="B478" s="1" t="n">
        <v>44682.82622685185</v>
      </c>
      <c r="C478" s="1" t="n">
        <v>46145</v>
      </c>
      <c r="D478" t="inlineStr">
        <is>
          <t>GOTLANDS LÄN</t>
        </is>
      </c>
      <c r="E478" t="inlineStr">
        <is>
          <t>GOTLAND</t>
        </is>
      </c>
      <c r="G478" t="n">
        <v>2.2</v>
      </c>
      <c r="H478" t="n">
        <v>0</v>
      </c>
      <c r="I478" t="n">
        <v>0</v>
      </c>
      <c r="J478" t="n">
        <v>0</v>
      </c>
      <c r="K478" t="n">
        <v>0</v>
      </c>
      <c r="L478" t="n">
        <v>0</v>
      </c>
      <c r="M478" t="n">
        <v>0</v>
      </c>
      <c r="N478" t="n">
        <v>0</v>
      </c>
      <c r="O478" t="n">
        <v>0</v>
      </c>
      <c r="P478" t="n">
        <v>0</v>
      </c>
      <c r="Q478" t="n">
        <v>0</v>
      </c>
      <c r="R478" s="2" t="inlineStr"/>
    </row>
    <row r="479" ht="15" customHeight="1">
      <c r="A479" t="inlineStr">
        <is>
          <t>A 59986-2022</t>
        </is>
      </c>
      <c r="B479" s="1" t="n">
        <v>44909</v>
      </c>
      <c r="C479" s="1" t="n">
        <v>46145</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11874-2024</t>
        </is>
      </c>
      <c r="B480" s="1" t="n">
        <v>45376.46956018519</v>
      </c>
      <c r="C480" s="1" t="n">
        <v>46145</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42041-2024</t>
        </is>
      </c>
      <c r="B481" s="1" t="n">
        <v>45561</v>
      </c>
      <c r="C481" s="1" t="n">
        <v>46145</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53561-2025</t>
        </is>
      </c>
      <c r="B482" s="1" t="n">
        <v>45960.4059375</v>
      </c>
      <c r="C482" s="1" t="n">
        <v>46145</v>
      </c>
      <c r="D482" t="inlineStr">
        <is>
          <t>GOTLANDS LÄN</t>
        </is>
      </c>
      <c r="E482" t="inlineStr">
        <is>
          <t>GOTLAND</t>
        </is>
      </c>
      <c r="F482" t="inlineStr">
        <is>
          <t>Övriga Aktiebolag</t>
        </is>
      </c>
      <c r="G482" t="n">
        <v>2.4</v>
      </c>
      <c r="H482" t="n">
        <v>0</v>
      </c>
      <c r="I482" t="n">
        <v>0</v>
      </c>
      <c r="J482" t="n">
        <v>0</v>
      </c>
      <c r="K482" t="n">
        <v>0</v>
      </c>
      <c r="L482" t="n">
        <v>0</v>
      </c>
      <c r="M482" t="n">
        <v>0</v>
      </c>
      <c r="N482" t="n">
        <v>0</v>
      </c>
      <c r="O482" t="n">
        <v>0</v>
      </c>
      <c r="P482" t="n">
        <v>0</v>
      </c>
      <c r="Q482" t="n">
        <v>0</v>
      </c>
      <c r="R482" s="2" t="inlineStr"/>
    </row>
    <row r="483" ht="15" customHeight="1">
      <c r="A483" t="inlineStr">
        <is>
          <t>A 61694-2023</t>
        </is>
      </c>
      <c r="B483" s="1" t="n">
        <v>45264</v>
      </c>
      <c r="C483" s="1" t="n">
        <v>46145</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53587-2025</t>
        </is>
      </c>
      <c r="B484" s="1" t="n">
        <v>45960.43681712963</v>
      </c>
      <c r="C484" s="1" t="n">
        <v>46145</v>
      </c>
      <c r="D484" t="inlineStr">
        <is>
          <t>GOTLANDS LÄN</t>
        </is>
      </c>
      <c r="E484" t="inlineStr">
        <is>
          <t>GOTLAND</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9504-2026</t>
        </is>
      </c>
      <c r="B485" s="1" t="n">
        <v>46071.57730324074</v>
      </c>
      <c r="C485" s="1" t="n">
        <v>46145</v>
      </c>
      <c r="D485" t="inlineStr">
        <is>
          <t>GOTLANDS LÄN</t>
        </is>
      </c>
      <c r="E485" t="inlineStr">
        <is>
          <t>GOTLAND</t>
        </is>
      </c>
      <c r="G485" t="n">
        <v>0.6</v>
      </c>
      <c r="H485" t="n">
        <v>0</v>
      </c>
      <c r="I485" t="n">
        <v>0</v>
      </c>
      <c r="J485" t="n">
        <v>0</v>
      </c>
      <c r="K485" t="n">
        <v>0</v>
      </c>
      <c r="L485" t="n">
        <v>0</v>
      </c>
      <c r="M485" t="n">
        <v>0</v>
      </c>
      <c r="N485" t="n">
        <v>0</v>
      </c>
      <c r="O485" t="n">
        <v>0</v>
      </c>
      <c r="P485" t="n">
        <v>0</v>
      </c>
      <c r="Q485" t="n">
        <v>0</v>
      </c>
      <c r="R485" s="2" t="inlineStr"/>
    </row>
    <row r="486" ht="15" customHeight="1">
      <c r="A486" t="inlineStr">
        <is>
          <t>A 9518-2026</t>
        </is>
      </c>
      <c r="B486" s="1" t="n">
        <v>46071.59653935185</v>
      </c>
      <c r="C486" s="1" t="n">
        <v>46145</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9519-2026</t>
        </is>
      </c>
      <c r="B487" s="1" t="n">
        <v>46071.59820601852</v>
      </c>
      <c r="C487" s="1" t="n">
        <v>46145</v>
      </c>
      <c r="D487" t="inlineStr">
        <is>
          <t>GOTLANDS LÄN</t>
        </is>
      </c>
      <c r="E487" t="inlineStr">
        <is>
          <t>GOTLAND</t>
        </is>
      </c>
      <c r="G487" t="n">
        <v>4</v>
      </c>
      <c r="H487" t="n">
        <v>0</v>
      </c>
      <c r="I487" t="n">
        <v>0</v>
      </c>
      <c r="J487" t="n">
        <v>0</v>
      </c>
      <c r="K487" t="n">
        <v>0</v>
      </c>
      <c r="L487" t="n">
        <v>0</v>
      </c>
      <c r="M487" t="n">
        <v>0</v>
      </c>
      <c r="N487" t="n">
        <v>0</v>
      </c>
      <c r="O487" t="n">
        <v>0</v>
      </c>
      <c r="P487" t="n">
        <v>0</v>
      </c>
      <c r="Q487" t="n">
        <v>0</v>
      </c>
      <c r="R487" s="2" t="inlineStr"/>
    </row>
    <row r="488" ht="15" customHeight="1">
      <c r="A488" t="inlineStr">
        <is>
          <t>A 64555-2023</t>
        </is>
      </c>
      <c r="B488" s="1" t="n">
        <v>45281</v>
      </c>
      <c r="C488" s="1" t="n">
        <v>46145</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64831-2023</t>
        </is>
      </c>
      <c r="B489" s="1" t="n">
        <v>45282.44924768519</v>
      </c>
      <c r="C489" s="1" t="n">
        <v>46145</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9540-2026</t>
        </is>
      </c>
      <c r="B490" s="1" t="n">
        <v>46071.61961805556</v>
      </c>
      <c r="C490" s="1" t="n">
        <v>46145</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9521-2026</t>
        </is>
      </c>
      <c r="B491" s="1" t="n">
        <v>46071.59969907408</v>
      </c>
      <c r="C491" s="1" t="n">
        <v>46145</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9524-2026</t>
        </is>
      </c>
      <c r="B492" s="1" t="n">
        <v>46071.60108796296</v>
      </c>
      <c r="C492" s="1" t="n">
        <v>46145</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9543-2026</t>
        </is>
      </c>
      <c r="B493" s="1" t="n">
        <v>46071.62486111111</v>
      </c>
      <c r="C493" s="1" t="n">
        <v>46145</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999-2023</t>
        </is>
      </c>
      <c r="B494" s="1" t="n">
        <v>44935</v>
      </c>
      <c r="C494" s="1" t="n">
        <v>46145</v>
      </c>
      <c r="D494" t="inlineStr">
        <is>
          <t>GOTLANDS LÄN</t>
        </is>
      </c>
      <c r="E494" t="inlineStr">
        <is>
          <t>GOTLAND</t>
        </is>
      </c>
      <c r="G494" t="n">
        <v>4.7</v>
      </c>
      <c r="H494" t="n">
        <v>0</v>
      </c>
      <c r="I494" t="n">
        <v>0</v>
      </c>
      <c r="J494" t="n">
        <v>0</v>
      </c>
      <c r="K494" t="n">
        <v>0</v>
      </c>
      <c r="L494" t="n">
        <v>0</v>
      </c>
      <c r="M494" t="n">
        <v>0</v>
      </c>
      <c r="N494" t="n">
        <v>0</v>
      </c>
      <c r="O494" t="n">
        <v>0</v>
      </c>
      <c r="P494" t="n">
        <v>0</v>
      </c>
      <c r="Q494" t="n">
        <v>0</v>
      </c>
      <c r="R494" s="2" t="inlineStr"/>
    </row>
    <row r="495" ht="15" customHeight="1">
      <c r="A495" t="inlineStr">
        <is>
          <t>A 27602-2023</t>
        </is>
      </c>
      <c r="B495" s="1" t="n">
        <v>45097</v>
      </c>
      <c r="C495" s="1" t="n">
        <v>46145</v>
      </c>
      <c r="D495" t="inlineStr">
        <is>
          <t>GOTLANDS LÄN</t>
        </is>
      </c>
      <c r="E495" t="inlineStr">
        <is>
          <t>GOTLAND</t>
        </is>
      </c>
      <c r="G495" t="n">
        <v>2.7</v>
      </c>
      <c r="H495" t="n">
        <v>0</v>
      </c>
      <c r="I495" t="n">
        <v>0</v>
      </c>
      <c r="J495" t="n">
        <v>0</v>
      </c>
      <c r="K495" t="n">
        <v>0</v>
      </c>
      <c r="L495" t="n">
        <v>0</v>
      </c>
      <c r="M495" t="n">
        <v>0</v>
      </c>
      <c r="N495" t="n">
        <v>0</v>
      </c>
      <c r="O495" t="n">
        <v>0</v>
      </c>
      <c r="P495" t="n">
        <v>0</v>
      </c>
      <c r="Q495" t="n">
        <v>0</v>
      </c>
      <c r="R495" s="2" t="inlineStr"/>
    </row>
    <row r="496" ht="15" customHeight="1">
      <c r="A496" t="inlineStr">
        <is>
          <t>A 16993-2026</t>
        </is>
      </c>
      <c r="B496" s="1" t="n">
        <v>46114.41918981481</v>
      </c>
      <c r="C496" s="1" t="n">
        <v>46145</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17000-2026</t>
        </is>
      </c>
      <c r="B497" s="1" t="n">
        <v>46114.42690972222</v>
      </c>
      <c r="C497" s="1" t="n">
        <v>46145</v>
      </c>
      <c r="D497" t="inlineStr">
        <is>
          <t>GOTLANDS LÄN</t>
        </is>
      </c>
      <c r="E497" t="inlineStr">
        <is>
          <t>GOTLAND</t>
        </is>
      </c>
      <c r="G497" t="n">
        <v>1.9</v>
      </c>
      <c r="H497" t="n">
        <v>0</v>
      </c>
      <c r="I497" t="n">
        <v>0</v>
      </c>
      <c r="J497" t="n">
        <v>0</v>
      </c>
      <c r="K497" t="n">
        <v>0</v>
      </c>
      <c r="L497" t="n">
        <v>0</v>
      </c>
      <c r="M497" t="n">
        <v>0</v>
      </c>
      <c r="N497" t="n">
        <v>0</v>
      </c>
      <c r="O497" t="n">
        <v>0</v>
      </c>
      <c r="P497" t="n">
        <v>0</v>
      </c>
      <c r="Q497" t="n">
        <v>0</v>
      </c>
      <c r="R497" s="2" t="inlineStr"/>
    </row>
    <row r="498" ht="15" customHeight="1">
      <c r="A498" t="inlineStr">
        <is>
          <t>A 63152-2025</t>
        </is>
      </c>
      <c r="B498" s="1" t="n">
        <v>46010</v>
      </c>
      <c r="C498" s="1" t="n">
        <v>46145</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10486-2026</t>
        </is>
      </c>
      <c r="B499" s="1" t="n">
        <v>46077.51425925926</v>
      </c>
      <c r="C499" s="1" t="n">
        <v>46145</v>
      </c>
      <c r="D499" t="inlineStr">
        <is>
          <t>GOTLANDS LÄN</t>
        </is>
      </c>
      <c r="E499" t="inlineStr">
        <is>
          <t>GOTLAND</t>
        </is>
      </c>
      <c r="G499" t="n">
        <v>3.5</v>
      </c>
      <c r="H499" t="n">
        <v>0</v>
      </c>
      <c r="I499" t="n">
        <v>0</v>
      </c>
      <c r="J499" t="n">
        <v>0</v>
      </c>
      <c r="K499" t="n">
        <v>0</v>
      </c>
      <c r="L499" t="n">
        <v>0</v>
      </c>
      <c r="M499" t="n">
        <v>0</v>
      </c>
      <c r="N499" t="n">
        <v>0</v>
      </c>
      <c r="O499" t="n">
        <v>0</v>
      </c>
      <c r="P499" t="n">
        <v>0</v>
      </c>
      <c r="Q499" t="n">
        <v>0</v>
      </c>
      <c r="R499" s="2" t="inlineStr"/>
    </row>
    <row r="500" ht="15" customHeight="1">
      <c r="A500" t="inlineStr">
        <is>
          <t>A 4377-2023</t>
        </is>
      </c>
      <c r="B500" s="1" t="n">
        <v>44955.5502662037</v>
      </c>
      <c r="C500" s="1" t="n">
        <v>46145</v>
      </c>
      <c r="D500" t="inlineStr">
        <is>
          <t>GOTLANDS LÄN</t>
        </is>
      </c>
      <c r="E500" t="inlineStr">
        <is>
          <t>GOTLAND</t>
        </is>
      </c>
      <c r="F500" t="inlineStr">
        <is>
          <t>Kyrkan</t>
        </is>
      </c>
      <c r="G500" t="n">
        <v>0.6</v>
      </c>
      <c r="H500" t="n">
        <v>0</v>
      </c>
      <c r="I500" t="n">
        <v>0</v>
      </c>
      <c r="J500" t="n">
        <v>0</v>
      </c>
      <c r="K500" t="n">
        <v>0</v>
      </c>
      <c r="L500" t="n">
        <v>0</v>
      </c>
      <c r="M500" t="n">
        <v>0</v>
      </c>
      <c r="N500" t="n">
        <v>0</v>
      </c>
      <c r="O500" t="n">
        <v>0</v>
      </c>
      <c r="P500" t="n">
        <v>0</v>
      </c>
      <c r="Q500" t="n">
        <v>0</v>
      </c>
      <c r="R500" s="2" t="inlineStr"/>
    </row>
    <row r="501" ht="15" customHeight="1">
      <c r="A501" t="inlineStr">
        <is>
          <t>A 4387-2023</t>
        </is>
      </c>
      <c r="B501" s="1" t="n">
        <v>44955.73359953704</v>
      </c>
      <c r="C501" s="1" t="n">
        <v>46145</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9901-2026</t>
        </is>
      </c>
      <c r="B502" s="1" t="n">
        <v>46073.40391203704</v>
      </c>
      <c r="C502" s="1" t="n">
        <v>46145</v>
      </c>
      <c r="D502" t="inlineStr">
        <is>
          <t>GOTLANDS LÄN</t>
        </is>
      </c>
      <c r="E502" t="inlineStr">
        <is>
          <t>GOTLAND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46145</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17328-2026</t>
        </is>
      </c>
      <c r="B504" s="1" t="n">
        <v>46119.61216435185</v>
      </c>
      <c r="C504" s="1" t="n">
        <v>46145</v>
      </c>
      <c r="D504" t="inlineStr">
        <is>
          <t>GOTLANDS LÄN</t>
        </is>
      </c>
      <c r="E504" t="inlineStr">
        <is>
          <t>GOTLAND</t>
        </is>
      </c>
      <c r="F504" t="inlineStr">
        <is>
          <t>Kyrkan</t>
        </is>
      </c>
      <c r="G504" t="n">
        <v>4</v>
      </c>
      <c r="H504" t="n">
        <v>0</v>
      </c>
      <c r="I504" t="n">
        <v>0</v>
      </c>
      <c r="J504" t="n">
        <v>0</v>
      </c>
      <c r="K504" t="n">
        <v>0</v>
      </c>
      <c r="L504" t="n">
        <v>0</v>
      </c>
      <c r="M504" t="n">
        <v>0</v>
      </c>
      <c r="N504" t="n">
        <v>0</v>
      </c>
      <c r="O504" t="n">
        <v>0</v>
      </c>
      <c r="P504" t="n">
        <v>0</v>
      </c>
      <c r="Q504" t="n">
        <v>0</v>
      </c>
      <c r="R504" s="2" t="inlineStr"/>
    </row>
    <row r="505" ht="15" customHeight="1">
      <c r="A505" t="inlineStr">
        <is>
          <t>A 10284-2026</t>
        </is>
      </c>
      <c r="B505" s="1" t="n">
        <v>46076</v>
      </c>
      <c r="C505" s="1" t="n">
        <v>46145</v>
      </c>
      <c r="D505" t="inlineStr">
        <is>
          <t>GOTLANDS LÄN</t>
        </is>
      </c>
      <c r="E505" t="inlineStr">
        <is>
          <t>GOTLAND</t>
        </is>
      </c>
      <c r="G505" t="n">
        <v>5.2</v>
      </c>
      <c r="H505" t="n">
        <v>0</v>
      </c>
      <c r="I505" t="n">
        <v>0</v>
      </c>
      <c r="J505" t="n">
        <v>0</v>
      </c>
      <c r="K505" t="n">
        <v>0</v>
      </c>
      <c r="L505" t="n">
        <v>0</v>
      </c>
      <c r="M505" t="n">
        <v>0</v>
      </c>
      <c r="N505" t="n">
        <v>0</v>
      </c>
      <c r="O505" t="n">
        <v>0</v>
      </c>
      <c r="P505" t="n">
        <v>0</v>
      </c>
      <c r="Q505" t="n">
        <v>0</v>
      </c>
      <c r="R505" s="2" t="inlineStr"/>
    </row>
    <row r="506" ht="15" customHeight="1">
      <c r="A506" t="inlineStr">
        <is>
          <t>A 51963-2024</t>
        </is>
      </c>
      <c r="B506" s="1" t="n">
        <v>45607.64833333333</v>
      </c>
      <c r="C506" s="1" t="n">
        <v>46145</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811-2023</t>
        </is>
      </c>
      <c r="B507" s="1" t="n">
        <v>44931</v>
      </c>
      <c r="C507" s="1" t="n">
        <v>46145</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60384-2025</t>
        </is>
      </c>
      <c r="B508" s="1" t="n">
        <v>45995</v>
      </c>
      <c r="C508" s="1" t="n">
        <v>46145</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46389-2021</t>
        </is>
      </c>
      <c r="B509" s="1" t="n">
        <v>44443</v>
      </c>
      <c r="C509" s="1" t="n">
        <v>46145</v>
      </c>
      <c r="D509" t="inlineStr">
        <is>
          <t>GOTLANDS LÄN</t>
        </is>
      </c>
      <c r="E509" t="inlineStr">
        <is>
          <t>GOTLAND</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26810-2021</t>
        </is>
      </c>
      <c r="B510" s="1" t="n">
        <v>44349.55087962963</v>
      </c>
      <c r="C510" s="1" t="n">
        <v>46145</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46145</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33853-2024</t>
        </is>
      </c>
      <c r="B512" s="1" t="n">
        <v>45520.64298611111</v>
      </c>
      <c r="C512" s="1" t="n">
        <v>46145</v>
      </c>
      <c r="D512" t="inlineStr">
        <is>
          <t>GOTLANDS LÄN</t>
        </is>
      </c>
      <c r="E512" t="inlineStr">
        <is>
          <t>GOTLAND</t>
        </is>
      </c>
      <c r="G512" t="n">
        <v>3.9</v>
      </c>
      <c r="H512" t="n">
        <v>0</v>
      </c>
      <c r="I512" t="n">
        <v>0</v>
      </c>
      <c r="J512" t="n">
        <v>0</v>
      </c>
      <c r="K512" t="n">
        <v>0</v>
      </c>
      <c r="L512" t="n">
        <v>0</v>
      </c>
      <c r="M512" t="n">
        <v>0</v>
      </c>
      <c r="N512" t="n">
        <v>0</v>
      </c>
      <c r="O512" t="n">
        <v>0</v>
      </c>
      <c r="P512" t="n">
        <v>0</v>
      </c>
      <c r="Q512" t="n">
        <v>0</v>
      </c>
      <c r="R512" s="2" t="inlineStr"/>
    </row>
    <row r="513" ht="15" customHeight="1">
      <c r="A513" t="inlineStr">
        <is>
          <t>A 18918-2025</t>
        </is>
      </c>
      <c r="B513" s="1" t="n">
        <v>45764</v>
      </c>
      <c r="C513" s="1" t="n">
        <v>46145</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2674-2023</t>
        </is>
      </c>
      <c r="B514" s="1" t="n">
        <v>44944</v>
      </c>
      <c r="C514" s="1" t="n">
        <v>46145</v>
      </c>
      <c r="D514" t="inlineStr">
        <is>
          <t>GOTLANDS LÄN</t>
        </is>
      </c>
      <c r="E514" t="inlineStr">
        <is>
          <t>GOTLAND</t>
        </is>
      </c>
      <c r="G514" t="n">
        <v>2.5</v>
      </c>
      <c r="H514" t="n">
        <v>0</v>
      </c>
      <c r="I514" t="n">
        <v>0</v>
      </c>
      <c r="J514" t="n">
        <v>0</v>
      </c>
      <c r="K514" t="n">
        <v>0</v>
      </c>
      <c r="L514" t="n">
        <v>0</v>
      </c>
      <c r="M514" t="n">
        <v>0</v>
      </c>
      <c r="N514" t="n">
        <v>0</v>
      </c>
      <c r="O514" t="n">
        <v>0</v>
      </c>
      <c r="P514" t="n">
        <v>0</v>
      </c>
      <c r="Q514" t="n">
        <v>0</v>
      </c>
      <c r="R514" s="2" t="inlineStr"/>
    </row>
    <row r="515" ht="15" customHeight="1">
      <c r="A515" t="inlineStr">
        <is>
          <t>A 17935-2026</t>
        </is>
      </c>
      <c r="B515" s="1" t="n">
        <v>46122</v>
      </c>
      <c r="C515" s="1" t="n">
        <v>46145</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10655-2023</t>
        </is>
      </c>
      <c r="B516" s="1" t="n">
        <v>44988.49543981482</v>
      </c>
      <c r="C516" s="1" t="n">
        <v>46145</v>
      </c>
      <c r="D516" t="inlineStr">
        <is>
          <t>GOTLANDS LÄN</t>
        </is>
      </c>
      <c r="E516" t="inlineStr">
        <is>
          <t>GOTLAND</t>
        </is>
      </c>
      <c r="F516" t="inlineStr">
        <is>
          <t>Kyrkan</t>
        </is>
      </c>
      <c r="G516" t="n">
        <v>2</v>
      </c>
      <c r="H516" t="n">
        <v>0</v>
      </c>
      <c r="I516" t="n">
        <v>0</v>
      </c>
      <c r="J516" t="n">
        <v>0</v>
      </c>
      <c r="K516" t="n">
        <v>0</v>
      </c>
      <c r="L516" t="n">
        <v>0</v>
      </c>
      <c r="M516" t="n">
        <v>0</v>
      </c>
      <c r="N516" t="n">
        <v>0</v>
      </c>
      <c r="O516" t="n">
        <v>0</v>
      </c>
      <c r="P516" t="n">
        <v>0</v>
      </c>
      <c r="Q516" t="n">
        <v>0</v>
      </c>
      <c r="R516" s="2" t="inlineStr"/>
    </row>
    <row r="517" ht="15" customHeight="1">
      <c r="A517" t="inlineStr">
        <is>
          <t>A 11424-2026</t>
        </is>
      </c>
      <c r="B517" s="1" t="n">
        <v>46083.48068287037</v>
      </c>
      <c r="C517" s="1" t="n">
        <v>46145</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2719-2023</t>
        </is>
      </c>
      <c r="B518" s="1" t="n">
        <v>44944.55361111111</v>
      </c>
      <c r="C518" s="1" t="n">
        <v>46145</v>
      </c>
      <c r="D518" t="inlineStr">
        <is>
          <t>GOTLANDS LÄN</t>
        </is>
      </c>
      <c r="E518" t="inlineStr">
        <is>
          <t>GOTLAND</t>
        </is>
      </c>
      <c r="G518" t="n">
        <v>0.5</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46145</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11414-2026</t>
        </is>
      </c>
      <c r="B520" s="1" t="n">
        <v>46083.46336805556</v>
      </c>
      <c r="C520" s="1" t="n">
        <v>46145</v>
      </c>
      <c r="D520" t="inlineStr">
        <is>
          <t>GOTLANDS LÄN</t>
        </is>
      </c>
      <c r="E520" t="inlineStr">
        <is>
          <t>GOTLAND</t>
        </is>
      </c>
      <c r="G520" t="n">
        <v>4.9</v>
      </c>
      <c r="H520" t="n">
        <v>0</v>
      </c>
      <c r="I520" t="n">
        <v>0</v>
      </c>
      <c r="J520" t="n">
        <v>0</v>
      </c>
      <c r="K520" t="n">
        <v>0</v>
      </c>
      <c r="L520" t="n">
        <v>0</v>
      </c>
      <c r="M520" t="n">
        <v>0</v>
      </c>
      <c r="N520" t="n">
        <v>0</v>
      </c>
      <c r="O520" t="n">
        <v>0</v>
      </c>
      <c r="P520" t="n">
        <v>0</v>
      </c>
      <c r="Q520" t="n">
        <v>0</v>
      </c>
      <c r="R520" s="2" t="inlineStr"/>
    </row>
    <row r="521" ht="15" customHeight="1">
      <c r="A521" t="inlineStr">
        <is>
          <t>A 17943-2026</t>
        </is>
      </c>
      <c r="B521" s="1" t="n">
        <v>46122</v>
      </c>
      <c r="C521" s="1" t="n">
        <v>46145</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42007-2023</t>
        </is>
      </c>
      <c r="B522" s="1" t="n">
        <v>45177</v>
      </c>
      <c r="C522" s="1" t="n">
        <v>46145</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54584-2025</t>
        </is>
      </c>
      <c r="B523" s="1" t="n">
        <v>45965.71788194445</v>
      </c>
      <c r="C523" s="1" t="n">
        <v>46145</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9887-2025</t>
        </is>
      </c>
      <c r="B524" s="1" t="n">
        <v>45716</v>
      </c>
      <c r="C524" s="1" t="n">
        <v>46145</v>
      </c>
      <c r="D524" t="inlineStr">
        <is>
          <t>GOTLANDS LÄN</t>
        </is>
      </c>
      <c r="E524" t="inlineStr">
        <is>
          <t>GOTLAND</t>
        </is>
      </c>
      <c r="G524" t="n">
        <v>7.5</v>
      </c>
      <c r="H524" t="n">
        <v>0</v>
      </c>
      <c r="I524" t="n">
        <v>0</v>
      </c>
      <c r="J524" t="n">
        <v>0</v>
      </c>
      <c r="K524" t="n">
        <v>0</v>
      </c>
      <c r="L524" t="n">
        <v>0</v>
      </c>
      <c r="M524" t="n">
        <v>0</v>
      </c>
      <c r="N524" t="n">
        <v>0</v>
      </c>
      <c r="O524" t="n">
        <v>0</v>
      </c>
      <c r="P524" t="n">
        <v>0</v>
      </c>
      <c r="Q524" t="n">
        <v>0</v>
      </c>
      <c r="R524" s="2" t="inlineStr"/>
    </row>
    <row r="525" ht="15" customHeight="1">
      <c r="A525" t="inlineStr">
        <is>
          <t>A 3067-2026</t>
        </is>
      </c>
      <c r="B525" s="1" t="n">
        <v>46040.59025462963</v>
      </c>
      <c r="C525" s="1" t="n">
        <v>46145</v>
      </c>
      <c r="D525" t="inlineStr">
        <is>
          <t>GOTLANDS LÄN</t>
        </is>
      </c>
      <c r="E525" t="inlineStr">
        <is>
          <t>GOTLAND</t>
        </is>
      </c>
      <c r="G525" t="n">
        <v>7.8</v>
      </c>
      <c r="H525" t="n">
        <v>0</v>
      </c>
      <c r="I525" t="n">
        <v>0</v>
      </c>
      <c r="J525" t="n">
        <v>0</v>
      </c>
      <c r="K525" t="n">
        <v>0</v>
      </c>
      <c r="L525" t="n">
        <v>0</v>
      </c>
      <c r="M525" t="n">
        <v>0</v>
      </c>
      <c r="N525" t="n">
        <v>0</v>
      </c>
      <c r="O525" t="n">
        <v>0</v>
      </c>
      <c r="P525" t="n">
        <v>0</v>
      </c>
      <c r="Q525" t="n">
        <v>0</v>
      </c>
      <c r="R525" s="2" t="inlineStr"/>
    </row>
    <row r="526" ht="15" customHeight="1">
      <c r="A526" t="inlineStr">
        <is>
          <t>A 38165-2023</t>
        </is>
      </c>
      <c r="B526" s="1" t="n">
        <v>45161</v>
      </c>
      <c r="C526" s="1" t="n">
        <v>46145</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27596-2023</t>
        </is>
      </c>
      <c r="B527" s="1" t="n">
        <v>45097</v>
      </c>
      <c r="C527" s="1" t="n">
        <v>46145</v>
      </c>
      <c r="D527" t="inlineStr">
        <is>
          <t>GOTLANDS LÄN</t>
        </is>
      </c>
      <c r="E527" t="inlineStr">
        <is>
          <t>GOTLAND</t>
        </is>
      </c>
      <c r="G527" t="n">
        <v>3.6</v>
      </c>
      <c r="H527" t="n">
        <v>0</v>
      </c>
      <c r="I527" t="n">
        <v>0</v>
      </c>
      <c r="J527" t="n">
        <v>0</v>
      </c>
      <c r="K527" t="n">
        <v>0</v>
      </c>
      <c r="L527" t="n">
        <v>0</v>
      </c>
      <c r="M527" t="n">
        <v>0</v>
      </c>
      <c r="N527" t="n">
        <v>0</v>
      </c>
      <c r="O527" t="n">
        <v>0</v>
      </c>
      <c r="P527" t="n">
        <v>0</v>
      </c>
      <c r="Q527" t="n">
        <v>0</v>
      </c>
      <c r="R527" s="2" t="inlineStr"/>
    </row>
    <row r="528" ht="15" customHeight="1">
      <c r="A528" t="inlineStr">
        <is>
          <t>A 24825-2024</t>
        </is>
      </c>
      <c r="B528" s="1" t="n">
        <v>45461</v>
      </c>
      <c r="C528" s="1" t="n">
        <v>46145</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6696-2023</t>
        </is>
      </c>
      <c r="B529" s="1" t="n">
        <v>44966.66425925926</v>
      </c>
      <c r="C529" s="1" t="n">
        <v>46145</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11982-2026</t>
        </is>
      </c>
      <c r="B530" s="1" t="n">
        <v>46085.6434375</v>
      </c>
      <c r="C530" s="1" t="n">
        <v>46145</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21247-2022</t>
        </is>
      </c>
      <c r="B531" s="1" t="n">
        <v>44705.38832175926</v>
      </c>
      <c r="C531" s="1" t="n">
        <v>46145</v>
      </c>
      <c r="D531" t="inlineStr">
        <is>
          <t>GOTLANDS LÄN</t>
        </is>
      </c>
      <c r="E531" t="inlineStr">
        <is>
          <t>GOTLAND</t>
        </is>
      </c>
      <c r="G531" t="n">
        <v>16.2</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44929.87122685185</v>
      </c>
      <c r="C532" s="1" t="n">
        <v>46145</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2714-2023</t>
        </is>
      </c>
      <c r="B533" s="1" t="n">
        <v>44944.54896990741</v>
      </c>
      <c r="C533" s="1" t="n">
        <v>46145</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18804-2026</t>
        </is>
      </c>
      <c r="B534" s="1" t="n">
        <v>46128.62366898148</v>
      </c>
      <c r="C534" s="1" t="n">
        <v>46145</v>
      </c>
      <c r="D534" t="inlineStr">
        <is>
          <t>GOTLANDS LÄN</t>
        </is>
      </c>
      <c r="E534" t="inlineStr">
        <is>
          <t>GOTLAND</t>
        </is>
      </c>
      <c r="F534" t="inlineStr">
        <is>
          <t>Kyrkan</t>
        </is>
      </c>
      <c r="G534" t="n">
        <v>2.6</v>
      </c>
      <c r="H534" t="n">
        <v>0</v>
      </c>
      <c r="I534" t="n">
        <v>0</v>
      </c>
      <c r="J534" t="n">
        <v>0</v>
      </c>
      <c r="K534" t="n">
        <v>0</v>
      </c>
      <c r="L534" t="n">
        <v>0</v>
      </c>
      <c r="M534" t="n">
        <v>0</v>
      </c>
      <c r="N534" t="n">
        <v>0</v>
      </c>
      <c r="O534" t="n">
        <v>0</v>
      </c>
      <c r="P534" t="n">
        <v>0</v>
      </c>
      <c r="Q534" t="n">
        <v>0</v>
      </c>
      <c r="R534" s="2" t="inlineStr"/>
    </row>
    <row r="535" ht="15" customHeight="1">
      <c r="A535" t="inlineStr">
        <is>
          <t>A 12135-2026</t>
        </is>
      </c>
      <c r="B535" s="1" t="n">
        <v>46086</v>
      </c>
      <c r="C535" s="1" t="n">
        <v>46145</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4421-2024</t>
        </is>
      </c>
      <c r="B536" s="1" t="n">
        <v>45327.45173611111</v>
      </c>
      <c r="C536" s="1" t="n">
        <v>46145</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51782-2023</t>
        </is>
      </c>
      <c r="B537" s="1" t="n">
        <v>45222.80952546297</v>
      </c>
      <c r="C537" s="1" t="n">
        <v>46145</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54268-2022</t>
        </is>
      </c>
      <c r="B538" s="1" t="n">
        <v>44882</v>
      </c>
      <c r="C538" s="1" t="n">
        <v>46145</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42201-2023</t>
        </is>
      </c>
      <c r="B539" s="1" t="n">
        <v>45179</v>
      </c>
      <c r="C539" s="1" t="n">
        <v>46145</v>
      </c>
      <c r="D539" t="inlineStr">
        <is>
          <t>GOTLANDS LÄN</t>
        </is>
      </c>
      <c r="E539" t="inlineStr">
        <is>
          <t>GOTLAND</t>
        </is>
      </c>
      <c r="G539" t="n">
        <v>11.9</v>
      </c>
      <c r="H539" t="n">
        <v>0</v>
      </c>
      <c r="I539" t="n">
        <v>0</v>
      </c>
      <c r="J539" t="n">
        <v>0</v>
      </c>
      <c r="K539" t="n">
        <v>0</v>
      </c>
      <c r="L539" t="n">
        <v>0</v>
      </c>
      <c r="M539" t="n">
        <v>0</v>
      </c>
      <c r="N539" t="n">
        <v>0</v>
      </c>
      <c r="O539" t="n">
        <v>0</v>
      </c>
      <c r="P539" t="n">
        <v>0</v>
      </c>
      <c r="Q539" t="n">
        <v>0</v>
      </c>
      <c r="R539" s="2" t="inlineStr"/>
    </row>
    <row r="540" ht="15" customHeight="1">
      <c r="A540" t="inlineStr">
        <is>
          <t>A 57534-2022</t>
        </is>
      </c>
      <c r="B540" s="1" t="n">
        <v>44896</v>
      </c>
      <c r="C540" s="1" t="n">
        <v>46145</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19322-2026</t>
        </is>
      </c>
      <c r="B541" s="1" t="n">
        <v>46129</v>
      </c>
      <c r="C541" s="1" t="n">
        <v>46145</v>
      </c>
      <c r="D541" t="inlineStr">
        <is>
          <t>GOTLANDS LÄN</t>
        </is>
      </c>
      <c r="E541" t="inlineStr">
        <is>
          <t>GOTLAND</t>
        </is>
      </c>
      <c r="G541" t="n">
        <v>1</v>
      </c>
      <c r="H541" t="n">
        <v>0</v>
      </c>
      <c r="I541" t="n">
        <v>0</v>
      </c>
      <c r="J541" t="n">
        <v>0</v>
      </c>
      <c r="K541" t="n">
        <v>0</v>
      </c>
      <c r="L541" t="n">
        <v>0</v>
      </c>
      <c r="M541" t="n">
        <v>0</v>
      </c>
      <c r="N541" t="n">
        <v>0</v>
      </c>
      <c r="O541" t="n">
        <v>0</v>
      </c>
      <c r="P541" t="n">
        <v>0</v>
      </c>
      <c r="Q541" t="n">
        <v>0</v>
      </c>
      <c r="R541" s="2" t="inlineStr"/>
    </row>
    <row r="542" ht="15" customHeight="1">
      <c r="A542" t="inlineStr">
        <is>
          <t>A 25866-2022</t>
        </is>
      </c>
      <c r="B542" s="1" t="n">
        <v>44733</v>
      </c>
      <c r="C542" s="1" t="n">
        <v>46145</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43229-2023</t>
        </is>
      </c>
      <c r="B543" s="1" t="n">
        <v>45183.46704861111</v>
      </c>
      <c r="C543" s="1" t="n">
        <v>46145</v>
      </c>
      <c r="D543" t="inlineStr">
        <is>
          <t>GOTLANDS LÄN</t>
        </is>
      </c>
      <c r="E543" t="inlineStr">
        <is>
          <t>GOTLAND</t>
        </is>
      </c>
      <c r="G543" t="n">
        <v>7.1</v>
      </c>
      <c r="H543" t="n">
        <v>0</v>
      </c>
      <c r="I543" t="n">
        <v>0</v>
      </c>
      <c r="J543" t="n">
        <v>0</v>
      </c>
      <c r="K543" t="n">
        <v>0</v>
      </c>
      <c r="L543" t="n">
        <v>0</v>
      </c>
      <c r="M543" t="n">
        <v>0</v>
      </c>
      <c r="N543" t="n">
        <v>0</v>
      </c>
      <c r="O543" t="n">
        <v>0</v>
      </c>
      <c r="P543" t="n">
        <v>0</v>
      </c>
      <c r="Q543" t="n">
        <v>0</v>
      </c>
      <c r="R543" s="2" t="inlineStr"/>
    </row>
    <row r="544" ht="15" customHeight="1">
      <c r="A544" t="inlineStr">
        <is>
          <t>A 1175-2025</t>
        </is>
      </c>
      <c r="B544" s="1" t="n">
        <v>45667.34449074074</v>
      </c>
      <c r="C544" s="1" t="n">
        <v>46145</v>
      </c>
      <c r="D544" t="inlineStr">
        <is>
          <t>GOTLANDS LÄN</t>
        </is>
      </c>
      <c r="E544" t="inlineStr">
        <is>
          <t>GOTLAND</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27095-2022</t>
        </is>
      </c>
      <c r="B545" s="1" t="n">
        <v>44741</v>
      </c>
      <c r="C545" s="1" t="n">
        <v>46145</v>
      </c>
      <c r="D545" t="inlineStr">
        <is>
          <t>GOTLANDS LÄN</t>
        </is>
      </c>
      <c r="E545" t="inlineStr">
        <is>
          <t>GOTLAND</t>
        </is>
      </c>
      <c r="F545" t="inlineStr">
        <is>
          <t>Övriga Aktiebolag</t>
        </is>
      </c>
      <c r="G545" t="n">
        <v>2.9</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46145</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23978-2023</t>
        </is>
      </c>
      <c r="B547" s="1" t="n">
        <v>45078</v>
      </c>
      <c r="C547" s="1" t="n">
        <v>46145</v>
      </c>
      <c r="D547" t="inlineStr">
        <is>
          <t>GOTLANDS LÄN</t>
        </is>
      </c>
      <c r="E547" t="inlineStr">
        <is>
          <t>GOTLAND</t>
        </is>
      </c>
      <c r="F547" t="inlineStr">
        <is>
          <t>Naturvårdsverket</t>
        </is>
      </c>
      <c r="G547" t="n">
        <v>1.7</v>
      </c>
      <c r="H547" t="n">
        <v>0</v>
      </c>
      <c r="I547" t="n">
        <v>0</v>
      </c>
      <c r="J547" t="n">
        <v>0</v>
      </c>
      <c r="K547" t="n">
        <v>0</v>
      </c>
      <c r="L547" t="n">
        <v>0</v>
      </c>
      <c r="M547" t="n">
        <v>0</v>
      </c>
      <c r="N547" t="n">
        <v>0</v>
      </c>
      <c r="O547" t="n">
        <v>0</v>
      </c>
      <c r="P547" t="n">
        <v>0</v>
      </c>
      <c r="Q547" t="n">
        <v>0</v>
      </c>
      <c r="R547" s="2" t="inlineStr"/>
    </row>
    <row r="548" ht="15" customHeight="1">
      <c r="A548" t="inlineStr">
        <is>
          <t>A 34407-2023</t>
        </is>
      </c>
      <c r="B548" s="1" t="n">
        <v>45132</v>
      </c>
      <c r="C548" s="1" t="n">
        <v>46145</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11013-2024</t>
        </is>
      </c>
      <c r="B549" s="1" t="n">
        <v>45370</v>
      </c>
      <c r="C549" s="1" t="n">
        <v>46145</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27694-2024</t>
        </is>
      </c>
      <c r="B550" s="1" t="n">
        <v>45475</v>
      </c>
      <c r="C550" s="1" t="n">
        <v>46145</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15083-2025</t>
        </is>
      </c>
      <c r="B551" s="1" t="n">
        <v>45743</v>
      </c>
      <c r="C551" s="1" t="n">
        <v>46145</v>
      </c>
      <c r="D551" t="inlineStr">
        <is>
          <t>GOTLANDS LÄN</t>
        </is>
      </c>
      <c r="E551" t="inlineStr">
        <is>
          <t>GOTLAND</t>
        </is>
      </c>
      <c r="G551" t="n">
        <v>2.3</v>
      </c>
      <c r="H551" t="n">
        <v>0</v>
      </c>
      <c r="I551" t="n">
        <v>0</v>
      </c>
      <c r="J551" t="n">
        <v>0</v>
      </c>
      <c r="K551" t="n">
        <v>0</v>
      </c>
      <c r="L551" t="n">
        <v>0</v>
      </c>
      <c r="M551" t="n">
        <v>0</v>
      </c>
      <c r="N551" t="n">
        <v>0</v>
      </c>
      <c r="O551" t="n">
        <v>0</v>
      </c>
      <c r="P551" t="n">
        <v>0</v>
      </c>
      <c r="Q551" t="n">
        <v>0</v>
      </c>
      <c r="R551" s="2" t="inlineStr"/>
    </row>
    <row r="552" ht="15" customHeight="1">
      <c r="A552" t="inlineStr">
        <is>
          <t>A 13037-2025</t>
        </is>
      </c>
      <c r="B552" s="1" t="n">
        <v>45734</v>
      </c>
      <c r="C552" s="1" t="n">
        <v>46145</v>
      </c>
      <c r="D552" t="inlineStr">
        <is>
          <t>GOTLANDS LÄN</t>
        </is>
      </c>
      <c r="E552" t="inlineStr">
        <is>
          <t>GOTLAND</t>
        </is>
      </c>
      <c r="G552" t="n">
        <v>9.5</v>
      </c>
      <c r="H552" t="n">
        <v>0</v>
      </c>
      <c r="I552" t="n">
        <v>0</v>
      </c>
      <c r="J552" t="n">
        <v>0</v>
      </c>
      <c r="K552" t="n">
        <v>0</v>
      </c>
      <c r="L552" t="n">
        <v>0</v>
      </c>
      <c r="M552" t="n">
        <v>0</v>
      </c>
      <c r="N552" t="n">
        <v>0</v>
      </c>
      <c r="O552" t="n">
        <v>0</v>
      </c>
      <c r="P552" t="n">
        <v>0</v>
      </c>
      <c r="Q552" t="n">
        <v>0</v>
      </c>
      <c r="R552" s="2" t="inlineStr"/>
    </row>
    <row r="553" ht="15" customHeight="1">
      <c r="A553" t="inlineStr">
        <is>
          <t>A 5863-2026</t>
        </is>
      </c>
      <c r="B553" s="1" t="n">
        <v>46052</v>
      </c>
      <c r="C553" s="1" t="n">
        <v>46145</v>
      </c>
      <c r="D553" t="inlineStr">
        <is>
          <t>GOTLANDS LÄN</t>
        </is>
      </c>
      <c r="E553" t="inlineStr">
        <is>
          <t>GOTLAND</t>
        </is>
      </c>
      <c r="G553" t="n">
        <v>1.8</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46145</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62754-2025</t>
        </is>
      </c>
      <c r="B555" s="1" t="n">
        <v>46008</v>
      </c>
      <c r="C555" s="1" t="n">
        <v>46145</v>
      </c>
      <c r="D555" t="inlineStr">
        <is>
          <t>GOTLANDS LÄN</t>
        </is>
      </c>
      <c r="E555" t="inlineStr">
        <is>
          <t>GOTLAND</t>
        </is>
      </c>
      <c r="F555" t="inlineStr">
        <is>
          <t>Övriga Aktiebolag</t>
        </is>
      </c>
      <c r="G555" t="n">
        <v>2.9</v>
      </c>
      <c r="H555" t="n">
        <v>0</v>
      </c>
      <c r="I555" t="n">
        <v>0</v>
      </c>
      <c r="J555" t="n">
        <v>0</v>
      </c>
      <c r="K555" t="n">
        <v>0</v>
      </c>
      <c r="L555" t="n">
        <v>0</v>
      </c>
      <c r="M555" t="n">
        <v>0</v>
      </c>
      <c r="N555" t="n">
        <v>0</v>
      </c>
      <c r="O555" t="n">
        <v>0</v>
      </c>
      <c r="P555" t="n">
        <v>0</v>
      </c>
      <c r="Q555" t="n">
        <v>0</v>
      </c>
      <c r="R555" s="2" t="inlineStr"/>
    </row>
    <row r="556" ht="15" customHeight="1">
      <c r="A556" t="inlineStr">
        <is>
          <t>A 44228-2022</t>
        </is>
      </c>
      <c r="B556" s="1" t="n">
        <v>44839.51599537037</v>
      </c>
      <c r="C556" s="1" t="n">
        <v>46145</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58132-2023</t>
        </is>
      </c>
      <c r="B557" s="1" t="n">
        <v>45250</v>
      </c>
      <c r="C557" s="1" t="n">
        <v>46145</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62836-2025</t>
        </is>
      </c>
      <c r="B558" s="1" t="n">
        <v>46008</v>
      </c>
      <c r="C558" s="1" t="n">
        <v>46145</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49884-2023</t>
        </is>
      </c>
      <c r="B559" s="1" t="n">
        <v>45213</v>
      </c>
      <c r="C559" s="1" t="n">
        <v>46145</v>
      </c>
      <c r="D559" t="inlineStr">
        <is>
          <t>GOTLANDS LÄN</t>
        </is>
      </c>
      <c r="E559" t="inlineStr">
        <is>
          <t>GOTLAND</t>
        </is>
      </c>
      <c r="G559" t="n">
        <v>8.9</v>
      </c>
      <c r="H559" t="n">
        <v>0</v>
      </c>
      <c r="I559" t="n">
        <v>0</v>
      </c>
      <c r="J559" t="n">
        <v>0</v>
      </c>
      <c r="K559" t="n">
        <v>0</v>
      </c>
      <c r="L559" t="n">
        <v>0</v>
      </c>
      <c r="M559" t="n">
        <v>0</v>
      </c>
      <c r="N559" t="n">
        <v>0</v>
      </c>
      <c r="O559" t="n">
        <v>0</v>
      </c>
      <c r="P559" t="n">
        <v>0</v>
      </c>
      <c r="Q559" t="n">
        <v>0</v>
      </c>
      <c r="R559" s="2" t="inlineStr"/>
    </row>
    <row r="560" ht="15" customHeight="1">
      <c r="A560" t="inlineStr">
        <is>
          <t>A 63000-2025</t>
        </is>
      </c>
      <c r="B560" s="1" t="n">
        <v>46009</v>
      </c>
      <c r="C560" s="1" t="n">
        <v>46145</v>
      </c>
      <c r="D560" t="inlineStr">
        <is>
          <t>GOTLANDS LÄN</t>
        </is>
      </c>
      <c r="E560" t="inlineStr">
        <is>
          <t>GOTLAND</t>
        </is>
      </c>
      <c r="F560" t="inlineStr">
        <is>
          <t>Övriga Aktiebolag</t>
        </is>
      </c>
      <c r="G560" t="n">
        <v>1.7</v>
      </c>
      <c r="H560" t="n">
        <v>0</v>
      </c>
      <c r="I560" t="n">
        <v>0</v>
      </c>
      <c r="J560" t="n">
        <v>0</v>
      </c>
      <c r="K560" t="n">
        <v>0</v>
      </c>
      <c r="L560" t="n">
        <v>0</v>
      </c>
      <c r="M560" t="n">
        <v>0</v>
      </c>
      <c r="N560" t="n">
        <v>0</v>
      </c>
      <c r="O560" t="n">
        <v>0</v>
      </c>
      <c r="P560" t="n">
        <v>0</v>
      </c>
      <c r="Q560" t="n">
        <v>0</v>
      </c>
      <c r="R560" s="2" t="inlineStr"/>
    </row>
    <row r="561" ht="15" customHeight="1">
      <c r="A561" t="inlineStr">
        <is>
          <t>A 876-2024</t>
        </is>
      </c>
      <c r="B561" s="1" t="n">
        <v>45301</v>
      </c>
      <c r="C561" s="1" t="n">
        <v>46145</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13486-2026</t>
        </is>
      </c>
      <c r="B562" s="1" t="n">
        <v>46094</v>
      </c>
      <c r="C562" s="1" t="n">
        <v>46145</v>
      </c>
      <c r="D562" t="inlineStr">
        <is>
          <t>GOTLANDS LÄN</t>
        </is>
      </c>
      <c r="E562" t="inlineStr">
        <is>
          <t>GOTLAND</t>
        </is>
      </c>
      <c r="G562" t="n">
        <v>1.6</v>
      </c>
      <c r="H562" t="n">
        <v>0</v>
      </c>
      <c r="I562" t="n">
        <v>0</v>
      </c>
      <c r="J562" t="n">
        <v>0</v>
      </c>
      <c r="K562" t="n">
        <v>0</v>
      </c>
      <c r="L562" t="n">
        <v>0</v>
      </c>
      <c r="M562" t="n">
        <v>0</v>
      </c>
      <c r="N562" t="n">
        <v>0</v>
      </c>
      <c r="O562" t="n">
        <v>0</v>
      </c>
      <c r="P562" t="n">
        <v>0</v>
      </c>
      <c r="Q562" t="n">
        <v>0</v>
      </c>
      <c r="R562" s="2" t="inlineStr"/>
    </row>
    <row r="563" ht="15" customHeight="1">
      <c r="A563" t="inlineStr">
        <is>
          <t>A 62751-2025</t>
        </is>
      </c>
      <c r="B563" s="1" t="n">
        <v>46008</v>
      </c>
      <c r="C563" s="1" t="n">
        <v>46145</v>
      </c>
      <c r="D563" t="inlineStr">
        <is>
          <t>GOTLANDS LÄN</t>
        </is>
      </c>
      <c r="E563" t="inlineStr">
        <is>
          <t>GOTLAND</t>
        </is>
      </c>
      <c r="F563" t="inlineStr">
        <is>
          <t>Övriga Aktiebolag</t>
        </is>
      </c>
      <c r="G563" t="n">
        <v>7.8</v>
      </c>
      <c r="H563" t="n">
        <v>0</v>
      </c>
      <c r="I563" t="n">
        <v>0</v>
      </c>
      <c r="J563" t="n">
        <v>0</v>
      </c>
      <c r="K563" t="n">
        <v>0</v>
      </c>
      <c r="L563" t="n">
        <v>0</v>
      </c>
      <c r="M563" t="n">
        <v>0</v>
      </c>
      <c r="N563" t="n">
        <v>0</v>
      </c>
      <c r="O563" t="n">
        <v>0</v>
      </c>
      <c r="P563" t="n">
        <v>0</v>
      </c>
      <c r="Q563" t="n">
        <v>0</v>
      </c>
      <c r="R563" s="2" t="inlineStr"/>
    </row>
    <row r="564" ht="15" customHeight="1">
      <c r="A564" t="inlineStr">
        <is>
          <t>A 22704-2023</t>
        </is>
      </c>
      <c r="B564" s="1" t="n">
        <v>45071</v>
      </c>
      <c r="C564" s="1" t="n">
        <v>46145</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28425-2023</t>
        </is>
      </c>
      <c r="B565" s="1" t="n">
        <v>45102</v>
      </c>
      <c r="C565" s="1" t="n">
        <v>46145</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46145</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43200-2023</t>
        </is>
      </c>
      <c r="B567" s="1" t="n">
        <v>45183</v>
      </c>
      <c r="C567" s="1" t="n">
        <v>46145</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43223-2023</t>
        </is>
      </c>
      <c r="B568" s="1" t="n">
        <v>45183.45642361111</v>
      </c>
      <c r="C568" s="1" t="n">
        <v>46145</v>
      </c>
      <c r="D568" t="inlineStr">
        <is>
          <t>GOTLANDS LÄN</t>
        </is>
      </c>
      <c r="E568" t="inlineStr">
        <is>
          <t>GOTLAND</t>
        </is>
      </c>
      <c r="G568" t="n">
        <v>1.8</v>
      </c>
      <c r="H568" t="n">
        <v>0</v>
      </c>
      <c r="I568" t="n">
        <v>0</v>
      </c>
      <c r="J568" t="n">
        <v>0</v>
      </c>
      <c r="K568" t="n">
        <v>0</v>
      </c>
      <c r="L568" t="n">
        <v>0</v>
      </c>
      <c r="M568" t="n">
        <v>0</v>
      </c>
      <c r="N568" t="n">
        <v>0</v>
      </c>
      <c r="O568" t="n">
        <v>0</v>
      </c>
      <c r="P568" t="n">
        <v>0</v>
      </c>
      <c r="Q568" t="n">
        <v>0</v>
      </c>
      <c r="R568" s="2" t="inlineStr"/>
    </row>
    <row r="569" ht="15" customHeight="1">
      <c r="A569" t="inlineStr">
        <is>
          <t>A 12327-2025</t>
        </is>
      </c>
      <c r="B569" s="1" t="n">
        <v>45730</v>
      </c>
      <c r="C569" s="1" t="n">
        <v>46145</v>
      </c>
      <c r="D569" t="inlineStr">
        <is>
          <t>GOTLANDS LÄN</t>
        </is>
      </c>
      <c r="E569" t="inlineStr">
        <is>
          <t>GOTLAND</t>
        </is>
      </c>
      <c r="G569" t="n">
        <v>1.8</v>
      </c>
      <c r="H569" t="n">
        <v>0</v>
      </c>
      <c r="I569" t="n">
        <v>0</v>
      </c>
      <c r="J569" t="n">
        <v>0</v>
      </c>
      <c r="K569" t="n">
        <v>0</v>
      </c>
      <c r="L569" t="n">
        <v>0</v>
      </c>
      <c r="M569" t="n">
        <v>0</v>
      </c>
      <c r="N569" t="n">
        <v>0</v>
      </c>
      <c r="O569" t="n">
        <v>0</v>
      </c>
      <c r="P569" t="n">
        <v>0</v>
      </c>
      <c r="Q569" t="n">
        <v>0</v>
      </c>
      <c r="R569" s="2" t="inlineStr"/>
    </row>
    <row r="570" ht="15" customHeight="1">
      <c r="A570" t="inlineStr">
        <is>
          <t>A 3431-2025</t>
        </is>
      </c>
      <c r="B570" s="1" t="n">
        <v>45680.42935185185</v>
      </c>
      <c r="C570" s="1" t="n">
        <v>46145</v>
      </c>
      <c r="D570" t="inlineStr">
        <is>
          <t>GOTLANDS LÄN</t>
        </is>
      </c>
      <c r="E570" t="inlineStr">
        <is>
          <t>GOTLAND</t>
        </is>
      </c>
      <c r="G570" t="n">
        <v>4.8</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46145</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46145</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46145</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15042-2025</t>
        </is>
      </c>
      <c r="B574" s="1" t="n">
        <v>45743</v>
      </c>
      <c r="C574" s="1" t="n">
        <v>46145</v>
      </c>
      <c r="D574" t="inlineStr">
        <is>
          <t>GOTLANDS LÄN</t>
        </is>
      </c>
      <c r="E574" t="inlineStr">
        <is>
          <t>GOTLAND</t>
        </is>
      </c>
      <c r="G574" t="n">
        <v>8.5</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46145</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15436-2025</t>
        </is>
      </c>
      <c r="B576" s="1" t="n">
        <v>45747.47462962963</v>
      </c>
      <c r="C576" s="1" t="n">
        <v>46145</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46145</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37202-2024</t>
        </is>
      </c>
      <c r="B578" s="1" t="n">
        <v>45539.67310185185</v>
      </c>
      <c r="C578" s="1" t="n">
        <v>46145</v>
      </c>
      <c r="D578" t="inlineStr">
        <is>
          <t>GOTLANDS LÄN</t>
        </is>
      </c>
      <c r="E578" t="inlineStr">
        <is>
          <t>GOTLAND</t>
        </is>
      </c>
      <c r="G578" t="n">
        <v>0.3</v>
      </c>
      <c r="H578" t="n">
        <v>0</v>
      </c>
      <c r="I578" t="n">
        <v>0</v>
      </c>
      <c r="J578" t="n">
        <v>0</v>
      </c>
      <c r="K578" t="n">
        <v>0</v>
      </c>
      <c r="L578" t="n">
        <v>0</v>
      </c>
      <c r="M578" t="n">
        <v>0</v>
      </c>
      <c r="N578" t="n">
        <v>0</v>
      </c>
      <c r="O578" t="n">
        <v>0</v>
      </c>
      <c r="P578" t="n">
        <v>0</v>
      </c>
      <c r="Q578" t="n">
        <v>0</v>
      </c>
      <c r="R578" s="2" t="inlineStr"/>
    </row>
    <row r="579" ht="15" customHeight="1">
      <c r="A579" t="inlineStr">
        <is>
          <t>A 56115-2023</t>
        </is>
      </c>
      <c r="B579" s="1" t="n">
        <v>45236</v>
      </c>
      <c r="C579" s="1" t="n">
        <v>46145</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2774-2024</t>
        </is>
      </c>
      <c r="B580" s="1" t="n">
        <v>45314.62375</v>
      </c>
      <c r="C580" s="1" t="n">
        <v>46145</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60709-2023</t>
        </is>
      </c>
      <c r="B581" s="1" t="n">
        <v>45260</v>
      </c>
      <c r="C581" s="1" t="n">
        <v>46145</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64208-2021</t>
        </is>
      </c>
      <c r="B582" s="1" t="n">
        <v>44510</v>
      </c>
      <c r="C582" s="1" t="n">
        <v>46145</v>
      </c>
      <c r="D582" t="inlineStr">
        <is>
          <t>GOTLANDS LÄN</t>
        </is>
      </c>
      <c r="E582" t="inlineStr">
        <is>
          <t>GOTLAND</t>
        </is>
      </c>
      <c r="G582" t="n">
        <v>4.7</v>
      </c>
      <c r="H582" t="n">
        <v>0</v>
      </c>
      <c r="I582" t="n">
        <v>0</v>
      </c>
      <c r="J582" t="n">
        <v>0</v>
      </c>
      <c r="K582" t="n">
        <v>0</v>
      </c>
      <c r="L582" t="n">
        <v>0</v>
      </c>
      <c r="M582" t="n">
        <v>0</v>
      </c>
      <c r="N582" t="n">
        <v>0</v>
      </c>
      <c r="O582" t="n">
        <v>0</v>
      </c>
      <c r="P582" t="n">
        <v>0</v>
      </c>
      <c r="Q582" t="n">
        <v>0</v>
      </c>
      <c r="R582" s="2" t="inlineStr"/>
    </row>
    <row r="583" ht="15" customHeight="1">
      <c r="A583" t="inlineStr">
        <is>
          <t>A 39764-2022</t>
        </is>
      </c>
      <c r="B583" s="1" t="n">
        <v>44819</v>
      </c>
      <c r="C583" s="1" t="n">
        <v>46145</v>
      </c>
      <c r="D583" t="inlineStr">
        <is>
          <t>GOTLANDS LÄN</t>
        </is>
      </c>
      <c r="E583" t="inlineStr">
        <is>
          <t>GOTLAND</t>
        </is>
      </c>
      <c r="F583" t="inlineStr">
        <is>
          <t>Kyrkan</t>
        </is>
      </c>
      <c r="G583" t="n">
        <v>3.7</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46145</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30956-2024</t>
        </is>
      </c>
      <c r="B585" s="1" t="n">
        <v>45499.42527777778</v>
      </c>
      <c r="C585" s="1" t="n">
        <v>46145</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30892-2024</t>
        </is>
      </c>
      <c r="B586" s="1" t="n">
        <v>45491</v>
      </c>
      <c r="C586" s="1" t="n">
        <v>46145</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14635-2023</t>
        </is>
      </c>
      <c r="B587" s="1" t="n">
        <v>45013.69365740741</v>
      </c>
      <c r="C587" s="1" t="n">
        <v>46145</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59469-2024</t>
        </is>
      </c>
      <c r="B588" s="1" t="n">
        <v>45638</v>
      </c>
      <c r="C588" s="1" t="n">
        <v>46145</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7858-2025</t>
        </is>
      </c>
      <c r="B589" s="1" t="n">
        <v>45706.68633101852</v>
      </c>
      <c r="C589" s="1" t="n">
        <v>46145</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53935-2024</t>
        </is>
      </c>
      <c r="B590" s="1" t="n">
        <v>45615</v>
      </c>
      <c r="C590" s="1" t="n">
        <v>46145</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46145</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46145</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5891-2025</t>
        </is>
      </c>
      <c r="B593" s="1" t="n">
        <v>45695.38327546296</v>
      </c>
      <c r="C593" s="1" t="n">
        <v>46145</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7835-2024</t>
        </is>
      </c>
      <c r="B594" s="1" t="n">
        <v>45349.83138888889</v>
      </c>
      <c r="C594" s="1" t="n">
        <v>46145</v>
      </c>
      <c r="D594" t="inlineStr">
        <is>
          <t>GOTLANDS LÄN</t>
        </is>
      </c>
      <c r="E594" t="inlineStr">
        <is>
          <t>GOTLAND</t>
        </is>
      </c>
      <c r="G594" t="n">
        <v>3.8</v>
      </c>
      <c r="H594" t="n">
        <v>0</v>
      </c>
      <c r="I594" t="n">
        <v>0</v>
      </c>
      <c r="J594" t="n">
        <v>0</v>
      </c>
      <c r="K594" t="n">
        <v>0</v>
      </c>
      <c r="L594" t="n">
        <v>0</v>
      </c>
      <c r="M594" t="n">
        <v>0</v>
      </c>
      <c r="N594" t="n">
        <v>0</v>
      </c>
      <c r="O594" t="n">
        <v>0</v>
      </c>
      <c r="P594" t="n">
        <v>0</v>
      </c>
      <c r="Q594" t="n">
        <v>0</v>
      </c>
      <c r="R594" s="2" t="inlineStr"/>
    </row>
    <row r="595" ht="15" customHeight="1">
      <c r="A595" t="inlineStr">
        <is>
          <t>A 20794-2025</t>
        </is>
      </c>
      <c r="B595" s="1" t="n">
        <v>45776</v>
      </c>
      <c r="C595" s="1" t="n">
        <v>46145</v>
      </c>
      <c r="D595" t="inlineStr">
        <is>
          <t>GOTLANDS LÄN</t>
        </is>
      </c>
      <c r="E595" t="inlineStr">
        <is>
          <t>GOTLAND</t>
        </is>
      </c>
      <c r="G595" t="n">
        <v>6</v>
      </c>
      <c r="H595" t="n">
        <v>0</v>
      </c>
      <c r="I595" t="n">
        <v>0</v>
      </c>
      <c r="J595" t="n">
        <v>0</v>
      </c>
      <c r="K595" t="n">
        <v>0</v>
      </c>
      <c r="L595" t="n">
        <v>0</v>
      </c>
      <c r="M595" t="n">
        <v>0</v>
      </c>
      <c r="N595" t="n">
        <v>0</v>
      </c>
      <c r="O595" t="n">
        <v>0</v>
      </c>
      <c r="P595" t="n">
        <v>0</v>
      </c>
      <c r="Q595" t="n">
        <v>0</v>
      </c>
      <c r="R595" s="2" t="inlineStr"/>
    </row>
    <row r="596" ht="15" customHeight="1">
      <c r="A596" t="inlineStr">
        <is>
          <t>A 20805-2025</t>
        </is>
      </c>
      <c r="B596" s="1" t="n">
        <v>45776</v>
      </c>
      <c r="C596" s="1" t="n">
        <v>46145</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21389-2025</t>
        </is>
      </c>
      <c r="B597" s="1" t="n">
        <v>45782</v>
      </c>
      <c r="C597" s="1" t="n">
        <v>46145</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21651-2025</t>
        </is>
      </c>
      <c r="B598" s="1" t="n">
        <v>45783</v>
      </c>
      <c r="C598" s="1" t="n">
        <v>46145</v>
      </c>
      <c r="D598" t="inlineStr">
        <is>
          <t>GOTLANDS LÄN</t>
        </is>
      </c>
      <c r="E598" t="inlineStr">
        <is>
          <t>GOTLAND</t>
        </is>
      </c>
      <c r="G598" t="n">
        <v>4.2</v>
      </c>
      <c r="H598" t="n">
        <v>0</v>
      </c>
      <c r="I598" t="n">
        <v>0</v>
      </c>
      <c r="J598" t="n">
        <v>0</v>
      </c>
      <c r="K598" t="n">
        <v>0</v>
      </c>
      <c r="L598" t="n">
        <v>0</v>
      </c>
      <c r="M598" t="n">
        <v>0</v>
      </c>
      <c r="N598" t="n">
        <v>0</v>
      </c>
      <c r="O598" t="n">
        <v>0</v>
      </c>
      <c r="P598" t="n">
        <v>0</v>
      </c>
      <c r="Q598" t="n">
        <v>0</v>
      </c>
      <c r="R598" s="2" t="inlineStr"/>
    </row>
    <row r="599" ht="15" customHeight="1">
      <c r="A599" t="inlineStr">
        <is>
          <t>A 57356-2023</t>
        </is>
      </c>
      <c r="B599" s="1" t="n">
        <v>45240</v>
      </c>
      <c r="C599" s="1" t="n">
        <v>46145</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10656-2024</t>
        </is>
      </c>
      <c r="B600" s="1" t="n">
        <v>45368</v>
      </c>
      <c r="C600" s="1" t="n">
        <v>46145</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28506-2023</t>
        </is>
      </c>
      <c r="B601" s="1" t="n">
        <v>45103</v>
      </c>
      <c r="C601" s="1" t="n">
        <v>46145</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46145</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23188-2025</t>
        </is>
      </c>
      <c r="B603" s="1" t="n">
        <v>45791</v>
      </c>
      <c r="C603" s="1" t="n">
        <v>46145</v>
      </c>
      <c r="D603" t="inlineStr">
        <is>
          <t>GOTLANDS LÄN</t>
        </is>
      </c>
      <c r="E603" t="inlineStr">
        <is>
          <t>GOTLAND</t>
        </is>
      </c>
      <c r="G603" t="n">
        <v>6.2</v>
      </c>
      <c r="H603" t="n">
        <v>0</v>
      </c>
      <c r="I603" t="n">
        <v>0</v>
      </c>
      <c r="J603" t="n">
        <v>0</v>
      </c>
      <c r="K603" t="n">
        <v>0</v>
      </c>
      <c r="L603" t="n">
        <v>0</v>
      </c>
      <c r="M603" t="n">
        <v>0</v>
      </c>
      <c r="N603" t="n">
        <v>0</v>
      </c>
      <c r="O603" t="n">
        <v>0</v>
      </c>
      <c r="P603" t="n">
        <v>0</v>
      </c>
      <c r="Q603" t="n">
        <v>0</v>
      </c>
      <c r="R603" s="2" t="inlineStr"/>
    </row>
    <row r="604" ht="15" customHeight="1">
      <c r="A604" t="inlineStr">
        <is>
          <t>A 23473-2025</t>
        </is>
      </c>
      <c r="B604" s="1" t="n">
        <v>45792</v>
      </c>
      <c r="C604" s="1" t="n">
        <v>46145</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23856-2025</t>
        </is>
      </c>
      <c r="B605" s="1" t="n">
        <v>45793</v>
      </c>
      <c r="C605" s="1" t="n">
        <v>46145</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15073-2025</t>
        </is>
      </c>
      <c r="B606" s="1" t="n">
        <v>45743</v>
      </c>
      <c r="C606" s="1" t="n">
        <v>46145</v>
      </c>
      <c r="D606" t="inlineStr">
        <is>
          <t>GOTLANDS LÄN</t>
        </is>
      </c>
      <c r="E606" t="inlineStr">
        <is>
          <t>GOTLAND</t>
        </is>
      </c>
      <c r="G606" t="n">
        <v>12.1</v>
      </c>
      <c r="H606" t="n">
        <v>0</v>
      </c>
      <c r="I606" t="n">
        <v>0</v>
      </c>
      <c r="J606" t="n">
        <v>0</v>
      </c>
      <c r="K606" t="n">
        <v>0</v>
      </c>
      <c r="L606" t="n">
        <v>0</v>
      </c>
      <c r="M606" t="n">
        <v>0</v>
      </c>
      <c r="N606" t="n">
        <v>0</v>
      </c>
      <c r="O606" t="n">
        <v>0</v>
      </c>
      <c r="P606" t="n">
        <v>0</v>
      </c>
      <c r="Q606" t="n">
        <v>0</v>
      </c>
      <c r="R606" s="2" t="inlineStr"/>
    </row>
    <row r="607" ht="15" customHeight="1">
      <c r="A607" t="inlineStr">
        <is>
          <t>A 6749-2025</t>
        </is>
      </c>
      <c r="B607" s="1" t="n">
        <v>45700</v>
      </c>
      <c r="C607" s="1" t="n">
        <v>46145</v>
      </c>
      <c r="D607" t="inlineStr">
        <is>
          <t>GOTLANDS LÄN</t>
        </is>
      </c>
      <c r="E607" t="inlineStr">
        <is>
          <t>GOTLAND</t>
        </is>
      </c>
      <c r="G607" t="n">
        <v>4.5</v>
      </c>
      <c r="H607" t="n">
        <v>0</v>
      </c>
      <c r="I607" t="n">
        <v>0</v>
      </c>
      <c r="J607" t="n">
        <v>0</v>
      </c>
      <c r="K607" t="n">
        <v>0</v>
      </c>
      <c r="L607" t="n">
        <v>0</v>
      </c>
      <c r="M607" t="n">
        <v>0</v>
      </c>
      <c r="N607" t="n">
        <v>0</v>
      </c>
      <c r="O607" t="n">
        <v>0</v>
      </c>
      <c r="P607" t="n">
        <v>0</v>
      </c>
      <c r="Q607" t="n">
        <v>0</v>
      </c>
      <c r="R607" s="2" t="inlineStr"/>
    </row>
    <row r="608" ht="15" customHeight="1">
      <c r="A608" t="inlineStr">
        <is>
          <t>A 23698-2025</t>
        </is>
      </c>
      <c r="B608" s="1" t="n">
        <v>45793</v>
      </c>
      <c r="C608" s="1" t="n">
        <v>46145</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5462-2025</t>
        </is>
      </c>
      <c r="B609" s="1" t="n">
        <v>45693.29331018519</v>
      </c>
      <c r="C609" s="1" t="n">
        <v>46145</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25796-2025</t>
        </is>
      </c>
      <c r="B610" s="1" t="n">
        <v>45804.39543981481</v>
      </c>
      <c r="C610" s="1" t="n">
        <v>46145</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26457-2025</t>
        </is>
      </c>
      <c r="B611" s="1" t="n">
        <v>45807.42773148148</v>
      </c>
      <c r="C611" s="1" t="n">
        <v>46145</v>
      </c>
      <c r="D611" t="inlineStr">
        <is>
          <t>GOTLANDS LÄN</t>
        </is>
      </c>
      <c r="E611" t="inlineStr">
        <is>
          <t>GOTLAND</t>
        </is>
      </c>
      <c r="G611" t="n">
        <v>5.7</v>
      </c>
      <c r="H611" t="n">
        <v>0</v>
      </c>
      <c r="I611" t="n">
        <v>0</v>
      </c>
      <c r="J611" t="n">
        <v>0</v>
      </c>
      <c r="K611" t="n">
        <v>0</v>
      </c>
      <c r="L611" t="n">
        <v>0</v>
      </c>
      <c r="M611" t="n">
        <v>0</v>
      </c>
      <c r="N611" t="n">
        <v>0</v>
      </c>
      <c r="O611" t="n">
        <v>0</v>
      </c>
      <c r="P611" t="n">
        <v>0</v>
      </c>
      <c r="Q611" t="n">
        <v>0</v>
      </c>
      <c r="R611" s="2" t="inlineStr"/>
    </row>
    <row r="612" ht="15" customHeight="1">
      <c r="A612" t="inlineStr">
        <is>
          <t>A 26467-2025</t>
        </is>
      </c>
      <c r="B612" s="1" t="n">
        <v>45807.44640046296</v>
      </c>
      <c r="C612" s="1" t="n">
        <v>46145</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26465-2025</t>
        </is>
      </c>
      <c r="B613" s="1" t="n">
        <v>45807.44377314814</v>
      </c>
      <c r="C613" s="1" t="n">
        <v>46145</v>
      </c>
      <c r="D613" t="inlineStr">
        <is>
          <t>GOTLANDS LÄN</t>
        </is>
      </c>
      <c r="E613" t="inlineStr">
        <is>
          <t>GOTLAND</t>
        </is>
      </c>
      <c r="G613" t="n">
        <v>4.5</v>
      </c>
      <c r="H613" t="n">
        <v>0</v>
      </c>
      <c r="I613" t="n">
        <v>0</v>
      </c>
      <c r="J613" t="n">
        <v>0</v>
      </c>
      <c r="K613" t="n">
        <v>0</v>
      </c>
      <c r="L613" t="n">
        <v>0</v>
      </c>
      <c r="M613" t="n">
        <v>0</v>
      </c>
      <c r="N613" t="n">
        <v>0</v>
      </c>
      <c r="O613" t="n">
        <v>0</v>
      </c>
      <c r="P613" t="n">
        <v>0</v>
      </c>
      <c r="Q613" t="n">
        <v>0</v>
      </c>
      <c r="R613" s="2" t="inlineStr"/>
    </row>
    <row r="614" ht="15" customHeight="1">
      <c r="A614" t="inlineStr">
        <is>
          <t>A 26660-2025</t>
        </is>
      </c>
      <c r="B614" s="1" t="n">
        <v>45810.39737268518</v>
      </c>
      <c r="C614" s="1" t="n">
        <v>46145</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27371-2025</t>
        </is>
      </c>
      <c r="B615" s="1" t="n">
        <v>45812</v>
      </c>
      <c r="C615" s="1" t="n">
        <v>46145</v>
      </c>
      <c r="D615" t="inlineStr">
        <is>
          <t>GOTLANDS LÄN</t>
        </is>
      </c>
      <c r="E615" t="inlineStr">
        <is>
          <t>GOTLAND</t>
        </is>
      </c>
      <c r="G615" t="n">
        <v>8</v>
      </c>
      <c r="H615" t="n">
        <v>0</v>
      </c>
      <c r="I615" t="n">
        <v>0</v>
      </c>
      <c r="J615" t="n">
        <v>0</v>
      </c>
      <c r="K615" t="n">
        <v>0</v>
      </c>
      <c r="L615" t="n">
        <v>0</v>
      </c>
      <c r="M615" t="n">
        <v>0</v>
      </c>
      <c r="N615" t="n">
        <v>0</v>
      </c>
      <c r="O615" t="n">
        <v>0</v>
      </c>
      <c r="P615" t="n">
        <v>0</v>
      </c>
      <c r="Q615" t="n">
        <v>0</v>
      </c>
      <c r="R615" s="2" t="inlineStr"/>
    </row>
    <row r="616" ht="15" customHeight="1">
      <c r="A616" t="inlineStr">
        <is>
          <t>A 27355-2025</t>
        </is>
      </c>
      <c r="B616" s="1" t="n">
        <v>45812</v>
      </c>
      <c r="C616" s="1" t="n">
        <v>46145</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6739-2025</t>
        </is>
      </c>
      <c r="B617" s="1" t="n">
        <v>45700</v>
      </c>
      <c r="C617" s="1" t="n">
        <v>46145</v>
      </c>
      <c r="D617" t="inlineStr">
        <is>
          <t>GOTLANDS LÄN</t>
        </is>
      </c>
      <c r="E617" t="inlineStr">
        <is>
          <t>GOTLAND</t>
        </is>
      </c>
      <c r="G617" t="n">
        <v>4.5</v>
      </c>
      <c r="H617" t="n">
        <v>0</v>
      </c>
      <c r="I617" t="n">
        <v>0</v>
      </c>
      <c r="J617" t="n">
        <v>0</v>
      </c>
      <c r="K617" t="n">
        <v>0</v>
      </c>
      <c r="L617" t="n">
        <v>0</v>
      </c>
      <c r="M617" t="n">
        <v>0</v>
      </c>
      <c r="N617" t="n">
        <v>0</v>
      </c>
      <c r="O617" t="n">
        <v>0</v>
      </c>
      <c r="P617" t="n">
        <v>0</v>
      </c>
      <c r="Q617" t="n">
        <v>0</v>
      </c>
      <c r="R617" s="2" t="inlineStr"/>
    </row>
    <row r="618" ht="15" customHeight="1">
      <c r="A618" t="inlineStr">
        <is>
          <t>A 7850-2025</t>
        </is>
      </c>
      <c r="B618" s="1" t="n">
        <v>45706</v>
      </c>
      <c r="C618" s="1" t="n">
        <v>46145</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8444-2025</t>
        </is>
      </c>
      <c r="B619" s="1" t="n">
        <v>45709</v>
      </c>
      <c r="C619" s="1" t="n">
        <v>46145</v>
      </c>
      <c r="D619" t="inlineStr">
        <is>
          <t>GOTLANDS LÄN</t>
        </is>
      </c>
      <c r="E619" t="inlineStr">
        <is>
          <t>GOTLAND</t>
        </is>
      </c>
      <c r="G619" t="n">
        <v>5.2</v>
      </c>
      <c r="H619" t="n">
        <v>0</v>
      </c>
      <c r="I619" t="n">
        <v>0</v>
      </c>
      <c r="J619" t="n">
        <v>0</v>
      </c>
      <c r="K619" t="n">
        <v>0</v>
      </c>
      <c r="L619" t="n">
        <v>0</v>
      </c>
      <c r="M619" t="n">
        <v>0</v>
      </c>
      <c r="N619" t="n">
        <v>0</v>
      </c>
      <c r="O619" t="n">
        <v>0</v>
      </c>
      <c r="P619" t="n">
        <v>0</v>
      </c>
      <c r="Q619" t="n">
        <v>0</v>
      </c>
      <c r="R619" s="2" t="inlineStr"/>
    </row>
    <row r="620" ht="15" customHeight="1">
      <c r="A620" t="inlineStr">
        <is>
          <t>A 19905-2025</t>
        </is>
      </c>
      <c r="B620" s="1" t="n">
        <v>45771</v>
      </c>
      <c r="C620" s="1" t="n">
        <v>46145</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29196-2025</t>
        </is>
      </c>
      <c r="B621" s="1" t="n">
        <v>45822</v>
      </c>
      <c r="C621" s="1" t="n">
        <v>46145</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29207-2025</t>
        </is>
      </c>
      <c r="B622" s="1" t="n">
        <v>45823</v>
      </c>
      <c r="C622" s="1" t="n">
        <v>46145</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30061-2025</t>
        </is>
      </c>
      <c r="B623" s="1" t="n">
        <v>45826.61488425926</v>
      </c>
      <c r="C623" s="1" t="n">
        <v>46145</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58160-2024</t>
        </is>
      </c>
      <c r="B624" s="1" t="n">
        <v>45632.44927083333</v>
      </c>
      <c r="C624" s="1" t="n">
        <v>46145</v>
      </c>
      <c r="D624" t="inlineStr">
        <is>
          <t>GOTLANDS LÄN</t>
        </is>
      </c>
      <c r="E624" t="inlineStr">
        <is>
          <t>GOTLAND</t>
        </is>
      </c>
      <c r="G624" t="n">
        <v>5.6</v>
      </c>
      <c r="H624" t="n">
        <v>0</v>
      </c>
      <c r="I624" t="n">
        <v>0</v>
      </c>
      <c r="J624" t="n">
        <v>0</v>
      </c>
      <c r="K624" t="n">
        <v>0</v>
      </c>
      <c r="L624" t="n">
        <v>0</v>
      </c>
      <c r="M624" t="n">
        <v>0</v>
      </c>
      <c r="N624" t="n">
        <v>0</v>
      </c>
      <c r="O624" t="n">
        <v>0</v>
      </c>
      <c r="P624" t="n">
        <v>0</v>
      </c>
      <c r="Q624" t="n">
        <v>0</v>
      </c>
      <c r="R624" s="2" t="inlineStr"/>
    </row>
    <row r="625" ht="15" customHeight="1">
      <c r="A625" t="inlineStr">
        <is>
          <t>A 32379-2025</t>
        </is>
      </c>
      <c r="B625" s="1" t="n">
        <v>45837</v>
      </c>
      <c r="C625" s="1" t="n">
        <v>46145</v>
      </c>
      <c r="D625" t="inlineStr">
        <is>
          <t>GOTLANDS LÄN</t>
        </is>
      </c>
      <c r="E625" t="inlineStr">
        <is>
          <t>GOTLAND</t>
        </is>
      </c>
      <c r="G625" t="n">
        <v>1</v>
      </c>
      <c r="H625" t="n">
        <v>0</v>
      </c>
      <c r="I625" t="n">
        <v>0</v>
      </c>
      <c r="J625" t="n">
        <v>0</v>
      </c>
      <c r="K625" t="n">
        <v>0</v>
      </c>
      <c r="L625" t="n">
        <v>0</v>
      </c>
      <c r="M625" t="n">
        <v>0</v>
      </c>
      <c r="N625" t="n">
        <v>0</v>
      </c>
      <c r="O625" t="n">
        <v>0</v>
      </c>
      <c r="P625" t="n">
        <v>0</v>
      </c>
      <c r="Q625" t="n">
        <v>0</v>
      </c>
      <c r="R625" s="2" t="inlineStr"/>
    </row>
    <row r="626" ht="15" customHeight="1">
      <c r="A626" t="inlineStr">
        <is>
          <t>A 32467-2025</t>
        </is>
      </c>
      <c r="B626" s="1" t="n">
        <v>45838.42111111111</v>
      </c>
      <c r="C626" s="1" t="n">
        <v>46145</v>
      </c>
      <c r="D626" t="inlineStr">
        <is>
          <t>GOTLANDS LÄN</t>
        </is>
      </c>
      <c r="E626" t="inlineStr">
        <is>
          <t>GOTLAND</t>
        </is>
      </c>
      <c r="G626" t="n">
        <v>4.3</v>
      </c>
      <c r="H626" t="n">
        <v>0</v>
      </c>
      <c r="I626" t="n">
        <v>0</v>
      </c>
      <c r="J626" t="n">
        <v>0</v>
      </c>
      <c r="K626" t="n">
        <v>0</v>
      </c>
      <c r="L626" t="n">
        <v>0</v>
      </c>
      <c r="M626" t="n">
        <v>0</v>
      </c>
      <c r="N626" t="n">
        <v>0</v>
      </c>
      <c r="O626" t="n">
        <v>0</v>
      </c>
      <c r="P626" t="n">
        <v>0</v>
      </c>
      <c r="Q626" t="n">
        <v>0</v>
      </c>
      <c r="R626" s="2" t="inlineStr"/>
    </row>
    <row r="627" ht="15" customHeight="1">
      <c r="A627" t="inlineStr">
        <is>
          <t>A 16109-2025</t>
        </is>
      </c>
      <c r="B627" s="1" t="n">
        <v>45750</v>
      </c>
      <c r="C627" s="1" t="n">
        <v>46145</v>
      </c>
      <c r="D627" t="inlineStr">
        <is>
          <t>GOTLANDS LÄN</t>
        </is>
      </c>
      <c r="E627" t="inlineStr">
        <is>
          <t>GOTLAND</t>
        </is>
      </c>
      <c r="G627" t="n">
        <v>4.9</v>
      </c>
      <c r="H627" t="n">
        <v>0</v>
      </c>
      <c r="I627" t="n">
        <v>0</v>
      </c>
      <c r="J627" t="n">
        <v>0</v>
      </c>
      <c r="K627" t="n">
        <v>0</v>
      </c>
      <c r="L627" t="n">
        <v>0</v>
      </c>
      <c r="M627" t="n">
        <v>0</v>
      </c>
      <c r="N627" t="n">
        <v>0</v>
      </c>
      <c r="O627" t="n">
        <v>0</v>
      </c>
      <c r="P627" t="n">
        <v>0</v>
      </c>
      <c r="Q627" t="n">
        <v>0</v>
      </c>
      <c r="R627" s="2" t="inlineStr"/>
    </row>
    <row r="628" ht="15" customHeight="1">
      <c r="A628" t="inlineStr">
        <is>
          <t>A 33007-2025</t>
        </is>
      </c>
      <c r="B628" s="1" t="n">
        <v>45840</v>
      </c>
      <c r="C628" s="1" t="n">
        <v>46145</v>
      </c>
      <c r="D628" t="inlineStr">
        <is>
          <t>GOTLANDS LÄN</t>
        </is>
      </c>
      <c r="E628" t="inlineStr">
        <is>
          <t>GOTLAND</t>
        </is>
      </c>
      <c r="G628" t="n">
        <v>4.9</v>
      </c>
      <c r="H628" t="n">
        <v>0</v>
      </c>
      <c r="I628" t="n">
        <v>0</v>
      </c>
      <c r="J628" t="n">
        <v>0</v>
      </c>
      <c r="K628" t="n">
        <v>0</v>
      </c>
      <c r="L628" t="n">
        <v>0</v>
      </c>
      <c r="M628" t="n">
        <v>0</v>
      </c>
      <c r="N628" t="n">
        <v>0</v>
      </c>
      <c r="O628" t="n">
        <v>0</v>
      </c>
      <c r="P628" t="n">
        <v>0</v>
      </c>
      <c r="Q628" t="n">
        <v>0</v>
      </c>
      <c r="R628" s="2" t="inlineStr"/>
    </row>
    <row r="629" ht="15" customHeight="1">
      <c r="A629" t="inlineStr">
        <is>
          <t>A 15413-2025</t>
        </is>
      </c>
      <c r="B629" s="1" t="n">
        <v>45747.451875</v>
      </c>
      <c r="C629" s="1" t="n">
        <v>46145</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35123-2025</t>
        </is>
      </c>
      <c r="B630" s="1" t="n">
        <v>45852.614375</v>
      </c>
      <c r="C630" s="1" t="n">
        <v>46145</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35096-2025</t>
        </is>
      </c>
      <c r="B631" s="1" t="n">
        <v>45852.54356481481</v>
      </c>
      <c r="C631" s="1" t="n">
        <v>46145</v>
      </c>
      <c r="D631" t="inlineStr">
        <is>
          <t>GOTLANDS LÄN</t>
        </is>
      </c>
      <c r="E631" t="inlineStr">
        <is>
          <t>GOTLAND</t>
        </is>
      </c>
      <c r="F631" t="inlineStr">
        <is>
          <t>Kyrkan</t>
        </is>
      </c>
      <c r="G631" t="n">
        <v>1</v>
      </c>
      <c r="H631" t="n">
        <v>0</v>
      </c>
      <c r="I631" t="n">
        <v>0</v>
      </c>
      <c r="J631" t="n">
        <v>0</v>
      </c>
      <c r="K631" t="n">
        <v>0</v>
      </c>
      <c r="L631" t="n">
        <v>0</v>
      </c>
      <c r="M631" t="n">
        <v>0</v>
      </c>
      <c r="N631" t="n">
        <v>0</v>
      </c>
      <c r="O631" t="n">
        <v>0</v>
      </c>
      <c r="P631" t="n">
        <v>0</v>
      </c>
      <c r="Q631" t="n">
        <v>0</v>
      </c>
      <c r="R631" s="2" t="inlineStr"/>
    </row>
    <row r="632" ht="15" customHeight="1">
      <c r="A632" t="inlineStr">
        <is>
          <t>A 30104-2025</t>
        </is>
      </c>
      <c r="B632" s="1" t="n">
        <v>45826.68806712963</v>
      </c>
      <c r="C632" s="1" t="n">
        <v>46145</v>
      </c>
      <c r="D632" t="inlineStr">
        <is>
          <t>GOTLANDS LÄN</t>
        </is>
      </c>
      <c r="E632" t="inlineStr">
        <is>
          <t>GOTLAND</t>
        </is>
      </c>
      <c r="G632" t="n">
        <v>15.4</v>
      </c>
      <c r="H632" t="n">
        <v>0</v>
      </c>
      <c r="I632" t="n">
        <v>0</v>
      </c>
      <c r="J632" t="n">
        <v>0</v>
      </c>
      <c r="K632" t="n">
        <v>0</v>
      </c>
      <c r="L632" t="n">
        <v>0</v>
      </c>
      <c r="M632" t="n">
        <v>0</v>
      </c>
      <c r="N632" t="n">
        <v>0</v>
      </c>
      <c r="O632" t="n">
        <v>0</v>
      </c>
      <c r="P632" t="n">
        <v>0</v>
      </c>
      <c r="Q632" t="n">
        <v>0</v>
      </c>
      <c r="R632" s="2" t="inlineStr"/>
    </row>
    <row r="633" ht="15" customHeight="1">
      <c r="A633" t="inlineStr">
        <is>
          <t>A 35290-2025</t>
        </is>
      </c>
      <c r="B633" s="1" t="n">
        <v>45854.38502314815</v>
      </c>
      <c r="C633" s="1" t="n">
        <v>46145</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32669-2024</t>
        </is>
      </c>
      <c r="B634" s="1" t="n">
        <v>45514</v>
      </c>
      <c r="C634" s="1" t="n">
        <v>46145</v>
      </c>
      <c r="D634" t="inlineStr">
        <is>
          <t>GOTLANDS LÄN</t>
        </is>
      </c>
      <c r="E634" t="inlineStr">
        <is>
          <t>GOTLAND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35537-2025</t>
        </is>
      </c>
      <c r="B635" s="1" t="n">
        <v>45856</v>
      </c>
      <c r="C635" s="1" t="n">
        <v>46145</v>
      </c>
      <c r="D635" t="inlineStr">
        <is>
          <t>GOTLANDS LÄN</t>
        </is>
      </c>
      <c r="E635" t="inlineStr">
        <is>
          <t>GOTLAND</t>
        </is>
      </c>
      <c r="G635" t="n">
        <v>16.8</v>
      </c>
      <c r="H635" t="n">
        <v>0</v>
      </c>
      <c r="I635" t="n">
        <v>0</v>
      </c>
      <c r="J635" t="n">
        <v>0</v>
      </c>
      <c r="K635" t="n">
        <v>0</v>
      </c>
      <c r="L635" t="n">
        <v>0</v>
      </c>
      <c r="M635" t="n">
        <v>0</v>
      </c>
      <c r="N635" t="n">
        <v>0</v>
      </c>
      <c r="O635" t="n">
        <v>0</v>
      </c>
      <c r="P635" t="n">
        <v>0</v>
      </c>
      <c r="Q635" t="n">
        <v>0</v>
      </c>
      <c r="R635" s="2" t="inlineStr"/>
    </row>
    <row r="636" ht="15" customHeight="1">
      <c r="A636" t="inlineStr">
        <is>
          <t>A 15216-2025</t>
        </is>
      </c>
      <c r="B636" s="1" t="n">
        <v>45744</v>
      </c>
      <c r="C636" s="1" t="n">
        <v>46145</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43790-2024</t>
        </is>
      </c>
      <c r="B637" s="1" t="n">
        <v>45571</v>
      </c>
      <c r="C637" s="1" t="n">
        <v>46145</v>
      </c>
      <c r="D637" t="inlineStr">
        <is>
          <t>GOTLANDS LÄN</t>
        </is>
      </c>
      <c r="E637" t="inlineStr">
        <is>
          <t>GOTLAND</t>
        </is>
      </c>
      <c r="G637" t="n">
        <v>3.5</v>
      </c>
      <c r="H637" t="n">
        <v>0</v>
      </c>
      <c r="I637" t="n">
        <v>0</v>
      </c>
      <c r="J637" t="n">
        <v>0</v>
      </c>
      <c r="K637" t="n">
        <v>0</v>
      </c>
      <c r="L637" t="n">
        <v>0</v>
      </c>
      <c r="M637" t="n">
        <v>0</v>
      </c>
      <c r="N637" t="n">
        <v>0</v>
      </c>
      <c r="O637" t="n">
        <v>0</v>
      </c>
      <c r="P637" t="n">
        <v>0</v>
      </c>
      <c r="Q637" t="n">
        <v>0</v>
      </c>
      <c r="R637" s="2" t="inlineStr"/>
    </row>
    <row r="638" ht="15" customHeight="1">
      <c r="A638" t="inlineStr">
        <is>
          <t>A 15001-2025</t>
        </is>
      </c>
      <c r="B638" s="1" t="n">
        <v>45743</v>
      </c>
      <c r="C638" s="1" t="n">
        <v>46145</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30488-2025</t>
        </is>
      </c>
      <c r="B639" s="1" t="n">
        <v>45830</v>
      </c>
      <c r="C639" s="1" t="n">
        <v>46145</v>
      </c>
      <c r="D639" t="inlineStr">
        <is>
          <t>GOTLANDS LÄN</t>
        </is>
      </c>
      <c r="E639" t="inlineStr">
        <is>
          <t>GOTLAND</t>
        </is>
      </c>
      <c r="F639" t="inlineStr">
        <is>
          <t>Kyrkan</t>
        </is>
      </c>
      <c r="G639" t="n">
        <v>3.9</v>
      </c>
      <c r="H639" t="n">
        <v>0</v>
      </c>
      <c r="I639" t="n">
        <v>0</v>
      </c>
      <c r="J639" t="n">
        <v>0</v>
      </c>
      <c r="K639" t="n">
        <v>0</v>
      </c>
      <c r="L639" t="n">
        <v>0</v>
      </c>
      <c r="M639" t="n">
        <v>0</v>
      </c>
      <c r="N639" t="n">
        <v>0</v>
      </c>
      <c r="O639" t="n">
        <v>0</v>
      </c>
      <c r="P639" t="n">
        <v>0</v>
      </c>
      <c r="Q639" t="n">
        <v>0</v>
      </c>
      <c r="R639" s="2" t="inlineStr"/>
    </row>
    <row r="640" ht="15" customHeight="1">
      <c r="A640" t="inlineStr">
        <is>
          <t>A 17847-2025</t>
        </is>
      </c>
      <c r="B640" s="1" t="n">
        <v>45758</v>
      </c>
      <c r="C640" s="1" t="n">
        <v>46145</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18742-2025</t>
        </is>
      </c>
      <c r="B641" s="1" t="n">
        <v>45763</v>
      </c>
      <c r="C641" s="1" t="n">
        <v>46145</v>
      </c>
      <c r="D641" t="inlineStr">
        <is>
          <t>GOTLANDS LÄN</t>
        </is>
      </c>
      <c r="E641" t="inlineStr">
        <is>
          <t>GOTLAND</t>
        </is>
      </c>
      <c r="G641" t="n">
        <v>3.4</v>
      </c>
      <c r="H641" t="n">
        <v>0</v>
      </c>
      <c r="I641" t="n">
        <v>0</v>
      </c>
      <c r="J641" t="n">
        <v>0</v>
      </c>
      <c r="K641" t="n">
        <v>0</v>
      </c>
      <c r="L641" t="n">
        <v>0</v>
      </c>
      <c r="M641" t="n">
        <v>0</v>
      </c>
      <c r="N641" t="n">
        <v>0</v>
      </c>
      <c r="O641" t="n">
        <v>0</v>
      </c>
      <c r="P641" t="n">
        <v>0</v>
      </c>
      <c r="Q641" t="n">
        <v>0</v>
      </c>
      <c r="R641" s="2" t="inlineStr"/>
    </row>
    <row r="642">
      <c r="A642" t="inlineStr">
        <is>
          <t>A 35129-2025</t>
        </is>
      </c>
      <c r="B642" s="1" t="n">
        <v>45852.63224537037</v>
      </c>
      <c r="C642" s="1" t="n">
        <v>46145</v>
      </c>
      <c r="D642" t="inlineStr">
        <is>
          <t>GOTLANDS LÄN</t>
        </is>
      </c>
      <c r="E642" t="inlineStr">
        <is>
          <t>GOTLAND</t>
        </is>
      </c>
      <c r="G642" t="n">
        <v>3.2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2026-05-03T11:02:40Z</dcterms:created>
  <dcterms:modified xmlns:dcterms="http://purl.org/dc/terms/" xmlns:xsi="http://www.w3.org/2001/XMLSchema-instance" xsi:type="dcterms:W3CDTF">2026-05-03T11:02:41Z</dcterms:modified>
</cp:coreProperties>
</file>