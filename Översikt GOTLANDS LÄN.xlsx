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4716-2024</t>
        </is>
      </c>
      <c r="B2" t="inlineStr">
        <is>
          <t>avverkningsanmälan</t>
        </is>
      </c>
      <c r="C2" t="inlineStr">
        <is>
          <t>Föryngringsavverkning</t>
        </is>
      </c>
      <c r="D2" s="1" t="n">
        <v>45328</v>
      </c>
      <c r="E2" s="1" t="n">
        <v>46223</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X2">
        <f>HYPERLINK("https://klasma.github.io/Logging_0980/kartor_geotiff/A 4716-2024 georefererad karta.tif", "A 4716-2024")</f>
        <v/>
      </c>
      <c r="Z2">
        <f>HYPERLINK("https://klasma.github.io/Logging_0980/klagomål/A 4716-2024 FSC-klagomål.docx", "A 4716-2024")</f>
        <v/>
      </c>
      <c r="AA2">
        <f>HYPERLINK("https://klasma.github.io/Logging_0980/klagomålsmail/A 4716-2024 FSC-klagomål mail.docx", "A 4716-2024")</f>
        <v/>
      </c>
      <c r="AB2">
        <f>HYPERLINK("https://klasma.github.io/Logging_0980/tillsyn/A 4716-2024 tillsynsbegäran.docx", "A 4716-2024")</f>
        <v/>
      </c>
      <c r="AC2">
        <f>HYPERLINK("https://klasma.github.io/Logging_0980/tillsynsmail/A 4716-2024 tillsynsbegäran mail.docx", "A 4716-2024")</f>
        <v/>
      </c>
      <c r="AD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46223</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X3">
        <f>HYPERLINK("https://klasma.github.io/Logging_0980/kartor_geotiff/A 9064-2024 georefererad karta.tif", "A 9064-2024")</f>
        <v/>
      </c>
      <c r="Z3">
        <f>HYPERLINK("https://klasma.github.io/Logging_0980/klagomål/A 9064-2024 FSC-klagomål.docx", "A 9064-2024")</f>
        <v/>
      </c>
      <c r="AA3">
        <f>HYPERLINK("https://klasma.github.io/Logging_0980/klagomålsmail/A 9064-2024 FSC-klagomål mail.docx", "A 9064-2024")</f>
        <v/>
      </c>
      <c r="AB3">
        <f>HYPERLINK("https://klasma.github.io/Logging_0980/tillsyn/A 9064-2024 tillsynsbegäran.docx", "A 9064-2024")</f>
        <v/>
      </c>
      <c r="AC3">
        <f>HYPERLINK("https://klasma.github.io/Logging_0980/tillsynsmail/A 9064-2024 tillsynsbegäran mail.docx", "A 9064-2024")</f>
        <v/>
      </c>
      <c r="AD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46223</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X4">
        <f>HYPERLINK("https://klasma.github.io/Logging_0980/kartor_geotiff/A 4572-2025 georefererad karta.tif", "A 4572-2025")</f>
        <v/>
      </c>
      <c r="Z4">
        <f>HYPERLINK("https://klasma.github.io/Logging_0980/klagomål/A 4572-2025 FSC-klagomål.docx", "A 4572-2025")</f>
        <v/>
      </c>
      <c r="AA4">
        <f>HYPERLINK("https://klasma.github.io/Logging_0980/klagomålsmail/A 4572-2025 FSC-klagomål mail.docx", "A 4572-2025")</f>
        <v/>
      </c>
      <c r="AB4">
        <f>HYPERLINK("https://klasma.github.io/Logging_0980/tillsyn/A 4572-2025 tillsynsbegäran.docx", "A 4572-2025")</f>
        <v/>
      </c>
      <c r="AC4">
        <f>HYPERLINK("https://klasma.github.io/Logging_0980/tillsynsmail/A 4572-2025 tillsynsbegäran mail.docx", "A 4572-2025")</f>
        <v/>
      </c>
      <c r="AD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46223</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X5">
        <f>HYPERLINK("https://klasma.github.io/Logging_0980/kartor_geotiff/A 14450-2023 georefererad karta.tif", "A 14450-2023")</f>
        <v/>
      </c>
      <c r="Z5">
        <f>HYPERLINK("https://klasma.github.io/Logging_0980/klagomål/A 14450-2023 FSC-klagomål.docx", "A 14450-2023")</f>
        <v/>
      </c>
      <c r="AA5">
        <f>HYPERLINK("https://klasma.github.io/Logging_0980/klagomålsmail/A 14450-2023 FSC-klagomål mail.docx", "A 14450-2023")</f>
        <v/>
      </c>
      <c r="AB5">
        <f>HYPERLINK("https://klasma.github.io/Logging_0980/tillsyn/A 14450-2023 tillsynsbegäran.docx", "A 14450-2023")</f>
        <v/>
      </c>
      <c r="AC5">
        <f>HYPERLINK("https://klasma.github.io/Logging_0980/tillsynsmail/A 14450-2023 tillsynsbegäran mail.docx", "A 14450-2023")</f>
        <v/>
      </c>
      <c r="AD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46223</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X6">
        <f>HYPERLINK("https://klasma.github.io/Logging_0980/kartor_geotiff/A 33728-2025 georefererad karta.tif", "A 33728-2025")</f>
        <v/>
      </c>
      <c r="Z6">
        <f>HYPERLINK("https://klasma.github.io/Logging_0980/klagomål/A 33728-2025 FSC-klagomål.docx", "A 33728-2025")</f>
        <v/>
      </c>
      <c r="AA6">
        <f>HYPERLINK("https://klasma.github.io/Logging_0980/klagomålsmail/A 33728-2025 FSC-klagomål mail.docx", "A 33728-2025")</f>
        <v/>
      </c>
      <c r="AB6">
        <f>HYPERLINK("https://klasma.github.io/Logging_0980/tillsyn/A 33728-2025 tillsynsbegäran.docx", "A 33728-2025")</f>
        <v/>
      </c>
      <c r="AC6">
        <f>HYPERLINK("https://klasma.github.io/Logging_0980/tillsynsmail/A 33728-2025 tillsynsbegäran mail.docx", "A 33728-2025")</f>
        <v/>
      </c>
      <c r="AD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46223</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X7">
        <f>HYPERLINK("https://klasma.github.io/Logging_0980/kartor_geotiff/A 9921-2023 georefererad karta.tif", "A 9921-2023")</f>
        <v/>
      </c>
      <c r="Z7">
        <f>HYPERLINK("https://klasma.github.io/Logging_0980/klagomål/A 9921-2023 FSC-klagomål.docx", "A 9921-2023")</f>
        <v/>
      </c>
      <c r="AA7">
        <f>HYPERLINK("https://klasma.github.io/Logging_0980/klagomålsmail/A 9921-2023 FSC-klagomål mail.docx", "A 9921-2023")</f>
        <v/>
      </c>
      <c r="AB7">
        <f>HYPERLINK("https://klasma.github.io/Logging_0980/tillsyn/A 9921-2023 tillsynsbegäran.docx", "A 9921-2023")</f>
        <v/>
      </c>
      <c r="AC7">
        <f>HYPERLINK("https://klasma.github.io/Logging_0980/tillsynsmail/A 9921-2023 tillsynsbegäran mail.docx", "A 9921-2023")</f>
        <v/>
      </c>
      <c r="AD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46223</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X8">
        <f>HYPERLINK("https://klasma.github.io/Logging_0980/kartor_geotiff/A 30236-2025 georefererad karta.tif", "A 30236-2025")</f>
        <v/>
      </c>
      <c r="Z8">
        <f>HYPERLINK("https://klasma.github.io/Logging_0980/klagomål/A 30236-2025 FSC-klagomål.docx", "A 30236-2025")</f>
        <v/>
      </c>
      <c r="AA8">
        <f>HYPERLINK("https://klasma.github.io/Logging_0980/klagomålsmail/A 30236-2025 FSC-klagomål mail.docx", "A 30236-2025")</f>
        <v/>
      </c>
      <c r="AB8">
        <f>HYPERLINK("https://klasma.github.io/Logging_0980/tillsyn/A 30236-2025 tillsynsbegäran.docx", "A 30236-2025")</f>
        <v/>
      </c>
      <c r="AC8">
        <f>HYPERLINK("https://klasma.github.io/Logging_0980/tillsynsmail/A 30236-2025 tillsynsbegäran mail.docx", "A 30236-2025")</f>
        <v/>
      </c>
      <c r="AD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46223</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X9">
        <f>HYPERLINK("https://klasma.github.io/Logging_0980/kartor_geotiff/A 30542-2025 georefererad karta.tif", "A 30542-2025")</f>
        <v/>
      </c>
      <c r="Z9">
        <f>HYPERLINK("https://klasma.github.io/Logging_0980/klagomål/A 30542-2025 FSC-klagomål.docx", "A 30542-2025")</f>
        <v/>
      </c>
      <c r="AA9">
        <f>HYPERLINK("https://klasma.github.io/Logging_0980/klagomålsmail/A 30542-2025 FSC-klagomål mail.docx", "A 30542-2025")</f>
        <v/>
      </c>
      <c r="AB9">
        <f>HYPERLINK("https://klasma.github.io/Logging_0980/tillsyn/A 30542-2025 tillsynsbegäran.docx", "A 30542-2025")</f>
        <v/>
      </c>
      <c r="AC9">
        <f>HYPERLINK("https://klasma.github.io/Logging_0980/tillsynsmail/A 30542-2025 tillsynsbegäran mail.docx", "A 30542-2025")</f>
        <v/>
      </c>
      <c r="AD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46223</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X10">
        <f>HYPERLINK("https://klasma.github.io/Logging_0980/kartor_geotiff/A 40235-2025 georefererad karta.tif", "A 40235-2025")</f>
        <v/>
      </c>
      <c r="Z10">
        <f>HYPERLINK("https://klasma.github.io/Logging_0980/klagomål/A 40235-2025 FSC-klagomål.docx", "A 40235-2025")</f>
        <v/>
      </c>
      <c r="AA10">
        <f>HYPERLINK("https://klasma.github.io/Logging_0980/klagomålsmail/A 40235-2025 FSC-klagomål mail.docx", "A 40235-2025")</f>
        <v/>
      </c>
      <c r="AB10">
        <f>HYPERLINK("https://klasma.github.io/Logging_0980/tillsyn/A 40235-2025 tillsynsbegäran.docx", "A 40235-2025")</f>
        <v/>
      </c>
      <c r="AC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46223</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X11">
        <f>HYPERLINK("https://klasma.github.io/Logging_0980/kartor_geotiff/A 43785-2024 georefererad karta.tif", "A 43785-2024")</f>
        <v/>
      </c>
      <c r="Z11">
        <f>HYPERLINK("https://klasma.github.io/Logging_0980/klagomål/A 43785-2024 FSC-klagomål.docx", "A 43785-2024")</f>
        <v/>
      </c>
      <c r="AA11">
        <f>HYPERLINK("https://klasma.github.io/Logging_0980/klagomålsmail/A 43785-2024 FSC-klagomål mail.docx", "A 43785-2024")</f>
        <v/>
      </c>
      <c r="AB11">
        <f>HYPERLINK("https://klasma.github.io/Logging_0980/tillsyn/A 43785-2024 tillsynsbegäran.docx", "A 43785-2024")</f>
        <v/>
      </c>
      <c r="AC11">
        <f>HYPERLINK("https://klasma.github.io/Logging_0980/tillsynsmail/A 43785-2024 tillsynsbegäran mail.docx", "A 43785-2024")</f>
        <v/>
      </c>
      <c r="AD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46223</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X12">
        <f>HYPERLINK("https://klasma.github.io/Logging_0980/kartor_geotiff/A 15075-2025 georefererad karta.tif", "A 15075-2025")</f>
        <v/>
      </c>
      <c r="Z12">
        <f>HYPERLINK("https://klasma.github.io/Logging_0980/klagomål/A 15075-2025 FSC-klagomål.docx", "A 15075-2025")</f>
        <v/>
      </c>
      <c r="AA12">
        <f>HYPERLINK("https://klasma.github.io/Logging_0980/klagomålsmail/A 15075-2025 FSC-klagomål mail.docx", "A 15075-2025")</f>
        <v/>
      </c>
      <c r="AB12">
        <f>HYPERLINK("https://klasma.github.io/Logging_0980/tillsyn/A 15075-2025 tillsynsbegäran.docx", "A 15075-2025")</f>
        <v/>
      </c>
      <c r="AC12">
        <f>HYPERLINK("https://klasma.github.io/Logging_0980/tillsynsmail/A 15075-2025 tillsynsbegäran mail.docx", "A 15075-2025")</f>
        <v/>
      </c>
      <c r="AD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46223</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X13">
        <f>HYPERLINK("https://klasma.github.io/Logging_0980/kartor_geotiff/S 2823-2025 georefererad karta.tif", "S 2823-2025")</f>
        <v/>
      </c>
      <c r="Z13">
        <f>HYPERLINK("https://klasma.github.io/Logging_0980/klagomål/S 2823-2025 FSC-klagomål.docx", "S 2823-2025")</f>
        <v/>
      </c>
      <c r="AA13">
        <f>HYPERLINK("https://klasma.github.io/Logging_0980/klagomålsmail/S 2823-2025 FSC-klagomål mail.docx", "S 2823-2025")</f>
        <v/>
      </c>
      <c r="AB13">
        <f>HYPERLINK("https://klasma.github.io/Logging_0980/tillsyn/S 2823-2025 tillsynsbegäran.docx", "S 2823-2025")</f>
        <v/>
      </c>
      <c r="AC13">
        <f>HYPERLINK("https://klasma.github.io/Logging_0980/tillsynsmail/S 2823-2025 tillsynsbegäran mail.docx", "S 2823-2025")</f>
        <v/>
      </c>
      <c r="AD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46223</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X14">
        <f>HYPERLINK("https://klasma.github.io/Logging_0980/kartor_geotiff/A 45536-2025 georefererad karta.tif", "A 45536-2025")</f>
        <v/>
      </c>
      <c r="Z14">
        <f>HYPERLINK("https://klasma.github.io/Logging_0980/klagomål/A 45536-2025 FSC-klagomål.docx", "A 45536-2025")</f>
        <v/>
      </c>
      <c r="AA14">
        <f>HYPERLINK("https://klasma.github.io/Logging_0980/klagomålsmail/A 45536-2025 FSC-klagomål mail.docx", "A 45536-2025")</f>
        <v/>
      </c>
      <c r="AB14">
        <f>HYPERLINK("https://klasma.github.io/Logging_0980/tillsyn/A 45536-2025 tillsynsbegäran.docx", "A 45536-2025")</f>
        <v/>
      </c>
      <c r="AC14">
        <f>HYPERLINK("https://klasma.github.io/Logging_0980/tillsynsmail/A 45536-2025 tillsynsbegäran mail.docx", "A 45536-2025")</f>
        <v/>
      </c>
      <c r="AD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46223</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X15">
        <f>HYPERLINK("https://klasma.github.io/Logging_0980/kartor_geotiff/A 6153-2024 georefererad karta.tif", "A 6153-2024")</f>
        <v/>
      </c>
      <c r="Z15">
        <f>HYPERLINK("https://klasma.github.io/Logging_0980/klagomål/A 6153-2024 FSC-klagomål.docx", "A 6153-2024")</f>
        <v/>
      </c>
      <c r="AA15">
        <f>HYPERLINK("https://klasma.github.io/Logging_0980/klagomålsmail/A 6153-2024 FSC-klagomål mail.docx", "A 6153-2024")</f>
        <v/>
      </c>
      <c r="AB15">
        <f>HYPERLINK("https://klasma.github.io/Logging_0980/tillsyn/A 6153-2024 tillsynsbegäran.docx", "A 6153-2024")</f>
        <v/>
      </c>
      <c r="AC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46223</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X16">
        <f>HYPERLINK("https://klasma.github.io/Logging_0980/kartor_geotiff/A 27759-2026 georefererad karta.tif", "A 27759-2026")</f>
        <v/>
      </c>
      <c r="Z16">
        <f>HYPERLINK("https://klasma.github.io/Logging_0980/klagomål/A 27759-2026 FSC-klagomål.docx", "A 27759-2026")</f>
        <v/>
      </c>
      <c r="AA16">
        <f>HYPERLINK("https://klasma.github.io/Logging_0980/klagomålsmail/A 27759-2026 FSC-klagomål mail.docx", "A 27759-2026")</f>
        <v/>
      </c>
      <c r="AB16">
        <f>HYPERLINK("https://klasma.github.io/Logging_0980/tillsyn/A 27759-2026 tillsynsbegäran.docx", "A 27759-2026")</f>
        <v/>
      </c>
      <c r="AC16">
        <f>HYPERLINK("https://klasma.github.io/Logging_0980/tillsynsmail/A 27759-2026 tillsynsbegäran mail.docx", "A 27759-2026")</f>
        <v/>
      </c>
      <c r="AD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46223</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X17">
        <f>HYPERLINK("https://klasma.github.io/Logging_0980/kartor_geotiff/A 922-2023 georefererad karta.tif", "A 922-2023")</f>
        <v/>
      </c>
      <c r="Z17">
        <f>HYPERLINK("https://klasma.github.io/Logging_0980/klagomål/A 922-2023 FSC-klagomål.docx", "A 922-2023")</f>
        <v/>
      </c>
      <c r="AA17">
        <f>HYPERLINK("https://klasma.github.io/Logging_0980/klagomålsmail/A 922-2023 FSC-klagomål mail.docx", "A 922-2023")</f>
        <v/>
      </c>
      <c r="AB17">
        <f>HYPERLINK("https://klasma.github.io/Logging_0980/tillsyn/A 922-2023 tillsynsbegäran.docx", "A 922-2023")</f>
        <v/>
      </c>
      <c r="AC17">
        <f>HYPERLINK("https://klasma.github.io/Logging_0980/tillsynsmail/A 922-2023 tillsynsbegäran mail.docx", "A 922-2023")</f>
        <v/>
      </c>
      <c r="AD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46223</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X18">
        <f>HYPERLINK("https://klasma.github.io/Logging_0980/kartor_geotiff/A 569-2023 georefererad karta.tif", "A 569-2023")</f>
        <v/>
      </c>
      <c r="Z18">
        <f>HYPERLINK("https://klasma.github.io/Logging_0980/klagomål/A 569-2023 FSC-klagomål.docx", "A 569-2023")</f>
        <v/>
      </c>
      <c r="AA18">
        <f>HYPERLINK("https://klasma.github.io/Logging_0980/klagomålsmail/A 569-2023 FSC-klagomål mail.docx", "A 569-2023")</f>
        <v/>
      </c>
      <c r="AB18">
        <f>HYPERLINK("https://klasma.github.io/Logging_0980/tillsyn/A 569-2023 tillsynsbegäran.docx", "A 569-2023")</f>
        <v/>
      </c>
      <c r="AC18">
        <f>HYPERLINK("https://klasma.github.io/Logging_0980/tillsynsmail/A 569-2023 tillsynsbegäran mail.docx", "A 569-2023")</f>
        <v/>
      </c>
      <c r="AD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46223</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X19">
        <f>HYPERLINK("https://klasma.github.io/Logging_0980/kartor_geotiff/A 530-2024 georefererad karta.tif", "A 530-2024")</f>
        <v/>
      </c>
      <c r="Z19">
        <f>HYPERLINK("https://klasma.github.io/Logging_0980/klagomål/A 530-2024 FSC-klagomål.docx", "A 530-2024")</f>
        <v/>
      </c>
      <c r="AA19">
        <f>HYPERLINK("https://klasma.github.io/Logging_0980/klagomålsmail/A 530-2024 FSC-klagomål mail.docx", "A 530-2024")</f>
        <v/>
      </c>
      <c r="AB19">
        <f>HYPERLINK("https://klasma.github.io/Logging_0980/tillsyn/A 530-2024 tillsynsbegäran.docx", "A 530-2024")</f>
        <v/>
      </c>
      <c r="AC19">
        <f>HYPERLINK("https://klasma.github.io/Logging_0980/tillsynsmail/A 530-2024 tillsynsbegäran mail.docx", "A 530-2024")</f>
        <v/>
      </c>
      <c r="AD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46223</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X20">
        <f>HYPERLINK("https://klasma.github.io/Logging_0980/kartor_geotiff/A 17762-2024 georefererad karta.tif", "A 17762-2024")</f>
        <v/>
      </c>
      <c r="Z20">
        <f>HYPERLINK("https://klasma.github.io/Logging_0980/klagomål/A 17762-2024 FSC-klagomål.docx", "A 17762-2024")</f>
        <v/>
      </c>
      <c r="AA20">
        <f>HYPERLINK("https://klasma.github.io/Logging_0980/klagomålsmail/A 17762-2024 FSC-klagomål mail.docx", "A 17762-2024")</f>
        <v/>
      </c>
      <c r="AB20">
        <f>HYPERLINK("https://klasma.github.io/Logging_0980/tillsyn/A 17762-2024 tillsynsbegäran.docx", "A 17762-2024")</f>
        <v/>
      </c>
      <c r="AC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46223</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HYPERLINK("https://klasma.github.io/Logging_0980/kartor_geotiff/A 24575-2025 georefererad karta.tif", "A 24575-2025")</f>
        <v/>
      </c>
      <c r="Y21">
        <f>HYPERLINK("https://klasma.github.io/Logging_0980/knärot/A 24575-2025 karta knärot.png", "A 24575-2025")</f>
        <v/>
      </c>
      <c r="Z21">
        <f>HYPERLINK("https://klasma.github.io/Logging_0980/klagomål/A 24575-2025 FSC-klagomål.docx", "A 24575-2025")</f>
        <v/>
      </c>
      <c r="AA21">
        <f>HYPERLINK("https://klasma.github.io/Logging_0980/klagomålsmail/A 24575-2025 FSC-klagomål mail.docx", "A 24575-2025")</f>
        <v/>
      </c>
      <c r="AB21">
        <f>HYPERLINK("https://klasma.github.io/Logging_0980/tillsyn/A 24575-2025 tillsynsbegäran.docx", "A 24575-2025")</f>
        <v/>
      </c>
      <c r="AC21">
        <f>HYPERLINK("https://klasma.github.io/Logging_0980/tillsynsmail/A 24575-2025 tillsynsbegäran mail.docx", "A 24575-2025")</f>
        <v/>
      </c>
      <c r="AD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46223</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2">
        <f>HYPERLINK("https://klasma.github.io/Logging_0980/artfynd/A 2222-2024 artfynd.xlsx", "A 2222-2024")</f>
        <v/>
      </c>
      <c r="W22">
        <f>HYPERLINK("https://klasma.github.io/Logging_0980/kartor/A 2222-2024 karta.png", "A 2222-2024")</f>
        <v/>
      </c>
      <c r="X22">
        <f>HYPERLINK("https://klasma.github.io/Logging_0980/kartor_geotiff/A 2222-2024 georefererad karta.tif", "A 2222-2024")</f>
        <v/>
      </c>
      <c r="Z22">
        <f>HYPERLINK("https://klasma.github.io/Logging_0980/klagomål/A 2222-2024 FSC-klagomål.docx", "A 2222-2024")</f>
        <v/>
      </c>
      <c r="AA22">
        <f>HYPERLINK("https://klasma.github.io/Logging_0980/klagomålsmail/A 2222-2024 FSC-klagomål mail.docx", "A 2222-2024")</f>
        <v/>
      </c>
      <c r="AB22">
        <f>HYPERLINK("https://klasma.github.io/Logging_0980/tillsyn/A 2222-2024 tillsynsbegäran.docx", "A 2222-2024")</f>
        <v/>
      </c>
      <c r="AC22">
        <f>HYPERLINK("https://klasma.github.io/Logging_0980/tillsynsmail/A 2222-2024 tillsynsbegäran mail.docx", "A 2222-2024")</f>
        <v/>
      </c>
      <c r="AD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46223</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X23">
        <f>HYPERLINK("https://klasma.github.io/Logging_0980/kartor_geotiff/A 62551-2022 georefererad karta.tif", "A 62551-2022")</f>
        <v/>
      </c>
      <c r="Z23">
        <f>HYPERLINK("https://klasma.github.io/Logging_0980/klagomål/A 62551-2022 FSC-klagomål.docx", "A 62551-2022")</f>
        <v/>
      </c>
      <c r="AA23">
        <f>HYPERLINK("https://klasma.github.io/Logging_0980/klagomålsmail/A 62551-2022 FSC-klagomål mail.docx", "A 62551-2022")</f>
        <v/>
      </c>
      <c r="AB23">
        <f>HYPERLINK("https://klasma.github.io/Logging_0980/tillsyn/A 62551-2022 tillsynsbegäran.docx", "A 62551-2022")</f>
        <v/>
      </c>
      <c r="AC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46223</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X24">
        <f>HYPERLINK("https://klasma.github.io/Logging_0980/kartor_geotiff/A 15850-2025 georefererad karta.tif", "A 15850-2025")</f>
        <v/>
      </c>
      <c r="Z24">
        <f>HYPERLINK("https://klasma.github.io/Logging_0980/klagomål/A 15850-2025 FSC-klagomål.docx", "A 15850-2025")</f>
        <v/>
      </c>
      <c r="AA24">
        <f>HYPERLINK("https://klasma.github.io/Logging_0980/klagomålsmail/A 15850-2025 FSC-klagomål mail.docx", "A 15850-2025")</f>
        <v/>
      </c>
      <c r="AB24">
        <f>HYPERLINK("https://klasma.github.io/Logging_0980/tillsyn/A 15850-2025 tillsynsbegäran.docx", "A 15850-2025")</f>
        <v/>
      </c>
      <c r="AC24">
        <f>HYPERLINK("https://klasma.github.io/Logging_0980/tillsynsmail/A 15850-2025 tillsynsbegäran mail.docx", "A 15850-2025")</f>
        <v/>
      </c>
      <c r="AD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46223</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X25">
        <f>HYPERLINK("https://klasma.github.io/Logging_0980/kartor_geotiff/A 15068-2025 georefererad karta.tif", "A 15068-2025")</f>
        <v/>
      </c>
      <c r="Z25">
        <f>HYPERLINK("https://klasma.github.io/Logging_0980/klagomål/A 15068-2025 FSC-klagomål.docx", "A 15068-2025")</f>
        <v/>
      </c>
      <c r="AA25">
        <f>HYPERLINK("https://klasma.github.io/Logging_0980/klagomålsmail/A 15068-2025 FSC-klagomål mail.docx", "A 15068-2025")</f>
        <v/>
      </c>
      <c r="AB25">
        <f>HYPERLINK("https://klasma.github.io/Logging_0980/tillsyn/A 15068-2025 tillsynsbegäran.docx", "A 15068-2025")</f>
        <v/>
      </c>
      <c r="AC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46223</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X26">
        <f>HYPERLINK("https://klasma.github.io/Logging_0980/kartor_geotiff/A 8645-2025 georefererad karta.tif", "A 8645-2025")</f>
        <v/>
      </c>
      <c r="Z26">
        <f>HYPERLINK("https://klasma.github.io/Logging_0980/klagomål/A 8645-2025 FSC-klagomål.docx", "A 8645-2025")</f>
        <v/>
      </c>
      <c r="AA26">
        <f>HYPERLINK("https://klasma.github.io/Logging_0980/klagomålsmail/A 8645-2025 FSC-klagomål mail.docx", "A 8645-2025")</f>
        <v/>
      </c>
      <c r="AB26">
        <f>HYPERLINK("https://klasma.github.io/Logging_0980/tillsyn/A 8645-2025 tillsynsbegäran.docx", "A 8645-2025")</f>
        <v/>
      </c>
      <c r="AC26">
        <f>HYPERLINK("https://klasma.github.io/Logging_0980/tillsynsmail/A 8645-2025 tillsynsbegäran mail.docx", "A 8645-2025")</f>
        <v/>
      </c>
      <c r="AD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46223</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X27">
        <f>HYPERLINK("https://klasma.github.io/Logging_0980/kartor_geotiff/A 61664-2023 georefererad karta.tif", "A 61664-2023")</f>
        <v/>
      </c>
      <c r="Z27">
        <f>HYPERLINK("https://klasma.github.io/Logging_0980/klagomål/A 61664-2023 FSC-klagomål.docx", "A 61664-2023")</f>
        <v/>
      </c>
      <c r="AA27">
        <f>HYPERLINK("https://klasma.github.io/Logging_0980/klagomålsmail/A 61664-2023 FSC-klagomål mail.docx", "A 61664-2023")</f>
        <v/>
      </c>
      <c r="AB27">
        <f>HYPERLINK("https://klasma.github.io/Logging_0980/tillsyn/A 61664-2023 tillsynsbegäran.docx", "A 61664-2023")</f>
        <v/>
      </c>
      <c r="AC27">
        <f>HYPERLINK("https://klasma.github.io/Logging_0980/tillsynsmail/A 61664-2023 tillsynsbegäran mail.docx", "A 61664-2023")</f>
        <v/>
      </c>
      <c r="AD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46223</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HYPERLINK("https://klasma.github.io/Logging_0980/kartor_geotiff/A 6836-2026 georefererad karta.tif", "A 6836-2026")</f>
        <v/>
      </c>
      <c r="Y28">
        <f>HYPERLINK("https://klasma.github.io/Logging_0980/knärot/A 6836-2026 karta knärot.png", "A 6836-2026")</f>
        <v/>
      </c>
      <c r="Z28">
        <f>HYPERLINK("https://klasma.github.io/Logging_0980/klagomål/A 6836-2026 FSC-klagomål.docx", "A 6836-2026")</f>
        <v/>
      </c>
      <c r="AA28">
        <f>HYPERLINK("https://klasma.github.io/Logging_0980/klagomålsmail/A 6836-2026 FSC-klagomål mail.docx", "A 6836-2026")</f>
        <v/>
      </c>
      <c r="AB28">
        <f>HYPERLINK("https://klasma.github.io/Logging_0980/tillsyn/A 6836-2026 tillsynsbegäran.docx", "A 6836-2026")</f>
        <v/>
      </c>
      <c r="AC28">
        <f>HYPERLINK("https://klasma.github.io/Logging_0980/tillsynsmail/A 6836-2026 tillsynsbegäran mail.docx", "A 6836-2026")</f>
        <v/>
      </c>
      <c r="AD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46223</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X29">
        <f>HYPERLINK("https://klasma.github.io/Logging_0980/kartor_geotiff/A 15629-2024 georefererad karta.tif", "A 15629-2024")</f>
        <v/>
      </c>
      <c r="Z29">
        <f>HYPERLINK("https://klasma.github.io/Logging_0980/klagomål/A 15629-2024 FSC-klagomål.docx", "A 15629-2024")</f>
        <v/>
      </c>
      <c r="AA29">
        <f>HYPERLINK("https://klasma.github.io/Logging_0980/klagomålsmail/A 15629-2024 FSC-klagomål mail.docx", "A 15629-2024")</f>
        <v/>
      </c>
      <c r="AB29">
        <f>HYPERLINK("https://klasma.github.io/Logging_0980/tillsyn/A 15629-2024 tillsynsbegäran.docx", "A 15629-2024")</f>
        <v/>
      </c>
      <c r="AC29">
        <f>HYPERLINK("https://klasma.github.io/Logging_0980/tillsynsmail/A 15629-2024 tillsynsbegäran mail.docx", "A 15629-2024")</f>
        <v/>
      </c>
      <c r="AD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46223</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X30">
        <f>HYPERLINK("https://klasma.github.io/Logging_0980/kartor_geotiff/A 59132-2024 georefererad karta.tif", "A 59132-2024")</f>
        <v/>
      </c>
      <c r="Z30">
        <f>HYPERLINK("https://klasma.github.io/Logging_0980/klagomål/A 59132-2024 FSC-klagomål.docx", "A 59132-2024")</f>
        <v/>
      </c>
      <c r="AA30">
        <f>HYPERLINK("https://klasma.github.io/Logging_0980/klagomålsmail/A 59132-2024 FSC-klagomål mail.docx", "A 59132-2024")</f>
        <v/>
      </c>
      <c r="AB30">
        <f>HYPERLINK("https://klasma.github.io/Logging_0980/tillsyn/A 59132-2024 tillsynsbegäran.docx", "A 59132-2024")</f>
        <v/>
      </c>
      <c r="AC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46223</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X31">
        <f>HYPERLINK("https://klasma.github.io/Logging_0980/kartor_geotiff/A 26987-2026 georefererad karta.tif", "A 26987-2026")</f>
        <v/>
      </c>
      <c r="Z31">
        <f>HYPERLINK("https://klasma.github.io/Logging_0980/klagomål/A 26987-2026 FSC-klagomål.docx", "A 26987-2026")</f>
        <v/>
      </c>
      <c r="AA31">
        <f>HYPERLINK("https://klasma.github.io/Logging_0980/klagomålsmail/A 26987-2026 FSC-klagomål mail.docx", "A 26987-2026")</f>
        <v/>
      </c>
      <c r="AB31">
        <f>HYPERLINK("https://klasma.github.io/Logging_0980/tillsyn/A 26987-2026 tillsynsbegäran.docx", "A 26987-2026")</f>
        <v/>
      </c>
      <c r="AC31">
        <f>HYPERLINK("https://klasma.github.io/Logging_0980/tillsynsmail/A 26987-2026 tillsynsbegäran mail.docx", "A 26987-2026")</f>
        <v/>
      </c>
      <c r="AD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46223</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X32">
        <f>HYPERLINK("https://klasma.github.io/Logging_0980/kartor_geotiff/A 61697-2023 georefererad karta.tif", "A 61697-2023")</f>
        <v/>
      </c>
      <c r="Z32">
        <f>HYPERLINK("https://klasma.github.io/Logging_0980/klagomål/A 61697-2023 FSC-klagomål.docx", "A 61697-2023")</f>
        <v/>
      </c>
      <c r="AA32">
        <f>HYPERLINK("https://klasma.github.io/Logging_0980/klagomålsmail/A 61697-2023 FSC-klagomål mail.docx", "A 61697-2023")</f>
        <v/>
      </c>
      <c r="AB32">
        <f>HYPERLINK("https://klasma.github.io/Logging_0980/tillsyn/A 61697-2023 tillsynsbegäran.docx", "A 61697-2023")</f>
        <v/>
      </c>
      <c r="AC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46223</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X33">
        <f>HYPERLINK("https://klasma.github.io/Logging_0980/kartor_geotiff/A 62132-2023 georefererad karta.tif", "A 62132-2023")</f>
        <v/>
      </c>
      <c r="Z33">
        <f>HYPERLINK("https://klasma.github.io/Logging_0980/klagomål/A 62132-2023 FSC-klagomål.docx", "A 62132-2023")</f>
        <v/>
      </c>
      <c r="AA33">
        <f>HYPERLINK("https://klasma.github.io/Logging_0980/klagomålsmail/A 62132-2023 FSC-klagomål mail.docx", "A 62132-2023")</f>
        <v/>
      </c>
      <c r="AB33">
        <f>HYPERLINK("https://klasma.github.io/Logging_0980/tillsyn/A 62132-2023 tillsynsbegäran.docx", "A 62132-2023")</f>
        <v/>
      </c>
      <c r="AC33">
        <f>HYPERLINK("https://klasma.github.io/Logging_0980/tillsynsmail/A 62132-2023 tillsynsbegäran mail.docx", "A 62132-2023")</f>
        <v/>
      </c>
      <c r="AD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46223</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X34">
        <f>HYPERLINK("https://klasma.github.io/Logging_0980/kartor_geotiff/S 7747-2021 georefererad karta.tif", "S 7747-2021")</f>
        <v/>
      </c>
      <c r="Z34">
        <f>HYPERLINK("https://klasma.github.io/Logging_0980/klagomål/S 7747-2021 FSC-klagomål.docx", "S 7747-2021")</f>
        <v/>
      </c>
      <c r="AA34">
        <f>HYPERLINK("https://klasma.github.io/Logging_0980/klagomålsmail/S 7747-2021 FSC-klagomål mail.docx", "S 7747-2021")</f>
        <v/>
      </c>
      <c r="AB34">
        <f>HYPERLINK("https://klasma.github.io/Logging_0980/tillsyn/S 7747-2021 tillsynsbegäran.docx", "S 7747-2021")</f>
        <v/>
      </c>
      <c r="AC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46223</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X35">
        <f>HYPERLINK("https://klasma.github.io/Logging_0980/kartor_geotiff/A 35141-2022 georefererad karta.tif", "A 35141-2022")</f>
        <v/>
      </c>
      <c r="Z35">
        <f>HYPERLINK("https://klasma.github.io/Logging_0980/klagomål/A 35141-2022 FSC-klagomål.docx", "A 35141-2022")</f>
        <v/>
      </c>
      <c r="AA35">
        <f>HYPERLINK("https://klasma.github.io/Logging_0980/klagomålsmail/A 35141-2022 FSC-klagomål mail.docx", "A 35141-2022")</f>
        <v/>
      </c>
      <c r="AB35">
        <f>HYPERLINK("https://klasma.github.io/Logging_0980/tillsyn/A 35141-2022 tillsynsbegäran.docx", "A 35141-2022")</f>
        <v/>
      </c>
      <c r="AC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46223</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X36">
        <f>HYPERLINK("https://klasma.github.io/Logging_0980/kartor_geotiff/A 44204-2022 georefererad karta.tif", "A 44204-2022")</f>
        <v/>
      </c>
      <c r="Z36">
        <f>HYPERLINK("https://klasma.github.io/Logging_0980/klagomål/A 44204-2022 FSC-klagomål.docx", "A 44204-2022")</f>
        <v/>
      </c>
      <c r="AA36">
        <f>HYPERLINK("https://klasma.github.io/Logging_0980/klagomålsmail/A 44204-2022 FSC-klagomål mail.docx", "A 44204-2022")</f>
        <v/>
      </c>
      <c r="AB36">
        <f>HYPERLINK("https://klasma.github.io/Logging_0980/tillsyn/A 44204-2022 tillsynsbegäran.docx", "A 44204-2022")</f>
        <v/>
      </c>
      <c r="AC36">
        <f>HYPERLINK("https://klasma.github.io/Logging_0980/tillsynsmail/A 44204-2022 tillsynsbegäran mail.docx", "A 44204-2022")</f>
        <v/>
      </c>
      <c r="AD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46223</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7">
        <f>HYPERLINK("https://klasma.github.io/Logging_0980/artfynd/A 2213-2023 artfynd.xlsx", "A 2213-2023")</f>
        <v/>
      </c>
      <c r="W37">
        <f>HYPERLINK("https://klasma.github.io/Logging_0980/kartor/A 2213-2023 karta.png", "A 2213-2023")</f>
        <v/>
      </c>
      <c r="X37">
        <f>HYPERLINK("https://klasma.github.io/Logging_0980/kartor_geotiff/A 2213-2023 georefererad karta.tif", "A 2213-2023")</f>
        <v/>
      </c>
      <c r="Z37">
        <f>HYPERLINK("https://klasma.github.io/Logging_0980/klagomål/A 2213-2023 FSC-klagomål.docx", "A 2213-2023")</f>
        <v/>
      </c>
      <c r="AA37">
        <f>HYPERLINK("https://klasma.github.io/Logging_0980/klagomålsmail/A 2213-2023 FSC-klagomål mail.docx", "A 2213-2023")</f>
        <v/>
      </c>
      <c r="AB37">
        <f>HYPERLINK("https://klasma.github.io/Logging_0980/tillsyn/A 2213-2023 tillsynsbegäran.docx", "A 2213-2023")</f>
        <v/>
      </c>
      <c r="AC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46223</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s="2" t="inlineStr">
        <is>
          <t>Ruttaggsvamp
Duvspindling
Knärot
Blå slemspindling
Flattoppad klubbsvamp
Jordtistel
Odörspindling
Solvända
Nästrot
Rödgul trumpetsvamp
Skogsknipprot
Strimspindling
Strävlosta
Svavelriska
Vit skogslilja
Zontaggsvamp</t>
        </is>
      </c>
      <c r="V38">
        <f>HYPERLINK("https://klasma.github.io/Logging_0980/artfynd/A 25779-2022 artfynd.xlsx", "A 25779-2022")</f>
        <v/>
      </c>
      <c r="W38">
        <f>HYPERLINK("https://klasma.github.io/Logging_0980/kartor/A 25779-2022 karta.png", "A 25779-2022")</f>
        <v/>
      </c>
      <c r="X38">
        <f>HYPERLINK("https://klasma.github.io/Logging_0980/kartor_geotiff/A 25779-2022 georefererad karta.tif", "A 25779-2022")</f>
        <v/>
      </c>
      <c r="Y38">
        <f>HYPERLINK("https://klasma.github.io/Logging_0980/knärot/A 25779-2022 karta knärot.png", "A 25779-2022")</f>
        <v/>
      </c>
      <c r="Z38">
        <f>HYPERLINK("https://klasma.github.io/Logging_0980/klagomål/A 25779-2022 FSC-klagomål.docx", "A 25779-2022")</f>
        <v/>
      </c>
      <c r="AA38">
        <f>HYPERLINK("https://klasma.github.io/Logging_0980/klagomålsmail/A 25779-2022 FSC-klagomål mail.docx", "A 25779-2022")</f>
        <v/>
      </c>
      <c r="AB38">
        <f>HYPERLINK("https://klasma.github.io/Logging_0980/tillsyn/A 25779-2022 tillsynsbegäran.docx", "A 25779-2022")</f>
        <v/>
      </c>
      <c r="AC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46223</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X39">
        <f>HYPERLINK("https://klasma.github.io/Logging_0980/kartor_geotiff/A 63872-2021 georefererad karta.tif", "A 63872-2021")</f>
        <v/>
      </c>
      <c r="Z39">
        <f>HYPERLINK("https://klasma.github.io/Logging_0980/klagomål/A 63872-2021 FSC-klagomål.docx", "A 63872-2021")</f>
        <v/>
      </c>
      <c r="AA39">
        <f>HYPERLINK("https://klasma.github.io/Logging_0980/klagomålsmail/A 63872-2021 FSC-klagomål mail.docx", "A 63872-2021")</f>
        <v/>
      </c>
      <c r="AB39">
        <f>HYPERLINK("https://klasma.github.io/Logging_0980/tillsyn/A 63872-2021 tillsynsbegäran.docx", "A 63872-2021")</f>
        <v/>
      </c>
      <c r="AC39">
        <f>HYPERLINK("https://klasma.github.io/Logging_0980/tillsynsmail/A 63872-2021 tillsynsbegäran mail.docx", "A 63872-2021")</f>
        <v/>
      </c>
      <c r="AD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46223</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X40">
        <f>HYPERLINK("https://klasma.github.io/Logging_0980/kartor_geotiff/A 43201-2023 georefererad karta.tif", "A 43201-2023")</f>
        <v/>
      </c>
      <c r="Z40">
        <f>HYPERLINK("https://klasma.github.io/Logging_0980/klagomål/A 43201-2023 FSC-klagomål.docx", "A 43201-2023")</f>
        <v/>
      </c>
      <c r="AA40">
        <f>HYPERLINK("https://klasma.github.io/Logging_0980/klagomålsmail/A 43201-2023 FSC-klagomål mail.docx", "A 43201-2023")</f>
        <v/>
      </c>
      <c r="AB40">
        <f>HYPERLINK("https://klasma.github.io/Logging_0980/tillsyn/A 43201-2023 tillsynsbegäran.docx", "A 43201-2023")</f>
        <v/>
      </c>
      <c r="AC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46223</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X41">
        <f>HYPERLINK("https://klasma.github.io/Logging_0980/kartor_geotiff/A 44928-2022 georefererad karta.tif", "A 44928-2022")</f>
        <v/>
      </c>
      <c r="Z41">
        <f>HYPERLINK("https://klasma.github.io/Logging_0980/klagomål/A 44928-2022 FSC-klagomål.docx", "A 44928-2022")</f>
        <v/>
      </c>
      <c r="AA41">
        <f>HYPERLINK("https://klasma.github.io/Logging_0980/klagomålsmail/A 44928-2022 FSC-klagomål mail.docx", "A 44928-2022")</f>
        <v/>
      </c>
      <c r="AB41">
        <f>HYPERLINK("https://klasma.github.io/Logging_0980/tillsyn/A 44928-2022 tillsynsbegäran.docx", "A 44928-2022")</f>
        <v/>
      </c>
      <c r="AC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46223</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X42">
        <f>HYPERLINK("https://klasma.github.io/Logging_0980/kartor_geotiff/A 11176-2024 georefererad karta.tif", "A 11176-2024")</f>
        <v/>
      </c>
      <c r="Z42">
        <f>HYPERLINK("https://klasma.github.io/Logging_0980/klagomål/A 11176-2024 FSC-klagomål.docx", "A 11176-2024")</f>
        <v/>
      </c>
      <c r="AA42">
        <f>HYPERLINK("https://klasma.github.io/Logging_0980/klagomålsmail/A 11176-2024 FSC-klagomål mail.docx", "A 11176-2024")</f>
        <v/>
      </c>
      <c r="AB42">
        <f>HYPERLINK("https://klasma.github.io/Logging_0980/tillsyn/A 11176-2024 tillsynsbegäran.docx", "A 11176-2024")</f>
        <v/>
      </c>
      <c r="AC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46223</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X43">
        <f>HYPERLINK("https://klasma.github.io/Logging_0980/kartor_geotiff/A 10274-2026 georefererad karta.tif", "A 10274-2026")</f>
        <v/>
      </c>
      <c r="Z43">
        <f>HYPERLINK("https://klasma.github.io/Logging_0980/klagomål/A 10274-2026 FSC-klagomål.docx", "A 10274-2026")</f>
        <v/>
      </c>
      <c r="AA43">
        <f>HYPERLINK("https://klasma.github.io/Logging_0980/klagomålsmail/A 10274-2026 FSC-klagomål mail.docx", "A 10274-2026")</f>
        <v/>
      </c>
      <c r="AB43">
        <f>HYPERLINK("https://klasma.github.io/Logging_0980/tillsyn/A 10274-2026 tillsynsbegäran.docx", "A 10274-2026")</f>
        <v/>
      </c>
      <c r="AC43">
        <f>HYPERLINK("https://klasma.github.io/Logging_0980/tillsynsmail/A 10274-2026 tillsynsbegäran mail.docx", "A 10274-2026")</f>
        <v/>
      </c>
      <c r="AD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46223</v>
      </c>
      <c r="F44" t="inlineStr">
        <is>
          <t>GOTLANDS LÄN</t>
        </is>
      </c>
      <c r="G44" t="inlineStr">
        <is>
          <t>GOTLAND</t>
        </is>
      </c>
      <c r="I44" t="n">
        <v>2.4</v>
      </c>
      <c r="J44" t="n">
        <v>10</v>
      </c>
      <c r="K44" t="n">
        <v>4</v>
      </c>
      <c r="L44" t="n">
        <v>6</v>
      </c>
      <c r="M44" t="n">
        <v>0</v>
      </c>
      <c r="N44" t="n">
        <v>0</v>
      </c>
      <c r="O44" t="n">
        <v>0</v>
      </c>
      <c r="P44" t="n">
        <v>0</v>
      </c>
      <c r="Q44" t="n">
        <v>6</v>
      </c>
      <c r="R44" t="n">
        <v>0</v>
      </c>
      <c r="S44" t="n">
        <v>14</v>
      </c>
      <c r="T44" t="n">
        <v>122</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X44">
        <f>HYPERLINK("https://klasma.github.io/Logging_0980/kartor_geotiff/A 14354-2024 georefererad karta.tif", "A 14354-2024")</f>
        <v/>
      </c>
      <c r="Z44">
        <f>HYPERLINK("https://klasma.github.io/Logging_0980/klagomål/A 14354-2024 FSC-klagomål.docx", "A 14354-2024")</f>
        <v/>
      </c>
      <c r="AA44">
        <f>HYPERLINK("https://klasma.github.io/Logging_0980/klagomålsmail/A 14354-2024 FSC-klagomål mail.docx", "A 14354-2024")</f>
        <v/>
      </c>
      <c r="AB44">
        <f>HYPERLINK("https://klasma.github.io/Logging_0980/tillsyn/A 14354-2024 tillsynsbegäran.docx", "A 14354-2024")</f>
        <v/>
      </c>
      <c r="AC44">
        <f>HYPERLINK("https://klasma.github.io/Logging_0980/tillsynsmail/A 14354-2024 tillsynsbegäran mail.docx", "A 14354-2024")</f>
        <v/>
      </c>
      <c r="AD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46223</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s="2" t="inlineStr">
        <is>
          <t>Duvspindling
Blå slemspindling
Flattoppad klubbsvamp
Jordtistel
Odörspindling
Solvända
Nästrot
Rödgul trumpetsvamp
Skogsknipprot
Strimspindling
Strävlosta
Svavelriska
Vit skogslilja
Zontaggsvamp</t>
        </is>
      </c>
      <c r="V45">
        <f>HYPERLINK("https://klasma.github.io/Logging_0980/artfynd/A 33153-2024 artfynd.xlsx", "A 33153-2024")</f>
        <v/>
      </c>
      <c r="W45">
        <f>HYPERLINK("https://klasma.github.io/Logging_0980/kartor/A 33153-2024 karta.png", "A 33153-2024")</f>
        <v/>
      </c>
      <c r="X45">
        <f>HYPERLINK("https://klasma.github.io/Logging_0980/kartor_geotiff/A 33153-2024 georefererad karta.tif", "A 33153-2024")</f>
        <v/>
      </c>
      <c r="Y45">
        <f>HYPERLINK("https://klasma.github.io/Logging_0980/knärot/A 33153-2024 karta knärot.png", "A 33153-2024")</f>
        <v/>
      </c>
      <c r="Z45">
        <f>HYPERLINK("https://klasma.github.io/Logging_0980/klagomål/A 33153-2024 FSC-klagomål.docx", "A 33153-2024")</f>
        <v/>
      </c>
      <c r="AA45">
        <f>HYPERLINK("https://klasma.github.io/Logging_0980/klagomålsmail/A 33153-2024 FSC-klagomål mail.docx", "A 33153-2024")</f>
        <v/>
      </c>
      <c r="AB45">
        <f>HYPERLINK("https://klasma.github.io/Logging_0980/tillsyn/A 33153-2024 tillsynsbegäran.docx", "A 33153-2024")</f>
        <v/>
      </c>
      <c r="AC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46223</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X46">
        <f>HYPERLINK("https://klasma.github.io/Logging_0980/kartor_geotiff/A 63149-2025 georefererad karta.tif", "A 63149-2025")</f>
        <v/>
      </c>
      <c r="Z46">
        <f>HYPERLINK("https://klasma.github.io/Logging_0980/klagomål/A 63149-2025 FSC-klagomål.docx", "A 63149-2025")</f>
        <v/>
      </c>
      <c r="AA46">
        <f>HYPERLINK("https://klasma.github.io/Logging_0980/klagomålsmail/A 63149-2025 FSC-klagomål mail.docx", "A 63149-2025")</f>
        <v/>
      </c>
      <c r="AB46">
        <f>HYPERLINK("https://klasma.github.io/Logging_0980/tillsyn/A 63149-2025 tillsynsbegäran.docx", "A 63149-2025")</f>
        <v/>
      </c>
      <c r="AC46">
        <f>HYPERLINK("https://klasma.github.io/Logging_0980/tillsynsmail/A 63149-2025 tillsynsbegäran mail.docx", "A 63149-2025")</f>
        <v/>
      </c>
      <c r="AD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46223</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X47">
        <f>HYPERLINK("https://klasma.github.io/Logging_0980/kartor_geotiff/A 27168-2022 georefererad karta.tif", "A 27168-2022")</f>
        <v/>
      </c>
      <c r="Z47">
        <f>HYPERLINK("https://klasma.github.io/Logging_0980/klagomål/A 27168-2022 FSC-klagomål.docx", "A 27168-2022")</f>
        <v/>
      </c>
      <c r="AA47">
        <f>HYPERLINK("https://klasma.github.io/Logging_0980/klagomålsmail/A 27168-2022 FSC-klagomål mail.docx", "A 27168-2022")</f>
        <v/>
      </c>
      <c r="AB47">
        <f>HYPERLINK("https://klasma.github.io/Logging_0980/tillsyn/A 27168-2022 tillsynsbegäran.docx", "A 27168-2022")</f>
        <v/>
      </c>
      <c r="AC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46223</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X48">
        <f>HYPERLINK("https://klasma.github.io/Logging_0980/kartor_geotiff/A 3324-2023 georefererad karta.tif", "A 3324-2023")</f>
        <v/>
      </c>
      <c r="Z48">
        <f>HYPERLINK("https://klasma.github.io/Logging_0980/klagomål/A 3324-2023 FSC-klagomål.docx", "A 3324-2023")</f>
        <v/>
      </c>
      <c r="AA48">
        <f>HYPERLINK("https://klasma.github.io/Logging_0980/klagomålsmail/A 3324-2023 FSC-klagomål mail.docx", "A 3324-2023")</f>
        <v/>
      </c>
      <c r="AB48">
        <f>HYPERLINK("https://klasma.github.io/Logging_0980/tillsyn/A 3324-2023 tillsynsbegäran.docx", "A 3324-2023")</f>
        <v/>
      </c>
      <c r="AC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46223</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X49">
        <f>HYPERLINK("https://klasma.github.io/Logging_0980/kartor_geotiff/A 6052-2024 georefererad karta.tif", "A 6052-2024")</f>
        <v/>
      </c>
      <c r="Z49">
        <f>HYPERLINK("https://klasma.github.io/Logging_0980/klagomål/A 6052-2024 FSC-klagomål.docx", "A 6052-2024")</f>
        <v/>
      </c>
      <c r="AA49">
        <f>HYPERLINK("https://klasma.github.io/Logging_0980/klagomålsmail/A 6052-2024 FSC-klagomål mail.docx", "A 6052-2024")</f>
        <v/>
      </c>
      <c r="AB49">
        <f>HYPERLINK("https://klasma.github.io/Logging_0980/tillsyn/A 6052-2024 tillsynsbegäran.docx", "A 6052-2024")</f>
        <v/>
      </c>
      <c r="AC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46223</v>
      </c>
      <c r="F50" t="inlineStr">
        <is>
          <t>GOTLANDS LÄN</t>
        </is>
      </c>
      <c r="G50" t="inlineStr">
        <is>
          <t>GOTLAND</t>
        </is>
      </c>
      <c r="I50" t="n">
        <v>1.3</v>
      </c>
      <c r="J50" t="n">
        <v>2</v>
      </c>
      <c r="K50" t="n">
        <v>3</v>
      </c>
      <c r="L50" t="n">
        <v>3</v>
      </c>
      <c r="M50" t="n">
        <v>5</v>
      </c>
      <c r="N50" t="n">
        <v>1</v>
      </c>
      <c r="O50" t="n">
        <v>0</v>
      </c>
      <c r="P50" t="n">
        <v>0</v>
      </c>
      <c r="Q50" t="n">
        <v>9</v>
      </c>
      <c r="R50" t="n">
        <v>6</v>
      </c>
      <c r="S50" t="n">
        <v>12</v>
      </c>
      <c r="T50" t="n">
        <v>45</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X50">
        <f>HYPERLINK("https://klasma.github.io/Logging_0980/kartor_geotiff/A 17766-2024 georefererad karta.tif", "A 17766-2024")</f>
        <v/>
      </c>
      <c r="Z50">
        <f>HYPERLINK("https://klasma.github.io/Logging_0980/klagomål/A 17766-2024 FSC-klagomål.docx", "A 17766-2024")</f>
        <v/>
      </c>
      <c r="AA50">
        <f>HYPERLINK("https://klasma.github.io/Logging_0980/klagomålsmail/A 17766-2024 FSC-klagomål mail.docx", "A 17766-2024")</f>
        <v/>
      </c>
      <c r="AB50">
        <f>HYPERLINK("https://klasma.github.io/Logging_0980/tillsyn/A 17766-2024 tillsynsbegäran.docx", "A 17766-2024")</f>
        <v/>
      </c>
      <c r="AC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46223</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X51">
        <f>HYPERLINK("https://klasma.github.io/Logging_0980/kartor_geotiff/A 28287-2024 georefererad karta.tif", "A 28287-2024")</f>
        <v/>
      </c>
      <c r="Z51">
        <f>HYPERLINK("https://klasma.github.io/Logging_0980/klagomål/A 28287-2024 FSC-klagomål.docx", "A 28287-2024")</f>
        <v/>
      </c>
      <c r="AA51">
        <f>HYPERLINK("https://klasma.github.io/Logging_0980/klagomålsmail/A 28287-2024 FSC-klagomål mail.docx", "A 28287-2024")</f>
        <v/>
      </c>
      <c r="AB51">
        <f>HYPERLINK("https://klasma.github.io/Logging_0980/tillsyn/A 28287-2024 tillsynsbegäran.docx", "A 28287-2024")</f>
        <v/>
      </c>
      <c r="AC51">
        <f>HYPERLINK("https://klasma.github.io/Logging_0980/tillsynsmail/A 28287-2024 tillsynsbegäran mail.docx", "A 28287-2024")</f>
        <v/>
      </c>
      <c r="AD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46223</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s="2" t="inlineStr">
        <is>
          <t>Duvspindling
Garderönn
Granrotspindling
Gul lammticka
Gulsträngad fagerspindling
Svartgrön spindling
Violettfläckig spindling
Blå slemspindling
Svinrot
Anisspindling
Olivspindling</t>
        </is>
      </c>
      <c r="V52">
        <f>HYPERLINK("https://klasma.github.io/Logging_0980/artfynd/A 2649-2023 artfynd.xlsx", "A 2649-2023")</f>
        <v/>
      </c>
      <c r="W52">
        <f>HYPERLINK("https://klasma.github.io/Logging_0980/kartor/A 2649-2023 karta.png", "A 2649-2023")</f>
        <v/>
      </c>
      <c r="X52">
        <f>HYPERLINK("https://klasma.github.io/Logging_0980/kartor_geotiff/A 2649-2023 georefererad karta.tif", "A 2649-2023")</f>
        <v/>
      </c>
      <c r="Z52">
        <f>HYPERLINK("https://klasma.github.io/Logging_0980/klagomål/A 2649-2023 FSC-klagomål.docx", "A 2649-2023")</f>
        <v/>
      </c>
      <c r="AA52">
        <f>HYPERLINK("https://klasma.github.io/Logging_0980/klagomålsmail/A 2649-2023 FSC-klagomål mail.docx", "A 2649-2023")</f>
        <v/>
      </c>
      <c r="AB52">
        <f>HYPERLINK("https://klasma.github.io/Logging_0980/tillsyn/A 2649-2023 tillsynsbegäran.docx", "A 2649-2023")</f>
        <v/>
      </c>
      <c r="AC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46223</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s="2" t="inlineStr">
        <is>
          <t>Sommargylling
Stare
Björktrast
Mindre hackspett
Skogsknipprot
Tvåblad
Spillkråka
Brudsporre
Fläcknycklar
Grönvit nattviol
Nattviol</t>
        </is>
      </c>
      <c r="V53">
        <f>HYPERLINK("https://klasma.github.io/Logging_0980/artfynd/A 27280-2023 artfynd.xlsx", "A 27280-2023")</f>
        <v/>
      </c>
      <c r="W53">
        <f>HYPERLINK("https://klasma.github.io/Logging_0980/kartor/A 27280-2023 karta.png", "A 27280-2023")</f>
        <v/>
      </c>
      <c r="X53">
        <f>HYPERLINK("https://klasma.github.io/Logging_0980/kartor_geotiff/A 27280-2023 georefererad karta.tif", "A 27280-2023")</f>
        <v/>
      </c>
      <c r="Z53">
        <f>HYPERLINK("https://klasma.github.io/Logging_0980/klagomål/A 27280-2023 FSC-klagomål.docx", "A 27280-2023")</f>
        <v/>
      </c>
      <c r="AA53">
        <f>HYPERLINK("https://klasma.github.io/Logging_0980/klagomålsmail/A 27280-2023 FSC-klagomål mail.docx", "A 27280-2023")</f>
        <v/>
      </c>
      <c r="AB53">
        <f>HYPERLINK("https://klasma.github.io/Logging_0980/tillsyn/A 27280-2023 tillsynsbegäran.docx", "A 27280-2023")</f>
        <v/>
      </c>
      <c r="AC53">
        <f>HYPERLINK("https://klasma.github.io/Logging_0980/tillsynsmail/A 27280-2023 tillsynsbegäran mail.docx", "A 27280-2023")</f>
        <v/>
      </c>
      <c r="AD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46223</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s="2" t="inlineStr">
        <is>
          <t>Garderönn
Granrotspindling
Backtimjan
Denisespindling
Dårgräsfjäril
Jungfrulin
Solvända
Vippärt
Rödgul trumpetsvamp
Vågbandad barkbock
Sankt pers nycklar</t>
        </is>
      </c>
      <c r="V54">
        <f>HYPERLINK("https://klasma.github.io/Logging_0980/artfynd/A 584-2023 artfynd.xlsx", "A 584-2023")</f>
        <v/>
      </c>
      <c r="W54">
        <f>HYPERLINK("https://klasma.github.io/Logging_0980/kartor/A 584-2023 karta.png", "A 584-2023")</f>
        <v/>
      </c>
      <c r="X54">
        <f>HYPERLINK("https://klasma.github.io/Logging_0980/kartor_geotiff/A 584-2023 georefererad karta.tif", "A 584-2023")</f>
        <v/>
      </c>
      <c r="Z54">
        <f>HYPERLINK("https://klasma.github.io/Logging_0980/klagomål/A 584-2023 FSC-klagomål.docx", "A 584-2023")</f>
        <v/>
      </c>
      <c r="AA54">
        <f>HYPERLINK("https://klasma.github.io/Logging_0980/klagomålsmail/A 584-2023 FSC-klagomål mail.docx", "A 584-2023")</f>
        <v/>
      </c>
      <c r="AB54">
        <f>HYPERLINK("https://klasma.github.io/Logging_0980/tillsyn/A 584-2023 tillsynsbegäran.docx", "A 584-2023")</f>
        <v/>
      </c>
      <c r="AC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46223</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X55">
        <f>HYPERLINK("https://klasma.github.io/Logging_0980/kartor_geotiff/S 160-2026 georefererad karta.tif", "S 160-2026")</f>
        <v/>
      </c>
      <c r="Z55">
        <f>HYPERLINK("https://klasma.github.io/Logging_0980/klagomål/S 160-2026 FSC-klagomål.docx", "S 160-2026")</f>
        <v/>
      </c>
      <c r="AA55">
        <f>HYPERLINK("https://klasma.github.io/Logging_0980/klagomålsmail/S 160-2026 FSC-klagomål mail.docx", "S 160-2026")</f>
        <v/>
      </c>
      <c r="AB55">
        <f>HYPERLINK("https://klasma.github.io/Logging_0980/tillsyn/S 160-2026 tillsynsbegäran.docx", "S 160-2026")</f>
        <v/>
      </c>
      <c r="AC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46223</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X56">
        <f>HYPERLINK("https://klasma.github.io/Logging_0980/kartor_geotiff/A 66091-2021 georefererad karta.tif", "A 66091-2021")</f>
        <v/>
      </c>
      <c r="Z56">
        <f>HYPERLINK("https://klasma.github.io/Logging_0980/klagomål/A 66091-2021 FSC-klagomål.docx", "A 66091-2021")</f>
        <v/>
      </c>
      <c r="AA56">
        <f>HYPERLINK("https://klasma.github.io/Logging_0980/klagomålsmail/A 66091-2021 FSC-klagomål mail.docx", "A 66091-2021")</f>
        <v/>
      </c>
      <c r="AB56">
        <f>HYPERLINK("https://klasma.github.io/Logging_0980/tillsyn/A 66091-2021 tillsynsbegäran.docx", "A 66091-2021")</f>
        <v/>
      </c>
      <c r="AC56">
        <f>HYPERLINK("https://klasma.github.io/Logging_0980/tillsynsmail/A 66091-2021 tillsynsbegäran mail.docx", "A 66091-2021")</f>
        <v/>
      </c>
      <c r="AD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46223</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X57">
        <f>HYPERLINK("https://klasma.github.io/Logging_0980/kartor_geotiff/A 4984-2025 georefererad karta.tif", "A 4984-2025")</f>
        <v/>
      </c>
      <c r="Z57">
        <f>HYPERLINK("https://klasma.github.io/Logging_0980/klagomål/A 4984-2025 FSC-klagomål.docx", "A 4984-2025")</f>
        <v/>
      </c>
      <c r="AA57">
        <f>HYPERLINK("https://klasma.github.io/Logging_0980/klagomålsmail/A 4984-2025 FSC-klagomål mail.docx", "A 4984-2025")</f>
        <v/>
      </c>
      <c r="AB57">
        <f>HYPERLINK("https://klasma.github.io/Logging_0980/tillsyn/A 4984-2025 tillsynsbegäran.docx", "A 4984-2025")</f>
        <v/>
      </c>
      <c r="AC57">
        <f>HYPERLINK("https://klasma.github.io/Logging_0980/tillsynsmail/A 4984-2025 tillsynsbegäran mail.docx", "A 4984-2025")</f>
        <v/>
      </c>
      <c r="AD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46223</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X58">
        <f>HYPERLINK("https://klasma.github.io/Logging_0980/kartor_geotiff/A 18541-2024 georefererad karta.tif", "A 18541-2024")</f>
        <v/>
      </c>
      <c r="Z58">
        <f>HYPERLINK("https://klasma.github.io/Logging_0980/klagomål/A 18541-2024 FSC-klagomål.docx", "A 18541-2024")</f>
        <v/>
      </c>
      <c r="AA58">
        <f>HYPERLINK("https://klasma.github.io/Logging_0980/klagomålsmail/A 18541-2024 FSC-klagomål mail.docx", "A 18541-2024")</f>
        <v/>
      </c>
      <c r="AB58">
        <f>HYPERLINK("https://klasma.github.io/Logging_0980/tillsyn/A 18541-2024 tillsynsbegäran.docx", "A 18541-2024")</f>
        <v/>
      </c>
      <c r="AC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46223</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X59">
        <f>HYPERLINK("https://klasma.github.io/Logging_0980/kartor_geotiff/A 45248-2024 georefererad karta.tif", "A 45248-2024")</f>
        <v/>
      </c>
      <c r="Z59">
        <f>HYPERLINK("https://klasma.github.io/Logging_0980/klagomål/A 45248-2024 FSC-klagomål.docx", "A 45248-2024")</f>
        <v/>
      </c>
      <c r="AA59">
        <f>HYPERLINK("https://klasma.github.io/Logging_0980/klagomålsmail/A 45248-2024 FSC-klagomål mail.docx", "A 45248-2024")</f>
        <v/>
      </c>
      <c r="AB59">
        <f>HYPERLINK("https://klasma.github.io/Logging_0980/tillsyn/A 45248-2024 tillsynsbegäran.docx", "A 45248-2024")</f>
        <v/>
      </c>
      <c r="AC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46223</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X60">
        <f>HYPERLINK("https://klasma.github.io/Logging_0980/kartor_geotiff/A 44944-2022 georefererad karta.tif", "A 44944-2022")</f>
        <v/>
      </c>
      <c r="Z60">
        <f>HYPERLINK("https://klasma.github.io/Logging_0980/klagomål/A 44944-2022 FSC-klagomål.docx", "A 44944-2022")</f>
        <v/>
      </c>
      <c r="AA60">
        <f>HYPERLINK("https://klasma.github.io/Logging_0980/klagomålsmail/A 44944-2022 FSC-klagomål mail.docx", "A 44944-2022")</f>
        <v/>
      </c>
      <c r="AB60">
        <f>HYPERLINK("https://klasma.github.io/Logging_0980/tillsyn/A 44944-2022 tillsynsbegäran.docx", "A 44944-2022")</f>
        <v/>
      </c>
      <c r="AC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46223</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X61">
        <f>HYPERLINK("https://klasma.github.io/Logging_0980/kartor_geotiff/A 55649-2024 georefererad karta.tif", "A 55649-2024")</f>
        <v/>
      </c>
      <c r="Z61">
        <f>HYPERLINK("https://klasma.github.io/Logging_0980/klagomål/A 55649-2024 FSC-klagomål.docx", "A 55649-2024")</f>
        <v/>
      </c>
      <c r="AA61">
        <f>HYPERLINK("https://klasma.github.io/Logging_0980/klagomålsmail/A 55649-2024 FSC-klagomål mail.docx", "A 55649-2024")</f>
        <v/>
      </c>
      <c r="AB61">
        <f>HYPERLINK("https://klasma.github.io/Logging_0980/tillsyn/A 55649-2024 tillsynsbegäran.docx", "A 55649-2024")</f>
        <v/>
      </c>
      <c r="AC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46223</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X62">
        <f>HYPERLINK("https://klasma.github.io/Logging_0980/kartor_geotiff/A 186-2023 georefererad karta.tif", "A 186-2023")</f>
        <v/>
      </c>
      <c r="Z62">
        <f>HYPERLINK("https://klasma.github.io/Logging_0980/klagomål/A 186-2023 FSC-klagomål.docx", "A 186-2023")</f>
        <v/>
      </c>
      <c r="AA62">
        <f>HYPERLINK("https://klasma.github.io/Logging_0980/klagomålsmail/A 186-2023 FSC-klagomål mail.docx", "A 186-2023")</f>
        <v/>
      </c>
      <c r="AB62">
        <f>HYPERLINK("https://klasma.github.io/Logging_0980/tillsyn/A 186-2023 tillsynsbegäran.docx", "A 186-2023")</f>
        <v/>
      </c>
      <c r="AC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46223</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X63">
        <f>HYPERLINK("https://klasma.github.io/Logging_0980/kartor_geotiff/A 32326-2024 georefererad karta.tif", "A 32326-2024")</f>
        <v/>
      </c>
      <c r="Z63">
        <f>HYPERLINK("https://klasma.github.io/Logging_0980/klagomål/A 32326-2024 FSC-klagomål.docx", "A 32326-2024")</f>
        <v/>
      </c>
      <c r="AA63">
        <f>HYPERLINK("https://klasma.github.io/Logging_0980/klagomålsmail/A 32326-2024 FSC-klagomål mail.docx", "A 32326-2024")</f>
        <v/>
      </c>
      <c r="AB63">
        <f>HYPERLINK("https://klasma.github.io/Logging_0980/tillsyn/A 32326-2024 tillsynsbegäran.docx", "A 32326-2024")</f>
        <v/>
      </c>
      <c r="AC63">
        <f>HYPERLINK("https://klasma.github.io/Logging_0980/tillsynsmail/A 32326-2024 tillsynsbegäran mail.docx", "A 32326-2024")</f>
        <v/>
      </c>
      <c r="AD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46223</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X64">
        <f>HYPERLINK("https://klasma.github.io/Logging_0980/kartor_geotiff/A 22404-2024 georefererad karta.tif", "A 22404-2024")</f>
        <v/>
      </c>
      <c r="Z64">
        <f>HYPERLINK("https://klasma.github.io/Logging_0980/klagomål/A 22404-2024 FSC-klagomål.docx", "A 22404-2024")</f>
        <v/>
      </c>
      <c r="AA64">
        <f>HYPERLINK("https://klasma.github.io/Logging_0980/klagomålsmail/A 22404-2024 FSC-klagomål mail.docx", "A 22404-2024")</f>
        <v/>
      </c>
      <c r="AB64">
        <f>HYPERLINK("https://klasma.github.io/Logging_0980/tillsyn/A 22404-2024 tillsynsbegäran.docx", "A 22404-2024")</f>
        <v/>
      </c>
      <c r="AC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46223</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X65">
        <f>HYPERLINK("https://klasma.github.io/Logging_0980/kartor_geotiff/A 1769-2022 georefererad karta.tif", "A 1769-2022")</f>
        <v/>
      </c>
      <c r="Z65">
        <f>HYPERLINK("https://klasma.github.io/Logging_0980/klagomål/A 1769-2022 FSC-klagomål.docx", "A 1769-2022")</f>
        <v/>
      </c>
      <c r="AA65">
        <f>HYPERLINK("https://klasma.github.io/Logging_0980/klagomålsmail/A 1769-2022 FSC-klagomål mail.docx", "A 1769-2022")</f>
        <v/>
      </c>
      <c r="AB65">
        <f>HYPERLINK("https://klasma.github.io/Logging_0980/tillsyn/A 1769-2022 tillsynsbegäran.docx", "A 1769-2022")</f>
        <v/>
      </c>
      <c r="AC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46223</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X66">
        <f>HYPERLINK("https://klasma.github.io/Logging_0980/kartor_geotiff/A 39376-2023 georefererad karta.tif", "A 39376-2023")</f>
        <v/>
      </c>
      <c r="Z66">
        <f>HYPERLINK("https://klasma.github.io/Logging_0980/klagomål/A 39376-2023 FSC-klagomål.docx", "A 39376-2023")</f>
        <v/>
      </c>
      <c r="AA66">
        <f>HYPERLINK("https://klasma.github.io/Logging_0980/klagomålsmail/A 39376-2023 FSC-klagomål mail.docx", "A 39376-2023")</f>
        <v/>
      </c>
      <c r="AB66">
        <f>HYPERLINK("https://klasma.github.io/Logging_0980/tillsyn/A 39376-2023 tillsynsbegäran.docx", "A 39376-2023")</f>
        <v/>
      </c>
      <c r="AC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46223</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s="2" t="inlineStr">
        <is>
          <t>Stor blanklav
Mörk kraterlav
Ädellav
Dårgräsfjäril
Svinrot
Frostig asplav
Havstulpanlav
Klippfrullania
Stubbspretmossa</t>
        </is>
      </c>
      <c r="V67">
        <f>HYPERLINK("https://klasma.github.io/Logging_0980/artfynd/A 7039-2023 artfynd.xlsx", "A 7039-2023")</f>
        <v/>
      </c>
      <c r="W67">
        <f>HYPERLINK("https://klasma.github.io/Logging_0980/kartor/A 7039-2023 karta.png", "A 7039-2023")</f>
        <v/>
      </c>
      <c r="X67">
        <f>HYPERLINK("https://klasma.github.io/Logging_0980/kartor_geotiff/A 7039-2023 georefererad karta.tif", "A 7039-2023")</f>
        <v/>
      </c>
      <c r="Z67">
        <f>HYPERLINK("https://klasma.github.io/Logging_0980/klagomål/A 7039-2023 FSC-klagomål.docx", "A 7039-2023")</f>
        <v/>
      </c>
      <c r="AA67">
        <f>HYPERLINK("https://klasma.github.io/Logging_0980/klagomålsmail/A 7039-2023 FSC-klagomål mail.docx", "A 7039-2023")</f>
        <v/>
      </c>
      <c r="AB67">
        <f>HYPERLINK("https://klasma.github.io/Logging_0980/tillsyn/A 7039-2023 tillsynsbegäran.docx", "A 7039-2023")</f>
        <v/>
      </c>
      <c r="AC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46223</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X68">
        <f>HYPERLINK("https://klasma.github.io/Logging_0980/kartor_geotiff/A 20833-2024 georefererad karta.tif", "A 20833-2024")</f>
        <v/>
      </c>
      <c r="Z68">
        <f>HYPERLINK("https://klasma.github.io/Logging_0980/klagomål/A 20833-2024 FSC-klagomål.docx", "A 20833-2024")</f>
        <v/>
      </c>
      <c r="AA68">
        <f>HYPERLINK("https://klasma.github.io/Logging_0980/klagomålsmail/A 20833-2024 FSC-klagomål mail.docx", "A 20833-2024")</f>
        <v/>
      </c>
      <c r="AB68">
        <f>HYPERLINK("https://klasma.github.io/Logging_0980/tillsyn/A 20833-2024 tillsynsbegäran.docx", "A 20833-2024")</f>
        <v/>
      </c>
      <c r="AC68">
        <f>HYPERLINK("https://klasma.github.io/Logging_0980/tillsynsmail/A 20833-2024 tillsynsbegäran mail.docx", "A 20833-2024")</f>
        <v/>
      </c>
      <c r="AD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46223</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X69">
        <f>HYPERLINK("https://klasma.github.io/Logging_0980/kartor_geotiff/A 17328-2026 georefererad karta.tif", "A 17328-2026")</f>
        <v/>
      </c>
      <c r="Z69">
        <f>HYPERLINK("https://klasma.github.io/Logging_0980/klagomål/A 17328-2026 FSC-klagomål.docx", "A 17328-2026")</f>
        <v/>
      </c>
      <c r="AA69">
        <f>HYPERLINK("https://klasma.github.io/Logging_0980/klagomålsmail/A 17328-2026 FSC-klagomål mail.docx", "A 17328-2026")</f>
        <v/>
      </c>
      <c r="AB69">
        <f>HYPERLINK("https://klasma.github.io/Logging_0980/tillsyn/A 17328-2026 tillsynsbegäran.docx", "A 17328-2026")</f>
        <v/>
      </c>
      <c r="AC69">
        <f>HYPERLINK("https://klasma.github.io/Logging_0980/tillsynsmail/A 17328-2026 tillsynsbegäran mail.docx", "A 17328-2026")</f>
        <v/>
      </c>
      <c r="AD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46223</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X70">
        <f>HYPERLINK("https://klasma.github.io/Logging_0980/kartor_geotiff/S 423-2024 georefererad karta.tif", "S 423-2024")</f>
        <v/>
      </c>
      <c r="Z70">
        <f>HYPERLINK("https://klasma.github.io/Logging_0980/klagomål/S 423-2024 FSC-klagomål.docx", "S 423-2024")</f>
        <v/>
      </c>
      <c r="AA70">
        <f>HYPERLINK("https://klasma.github.io/Logging_0980/klagomålsmail/S 423-2024 FSC-klagomål mail.docx", "S 423-2024")</f>
        <v/>
      </c>
      <c r="AB70">
        <f>HYPERLINK("https://klasma.github.io/Logging_0980/tillsyn/S 423-2024 tillsynsbegäran.docx", "S 423-2024")</f>
        <v/>
      </c>
      <c r="AC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46223</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X71">
        <f>HYPERLINK("https://klasma.github.io/Logging_0980/kartor_geotiff/A 1971-2023 georefererad karta.tif", "A 1971-2023")</f>
        <v/>
      </c>
      <c r="Z71">
        <f>HYPERLINK("https://klasma.github.io/Logging_0980/klagomål/A 1971-2023 FSC-klagomål.docx", "A 1971-2023")</f>
        <v/>
      </c>
      <c r="AA71">
        <f>HYPERLINK("https://klasma.github.io/Logging_0980/klagomålsmail/A 1971-2023 FSC-klagomål mail.docx", "A 1971-2023")</f>
        <v/>
      </c>
      <c r="AB71">
        <f>HYPERLINK("https://klasma.github.io/Logging_0980/tillsyn/A 1971-2023 tillsynsbegäran.docx", "A 1971-2023")</f>
        <v/>
      </c>
      <c r="AC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46223</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X72">
        <f>HYPERLINK("https://klasma.github.io/Logging_0980/kartor_geotiff/A 54527-2023 georefererad karta.tif", "A 54527-2023")</f>
        <v/>
      </c>
      <c r="Z72">
        <f>HYPERLINK("https://klasma.github.io/Logging_0980/klagomål/A 54527-2023 FSC-klagomål.docx", "A 54527-2023")</f>
        <v/>
      </c>
      <c r="AA72">
        <f>HYPERLINK("https://klasma.github.io/Logging_0980/klagomålsmail/A 54527-2023 FSC-klagomål mail.docx", "A 54527-2023")</f>
        <v/>
      </c>
      <c r="AB72">
        <f>HYPERLINK("https://klasma.github.io/Logging_0980/tillsyn/A 54527-2023 tillsynsbegäran.docx", "A 54527-2023")</f>
        <v/>
      </c>
      <c r="AC72">
        <f>HYPERLINK("https://klasma.github.io/Logging_0980/tillsynsmail/A 54527-2023 tillsynsbegäran mail.docx", "A 54527-2023")</f>
        <v/>
      </c>
      <c r="AD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46223</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X73">
        <f>HYPERLINK("https://klasma.github.io/Logging_0980/kartor_geotiff/A 44308-2021 georefererad karta.tif", "A 44308-2021")</f>
        <v/>
      </c>
      <c r="Z73">
        <f>HYPERLINK("https://klasma.github.io/Logging_0980/klagomål/A 44308-2021 FSC-klagomål.docx", "A 44308-2021")</f>
        <v/>
      </c>
      <c r="AA73">
        <f>HYPERLINK("https://klasma.github.io/Logging_0980/klagomålsmail/A 44308-2021 FSC-klagomål mail.docx", "A 44308-2021")</f>
        <v/>
      </c>
      <c r="AB73">
        <f>HYPERLINK("https://klasma.github.io/Logging_0980/tillsyn/A 44308-2021 tillsynsbegäran.docx", "A 44308-2021")</f>
        <v/>
      </c>
      <c r="AC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46223</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X74">
        <f>HYPERLINK("https://klasma.github.io/Logging_0980/kartor_geotiff/A 54527-2023 georefererad karta.tif", "A 54527-2023")</f>
        <v/>
      </c>
      <c r="Z74">
        <f>HYPERLINK("https://klasma.github.io/Logging_0980/klagomål/A 54527-2023 FSC-klagomål.docx", "A 54527-2023")</f>
        <v/>
      </c>
      <c r="AA74">
        <f>HYPERLINK("https://klasma.github.io/Logging_0980/klagomålsmail/A 54527-2023 FSC-klagomål mail.docx", "A 54527-2023")</f>
        <v/>
      </c>
      <c r="AB74">
        <f>HYPERLINK("https://klasma.github.io/Logging_0980/tillsyn/A 54527-2023 tillsynsbegäran.docx", "A 54527-2023")</f>
        <v/>
      </c>
      <c r="AC74">
        <f>HYPERLINK("https://klasma.github.io/Logging_0980/tillsynsmail/A 54527-2023 tillsynsbegäran mail.docx", "A 54527-2023")</f>
        <v/>
      </c>
      <c r="AD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46223</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X75">
        <f>HYPERLINK("https://klasma.github.io/Logging_0980/kartor_geotiff/A 27170-2026 georefererad karta.tif", "A 27170-2026")</f>
        <v/>
      </c>
      <c r="Z75">
        <f>HYPERLINK("https://klasma.github.io/Logging_0980/klagomål/A 27170-2026 FSC-klagomål.docx", "A 27170-2026")</f>
        <v/>
      </c>
      <c r="AA75">
        <f>HYPERLINK("https://klasma.github.io/Logging_0980/klagomålsmail/A 27170-2026 FSC-klagomål mail.docx", "A 27170-2026")</f>
        <v/>
      </c>
      <c r="AB75">
        <f>HYPERLINK("https://klasma.github.io/Logging_0980/tillsyn/A 27170-2026 tillsynsbegäran.docx", "A 27170-2026")</f>
        <v/>
      </c>
      <c r="AC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46223</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s="2" t="inlineStr">
        <is>
          <t>Liten ädellav
Tät korallorangelav
Ädellav
Dårgräsfjäril
Blemlavsklotter
Frostig asplav
Guldlockmossa
Havstulpanlav</t>
        </is>
      </c>
      <c r="V76">
        <f>HYPERLINK("https://klasma.github.io/Logging_0980/artfynd/A 7038-2023 artfynd.xlsx", "A 7038-2023")</f>
        <v/>
      </c>
      <c r="W76">
        <f>HYPERLINK("https://klasma.github.io/Logging_0980/kartor/A 7038-2023 karta.png", "A 7038-2023")</f>
        <v/>
      </c>
      <c r="X76">
        <f>HYPERLINK("https://klasma.github.io/Logging_0980/kartor_geotiff/A 7038-2023 georefererad karta.tif", "A 7038-2023")</f>
        <v/>
      </c>
      <c r="Z76">
        <f>HYPERLINK("https://klasma.github.io/Logging_0980/klagomål/A 7038-2023 FSC-klagomål.docx", "A 7038-2023")</f>
        <v/>
      </c>
      <c r="AA76">
        <f>HYPERLINK("https://klasma.github.io/Logging_0980/klagomålsmail/A 7038-2023 FSC-klagomål mail.docx", "A 7038-2023")</f>
        <v/>
      </c>
      <c r="AB76">
        <f>HYPERLINK("https://klasma.github.io/Logging_0980/tillsyn/A 7038-2023 tillsynsbegäran.docx", "A 7038-2023")</f>
        <v/>
      </c>
      <c r="AC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46223</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X77">
        <f>HYPERLINK("https://klasma.github.io/Logging_0980/kartor_geotiff/A 20831-2024 georefererad karta.tif", "A 20831-2024")</f>
        <v/>
      </c>
      <c r="Z77">
        <f>HYPERLINK("https://klasma.github.io/Logging_0980/klagomål/A 20831-2024 FSC-klagomål.docx", "A 20831-2024")</f>
        <v/>
      </c>
      <c r="AA77">
        <f>HYPERLINK("https://klasma.github.io/Logging_0980/klagomålsmail/A 20831-2024 FSC-klagomål mail.docx", "A 20831-2024")</f>
        <v/>
      </c>
      <c r="AB77">
        <f>HYPERLINK("https://klasma.github.io/Logging_0980/tillsyn/A 20831-2024 tillsynsbegäran.docx", "A 20831-2024")</f>
        <v/>
      </c>
      <c r="AC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46223</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X78">
        <f>HYPERLINK("https://klasma.github.io/Logging_0980/kartor_geotiff/A 446-2023 georefererad karta.tif", "A 446-2023")</f>
        <v/>
      </c>
      <c r="Z78">
        <f>HYPERLINK("https://klasma.github.io/Logging_0980/klagomål/A 446-2023 FSC-klagomål.docx", "A 446-2023")</f>
        <v/>
      </c>
      <c r="AA78">
        <f>HYPERLINK("https://klasma.github.io/Logging_0980/klagomålsmail/A 446-2023 FSC-klagomål mail.docx", "A 446-2023")</f>
        <v/>
      </c>
      <c r="AB78">
        <f>HYPERLINK("https://klasma.github.io/Logging_0980/tillsyn/A 446-2023 tillsynsbegäran.docx", "A 446-2023")</f>
        <v/>
      </c>
      <c r="AC78">
        <f>HYPERLINK("https://klasma.github.io/Logging_0980/tillsynsmail/A 446-2023 tillsynsbegäran mail.docx", "A 446-2023")</f>
        <v/>
      </c>
      <c r="AD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46223</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X79">
        <f>HYPERLINK("https://klasma.github.io/Logging_0980/kartor_geotiff/A 57773-2025 georefererad karta.tif", "A 57773-2025")</f>
        <v/>
      </c>
      <c r="Z79">
        <f>HYPERLINK("https://klasma.github.io/Logging_0980/klagomål/A 57773-2025 FSC-klagomål.docx", "A 57773-2025")</f>
        <v/>
      </c>
      <c r="AA79">
        <f>HYPERLINK("https://klasma.github.io/Logging_0980/klagomålsmail/A 57773-2025 FSC-klagomål mail.docx", "A 57773-2025")</f>
        <v/>
      </c>
      <c r="AB79">
        <f>HYPERLINK("https://klasma.github.io/Logging_0980/tillsyn/A 57773-2025 tillsynsbegäran.docx", "A 57773-2025")</f>
        <v/>
      </c>
      <c r="AC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46223</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X80">
        <f>HYPERLINK("https://klasma.github.io/Logging_0980/kartor_geotiff/A 51737-2021 georefererad karta.tif", "A 51737-2021")</f>
        <v/>
      </c>
      <c r="Z80">
        <f>HYPERLINK("https://klasma.github.io/Logging_0980/klagomål/A 51737-2021 FSC-klagomål.docx", "A 51737-2021")</f>
        <v/>
      </c>
      <c r="AA80">
        <f>HYPERLINK("https://klasma.github.io/Logging_0980/klagomålsmail/A 51737-2021 FSC-klagomål mail.docx", "A 51737-2021")</f>
        <v/>
      </c>
      <c r="AB80">
        <f>HYPERLINK("https://klasma.github.io/Logging_0980/tillsyn/A 51737-2021 tillsynsbegäran.docx", "A 51737-2021")</f>
        <v/>
      </c>
      <c r="AC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46223</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s="2" t="inlineStr">
        <is>
          <t>Coniocarpon fallax
Knölig taggsvamp
Gyllenspindling
Dofttaggsvamp
Odörspindling
Anisspindling
Olivspindling</t>
        </is>
      </c>
      <c r="V81">
        <f>HYPERLINK("https://klasma.github.io/Logging_0980/artfynd/A 6159-2023 artfynd.xlsx", "A 6159-2023")</f>
        <v/>
      </c>
      <c r="W81">
        <f>HYPERLINK("https://klasma.github.io/Logging_0980/kartor/A 6159-2023 karta.png", "A 6159-2023")</f>
        <v/>
      </c>
      <c r="X81">
        <f>HYPERLINK("https://klasma.github.io/Logging_0980/kartor_geotiff/A 6159-2023 georefererad karta.tif", "A 6159-2023")</f>
        <v/>
      </c>
      <c r="Z81">
        <f>HYPERLINK("https://klasma.github.io/Logging_0980/klagomål/A 6159-2023 FSC-klagomål.docx", "A 6159-2023")</f>
        <v/>
      </c>
      <c r="AA81">
        <f>HYPERLINK("https://klasma.github.io/Logging_0980/klagomålsmail/A 6159-2023 FSC-klagomål mail.docx", "A 6159-2023")</f>
        <v/>
      </c>
      <c r="AB81">
        <f>HYPERLINK("https://klasma.github.io/Logging_0980/tillsyn/A 6159-2023 tillsynsbegäran.docx", "A 6159-2023")</f>
        <v/>
      </c>
      <c r="AC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46223</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X82">
        <f>HYPERLINK("https://klasma.github.io/Logging_0980/kartor_geotiff/A 2085-2023 georefererad karta.tif", "A 2085-2023")</f>
        <v/>
      </c>
      <c r="Z82">
        <f>HYPERLINK("https://klasma.github.io/Logging_0980/klagomål/A 2085-2023 FSC-klagomål.docx", "A 2085-2023")</f>
        <v/>
      </c>
      <c r="AA82">
        <f>HYPERLINK("https://klasma.github.io/Logging_0980/klagomålsmail/A 2085-2023 FSC-klagomål mail.docx", "A 2085-2023")</f>
        <v/>
      </c>
      <c r="AB82">
        <f>HYPERLINK("https://klasma.github.io/Logging_0980/tillsyn/A 2085-2023 tillsynsbegäran.docx", "A 2085-2023")</f>
        <v/>
      </c>
      <c r="AC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46223</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X83">
        <f>HYPERLINK("https://klasma.github.io/Logging_0980/kartor_geotiff/A 35293-2025 georefererad karta.tif", "A 35293-2025")</f>
        <v/>
      </c>
      <c r="Z83">
        <f>HYPERLINK("https://klasma.github.io/Logging_0980/klagomål/A 35293-2025 FSC-klagomål.docx", "A 35293-2025")</f>
        <v/>
      </c>
      <c r="AA83">
        <f>HYPERLINK("https://klasma.github.io/Logging_0980/klagomålsmail/A 35293-2025 FSC-klagomål mail.docx", "A 35293-2025")</f>
        <v/>
      </c>
      <c r="AB83">
        <f>HYPERLINK("https://klasma.github.io/Logging_0980/tillsyn/A 35293-2025 tillsynsbegäran.docx", "A 35293-2025")</f>
        <v/>
      </c>
      <c r="AC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46223</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X84">
        <f>HYPERLINK("https://klasma.github.io/Logging_0980/kartor_geotiff/A 63152-2025 georefererad karta.tif", "A 63152-2025")</f>
        <v/>
      </c>
      <c r="Z84">
        <f>HYPERLINK("https://klasma.github.io/Logging_0980/klagomål/A 63152-2025 FSC-klagomål.docx", "A 63152-2025")</f>
        <v/>
      </c>
      <c r="AA84">
        <f>HYPERLINK("https://klasma.github.io/Logging_0980/klagomålsmail/A 63152-2025 FSC-klagomål mail.docx", "A 63152-2025")</f>
        <v/>
      </c>
      <c r="AB84">
        <f>HYPERLINK("https://klasma.github.io/Logging_0980/tillsyn/A 63152-2025 tillsynsbegäran.docx", "A 63152-2025")</f>
        <v/>
      </c>
      <c r="AC84">
        <f>HYPERLINK("https://klasma.github.io/Logging_0980/tillsynsmail/A 63152-2025 tillsynsbegäran mail.docx", "A 63152-2025")</f>
        <v/>
      </c>
      <c r="AD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46223</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X85">
        <f>HYPERLINK("https://klasma.github.io/Logging_0980/kartor_geotiff/A 34142-2024 georefererad karta.tif", "A 34142-2024")</f>
        <v/>
      </c>
      <c r="Z85">
        <f>HYPERLINK("https://klasma.github.io/Logging_0980/klagomål/A 34142-2024 FSC-klagomål.docx", "A 34142-2024")</f>
        <v/>
      </c>
      <c r="AA85">
        <f>HYPERLINK("https://klasma.github.io/Logging_0980/klagomålsmail/A 34142-2024 FSC-klagomål mail.docx", "A 34142-2024")</f>
        <v/>
      </c>
      <c r="AB85">
        <f>HYPERLINK("https://klasma.github.io/Logging_0980/tillsyn/A 34142-2024 tillsynsbegäran.docx", "A 34142-2024")</f>
        <v/>
      </c>
      <c r="AC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46223</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X86">
        <f>HYPERLINK("https://klasma.github.io/Logging_0980/kartor_geotiff/A 10419-2025 georefererad karta.tif", "A 10419-2025")</f>
        <v/>
      </c>
      <c r="Z86">
        <f>HYPERLINK("https://klasma.github.io/Logging_0980/klagomål/A 10419-2025 FSC-klagomål.docx", "A 10419-2025")</f>
        <v/>
      </c>
      <c r="AA86">
        <f>HYPERLINK("https://klasma.github.io/Logging_0980/klagomålsmail/A 10419-2025 FSC-klagomål mail.docx", "A 10419-2025")</f>
        <v/>
      </c>
      <c r="AB86">
        <f>HYPERLINK("https://klasma.github.io/Logging_0980/tillsyn/A 10419-2025 tillsynsbegäran.docx", "A 10419-2025")</f>
        <v/>
      </c>
      <c r="AC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46223</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X87">
        <f>HYPERLINK("https://klasma.github.io/Logging_0980/kartor_geotiff/S 3948-2024 georefererad karta.tif", "S 3948-2024")</f>
        <v/>
      </c>
      <c r="Z87">
        <f>HYPERLINK("https://klasma.github.io/Logging_0980/klagomål/S 3948-2024 FSC-klagomål.docx", "S 3948-2024")</f>
        <v/>
      </c>
      <c r="AA87">
        <f>HYPERLINK("https://klasma.github.io/Logging_0980/klagomålsmail/S 3948-2024 FSC-klagomål mail.docx", "S 3948-2024")</f>
        <v/>
      </c>
      <c r="AB87">
        <f>HYPERLINK("https://klasma.github.io/Logging_0980/tillsyn/S 3948-2024 tillsynsbegäran.docx", "S 3948-2024")</f>
        <v/>
      </c>
      <c r="AC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46223</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X88">
        <f>HYPERLINK("https://klasma.github.io/Logging_0980/kartor_geotiff/A 48126-2022 georefererad karta.tif", "A 48126-2022")</f>
        <v/>
      </c>
      <c r="Z88">
        <f>HYPERLINK("https://klasma.github.io/Logging_0980/klagomål/A 48126-2022 FSC-klagomål.docx", "A 48126-2022")</f>
        <v/>
      </c>
      <c r="AA88">
        <f>HYPERLINK("https://klasma.github.io/Logging_0980/klagomålsmail/A 48126-2022 FSC-klagomål mail.docx", "A 48126-2022")</f>
        <v/>
      </c>
      <c r="AB88">
        <f>HYPERLINK("https://klasma.github.io/Logging_0980/tillsyn/A 48126-2022 tillsynsbegäran.docx", "A 48126-2022")</f>
        <v/>
      </c>
      <c r="AC88">
        <f>HYPERLINK("https://klasma.github.io/Logging_0980/tillsynsmail/A 48126-2022 tillsynsbegäran mail.docx", "A 48126-2022")</f>
        <v/>
      </c>
      <c r="AD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46223</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X89">
        <f>HYPERLINK("https://klasma.github.io/Logging_0980/kartor_geotiff/A 16823-2024 georefererad karta.tif", "A 16823-2024")</f>
        <v/>
      </c>
      <c r="Z89">
        <f>HYPERLINK("https://klasma.github.io/Logging_0980/klagomål/A 16823-2024 FSC-klagomål.docx", "A 16823-2024")</f>
        <v/>
      </c>
      <c r="AA89">
        <f>HYPERLINK("https://klasma.github.io/Logging_0980/klagomålsmail/A 16823-2024 FSC-klagomål mail.docx", "A 16823-2024")</f>
        <v/>
      </c>
      <c r="AB89">
        <f>HYPERLINK("https://klasma.github.io/Logging_0980/tillsyn/A 16823-2024 tillsynsbegäran.docx", "A 16823-2024")</f>
        <v/>
      </c>
      <c r="AC89">
        <f>HYPERLINK("https://klasma.github.io/Logging_0980/tillsynsmail/A 16823-2024 tillsynsbegäran mail.docx", "A 16823-2024")</f>
        <v/>
      </c>
      <c r="AD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46223</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X90">
        <f>HYPERLINK("https://klasma.github.io/Logging_0980/kartor_geotiff/A 49709-2025 georefererad karta.tif", "A 49709-2025")</f>
        <v/>
      </c>
      <c r="Z90">
        <f>HYPERLINK("https://klasma.github.io/Logging_0980/klagomål/A 49709-2025 FSC-klagomål.docx", "A 49709-2025")</f>
        <v/>
      </c>
      <c r="AA90">
        <f>HYPERLINK("https://klasma.github.io/Logging_0980/klagomålsmail/A 49709-2025 FSC-klagomål mail.docx", "A 49709-2025")</f>
        <v/>
      </c>
      <c r="AB90">
        <f>HYPERLINK("https://klasma.github.io/Logging_0980/tillsyn/A 49709-2025 tillsynsbegäran.docx", "A 49709-2025")</f>
        <v/>
      </c>
      <c r="AC90">
        <f>HYPERLINK("https://klasma.github.io/Logging_0980/tillsynsmail/A 49709-2025 tillsynsbegäran mail.docx", "A 49709-2025")</f>
        <v/>
      </c>
      <c r="AD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46223</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X91">
        <f>HYPERLINK("https://klasma.github.io/Logging_0980/kartor_geotiff/A 20838-2024 georefererad karta.tif", "A 20838-2024")</f>
        <v/>
      </c>
      <c r="Z91">
        <f>HYPERLINK("https://klasma.github.io/Logging_0980/klagomål/A 20838-2024 FSC-klagomål.docx", "A 20838-2024")</f>
        <v/>
      </c>
      <c r="AA91">
        <f>HYPERLINK("https://klasma.github.io/Logging_0980/klagomålsmail/A 20838-2024 FSC-klagomål mail.docx", "A 20838-2024")</f>
        <v/>
      </c>
      <c r="AB91">
        <f>HYPERLINK("https://klasma.github.io/Logging_0980/tillsyn/A 20838-2024 tillsynsbegäran.docx", "A 20838-2024")</f>
        <v/>
      </c>
      <c r="AC91">
        <f>HYPERLINK("https://klasma.github.io/Logging_0980/tillsynsmail/A 20838-2024 tillsynsbegäran mail.docx", "A 20838-2024")</f>
        <v/>
      </c>
      <c r="AD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46223</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X92">
        <f>HYPERLINK("https://klasma.github.io/Logging_0980/kartor_geotiff/A 43200-2023 georefererad karta.tif", "A 43200-2023")</f>
        <v/>
      </c>
      <c r="Z92">
        <f>HYPERLINK("https://klasma.github.io/Logging_0980/klagomål/A 43200-2023 FSC-klagomål.docx", "A 43200-2023")</f>
        <v/>
      </c>
      <c r="AA92">
        <f>HYPERLINK("https://klasma.github.io/Logging_0980/klagomålsmail/A 43200-2023 FSC-klagomål mail.docx", "A 43200-2023")</f>
        <v/>
      </c>
      <c r="AB92">
        <f>HYPERLINK("https://klasma.github.io/Logging_0980/tillsyn/A 43200-2023 tillsynsbegäran.docx", "A 43200-2023")</f>
        <v/>
      </c>
      <c r="AC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46223</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X93">
        <f>HYPERLINK("https://klasma.github.io/Logging_0980/kartor_geotiff/A 64208-2021 georefererad karta.tif", "A 64208-2021")</f>
        <v/>
      </c>
      <c r="Z93">
        <f>HYPERLINK("https://klasma.github.io/Logging_0980/klagomål/A 64208-2021 FSC-klagomål.docx", "A 64208-2021")</f>
        <v/>
      </c>
      <c r="AA93">
        <f>HYPERLINK("https://klasma.github.io/Logging_0980/klagomålsmail/A 64208-2021 FSC-klagomål mail.docx", "A 64208-2021")</f>
        <v/>
      </c>
      <c r="AB93">
        <f>HYPERLINK("https://klasma.github.io/Logging_0980/tillsyn/A 64208-2021 tillsynsbegäran.docx", "A 64208-2021")</f>
        <v/>
      </c>
      <c r="AC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46223</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X94">
        <f>HYPERLINK("https://klasma.github.io/Logging_0980/kartor_geotiff/S 452-2025 georefererad karta.tif", "S 452-2025")</f>
        <v/>
      </c>
      <c r="Z94">
        <f>HYPERLINK("https://klasma.github.io/Logging_0980/klagomål/S 452-2025 FSC-klagomål.docx", "S 452-2025")</f>
        <v/>
      </c>
      <c r="AA94">
        <f>HYPERLINK("https://klasma.github.io/Logging_0980/klagomålsmail/S 452-2025 FSC-klagomål mail.docx", "S 452-2025")</f>
        <v/>
      </c>
      <c r="AB94">
        <f>HYPERLINK("https://klasma.github.io/Logging_0980/tillsyn/S 452-2025 tillsynsbegäran.docx", "S 452-2025")</f>
        <v/>
      </c>
      <c r="AC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46223</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s="2" t="inlineStr">
        <is>
          <t>Duvspindling
Kryddspindling
Odörspindling
Diskvaxskivling
Olivspindling</t>
        </is>
      </c>
      <c r="V95">
        <f>HYPERLINK("https://klasma.github.io/Logging_0980/artfynd/A 54055-2022 artfynd.xlsx", "A 54055-2022")</f>
        <v/>
      </c>
      <c r="W95">
        <f>HYPERLINK("https://klasma.github.io/Logging_0980/kartor/A 54055-2022 karta.png", "A 54055-2022")</f>
        <v/>
      </c>
      <c r="X95">
        <f>HYPERLINK("https://klasma.github.io/Logging_0980/kartor_geotiff/A 54055-2022 georefererad karta.tif", "A 54055-2022")</f>
        <v/>
      </c>
      <c r="Z95">
        <f>HYPERLINK("https://klasma.github.io/Logging_0980/klagomål/A 54055-2022 FSC-klagomål.docx", "A 54055-2022")</f>
        <v/>
      </c>
      <c r="AA95">
        <f>HYPERLINK("https://klasma.github.io/Logging_0980/klagomålsmail/A 54055-2022 FSC-klagomål mail.docx", "A 54055-2022")</f>
        <v/>
      </c>
      <c r="AB95">
        <f>HYPERLINK("https://klasma.github.io/Logging_0980/tillsyn/A 54055-2022 tillsynsbegäran.docx", "A 54055-2022")</f>
        <v/>
      </c>
      <c r="AC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46223</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s="2" t="inlineStr">
        <is>
          <t>Ask
Allékantlav
Svinrot
Skogsknipprot
Revlummer</t>
        </is>
      </c>
      <c r="V96">
        <f>HYPERLINK("https://klasma.github.io/Logging_0980/artfynd/A 43197-2023 artfynd.xlsx", "A 43197-2023")</f>
        <v/>
      </c>
      <c r="W96">
        <f>HYPERLINK("https://klasma.github.io/Logging_0980/kartor/A 43197-2023 karta.png", "A 43197-2023")</f>
        <v/>
      </c>
      <c r="X96">
        <f>HYPERLINK("https://klasma.github.io/Logging_0980/kartor_geotiff/A 43197-2023 georefererad karta.tif", "A 43197-2023")</f>
        <v/>
      </c>
      <c r="Z96">
        <f>HYPERLINK("https://klasma.github.io/Logging_0980/klagomål/A 43197-2023 FSC-klagomål.docx", "A 43197-2023")</f>
        <v/>
      </c>
      <c r="AA96">
        <f>HYPERLINK("https://klasma.github.io/Logging_0980/klagomålsmail/A 43197-2023 FSC-klagomål mail.docx", "A 43197-2023")</f>
        <v/>
      </c>
      <c r="AB96">
        <f>HYPERLINK("https://klasma.github.io/Logging_0980/tillsyn/A 43197-2023 tillsynsbegäran.docx", "A 43197-2023")</f>
        <v/>
      </c>
      <c r="AC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46223</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s="2" t="inlineStr">
        <is>
          <t>Vit taggsvamp
Barrfagerspindling
Blå slemspindling
Äggspindling
Svavelriska</t>
        </is>
      </c>
      <c r="V97">
        <f>HYPERLINK("https://klasma.github.io/Logging_0980/artfynd/A 42936-2024 artfynd.xlsx", "A 42936-2024")</f>
        <v/>
      </c>
      <c r="W97">
        <f>HYPERLINK("https://klasma.github.io/Logging_0980/kartor/A 42936-2024 karta.png", "A 42936-2024")</f>
        <v/>
      </c>
      <c r="X97">
        <f>HYPERLINK("https://klasma.github.io/Logging_0980/kartor_geotiff/A 42936-2024 georefererad karta.tif", "A 42936-2024")</f>
        <v/>
      </c>
      <c r="Z97">
        <f>HYPERLINK("https://klasma.github.io/Logging_0980/klagomål/A 42936-2024 FSC-klagomål.docx", "A 42936-2024")</f>
        <v/>
      </c>
      <c r="AA97">
        <f>HYPERLINK("https://klasma.github.io/Logging_0980/klagomålsmail/A 42936-2024 FSC-klagomål mail.docx", "A 42936-2024")</f>
        <v/>
      </c>
      <c r="AB97">
        <f>HYPERLINK("https://klasma.github.io/Logging_0980/tillsyn/A 42936-2024 tillsynsbegäran.docx", "A 42936-2024")</f>
        <v/>
      </c>
      <c r="AC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46223</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X98">
        <f>HYPERLINK("https://klasma.github.io/Logging_0980/kartor_geotiff/A 5904-2024 georefererad karta.tif", "A 5904-2024")</f>
        <v/>
      </c>
      <c r="Z98">
        <f>HYPERLINK("https://klasma.github.io/Logging_0980/klagomål/A 5904-2024 FSC-klagomål.docx", "A 5904-2024")</f>
        <v/>
      </c>
      <c r="AA98">
        <f>HYPERLINK("https://klasma.github.io/Logging_0980/klagomålsmail/A 5904-2024 FSC-klagomål mail.docx", "A 5904-2024")</f>
        <v/>
      </c>
      <c r="AB98">
        <f>HYPERLINK("https://klasma.github.io/Logging_0980/tillsyn/A 5904-2024 tillsynsbegäran.docx", "A 5904-2024")</f>
        <v/>
      </c>
      <c r="AC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46223</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HYPERLINK("https://klasma.github.io/Logging_0980/kartor_geotiff/A 39425-2023 georefererad karta.tif", "A 39425-2023")</f>
        <v/>
      </c>
      <c r="Y99">
        <f>HYPERLINK("https://klasma.github.io/Logging_0980/knärot/A 39425-2023 karta knärot.png", "A 39425-2023")</f>
        <v/>
      </c>
      <c r="Z99">
        <f>HYPERLINK("https://klasma.github.io/Logging_0980/klagomål/A 39425-2023 FSC-klagomål.docx", "A 39425-2023")</f>
        <v/>
      </c>
      <c r="AA99">
        <f>HYPERLINK("https://klasma.github.io/Logging_0980/klagomålsmail/A 39425-2023 FSC-klagomål mail.docx", "A 39425-2023")</f>
        <v/>
      </c>
      <c r="AB99">
        <f>HYPERLINK("https://klasma.github.io/Logging_0980/tillsyn/A 39425-2023 tillsynsbegäran.docx", "A 39425-2023")</f>
        <v/>
      </c>
      <c r="AC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46223</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X100">
        <f>HYPERLINK("https://klasma.github.io/Logging_0980/kartor_geotiff/A 57463-2025 georefererad karta.tif", "A 57463-2025")</f>
        <v/>
      </c>
      <c r="Z100">
        <f>HYPERLINK("https://klasma.github.io/Logging_0980/klagomål/A 57463-2025 FSC-klagomål.docx", "A 57463-2025")</f>
        <v/>
      </c>
      <c r="AA100">
        <f>HYPERLINK("https://klasma.github.io/Logging_0980/klagomålsmail/A 57463-2025 FSC-klagomål mail.docx", "A 57463-2025")</f>
        <v/>
      </c>
      <c r="AB100">
        <f>HYPERLINK("https://klasma.github.io/Logging_0980/tillsyn/A 57463-2025 tillsynsbegäran.docx", "A 57463-2025")</f>
        <v/>
      </c>
      <c r="AC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46223</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s="2" t="inlineStr">
        <is>
          <t>Säfferot
Flugblomster
Purpurknipprot
Tvåblad
Salepsrot</t>
        </is>
      </c>
      <c r="V101">
        <f>HYPERLINK("https://klasma.github.io/Logging_0980/artfynd/A 8265-2023 artfynd.xlsx", "A 8265-2023")</f>
        <v/>
      </c>
      <c r="W101">
        <f>HYPERLINK("https://klasma.github.io/Logging_0980/kartor/A 8265-2023 karta.png", "A 8265-2023")</f>
        <v/>
      </c>
      <c r="X101">
        <f>HYPERLINK("https://klasma.github.io/Logging_0980/kartor_geotiff/A 8265-2023 georefererad karta.tif", "A 8265-2023")</f>
        <v/>
      </c>
      <c r="Z101">
        <f>HYPERLINK("https://klasma.github.io/Logging_0980/klagomål/A 8265-2023 FSC-klagomål.docx", "A 8265-2023")</f>
        <v/>
      </c>
      <c r="AA101">
        <f>HYPERLINK("https://klasma.github.io/Logging_0980/klagomålsmail/A 8265-2023 FSC-klagomål mail.docx", "A 8265-2023")</f>
        <v/>
      </c>
      <c r="AB101">
        <f>HYPERLINK("https://klasma.github.io/Logging_0980/tillsyn/A 8265-2023 tillsynsbegäran.docx", "A 8265-2023")</f>
        <v/>
      </c>
      <c r="AC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46223</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s="2" t="inlineStr">
        <is>
          <t>Igelkott
Skogskorn
Svartgrön spindling
Äggspindling
Kambräken</t>
        </is>
      </c>
      <c r="V102">
        <f>HYPERLINK("https://klasma.github.io/Logging_0980/artfynd/A 73144-2021 artfynd.xlsx", "A 73144-2021")</f>
        <v/>
      </c>
      <c r="W102">
        <f>HYPERLINK("https://klasma.github.io/Logging_0980/kartor/A 73144-2021 karta.png", "A 73144-2021")</f>
        <v/>
      </c>
      <c r="X102">
        <f>HYPERLINK("https://klasma.github.io/Logging_0980/kartor_geotiff/A 73144-2021 georefererad karta.tif", "A 73144-2021")</f>
        <v/>
      </c>
      <c r="Z102">
        <f>HYPERLINK("https://klasma.github.io/Logging_0980/klagomål/A 73144-2021 FSC-klagomål.docx", "A 73144-2021")</f>
        <v/>
      </c>
      <c r="AA102">
        <f>HYPERLINK("https://klasma.github.io/Logging_0980/klagomålsmail/A 73144-2021 FSC-klagomål mail.docx", "A 73144-2021")</f>
        <v/>
      </c>
      <c r="AB102">
        <f>HYPERLINK("https://klasma.github.io/Logging_0980/tillsyn/A 73144-2021 tillsynsbegäran.docx", "A 73144-2021")</f>
        <v/>
      </c>
      <c r="AC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46223</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X103">
        <f>HYPERLINK("https://klasma.github.io/Logging_0980/kartor_geotiff/S 1702-2020 georefererad karta.tif", "S 1702-2020")</f>
        <v/>
      </c>
      <c r="Z103">
        <f>HYPERLINK("https://klasma.github.io/Logging_0980/klagomål/S 1702-2020 FSC-klagomål.docx", "S 1702-2020")</f>
        <v/>
      </c>
      <c r="AA103">
        <f>HYPERLINK("https://klasma.github.io/Logging_0980/klagomålsmail/S 1702-2020 FSC-klagomål mail.docx", "S 1702-2020")</f>
        <v/>
      </c>
      <c r="AB103">
        <f>HYPERLINK("https://klasma.github.io/Logging_0980/tillsyn/S 1702-2020 tillsynsbegäran.docx", "S 1702-2020")</f>
        <v/>
      </c>
      <c r="AC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46223</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X104">
        <f>HYPERLINK("https://klasma.github.io/Logging_0980/kartor_geotiff/A 44323-2021 georefererad karta.tif", "A 44323-2021")</f>
        <v/>
      </c>
      <c r="Z104">
        <f>HYPERLINK("https://klasma.github.io/Logging_0980/klagomål/A 44323-2021 FSC-klagomål.docx", "A 44323-2021")</f>
        <v/>
      </c>
      <c r="AA104">
        <f>HYPERLINK("https://klasma.github.io/Logging_0980/klagomålsmail/A 44323-2021 FSC-klagomål mail.docx", "A 44323-2021")</f>
        <v/>
      </c>
      <c r="AB104">
        <f>HYPERLINK("https://klasma.github.io/Logging_0980/tillsyn/A 44323-2021 tillsynsbegäran.docx", "A 44323-2021")</f>
        <v/>
      </c>
      <c r="AC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46223</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s="2" t="inlineStr">
        <is>
          <t>Majviva
Svinrot
Blåsippa
Nattviol</t>
        </is>
      </c>
      <c r="V105">
        <f>HYPERLINK("https://klasma.github.io/Logging_0980/artfynd/A 44304-2021 artfynd.xlsx", "A 44304-2021")</f>
        <v/>
      </c>
      <c r="W105">
        <f>HYPERLINK("https://klasma.github.io/Logging_0980/kartor/A 44304-2021 karta.png", "A 44304-2021")</f>
        <v/>
      </c>
      <c r="X105">
        <f>HYPERLINK("https://klasma.github.io/Logging_0980/kartor_geotiff/A 44304-2021 georefererad karta.tif", "A 44304-2021")</f>
        <v/>
      </c>
      <c r="Z105">
        <f>HYPERLINK("https://klasma.github.io/Logging_0980/klagomål/A 44304-2021 FSC-klagomål.docx", "A 44304-2021")</f>
        <v/>
      </c>
      <c r="AA105">
        <f>HYPERLINK("https://klasma.github.io/Logging_0980/klagomålsmail/A 44304-2021 FSC-klagomål mail.docx", "A 44304-2021")</f>
        <v/>
      </c>
      <c r="AB105">
        <f>HYPERLINK("https://klasma.github.io/Logging_0980/tillsyn/A 44304-2021 tillsynsbegäran.docx", "A 44304-2021")</f>
        <v/>
      </c>
      <c r="AC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46223</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s="2" t="inlineStr">
        <is>
          <t>Garderönn
Svinrot
Vårärt
Skogsknipprot</t>
        </is>
      </c>
      <c r="V106">
        <f>HYPERLINK("https://klasma.github.io/Logging_0980/artfynd/A 1273-2023 artfynd.xlsx", "A 1273-2023")</f>
        <v/>
      </c>
      <c r="W106">
        <f>HYPERLINK("https://klasma.github.io/Logging_0980/kartor/A 1273-2023 karta.png", "A 1273-2023")</f>
        <v/>
      </c>
      <c r="X106">
        <f>HYPERLINK("https://klasma.github.io/Logging_0980/kartor_geotiff/A 1273-2023 georefererad karta.tif", "A 1273-2023")</f>
        <v/>
      </c>
      <c r="Z106">
        <f>HYPERLINK("https://klasma.github.io/Logging_0980/klagomål/A 1273-2023 FSC-klagomål.docx", "A 1273-2023")</f>
        <v/>
      </c>
      <c r="AA106">
        <f>HYPERLINK("https://klasma.github.io/Logging_0980/klagomålsmail/A 1273-2023 FSC-klagomål mail.docx", "A 1273-2023")</f>
        <v/>
      </c>
      <c r="AB106">
        <f>HYPERLINK("https://klasma.github.io/Logging_0980/tillsyn/A 1273-2023 tillsynsbegäran.docx", "A 1273-2023")</f>
        <v/>
      </c>
      <c r="AC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46223</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s="2" t="inlineStr">
        <is>
          <t>Garderönn
Dårgräsfjäril
Solvända
Gullviva</t>
        </is>
      </c>
      <c r="V107">
        <f>HYPERLINK("https://klasma.github.io/Logging_0980/artfynd/A 61100-2022 artfynd.xlsx", "A 61100-2022")</f>
        <v/>
      </c>
      <c r="W107">
        <f>HYPERLINK("https://klasma.github.io/Logging_0980/kartor/A 61100-2022 karta.png", "A 61100-2022")</f>
        <v/>
      </c>
      <c r="X107">
        <f>HYPERLINK("https://klasma.github.io/Logging_0980/kartor_geotiff/A 61100-2022 georefererad karta.tif", "A 61100-2022")</f>
        <v/>
      </c>
      <c r="Z107">
        <f>HYPERLINK("https://klasma.github.io/Logging_0980/klagomål/A 61100-2022 FSC-klagomål.docx", "A 61100-2022")</f>
        <v/>
      </c>
      <c r="AA107">
        <f>HYPERLINK("https://klasma.github.io/Logging_0980/klagomålsmail/A 61100-2022 FSC-klagomål mail.docx", "A 61100-2022")</f>
        <v/>
      </c>
      <c r="AB107">
        <f>HYPERLINK("https://klasma.github.io/Logging_0980/tillsyn/A 61100-2022 tillsynsbegäran.docx", "A 61100-2022")</f>
        <v/>
      </c>
      <c r="AC107">
        <f>HYPERLINK("https://klasma.github.io/Logging_0980/tillsynsmail/A 61100-2022 tillsynsbegäran mail.docx", "A 61100-2022")</f>
        <v/>
      </c>
    </row>
    <row r="108" ht="15" customHeight="1">
      <c r="A108" t="inlineStr">
        <is>
          <t>A 5235-2025</t>
        </is>
      </c>
      <c r="B108" t="inlineStr">
        <is>
          <t>avverkningsanmälan</t>
        </is>
      </c>
      <c r="C108" t="inlineStr">
        <is>
          <t>Föryngringsavverkning</t>
        </is>
      </c>
      <c r="D108" s="1" t="n">
        <v>45692</v>
      </c>
      <c r="E108" s="1" t="n">
        <v>46223</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X108">
        <f>HYPERLINK("https://klasma.github.io/Logging_0980/kartor_geotiff/A 5235-2025 georefererad karta.tif", "A 5235-2025")</f>
        <v/>
      </c>
      <c r="Z108">
        <f>HYPERLINK("https://klasma.github.io/Logging_0980/klagomål/A 5235-2025 FSC-klagomål.docx", "A 5235-2025")</f>
        <v/>
      </c>
      <c r="AA108">
        <f>HYPERLINK("https://klasma.github.io/Logging_0980/klagomålsmail/A 5235-2025 FSC-klagomål mail.docx", "A 5235-2025")</f>
        <v/>
      </c>
      <c r="AB108">
        <f>HYPERLINK("https://klasma.github.io/Logging_0980/tillsyn/A 5235-2025 tillsynsbegäran.docx", "A 5235-2025")</f>
        <v/>
      </c>
      <c r="AC108">
        <f>HYPERLINK("https://klasma.github.io/Logging_0980/tillsynsmail/A 5235-2025 tillsynsbegäran mail.docx", "A 5235-2025")</f>
        <v/>
      </c>
    </row>
    <row r="109" ht="15" customHeight="1">
      <c r="A109" t="inlineStr">
        <is>
          <t>A 54523-2023</t>
        </is>
      </c>
      <c r="B109" t="inlineStr">
        <is>
          <t>avverkningsanmälan</t>
        </is>
      </c>
      <c r="C109" t="inlineStr">
        <is>
          <t>Föryngringsavverkning</t>
        </is>
      </c>
      <c r="D109" s="1" t="n">
        <v>45233</v>
      </c>
      <c r="E109" s="1" t="n">
        <v>46223</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X109">
        <f>HYPERLINK("https://klasma.github.io/Logging_0980/kartor_geotiff/A 54523-2023 georefererad karta.tif", "A 54523-2023")</f>
        <v/>
      </c>
      <c r="Z109">
        <f>HYPERLINK("https://klasma.github.io/Logging_0980/klagomål/A 54523-2023 FSC-klagomål.docx", "A 54523-2023")</f>
        <v/>
      </c>
      <c r="AA109">
        <f>HYPERLINK("https://klasma.github.io/Logging_0980/klagomålsmail/A 54523-2023 FSC-klagomål mail.docx", "A 54523-2023")</f>
        <v/>
      </c>
      <c r="AB109">
        <f>HYPERLINK("https://klasma.github.io/Logging_0980/tillsyn/A 54523-2023 tillsynsbegäran.docx", "A 54523-2023")</f>
        <v/>
      </c>
      <c r="AC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46223</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s="2" t="inlineStr">
        <is>
          <t>Ask
Hasselticka
Läderskål
Stubbspretmossa</t>
        </is>
      </c>
      <c r="V110">
        <f>HYPERLINK("https://klasma.github.io/Logging_0980/artfynd/A 16997-2026 artfynd.xlsx", "A 16997-2026")</f>
        <v/>
      </c>
      <c r="W110">
        <f>HYPERLINK("https://klasma.github.io/Logging_0980/kartor/A 16997-2026 karta.png", "A 16997-2026")</f>
        <v/>
      </c>
      <c r="X110">
        <f>HYPERLINK("https://klasma.github.io/Logging_0980/kartor_geotiff/A 16997-2026 georefererad karta.tif", "A 16997-2026")</f>
        <v/>
      </c>
      <c r="Z110">
        <f>HYPERLINK("https://klasma.github.io/Logging_0980/klagomål/A 16997-2026 FSC-klagomål.docx", "A 16997-2026")</f>
        <v/>
      </c>
      <c r="AA110">
        <f>HYPERLINK("https://klasma.github.io/Logging_0980/klagomålsmail/A 16997-2026 FSC-klagomål mail.docx", "A 16997-2026")</f>
        <v/>
      </c>
      <c r="AB110">
        <f>HYPERLINK("https://klasma.github.io/Logging_0980/tillsyn/A 16997-2026 tillsynsbegäran.docx", "A 16997-2026")</f>
        <v/>
      </c>
      <c r="AC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46223</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s="2" t="inlineStr">
        <is>
          <t>Mörk kraterlav
Skogskorn
Ädellav
Besk kastanjemusseron</t>
        </is>
      </c>
      <c r="V111">
        <f>HYPERLINK("https://klasma.github.io/Logging_0980/artfynd/A 6839-2026 artfynd.xlsx", "A 6839-2026")</f>
        <v/>
      </c>
      <c r="W111">
        <f>HYPERLINK("https://klasma.github.io/Logging_0980/kartor/A 6839-2026 karta.png", "A 6839-2026")</f>
        <v/>
      </c>
      <c r="X111">
        <f>HYPERLINK("https://klasma.github.io/Logging_0980/kartor_geotiff/A 6839-2026 georefererad karta.tif", "A 6839-2026")</f>
        <v/>
      </c>
      <c r="Z111">
        <f>HYPERLINK("https://klasma.github.io/Logging_0980/klagomål/A 6839-2026 FSC-klagomål.docx", "A 6839-2026")</f>
        <v/>
      </c>
      <c r="AA111">
        <f>HYPERLINK("https://klasma.github.io/Logging_0980/klagomålsmail/A 6839-2026 FSC-klagomål mail.docx", "A 6839-2026")</f>
        <v/>
      </c>
      <c r="AB111">
        <f>HYPERLINK("https://klasma.github.io/Logging_0980/tillsyn/A 6839-2026 tillsynsbegäran.docx", "A 6839-2026")</f>
        <v/>
      </c>
      <c r="AC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46223</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s="2" t="inlineStr">
        <is>
          <t>Gotlandsmåra
Skogskorn
Nästrot
Skogsknipprot</t>
        </is>
      </c>
      <c r="V112">
        <f>HYPERLINK("https://klasma.github.io/Logging_0980/artfynd/A 2485-2025 artfynd.xlsx", "A 2485-2025")</f>
        <v/>
      </c>
      <c r="W112">
        <f>HYPERLINK("https://klasma.github.io/Logging_0980/kartor/A 2485-2025 karta.png", "A 2485-2025")</f>
        <v/>
      </c>
      <c r="X112">
        <f>HYPERLINK("https://klasma.github.io/Logging_0980/kartor_geotiff/A 2485-2025 georefererad karta.tif", "A 2485-2025")</f>
        <v/>
      </c>
      <c r="Z112">
        <f>HYPERLINK("https://klasma.github.io/Logging_0980/klagomål/A 2485-2025 FSC-klagomål.docx", "A 2485-2025")</f>
        <v/>
      </c>
      <c r="AA112">
        <f>HYPERLINK("https://klasma.github.io/Logging_0980/klagomålsmail/A 2485-2025 FSC-klagomål mail.docx", "A 2485-2025")</f>
        <v/>
      </c>
      <c r="AB112">
        <f>HYPERLINK("https://klasma.github.io/Logging_0980/tillsyn/A 2485-2025 tillsynsbegäran.docx", "A 2485-2025")</f>
        <v/>
      </c>
      <c r="AC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46223</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X113">
        <f>HYPERLINK("https://klasma.github.io/Logging_0980/kartor_geotiff/A 61386-2023 georefererad karta.tif", "A 61386-2023")</f>
        <v/>
      </c>
      <c r="Z113">
        <f>HYPERLINK("https://klasma.github.io/Logging_0980/klagomål/A 61386-2023 FSC-klagomål.docx", "A 61386-2023")</f>
        <v/>
      </c>
      <c r="AA113">
        <f>HYPERLINK("https://klasma.github.io/Logging_0980/klagomålsmail/A 61386-2023 FSC-klagomål mail.docx", "A 61386-2023")</f>
        <v/>
      </c>
      <c r="AB113">
        <f>HYPERLINK("https://klasma.github.io/Logging_0980/tillsyn/A 61386-2023 tillsynsbegäran.docx", "A 61386-2023")</f>
        <v/>
      </c>
      <c r="AC113">
        <f>HYPERLINK("https://klasma.github.io/Logging_0980/tillsynsmail/A 61386-2023 tillsynsbegäran mail.docx", "A 61386-2023")</f>
        <v/>
      </c>
    </row>
    <row r="114" ht="15" customHeight="1">
      <c r="A114" t="inlineStr">
        <is>
          <t>A 6218-2026</t>
        </is>
      </c>
      <c r="B114" t="inlineStr">
        <is>
          <t>avverkningsanmälan</t>
        </is>
      </c>
      <c r="C114" t="inlineStr">
        <is>
          <t>Föryngringsavverkning</t>
        </is>
      </c>
      <c r="D114" s="1" t="n">
        <v>46055</v>
      </c>
      <c r="E114" s="1" t="n">
        <v>46223</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s="2" t="inlineStr">
        <is>
          <t>Dårgräsfjäril
Tvåblad
Ormbär
Nattviol</t>
        </is>
      </c>
      <c r="V114">
        <f>HYPERLINK("https://klasma.github.io/Logging_0980/artfynd/A 6218-2026 artfynd.xlsx", "A 6218-2026")</f>
        <v/>
      </c>
      <c r="W114">
        <f>HYPERLINK("https://klasma.github.io/Logging_0980/kartor/A 6218-2026 karta.png", "A 6218-2026")</f>
        <v/>
      </c>
      <c r="X114">
        <f>HYPERLINK("https://klasma.github.io/Logging_0980/kartor_geotiff/A 6218-2026 georefererad karta.tif", "A 6218-2026")</f>
        <v/>
      </c>
      <c r="Z114">
        <f>HYPERLINK("https://klasma.github.io/Logging_0980/klagomål/A 6218-2026 FSC-klagomål.docx", "A 6218-2026")</f>
        <v/>
      </c>
      <c r="AA114">
        <f>HYPERLINK("https://klasma.github.io/Logging_0980/klagomålsmail/A 6218-2026 FSC-klagomål mail.docx", "A 6218-2026")</f>
        <v/>
      </c>
      <c r="AB114">
        <f>HYPERLINK("https://klasma.github.io/Logging_0980/tillsyn/A 6218-2026 tillsynsbegäran.docx", "A 6218-2026")</f>
        <v/>
      </c>
      <c r="AC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46223</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s="2" t="inlineStr">
        <is>
          <t>Fjällig taggsvamp s.str.
Kattfotslav
Odörspindling
Havstulpanlav</t>
        </is>
      </c>
      <c r="V115">
        <f>HYPERLINK("https://klasma.github.io/Logging_0980/artfynd/A 56717-2024 artfynd.xlsx", "A 56717-2024")</f>
        <v/>
      </c>
      <c r="W115">
        <f>HYPERLINK("https://klasma.github.io/Logging_0980/kartor/A 56717-2024 karta.png", "A 56717-2024")</f>
        <v/>
      </c>
      <c r="X115">
        <f>HYPERLINK("https://klasma.github.io/Logging_0980/kartor_geotiff/A 56717-2024 georefererad karta.tif", "A 56717-2024")</f>
        <v/>
      </c>
      <c r="Z115">
        <f>HYPERLINK("https://klasma.github.io/Logging_0980/klagomål/A 56717-2024 FSC-klagomål.docx", "A 56717-2024")</f>
        <v/>
      </c>
      <c r="AA115">
        <f>HYPERLINK("https://klasma.github.io/Logging_0980/klagomålsmail/A 56717-2024 FSC-klagomål mail.docx", "A 56717-2024")</f>
        <v/>
      </c>
      <c r="AB115">
        <f>HYPERLINK("https://klasma.github.io/Logging_0980/tillsyn/A 56717-2024 tillsynsbegäran.docx", "A 56717-2024")</f>
        <v/>
      </c>
      <c r="AC115">
        <f>HYPERLINK("https://klasma.github.io/Logging_0980/tillsynsmail/A 56717-2024 tillsynsbegäran mail.docx", "A 56717-2024")</f>
        <v/>
      </c>
    </row>
    <row r="116" ht="15" customHeight="1">
      <c r="A116" t="inlineStr">
        <is>
          <t>A 7625-2026</t>
        </is>
      </c>
      <c r="B116" t="inlineStr">
        <is>
          <t>avverkningsanmälan</t>
        </is>
      </c>
      <c r="C116" t="inlineStr">
        <is>
          <t>Föryngringsavverkning</t>
        </is>
      </c>
      <c r="D116" s="1" t="n">
        <v>46062</v>
      </c>
      <c r="E116" s="1" t="n">
        <v>46223</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X116">
        <f>HYPERLINK("https://klasma.github.io/Logging_0980/kartor_geotiff/A 7625-2026 georefererad karta.tif", "A 7625-2026")</f>
        <v/>
      </c>
      <c r="Z116">
        <f>HYPERLINK("https://klasma.github.io/Logging_0980/klagomål/A 7625-2026 FSC-klagomål.docx", "A 7625-2026")</f>
        <v/>
      </c>
      <c r="AA116">
        <f>HYPERLINK("https://klasma.github.io/Logging_0980/klagomålsmail/A 7625-2026 FSC-klagomål mail.docx", "A 7625-2026")</f>
        <v/>
      </c>
      <c r="AB116">
        <f>HYPERLINK("https://klasma.github.io/Logging_0980/tillsyn/A 7625-2026 tillsynsbegäran.docx", "A 7625-2026")</f>
        <v/>
      </c>
      <c r="AC116">
        <f>HYPERLINK("https://klasma.github.io/Logging_0980/tillsynsmail/A 7625-2026 tillsynsbegäran mail.docx", "A 7625-2026")</f>
        <v/>
      </c>
    </row>
    <row r="117" ht="15" customHeight="1">
      <c r="A117" t="inlineStr">
        <is>
          <t>A 37591-2023</t>
        </is>
      </c>
      <c r="B117" t="inlineStr">
        <is>
          <t>avverkningsanmälan</t>
        </is>
      </c>
      <c r="C117" t="inlineStr">
        <is>
          <t>Föryngringsavverkning</t>
        </is>
      </c>
      <c r="D117" s="1" t="n">
        <v>45159</v>
      </c>
      <c r="E117" s="1" t="n">
        <v>46223</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s="2" t="inlineStr">
        <is>
          <t>Bergjohannesört
Solvända
Ängsstarr
Vanlig snok</t>
        </is>
      </c>
      <c r="V117">
        <f>HYPERLINK("https://klasma.github.io/Logging_0980/artfynd/A 37591-2023 artfynd.xlsx", "A 37591-2023")</f>
        <v/>
      </c>
      <c r="W117">
        <f>HYPERLINK("https://klasma.github.io/Logging_0980/kartor/A 37591-2023 karta.png", "A 37591-2023")</f>
        <v/>
      </c>
      <c r="X117">
        <f>HYPERLINK("https://klasma.github.io/Logging_0980/kartor_geotiff/A 37591-2023 georefererad karta.tif", "A 37591-2023")</f>
        <v/>
      </c>
      <c r="Z117">
        <f>HYPERLINK("https://klasma.github.io/Logging_0980/klagomål/A 37591-2023 FSC-klagomål.docx", "A 37591-2023")</f>
        <v/>
      </c>
      <c r="AA117">
        <f>HYPERLINK("https://klasma.github.io/Logging_0980/klagomålsmail/A 37591-2023 FSC-klagomål mail.docx", "A 37591-2023")</f>
        <v/>
      </c>
      <c r="AB117">
        <f>HYPERLINK("https://klasma.github.io/Logging_0980/tillsyn/A 37591-2023 tillsynsbegäran.docx", "A 37591-2023")</f>
        <v/>
      </c>
      <c r="AC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46223</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s="2" t="inlineStr">
        <is>
          <t>Grenigt kungsljus
Åkerkulla
Gullviva</t>
        </is>
      </c>
      <c r="V118">
        <f>HYPERLINK("https://klasma.github.io/Logging_0980/artfynd/A 65927-2021 artfynd.xlsx", "A 65927-2021")</f>
        <v/>
      </c>
      <c r="W118">
        <f>HYPERLINK("https://klasma.github.io/Logging_0980/kartor/A 65927-2021 karta.png", "A 65927-2021")</f>
        <v/>
      </c>
      <c r="X118">
        <f>HYPERLINK("https://klasma.github.io/Logging_0980/kartor_geotiff/A 65927-2021 georefererad karta.tif", "A 65927-2021")</f>
        <v/>
      </c>
      <c r="Z118">
        <f>HYPERLINK("https://klasma.github.io/Logging_0980/klagomål/A 65927-2021 FSC-klagomål.docx", "A 65927-2021")</f>
        <v/>
      </c>
      <c r="AA118">
        <f>HYPERLINK("https://klasma.github.io/Logging_0980/klagomålsmail/A 65927-2021 FSC-klagomål mail.docx", "A 65927-2021")</f>
        <v/>
      </c>
      <c r="AB118">
        <f>HYPERLINK("https://klasma.github.io/Logging_0980/tillsyn/A 65927-2021 tillsynsbegäran.docx", "A 65927-2021")</f>
        <v/>
      </c>
      <c r="AC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46223</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X119">
        <f>HYPERLINK("https://klasma.github.io/Logging_0980/kartor_geotiff/A 2476-2025 georefererad karta.tif", "A 2476-2025")</f>
        <v/>
      </c>
      <c r="Z119">
        <f>HYPERLINK("https://klasma.github.io/Logging_0980/klagomål/A 2476-2025 FSC-klagomål.docx", "A 2476-2025")</f>
        <v/>
      </c>
      <c r="AA119">
        <f>HYPERLINK("https://klasma.github.io/Logging_0980/klagomålsmail/A 2476-2025 FSC-klagomål mail.docx", "A 2476-2025")</f>
        <v/>
      </c>
      <c r="AB119">
        <f>HYPERLINK("https://klasma.github.io/Logging_0980/tillsyn/A 2476-2025 tillsynsbegäran.docx", "A 2476-2025")</f>
        <v/>
      </c>
      <c r="AC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46223</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X120">
        <f>HYPERLINK("https://klasma.github.io/Logging_0980/kartor_geotiff/A 43013-2022 georefererad karta.tif", "A 43013-2022")</f>
        <v/>
      </c>
      <c r="Z120">
        <f>HYPERLINK("https://klasma.github.io/Logging_0980/klagomål/A 43013-2022 FSC-klagomål.docx", "A 43013-2022")</f>
        <v/>
      </c>
      <c r="AA120">
        <f>HYPERLINK("https://klasma.github.io/Logging_0980/klagomålsmail/A 43013-2022 FSC-klagomål mail.docx", "A 43013-2022")</f>
        <v/>
      </c>
      <c r="AB120">
        <f>HYPERLINK("https://klasma.github.io/Logging_0980/tillsyn/A 43013-2022 tillsynsbegäran.docx", "A 43013-2022")</f>
        <v/>
      </c>
      <c r="AC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46223</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X121">
        <f>HYPERLINK("https://klasma.github.io/Logging_0980/kartor_geotiff/A 53552-2021 georefererad karta.tif", "A 53552-2021")</f>
        <v/>
      </c>
      <c r="Z121">
        <f>HYPERLINK("https://klasma.github.io/Logging_0980/klagomål/A 53552-2021 FSC-klagomål.docx", "A 53552-2021")</f>
        <v/>
      </c>
      <c r="AA121">
        <f>HYPERLINK("https://klasma.github.io/Logging_0980/klagomålsmail/A 53552-2021 FSC-klagomål mail.docx", "A 53552-2021")</f>
        <v/>
      </c>
      <c r="AB121">
        <f>HYPERLINK("https://klasma.github.io/Logging_0980/tillsyn/A 53552-2021 tillsynsbegäran.docx", "A 53552-2021")</f>
        <v/>
      </c>
      <c r="AC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46223</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s="2" t="inlineStr">
        <is>
          <t>Svinrot
Ängsstarr
Sankt pers nycklar</t>
        </is>
      </c>
      <c r="V122">
        <f>HYPERLINK("https://klasma.github.io/Logging_0980/artfynd/A 34312-2024 artfynd.xlsx", "A 34312-2024")</f>
        <v/>
      </c>
      <c r="W122">
        <f>HYPERLINK("https://klasma.github.io/Logging_0980/kartor/A 34312-2024 karta.png", "A 34312-2024")</f>
        <v/>
      </c>
      <c r="X122">
        <f>HYPERLINK("https://klasma.github.io/Logging_0980/kartor_geotiff/A 34312-2024 georefererad karta.tif", "A 34312-2024")</f>
        <v/>
      </c>
      <c r="Z122">
        <f>HYPERLINK("https://klasma.github.io/Logging_0980/klagomål/A 34312-2024 FSC-klagomål.docx", "A 34312-2024")</f>
        <v/>
      </c>
      <c r="AA122">
        <f>HYPERLINK("https://klasma.github.io/Logging_0980/klagomålsmail/A 34312-2024 FSC-klagomål mail.docx", "A 34312-2024")</f>
        <v/>
      </c>
      <c r="AB122">
        <f>HYPERLINK("https://klasma.github.io/Logging_0980/tillsyn/A 34312-2024 tillsynsbegäran.docx", "A 34312-2024")</f>
        <v/>
      </c>
      <c r="AC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46223</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s="2" t="inlineStr">
        <is>
          <t>Dårgräsfjäril
Loppstarr
Stubbspretmossa</t>
        </is>
      </c>
      <c r="V123">
        <f>HYPERLINK("https://klasma.github.io/Logging_0980/artfynd/A 63576-2021 artfynd.xlsx", "A 63576-2021")</f>
        <v/>
      </c>
      <c r="W123">
        <f>HYPERLINK("https://klasma.github.io/Logging_0980/kartor/A 63576-2021 karta.png", "A 63576-2021")</f>
        <v/>
      </c>
      <c r="X123">
        <f>HYPERLINK("https://klasma.github.io/Logging_0980/kartor_geotiff/A 63576-2021 georefererad karta.tif", "A 63576-2021")</f>
        <v/>
      </c>
      <c r="Z123">
        <f>HYPERLINK("https://klasma.github.io/Logging_0980/klagomål/A 63576-2021 FSC-klagomål.docx", "A 63576-2021")</f>
        <v/>
      </c>
      <c r="AA123">
        <f>HYPERLINK("https://klasma.github.io/Logging_0980/klagomålsmail/A 63576-2021 FSC-klagomål mail.docx", "A 63576-2021")</f>
        <v/>
      </c>
      <c r="AB123">
        <f>HYPERLINK("https://klasma.github.io/Logging_0980/tillsyn/A 63576-2021 tillsynsbegäran.docx", "A 63576-2021")</f>
        <v/>
      </c>
      <c r="AC123">
        <f>HYPERLINK("https://klasma.github.io/Logging_0980/tillsynsmail/A 63576-2021 tillsynsbegäran mail.docx", "A 63576-2021")</f>
        <v/>
      </c>
    </row>
    <row r="124" ht="15" customHeight="1">
      <c r="A124" t="inlineStr">
        <is>
          <t>A 37222-2021</t>
        </is>
      </c>
      <c r="B124" t="inlineStr">
        <is>
          <t>avverkningsanmälan</t>
        </is>
      </c>
      <c r="C124" t="inlineStr">
        <is>
          <t>Föryngringsavverkning</t>
        </is>
      </c>
      <c r="D124" s="1" t="n">
        <v>44396</v>
      </c>
      <c r="E124" s="1" t="n">
        <v>46223</v>
      </c>
      <c r="F124" t="inlineStr">
        <is>
          <t>GOTLANDS LÄN</t>
        </is>
      </c>
      <c r="G124" t="inlineStr">
        <is>
          <t>GOTLAND</t>
        </is>
      </c>
      <c r="I124" t="n">
        <v>3</v>
      </c>
      <c r="J124" t="n">
        <v>3</v>
      </c>
      <c r="K124" t="n">
        <v>1</v>
      </c>
      <c r="L124" t="n">
        <v>1</v>
      </c>
      <c r="M124" t="n">
        <v>0</v>
      </c>
      <c r="N124" t="n">
        <v>0</v>
      </c>
      <c r="O124" t="n">
        <v>0</v>
      </c>
      <c r="P124" t="n">
        <v>0</v>
      </c>
      <c r="Q124" t="n">
        <v>1</v>
      </c>
      <c r="R124" t="n">
        <v>0</v>
      </c>
      <c r="S124" t="n">
        <v>3</v>
      </c>
      <c r="T124" t="n">
        <v>3</v>
      </c>
      <c r="U124" s="2" t="inlineStr">
        <is>
          <t>Mindre hackspett
Skogsknipprot
Bergfink</t>
        </is>
      </c>
      <c r="V124">
        <f>HYPERLINK("https://klasma.github.io/Logging_0980/artfynd/A 37222-2021 artfynd.xlsx", "A 37222-2021")</f>
        <v/>
      </c>
      <c r="W124">
        <f>HYPERLINK("https://klasma.github.io/Logging_0980/kartor/A 37222-2021 karta.png", "A 37222-2021")</f>
        <v/>
      </c>
      <c r="X124">
        <f>HYPERLINK("https://klasma.github.io/Logging_0980/kartor_geotiff/A 37222-2021 georefererad karta.tif", "A 37222-2021")</f>
        <v/>
      </c>
      <c r="Z124">
        <f>HYPERLINK("https://klasma.github.io/Logging_0980/klagomål/A 37222-2021 FSC-klagomål.docx", "A 37222-2021")</f>
        <v/>
      </c>
      <c r="AA124">
        <f>HYPERLINK("https://klasma.github.io/Logging_0980/klagomålsmail/A 37222-2021 FSC-klagomål mail.docx", "A 37222-2021")</f>
        <v/>
      </c>
      <c r="AB124">
        <f>HYPERLINK("https://klasma.github.io/Logging_0980/tillsyn/A 37222-2021 tillsynsbegäran.docx", "A 37222-2021")</f>
        <v/>
      </c>
      <c r="AC124">
        <f>HYPERLINK("https://klasma.github.io/Logging_0980/tillsynsmail/A 37222-2021 tillsynsbegäran mail.docx", "A 37222-2021")</f>
        <v/>
      </c>
      <c r="AD124">
        <f>HYPERLINK("https://klasma.github.io/Logging_0980/fåglar/A 37222-2021 prioriterade fågelarter.docx", "A 37222-2021")</f>
        <v/>
      </c>
    </row>
    <row r="125" ht="15" customHeight="1">
      <c r="A125" t="inlineStr">
        <is>
          <t>A 35574-2024</t>
        </is>
      </c>
      <c r="B125" t="inlineStr">
        <is>
          <t>avverkningsanmälan</t>
        </is>
      </c>
      <c r="C125" t="inlineStr">
        <is>
          <t>Föryngringsavverkning</t>
        </is>
      </c>
      <c r="D125" s="1" t="n">
        <v>45531</v>
      </c>
      <c r="E125" s="1" t="n">
        <v>46223</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s="2" t="inlineStr">
        <is>
          <t>Svinrot
Kambräken
Murgröna</t>
        </is>
      </c>
      <c r="V125">
        <f>HYPERLINK("https://klasma.github.io/Logging_0980/artfynd/A 35574-2024 artfynd.xlsx", "A 35574-2024")</f>
        <v/>
      </c>
      <c r="W125">
        <f>HYPERLINK("https://klasma.github.io/Logging_0980/kartor/A 35574-2024 karta.png", "A 35574-2024")</f>
        <v/>
      </c>
      <c r="X125">
        <f>HYPERLINK("https://klasma.github.io/Logging_0980/kartor_geotiff/A 35574-2024 georefererad karta.tif", "A 35574-2024")</f>
        <v/>
      </c>
      <c r="Z125">
        <f>HYPERLINK("https://klasma.github.io/Logging_0980/klagomål/A 35574-2024 FSC-klagomål.docx", "A 35574-2024")</f>
        <v/>
      </c>
      <c r="AA125">
        <f>HYPERLINK("https://klasma.github.io/Logging_0980/klagomålsmail/A 35574-2024 FSC-klagomål mail.docx", "A 35574-2024")</f>
        <v/>
      </c>
      <c r="AB125">
        <f>HYPERLINK("https://klasma.github.io/Logging_0980/tillsyn/A 35574-2024 tillsynsbegäran.docx", "A 35574-2024")</f>
        <v/>
      </c>
      <c r="AC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46223</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s="2" t="inlineStr">
        <is>
          <t>Lundalm
Krusfrö
Ängsskära</t>
        </is>
      </c>
      <c r="V126">
        <f>HYPERLINK("https://klasma.github.io/Logging_0980/artfynd/A 17982-2023 artfynd.xlsx", "A 17982-2023")</f>
        <v/>
      </c>
      <c r="W126">
        <f>HYPERLINK("https://klasma.github.io/Logging_0980/kartor/A 17982-2023 karta.png", "A 17982-2023")</f>
        <v/>
      </c>
      <c r="X126">
        <f>HYPERLINK("https://klasma.github.io/Logging_0980/kartor_geotiff/A 17982-2023 georefererad karta.tif", "A 17982-2023")</f>
        <v/>
      </c>
      <c r="Z126">
        <f>HYPERLINK("https://klasma.github.io/Logging_0980/klagomål/A 17982-2023 FSC-klagomål.docx", "A 17982-2023")</f>
        <v/>
      </c>
      <c r="AA126">
        <f>HYPERLINK("https://klasma.github.io/Logging_0980/klagomålsmail/A 17982-2023 FSC-klagomål mail.docx", "A 17982-2023")</f>
        <v/>
      </c>
      <c r="AB126">
        <f>HYPERLINK("https://klasma.github.io/Logging_0980/tillsyn/A 17982-2023 tillsynsbegäran.docx", "A 17982-2023")</f>
        <v/>
      </c>
      <c r="AC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46223</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s="2" t="inlineStr">
        <is>
          <t>Loppstarr
Grov fjädermossa
Fläcknycklar</t>
        </is>
      </c>
      <c r="V127">
        <f>HYPERLINK("https://klasma.github.io/Logging_0980/artfynd/A 54357-2024 artfynd.xlsx", "A 54357-2024")</f>
        <v/>
      </c>
      <c r="W127">
        <f>HYPERLINK("https://klasma.github.io/Logging_0980/kartor/A 54357-2024 karta.png", "A 54357-2024")</f>
        <v/>
      </c>
      <c r="X127">
        <f>HYPERLINK("https://klasma.github.io/Logging_0980/kartor_geotiff/A 54357-2024 georefererad karta.tif", "A 54357-2024")</f>
        <v/>
      </c>
      <c r="Z127">
        <f>HYPERLINK("https://klasma.github.io/Logging_0980/klagomål/A 54357-2024 FSC-klagomål.docx", "A 54357-2024")</f>
        <v/>
      </c>
      <c r="AA127">
        <f>HYPERLINK("https://klasma.github.io/Logging_0980/klagomålsmail/A 54357-2024 FSC-klagomål mail.docx", "A 54357-2024")</f>
        <v/>
      </c>
      <c r="AB127">
        <f>HYPERLINK("https://klasma.github.io/Logging_0980/tillsyn/A 54357-2024 tillsynsbegäran.docx", "A 54357-2024")</f>
        <v/>
      </c>
      <c r="AC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46223</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X128">
        <f>HYPERLINK("https://klasma.github.io/Logging_0980/kartor_geotiff/A 19322-2026 georefererad karta.tif", "A 19322-2026")</f>
        <v/>
      </c>
      <c r="Z128">
        <f>HYPERLINK("https://klasma.github.io/Logging_0980/klagomål/A 19322-2026 FSC-klagomål.docx", "A 19322-2026")</f>
        <v/>
      </c>
      <c r="AA128">
        <f>HYPERLINK("https://klasma.github.io/Logging_0980/klagomålsmail/A 19322-2026 FSC-klagomål mail.docx", "A 19322-2026")</f>
        <v/>
      </c>
      <c r="AB128">
        <f>HYPERLINK("https://klasma.github.io/Logging_0980/tillsyn/A 19322-2026 tillsynsbegäran.docx", "A 19322-2026")</f>
        <v/>
      </c>
      <c r="AC128">
        <f>HYPERLINK("https://klasma.github.io/Logging_0980/tillsynsmail/A 19322-2026 tillsynsbegäran mail.docx", "A 19322-2026")</f>
        <v/>
      </c>
      <c r="AD128">
        <f>HYPERLINK("https://klasma.github.io/Logging_0980/fåglar/A 19322-2026 prioriterade fågelarter.docx", "A 19322-2026")</f>
        <v/>
      </c>
    </row>
    <row r="129" ht="15" customHeight="1">
      <c r="A129" t="inlineStr">
        <is>
          <t>A 17975-2024</t>
        </is>
      </c>
      <c r="B129" t="inlineStr">
        <is>
          <t>avverkningsanmälan</t>
        </is>
      </c>
      <c r="C129" t="inlineStr">
        <is>
          <t>Föryngringsavverkning</t>
        </is>
      </c>
      <c r="D129" s="1" t="n">
        <v>45419</v>
      </c>
      <c r="E129" s="1" t="n">
        <v>46223</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s="2" t="inlineStr">
        <is>
          <t>Ask
Skugglosta
Strävlosta</t>
        </is>
      </c>
      <c r="V129">
        <f>HYPERLINK("https://klasma.github.io/Logging_0980/artfynd/A 17975-2024 artfynd.xlsx", "A 17975-2024")</f>
        <v/>
      </c>
      <c r="W129">
        <f>HYPERLINK("https://klasma.github.io/Logging_0980/kartor/A 17975-2024 karta.png", "A 17975-2024")</f>
        <v/>
      </c>
      <c r="X129">
        <f>HYPERLINK("https://klasma.github.io/Logging_0980/kartor_geotiff/A 17975-2024 georefererad karta.tif", "A 17975-2024")</f>
        <v/>
      </c>
      <c r="Z129">
        <f>HYPERLINK("https://klasma.github.io/Logging_0980/klagomål/A 17975-2024 FSC-klagomål.docx", "A 17975-2024")</f>
        <v/>
      </c>
      <c r="AA129">
        <f>HYPERLINK("https://klasma.github.io/Logging_0980/klagomålsmail/A 17975-2024 FSC-klagomål mail.docx", "A 17975-2024")</f>
        <v/>
      </c>
      <c r="AB129">
        <f>HYPERLINK("https://klasma.github.io/Logging_0980/tillsyn/A 17975-2024 tillsynsbegäran.docx", "A 17975-2024")</f>
        <v/>
      </c>
      <c r="AC129">
        <f>HYPERLINK("https://klasma.github.io/Logging_0980/tillsynsmail/A 17975-2024 tillsynsbegäran mail.docx", "A 17975-2024")</f>
        <v/>
      </c>
    </row>
    <row r="130" ht="15" customHeight="1">
      <c r="A130" t="inlineStr">
        <is>
          <t>A 13499-2022</t>
        </is>
      </c>
      <c r="B130" t="inlineStr">
        <is>
          <t>avverkningsanmälan</t>
        </is>
      </c>
      <c r="C130" t="inlineStr">
        <is>
          <t>Föryngringsavverkning</t>
        </is>
      </c>
      <c r="D130" s="1" t="n">
        <v>44647</v>
      </c>
      <c r="E130" s="1" t="n">
        <v>46223</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s="2" t="inlineStr">
        <is>
          <t>Blåsippa
Spillkråka
Sankt pers nycklar</t>
        </is>
      </c>
      <c r="V130">
        <f>HYPERLINK("https://klasma.github.io/Logging_0980/artfynd/A 13499-2022 artfynd.xlsx", "A 13499-2022")</f>
        <v/>
      </c>
      <c r="W130">
        <f>HYPERLINK("https://klasma.github.io/Logging_0980/kartor/A 13499-2022 karta.png", "A 13499-2022")</f>
        <v/>
      </c>
      <c r="X130">
        <f>HYPERLINK("https://klasma.github.io/Logging_0980/kartor_geotiff/A 13499-2022 georefererad karta.tif", "A 13499-2022")</f>
        <v/>
      </c>
      <c r="Z130">
        <f>HYPERLINK("https://klasma.github.io/Logging_0980/klagomål/A 13499-2022 FSC-klagomål.docx", "A 13499-2022")</f>
        <v/>
      </c>
      <c r="AA130">
        <f>HYPERLINK("https://klasma.github.io/Logging_0980/klagomålsmail/A 13499-2022 FSC-klagomål mail.docx", "A 13499-2022")</f>
        <v/>
      </c>
      <c r="AB130">
        <f>HYPERLINK("https://klasma.github.io/Logging_0980/tillsyn/A 13499-2022 tillsynsbegäran.docx", "A 13499-2022")</f>
        <v/>
      </c>
      <c r="AC130">
        <f>HYPERLINK("https://klasma.github.io/Logging_0980/tillsynsmail/A 13499-2022 tillsynsbegäran mail.docx", "A 13499-2022")</f>
        <v/>
      </c>
      <c r="AD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46223</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s="2" t="inlineStr">
        <is>
          <t>Gotlandsmåra
Axveronika
Skogsduva</t>
        </is>
      </c>
      <c r="V131">
        <f>HYPERLINK("https://klasma.github.io/Logging_0980/artfynd/A 43219-2023 artfynd.xlsx", "A 43219-2023")</f>
        <v/>
      </c>
      <c r="W131">
        <f>HYPERLINK("https://klasma.github.io/Logging_0980/kartor/A 43219-2023 karta.png", "A 43219-2023")</f>
        <v/>
      </c>
      <c r="X131">
        <f>HYPERLINK("https://klasma.github.io/Logging_0980/kartor_geotiff/A 43219-2023 georefererad karta.tif", "A 43219-2023")</f>
        <v/>
      </c>
      <c r="Z131">
        <f>HYPERLINK("https://klasma.github.io/Logging_0980/klagomål/A 43219-2023 FSC-klagomål.docx", "A 43219-2023")</f>
        <v/>
      </c>
      <c r="AA131">
        <f>HYPERLINK("https://klasma.github.io/Logging_0980/klagomålsmail/A 43219-2023 FSC-klagomål mail.docx", "A 43219-2023")</f>
        <v/>
      </c>
      <c r="AB131">
        <f>HYPERLINK("https://klasma.github.io/Logging_0980/tillsyn/A 43219-2023 tillsynsbegäran.docx", "A 43219-2023")</f>
        <v/>
      </c>
      <c r="AC131">
        <f>HYPERLINK("https://klasma.github.io/Logging_0980/tillsynsmail/A 43219-2023 tillsynsbegäran mail.docx", "A 43219-2023")</f>
        <v/>
      </c>
    </row>
    <row r="132" ht="15" customHeight="1">
      <c r="A132" t="inlineStr">
        <is>
          <t>A 26992-2026</t>
        </is>
      </c>
      <c r="B132" t="inlineStr">
        <is>
          <t>avverkningsanmälan</t>
        </is>
      </c>
      <c r="C132" t="inlineStr">
        <is>
          <t>Föryngringsavverkning</t>
        </is>
      </c>
      <c r="D132" s="1" t="n">
        <v>46185</v>
      </c>
      <c r="E132" s="1" t="n">
        <v>46223</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s="2" t="inlineStr">
        <is>
          <t>Svinrot
Nästrot
Blåsippa</t>
        </is>
      </c>
      <c r="V132">
        <f>HYPERLINK("https://klasma.github.io/Logging_0980/artfynd/A 26992-2026 artfynd.xlsx", "A 26992-2026")</f>
        <v/>
      </c>
      <c r="W132">
        <f>HYPERLINK("https://klasma.github.io/Logging_0980/kartor/A 26992-2026 karta.png", "A 26992-2026")</f>
        <v/>
      </c>
      <c r="X132">
        <f>HYPERLINK("https://klasma.github.io/Logging_0980/kartor_geotiff/A 26992-2026 georefererad karta.tif", "A 26992-2026")</f>
        <v/>
      </c>
      <c r="Z132">
        <f>HYPERLINK("https://klasma.github.io/Logging_0980/klagomål/A 26992-2026 FSC-klagomål.docx", "A 26992-2026")</f>
        <v/>
      </c>
      <c r="AA132">
        <f>HYPERLINK("https://klasma.github.io/Logging_0980/klagomålsmail/A 26992-2026 FSC-klagomål mail.docx", "A 26992-2026")</f>
        <v/>
      </c>
      <c r="AB132">
        <f>HYPERLINK("https://klasma.github.io/Logging_0980/tillsyn/A 26992-2026 tillsynsbegäran.docx", "A 26992-2026")</f>
        <v/>
      </c>
      <c r="AC132">
        <f>HYPERLINK("https://klasma.github.io/Logging_0980/tillsynsmail/A 26992-2026 tillsynsbegäran mail.docx", "A 26992-2026")</f>
        <v/>
      </c>
    </row>
    <row r="133" ht="15" customHeight="1">
      <c r="A133" t="inlineStr">
        <is>
          <t>A 12315-2024</t>
        </is>
      </c>
      <c r="B133" t="inlineStr">
        <is>
          <t>avverkningsanmälan</t>
        </is>
      </c>
      <c r="C133" t="inlineStr">
        <is>
          <t>Föryngringsavverkning</t>
        </is>
      </c>
      <c r="D133" s="1" t="n">
        <v>45378</v>
      </c>
      <c r="E133" s="1" t="n">
        <v>46223</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X133">
        <f>HYPERLINK("https://klasma.github.io/Logging_0980/kartor_geotiff/A 12315-2024 georefererad karta.tif", "A 12315-2024")</f>
        <v/>
      </c>
      <c r="Z133">
        <f>HYPERLINK("https://klasma.github.io/Logging_0980/klagomål/A 12315-2024 FSC-klagomål.docx", "A 12315-2024")</f>
        <v/>
      </c>
      <c r="AA133">
        <f>HYPERLINK("https://klasma.github.io/Logging_0980/klagomålsmail/A 12315-2024 FSC-klagomål mail.docx", "A 12315-2024")</f>
        <v/>
      </c>
      <c r="AB133">
        <f>HYPERLINK("https://klasma.github.io/Logging_0980/tillsyn/A 12315-2024 tillsynsbegäran.docx", "A 12315-2024")</f>
        <v/>
      </c>
      <c r="AC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46223</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X134">
        <f>HYPERLINK("https://klasma.github.io/Logging_0980/kartor_geotiff/A 49411-2023 georefererad karta.tif", "A 49411-2023")</f>
        <v/>
      </c>
      <c r="Z134">
        <f>HYPERLINK("https://klasma.github.io/Logging_0980/klagomål/A 49411-2023 FSC-klagomål.docx", "A 49411-2023")</f>
        <v/>
      </c>
      <c r="AA134">
        <f>HYPERLINK("https://klasma.github.io/Logging_0980/klagomålsmail/A 49411-2023 FSC-klagomål mail.docx", "A 49411-2023")</f>
        <v/>
      </c>
      <c r="AB134">
        <f>HYPERLINK("https://klasma.github.io/Logging_0980/tillsyn/A 49411-2023 tillsynsbegäran.docx", "A 49411-2023")</f>
        <v/>
      </c>
      <c r="AC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46223</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X135">
        <f>HYPERLINK("https://klasma.github.io/Logging_0980/kartor_geotiff/A 61561-2023 georefererad karta.tif", "A 61561-2023")</f>
        <v/>
      </c>
      <c r="Z135">
        <f>HYPERLINK("https://klasma.github.io/Logging_0980/klagomål/A 61561-2023 FSC-klagomål.docx", "A 61561-2023")</f>
        <v/>
      </c>
      <c r="AA135">
        <f>HYPERLINK("https://klasma.github.io/Logging_0980/klagomålsmail/A 61561-2023 FSC-klagomål mail.docx", "A 61561-2023")</f>
        <v/>
      </c>
      <c r="AB135">
        <f>HYPERLINK("https://klasma.github.io/Logging_0980/tillsyn/A 61561-2023 tillsynsbegäran.docx", "A 61561-2023")</f>
        <v/>
      </c>
      <c r="AC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46223</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X136">
        <f>HYPERLINK("https://klasma.github.io/Logging_0980/kartor_geotiff/A 5909-2025 georefererad karta.tif", "A 5909-2025")</f>
        <v/>
      </c>
      <c r="Z136">
        <f>HYPERLINK("https://klasma.github.io/Logging_0980/klagomål/A 5909-2025 FSC-klagomål.docx", "A 5909-2025")</f>
        <v/>
      </c>
      <c r="AA136">
        <f>HYPERLINK("https://klasma.github.io/Logging_0980/klagomålsmail/A 5909-2025 FSC-klagomål mail.docx", "A 5909-2025")</f>
        <v/>
      </c>
      <c r="AB136">
        <f>HYPERLINK("https://klasma.github.io/Logging_0980/tillsyn/A 5909-2025 tillsynsbegäran.docx", "A 5909-2025")</f>
        <v/>
      </c>
      <c r="AC136">
        <f>HYPERLINK("https://klasma.github.io/Logging_0980/tillsynsmail/A 5909-2025 tillsynsbegäran mail.docx", "A 5909-2025")</f>
        <v/>
      </c>
    </row>
    <row r="137" ht="15" customHeight="1">
      <c r="A137" t="inlineStr">
        <is>
          <t>A 10440-2024</t>
        </is>
      </c>
      <c r="B137" t="inlineStr">
        <is>
          <t>avverkningsanmälan</t>
        </is>
      </c>
      <c r="C137" t="inlineStr">
        <is>
          <t>Föryngringsavverkning</t>
        </is>
      </c>
      <c r="D137" s="1" t="n">
        <v>45366</v>
      </c>
      <c r="E137" s="1" t="n">
        <v>46223</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X137">
        <f>HYPERLINK("https://klasma.github.io/Logging_0980/kartor_geotiff/A 10440-2024 georefererad karta.tif", "A 10440-2024")</f>
        <v/>
      </c>
      <c r="Z137">
        <f>HYPERLINK("https://klasma.github.io/Logging_0980/klagomål/A 10440-2024 FSC-klagomål.docx", "A 10440-2024")</f>
        <v/>
      </c>
      <c r="AA137">
        <f>HYPERLINK("https://klasma.github.io/Logging_0980/klagomålsmail/A 10440-2024 FSC-klagomål mail.docx", "A 10440-2024")</f>
        <v/>
      </c>
      <c r="AB137">
        <f>HYPERLINK("https://klasma.github.io/Logging_0980/tillsyn/A 10440-2024 tillsynsbegäran.docx", "A 10440-2024")</f>
        <v/>
      </c>
      <c r="AC137">
        <f>HYPERLINK("https://klasma.github.io/Logging_0980/tillsynsmail/A 10440-2024 tillsynsbegäran mail.docx", "A 10440-2024")</f>
        <v/>
      </c>
      <c r="AD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46223</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X138">
        <f>HYPERLINK("https://klasma.github.io/Logging_0980/kartor_geotiff/A 44207-2022 georefererad karta.tif", "A 44207-2022")</f>
        <v/>
      </c>
      <c r="Z138">
        <f>HYPERLINK("https://klasma.github.io/Logging_0980/klagomål/A 44207-2022 FSC-klagomål.docx", "A 44207-2022")</f>
        <v/>
      </c>
      <c r="AA138">
        <f>HYPERLINK("https://klasma.github.io/Logging_0980/klagomålsmail/A 44207-2022 FSC-klagomål mail.docx", "A 44207-2022")</f>
        <v/>
      </c>
      <c r="AB138">
        <f>HYPERLINK("https://klasma.github.io/Logging_0980/tillsyn/A 44207-2022 tillsynsbegäran.docx", "A 44207-2022")</f>
        <v/>
      </c>
      <c r="AC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46223</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X139">
        <f>HYPERLINK("https://klasma.github.io/Logging_0980/kartor_geotiff/A 60665-2021 georefererad karta.tif", "A 60665-2021")</f>
        <v/>
      </c>
      <c r="Z139">
        <f>HYPERLINK("https://klasma.github.io/Logging_0980/klagomål/A 60665-2021 FSC-klagomål.docx", "A 60665-2021")</f>
        <v/>
      </c>
      <c r="AA139">
        <f>HYPERLINK("https://klasma.github.io/Logging_0980/klagomålsmail/A 60665-2021 FSC-klagomål mail.docx", "A 60665-2021")</f>
        <v/>
      </c>
      <c r="AB139">
        <f>HYPERLINK("https://klasma.github.io/Logging_0980/tillsyn/A 60665-2021 tillsynsbegäran.docx", "A 60665-2021")</f>
        <v/>
      </c>
      <c r="AC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46223</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X140">
        <f>HYPERLINK("https://klasma.github.io/Logging_0980/kartor_geotiff/A 20218-2022 georefererad karta.tif", "A 20218-2022")</f>
        <v/>
      </c>
      <c r="Z140">
        <f>HYPERLINK("https://klasma.github.io/Logging_0980/klagomål/A 20218-2022 FSC-klagomål.docx", "A 20218-2022")</f>
        <v/>
      </c>
      <c r="AA140">
        <f>HYPERLINK("https://klasma.github.io/Logging_0980/klagomålsmail/A 20218-2022 FSC-klagomål mail.docx", "A 20218-2022")</f>
        <v/>
      </c>
      <c r="AB140">
        <f>HYPERLINK("https://klasma.github.io/Logging_0980/tillsyn/A 20218-2022 tillsynsbegäran.docx", "A 20218-2022")</f>
        <v/>
      </c>
      <c r="AC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46223</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s="2" t="inlineStr">
        <is>
          <t>Skogskorn
Underviol</t>
        </is>
      </c>
      <c r="V141">
        <f>HYPERLINK("https://klasma.github.io/Logging_0980/artfynd/A 49314-2024 artfynd.xlsx", "A 49314-2024")</f>
        <v/>
      </c>
      <c r="W141">
        <f>HYPERLINK("https://klasma.github.io/Logging_0980/kartor/A 49314-2024 karta.png", "A 49314-2024")</f>
        <v/>
      </c>
      <c r="X141">
        <f>HYPERLINK("https://klasma.github.io/Logging_0980/kartor_geotiff/A 49314-2024 georefererad karta.tif", "A 49314-2024")</f>
        <v/>
      </c>
      <c r="Z141">
        <f>HYPERLINK("https://klasma.github.io/Logging_0980/klagomål/A 49314-2024 FSC-klagomål.docx", "A 49314-2024")</f>
        <v/>
      </c>
      <c r="AA141">
        <f>HYPERLINK("https://klasma.github.io/Logging_0980/klagomålsmail/A 49314-2024 FSC-klagomål mail.docx", "A 49314-2024")</f>
        <v/>
      </c>
      <c r="AB141">
        <f>HYPERLINK("https://klasma.github.io/Logging_0980/tillsyn/A 49314-2024 tillsynsbegäran.docx", "A 49314-2024")</f>
        <v/>
      </c>
      <c r="AC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46223</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s="2" t="inlineStr">
        <is>
          <t>Ask
Tallticka</t>
        </is>
      </c>
      <c r="V142">
        <f>HYPERLINK("https://klasma.github.io/Logging_0980/artfynd/A 26077-2024 artfynd.xlsx", "A 26077-2024")</f>
        <v/>
      </c>
      <c r="W142">
        <f>HYPERLINK("https://klasma.github.io/Logging_0980/kartor/A 26077-2024 karta.png", "A 26077-2024")</f>
        <v/>
      </c>
      <c r="X142">
        <f>HYPERLINK("https://klasma.github.io/Logging_0980/kartor_geotiff/A 26077-2024 georefererad karta.tif", "A 26077-2024")</f>
        <v/>
      </c>
      <c r="Z142">
        <f>HYPERLINK("https://klasma.github.io/Logging_0980/klagomål/A 26077-2024 FSC-klagomål.docx", "A 26077-2024")</f>
        <v/>
      </c>
      <c r="AA142">
        <f>HYPERLINK("https://klasma.github.io/Logging_0980/klagomålsmail/A 26077-2024 FSC-klagomål mail.docx", "A 26077-2024")</f>
        <v/>
      </c>
      <c r="AB142">
        <f>HYPERLINK("https://klasma.github.io/Logging_0980/tillsyn/A 26077-2024 tillsynsbegäran.docx", "A 26077-2024")</f>
        <v/>
      </c>
      <c r="AC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46223</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s="2" t="inlineStr">
        <is>
          <t>Hasselsnok
Mindre hackspett</t>
        </is>
      </c>
      <c r="V143">
        <f>HYPERLINK("https://klasma.github.io/Logging_0980/artfynd/A 33011-2025 artfynd.xlsx", "A 33011-2025")</f>
        <v/>
      </c>
      <c r="W143">
        <f>HYPERLINK("https://klasma.github.io/Logging_0980/kartor/A 33011-2025 karta.png", "A 33011-2025")</f>
        <v/>
      </c>
      <c r="X143">
        <f>HYPERLINK("https://klasma.github.io/Logging_0980/kartor_geotiff/A 33011-2025 georefererad karta.tif", "A 33011-2025")</f>
        <v/>
      </c>
      <c r="Z143">
        <f>HYPERLINK("https://klasma.github.io/Logging_0980/klagomål/A 33011-2025 FSC-klagomål.docx", "A 33011-2025")</f>
        <v/>
      </c>
      <c r="AA143">
        <f>HYPERLINK("https://klasma.github.io/Logging_0980/klagomålsmail/A 33011-2025 FSC-klagomål mail.docx", "A 33011-2025")</f>
        <v/>
      </c>
      <c r="AB143">
        <f>HYPERLINK("https://klasma.github.io/Logging_0980/tillsyn/A 33011-2025 tillsynsbegäran.docx", "A 33011-2025")</f>
        <v/>
      </c>
      <c r="AC143">
        <f>HYPERLINK("https://klasma.github.io/Logging_0980/tillsynsmail/A 33011-2025 tillsynsbegäran mail.docx", "A 33011-2025")</f>
        <v/>
      </c>
      <c r="AD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46223</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s="2" t="inlineStr">
        <is>
          <t>Vårärt
Nästrot</t>
        </is>
      </c>
      <c r="V144">
        <f>HYPERLINK("https://klasma.github.io/Logging_0980/artfynd/A 62760-2025 artfynd.xlsx", "A 62760-2025")</f>
        <v/>
      </c>
      <c r="W144">
        <f>HYPERLINK("https://klasma.github.io/Logging_0980/kartor/A 62760-2025 karta.png", "A 62760-2025")</f>
        <v/>
      </c>
      <c r="X144">
        <f>HYPERLINK("https://klasma.github.io/Logging_0980/kartor_geotiff/A 62760-2025 georefererad karta.tif", "A 62760-2025")</f>
        <v/>
      </c>
      <c r="Z144">
        <f>HYPERLINK("https://klasma.github.io/Logging_0980/klagomål/A 62760-2025 FSC-klagomål.docx", "A 62760-2025")</f>
        <v/>
      </c>
      <c r="AA144">
        <f>HYPERLINK("https://klasma.github.io/Logging_0980/klagomålsmail/A 62760-2025 FSC-klagomål mail.docx", "A 62760-2025")</f>
        <v/>
      </c>
      <c r="AB144">
        <f>HYPERLINK("https://klasma.github.io/Logging_0980/tillsyn/A 62760-2025 tillsynsbegäran.docx", "A 62760-2025")</f>
        <v/>
      </c>
      <c r="AC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46223</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s="2" t="inlineStr">
        <is>
          <t>Toppjungfrulin
Bredarun</t>
        </is>
      </c>
      <c r="V145">
        <f>HYPERLINK("https://klasma.github.io/Logging_0980/artfynd/A 11708-2026 artfynd.xlsx", "A 11708-2026")</f>
        <v/>
      </c>
      <c r="W145">
        <f>HYPERLINK("https://klasma.github.io/Logging_0980/kartor/A 11708-2026 karta.png", "A 11708-2026")</f>
        <v/>
      </c>
      <c r="X145">
        <f>HYPERLINK("https://klasma.github.io/Logging_0980/kartor_geotiff/A 11708-2026 georefererad karta.tif", "A 11708-2026")</f>
        <v/>
      </c>
      <c r="Z145">
        <f>HYPERLINK("https://klasma.github.io/Logging_0980/klagomål/A 11708-2026 FSC-klagomål.docx", "A 11708-2026")</f>
        <v/>
      </c>
      <c r="AA145">
        <f>HYPERLINK("https://klasma.github.io/Logging_0980/klagomålsmail/A 11708-2026 FSC-klagomål mail.docx", "A 11708-2026")</f>
        <v/>
      </c>
      <c r="AB145">
        <f>HYPERLINK("https://klasma.github.io/Logging_0980/tillsyn/A 11708-2026 tillsynsbegäran.docx", "A 11708-2026")</f>
        <v/>
      </c>
      <c r="AC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46223</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s="2" t="inlineStr">
        <is>
          <t>Anisspindling
Diskvaxskivling</t>
        </is>
      </c>
      <c r="V146">
        <f>HYPERLINK("https://klasma.github.io/Logging_0980/artfynd/A 1010-2024 artfynd.xlsx", "A 1010-2024")</f>
        <v/>
      </c>
      <c r="W146">
        <f>HYPERLINK("https://klasma.github.io/Logging_0980/kartor/A 1010-2024 karta.png", "A 1010-2024")</f>
        <v/>
      </c>
      <c r="X146">
        <f>HYPERLINK("https://klasma.github.io/Logging_0980/kartor_geotiff/A 1010-2024 georefererad karta.tif", "A 1010-2024")</f>
        <v/>
      </c>
      <c r="Z146">
        <f>HYPERLINK("https://klasma.github.io/Logging_0980/klagomål/A 1010-2024 FSC-klagomål.docx", "A 1010-2024")</f>
        <v/>
      </c>
      <c r="AA146">
        <f>HYPERLINK("https://klasma.github.io/Logging_0980/klagomålsmail/A 1010-2024 FSC-klagomål mail.docx", "A 1010-2024")</f>
        <v/>
      </c>
      <c r="AB146">
        <f>HYPERLINK("https://klasma.github.io/Logging_0980/tillsyn/A 1010-2024 tillsynsbegäran.docx", "A 1010-2024")</f>
        <v/>
      </c>
      <c r="AC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46223</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X147">
        <f>HYPERLINK("https://klasma.github.io/Logging_0980/kartor_geotiff/A 27589-2023 georefererad karta.tif", "A 27589-2023")</f>
        <v/>
      </c>
      <c r="Z147">
        <f>HYPERLINK("https://klasma.github.io/Logging_0980/klagomål/A 27589-2023 FSC-klagomål.docx", "A 27589-2023")</f>
        <v/>
      </c>
      <c r="AA147">
        <f>HYPERLINK("https://klasma.github.io/Logging_0980/klagomålsmail/A 27589-2023 FSC-klagomål mail.docx", "A 27589-2023")</f>
        <v/>
      </c>
      <c r="AB147">
        <f>HYPERLINK("https://klasma.github.io/Logging_0980/tillsyn/A 27589-2023 tillsynsbegäran.docx", "A 27589-2023")</f>
        <v/>
      </c>
      <c r="AC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46223</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X148">
        <f>HYPERLINK("https://klasma.github.io/Logging_0980/kartor_geotiff/A 8036-2022 georefererad karta.tif", "A 8036-2022")</f>
        <v/>
      </c>
      <c r="Z148">
        <f>HYPERLINK("https://klasma.github.io/Logging_0980/klagomål/A 8036-2022 FSC-klagomål.docx", "A 8036-2022")</f>
        <v/>
      </c>
      <c r="AA148">
        <f>HYPERLINK("https://klasma.github.io/Logging_0980/klagomålsmail/A 8036-2022 FSC-klagomål mail.docx", "A 8036-2022")</f>
        <v/>
      </c>
      <c r="AB148">
        <f>HYPERLINK("https://klasma.github.io/Logging_0980/tillsyn/A 8036-2022 tillsynsbegäran.docx", "A 8036-2022")</f>
        <v/>
      </c>
      <c r="AC148">
        <f>HYPERLINK("https://klasma.github.io/Logging_0980/tillsynsmail/A 8036-2022 tillsynsbegäran mail.docx", "A 8036-2022")</f>
        <v/>
      </c>
      <c r="AD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46223</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X149">
        <f>HYPERLINK("https://klasma.github.io/Logging_0980/kartor_geotiff/A 7070-2022 georefererad karta.tif", "A 7070-2022")</f>
        <v/>
      </c>
      <c r="Z149">
        <f>HYPERLINK("https://klasma.github.io/Logging_0980/klagomål/A 7070-2022 FSC-klagomål.docx", "A 7070-2022")</f>
        <v/>
      </c>
      <c r="AA149">
        <f>HYPERLINK("https://klasma.github.io/Logging_0980/klagomålsmail/A 7070-2022 FSC-klagomål mail.docx", "A 7070-2022")</f>
        <v/>
      </c>
      <c r="AB149">
        <f>HYPERLINK("https://klasma.github.io/Logging_0980/tillsyn/A 7070-2022 tillsynsbegäran.docx", "A 7070-2022")</f>
        <v/>
      </c>
      <c r="AC149">
        <f>HYPERLINK("https://klasma.github.io/Logging_0980/tillsynsmail/A 7070-2022 tillsynsbegäran mail.docx", "A 7070-2022")</f>
        <v/>
      </c>
    </row>
    <row r="150" ht="15" customHeight="1">
      <c r="A150" t="inlineStr">
        <is>
          <t>A 27621-2026</t>
        </is>
      </c>
      <c r="B150" t="inlineStr">
        <is>
          <t>avverkningsanmälan</t>
        </is>
      </c>
      <c r="C150" t="inlineStr">
        <is>
          <t>Föryngringsavverkning</t>
        </is>
      </c>
      <c r="D150" s="1" t="n">
        <v>46190</v>
      </c>
      <c r="E150" s="1" t="n">
        <v>46223</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s="2" t="inlineStr">
        <is>
          <t>Adam och eva
Spillkråka</t>
        </is>
      </c>
      <c r="V150">
        <f>HYPERLINK("https://klasma.github.io/Logging_0980/artfynd/A 27621-2026 artfynd.xlsx", "A 27621-2026")</f>
        <v/>
      </c>
      <c r="W150">
        <f>HYPERLINK("https://klasma.github.io/Logging_0980/kartor/A 27621-2026 karta.png", "A 27621-2026")</f>
        <v/>
      </c>
      <c r="X150">
        <f>HYPERLINK("https://klasma.github.io/Logging_0980/kartor_geotiff/A 27621-2026 georefererad karta.tif", "A 27621-2026")</f>
        <v/>
      </c>
      <c r="Z150">
        <f>HYPERLINK("https://klasma.github.io/Logging_0980/klagomål/A 27621-2026 FSC-klagomål.docx", "A 27621-2026")</f>
        <v/>
      </c>
      <c r="AA150">
        <f>HYPERLINK("https://klasma.github.io/Logging_0980/klagomålsmail/A 27621-2026 FSC-klagomål mail.docx", "A 27621-2026")</f>
        <v/>
      </c>
      <c r="AB150">
        <f>HYPERLINK("https://klasma.github.io/Logging_0980/tillsyn/A 27621-2026 tillsynsbegäran.docx", "A 27621-2026")</f>
        <v/>
      </c>
      <c r="AC150">
        <f>HYPERLINK("https://klasma.github.io/Logging_0980/tillsynsmail/A 27621-2026 tillsynsbegäran mail.docx", "A 27621-2026")</f>
        <v/>
      </c>
      <c r="AD150">
        <f>HYPERLINK("https://klasma.github.io/Logging_0980/fåglar/A 27621-2026 prioriterade fågelarter.docx", "A 27621-2026")</f>
        <v/>
      </c>
    </row>
    <row r="151" ht="15" customHeight="1">
      <c r="A151" t="inlineStr">
        <is>
          <t>A 28261-2024</t>
        </is>
      </c>
      <c r="B151" t="inlineStr">
        <is>
          <t>avverkningsanmälan</t>
        </is>
      </c>
      <c r="C151" t="inlineStr">
        <is>
          <t>Avverkning för annat ändamål</t>
        </is>
      </c>
      <c r="D151" s="1" t="n">
        <v>45477</v>
      </c>
      <c r="E151" s="1" t="n">
        <v>46223</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s="2" t="inlineStr">
        <is>
          <t>Grådådra
Åkerkulla</t>
        </is>
      </c>
      <c r="V151">
        <f>HYPERLINK("https://klasma.github.io/Logging_0980/artfynd/A 28261-2024 artfynd.xlsx", "A 28261-2024")</f>
        <v/>
      </c>
      <c r="W151">
        <f>HYPERLINK("https://klasma.github.io/Logging_0980/kartor/A 28261-2024 karta.png", "A 28261-2024")</f>
        <v/>
      </c>
      <c r="X151">
        <f>HYPERLINK("https://klasma.github.io/Logging_0980/kartor_geotiff/A 28261-2024 georefererad karta.tif", "A 28261-2024")</f>
        <v/>
      </c>
      <c r="Z151">
        <f>HYPERLINK("https://klasma.github.io/Logging_0980/klagomål/A 28261-2024 FSC-klagomål.docx", "A 28261-2024")</f>
        <v/>
      </c>
      <c r="AA151">
        <f>HYPERLINK("https://klasma.github.io/Logging_0980/klagomålsmail/A 28261-2024 FSC-klagomål mail.docx", "A 28261-2024")</f>
        <v/>
      </c>
      <c r="AB151">
        <f>HYPERLINK("https://klasma.github.io/Logging_0980/tillsyn/A 28261-2024 tillsynsbegäran.docx", "A 28261-2024")</f>
        <v/>
      </c>
      <c r="AC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46223</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X152">
        <f>HYPERLINK("https://klasma.github.io/Logging_0980/kartor_geotiff/A 883-2025 georefererad karta.tif", "A 883-2025")</f>
        <v/>
      </c>
      <c r="Z152">
        <f>HYPERLINK("https://klasma.github.io/Logging_0980/klagomål/A 883-2025 FSC-klagomål.docx", "A 883-2025")</f>
        <v/>
      </c>
      <c r="AA152">
        <f>HYPERLINK("https://klasma.github.io/Logging_0980/klagomålsmail/A 883-2025 FSC-klagomål mail.docx", "A 883-2025")</f>
        <v/>
      </c>
      <c r="AB152">
        <f>HYPERLINK("https://klasma.github.io/Logging_0980/tillsyn/A 883-2025 tillsynsbegäran.docx", "A 883-2025")</f>
        <v/>
      </c>
      <c r="AC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46223</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X153">
        <f>HYPERLINK("https://klasma.github.io/Logging_0980/kartor_geotiff/A 30470-2026 georefererad karta.tif", "A 30470-2026")</f>
        <v/>
      </c>
      <c r="Z153">
        <f>HYPERLINK("https://klasma.github.io/Logging_0980/klagomål/A 30470-2026 FSC-klagomål.docx", "A 30470-2026")</f>
        <v/>
      </c>
      <c r="AA153">
        <f>HYPERLINK("https://klasma.github.io/Logging_0980/klagomålsmail/A 30470-2026 FSC-klagomål mail.docx", "A 30470-2026")</f>
        <v/>
      </c>
      <c r="AB153">
        <f>HYPERLINK("https://klasma.github.io/Logging_0980/tillsyn/A 30470-2026 tillsynsbegäran.docx", "A 30470-2026")</f>
        <v/>
      </c>
      <c r="AC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46223</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X154">
        <f>HYPERLINK("https://klasma.github.io/Logging_0980/kartor_geotiff/A 28276-2024 georefererad karta.tif", "A 28276-2024")</f>
        <v/>
      </c>
      <c r="Z154">
        <f>HYPERLINK("https://klasma.github.io/Logging_0980/klagomål/A 28276-2024 FSC-klagomål.docx", "A 28276-2024")</f>
        <v/>
      </c>
      <c r="AA154">
        <f>HYPERLINK("https://klasma.github.io/Logging_0980/klagomålsmail/A 28276-2024 FSC-klagomål mail.docx", "A 28276-2024")</f>
        <v/>
      </c>
      <c r="AB154">
        <f>HYPERLINK("https://klasma.github.io/Logging_0980/tillsyn/A 28276-2024 tillsynsbegäran.docx", "A 28276-2024")</f>
        <v/>
      </c>
      <c r="AC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46223</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X155">
        <f>HYPERLINK("https://klasma.github.io/Logging_0980/kartor_geotiff/S 3320-2023 georefererad karta.tif", "S 3320-2023")</f>
        <v/>
      </c>
      <c r="Z155">
        <f>HYPERLINK("https://klasma.github.io/Logging_0980/klagomål/S 3320-2023 FSC-klagomål.docx", "S 3320-2023")</f>
        <v/>
      </c>
      <c r="AA155">
        <f>HYPERLINK("https://klasma.github.io/Logging_0980/klagomålsmail/S 3320-2023 FSC-klagomål mail.docx", "S 3320-2023")</f>
        <v/>
      </c>
      <c r="AB155">
        <f>HYPERLINK("https://klasma.github.io/Logging_0980/tillsyn/S 3320-2023 tillsynsbegäran.docx", "S 3320-2023")</f>
        <v/>
      </c>
      <c r="AC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46223</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X156">
        <f>HYPERLINK("https://klasma.github.io/Logging_0980/kartor_geotiff/A 46362-2021 georefererad karta.tif", "A 46362-2021")</f>
        <v/>
      </c>
      <c r="Z156">
        <f>HYPERLINK("https://klasma.github.io/Logging_0980/klagomål/A 46362-2021 FSC-klagomål.docx", "A 46362-2021")</f>
        <v/>
      </c>
      <c r="AA156">
        <f>HYPERLINK("https://klasma.github.io/Logging_0980/klagomålsmail/A 46362-2021 FSC-klagomål mail.docx", "A 46362-2021")</f>
        <v/>
      </c>
      <c r="AB156">
        <f>HYPERLINK("https://klasma.github.io/Logging_0980/tillsyn/A 46362-2021 tillsynsbegäran.docx", "A 46362-2021")</f>
        <v/>
      </c>
      <c r="AC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46223</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X157">
        <f>HYPERLINK("https://klasma.github.io/Logging_0980/kartor_geotiff/A 11029-2022 georefererad karta.tif", "A 11029-2022")</f>
        <v/>
      </c>
      <c r="Z157">
        <f>HYPERLINK("https://klasma.github.io/Logging_0980/klagomål/A 11029-2022 FSC-klagomål.docx", "A 11029-2022")</f>
        <v/>
      </c>
      <c r="AA157">
        <f>HYPERLINK("https://klasma.github.io/Logging_0980/klagomålsmail/A 11029-2022 FSC-klagomål mail.docx", "A 11029-2022")</f>
        <v/>
      </c>
      <c r="AB157">
        <f>HYPERLINK("https://klasma.github.io/Logging_0980/tillsyn/A 11029-2022 tillsynsbegäran.docx", "A 11029-2022")</f>
        <v/>
      </c>
      <c r="AC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46223</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X158">
        <f>HYPERLINK("https://klasma.github.io/Logging_0980/kartor_geotiff/A 31239-2022 georefererad karta.tif", "A 31239-2022")</f>
        <v/>
      </c>
      <c r="Z158">
        <f>HYPERLINK("https://klasma.github.io/Logging_0980/klagomål/A 31239-2022 FSC-klagomål.docx", "A 31239-2022")</f>
        <v/>
      </c>
      <c r="AA158">
        <f>HYPERLINK("https://klasma.github.io/Logging_0980/klagomålsmail/A 31239-2022 FSC-klagomål mail.docx", "A 31239-2022")</f>
        <v/>
      </c>
      <c r="AB158">
        <f>HYPERLINK("https://klasma.github.io/Logging_0980/tillsyn/A 31239-2022 tillsynsbegäran.docx", "A 31239-2022")</f>
        <v/>
      </c>
      <c r="AC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46223</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X159">
        <f>HYPERLINK("https://klasma.github.io/Logging_0980/kartor_geotiff/A 17354-2022 georefererad karta.tif", "A 17354-2022")</f>
        <v/>
      </c>
      <c r="Z159">
        <f>HYPERLINK("https://klasma.github.io/Logging_0980/klagomål/A 17354-2022 FSC-klagomål.docx", "A 17354-2022")</f>
        <v/>
      </c>
      <c r="AA159">
        <f>HYPERLINK("https://klasma.github.io/Logging_0980/klagomålsmail/A 17354-2022 FSC-klagomål mail.docx", "A 17354-2022")</f>
        <v/>
      </c>
      <c r="AB159">
        <f>HYPERLINK("https://klasma.github.io/Logging_0980/tillsyn/A 17354-2022 tillsynsbegäran.docx", "A 17354-2022")</f>
        <v/>
      </c>
      <c r="AC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46223</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s="2" t="inlineStr">
        <is>
          <t>Kalktallört</t>
        </is>
      </c>
      <c r="V160">
        <f>HYPERLINK("https://klasma.github.io/Logging_0980/artfynd/A 10218-2025 artfynd.xlsx", "A 10218-2025")</f>
        <v/>
      </c>
      <c r="W160">
        <f>HYPERLINK("https://klasma.github.io/Logging_0980/kartor/A 10218-2025 karta.png", "A 10218-2025")</f>
        <v/>
      </c>
      <c r="X160">
        <f>HYPERLINK("https://klasma.github.io/Logging_0980/kartor_geotiff/A 10218-2025 georefererad karta.tif", "A 10218-2025")</f>
        <v/>
      </c>
      <c r="Z160">
        <f>HYPERLINK("https://klasma.github.io/Logging_0980/klagomål/A 10218-2025 FSC-klagomål.docx", "A 10218-2025")</f>
        <v/>
      </c>
      <c r="AA160">
        <f>HYPERLINK("https://klasma.github.io/Logging_0980/klagomålsmail/A 10218-2025 FSC-klagomål mail.docx", "A 10218-2025")</f>
        <v/>
      </c>
      <c r="AB160">
        <f>HYPERLINK("https://klasma.github.io/Logging_0980/tillsyn/A 10218-2025 tillsynsbegäran.docx", "A 10218-2025")</f>
        <v/>
      </c>
      <c r="AC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46223</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s="2" t="inlineStr">
        <is>
          <t>Svinrot</t>
        </is>
      </c>
      <c r="V161">
        <f>HYPERLINK("https://klasma.github.io/Logging_0980/artfynd/A 12379-2024 artfynd.xlsx", "A 12379-2024")</f>
        <v/>
      </c>
      <c r="W161">
        <f>HYPERLINK("https://klasma.github.io/Logging_0980/kartor/A 12379-2024 karta.png", "A 12379-2024")</f>
        <v/>
      </c>
      <c r="X161">
        <f>HYPERLINK("https://klasma.github.io/Logging_0980/kartor_geotiff/A 12379-2024 georefererad karta.tif", "A 12379-2024")</f>
        <v/>
      </c>
      <c r="Z161">
        <f>HYPERLINK("https://klasma.github.io/Logging_0980/klagomål/A 12379-2024 FSC-klagomål.docx", "A 12379-2024")</f>
        <v/>
      </c>
      <c r="AA161">
        <f>HYPERLINK("https://klasma.github.io/Logging_0980/klagomålsmail/A 12379-2024 FSC-klagomål mail.docx", "A 12379-2024")</f>
        <v/>
      </c>
      <c r="AB161">
        <f>HYPERLINK("https://klasma.github.io/Logging_0980/tillsyn/A 12379-2024 tillsynsbegäran.docx", "A 12379-2024")</f>
        <v/>
      </c>
      <c r="AC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46223</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X162">
        <f>HYPERLINK("https://klasma.github.io/Logging_0980/kartor_geotiff/A 5751-2024 georefererad karta.tif", "A 5751-2024")</f>
        <v/>
      </c>
      <c r="Z162">
        <f>HYPERLINK("https://klasma.github.io/Logging_0980/klagomål/A 5751-2024 FSC-klagomål.docx", "A 5751-2024")</f>
        <v/>
      </c>
      <c r="AA162">
        <f>HYPERLINK("https://klasma.github.io/Logging_0980/klagomålsmail/A 5751-2024 FSC-klagomål mail.docx", "A 5751-2024")</f>
        <v/>
      </c>
      <c r="AB162">
        <f>HYPERLINK("https://klasma.github.io/Logging_0980/tillsyn/A 5751-2024 tillsynsbegäran.docx", "A 5751-2024")</f>
        <v/>
      </c>
      <c r="AC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46223</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s="2" t="inlineStr">
        <is>
          <t>Stjälkröksvamp</t>
        </is>
      </c>
      <c r="V163">
        <f>HYPERLINK("https://klasma.github.io/Logging_0980/artfynd/A 46189-2022 artfynd.xlsx", "A 46189-2022")</f>
        <v/>
      </c>
      <c r="W163">
        <f>HYPERLINK("https://klasma.github.io/Logging_0980/kartor/A 46189-2022 karta.png", "A 46189-2022")</f>
        <v/>
      </c>
      <c r="X163">
        <f>HYPERLINK("https://klasma.github.io/Logging_0980/kartor_geotiff/A 46189-2022 georefererad karta.tif", "A 46189-2022")</f>
        <v/>
      </c>
      <c r="Z163">
        <f>HYPERLINK("https://klasma.github.io/Logging_0980/klagomål/A 46189-2022 FSC-klagomål.docx", "A 46189-2022")</f>
        <v/>
      </c>
      <c r="AA163">
        <f>HYPERLINK("https://klasma.github.io/Logging_0980/klagomålsmail/A 46189-2022 FSC-klagomål mail.docx", "A 46189-2022")</f>
        <v/>
      </c>
      <c r="AB163">
        <f>HYPERLINK("https://klasma.github.io/Logging_0980/tillsyn/A 46189-2022 tillsynsbegäran.docx", "A 46189-2022")</f>
        <v/>
      </c>
      <c r="AC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46223</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X164">
        <f>HYPERLINK("https://klasma.github.io/Logging_0980/kartor_geotiff/A 27593-2023 georefererad karta.tif", "A 27593-2023")</f>
        <v/>
      </c>
      <c r="Z164">
        <f>HYPERLINK("https://klasma.github.io/Logging_0980/klagomål/A 27593-2023 FSC-klagomål.docx", "A 27593-2023")</f>
        <v/>
      </c>
      <c r="AA164">
        <f>HYPERLINK("https://klasma.github.io/Logging_0980/klagomålsmail/A 27593-2023 FSC-klagomål mail.docx", "A 27593-2023")</f>
        <v/>
      </c>
      <c r="AB164">
        <f>HYPERLINK("https://klasma.github.io/Logging_0980/tillsyn/A 27593-2023 tillsynsbegäran.docx", "A 27593-2023")</f>
        <v/>
      </c>
      <c r="AC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46223</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s="2" t="inlineStr">
        <is>
          <t>Nattviol</t>
        </is>
      </c>
      <c r="V165">
        <f>HYPERLINK("https://klasma.github.io/Logging_0980/artfynd/A 25977-2024 artfynd.xlsx", "A 25977-2024")</f>
        <v/>
      </c>
      <c r="W165">
        <f>HYPERLINK("https://klasma.github.io/Logging_0980/kartor/A 25977-2024 karta.png", "A 25977-2024")</f>
        <v/>
      </c>
      <c r="X165">
        <f>HYPERLINK("https://klasma.github.io/Logging_0980/kartor_geotiff/A 25977-2024 georefererad karta.tif", "A 25977-2024")</f>
        <v/>
      </c>
      <c r="Z165">
        <f>HYPERLINK("https://klasma.github.io/Logging_0980/klagomål/A 25977-2024 FSC-klagomål.docx", "A 25977-2024")</f>
        <v/>
      </c>
      <c r="AA165">
        <f>HYPERLINK("https://klasma.github.io/Logging_0980/klagomålsmail/A 25977-2024 FSC-klagomål mail.docx", "A 25977-2024")</f>
        <v/>
      </c>
      <c r="AB165">
        <f>HYPERLINK("https://klasma.github.io/Logging_0980/tillsyn/A 25977-2024 tillsynsbegäran.docx", "A 25977-2024")</f>
        <v/>
      </c>
      <c r="AC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46223</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X166">
        <f>HYPERLINK("https://klasma.github.io/Logging_0980/kartor_geotiff/A 6739-2025 georefererad karta.tif", "A 6739-2025")</f>
        <v/>
      </c>
      <c r="Z166">
        <f>HYPERLINK("https://klasma.github.io/Logging_0980/klagomål/A 6739-2025 FSC-klagomål.docx", "A 6739-2025")</f>
        <v/>
      </c>
      <c r="AA166">
        <f>HYPERLINK("https://klasma.github.io/Logging_0980/klagomålsmail/A 6739-2025 FSC-klagomål mail.docx", "A 6739-2025")</f>
        <v/>
      </c>
      <c r="AB166">
        <f>HYPERLINK("https://klasma.github.io/Logging_0980/tillsyn/A 6739-2025 tillsynsbegäran.docx", "A 6739-2025")</f>
        <v/>
      </c>
      <c r="AC166">
        <f>HYPERLINK("https://klasma.github.io/Logging_0980/tillsynsmail/A 6739-2025 tillsynsbegäran mail.docx", "A 6739-2025")</f>
        <v/>
      </c>
      <c r="AD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46223</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X167">
        <f>HYPERLINK("https://klasma.github.io/Logging_0980/kartor_geotiff/A 4568-2025 georefererad karta.tif", "A 4568-2025")</f>
        <v/>
      </c>
      <c r="Z167">
        <f>HYPERLINK("https://klasma.github.io/Logging_0980/klagomål/A 4568-2025 FSC-klagomål.docx", "A 4568-2025")</f>
        <v/>
      </c>
      <c r="AA167">
        <f>HYPERLINK("https://klasma.github.io/Logging_0980/klagomålsmail/A 4568-2025 FSC-klagomål mail.docx", "A 4568-2025")</f>
        <v/>
      </c>
      <c r="AB167">
        <f>HYPERLINK("https://klasma.github.io/Logging_0980/tillsyn/A 4568-2025 tillsynsbegäran.docx", "A 4568-2025")</f>
        <v/>
      </c>
      <c r="AC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46223</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X168">
        <f>HYPERLINK("https://klasma.github.io/Logging_0980/kartor_geotiff/A 61796-2022 georefererad karta.tif", "A 61796-2022")</f>
        <v/>
      </c>
      <c r="Z168">
        <f>HYPERLINK("https://klasma.github.io/Logging_0980/klagomål/A 61796-2022 FSC-klagomål.docx", "A 61796-2022")</f>
        <v/>
      </c>
      <c r="AA168">
        <f>HYPERLINK("https://klasma.github.io/Logging_0980/klagomålsmail/A 61796-2022 FSC-klagomål mail.docx", "A 61796-2022")</f>
        <v/>
      </c>
      <c r="AB168">
        <f>HYPERLINK("https://klasma.github.io/Logging_0980/tillsyn/A 61796-2022 tillsynsbegäran.docx", "A 61796-2022")</f>
        <v/>
      </c>
      <c r="AC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46223</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X169">
        <f>HYPERLINK("https://klasma.github.io/Logging_0980/kartor_geotiff/A 29809-2022 georefererad karta.tif", "A 29809-2022")</f>
        <v/>
      </c>
      <c r="Z169">
        <f>HYPERLINK("https://klasma.github.io/Logging_0980/klagomål/A 29809-2022 FSC-klagomål.docx", "A 29809-2022")</f>
        <v/>
      </c>
      <c r="AA169">
        <f>HYPERLINK("https://klasma.github.io/Logging_0980/klagomålsmail/A 29809-2022 FSC-klagomål mail.docx", "A 29809-2022")</f>
        <v/>
      </c>
      <c r="AB169">
        <f>HYPERLINK("https://klasma.github.io/Logging_0980/tillsyn/A 29809-2022 tillsynsbegäran.docx", "A 29809-2022")</f>
        <v/>
      </c>
      <c r="AC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46223</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X170">
        <f>HYPERLINK("https://klasma.github.io/Logging_0980/kartor_geotiff/A 15637-2024 georefererad karta.tif", "A 15637-2024")</f>
        <v/>
      </c>
      <c r="Z170">
        <f>HYPERLINK("https://klasma.github.io/Logging_0980/klagomål/A 15637-2024 FSC-klagomål.docx", "A 15637-2024")</f>
        <v/>
      </c>
      <c r="AA170">
        <f>HYPERLINK("https://klasma.github.io/Logging_0980/klagomålsmail/A 15637-2024 FSC-klagomål mail.docx", "A 15637-2024")</f>
        <v/>
      </c>
      <c r="AB170">
        <f>HYPERLINK("https://klasma.github.io/Logging_0980/tillsyn/A 15637-2024 tillsynsbegäran.docx", "A 15637-2024")</f>
        <v/>
      </c>
      <c r="AC170">
        <f>HYPERLINK("https://klasma.github.io/Logging_0980/tillsynsmail/A 15637-2024 tillsynsbegäran mail.docx", "A 15637-2024")</f>
        <v/>
      </c>
    </row>
    <row r="171" ht="15" customHeight="1">
      <c r="A171" t="inlineStr">
        <is>
          <t>A 34141-2024</t>
        </is>
      </c>
      <c r="B171" t="inlineStr">
        <is>
          <t>avverkningsanmälan</t>
        </is>
      </c>
      <c r="C171" t="inlineStr">
        <is>
          <t>Föryngringsavverkning</t>
        </is>
      </c>
      <c r="D171" s="1" t="n">
        <v>45524</v>
      </c>
      <c r="E171" s="1" t="n">
        <v>46223</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s="2" t="inlineStr">
        <is>
          <t>Strävlosta</t>
        </is>
      </c>
      <c r="V171">
        <f>HYPERLINK("https://klasma.github.io/Logging_0980/artfynd/A 34141-2024 artfynd.xlsx", "A 34141-2024")</f>
        <v/>
      </c>
      <c r="W171">
        <f>HYPERLINK("https://klasma.github.io/Logging_0980/kartor/A 34141-2024 karta.png", "A 34141-2024")</f>
        <v/>
      </c>
      <c r="X171">
        <f>HYPERLINK("https://klasma.github.io/Logging_0980/kartor_geotiff/A 34141-2024 georefererad karta.tif", "A 34141-2024")</f>
        <v/>
      </c>
      <c r="Z171">
        <f>HYPERLINK("https://klasma.github.io/Logging_0980/klagomål/A 34141-2024 FSC-klagomål.docx", "A 34141-2024")</f>
        <v/>
      </c>
      <c r="AA171">
        <f>HYPERLINK("https://klasma.github.io/Logging_0980/klagomålsmail/A 34141-2024 FSC-klagomål mail.docx", "A 34141-2024")</f>
        <v/>
      </c>
      <c r="AB171">
        <f>HYPERLINK("https://klasma.github.io/Logging_0980/tillsyn/A 34141-2024 tillsynsbegäran.docx", "A 34141-2024")</f>
        <v/>
      </c>
      <c r="AC171">
        <f>HYPERLINK("https://klasma.github.io/Logging_0980/tillsynsmail/A 34141-2024 tillsynsbegäran mail.docx", "A 34141-2024")</f>
        <v/>
      </c>
    </row>
    <row r="172" ht="15" customHeight="1">
      <c r="A172" t="inlineStr">
        <is>
          <t>A 9862-2024</t>
        </is>
      </c>
      <c r="B172" t="inlineStr">
        <is>
          <t>avverkningsanmälan</t>
        </is>
      </c>
      <c r="C172" t="inlineStr">
        <is>
          <t>Föryngringsavverkning</t>
        </is>
      </c>
      <c r="D172" s="1" t="n">
        <v>45363</v>
      </c>
      <c r="E172" s="1" t="n">
        <v>46223</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X172">
        <f>HYPERLINK("https://klasma.github.io/Logging_0980/kartor_geotiff/A 9862-2024 georefererad karta.tif", "A 9862-2024")</f>
        <v/>
      </c>
      <c r="Z172">
        <f>HYPERLINK("https://klasma.github.io/Logging_0980/klagomål/A 9862-2024 FSC-klagomål.docx", "A 9862-2024")</f>
        <v/>
      </c>
      <c r="AA172">
        <f>HYPERLINK("https://klasma.github.io/Logging_0980/klagomålsmail/A 9862-2024 FSC-klagomål mail.docx", "A 9862-2024")</f>
        <v/>
      </c>
      <c r="AB172">
        <f>HYPERLINK("https://klasma.github.io/Logging_0980/tillsyn/A 9862-2024 tillsynsbegäran.docx", "A 9862-2024")</f>
        <v/>
      </c>
      <c r="AC172">
        <f>HYPERLINK("https://klasma.github.io/Logging_0980/tillsynsmail/A 9862-2024 tillsynsbegäran mail.docx", "A 9862-2024")</f>
        <v/>
      </c>
    </row>
    <row r="173" ht="15" customHeight="1">
      <c r="A173" t="inlineStr">
        <is>
          <t>A 7042-2023</t>
        </is>
      </c>
      <c r="B173" t="inlineStr">
        <is>
          <t>avverkningsanmälan</t>
        </is>
      </c>
      <c r="C173" t="inlineStr">
        <is>
          <t>Föryngringsavverkning</t>
        </is>
      </c>
      <c r="D173" s="1" t="n">
        <v>44968</v>
      </c>
      <c r="E173" s="1" t="n">
        <v>46223</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s="2" t="inlineStr">
        <is>
          <t>Purpurknipprot</t>
        </is>
      </c>
      <c r="V173">
        <f>HYPERLINK("https://klasma.github.io/Logging_0980/artfynd/A 7042-2023 artfynd.xlsx", "A 7042-2023")</f>
        <v/>
      </c>
      <c r="W173">
        <f>HYPERLINK("https://klasma.github.io/Logging_0980/kartor/A 7042-2023 karta.png", "A 7042-2023")</f>
        <v/>
      </c>
      <c r="X173">
        <f>HYPERLINK("https://klasma.github.io/Logging_0980/kartor_geotiff/A 7042-2023 georefererad karta.tif", "A 7042-2023")</f>
        <v/>
      </c>
      <c r="Z173">
        <f>HYPERLINK("https://klasma.github.io/Logging_0980/klagomål/A 7042-2023 FSC-klagomål.docx", "A 7042-2023")</f>
        <v/>
      </c>
      <c r="AA173">
        <f>HYPERLINK("https://klasma.github.io/Logging_0980/klagomålsmail/A 7042-2023 FSC-klagomål mail.docx", "A 7042-2023")</f>
        <v/>
      </c>
      <c r="AB173">
        <f>HYPERLINK("https://klasma.github.io/Logging_0980/tillsyn/A 7042-2023 tillsynsbegäran.docx", "A 7042-2023")</f>
        <v/>
      </c>
      <c r="AC173">
        <f>HYPERLINK("https://klasma.github.io/Logging_0980/tillsynsmail/A 7042-2023 tillsynsbegäran mail.docx", "A 7042-2023")</f>
        <v/>
      </c>
    </row>
    <row r="174" ht="15" customHeight="1">
      <c r="A174" t="inlineStr">
        <is>
          <t>A 30104-2025</t>
        </is>
      </c>
      <c r="B174" t="inlineStr">
        <is>
          <t>avverkningsanmälan</t>
        </is>
      </c>
      <c r="C174" t="inlineStr">
        <is>
          <t>Föryngringsavverkning</t>
        </is>
      </c>
      <c r="D174" s="1" t="n">
        <v>45826</v>
      </c>
      <c r="E174" s="1" t="n">
        <v>46223</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X174">
        <f>HYPERLINK("https://klasma.github.io/Logging_0980/kartor_geotiff/A 30104-2025 georefererad karta.tif", "A 30104-2025")</f>
        <v/>
      </c>
      <c r="Z174">
        <f>HYPERLINK("https://klasma.github.io/Logging_0980/klagomål/A 30104-2025 FSC-klagomål.docx", "A 30104-2025")</f>
        <v/>
      </c>
      <c r="AA174">
        <f>HYPERLINK("https://klasma.github.io/Logging_0980/klagomålsmail/A 30104-2025 FSC-klagomål mail.docx", "A 30104-2025")</f>
        <v/>
      </c>
      <c r="AB174">
        <f>HYPERLINK("https://klasma.github.io/Logging_0980/tillsyn/A 30104-2025 tillsynsbegäran.docx", "A 30104-2025")</f>
        <v/>
      </c>
      <c r="AC174">
        <f>HYPERLINK("https://klasma.github.io/Logging_0980/tillsynsmail/A 30104-2025 tillsynsbegäran mail.docx", "A 30104-2025")</f>
        <v/>
      </c>
    </row>
    <row r="175" ht="15" customHeight="1">
      <c r="A175" t="inlineStr">
        <is>
          <t>A 63229-2021</t>
        </is>
      </c>
      <c r="B175" t="inlineStr">
        <is>
          <t>avverkningsanmälan</t>
        </is>
      </c>
      <c r="C175" t="inlineStr">
        <is>
          <t>Föryngringsavverkning</t>
        </is>
      </c>
      <c r="D175" s="1" t="n">
        <v>44508</v>
      </c>
      <c r="E175" s="1" t="n">
        <v>46223</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s="2" t="inlineStr">
        <is>
          <t>Backtimjan</t>
        </is>
      </c>
      <c r="V175">
        <f>HYPERLINK("https://klasma.github.io/Logging_0980/artfynd/A 63229-2021 artfynd.xlsx", "A 63229-2021")</f>
        <v/>
      </c>
      <c r="W175">
        <f>HYPERLINK("https://klasma.github.io/Logging_0980/kartor/A 63229-2021 karta.png", "A 63229-2021")</f>
        <v/>
      </c>
      <c r="X175">
        <f>HYPERLINK("https://klasma.github.io/Logging_0980/kartor_geotiff/A 63229-2021 georefererad karta.tif", "A 63229-2021")</f>
        <v/>
      </c>
      <c r="Z175">
        <f>HYPERLINK("https://klasma.github.io/Logging_0980/klagomål/A 63229-2021 FSC-klagomål.docx", "A 63229-2021")</f>
        <v/>
      </c>
      <c r="AA175">
        <f>HYPERLINK("https://klasma.github.io/Logging_0980/klagomålsmail/A 63229-2021 FSC-klagomål mail.docx", "A 63229-2021")</f>
        <v/>
      </c>
      <c r="AB175">
        <f>HYPERLINK("https://klasma.github.io/Logging_0980/tillsyn/A 63229-2021 tillsynsbegäran.docx", "A 63229-2021")</f>
        <v/>
      </c>
      <c r="AC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46223</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X176">
        <f>HYPERLINK("https://klasma.github.io/Logging_0980/kartor_geotiff/A 30489-2025 georefererad karta.tif", "A 30489-2025")</f>
        <v/>
      </c>
      <c r="Z176">
        <f>HYPERLINK("https://klasma.github.io/Logging_0980/klagomål/A 30489-2025 FSC-klagomål.docx", "A 30489-2025")</f>
        <v/>
      </c>
      <c r="AA176">
        <f>HYPERLINK("https://klasma.github.io/Logging_0980/klagomålsmail/A 30489-2025 FSC-klagomål mail.docx", "A 30489-2025")</f>
        <v/>
      </c>
      <c r="AB176">
        <f>HYPERLINK("https://klasma.github.io/Logging_0980/tillsyn/A 30489-2025 tillsynsbegäran.docx", "A 30489-2025")</f>
        <v/>
      </c>
      <c r="AC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46223</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s="2" t="inlineStr">
        <is>
          <t>Violettfläckig spindling</t>
        </is>
      </c>
      <c r="V177">
        <f>HYPERLINK("https://klasma.github.io/Logging_0980/artfynd/A 10995-2023 artfynd.xlsx", "A 10995-2023")</f>
        <v/>
      </c>
      <c r="W177">
        <f>HYPERLINK("https://klasma.github.io/Logging_0980/kartor/A 10995-2023 karta.png", "A 10995-2023")</f>
        <v/>
      </c>
      <c r="X177">
        <f>HYPERLINK("https://klasma.github.io/Logging_0980/kartor_geotiff/A 10995-2023 georefererad karta.tif", "A 10995-2023")</f>
        <v/>
      </c>
      <c r="Z177">
        <f>HYPERLINK("https://klasma.github.io/Logging_0980/klagomål/A 10995-2023 FSC-klagomål.docx", "A 10995-2023")</f>
        <v/>
      </c>
      <c r="AA177">
        <f>HYPERLINK("https://klasma.github.io/Logging_0980/klagomålsmail/A 10995-2023 FSC-klagomål mail.docx", "A 10995-2023")</f>
        <v/>
      </c>
      <c r="AB177">
        <f>HYPERLINK("https://klasma.github.io/Logging_0980/tillsyn/A 10995-2023 tillsynsbegäran.docx", "A 10995-2023")</f>
        <v/>
      </c>
      <c r="AC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46223</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s="2" t="inlineStr">
        <is>
          <t>Äggspindling</t>
        </is>
      </c>
      <c r="V178">
        <f>HYPERLINK("https://klasma.github.io/Logging_0980/artfynd/A 62552-2022 artfynd.xlsx", "A 62552-2022")</f>
        <v/>
      </c>
      <c r="W178">
        <f>HYPERLINK("https://klasma.github.io/Logging_0980/kartor/A 62552-2022 karta.png", "A 62552-2022")</f>
        <v/>
      </c>
      <c r="X178">
        <f>HYPERLINK("https://klasma.github.io/Logging_0980/kartor_geotiff/A 62552-2022 georefererad karta.tif", "A 62552-2022")</f>
        <v/>
      </c>
      <c r="Z178">
        <f>HYPERLINK("https://klasma.github.io/Logging_0980/klagomål/A 62552-2022 FSC-klagomål.docx", "A 62552-2022")</f>
        <v/>
      </c>
      <c r="AA178">
        <f>HYPERLINK("https://klasma.github.io/Logging_0980/klagomålsmail/A 62552-2022 FSC-klagomål mail.docx", "A 62552-2022")</f>
        <v/>
      </c>
      <c r="AB178">
        <f>HYPERLINK("https://klasma.github.io/Logging_0980/tillsyn/A 62552-2022 tillsynsbegäran.docx", "A 62552-2022")</f>
        <v/>
      </c>
      <c r="AC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46223</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s="2" t="inlineStr">
        <is>
          <t>Strävlosta</t>
        </is>
      </c>
      <c r="V179">
        <f>HYPERLINK("https://klasma.github.io/Logging_0980/artfynd/A 44088-2022 artfynd.xlsx", "A 44088-2022")</f>
        <v/>
      </c>
      <c r="W179">
        <f>HYPERLINK("https://klasma.github.io/Logging_0980/kartor/A 44088-2022 karta.png", "A 44088-2022")</f>
        <v/>
      </c>
      <c r="X179">
        <f>HYPERLINK("https://klasma.github.io/Logging_0980/kartor_geotiff/A 44088-2022 georefererad karta.tif", "A 44088-2022")</f>
        <v/>
      </c>
      <c r="Z179">
        <f>HYPERLINK("https://klasma.github.io/Logging_0980/klagomål/A 44088-2022 FSC-klagomål.docx", "A 44088-2022")</f>
        <v/>
      </c>
      <c r="AA179">
        <f>HYPERLINK("https://klasma.github.io/Logging_0980/klagomålsmail/A 44088-2022 FSC-klagomål mail.docx", "A 44088-2022")</f>
        <v/>
      </c>
      <c r="AB179">
        <f>HYPERLINK("https://klasma.github.io/Logging_0980/tillsyn/A 44088-2022 tillsynsbegäran.docx", "A 44088-2022")</f>
        <v/>
      </c>
      <c r="AC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46223</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s="2" t="inlineStr">
        <is>
          <t>Vit taggsvamp</t>
        </is>
      </c>
      <c r="V180">
        <f>HYPERLINK("https://klasma.github.io/Logging_0980/artfynd/A 49693-2023 artfynd.xlsx", "A 49693-2023")</f>
        <v/>
      </c>
      <c r="W180">
        <f>HYPERLINK("https://klasma.github.io/Logging_0980/kartor/A 49693-2023 karta.png", "A 49693-2023")</f>
        <v/>
      </c>
      <c r="X180">
        <f>HYPERLINK("https://klasma.github.io/Logging_0980/kartor_geotiff/A 49693-2023 georefererad karta.tif", "A 49693-2023")</f>
        <v/>
      </c>
      <c r="Z180">
        <f>HYPERLINK("https://klasma.github.io/Logging_0980/klagomål/A 49693-2023 FSC-klagomål.docx", "A 49693-2023")</f>
        <v/>
      </c>
      <c r="AA180">
        <f>HYPERLINK("https://klasma.github.io/Logging_0980/klagomålsmail/A 49693-2023 FSC-klagomål mail.docx", "A 49693-2023")</f>
        <v/>
      </c>
      <c r="AB180">
        <f>HYPERLINK("https://klasma.github.io/Logging_0980/tillsyn/A 49693-2023 tillsynsbegäran.docx", "A 49693-2023")</f>
        <v/>
      </c>
      <c r="AC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46223</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s="2" t="inlineStr">
        <is>
          <t>Sårläka</t>
        </is>
      </c>
      <c r="V181">
        <f>HYPERLINK("https://klasma.github.io/Logging_0980/artfynd/A 69112-2021 artfynd.xlsx", "A 69112-2021")</f>
        <v/>
      </c>
      <c r="W181">
        <f>HYPERLINK("https://klasma.github.io/Logging_0980/kartor/A 69112-2021 karta.png", "A 69112-2021")</f>
        <v/>
      </c>
      <c r="X181">
        <f>HYPERLINK("https://klasma.github.io/Logging_0980/kartor_geotiff/A 69112-2021 georefererad karta.tif", "A 69112-2021")</f>
        <v/>
      </c>
      <c r="Z181">
        <f>HYPERLINK("https://klasma.github.io/Logging_0980/klagomål/A 69112-2021 FSC-klagomål.docx", "A 69112-2021")</f>
        <v/>
      </c>
      <c r="AA181">
        <f>HYPERLINK("https://klasma.github.io/Logging_0980/klagomålsmail/A 69112-2021 FSC-klagomål mail.docx", "A 69112-2021")</f>
        <v/>
      </c>
      <c r="AB181">
        <f>HYPERLINK("https://klasma.github.io/Logging_0980/tillsyn/A 69112-2021 tillsynsbegäran.docx", "A 69112-2021")</f>
        <v/>
      </c>
      <c r="AC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46223</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s="2" t="inlineStr">
        <is>
          <t>Äggspindling</t>
        </is>
      </c>
      <c r="V182">
        <f>HYPERLINK("https://klasma.github.io/Logging_0980/artfynd/A 447-2023 artfynd.xlsx", "A 447-2023")</f>
        <v/>
      </c>
      <c r="W182">
        <f>HYPERLINK("https://klasma.github.io/Logging_0980/kartor/A 447-2023 karta.png", "A 447-2023")</f>
        <v/>
      </c>
      <c r="X182">
        <f>HYPERLINK("https://klasma.github.io/Logging_0980/kartor_geotiff/A 447-2023 georefererad karta.tif", "A 447-2023")</f>
        <v/>
      </c>
      <c r="Z182">
        <f>HYPERLINK("https://klasma.github.io/Logging_0980/klagomål/A 447-2023 FSC-klagomål.docx", "A 447-2023")</f>
        <v/>
      </c>
      <c r="AA182">
        <f>HYPERLINK("https://klasma.github.io/Logging_0980/klagomålsmail/A 447-2023 FSC-klagomål mail.docx", "A 447-2023")</f>
        <v/>
      </c>
      <c r="AB182">
        <f>HYPERLINK("https://klasma.github.io/Logging_0980/tillsyn/A 447-2023 tillsynsbegäran.docx", "A 447-2023")</f>
        <v/>
      </c>
      <c r="AC182">
        <f>HYPERLINK("https://klasma.github.io/Logging_0980/tillsynsmail/A 447-2023 tillsynsbegäran mail.docx", "A 447-2023")</f>
        <v/>
      </c>
    </row>
    <row r="183" ht="15" customHeight="1">
      <c r="A183" t="inlineStr">
        <is>
          <t>A 13482-2026</t>
        </is>
      </c>
      <c r="B183" t="inlineStr">
        <is>
          <t>avverkningsanmälan</t>
        </is>
      </c>
      <c r="C183" t="inlineStr">
        <is>
          <t>Föryngringsavverkning</t>
        </is>
      </c>
      <c r="D183" s="1" t="n">
        <v>46094</v>
      </c>
      <c r="E183" s="1" t="n">
        <v>46223</v>
      </c>
      <c r="F183" t="inlineStr">
        <is>
          <t>GOTLANDS LÄN</t>
        </is>
      </c>
      <c r="G183" t="inlineStr">
        <is>
          <t>GOTLAND</t>
        </is>
      </c>
      <c r="I183" t="n">
        <v>1.7</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HYPERLINK("https://klasma.github.io/Logging_0980/artfynd/A 13482-2026 artfynd.xlsx", "A 13482-2026")</f>
        <v/>
      </c>
      <c r="W183">
        <f>HYPERLINK("https://klasma.github.io/Logging_0980/kartor/A 13482-2026 karta.png", "A 13482-2026")</f>
        <v/>
      </c>
      <c r="X183">
        <f>HYPERLINK("https://klasma.github.io/Logging_0980/kartor_geotiff/A 13482-2026 georefererad karta.tif", "A 13482-2026")</f>
        <v/>
      </c>
      <c r="Z183">
        <f>HYPERLINK("https://klasma.github.io/Logging_0980/klagomål/A 13482-2026 FSC-klagomål.docx", "A 13482-2026")</f>
        <v/>
      </c>
      <c r="AA183">
        <f>HYPERLINK("https://klasma.github.io/Logging_0980/klagomålsmail/A 13482-2026 FSC-klagomål mail.docx", "A 13482-2026")</f>
        <v/>
      </c>
      <c r="AB183">
        <f>HYPERLINK("https://klasma.github.io/Logging_0980/tillsyn/A 13482-2026 tillsynsbegäran.docx", "A 13482-2026")</f>
        <v/>
      </c>
      <c r="AC183">
        <f>HYPERLINK("https://klasma.github.io/Logging_0980/tillsynsmail/A 13482-2026 tillsynsbegäran mail.docx", "A 13482-2026")</f>
        <v/>
      </c>
      <c r="AD183">
        <f>HYPERLINK("https://klasma.github.io/Logging_0980/fåglar/A 13482-2026 prioriterade fågelarter.docx", "A 13482-2026")</f>
        <v/>
      </c>
    </row>
    <row r="184" ht="15" customHeight="1">
      <c r="A184" t="inlineStr">
        <is>
          <t>A 947-2023</t>
        </is>
      </c>
      <c r="B184" t="inlineStr">
        <is>
          <t>avverkningsanmälan</t>
        </is>
      </c>
      <c r="C184" t="inlineStr">
        <is>
          <t>Föryngringsavverkning</t>
        </is>
      </c>
      <c r="D184" s="1" t="n">
        <v>44934</v>
      </c>
      <c r="E184" s="1" t="n">
        <v>46223</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s="2" t="inlineStr">
        <is>
          <t>Garderönn</t>
        </is>
      </c>
      <c r="V184">
        <f>HYPERLINK("https://klasma.github.io/Logging_0980/artfynd/A 947-2023 artfynd.xlsx", "A 947-2023")</f>
        <v/>
      </c>
      <c r="W184">
        <f>HYPERLINK("https://klasma.github.io/Logging_0980/kartor/A 947-2023 karta.png", "A 947-2023")</f>
        <v/>
      </c>
      <c r="X184">
        <f>HYPERLINK("https://klasma.github.io/Logging_0980/kartor_geotiff/A 947-2023 georefererad karta.tif", "A 947-2023")</f>
        <v/>
      </c>
      <c r="Z184">
        <f>HYPERLINK("https://klasma.github.io/Logging_0980/klagomål/A 947-2023 FSC-klagomål.docx", "A 947-2023")</f>
        <v/>
      </c>
      <c r="AA184">
        <f>HYPERLINK("https://klasma.github.io/Logging_0980/klagomålsmail/A 947-2023 FSC-klagomål mail.docx", "A 947-2023")</f>
        <v/>
      </c>
      <c r="AB184">
        <f>HYPERLINK("https://klasma.github.io/Logging_0980/tillsyn/A 947-2023 tillsynsbegäran.docx", "A 947-2023")</f>
        <v/>
      </c>
      <c r="AC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46223</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s="2" t="inlineStr">
        <is>
          <t>Åkerranunkel</t>
        </is>
      </c>
      <c r="V185">
        <f>HYPERLINK("https://klasma.github.io/Logging_0980/artfynd/A 49304-2024 artfynd.xlsx", "A 49304-2024")</f>
        <v/>
      </c>
      <c r="W185">
        <f>HYPERLINK("https://klasma.github.io/Logging_0980/kartor/A 49304-2024 karta.png", "A 49304-2024")</f>
        <v/>
      </c>
      <c r="X185">
        <f>HYPERLINK("https://klasma.github.io/Logging_0980/kartor_geotiff/A 49304-2024 georefererad karta.tif", "A 49304-2024")</f>
        <v/>
      </c>
      <c r="Z185">
        <f>HYPERLINK("https://klasma.github.io/Logging_0980/klagomål/A 49304-2024 FSC-klagomål.docx", "A 49304-2024")</f>
        <v/>
      </c>
      <c r="AA185">
        <f>HYPERLINK("https://klasma.github.io/Logging_0980/klagomålsmail/A 49304-2024 FSC-klagomål mail.docx", "A 49304-2024")</f>
        <v/>
      </c>
      <c r="AB185">
        <f>HYPERLINK("https://klasma.github.io/Logging_0980/tillsyn/A 49304-2024 tillsynsbegäran.docx", "A 49304-2024")</f>
        <v/>
      </c>
      <c r="AC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46223</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s="2" t="inlineStr">
        <is>
          <t>Källnate</t>
        </is>
      </c>
      <c r="V186">
        <f>HYPERLINK("https://klasma.github.io/Logging_0980/artfynd/A 46545-2024 artfynd.xlsx", "A 46545-2024")</f>
        <v/>
      </c>
      <c r="W186">
        <f>HYPERLINK("https://klasma.github.io/Logging_0980/kartor/A 46545-2024 karta.png", "A 46545-2024")</f>
        <v/>
      </c>
      <c r="X186">
        <f>HYPERLINK("https://klasma.github.io/Logging_0980/kartor_geotiff/A 46545-2024 georefererad karta.tif", "A 46545-2024")</f>
        <v/>
      </c>
      <c r="Z186">
        <f>HYPERLINK("https://klasma.github.io/Logging_0980/klagomål/A 46545-2024 FSC-klagomål.docx", "A 46545-2024")</f>
        <v/>
      </c>
      <c r="AA186">
        <f>HYPERLINK("https://klasma.github.io/Logging_0980/klagomålsmail/A 46545-2024 FSC-klagomål mail.docx", "A 46545-2024")</f>
        <v/>
      </c>
      <c r="AB186">
        <f>HYPERLINK("https://klasma.github.io/Logging_0980/tillsyn/A 46545-2024 tillsynsbegäran.docx", "A 46545-2024")</f>
        <v/>
      </c>
      <c r="AC186">
        <f>HYPERLINK("https://klasma.github.io/Logging_0980/tillsynsmail/A 46545-2024 tillsynsbegäran mail.docx", "A 46545-2024")</f>
        <v/>
      </c>
    </row>
    <row r="187" ht="15" customHeight="1">
      <c r="A187" t="inlineStr">
        <is>
          <t>A 64700-2021</t>
        </is>
      </c>
      <c r="B187" t="inlineStr">
        <is>
          <t>avverkningsanmälan</t>
        </is>
      </c>
      <c r="C187" t="inlineStr">
        <is>
          <t>Avverkning för att bevara och utveckla /försöksver</t>
        </is>
      </c>
      <c r="D187" s="1" t="n">
        <v>44511</v>
      </c>
      <c r="E187" s="1" t="n">
        <v>46223</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s="2" t="inlineStr">
        <is>
          <t>Kalkdån</t>
        </is>
      </c>
      <c r="V187">
        <f>HYPERLINK("https://klasma.github.io/Logging_0980/artfynd/A 64700-2021 artfynd.xlsx", "A 64700-2021")</f>
        <v/>
      </c>
      <c r="W187">
        <f>HYPERLINK("https://klasma.github.io/Logging_0980/kartor/A 64700-2021 karta.png", "A 64700-2021")</f>
        <v/>
      </c>
      <c r="X187">
        <f>HYPERLINK("https://klasma.github.io/Logging_0980/kartor_geotiff/A 64700-2021 georefererad karta.tif", "A 64700-2021")</f>
        <v/>
      </c>
      <c r="Z187">
        <f>HYPERLINK("https://klasma.github.io/Logging_0980/klagomål/A 64700-2021 FSC-klagomål.docx", "A 64700-2021")</f>
        <v/>
      </c>
      <c r="AA187">
        <f>HYPERLINK("https://klasma.github.io/Logging_0980/klagomålsmail/A 64700-2021 FSC-klagomål mail.docx", "A 64700-2021")</f>
        <v/>
      </c>
      <c r="AB187">
        <f>HYPERLINK("https://klasma.github.io/Logging_0980/tillsyn/A 64700-2021 tillsynsbegäran.docx", "A 64700-2021")</f>
        <v/>
      </c>
      <c r="AC187">
        <f>HYPERLINK("https://klasma.github.io/Logging_0980/tillsynsmail/A 64700-2021 tillsynsbegäran mail.docx", "A 64700-2021")</f>
        <v/>
      </c>
    </row>
    <row r="188" ht="15" customHeight="1">
      <c r="A188" t="inlineStr">
        <is>
          <t>A 62915-2021</t>
        </is>
      </c>
      <c r="B188" t="inlineStr">
        <is>
          <t>avverkningsanmälan</t>
        </is>
      </c>
      <c r="C188" t="inlineStr">
        <is>
          <t>Föryngringsavverkning</t>
        </is>
      </c>
      <c r="D188" s="1" t="n">
        <v>44504</v>
      </c>
      <c r="E188" s="1" t="n">
        <v>46223</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s="2" t="inlineStr">
        <is>
          <t>Bredarun</t>
        </is>
      </c>
      <c r="V188">
        <f>HYPERLINK("https://klasma.github.io/Logging_0980/artfynd/A 62915-2021 artfynd.xlsx", "A 62915-2021")</f>
        <v/>
      </c>
      <c r="W188">
        <f>HYPERLINK("https://klasma.github.io/Logging_0980/kartor/A 62915-2021 karta.png", "A 62915-2021")</f>
        <v/>
      </c>
      <c r="X188">
        <f>HYPERLINK("https://klasma.github.io/Logging_0980/kartor_geotiff/A 62915-2021 georefererad karta.tif", "A 62915-2021")</f>
        <v/>
      </c>
      <c r="Z188">
        <f>HYPERLINK("https://klasma.github.io/Logging_0980/klagomål/A 62915-2021 FSC-klagomål.docx", "A 62915-2021")</f>
        <v/>
      </c>
      <c r="AA188">
        <f>HYPERLINK("https://klasma.github.io/Logging_0980/klagomålsmail/A 62915-2021 FSC-klagomål mail.docx", "A 62915-2021")</f>
        <v/>
      </c>
      <c r="AB188">
        <f>HYPERLINK("https://klasma.github.io/Logging_0980/tillsyn/A 62915-2021 tillsynsbegäran.docx", "A 62915-2021")</f>
        <v/>
      </c>
      <c r="AC188">
        <f>HYPERLINK("https://klasma.github.io/Logging_0980/tillsynsmail/A 62915-2021 tillsynsbegäran mail.docx", "A 62915-2021")</f>
        <v/>
      </c>
    </row>
    <row r="189" ht="15" customHeight="1">
      <c r="A189" t="inlineStr">
        <is>
          <t>A 4662-2026</t>
        </is>
      </c>
      <c r="B189" t="inlineStr">
        <is>
          <t>avverkningsanmälan</t>
        </is>
      </c>
      <c r="C189" t="inlineStr">
        <is>
          <t>Föryngringsavverkning</t>
        </is>
      </c>
      <c r="D189" s="1" t="n">
        <v>46048</v>
      </c>
      <c r="E189" s="1" t="n">
        <v>46223</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s="2" t="inlineStr">
        <is>
          <t>Strandviol</t>
        </is>
      </c>
      <c r="V189">
        <f>HYPERLINK("https://klasma.github.io/Logging_0980/artfynd/A 4662-2026 artfynd.xlsx", "A 4662-2026")</f>
        <v/>
      </c>
      <c r="W189">
        <f>HYPERLINK("https://klasma.github.io/Logging_0980/kartor/A 4662-2026 karta.png", "A 4662-2026")</f>
        <v/>
      </c>
      <c r="X189">
        <f>HYPERLINK("https://klasma.github.io/Logging_0980/kartor_geotiff/A 4662-2026 georefererad karta.tif", "A 4662-2026")</f>
        <v/>
      </c>
      <c r="Z189">
        <f>HYPERLINK("https://klasma.github.io/Logging_0980/klagomål/A 4662-2026 FSC-klagomål.docx", "A 4662-2026")</f>
        <v/>
      </c>
      <c r="AA189">
        <f>HYPERLINK("https://klasma.github.io/Logging_0980/klagomålsmail/A 4662-2026 FSC-klagomål mail.docx", "A 4662-2026")</f>
        <v/>
      </c>
      <c r="AB189">
        <f>HYPERLINK("https://klasma.github.io/Logging_0980/tillsyn/A 4662-2026 tillsynsbegäran.docx", "A 4662-2026")</f>
        <v/>
      </c>
      <c r="AC189">
        <f>HYPERLINK("https://klasma.github.io/Logging_0980/tillsynsmail/A 4662-2026 tillsynsbegäran mail.docx", "A 4662-2026")</f>
        <v/>
      </c>
    </row>
    <row r="190" ht="15" customHeight="1">
      <c r="A190" t="inlineStr">
        <is>
          <t>A 1477-2024</t>
        </is>
      </c>
      <c r="B190" t="inlineStr">
        <is>
          <t>avverkningsanmälan</t>
        </is>
      </c>
      <c r="C190" t="inlineStr">
        <is>
          <t>Föryngringsavverkning</t>
        </is>
      </c>
      <c r="D190" s="1" t="n">
        <v>45305</v>
      </c>
      <c r="E190" s="1" t="n">
        <v>46223</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X190">
        <f>HYPERLINK("https://klasma.github.io/Logging_0980/kartor_geotiff/A 1477-2024 georefererad karta.tif", "A 1477-2024")</f>
        <v/>
      </c>
      <c r="Z190">
        <f>HYPERLINK("https://klasma.github.io/Logging_0980/klagomål/A 1477-2024 FSC-klagomål.docx", "A 1477-2024")</f>
        <v/>
      </c>
      <c r="AA190">
        <f>HYPERLINK("https://klasma.github.io/Logging_0980/klagomålsmail/A 1477-2024 FSC-klagomål mail.docx", "A 1477-2024")</f>
        <v/>
      </c>
      <c r="AB190">
        <f>HYPERLINK("https://klasma.github.io/Logging_0980/tillsyn/A 1477-2024 tillsynsbegäran.docx", "A 1477-2024")</f>
        <v/>
      </c>
      <c r="AC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46223</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X191">
        <f>HYPERLINK("https://klasma.github.io/Logging_0980/kartor_geotiff/A 1677-2023 georefererad karta.tif", "A 1677-2023")</f>
        <v/>
      </c>
      <c r="Z191">
        <f>HYPERLINK("https://klasma.github.io/Logging_0980/klagomål/A 1677-2023 FSC-klagomål.docx", "A 1677-2023")</f>
        <v/>
      </c>
      <c r="AA191">
        <f>HYPERLINK("https://klasma.github.io/Logging_0980/klagomålsmail/A 1677-2023 FSC-klagomål mail.docx", "A 1677-2023")</f>
        <v/>
      </c>
      <c r="AB191">
        <f>HYPERLINK("https://klasma.github.io/Logging_0980/tillsyn/A 1677-2023 tillsynsbegäran.docx", "A 1677-2023")</f>
        <v/>
      </c>
      <c r="AC191">
        <f>HYPERLINK("https://klasma.github.io/Logging_0980/tillsynsmail/A 1677-2023 tillsynsbegäran mail.docx", "A 1677-2023")</f>
        <v/>
      </c>
    </row>
    <row r="192" ht="15" customHeight="1">
      <c r="A192" t="inlineStr">
        <is>
          <t>A 17000-2026</t>
        </is>
      </c>
      <c r="B192" t="inlineStr">
        <is>
          <t>avverkningsanmälan</t>
        </is>
      </c>
      <c r="C192" t="inlineStr">
        <is>
          <t>Föryngringsavverkning</t>
        </is>
      </c>
      <c r="D192" s="1" t="n">
        <v>46114</v>
      </c>
      <c r="E192" s="1" t="n">
        <v>46223</v>
      </c>
      <c r="F192" t="inlineStr">
        <is>
          <t>GOTLANDS LÄN</t>
        </is>
      </c>
      <c r="G192" t="inlineStr">
        <is>
          <t>GOTLAND</t>
        </is>
      </c>
      <c r="I192" t="n">
        <v>1.9</v>
      </c>
      <c r="J192" t="n">
        <v>1</v>
      </c>
      <c r="K192" t="n">
        <v>0</v>
      </c>
      <c r="L192" t="n">
        <v>0</v>
      </c>
      <c r="M192" t="n">
        <v>0</v>
      </c>
      <c r="N192" t="n">
        <v>0</v>
      </c>
      <c r="O192" t="n">
        <v>0</v>
      </c>
      <c r="P192" t="n">
        <v>0</v>
      </c>
      <c r="Q192" t="n">
        <v>0</v>
      </c>
      <c r="R192" t="n">
        <v>0</v>
      </c>
      <c r="S192" t="n">
        <v>1</v>
      </c>
      <c r="T192" t="n">
        <v>1</v>
      </c>
      <c r="U192" s="2" t="inlineStr">
        <is>
          <t>Kalkkrassing</t>
        </is>
      </c>
      <c r="V192">
        <f>HYPERLINK("https://klasma.github.io/Logging_0980/artfynd/A 17000-2026 artfynd.xlsx", "A 17000-2026")</f>
        <v/>
      </c>
      <c r="W192">
        <f>HYPERLINK("https://klasma.github.io/Logging_0980/kartor/A 17000-2026 karta.png", "A 17000-2026")</f>
        <v/>
      </c>
      <c r="X192">
        <f>HYPERLINK("https://klasma.github.io/Logging_0980/kartor_geotiff/A 17000-2026 georefererad karta.tif", "A 17000-2026")</f>
        <v/>
      </c>
      <c r="Z192">
        <f>HYPERLINK("https://klasma.github.io/Logging_0980/klagomål/A 17000-2026 FSC-klagomål.docx", "A 17000-2026")</f>
        <v/>
      </c>
      <c r="AA192">
        <f>HYPERLINK("https://klasma.github.io/Logging_0980/klagomålsmail/A 17000-2026 FSC-klagomål mail.docx", "A 17000-2026")</f>
        <v/>
      </c>
      <c r="AB192">
        <f>HYPERLINK("https://klasma.github.io/Logging_0980/tillsyn/A 17000-2026 tillsynsbegäran.docx", "A 17000-2026")</f>
        <v/>
      </c>
      <c r="AC192">
        <f>HYPERLINK("https://klasma.github.io/Logging_0980/tillsynsmail/A 17000-2026 tillsynsbegäran mail.docx", "A 17000-2026")</f>
        <v/>
      </c>
    </row>
    <row r="193" ht="15" customHeight="1">
      <c r="A193" t="inlineStr">
        <is>
          <t>A 17854-2026</t>
        </is>
      </c>
      <c r="B193" t="inlineStr">
        <is>
          <t>avverkningsanmälan</t>
        </is>
      </c>
      <c r="C193" t="inlineStr">
        <is>
          <t>Föryngringsavverkning</t>
        </is>
      </c>
      <c r="D193" s="1" t="n">
        <v>46121</v>
      </c>
      <c r="E193" s="1" t="n">
        <v>46223</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s="2" t="inlineStr">
        <is>
          <t>Blå slemspindling</t>
        </is>
      </c>
      <c r="V193">
        <f>HYPERLINK("https://klasma.github.io/Logging_0980/artfynd/A 17854-2026 artfynd.xlsx", "A 17854-2026")</f>
        <v/>
      </c>
      <c r="W193">
        <f>HYPERLINK("https://klasma.github.io/Logging_0980/kartor/A 17854-2026 karta.png", "A 17854-2026")</f>
        <v/>
      </c>
      <c r="X193">
        <f>HYPERLINK("https://klasma.github.io/Logging_0980/kartor_geotiff/A 17854-2026 georefererad karta.tif", "A 17854-2026")</f>
        <v/>
      </c>
      <c r="Z193">
        <f>HYPERLINK("https://klasma.github.io/Logging_0980/klagomål/A 17854-2026 FSC-klagomål.docx", "A 17854-2026")</f>
        <v/>
      </c>
      <c r="AA193">
        <f>HYPERLINK("https://klasma.github.io/Logging_0980/klagomålsmail/A 17854-2026 FSC-klagomål mail.docx", "A 17854-2026")</f>
        <v/>
      </c>
      <c r="AB193">
        <f>HYPERLINK("https://klasma.github.io/Logging_0980/tillsyn/A 17854-2026 tillsynsbegäran.docx", "A 17854-2026")</f>
        <v/>
      </c>
      <c r="AC193">
        <f>HYPERLINK("https://klasma.github.io/Logging_0980/tillsynsmail/A 17854-2026 tillsynsbegäran mail.docx", "A 17854-2026")</f>
        <v/>
      </c>
    </row>
    <row r="194" ht="15" customHeight="1">
      <c r="A194" t="inlineStr">
        <is>
          <t>A 7637-2025</t>
        </is>
      </c>
      <c r="B194" t="inlineStr">
        <is>
          <t>avverkningsanmälan</t>
        </is>
      </c>
      <c r="C194" t="inlineStr">
        <is>
          <t>Föryngringsavverkning</t>
        </is>
      </c>
      <c r="D194" s="1" t="n">
        <v>45705</v>
      </c>
      <c r="E194" s="1" t="n">
        <v>46223</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s="2" t="inlineStr">
        <is>
          <t>Skogsalm</t>
        </is>
      </c>
      <c r="V194">
        <f>HYPERLINK("https://klasma.github.io/Logging_0980/artfynd/A 7637-2025 artfynd.xlsx", "A 7637-2025")</f>
        <v/>
      </c>
      <c r="W194">
        <f>HYPERLINK("https://klasma.github.io/Logging_0980/kartor/A 7637-2025 karta.png", "A 7637-2025")</f>
        <v/>
      </c>
      <c r="X194">
        <f>HYPERLINK("https://klasma.github.io/Logging_0980/kartor_geotiff/A 7637-2025 georefererad karta.tif", "A 7637-2025")</f>
        <v/>
      </c>
      <c r="Z194">
        <f>HYPERLINK("https://klasma.github.io/Logging_0980/klagomål/A 7637-2025 FSC-klagomål.docx", "A 7637-2025")</f>
        <v/>
      </c>
      <c r="AA194">
        <f>HYPERLINK("https://klasma.github.io/Logging_0980/klagomålsmail/A 7637-2025 FSC-klagomål mail.docx", "A 7637-2025")</f>
        <v/>
      </c>
      <c r="AB194">
        <f>HYPERLINK("https://klasma.github.io/Logging_0980/tillsyn/A 7637-2025 tillsynsbegäran.docx", "A 7637-2025")</f>
        <v/>
      </c>
      <c r="AC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46223</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s="2" t="inlineStr">
        <is>
          <t>Sommarfibbla</t>
        </is>
      </c>
      <c r="V195">
        <f>HYPERLINK("https://klasma.github.io/Logging_0980/artfynd/A 18036-2026 artfynd.xlsx", "A 18036-2026")</f>
        <v/>
      </c>
      <c r="W195">
        <f>HYPERLINK("https://klasma.github.io/Logging_0980/kartor/A 18036-2026 karta.png", "A 18036-2026")</f>
        <v/>
      </c>
      <c r="X195">
        <f>HYPERLINK("https://klasma.github.io/Logging_0980/kartor_geotiff/A 18036-2026 georefererad karta.tif", "A 18036-2026")</f>
        <v/>
      </c>
      <c r="Z195">
        <f>HYPERLINK("https://klasma.github.io/Logging_0980/klagomål/A 18036-2026 FSC-klagomål.docx", "A 18036-2026")</f>
        <v/>
      </c>
      <c r="AA195">
        <f>HYPERLINK("https://klasma.github.io/Logging_0980/klagomålsmail/A 18036-2026 FSC-klagomål mail.docx", "A 18036-2026")</f>
        <v/>
      </c>
      <c r="AB195">
        <f>HYPERLINK("https://klasma.github.io/Logging_0980/tillsyn/A 18036-2026 tillsynsbegäran.docx", "A 18036-2026")</f>
        <v/>
      </c>
      <c r="AC195">
        <f>HYPERLINK("https://klasma.github.io/Logging_0980/tillsynsmail/A 18036-2026 tillsynsbegäran mail.docx", "A 18036-2026")</f>
        <v/>
      </c>
    </row>
    <row r="196" ht="15" customHeight="1">
      <c r="A196" t="inlineStr">
        <is>
          <t>A 6303-2024</t>
        </is>
      </c>
      <c r="B196" t="inlineStr">
        <is>
          <t>avverkningsanmälan</t>
        </is>
      </c>
      <c r="C196" t="inlineStr">
        <is>
          <t>Föryngringsavverkning</t>
        </is>
      </c>
      <c r="D196" s="1" t="n">
        <v>45338</v>
      </c>
      <c r="E196" s="1" t="n">
        <v>46223</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s="2" t="inlineStr">
        <is>
          <t>Strävlosta</t>
        </is>
      </c>
      <c r="V196">
        <f>HYPERLINK("https://klasma.github.io/Logging_0980/artfynd/A 6303-2024 artfynd.xlsx", "A 6303-2024")</f>
        <v/>
      </c>
      <c r="W196">
        <f>HYPERLINK("https://klasma.github.io/Logging_0980/kartor/A 6303-2024 karta.png", "A 6303-2024")</f>
        <v/>
      </c>
      <c r="X196">
        <f>HYPERLINK("https://klasma.github.io/Logging_0980/kartor_geotiff/A 6303-2024 georefererad karta.tif", "A 6303-2024")</f>
        <v/>
      </c>
      <c r="Z196">
        <f>HYPERLINK("https://klasma.github.io/Logging_0980/klagomål/A 6303-2024 FSC-klagomål.docx", "A 6303-2024")</f>
        <v/>
      </c>
      <c r="AA196">
        <f>HYPERLINK("https://klasma.github.io/Logging_0980/klagomålsmail/A 6303-2024 FSC-klagomål mail.docx", "A 6303-2024")</f>
        <v/>
      </c>
      <c r="AB196">
        <f>HYPERLINK("https://klasma.github.io/Logging_0980/tillsyn/A 6303-2024 tillsynsbegäran.docx", "A 6303-2024")</f>
        <v/>
      </c>
      <c r="AC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46223</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s="2" t="inlineStr">
        <is>
          <t>Gotlandsmåra</t>
        </is>
      </c>
      <c r="V197">
        <f>HYPERLINK("https://klasma.github.io/Logging_0980/artfynd/A 40294-2022 artfynd.xlsx", "A 40294-2022")</f>
        <v/>
      </c>
      <c r="W197">
        <f>HYPERLINK("https://klasma.github.io/Logging_0980/kartor/A 40294-2022 karta.png", "A 40294-2022")</f>
        <v/>
      </c>
      <c r="X197">
        <f>HYPERLINK("https://klasma.github.io/Logging_0980/kartor_geotiff/A 40294-2022 georefererad karta.tif", "A 40294-2022")</f>
        <v/>
      </c>
      <c r="Z197">
        <f>HYPERLINK("https://klasma.github.io/Logging_0980/klagomål/A 40294-2022 FSC-klagomål.docx", "A 40294-2022")</f>
        <v/>
      </c>
      <c r="AA197">
        <f>HYPERLINK("https://klasma.github.io/Logging_0980/klagomålsmail/A 40294-2022 FSC-klagomål mail.docx", "A 40294-2022")</f>
        <v/>
      </c>
      <c r="AB197">
        <f>HYPERLINK("https://klasma.github.io/Logging_0980/tillsyn/A 40294-2022 tillsynsbegäran.docx", "A 40294-2022")</f>
        <v/>
      </c>
      <c r="AC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46223</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s="2" t="inlineStr">
        <is>
          <t>Brun ögontröst</t>
        </is>
      </c>
      <c r="V198">
        <f>HYPERLINK("https://klasma.github.io/Logging_0980/artfynd/A 34809-2024 artfynd.xlsx", "A 34809-2024")</f>
        <v/>
      </c>
      <c r="W198">
        <f>HYPERLINK("https://klasma.github.io/Logging_0980/kartor/A 34809-2024 karta.png", "A 34809-2024")</f>
        <v/>
      </c>
      <c r="X198">
        <f>HYPERLINK("https://klasma.github.io/Logging_0980/kartor_geotiff/A 34809-2024 georefererad karta.tif", "A 34809-2024")</f>
        <v/>
      </c>
      <c r="Z198">
        <f>HYPERLINK("https://klasma.github.io/Logging_0980/klagomål/A 34809-2024 FSC-klagomål.docx", "A 34809-2024")</f>
        <v/>
      </c>
      <c r="AA198">
        <f>HYPERLINK("https://klasma.github.io/Logging_0980/klagomålsmail/A 34809-2024 FSC-klagomål mail.docx", "A 34809-2024")</f>
        <v/>
      </c>
      <c r="AB198">
        <f>HYPERLINK("https://klasma.github.io/Logging_0980/tillsyn/A 34809-2024 tillsynsbegäran.docx", "A 34809-2024")</f>
        <v/>
      </c>
      <c r="AC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46223</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s="2" t="inlineStr">
        <is>
          <t>Svinrot</t>
        </is>
      </c>
      <c r="V199">
        <f>HYPERLINK("https://klasma.github.io/Logging_0980/artfynd/A 1066-2024 artfynd.xlsx", "A 1066-2024")</f>
        <v/>
      </c>
      <c r="W199">
        <f>HYPERLINK("https://klasma.github.io/Logging_0980/kartor/A 1066-2024 karta.png", "A 1066-2024")</f>
        <v/>
      </c>
      <c r="X199">
        <f>HYPERLINK("https://klasma.github.io/Logging_0980/kartor_geotiff/A 1066-2024 georefererad karta.tif", "A 1066-2024")</f>
        <v/>
      </c>
      <c r="Z199">
        <f>HYPERLINK("https://klasma.github.io/Logging_0980/klagomål/A 1066-2024 FSC-klagomål.docx", "A 1066-2024")</f>
        <v/>
      </c>
      <c r="AA199">
        <f>HYPERLINK("https://klasma.github.io/Logging_0980/klagomålsmail/A 1066-2024 FSC-klagomål mail.docx", "A 1066-2024")</f>
        <v/>
      </c>
      <c r="AB199">
        <f>HYPERLINK("https://klasma.github.io/Logging_0980/tillsyn/A 1066-2024 tillsynsbegäran.docx", "A 1066-2024")</f>
        <v/>
      </c>
      <c r="AC199">
        <f>HYPERLINK("https://klasma.github.io/Logging_0980/tillsynsmail/A 1066-2024 tillsynsbegäran mail.docx", "A 1066-2024")</f>
        <v/>
      </c>
    </row>
    <row r="200" ht="15" customHeight="1">
      <c r="A200" t="inlineStr">
        <is>
          <t>A 27343-2026</t>
        </is>
      </c>
      <c r="B200" t="inlineStr">
        <is>
          <t>avverkningsanmälan</t>
        </is>
      </c>
      <c r="C200" t="inlineStr">
        <is>
          <t>Föryngringsavverkning</t>
        </is>
      </c>
      <c r="D200" s="1" t="n">
        <v>46188</v>
      </c>
      <c r="E200" s="1" t="n">
        <v>46223</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X200">
        <f>HYPERLINK("https://klasma.github.io/Logging_0980/kartor_geotiff/A 27343-2026 georefererad karta.tif", "A 27343-2026")</f>
        <v/>
      </c>
      <c r="Z200">
        <f>HYPERLINK("https://klasma.github.io/Logging_0980/klagomål/A 27343-2026 FSC-klagomål.docx", "A 27343-2026")</f>
        <v/>
      </c>
      <c r="AA200">
        <f>HYPERLINK("https://klasma.github.io/Logging_0980/klagomålsmail/A 27343-2026 FSC-klagomål mail.docx", "A 27343-2026")</f>
        <v/>
      </c>
      <c r="AB200">
        <f>HYPERLINK("https://klasma.github.io/Logging_0980/tillsyn/A 27343-2026 tillsynsbegäran.docx", "A 27343-2026")</f>
        <v/>
      </c>
      <c r="AC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46223</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X201">
        <f>HYPERLINK("https://klasma.github.io/Logging_0980/kartor_geotiff/A 21396-2026 georefererad karta.tif", "A 21396-2026")</f>
        <v/>
      </c>
      <c r="Z201">
        <f>HYPERLINK("https://klasma.github.io/Logging_0980/klagomål/A 21396-2026 FSC-klagomål.docx", "A 21396-2026")</f>
        <v/>
      </c>
      <c r="AA201">
        <f>HYPERLINK("https://klasma.github.io/Logging_0980/klagomålsmail/A 21396-2026 FSC-klagomål mail.docx", "A 21396-2026")</f>
        <v/>
      </c>
      <c r="AB201">
        <f>HYPERLINK("https://klasma.github.io/Logging_0980/tillsyn/A 21396-2026 tillsynsbegäran.docx", "A 21396-2026")</f>
        <v/>
      </c>
      <c r="AC201">
        <f>HYPERLINK("https://klasma.github.io/Logging_0980/tillsynsmail/A 21396-2026 tillsynsbegäran mail.docx", "A 21396-2026")</f>
        <v/>
      </c>
    </row>
    <row r="202" ht="15" customHeight="1">
      <c r="A202" t="inlineStr">
        <is>
          <t>A 999-2023</t>
        </is>
      </c>
      <c r="B202" t="inlineStr">
        <is>
          <t>avverkningsanmälan</t>
        </is>
      </c>
      <c r="C202" t="inlineStr">
        <is>
          <t>Föryngringsavverkning</t>
        </is>
      </c>
      <c r="D202" s="1" t="n">
        <v>44935</v>
      </c>
      <c r="E202" s="1" t="n">
        <v>46223</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X202">
        <f>HYPERLINK("https://klasma.github.io/Logging_0980/kartor_geotiff/A 999-2023 georefererad karta.tif", "A 999-2023")</f>
        <v/>
      </c>
      <c r="Z202">
        <f>HYPERLINK("https://klasma.github.io/Logging_0980/klagomål/A 999-2023 FSC-klagomål.docx", "A 999-2023")</f>
        <v/>
      </c>
      <c r="AA202">
        <f>HYPERLINK("https://klasma.github.io/Logging_0980/klagomålsmail/A 999-2023 FSC-klagomål mail.docx", "A 999-2023")</f>
        <v/>
      </c>
      <c r="AB202">
        <f>HYPERLINK("https://klasma.github.io/Logging_0980/tillsyn/A 999-2023 tillsynsbegäran.docx", "A 999-2023")</f>
        <v/>
      </c>
      <c r="AC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46223</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X203">
        <f>HYPERLINK("https://klasma.github.io/Logging_0980/kartor_geotiff/A 22782-2023 georefererad karta.tif", "A 22782-2023")</f>
        <v/>
      </c>
      <c r="Z203">
        <f>HYPERLINK("https://klasma.github.io/Logging_0980/klagomål/A 22782-2023 FSC-klagomål.docx", "A 22782-2023")</f>
        <v/>
      </c>
      <c r="AA203">
        <f>HYPERLINK("https://klasma.github.io/Logging_0980/klagomålsmail/A 22782-2023 FSC-klagomål mail.docx", "A 22782-2023")</f>
        <v/>
      </c>
      <c r="AB203">
        <f>HYPERLINK("https://klasma.github.io/Logging_0980/tillsyn/A 22782-2023 tillsynsbegäran.docx", "A 22782-2023")</f>
        <v/>
      </c>
      <c r="AC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46223</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X204">
        <f>HYPERLINK("https://klasma.github.io/Logging_0980/kartor_geotiff/A 27602-2023 georefererad karta.tif", "A 27602-2023")</f>
        <v/>
      </c>
      <c r="Z204">
        <f>HYPERLINK("https://klasma.github.io/Logging_0980/klagomål/A 27602-2023 FSC-klagomål.docx", "A 27602-2023")</f>
        <v/>
      </c>
      <c r="AA204">
        <f>HYPERLINK("https://klasma.github.io/Logging_0980/klagomålsmail/A 27602-2023 FSC-klagomål mail.docx", "A 27602-2023")</f>
        <v/>
      </c>
      <c r="AB204">
        <f>HYPERLINK("https://klasma.github.io/Logging_0980/tillsyn/A 27602-2023 tillsynsbegäran.docx", "A 27602-2023")</f>
        <v/>
      </c>
      <c r="AC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46223</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X205">
        <f>HYPERLINK("https://klasma.github.io/Logging_0980/kartor_geotiff/A 22883-2024 georefererad karta.tif", "A 22883-2024")</f>
        <v/>
      </c>
      <c r="Z205">
        <f>HYPERLINK("https://klasma.github.io/Logging_0980/klagomål/A 22883-2024 FSC-klagomål.docx", "A 22883-2024")</f>
        <v/>
      </c>
      <c r="AA205">
        <f>HYPERLINK("https://klasma.github.io/Logging_0980/klagomålsmail/A 22883-2024 FSC-klagomål mail.docx", "A 22883-2024")</f>
        <v/>
      </c>
      <c r="AB205">
        <f>HYPERLINK("https://klasma.github.io/Logging_0980/tillsyn/A 22883-2024 tillsynsbegäran.docx", "A 22883-2024")</f>
        <v/>
      </c>
      <c r="AC205">
        <f>HYPERLINK("https://klasma.github.io/Logging_0980/tillsynsmail/A 22883-2024 tillsynsbegäran mail.docx", "A 22883-2024")</f>
        <v/>
      </c>
    </row>
    <row r="206" ht="15" customHeight="1">
      <c r="A206" t="inlineStr">
        <is>
          <t>A 30176-2026</t>
        </is>
      </c>
      <c r="B206" t="inlineStr">
        <is>
          <t>avverkningsanmälan</t>
        </is>
      </c>
      <c r="C206" t="inlineStr">
        <is>
          <t>Avverkning för annat ändamål</t>
        </is>
      </c>
      <c r="D206" s="1" t="n">
        <v>46203</v>
      </c>
      <c r="E206" s="1" t="n">
        <v>46223</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s="2" t="inlineStr">
        <is>
          <t>Bredarun</t>
        </is>
      </c>
      <c r="V206">
        <f>HYPERLINK("https://klasma.github.io/Logging_0980/artfynd/A 30176-2026 artfynd.xlsx", "A 30176-2026")</f>
        <v/>
      </c>
      <c r="W206">
        <f>HYPERLINK("https://klasma.github.io/Logging_0980/kartor/A 30176-2026 karta.png", "A 30176-2026")</f>
        <v/>
      </c>
      <c r="X206">
        <f>HYPERLINK("https://klasma.github.io/Logging_0980/kartor_geotiff/A 30176-2026 georefererad karta.tif", "A 30176-2026")</f>
        <v/>
      </c>
      <c r="Z206">
        <f>HYPERLINK("https://klasma.github.io/Logging_0980/klagomål/A 30176-2026 FSC-klagomål.docx", "A 30176-2026")</f>
        <v/>
      </c>
      <c r="AA206">
        <f>HYPERLINK("https://klasma.github.io/Logging_0980/klagomålsmail/A 30176-2026 FSC-klagomål mail.docx", "A 30176-2026")</f>
        <v/>
      </c>
      <c r="AB206">
        <f>HYPERLINK("https://klasma.github.io/Logging_0980/tillsyn/A 30176-2026 tillsynsbegäran.docx", "A 30176-2026")</f>
        <v/>
      </c>
      <c r="AC206">
        <f>HYPERLINK("https://klasma.github.io/Logging_0980/tillsynsmail/A 30176-2026 tillsynsbegäran mail.docx", "A 30176-2026")</f>
        <v/>
      </c>
    </row>
    <row r="207" ht="15" customHeight="1">
      <c r="A207" t="inlineStr">
        <is>
          <t>A 57534-2022</t>
        </is>
      </c>
      <c r="B207" t="inlineStr">
        <is>
          <t>avverkningsanmälan</t>
        </is>
      </c>
      <c r="C207" t="inlineStr">
        <is>
          <t>Föryngringsavverkning</t>
        </is>
      </c>
      <c r="D207" s="1" t="n">
        <v>44896</v>
      </c>
      <c r="E207" s="1" t="n">
        <v>46223</v>
      </c>
      <c r="F207" t="inlineStr">
        <is>
          <t>GOTLANDS LÄN</t>
        </is>
      </c>
      <c r="G207" t="inlineStr">
        <is>
          <t>GOTLAND</t>
        </is>
      </c>
      <c r="I207" t="n">
        <v>0.6</v>
      </c>
      <c r="J207" t="n">
        <v>0</v>
      </c>
      <c r="K207" t="n">
        <v>1</v>
      </c>
      <c r="L207" t="n">
        <v>0</v>
      </c>
      <c r="M207" t="n">
        <v>0</v>
      </c>
      <c r="N207" t="n">
        <v>0</v>
      </c>
      <c r="O207" t="n">
        <v>0</v>
      </c>
      <c r="P207" t="n">
        <v>0</v>
      </c>
      <c r="Q207" t="n">
        <v>0</v>
      </c>
      <c r="R207" t="n">
        <v>0</v>
      </c>
      <c r="S207" t="n">
        <v>1</v>
      </c>
      <c r="T207" t="n">
        <v>1</v>
      </c>
      <c r="U207" s="2" t="inlineStr">
        <is>
          <t>Myskmadra</t>
        </is>
      </c>
      <c r="V207">
        <f>HYPERLINK("https://klasma.github.io/Logging_0980/artfynd/A 57534-2022 artfynd.xlsx", "A 57534-2022")</f>
        <v/>
      </c>
      <c r="W207">
        <f>HYPERLINK("https://klasma.github.io/Logging_0980/kartor/A 57534-2022 karta.png", "A 57534-2022")</f>
        <v/>
      </c>
      <c r="X207">
        <f>HYPERLINK("https://klasma.github.io/Logging_0980/kartor_geotiff/A 57534-2022 georefererad karta.tif", "A 57534-2022")</f>
        <v/>
      </c>
      <c r="Z207">
        <f>HYPERLINK("https://klasma.github.io/Logging_0980/klagomål/A 57534-2022 FSC-klagomål.docx", "A 57534-2022")</f>
        <v/>
      </c>
      <c r="AA207">
        <f>HYPERLINK("https://klasma.github.io/Logging_0980/klagomålsmail/A 57534-2022 FSC-klagomål mail.docx", "A 57534-2022")</f>
        <v/>
      </c>
      <c r="AB207">
        <f>HYPERLINK("https://klasma.github.io/Logging_0980/tillsyn/A 57534-2022 tillsynsbegäran.docx", "A 57534-2022")</f>
        <v/>
      </c>
      <c r="AC207">
        <f>HYPERLINK("https://klasma.github.io/Logging_0980/tillsynsmail/A 57534-2022 tillsynsbegäran mail.docx", "A 57534-2022")</f>
        <v/>
      </c>
    </row>
    <row r="208" ht="15" customHeight="1">
      <c r="A208" t="inlineStr">
        <is>
          <t>A 11982-2026</t>
        </is>
      </c>
      <c r="B208" t="inlineStr">
        <is>
          <t>avverkningsanmälan</t>
        </is>
      </c>
      <c r="C208" t="inlineStr">
        <is>
          <t>Föryngringsavverkning</t>
        </is>
      </c>
      <c r="D208" s="1" t="n">
        <v>46085</v>
      </c>
      <c r="E208" s="1" t="n">
        <v>46223</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X208">
        <f>HYPERLINK("https://klasma.github.io/Logging_0980/kartor_geotiff/A 11982-2026 georefererad karta.tif", "A 11982-2026")</f>
        <v/>
      </c>
      <c r="Z208">
        <f>HYPERLINK("https://klasma.github.io/Logging_0980/klagomål/A 11982-2026 FSC-klagomål.docx", "A 11982-2026")</f>
        <v/>
      </c>
      <c r="AA208">
        <f>HYPERLINK("https://klasma.github.io/Logging_0980/klagomålsmail/A 11982-2026 FSC-klagomål mail.docx", "A 11982-2026")</f>
        <v/>
      </c>
      <c r="AB208">
        <f>HYPERLINK("https://klasma.github.io/Logging_0980/tillsyn/A 11982-2026 tillsynsbegäran.docx", "A 11982-2026")</f>
        <v/>
      </c>
      <c r="AC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46223</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X209">
        <f>HYPERLINK("https://klasma.github.io/Logging_0980/kartor_geotiff/A 5863-2026 georefererad karta.tif", "A 5863-2026")</f>
        <v/>
      </c>
      <c r="Z209">
        <f>HYPERLINK("https://klasma.github.io/Logging_0980/klagomål/A 5863-2026 FSC-klagomål.docx", "A 5863-2026")</f>
        <v/>
      </c>
      <c r="AA209">
        <f>HYPERLINK("https://klasma.github.io/Logging_0980/klagomålsmail/A 5863-2026 FSC-klagomål mail.docx", "A 5863-2026")</f>
        <v/>
      </c>
      <c r="AB209">
        <f>HYPERLINK("https://klasma.github.io/Logging_0980/tillsyn/A 5863-2026 tillsynsbegäran.docx", "A 5863-2026")</f>
        <v/>
      </c>
      <c r="AC209">
        <f>HYPERLINK("https://klasma.github.io/Logging_0980/tillsynsmail/A 5863-2026 tillsynsbegäran mail.docx", "A 5863-2026")</f>
        <v/>
      </c>
    </row>
    <row r="210" ht="15" customHeight="1">
      <c r="A210" t="inlineStr">
        <is>
          <t>A 24245-2022</t>
        </is>
      </c>
      <c r="B210" t="inlineStr">
        <is>
          <t>avverkningsanmälan</t>
        </is>
      </c>
      <c r="C210" t="inlineStr">
        <is>
          <t>Föryngringsavverkning</t>
        </is>
      </c>
      <c r="D210" s="1" t="n">
        <v>44725</v>
      </c>
      <c r="E210" s="1" t="n">
        <v>46223</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s="2" t="inlineStr">
        <is>
          <t>Slät taggsvamp</t>
        </is>
      </c>
      <c r="V210">
        <f>HYPERLINK("https://klasma.github.io/Logging_0980/artfynd/A 24245-2022 artfynd.xlsx", "A 24245-2022")</f>
        <v/>
      </c>
      <c r="W210">
        <f>HYPERLINK("https://klasma.github.io/Logging_0980/kartor/A 24245-2022 karta.png", "A 24245-2022")</f>
        <v/>
      </c>
      <c r="X210">
        <f>HYPERLINK("https://klasma.github.io/Logging_0980/kartor_geotiff/A 24245-2022 georefererad karta.tif", "A 24245-2022")</f>
        <v/>
      </c>
      <c r="Z210">
        <f>HYPERLINK("https://klasma.github.io/Logging_0980/klagomål/A 24245-2022 FSC-klagomål.docx", "A 24245-2022")</f>
        <v/>
      </c>
      <c r="AA210">
        <f>HYPERLINK("https://klasma.github.io/Logging_0980/klagomålsmail/A 24245-2022 FSC-klagomål mail.docx", "A 24245-2022")</f>
        <v/>
      </c>
      <c r="AB210">
        <f>HYPERLINK("https://klasma.github.io/Logging_0980/tillsyn/A 24245-2022 tillsynsbegäran.docx", "A 24245-2022")</f>
        <v/>
      </c>
      <c r="AC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46223</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49847-2023 artfynd.xlsx", "A 49847-2023")</f>
        <v/>
      </c>
      <c r="W211">
        <f>HYPERLINK("https://klasma.github.io/Logging_0980/kartor/A 49847-2023 karta.png", "A 49847-2023")</f>
        <v/>
      </c>
      <c r="X211">
        <f>HYPERLINK("https://klasma.github.io/Logging_0980/kartor_geotiff/A 49847-2023 georefererad karta.tif", "A 49847-2023")</f>
        <v/>
      </c>
      <c r="Z211">
        <f>HYPERLINK("https://klasma.github.io/Logging_0980/klagomål/A 49847-2023 FSC-klagomål.docx", "A 49847-2023")</f>
        <v/>
      </c>
      <c r="AA211">
        <f>HYPERLINK("https://klasma.github.io/Logging_0980/klagomålsmail/A 49847-2023 FSC-klagomål mail.docx", "A 49847-2023")</f>
        <v/>
      </c>
      <c r="AB211">
        <f>HYPERLINK("https://klasma.github.io/Logging_0980/tillsyn/A 49847-2023 tillsynsbegäran.docx", "A 49847-2023")</f>
        <v/>
      </c>
      <c r="AC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46223</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HYPERLINK("https://klasma.github.io/Logging_0980/artfynd/A 56115-2023 artfynd.xlsx", "A 56115-2023")</f>
        <v/>
      </c>
      <c r="W212">
        <f>HYPERLINK("https://klasma.github.io/Logging_0980/kartor/A 56115-2023 karta.png", "A 56115-2023")</f>
        <v/>
      </c>
      <c r="X212">
        <f>HYPERLINK("https://klasma.github.io/Logging_0980/kartor_geotiff/A 56115-2023 georefererad karta.tif", "A 56115-2023")</f>
        <v/>
      </c>
      <c r="Z212">
        <f>HYPERLINK("https://klasma.github.io/Logging_0980/klagomål/A 56115-2023 FSC-klagomål.docx", "A 56115-2023")</f>
        <v/>
      </c>
      <c r="AA212">
        <f>HYPERLINK("https://klasma.github.io/Logging_0980/klagomålsmail/A 56115-2023 FSC-klagomål mail.docx", "A 56115-2023")</f>
        <v/>
      </c>
      <c r="AB212">
        <f>HYPERLINK("https://klasma.github.io/Logging_0980/tillsyn/A 56115-2023 tillsynsbegäran.docx", "A 56115-2023")</f>
        <v/>
      </c>
      <c r="AC212">
        <f>HYPERLINK("https://klasma.github.io/Logging_0980/tillsynsmail/A 56115-2023 tillsynsbegäran mail.docx", "A 56115-2023")</f>
        <v/>
      </c>
    </row>
    <row r="213" ht="15" customHeight="1">
      <c r="A213" t="inlineStr">
        <is>
          <t>A 23856-2025</t>
        </is>
      </c>
      <c r="B213" t="inlineStr">
        <is>
          <t>avverkningsanmälan</t>
        </is>
      </c>
      <c r="C213" t="inlineStr">
        <is>
          <t>Föryngringsavverkning</t>
        </is>
      </c>
      <c r="D213" s="1" t="n">
        <v>45793</v>
      </c>
      <c r="E213" s="1" t="n">
        <v>46223</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X213">
        <f>HYPERLINK("https://klasma.github.io/Logging_0980/kartor_geotiff/A 23856-2025 georefererad karta.tif", "A 23856-2025")</f>
        <v/>
      </c>
      <c r="Z213">
        <f>HYPERLINK("https://klasma.github.io/Logging_0980/klagomål/A 23856-2025 FSC-klagomål.docx", "A 23856-2025")</f>
        <v/>
      </c>
      <c r="AA213">
        <f>HYPERLINK("https://klasma.github.io/Logging_0980/klagomålsmail/A 23856-2025 FSC-klagomål mail.docx", "A 23856-2025")</f>
        <v/>
      </c>
      <c r="AB213">
        <f>HYPERLINK("https://klasma.github.io/Logging_0980/tillsyn/A 23856-2025 tillsynsbegäran.docx", "A 23856-2025")</f>
        <v/>
      </c>
      <c r="AC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46223</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X214">
        <f>HYPERLINK("https://klasma.github.io/Logging_0980/kartor_geotiff/S 2744-2023 georefererad karta.tif", "S 2744-2023")</f>
        <v/>
      </c>
      <c r="Z214">
        <f>HYPERLINK("https://klasma.github.io/Logging_0980/klagomål/S 2744-2023 FSC-klagomål.docx", "S 2744-2023")</f>
        <v/>
      </c>
      <c r="AA214">
        <f>HYPERLINK("https://klasma.github.io/Logging_0980/klagomålsmail/S 2744-2023 FSC-klagomål mail.docx", "S 2744-2023")</f>
        <v/>
      </c>
      <c r="AB214">
        <f>HYPERLINK("https://klasma.github.io/Logging_0980/tillsyn/S 2744-2023 tillsynsbegäran.docx", "S 2744-2023")</f>
        <v/>
      </c>
      <c r="AC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46223</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X215">
        <f>HYPERLINK("https://klasma.github.io/Logging_0980/kartor_geotiff/S 6736-2022 georefererad karta.tif", "S 6736-2022")</f>
        <v/>
      </c>
      <c r="Z215">
        <f>HYPERLINK("https://klasma.github.io/Logging_0980/klagomål/S 6736-2022 FSC-klagomål.docx", "S 6736-2022")</f>
        <v/>
      </c>
      <c r="AA215">
        <f>HYPERLINK("https://klasma.github.io/Logging_0980/klagomålsmail/S 6736-2022 FSC-klagomål mail.docx", "S 6736-2022")</f>
        <v/>
      </c>
      <c r="AB215">
        <f>HYPERLINK("https://klasma.github.io/Logging_0980/tillsyn/S 6736-2022 tillsynsbegäran.docx", "S 6736-2022")</f>
        <v/>
      </c>
      <c r="AC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46223</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X216">
        <f>HYPERLINK("https://klasma.github.io/Logging_0980/kartor_geotiff/S 5258-2022 georefererad karta.tif", "S 5258-2022")</f>
        <v/>
      </c>
      <c r="Z216">
        <f>HYPERLINK("https://klasma.github.io/Logging_0980/klagomål/S 5258-2022 FSC-klagomål.docx", "S 5258-2022")</f>
        <v/>
      </c>
      <c r="AA216">
        <f>HYPERLINK("https://klasma.github.io/Logging_0980/klagomålsmail/S 5258-2022 FSC-klagomål mail.docx", "S 5258-2022")</f>
        <v/>
      </c>
      <c r="AB216">
        <f>HYPERLINK("https://klasma.github.io/Logging_0980/tillsyn/S 5258-2022 tillsynsbegäran.docx", "S 5258-2022")</f>
        <v/>
      </c>
      <c r="AC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46223</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X217">
        <f>HYPERLINK("https://klasma.github.io/Logging_0980/kartor_geotiff/S 321-2025 georefererad karta.tif", "S 321-2025")</f>
        <v/>
      </c>
      <c r="Z217">
        <f>HYPERLINK("https://klasma.github.io/Logging_0980/klagomål/S 321-2025 FSC-klagomål.docx", "S 321-2025")</f>
        <v/>
      </c>
      <c r="AA217">
        <f>HYPERLINK("https://klasma.github.io/Logging_0980/klagomålsmail/S 321-2025 FSC-klagomål mail.docx", "S 321-2025")</f>
        <v/>
      </c>
      <c r="AB217">
        <f>HYPERLINK("https://klasma.github.io/Logging_0980/tillsyn/S 321-2025 tillsynsbegäran.docx", "S 321-2025")</f>
        <v/>
      </c>
      <c r="AC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46223</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X218">
        <f>HYPERLINK("https://klasma.github.io/Logging_0980/kartor_geotiff/S 1883-2026 georefererad karta.tif", "S 1883-2026")</f>
        <v/>
      </c>
      <c r="Z218">
        <f>HYPERLINK("https://klasma.github.io/Logging_0980/klagomål/S 1883-2026 FSC-klagomål.docx", "S 1883-2026")</f>
        <v/>
      </c>
      <c r="AA218">
        <f>HYPERLINK("https://klasma.github.io/Logging_0980/klagomålsmail/S 1883-2026 FSC-klagomål mail.docx", "S 1883-2026")</f>
        <v/>
      </c>
      <c r="AB218">
        <f>HYPERLINK("https://klasma.github.io/Logging_0980/tillsyn/S 1883-2026 tillsynsbegäran.docx", "S 1883-2026")</f>
        <v/>
      </c>
      <c r="AC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46223</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16858-2022</t>
        </is>
      </c>
      <c r="B220" t="inlineStr">
        <is>
          <t>avverkningsanmälan</t>
        </is>
      </c>
      <c r="C220" t="inlineStr">
        <is>
          <t>Föryngringsavverkning</t>
        </is>
      </c>
      <c r="D220" s="1" t="n">
        <v>44674</v>
      </c>
      <c r="E220" s="1" t="n">
        <v>46223</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46223</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46223</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46223</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46223</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46223</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46223</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46223</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46223</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46223</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46223</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46223</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46223</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46223</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46223</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46223</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46223</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46223</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46223</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46223</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46223</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30282-2022</t>
        </is>
      </c>
      <c r="B241" t="inlineStr">
        <is>
          <t>avverkningsanmälan</t>
        </is>
      </c>
      <c r="C241" t="inlineStr">
        <is>
          <t>Föryngringsavverkning</t>
        </is>
      </c>
      <c r="D241" s="1" t="n">
        <v>44760</v>
      </c>
      <c r="E241" s="1" t="n">
        <v>46223</v>
      </c>
      <c r="F241" t="inlineStr">
        <is>
          <t>GOTLANDS LÄN</t>
        </is>
      </c>
      <c r="G241" t="inlineStr">
        <is>
          <t>GOTLAND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44919-2022</t>
        </is>
      </c>
      <c r="B242" t="inlineStr">
        <is>
          <t>avverkningsanmälan</t>
        </is>
      </c>
      <c r="C242" t="inlineStr">
        <is>
          <t>Föryngringsavverkning</t>
        </is>
      </c>
      <c r="D242" s="1" t="n">
        <v>44841</v>
      </c>
      <c r="E242" s="1" t="n">
        <v>46223</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46223</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65901-2021</t>
        </is>
      </c>
      <c r="B244" t="inlineStr">
        <is>
          <t>avverkningsanmälan</t>
        </is>
      </c>
      <c r="C244" t="inlineStr">
        <is>
          <t>Föryngringsavverkning</t>
        </is>
      </c>
      <c r="D244" s="1" t="n">
        <v>44516</v>
      </c>
      <c r="E244" s="1" t="n">
        <v>46223</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48503-2023</t>
        </is>
      </c>
      <c r="B245" t="inlineStr">
        <is>
          <t>avverkningsanmälan</t>
        </is>
      </c>
      <c r="C245" t="inlineStr">
        <is>
          <t>Föryngringsavverkning</t>
        </is>
      </c>
      <c r="D245" s="1" t="n">
        <v>45207</v>
      </c>
      <c r="E245" s="1" t="n">
        <v>46223</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44649-2021</t>
        </is>
      </c>
      <c r="B246" t="inlineStr">
        <is>
          <t>avverkningsanmälan</t>
        </is>
      </c>
      <c r="C246" t="inlineStr">
        <is>
          <t>Föryngringsavverkning</t>
        </is>
      </c>
      <c r="D246" s="1" t="n">
        <v>44437</v>
      </c>
      <c r="E246" s="1" t="n">
        <v>46223</v>
      </c>
      <c r="F246" t="inlineStr">
        <is>
          <t>GOTLANDS LÄN</t>
        </is>
      </c>
      <c r="G246" t="inlineStr">
        <is>
          <t>GOTLAND</t>
        </is>
      </c>
      <c r="I246" t="n">
        <v>8.1</v>
      </c>
      <c r="J246" t="n">
        <v>0</v>
      </c>
      <c r="K246" t="n">
        <v>0</v>
      </c>
      <c r="L246" t="n">
        <v>0</v>
      </c>
      <c r="M246" t="n">
        <v>0</v>
      </c>
      <c r="N246" t="n">
        <v>0</v>
      </c>
      <c r="O246" t="n">
        <v>0</v>
      </c>
      <c r="P246" t="n">
        <v>0</v>
      </c>
      <c r="Q246" t="n">
        <v>0</v>
      </c>
      <c r="R246" t="n">
        <v>0</v>
      </c>
      <c r="S246" t="n">
        <v>0</v>
      </c>
      <c r="T246" t="n">
        <v>0</v>
      </c>
      <c r="U246" s="2" t="inlineStr"/>
    </row>
    <row r="247" ht="15" customHeight="1">
      <c r="A247" t="inlineStr">
        <is>
          <t>A 9947-2024</t>
        </is>
      </c>
      <c r="B247" t="inlineStr">
        <is>
          <t>avverkningsanmälan</t>
        </is>
      </c>
      <c r="C247" t="inlineStr">
        <is>
          <t>Föryngringsavverkning</t>
        </is>
      </c>
      <c r="D247" s="1" t="n">
        <v>45363</v>
      </c>
      <c r="E247" s="1" t="n">
        <v>46223</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17682-2024</t>
        </is>
      </c>
      <c r="B248" t="inlineStr">
        <is>
          <t>avverkningsanmälan</t>
        </is>
      </c>
      <c r="C248" t="inlineStr">
        <is>
          <t>Föryngringsavverkning</t>
        </is>
      </c>
      <c r="D248" s="1" t="n">
        <v>45418</v>
      </c>
      <c r="E248" s="1" t="n">
        <v>46223</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57522-2022</t>
        </is>
      </c>
      <c r="B249" t="inlineStr">
        <is>
          <t>avverkningsanmälan</t>
        </is>
      </c>
      <c r="C249" t="inlineStr">
        <is>
          <t>Föryngringsavverkning</t>
        </is>
      </c>
      <c r="D249" s="1" t="n">
        <v>44896</v>
      </c>
      <c r="E249" s="1" t="n">
        <v>46223</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63516-2023</t>
        </is>
      </c>
      <c r="B250" t="inlineStr">
        <is>
          <t>avverkningsanmälan</t>
        </is>
      </c>
      <c r="C250" t="inlineStr">
        <is>
          <t>Föryngringsavverkning</t>
        </is>
      </c>
      <c r="D250" s="1" t="n">
        <v>45274</v>
      </c>
      <c r="E250" s="1" t="n">
        <v>46223</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1681-2023</t>
        </is>
      </c>
      <c r="B251" t="inlineStr">
        <is>
          <t>avverkningsanmälan</t>
        </is>
      </c>
      <c r="C251" t="inlineStr">
        <is>
          <t>Föryngringsavverkning</t>
        </is>
      </c>
      <c r="D251" s="1" t="n">
        <v>44938</v>
      </c>
      <c r="E251" s="1" t="n">
        <v>46223</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30365-2024</t>
        </is>
      </c>
      <c r="B252" t="inlineStr">
        <is>
          <t>avverkningsanmälan</t>
        </is>
      </c>
      <c r="C252" t="inlineStr">
        <is>
          <t>Föryngringsavverkning</t>
        </is>
      </c>
      <c r="D252" s="1" t="n">
        <v>45491</v>
      </c>
      <c r="E252" s="1" t="n">
        <v>46223</v>
      </c>
      <c r="F252" t="inlineStr">
        <is>
          <t>GOTLANDS LÄN</t>
        </is>
      </c>
      <c r="G252" t="inlineStr">
        <is>
          <t>GOTLAND</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6099-2024</t>
        </is>
      </c>
      <c r="B253" t="inlineStr">
        <is>
          <t>avverkningsanmälan</t>
        </is>
      </c>
      <c r="C253" t="inlineStr">
        <is>
          <t>Föryngringsavverkning</t>
        </is>
      </c>
      <c r="D253" s="1" t="n">
        <v>45337</v>
      </c>
      <c r="E253" s="1" t="n">
        <v>46223</v>
      </c>
      <c r="F253" t="inlineStr">
        <is>
          <t>GOTLANDS LÄN</t>
        </is>
      </c>
      <c r="G253" t="inlineStr">
        <is>
          <t>GOTLAND</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58780-2024</t>
        </is>
      </c>
      <c r="B254" t="inlineStr">
        <is>
          <t>avverkningsanmälan</t>
        </is>
      </c>
      <c r="C254" t="inlineStr">
        <is>
          <t>Föryngringsavverkning</t>
        </is>
      </c>
      <c r="D254" s="1" t="n">
        <v>45635</v>
      </c>
      <c r="E254" s="1" t="n">
        <v>46223</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28285-2024</t>
        </is>
      </c>
      <c r="B255" t="inlineStr">
        <is>
          <t>avverkningsanmälan</t>
        </is>
      </c>
      <c r="C255" t="inlineStr">
        <is>
          <t>Avverkning för annat ändamål</t>
        </is>
      </c>
      <c r="D255" s="1" t="n">
        <v>45477</v>
      </c>
      <c r="E255" s="1" t="n">
        <v>46223</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61682-2024</t>
        </is>
      </c>
      <c r="B256" t="inlineStr">
        <is>
          <t>avverkningsanmälan</t>
        </is>
      </c>
      <c r="C256" t="inlineStr">
        <is>
          <t>Föryngringsavverkning</t>
        </is>
      </c>
      <c r="D256" s="1" t="n">
        <v>45647</v>
      </c>
      <c r="E256" s="1" t="n">
        <v>46223</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33876-2024</t>
        </is>
      </c>
      <c r="B257" t="inlineStr">
        <is>
          <t>avverkningsanmälan</t>
        </is>
      </c>
      <c r="C257" t="inlineStr">
        <is>
          <t>Föryngringsavverkning</t>
        </is>
      </c>
      <c r="D257" s="1" t="n">
        <v>45521</v>
      </c>
      <c r="E257" s="1" t="n">
        <v>46223</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17688-2024</t>
        </is>
      </c>
      <c r="B258" t="inlineStr">
        <is>
          <t>avverkningsanmälan</t>
        </is>
      </c>
      <c r="C258" t="inlineStr">
        <is>
          <t>Föryngringsavverkning</t>
        </is>
      </c>
      <c r="D258" s="1" t="n">
        <v>45418</v>
      </c>
      <c r="E258" s="1" t="n">
        <v>46223</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7850-2025</t>
        </is>
      </c>
      <c r="B259" t="inlineStr">
        <is>
          <t>avverkningsanmälan</t>
        </is>
      </c>
      <c r="C259" t="inlineStr">
        <is>
          <t>Föryngringsavverkning</t>
        </is>
      </c>
      <c r="D259" s="1" t="n">
        <v>45706</v>
      </c>
      <c r="E259" s="1" t="n">
        <v>46223</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46223</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8444-2025</t>
        </is>
      </c>
      <c r="B261" t="inlineStr">
        <is>
          <t>avverkningsanmälan</t>
        </is>
      </c>
      <c r="C261" t="inlineStr">
        <is>
          <t>Föryngringsavverkning</t>
        </is>
      </c>
      <c r="D261" s="1" t="n">
        <v>45709</v>
      </c>
      <c r="E261" s="1" t="n">
        <v>46223</v>
      </c>
      <c r="F261" t="inlineStr">
        <is>
          <t>GOTLANDS LÄN</t>
        </is>
      </c>
      <c r="G261" t="inlineStr">
        <is>
          <t>GOTLAND</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4646-2026</t>
        </is>
      </c>
      <c r="B262" t="inlineStr">
        <is>
          <t>avverkningsanmälan</t>
        </is>
      </c>
      <c r="C262" t="inlineStr">
        <is>
          <t>Föryngringsavverkning</t>
        </is>
      </c>
      <c r="D262" s="1" t="n">
        <v>46048</v>
      </c>
      <c r="E262" s="1" t="n">
        <v>46223</v>
      </c>
      <c r="F262" t="inlineStr">
        <is>
          <t>GOTLANDS LÄN</t>
        </is>
      </c>
      <c r="G262" t="inlineStr">
        <is>
          <t>GOTLAND</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12599-2025</t>
        </is>
      </c>
      <c r="B263" t="inlineStr">
        <is>
          <t>avverkningsanmälan</t>
        </is>
      </c>
      <c r="C263" t="inlineStr">
        <is>
          <t>Föryngringsavverkning</t>
        </is>
      </c>
      <c r="D263" s="1" t="n">
        <v>45733</v>
      </c>
      <c r="E263" s="1" t="n">
        <v>46223</v>
      </c>
      <c r="F263" t="inlineStr">
        <is>
          <t>GOTLANDS LÄN</t>
        </is>
      </c>
      <c r="G263" t="inlineStr">
        <is>
          <t>GOTLAND</t>
        </is>
      </c>
      <c r="I263" t="n">
        <v>4.7</v>
      </c>
      <c r="J263" t="n">
        <v>0</v>
      </c>
      <c r="K263" t="n">
        <v>0</v>
      </c>
      <c r="L263" t="n">
        <v>0</v>
      </c>
      <c r="M263" t="n">
        <v>0</v>
      </c>
      <c r="N263" t="n">
        <v>0</v>
      </c>
      <c r="O263" t="n">
        <v>0</v>
      </c>
      <c r="P263" t="n">
        <v>0</v>
      </c>
      <c r="Q263" t="n">
        <v>0</v>
      </c>
      <c r="R263" t="n">
        <v>0</v>
      </c>
      <c r="S263" t="n">
        <v>0</v>
      </c>
      <c r="T263" t="n">
        <v>0</v>
      </c>
      <c r="U263" s="2" t="inlineStr"/>
    </row>
    <row r="264" ht="15" customHeight="1">
      <c r="A264" t="inlineStr">
        <is>
          <t>A 35141-2025</t>
        </is>
      </c>
      <c r="B264" t="inlineStr">
        <is>
          <t>avverkningsanmälan</t>
        </is>
      </c>
      <c r="C264" t="inlineStr">
        <is>
          <t>Föryngringsavverkning</t>
        </is>
      </c>
      <c r="D264" s="1" t="n">
        <v>45852</v>
      </c>
      <c r="E264" s="1" t="n">
        <v>46223</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35142-2025</t>
        </is>
      </c>
      <c r="B265" t="inlineStr">
        <is>
          <t>avverkningsanmälan</t>
        </is>
      </c>
      <c r="C265" t="inlineStr">
        <is>
          <t>Föryngringsavverkning</t>
        </is>
      </c>
      <c r="D265" s="1" t="n">
        <v>45852</v>
      </c>
      <c r="E265" s="1" t="n">
        <v>46223</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29196-2025</t>
        </is>
      </c>
      <c r="B266" t="inlineStr">
        <is>
          <t>avverkningsanmälan</t>
        </is>
      </c>
      <c r="C266" t="inlineStr">
        <is>
          <t>Föryngringsavverkning</t>
        </is>
      </c>
      <c r="D266" s="1" t="n">
        <v>45822</v>
      </c>
      <c r="E266" s="1" t="n">
        <v>46223</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35512-2023</t>
        </is>
      </c>
      <c r="B267" t="inlineStr">
        <is>
          <t>avverkningsanmälan</t>
        </is>
      </c>
      <c r="C267" t="inlineStr">
        <is>
          <t>Föryngringsavverkning</t>
        </is>
      </c>
      <c r="D267" s="1" t="n">
        <v>45147</v>
      </c>
      <c r="E267" s="1" t="n">
        <v>46223</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5905-2024</t>
        </is>
      </c>
      <c r="B268" t="inlineStr">
        <is>
          <t>avverkningsanmälan</t>
        </is>
      </c>
      <c r="C268" t="inlineStr">
        <is>
          <t>Föryngringsavverkning</t>
        </is>
      </c>
      <c r="D268" s="1" t="n">
        <v>45335</v>
      </c>
      <c r="E268" s="1" t="n">
        <v>46223</v>
      </c>
      <c r="F268" t="inlineStr">
        <is>
          <t>GOTLANDS LÄN</t>
        </is>
      </c>
      <c r="G268" t="inlineStr">
        <is>
          <t>GOTLAND</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1291-2023</t>
        </is>
      </c>
      <c r="B269" t="inlineStr">
        <is>
          <t>avverkningsanmälan</t>
        </is>
      </c>
      <c r="C269" t="inlineStr">
        <is>
          <t>Föryngringsavverkning</t>
        </is>
      </c>
      <c r="D269" s="1" t="n">
        <v>44936</v>
      </c>
      <c r="E269" s="1" t="n">
        <v>46223</v>
      </c>
      <c r="F269" t="inlineStr">
        <is>
          <t>GOTLANDS LÄN</t>
        </is>
      </c>
      <c r="G269" t="inlineStr">
        <is>
          <t>GOTLAND</t>
        </is>
      </c>
      <c r="I269" t="n">
        <v>7.4</v>
      </c>
      <c r="J269" t="n">
        <v>0</v>
      </c>
      <c r="K269" t="n">
        <v>0</v>
      </c>
      <c r="L269" t="n">
        <v>0</v>
      </c>
      <c r="M269" t="n">
        <v>0</v>
      </c>
      <c r="N269" t="n">
        <v>0</v>
      </c>
      <c r="O269" t="n">
        <v>0</v>
      </c>
      <c r="P269" t="n">
        <v>0</v>
      </c>
      <c r="Q269" t="n">
        <v>0</v>
      </c>
      <c r="R269" t="n">
        <v>0</v>
      </c>
      <c r="S269" t="n">
        <v>0</v>
      </c>
      <c r="T269" t="n">
        <v>0</v>
      </c>
      <c r="U269" s="2" t="inlineStr"/>
    </row>
    <row r="270" ht="15" customHeight="1">
      <c r="A270" t="inlineStr">
        <is>
          <t>A 4634-2026</t>
        </is>
      </c>
      <c r="B270" t="inlineStr">
        <is>
          <t>avverkningsanmälan</t>
        </is>
      </c>
      <c r="C270" t="inlineStr">
        <is>
          <t>Föryngringsavverkning</t>
        </is>
      </c>
      <c r="D270" s="1" t="n">
        <v>46048</v>
      </c>
      <c r="E270" s="1" t="n">
        <v>46223</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s="2" t="inlineStr"/>
    </row>
    <row r="271" ht="15" customHeight="1">
      <c r="A271" t="inlineStr">
        <is>
          <t>A 39816-2025</t>
        </is>
      </c>
      <c r="B271" t="inlineStr">
        <is>
          <t>avverkningsanmälan</t>
        </is>
      </c>
      <c r="C271" t="inlineStr">
        <is>
          <t>Föryngringsavverkning</t>
        </is>
      </c>
      <c r="D271" s="1" t="n">
        <v>45891</v>
      </c>
      <c r="E271" s="1" t="n">
        <v>46223</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40373-2025</t>
        </is>
      </c>
      <c r="B272" t="inlineStr">
        <is>
          <t>avverkningsanmälan</t>
        </is>
      </c>
      <c r="C272" t="inlineStr">
        <is>
          <t>Föryngringsavverkning</t>
        </is>
      </c>
      <c r="D272" s="1" t="n">
        <v>45895</v>
      </c>
      <c r="E272" s="1" t="n">
        <v>46223</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40372-2025</t>
        </is>
      </c>
      <c r="B273" t="inlineStr">
        <is>
          <t>avverkningsanmälan</t>
        </is>
      </c>
      <c r="C273" t="inlineStr">
        <is>
          <t>Föryngringsavverkning</t>
        </is>
      </c>
      <c r="D273" s="1" t="n">
        <v>45895</v>
      </c>
      <c r="E273" s="1" t="n">
        <v>46223</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57652-2023</t>
        </is>
      </c>
      <c r="B274" t="inlineStr">
        <is>
          <t>avverkningsanmälan</t>
        </is>
      </c>
      <c r="C274" t="inlineStr">
        <is>
          <t>Avverkning för annat ändamål</t>
        </is>
      </c>
      <c r="D274" s="1" t="n">
        <v>45246</v>
      </c>
      <c r="E274" s="1" t="n">
        <v>46223</v>
      </c>
      <c r="F274" t="inlineStr">
        <is>
          <t>GOTLANDS LÄN</t>
        </is>
      </c>
      <c r="G274" t="inlineStr">
        <is>
          <t>GOTLAND</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30061-2025</t>
        </is>
      </c>
      <c r="B275" t="inlineStr">
        <is>
          <t>avverkningsanmälan</t>
        </is>
      </c>
      <c r="C275" t="inlineStr">
        <is>
          <t>Föryngringsavverkning</t>
        </is>
      </c>
      <c r="D275" s="1" t="n">
        <v>45826</v>
      </c>
      <c r="E275" s="1" t="n">
        <v>46223</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4670-2026</t>
        </is>
      </c>
      <c r="B276" t="inlineStr">
        <is>
          <t>avverkningsanmälan</t>
        </is>
      </c>
      <c r="C276" t="inlineStr">
        <is>
          <t>Föryngringsavverkning</t>
        </is>
      </c>
      <c r="D276" s="1" t="n">
        <v>46048</v>
      </c>
      <c r="E276" s="1" t="n">
        <v>46223</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58160-2024</t>
        </is>
      </c>
      <c r="B277" t="inlineStr">
        <is>
          <t>avverkningsanmälan</t>
        </is>
      </c>
      <c r="C277" t="inlineStr">
        <is>
          <t>Föryngringsavverkning</t>
        </is>
      </c>
      <c r="D277" s="1" t="n">
        <v>45632</v>
      </c>
      <c r="E277" s="1" t="n">
        <v>46223</v>
      </c>
      <c r="F277" t="inlineStr">
        <is>
          <t>GOTLANDS LÄN</t>
        </is>
      </c>
      <c r="G277" t="inlineStr">
        <is>
          <t>GOTLAND</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49315-2024</t>
        </is>
      </c>
      <c r="B278" t="inlineStr">
        <is>
          <t>avverkningsanmälan</t>
        </is>
      </c>
      <c r="C278" t="inlineStr">
        <is>
          <t>Avverkning för annat ändamål</t>
        </is>
      </c>
      <c r="D278" s="1" t="n">
        <v>45595</v>
      </c>
      <c r="E278" s="1" t="n">
        <v>46223</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2676-2023</t>
        </is>
      </c>
      <c r="B279" t="inlineStr">
        <is>
          <t>avverkningsanmälan</t>
        </is>
      </c>
      <c r="C279" t="inlineStr">
        <is>
          <t>Avverkning för annat ändamål</t>
        </is>
      </c>
      <c r="D279" s="1" t="n">
        <v>44944</v>
      </c>
      <c r="E279" s="1" t="n">
        <v>46223</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8484-2025</t>
        </is>
      </c>
      <c r="B280" t="inlineStr">
        <is>
          <t>avverkningsanmälan</t>
        </is>
      </c>
      <c r="C280" t="inlineStr">
        <is>
          <t>Avverkning för annat ändamål</t>
        </is>
      </c>
      <c r="D280" s="1" t="n">
        <v>45709</v>
      </c>
      <c r="E280" s="1" t="n">
        <v>46223</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7636-2025</t>
        </is>
      </c>
      <c r="B281" t="inlineStr">
        <is>
          <t>avverkningsanmälan</t>
        </is>
      </c>
      <c r="C281" t="inlineStr">
        <is>
          <t>Föryngringsavverkning</t>
        </is>
      </c>
      <c r="D281" s="1" t="n">
        <v>45705</v>
      </c>
      <c r="E281" s="1" t="n">
        <v>46223</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7639-2025</t>
        </is>
      </c>
      <c r="B282" t="inlineStr">
        <is>
          <t>avverkningsanmälan</t>
        </is>
      </c>
      <c r="C282" t="inlineStr">
        <is>
          <t>Föryngringsavverkning</t>
        </is>
      </c>
      <c r="D282" s="1" t="n">
        <v>45705</v>
      </c>
      <c r="E282" s="1" t="n">
        <v>46223</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20356-2022</t>
        </is>
      </c>
      <c r="B283" t="inlineStr">
        <is>
          <t>avverkningsanmälan</t>
        </is>
      </c>
      <c r="C283" t="inlineStr">
        <is>
          <t>Avverkning för annat ändamål</t>
        </is>
      </c>
      <c r="D283" s="1" t="n">
        <v>44699</v>
      </c>
      <c r="E283" s="1" t="n">
        <v>46223</v>
      </c>
      <c r="F283" t="inlineStr">
        <is>
          <t>GOTLANDS LÄN</t>
        </is>
      </c>
      <c r="G283" t="inlineStr">
        <is>
          <t>GOTLAND</t>
        </is>
      </c>
      <c r="H283" t="inlineStr">
        <is>
          <t>Övriga Aktiebolag</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48734-2022</t>
        </is>
      </c>
      <c r="B284" t="inlineStr">
        <is>
          <t>avverkningsanmälan</t>
        </is>
      </c>
      <c r="C284" t="inlineStr">
        <is>
          <t>Föryngringsavverkning</t>
        </is>
      </c>
      <c r="D284" s="1" t="n">
        <v>44855</v>
      </c>
      <c r="E284" s="1" t="n">
        <v>46223</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16109-2025</t>
        </is>
      </c>
      <c r="B285" t="inlineStr">
        <is>
          <t>avverkningsanmälan</t>
        </is>
      </c>
      <c r="C285" t="inlineStr">
        <is>
          <t>Avverkning för annat ändamål</t>
        </is>
      </c>
      <c r="D285" s="1" t="n">
        <v>45750</v>
      </c>
      <c r="E285" s="1" t="n">
        <v>46223</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s="2" t="inlineStr"/>
    </row>
    <row r="286" ht="15" customHeight="1">
      <c r="A286" t="inlineStr">
        <is>
          <t>A 43951-2025</t>
        </is>
      </c>
      <c r="B286" t="inlineStr">
        <is>
          <t>avverkningsanmälan</t>
        </is>
      </c>
      <c r="C286" t="inlineStr">
        <is>
          <t>Föryngringsavverkning</t>
        </is>
      </c>
      <c r="D286" s="1" t="n">
        <v>45915</v>
      </c>
      <c r="E286" s="1" t="n">
        <v>46223</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57685-2022</t>
        </is>
      </c>
      <c r="B287" t="inlineStr">
        <is>
          <t>avverkningsanmälan</t>
        </is>
      </c>
      <c r="C287" t="inlineStr">
        <is>
          <t>Föryngringsavverkning</t>
        </is>
      </c>
      <c r="D287" s="1" t="n">
        <v>44897</v>
      </c>
      <c r="E287" s="1" t="n">
        <v>46223</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30815-2023</t>
        </is>
      </c>
      <c r="B288" t="inlineStr">
        <is>
          <t>avverkningsanmälan</t>
        </is>
      </c>
      <c r="C288" t="inlineStr">
        <is>
          <t>Avverkning för annat ändamål</t>
        </is>
      </c>
      <c r="D288" s="1" t="n">
        <v>45112</v>
      </c>
      <c r="E288" s="1" t="n">
        <v>46223</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7034-2023</t>
        </is>
      </c>
      <c r="B289" t="inlineStr">
        <is>
          <t>avverkningsanmälan</t>
        </is>
      </c>
      <c r="C289" t="inlineStr">
        <is>
          <t>Föryngringsavverkning</t>
        </is>
      </c>
      <c r="D289" s="1" t="n">
        <v>44968</v>
      </c>
      <c r="E289" s="1" t="n">
        <v>46223</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23516-2023</t>
        </is>
      </c>
      <c r="B290" t="inlineStr">
        <is>
          <t>avverkningsanmälan</t>
        </is>
      </c>
      <c r="C290" t="inlineStr">
        <is>
          <t>Föryngringsavverkning</t>
        </is>
      </c>
      <c r="D290" s="1" t="n">
        <v>45076</v>
      </c>
      <c r="E290" s="1" t="n">
        <v>46223</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64660-2023</t>
        </is>
      </c>
      <c r="B291" t="inlineStr">
        <is>
          <t>avverkningsanmälan</t>
        </is>
      </c>
      <c r="C291" t="inlineStr">
        <is>
          <t>Föryngringsavverkning</t>
        </is>
      </c>
      <c r="D291" s="1" t="n">
        <v>45281</v>
      </c>
      <c r="E291" s="1" t="n">
        <v>46223</v>
      </c>
      <c r="F291" t="inlineStr">
        <is>
          <t>GOTLANDS LÄN</t>
        </is>
      </c>
      <c r="G291" t="inlineStr">
        <is>
          <t>GOTLAND</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35123-2025</t>
        </is>
      </c>
      <c r="B292" t="inlineStr">
        <is>
          <t>avverkningsanmälan</t>
        </is>
      </c>
      <c r="C292" t="inlineStr">
        <is>
          <t>Föryngringsavverkning</t>
        </is>
      </c>
      <c r="D292" s="1" t="n">
        <v>45852</v>
      </c>
      <c r="E292" s="1" t="n">
        <v>46223</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63763-2023</t>
        </is>
      </c>
      <c r="B293" t="inlineStr">
        <is>
          <t>avverkningsanmälan</t>
        </is>
      </c>
      <c r="C293" t="inlineStr">
        <is>
          <t>Föryngringsavverkning</t>
        </is>
      </c>
      <c r="D293" s="1" t="n">
        <v>45278</v>
      </c>
      <c r="E293" s="1" t="n">
        <v>46223</v>
      </c>
      <c r="F293" t="inlineStr">
        <is>
          <t>GOTLANDS LÄN</t>
        </is>
      </c>
      <c r="G293" t="inlineStr">
        <is>
          <t>GOTLAND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26391-2025</t>
        </is>
      </c>
      <c r="B294" t="inlineStr">
        <is>
          <t>avverkningsanmälan</t>
        </is>
      </c>
      <c r="C294" t="inlineStr">
        <is>
          <t>Avverkning för annat ändamål</t>
        </is>
      </c>
      <c r="D294" s="1" t="n">
        <v>45806</v>
      </c>
      <c r="E294" s="1" t="n">
        <v>46223</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32669-2024</t>
        </is>
      </c>
      <c r="B295" t="inlineStr">
        <is>
          <t>avverkningsanmälan</t>
        </is>
      </c>
      <c r="C295" t="inlineStr">
        <is>
          <t>Föryngringsavverkning</t>
        </is>
      </c>
      <c r="D295" s="1" t="n">
        <v>45514</v>
      </c>
      <c r="E295" s="1" t="n">
        <v>46223</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46836-2025</t>
        </is>
      </c>
      <c r="B296" t="inlineStr">
        <is>
          <t>avverkningsanmälan</t>
        </is>
      </c>
      <c r="C296" t="inlineStr">
        <is>
          <t>Föryngringsavverkning</t>
        </is>
      </c>
      <c r="D296" s="1" t="n">
        <v>45928</v>
      </c>
      <c r="E296" s="1" t="n">
        <v>46223</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47637-2025</t>
        </is>
      </c>
      <c r="B297" t="inlineStr">
        <is>
          <t>avverkningsanmälan</t>
        </is>
      </c>
      <c r="C297" t="inlineStr">
        <is>
          <t>Föryngringsavverkning</t>
        </is>
      </c>
      <c r="D297" s="1" t="n">
        <v>45931</v>
      </c>
      <c r="E297" s="1" t="n">
        <v>46223</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15216-2025</t>
        </is>
      </c>
      <c r="B298" t="inlineStr">
        <is>
          <t>avverkningsanmälan</t>
        </is>
      </c>
      <c r="C298" t="inlineStr">
        <is>
          <t>Föryngringsavverkning</t>
        </is>
      </c>
      <c r="D298" s="1" t="n">
        <v>45744</v>
      </c>
      <c r="E298" s="1" t="n">
        <v>46223</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43790-2024</t>
        </is>
      </c>
      <c r="B299" t="inlineStr">
        <is>
          <t>avverkningsanmälan</t>
        </is>
      </c>
      <c r="C299" t="inlineStr">
        <is>
          <t>Föryngringsavverkning</t>
        </is>
      </c>
      <c r="D299" s="1" t="n">
        <v>45571</v>
      </c>
      <c r="E299" s="1" t="n">
        <v>46223</v>
      </c>
      <c r="F299" t="inlineStr">
        <is>
          <t>GOTLANDS LÄN</t>
        </is>
      </c>
      <c r="G299" t="inlineStr">
        <is>
          <t>GOTLAND</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15001-2025</t>
        </is>
      </c>
      <c r="B300" t="inlineStr">
        <is>
          <t>avverkningsanmälan</t>
        </is>
      </c>
      <c r="C300" t="inlineStr">
        <is>
          <t>Föryngringsavverkning</t>
        </is>
      </c>
      <c r="D300" s="1" t="n">
        <v>45743</v>
      </c>
      <c r="E300" s="1" t="n">
        <v>46223</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30488-2025</t>
        </is>
      </c>
      <c r="B301" t="inlineStr">
        <is>
          <t>avverkningsanmälan</t>
        </is>
      </c>
      <c r="C301" t="inlineStr">
        <is>
          <t>Föryngringsavverkning</t>
        </is>
      </c>
      <c r="D301" s="1" t="n">
        <v>45830</v>
      </c>
      <c r="E301" s="1" t="n">
        <v>46223</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17847-2025</t>
        </is>
      </c>
      <c r="B302" t="inlineStr">
        <is>
          <t>avverkningsanmälan</t>
        </is>
      </c>
      <c r="C302" t="inlineStr">
        <is>
          <t>Föryngringsavverkning</t>
        </is>
      </c>
      <c r="D302" s="1" t="n">
        <v>45758</v>
      </c>
      <c r="E302" s="1" t="n">
        <v>46223</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1734-2025</t>
        </is>
      </c>
      <c r="B303" t="inlineStr">
        <is>
          <t>avverkningsanmälan</t>
        </is>
      </c>
      <c r="C303" t="inlineStr">
        <is>
          <t>Föryngringsavverkning</t>
        </is>
      </c>
      <c r="D303" s="1" t="n">
        <v>45671</v>
      </c>
      <c r="E303" s="1" t="n">
        <v>46223</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18742-2025</t>
        </is>
      </c>
      <c r="B304" t="inlineStr">
        <is>
          <t>avverkningsanmälan</t>
        </is>
      </c>
      <c r="C304" t="inlineStr">
        <is>
          <t>Avverkning för annat ändamål</t>
        </is>
      </c>
      <c r="D304" s="1" t="n">
        <v>45763</v>
      </c>
      <c r="E304" s="1" t="n">
        <v>46223</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35129-2025</t>
        </is>
      </c>
      <c r="B305" t="inlineStr">
        <is>
          <t>avverkningsanmälan</t>
        </is>
      </c>
      <c r="C305" t="inlineStr">
        <is>
          <t>Föryngringsavverkning</t>
        </is>
      </c>
      <c r="D305" s="1" t="n">
        <v>45852</v>
      </c>
      <c r="E305" s="1" t="n">
        <v>46223</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20993-2023</t>
        </is>
      </c>
      <c r="B306" t="inlineStr">
        <is>
          <t>avverkningsanmälan</t>
        </is>
      </c>
      <c r="C306" t="inlineStr">
        <is>
          <t>Föryngringsavverkning</t>
        </is>
      </c>
      <c r="D306" s="1" t="n">
        <v>45056</v>
      </c>
      <c r="E306" s="1" t="n">
        <v>46223</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35550-2025</t>
        </is>
      </c>
      <c r="B307" t="inlineStr">
        <is>
          <t>avverkningsanmälan</t>
        </is>
      </c>
      <c r="C307" t="inlineStr">
        <is>
          <t>Föryngringsavverkning</t>
        </is>
      </c>
      <c r="D307" s="1" t="n">
        <v>45856</v>
      </c>
      <c r="E307" s="1" t="n">
        <v>46223</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47578-2025</t>
        </is>
      </c>
      <c r="B308" t="inlineStr">
        <is>
          <t>avverkningsanmälan</t>
        </is>
      </c>
      <c r="C308" t="inlineStr">
        <is>
          <t>Avverkning för annat ändamål</t>
        </is>
      </c>
      <c r="D308" s="1" t="n">
        <v>45931</v>
      </c>
      <c r="E308" s="1" t="n">
        <v>46223</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s="2" t="inlineStr"/>
    </row>
    <row r="309" ht="15" customHeight="1">
      <c r="A309" t="inlineStr">
        <is>
          <t>A 12596-2023</t>
        </is>
      </c>
      <c r="B309" t="inlineStr">
        <is>
          <t>avverkningsanmälan</t>
        </is>
      </c>
      <c r="C309" t="inlineStr">
        <is>
          <t>Föryngringsavverkning</t>
        </is>
      </c>
      <c r="D309" s="1" t="n">
        <v>45000</v>
      </c>
      <c r="E309" s="1" t="n">
        <v>46223</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2125-2025</t>
        </is>
      </c>
      <c r="B310" t="inlineStr">
        <is>
          <t>avverkningsanmälan</t>
        </is>
      </c>
      <c r="C310" t="inlineStr">
        <is>
          <t>Föryngringsavverkning</t>
        </is>
      </c>
      <c r="D310" s="1" t="n">
        <v>45672</v>
      </c>
      <c r="E310" s="1" t="n">
        <v>46223</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49730-2025</t>
        </is>
      </c>
      <c r="B311" t="inlineStr">
        <is>
          <t>avverkningsanmälan</t>
        </is>
      </c>
      <c r="C311" t="inlineStr">
        <is>
          <t>Föryngringsavverkning</t>
        </is>
      </c>
      <c r="D311" s="1" t="n">
        <v>45939</v>
      </c>
      <c r="E311" s="1" t="n">
        <v>46223</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12155-2023</t>
        </is>
      </c>
      <c r="B312" t="inlineStr">
        <is>
          <t>avverkningsanmälan</t>
        </is>
      </c>
      <c r="C312" t="inlineStr">
        <is>
          <t>Föryngringsavverkning</t>
        </is>
      </c>
      <c r="D312" s="1" t="n">
        <v>44998</v>
      </c>
      <c r="E312" s="1" t="n">
        <v>46223</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457-2023</t>
        </is>
      </c>
      <c r="B313" t="inlineStr">
        <is>
          <t>avverkningsanmälan</t>
        </is>
      </c>
      <c r="C313" t="inlineStr">
        <is>
          <t>Föryngringsavverkning</t>
        </is>
      </c>
      <c r="D313" s="1" t="n">
        <v>44929</v>
      </c>
      <c r="E313" s="1" t="n">
        <v>46223</v>
      </c>
      <c r="F313" t="inlineStr">
        <is>
          <t>GOTLANDS LÄN</t>
        </is>
      </c>
      <c r="G313" t="inlineStr">
        <is>
          <t>GOTLAND</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459-2023</t>
        </is>
      </c>
      <c r="B314" t="inlineStr">
        <is>
          <t>avverkningsanmälan</t>
        </is>
      </c>
      <c r="C314" t="inlineStr">
        <is>
          <t>Föryngringsavverkning</t>
        </is>
      </c>
      <c r="D314" s="1" t="n">
        <v>44929</v>
      </c>
      <c r="E314" s="1" t="n">
        <v>46223</v>
      </c>
      <c r="F314" t="inlineStr">
        <is>
          <t>GOTLANDS LÄN</t>
        </is>
      </c>
      <c r="G314" t="inlineStr">
        <is>
          <t>GOTLAND</t>
        </is>
      </c>
      <c r="I314" t="n">
        <v>4.2</v>
      </c>
      <c r="J314" t="n">
        <v>0</v>
      </c>
      <c r="K314" t="n">
        <v>0</v>
      </c>
      <c r="L314" t="n">
        <v>0</v>
      </c>
      <c r="M314" t="n">
        <v>0</v>
      </c>
      <c r="N314" t="n">
        <v>0</v>
      </c>
      <c r="O314" t="n">
        <v>0</v>
      </c>
      <c r="P314" t="n">
        <v>0</v>
      </c>
      <c r="Q314" t="n">
        <v>0</v>
      </c>
      <c r="R314" t="n">
        <v>0</v>
      </c>
      <c r="S314" t="n">
        <v>0</v>
      </c>
      <c r="T314" t="n">
        <v>0</v>
      </c>
      <c r="U314" s="2" t="inlineStr"/>
    </row>
    <row r="315" ht="15" customHeight="1">
      <c r="A315" t="inlineStr">
        <is>
          <t>A 38234-2023</t>
        </is>
      </c>
      <c r="B315" t="inlineStr">
        <is>
          <t>avverkningsanmälan</t>
        </is>
      </c>
      <c r="C315" t="inlineStr">
        <is>
          <t>Föryngringsavverkning</t>
        </is>
      </c>
      <c r="D315" s="1" t="n">
        <v>45161</v>
      </c>
      <c r="E315" s="1" t="n">
        <v>46223</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49690-2025</t>
        </is>
      </c>
      <c r="B316" t="inlineStr">
        <is>
          <t>avverkningsanmälan</t>
        </is>
      </c>
      <c r="C316" t="inlineStr">
        <is>
          <t>Föryngringsavverkning</t>
        </is>
      </c>
      <c r="D316" s="1" t="n">
        <v>45939</v>
      </c>
      <c r="E316" s="1" t="n">
        <v>46223</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50744-2024</t>
        </is>
      </c>
      <c r="B317" t="inlineStr">
        <is>
          <t>avverkningsanmälan</t>
        </is>
      </c>
      <c r="C317" t="inlineStr">
        <is>
          <t>Föryngringsavverkning</t>
        </is>
      </c>
      <c r="D317" s="1" t="n">
        <v>45602</v>
      </c>
      <c r="E317" s="1" t="n">
        <v>46223</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6108-2025</t>
        </is>
      </c>
      <c r="B318" t="inlineStr">
        <is>
          <t>avverkningsanmälan</t>
        </is>
      </c>
      <c r="C318" t="inlineStr">
        <is>
          <t>Föryngringsavverkning</t>
        </is>
      </c>
      <c r="D318" s="1" t="n">
        <v>45698</v>
      </c>
      <c r="E318" s="1" t="n">
        <v>46223</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21142-2025</t>
        </is>
      </c>
      <c r="B319" t="inlineStr">
        <is>
          <t>avverkningsanmälan</t>
        </is>
      </c>
      <c r="C319" t="inlineStr">
        <is>
          <t>Föryngringsavverkning</t>
        </is>
      </c>
      <c r="D319" s="1" t="n">
        <v>45779</v>
      </c>
      <c r="E319" s="1" t="n">
        <v>46223</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17343-2025</t>
        </is>
      </c>
      <c r="B320" t="inlineStr">
        <is>
          <t>avverkningsanmälan</t>
        </is>
      </c>
      <c r="C320" t="inlineStr">
        <is>
          <t>Föryngringsavverkning</t>
        </is>
      </c>
      <c r="D320" s="1" t="n">
        <v>45756</v>
      </c>
      <c r="E320" s="1" t="n">
        <v>46223</v>
      </c>
      <c r="F320" t="inlineStr">
        <is>
          <t>GOTLANDS LÄN</t>
        </is>
      </c>
      <c r="G320" t="inlineStr">
        <is>
          <t>GOTLAND</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18938-2025</t>
        </is>
      </c>
      <c r="B321" t="inlineStr">
        <is>
          <t>avverkningsanmälan</t>
        </is>
      </c>
      <c r="C321" t="inlineStr">
        <is>
          <t>Föryngringsavverkning</t>
        </is>
      </c>
      <c r="D321" s="1" t="n">
        <v>45764</v>
      </c>
      <c r="E321" s="1" t="n">
        <v>46223</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20307-2025</t>
        </is>
      </c>
      <c r="B322" t="inlineStr">
        <is>
          <t>avverkningsanmälan</t>
        </is>
      </c>
      <c r="C322" t="inlineStr">
        <is>
          <t>Föryngringsavverkning</t>
        </is>
      </c>
      <c r="D322" s="1" t="n">
        <v>45774</v>
      </c>
      <c r="E322" s="1" t="n">
        <v>46223</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s="2" t="inlineStr"/>
    </row>
    <row r="323" ht="15" customHeight="1">
      <c r="A323" t="inlineStr">
        <is>
          <t>A 7627-2026</t>
        </is>
      </c>
      <c r="B323" t="inlineStr">
        <is>
          <t>avverkningsanmälan</t>
        </is>
      </c>
      <c r="C323" t="inlineStr">
        <is>
          <t>Föryngringsavverkning</t>
        </is>
      </c>
      <c r="D323" s="1" t="n">
        <v>46062</v>
      </c>
      <c r="E323" s="1" t="n">
        <v>46223</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1446-2025</t>
        </is>
      </c>
      <c r="B324" t="inlineStr">
        <is>
          <t>avverkningsanmälan</t>
        </is>
      </c>
      <c r="C324" t="inlineStr">
        <is>
          <t>Föryngringsavverkning</t>
        </is>
      </c>
      <c r="D324" s="1" t="n">
        <v>45669</v>
      </c>
      <c r="E324" s="1" t="n">
        <v>46223</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2135-2026</t>
        </is>
      </c>
      <c r="B325" t="inlineStr">
        <is>
          <t>avverkningsanmälan</t>
        </is>
      </c>
      <c r="C325" t="inlineStr">
        <is>
          <t>Avverkning för annat ändamål</t>
        </is>
      </c>
      <c r="D325" s="1" t="n">
        <v>46036</v>
      </c>
      <c r="E325" s="1" t="n">
        <v>46223</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43901-2023</t>
        </is>
      </c>
      <c r="B326" t="inlineStr">
        <is>
          <t>avverkningsanmälan</t>
        </is>
      </c>
      <c r="C326" t="inlineStr">
        <is>
          <t>Föryngringsavverkning</t>
        </is>
      </c>
      <c r="D326" s="1" t="n">
        <v>45187</v>
      </c>
      <c r="E326" s="1" t="n">
        <v>46223</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10746-2025</t>
        </is>
      </c>
      <c r="B327" t="inlineStr">
        <is>
          <t>avverkningsanmälan</t>
        </is>
      </c>
      <c r="C327" t="inlineStr">
        <is>
          <t>Föryngringsavverkning</t>
        </is>
      </c>
      <c r="D327" s="1" t="n">
        <v>45722</v>
      </c>
      <c r="E327" s="1" t="n">
        <v>46223</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16501-2023</t>
        </is>
      </c>
      <c r="B328" t="inlineStr">
        <is>
          <t>avverkningsanmälan</t>
        </is>
      </c>
      <c r="C328" t="inlineStr">
        <is>
          <t>Avverkning för att bevara och utveckla /försöksver</t>
        </is>
      </c>
      <c r="D328" s="1" t="n">
        <v>45029</v>
      </c>
      <c r="E328" s="1" t="n">
        <v>46223</v>
      </c>
      <c r="F328" t="inlineStr">
        <is>
          <t>GOTLANDS LÄN</t>
        </is>
      </c>
      <c r="G328" t="inlineStr">
        <is>
          <t>GOTLAND</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20356-2022</t>
        </is>
      </c>
      <c r="B329" t="inlineStr">
        <is>
          <t>avverkningsanmälan</t>
        </is>
      </c>
      <c r="C329" t="inlineStr">
        <is>
          <t>Avverkning för annat ändamål</t>
        </is>
      </c>
      <c r="D329" s="1" t="n">
        <v>44699</v>
      </c>
      <c r="E329" s="1" t="n">
        <v>46223</v>
      </c>
      <c r="F329" t="inlineStr">
        <is>
          <t>GOTLANDS LÄN</t>
        </is>
      </c>
      <c r="G329" t="inlineStr">
        <is>
          <t>GOTLAND</t>
        </is>
      </c>
      <c r="H329" t="inlineStr">
        <is>
          <t>Övriga Aktiebolag</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61962-2024</t>
        </is>
      </c>
      <c r="B330" t="inlineStr">
        <is>
          <t>avverkningsanmälan</t>
        </is>
      </c>
      <c r="C330" t="inlineStr">
        <is>
          <t>Föryngringsavverkning</t>
        </is>
      </c>
      <c r="D330" s="1" t="n">
        <v>45653</v>
      </c>
      <c r="E330" s="1" t="n">
        <v>46223</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10492-2023</t>
        </is>
      </c>
      <c r="B331" t="inlineStr">
        <is>
          <t>avverkningsanmälan</t>
        </is>
      </c>
      <c r="C331" t="inlineStr">
        <is>
          <t>Föryngringsavverkning</t>
        </is>
      </c>
      <c r="D331" s="1" t="n">
        <v>44987</v>
      </c>
      <c r="E331" s="1" t="n">
        <v>46223</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9518-2026</t>
        </is>
      </c>
      <c r="B332" t="inlineStr">
        <is>
          <t>avverkningsanmälan</t>
        </is>
      </c>
      <c r="C332" t="inlineStr">
        <is>
          <t>Föryngringsavverkning</t>
        </is>
      </c>
      <c r="D332" s="1" t="n">
        <v>46071</v>
      </c>
      <c r="E332" s="1" t="n">
        <v>46223</v>
      </c>
      <c r="F332" t="inlineStr">
        <is>
          <t>GOTLANDS LÄN</t>
        </is>
      </c>
      <c r="G332" t="inlineStr">
        <is>
          <t>GOTLAND</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9519-2026</t>
        </is>
      </c>
      <c r="B333" t="inlineStr">
        <is>
          <t>avverkningsanmälan</t>
        </is>
      </c>
      <c r="C333" t="inlineStr">
        <is>
          <t>Föryngringsavverkning</t>
        </is>
      </c>
      <c r="D333" s="1" t="n">
        <v>46071</v>
      </c>
      <c r="E333" s="1" t="n">
        <v>46223</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9540-2026</t>
        </is>
      </c>
      <c r="B334" t="inlineStr">
        <is>
          <t>avverkningsanmälan</t>
        </is>
      </c>
      <c r="C334" t="inlineStr">
        <is>
          <t>Föryngringsavverkning</t>
        </is>
      </c>
      <c r="D334" s="1" t="n">
        <v>46071</v>
      </c>
      <c r="E334" s="1" t="n">
        <v>46223</v>
      </c>
      <c r="F334" t="inlineStr">
        <is>
          <t>GOTLANDS LÄN</t>
        </is>
      </c>
      <c r="G334" t="inlineStr">
        <is>
          <t>GOTLAND</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9521-2026</t>
        </is>
      </c>
      <c r="B335" t="inlineStr">
        <is>
          <t>avverkningsanmälan</t>
        </is>
      </c>
      <c r="C335" t="inlineStr">
        <is>
          <t>Föryngringsavverkning</t>
        </is>
      </c>
      <c r="D335" s="1" t="n">
        <v>46071</v>
      </c>
      <c r="E335" s="1" t="n">
        <v>46223</v>
      </c>
      <c r="F335" t="inlineStr">
        <is>
          <t>GOTLANDS LÄN</t>
        </is>
      </c>
      <c r="G335" t="inlineStr">
        <is>
          <t>GOTLAND</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9524-2026</t>
        </is>
      </c>
      <c r="B336" t="inlineStr">
        <is>
          <t>avverkningsanmälan</t>
        </is>
      </c>
      <c r="C336" t="inlineStr">
        <is>
          <t>Föryngringsavverkning</t>
        </is>
      </c>
      <c r="D336" s="1" t="n">
        <v>46071</v>
      </c>
      <c r="E336" s="1" t="n">
        <v>46223</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9543-2026</t>
        </is>
      </c>
      <c r="B337" t="inlineStr">
        <is>
          <t>avverkningsanmälan</t>
        </is>
      </c>
      <c r="C337" t="inlineStr">
        <is>
          <t>Föryngringsavverkning</t>
        </is>
      </c>
      <c r="D337" s="1" t="n">
        <v>46071</v>
      </c>
      <c r="E337" s="1" t="n">
        <v>46223</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10653-2023</t>
        </is>
      </c>
      <c r="B338" t="inlineStr">
        <is>
          <t>avverkningsanmälan</t>
        </is>
      </c>
      <c r="C338" t="inlineStr">
        <is>
          <t>Föryngringsavverkning</t>
        </is>
      </c>
      <c r="D338" s="1" t="n">
        <v>44988</v>
      </c>
      <c r="E338" s="1" t="n">
        <v>46223</v>
      </c>
      <c r="F338" t="inlineStr">
        <is>
          <t>GOTLANDS LÄN</t>
        </is>
      </c>
      <c r="G338" t="inlineStr">
        <is>
          <t>GOTLAND</t>
        </is>
      </c>
      <c r="H338" t="inlineStr">
        <is>
          <t>Kyrkan</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4990-2025</t>
        </is>
      </c>
      <c r="B339" t="inlineStr">
        <is>
          <t>avverkningsanmälan</t>
        </is>
      </c>
      <c r="C339" t="inlineStr">
        <is>
          <t>Föryngringsavverkning</t>
        </is>
      </c>
      <c r="D339" s="1" t="n">
        <v>45691</v>
      </c>
      <c r="E339" s="1" t="n">
        <v>46223</v>
      </c>
      <c r="F339" t="inlineStr">
        <is>
          <t>GOTLANDS LÄN</t>
        </is>
      </c>
      <c r="G339" t="inlineStr">
        <is>
          <t>GOTLAND</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10284-2026</t>
        </is>
      </c>
      <c r="B340" t="inlineStr">
        <is>
          <t>avverkningsanmälan</t>
        </is>
      </c>
      <c r="C340" t="inlineStr">
        <is>
          <t>Avverkning för annat ändamål</t>
        </is>
      </c>
      <c r="D340" s="1" t="n">
        <v>46076</v>
      </c>
      <c r="E340" s="1" t="n">
        <v>46223</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43081-2022</t>
        </is>
      </c>
      <c r="B341" t="inlineStr">
        <is>
          <t>avverkningsanmälan</t>
        </is>
      </c>
      <c r="C341" t="inlineStr">
        <is>
          <t>Föryngringsavverkning</t>
        </is>
      </c>
      <c r="D341" s="1" t="n">
        <v>44833</v>
      </c>
      <c r="E341" s="1" t="n">
        <v>46223</v>
      </c>
      <c r="F341" t="inlineStr">
        <is>
          <t>GOTLANDS LÄN</t>
        </is>
      </c>
      <c r="G341" t="inlineStr">
        <is>
          <t>GOTLAND</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5884-2025</t>
        </is>
      </c>
      <c r="B342" t="inlineStr">
        <is>
          <t>avverkningsanmälan</t>
        </is>
      </c>
      <c r="C342" t="inlineStr">
        <is>
          <t>Föryngringsavverkning</t>
        </is>
      </c>
      <c r="D342" s="1" t="n">
        <v>45695</v>
      </c>
      <c r="E342" s="1" t="n">
        <v>46223</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5897-2025</t>
        </is>
      </c>
      <c r="B343" t="inlineStr">
        <is>
          <t>avverkningsanmälan</t>
        </is>
      </c>
      <c r="C343" t="inlineStr">
        <is>
          <t>Föryngringsavverkning</t>
        </is>
      </c>
      <c r="D343" s="1" t="n">
        <v>45695</v>
      </c>
      <c r="E343" s="1" t="n">
        <v>46223</v>
      </c>
      <c r="F343" t="inlineStr">
        <is>
          <t>GOTLANDS LÄN</t>
        </is>
      </c>
      <c r="G343" t="inlineStr">
        <is>
          <t>GOTLAND</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49697-2023</t>
        </is>
      </c>
      <c r="B344" t="inlineStr">
        <is>
          <t>avverkningsanmälan</t>
        </is>
      </c>
      <c r="C344" t="inlineStr">
        <is>
          <t>Föryngringsavverkning</t>
        </is>
      </c>
      <c r="D344" s="1" t="n">
        <v>45212</v>
      </c>
      <c r="E344" s="1" t="n">
        <v>46223</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s="2" t="inlineStr"/>
    </row>
    <row r="345" ht="15" customHeight="1">
      <c r="A345" t="inlineStr">
        <is>
          <t>A 17901-2023</t>
        </is>
      </c>
      <c r="B345" t="inlineStr">
        <is>
          <t>avverkningsanmälan</t>
        </is>
      </c>
      <c r="C345" t="inlineStr">
        <is>
          <t>Föryngringsavverkning</t>
        </is>
      </c>
      <c r="D345" s="1" t="n">
        <v>45039</v>
      </c>
      <c r="E345" s="1" t="n">
        <v>46223</v>
      </c>
      <c r="F345" t="inlineStr">
        <is>
          <t>GOTLANDS LÄN</t>
        </is>
      </c>
      <c r="G345" t="inlineStr">
        <is>
          <t>GOTLAND</t>
        </is>
      </c>
      <c r="H345" t="inlineStr">
        <is>
          <t>Kyrkan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52892-2021</t>
        </is>
      </c>
      <c r="B346" t="inlineStr">
        <is>
          <t>avverkningsanmälan</t>
        </is>
      </c>
      <c r="C346" t="inlineStr">
        <is>
          <t>Föryngringsavverkning</t>
        </is>
      </c>
      <c r="D346" s="1" t="n">
        <v>44467</v>
      </c>
      <c r="E346" s="1" t="n">
        <v>46223</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56799-2025</t>
        </is>
      </c>
      <c r="B347" t="inlineStr">
        <is>
          <t>avverkningsanmälan</t>
        </is>
      </c>
      <c r="C347" t="inlineStr">
        <is>
          <t>Föryngringsavverkning</t>
        </is>
      </c>
      <c r="D347" s="1" t="n">
        <v>45978</v>
      </c>
      <c r="E347" s="1" t="n">
        <v>46223</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11424-2026</t>
        </is>
      </c>
      <c r="B348" t="inlineStr">
        <is>
          <t>avverkningsanmälan</t>
        </is>
      </c>
      <c r="C348" t="inlineStr">
        <is>
          <t>Föryngringsavverkning</t>
        </is>
      </c>
      <c r="D348" s="1" t="n">
        <v>46083</v>
      </c>
      <c r="E348" s="1" t="n">
        <v>46223</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56688-2025</t>
        </is>
      </c>
      <c r="B349" t="inlineStr">
        <is>
          <t>avverkningsanmälan</t>
        </is>
      </c>
      <c r="C349" t="inlineStr">
        <is>
          <t>Föryngringsavverkning</t>
        </is>
      </c>
      <c r="D349" s="1" t="n">
        <v>45975</v>
      </c>
      <c r="E349" s="1" t="n">
        <v>46223</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46396-2023</t>
        </is>
      </c>
      <c r="B350" t="inlineStr">
        <is>
          <t>avverkningsanmälan</t>
        </is>
      </c>
      <c r="C350" t="inlineStr">
        <is>
          <t>Föryngringsavverkning</t>
        </is>
      </c>
      <c r="D350" s="1" t="n">
        <v>45197</v>
      </c>
      <c r="E350" s="1" t="n">
        <v>46223</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3067-2026</t>
        </is>
      </c>
      <c r="B351" t="inlineStr">
        <is>
          <t>avverkningsanmälan</t>
        </is>
      </c>
      <c r="C351" t="inlineStr">
        <is>
          <t>Föryngringsavverkning</t>
        </is>
      </c>
      <c r="D351" s="1" t="n">
        <v>46040</v>
      </c>
      <c r="E351" s="1" t="n">
        <v>46223</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17724-2024</t>
        </is>
      </c>
      <c r="B352" t="inlineStr">
        <is>
          <t>avverkningsanmälan</t>
        </is>
      </c>
      <c r="C352" t="inlineStr">
        <is>
          <t>Föryngringsavverkning</t>
        </is>
      </c>
      <c r="D352" s="1" t="n">
        <v>45418</v>
      </c>
      <c r="E352" s="1" t="n">
        <v>46223</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42201-2023</t>
        </is>
      </c>
      <c r="B353" t="inlineStr">
        <is>
          <t>avverkningsanmälan</t>
        </is>
      </c>
      <c r="C353" t="inlineStr">
        <is>
          <t>Föryngringsavverkning</t>
        </is>
      </c>
      <c r="D353" s="1" t="n">
        <v>45179</v>
      </c>
      <c r="E353" s="1" t="n">
        <v>46223</v>
      </c>
      <c r="F353" t="inlineStr">
        <is>
          <t>GOTLANDS LÄN</t>
        </is>
      </c>
      <c r="G353" t="inlineStr">
        <is>
          <t>GOTLAND</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7638-2025</t>
        </is>
      </c>
      <c r="B354" t="inlineStr">
        <is>
          <t>avverkningsanmälan</t>
        </is>
      </c>
      <c r="C354" t="inlineStr">
        <is>
          <t>Föryngringsavverkning</t>
        </is>
      </c>
      <c r="D354" s="1" t="n">
        <v>45705</v>
      </c>
      <c r="E354" s="1" t="n">
        <v>46223</v>
      </c>
      <c r="F354" t="inlineStr">
        <is>
          <t>GOTLANDS LÄN</t>
        </is>
      </c>
      <c r="G354" t="inlineStr">
        <is>
          <t>GOTLAND</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50482-2024</t>
        </is>
      </c>
      <c r="B355" t="inlineStr">
        <is>
          <t>avverkningsanmälan</t>
        </is>
      </c>
      <c r="C355" t="inlineStr">
        <is>
          <t>Föryngringsavverkning</t>
        </is>
      </c>
      <c r="D355" s="1" t="n">
        <v>45601</v>
      </c>
      <c r="E355" s="1" t="n">
        <v>46223</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46223</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1394-2023</t>
        </is>
      </c>
      <c r="B357" t="inlineStr">
        <is>
          <t>avverkningsanmälan</t>
        </is>
      </c>
      <c r="C357" t="inlineStr">
        <is>
          <t>Föryngringsavverkning</t>
        </is>
      </c>
      <c r="D357" s="1" t="n">
        <v>44936</v>
      </c>
      <c r="E357" s="1" t="n">
        <v>46223</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63000-2025</t>
        </is>
      </c>
      <c r="B358" t="inlineStr">
        <is>
          <t>avverkningsanmälan</t>
        </is>
      </c>
      <c r="C358" t="inlineStr">
        <is>
          <t>Föryngringsavverkning</t>
        </is>
      </c>
      <c r="D358" s="1" t="n">
        <v>46009</v>
      </c>
      <c r="E358" s="1" t="n">
        <v>46223</v>
      </c>
      <c r="F358" t="inlineStr">
        <is>
          <t>GOTLANDS LÄN</t>
        </is>
      </c>
      <c r="G358" t="inlineStr">
        <is>
          <t>GOTLAND</t>
        </is>
      </c>
      <c r="H358" t="inlineStr">
        <is>
          <t>Övriga Aktiebolag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13486-2026</t>
        </is>
      </c>
      <c r="B359" t="inlineStr">
        <is>
          <t>avverkningsanmälan</t>
        </is>
      </c>
      <c r="C359" t="inlineStr">
        <is>
          <t>Föryngringsavverkning</t>
        </is>
      </c>
      <c r="D359" s="1" t="n">
        <v>46094</v>
      </c>
      <c r="E359" s="1" t="n">
        <v>46223</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62751-2025</t>
        </is>
      </c>
      <c r="B360" t="inlineStr">
        <is>
          <t>avverkningsanmälan</t>
        </is>
      </c>
      <c r="C360" t="inlineStr">
        <is>
          <t>Föryngringsavverkning</t>
        </is>
      </c>
      <c r="D360" s="1" t="n">
        <v>46008</v>
      </c>
      <c r="E360" s="1" t="n">
        <v>46223</v>
      </c>
      <c r="F360" t="inlineStr">
        <is>
          <t>GOTLANDS LÄN</t>
        </is>
      </c>
      <c r="G360" t="inlineStr">
        <is>
          <t>GOTLAND</t>
        </is>
      </c>
      <c r="H360" t="inlineStr">
        <is>
          <t>Övriga Aktiebolag</t>
        </is>
      </c>
      <c r="I360" t="n">
        <v>7.8</v>
      </c>
      <c r="J360" t="n">
        <v>0</v>
      </c>
      <c r="K360" t="n">
        <v>0</v>
      </c>
      <c r="L360" t="n">
        <v>0</v>
      </c>
      <c r="M360" t="n">
        <v>0</v>
      </c>
      <c r="N360" t="n">
        <v>0</v>
      </c>
      <c r="O360" t="n">
        <v>0</v>
      </c>
      <c r="P360" t="n">
        <v>0</v>
      </c>
      <c r="Q360" t="n">
        <v>0</v>
      </c>
      <c r="R360" t="n">
        <v>0</v>
      </c>
      <c r="S360" t="n">
        <v>0</v>
      </c>
      <c r="T360" t="n">
        <v>0</v>
      </c>
      <c r="U360" s="2" t="inlineStr"/>
    </row>
    <row r="361" ht="15" customHeight="1">
      <c r="A361" t="inlineStr">
        <is>
          <t>A 1462-2025</t>
        </is>
      </c>
      <c r="B361" t="inlineStr">
        <is>
          <t>avverkningsanmälan</t>
        </is>
      </c>
      <c r="C361" t="inlineStr">
        <is>
          <t>Föryngringsavverkning</t>
        </is>
      </c>
      <c r="D361" s="1" t="n">
        <v>45670</v>
      </c>
      <c r="E361" s="1" t="n">
        <v>46223</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25129-2023</t>
        </is>
      </c>
      <c r="B362" t="inlineStr">
        <is>
          <t>avverkningsanmälan</t>
        </is>
      </c>
      <c r="C362" t="inlineStr">
        <is>
          <t>Föryngringsavverkning</t>
        </is>
      </c>
      <c r="D362" s="1" t="n">
        <v>45086</v>
      </c>
      <c r="E362" s="1" t="n">
        <v>46223</v>
      </c>
      <c r="F362" t="inlineStr">
        <is>
          <t>GOTLANDS LÄN</t>
        </is>
      </c>
      <c r="G362" t="inlineStr">
        <is>
          <t>GOTLAND</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24192-2023</t>
        </is>
      </c>
      <c r="B363" t="inlineStr">
        <is>
          <t>avverkningsanmälan</t>
        </is>
      </c>
      <c r="C363" t="inlineStr">
        <is>
          <t>Föryngringsavverkning</t>
        </is>
      </c>
      <c r="D363" s="1" t="n">
        <v>45079</v>
      </c>
      <c r="E363" s="1" t="n">
        <v>46223</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5386-2023</t>
        </is>
      </c>
      <c r="B364" t="inlineStr">
        <is>
          <t>avverkningsanmälan</t>
        </is>
      </c>
      <c r="C364" t="inlineStr">
        <is>
          <t>Föryngringsavverkning</t>
        </is>
      </c>
      <c r="D364" s="1" t="n">
        <v>44959</v>
      </c>
      <c r="E364" s="1" t="n">
        <v>46223</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s="2" t="inlineStr"/>
    </row>
    <row r="365" ht="15" customHeight="1">
      <c r="A365" t="inlineStr">
        <is>
          <t>A 7026-2023</t>
        </is>
      </c>
      <c r="B365" t="inlineStr">
        <is>
          <t>avverkningsanmälan</t>
        </is>
      </c>
      <c r="C365" t="inlineStr">
        <is>
          <t>Föryngringsavverkning</t>
        </is>
      </c>
      <c r="D365" s="1" t="n">
        <v>44968</v>
      </c>
      <c r="E365" s="1" t="n">
        <v>46223</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20855-2023</t>
        </is>
      </c>
      <c r="B366" t="inlineStr">
        <is>
          <t>avverkningsanmälan</t>
        </is>
      </c>
      <c r="C366" t="inlineStr">
        <is>
          <t>Föryngringsavverkning</t>
        </is>
      </c>
      <c r="D366" s="1" t="n">
        <v>45058</v>
      </c>
      <c r="E366" s="1" t="n">
        <v>46223</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1000-2024</t>
        </is>
      </c>
      <c r="B367" t="inlineStr">
        <is>
          <t>avverkningsanmälan</t>
        </is>
      </c>
      <c r="C367" t="inlineStr">
        <is>
          <t>Föryngringsavverkning</t>
        </is>
      </c>
      <c r="D367" s="1" t="n">
        <v>45301</v>
      </c>
      <c r="E367" s="1" t="n">
        <v>46223</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47762-2023</t>
        </is>
      </c>
      <c r="B368" t="inlineStr">
        <is>
          <t>avverkningsanmälan</t>
        </is>
      </c>
      <c r="C368" t="inlineStr">
        <is>
          <t>Föryngringsavverkning</t>
        </is>
      </c>
      <c r="D368" s="1" t="n">
        <v>45203</v>
      </c>
      <c r="E368" s="1" t="n">
        <v>46223</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63002-2025</t>
        </is>
      </c>
      <c r="B369" t="inlineStr">
        <is>
          <t>avverkningsanmälan</t>
        </is>
      </c>
      <c r="C369" t="inlineStr">
        <is>
          <t>Föryngringsavverkning</t>
        </is>
      </c>
      <c r="D369" s="1" t="n">
        <v>46009</v>
      </c>
      <c r="E369" s="1" t="n">
        <v>46223</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60086-2022</t>
        </is>
      </c>
      <c r="B370" t="inlineStr">
        <is>
          <t>avverkningsanmälan</t>
        </is>
      </c>
      <c r="C370" t="inlineStr">
        <is>
          <t>Föryngringsavverkning</t>
        </is>
      </c>
      <c r="D370" s="1" t="n">
        <v>44909</v>
      </c>
      <c r="E370" s="1" t="n">
        <v>46223</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28485-2023</t>
        </is>
      </c>
      <c r="B371" t="inlineStr">
        <is>
          <t>avverkningsanmälan</t>
        </is>
      </c>
      <c r="C371" t="inlineStr">
        <is>
          <t>Föryngringsavverkning</t>
        </is>
      </c>
      <c r="D371" s="1" t="n">
        <v>45103</v>
      </c>
      <c r="E371" s="1" t="n">
        <v>46223</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46223</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46223</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44949-2023</t>
        </is>
      </c>
      <c r="B374" t="inlineStr">
        <is>
          <t>avverkningsanmälan</t>
        </is>
      </c>
      <c r="C374" t="inlineStr">
        <is>
          <t>Föryngringsavverkning</t>
        </is>
      </c>
      <c r="D374" s="1" t="n">
        <v>45190</v>
      </c>
      <c r="E374" s="1" t="n">
        <v>46223</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3964-2024</t>
        </is>
      </c>
      <c r="B375" t="inlineStr">
        <is>
          <t>avverkningsanmälan</t>
        </is>
      </c>
      <c r="C375" t="inlineStr">
        <is>
          <t>Föryngringsavverkning</t>
        </is>
      </c>
      <c r="D375" s="1" t="n">
        <v>45322</v>
      </c>
      <c r="E375" s="1" t="n">
        <v>46223</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45084-2024</t>
        </is>
      </c>
      <c r="B376" t="inlineStr">
        <is>
          <t>avverkningsanmälan</t>
        </is>
      </c>
      <c r="C376" t="inlineStr">
        <is>
          <t>Föryngringsavverkning</t>
        </is>
      </c>
      <c r="D376" s="1" t="n">
        <v>45575</v>
      </c>
      <c r="E376" s="1" t="n">
        <v>46223</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s="2" t="inlineStr"/>
    </row>
    <row r="377" ht="15" customHeight="1">
      <c r="A377" t="inlineStr">
        <is>
          <t>A 2415-2026</t>
        </is>
      </c>
      <c r="B377" t="inlineStr">
        <is>
          <t>avverkningsanmälan</t>
        </is>
      </c>
      <c r="C377" t="inlineStr">
        <is>
          <t>Föryngringsavverkning</t>
        </is>
      </c>
      <c r="D377" s="1" t="n">
        <v>46036</v>
      </c>
      <c r="E377" s="1" t="n">
        <v>46223</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5217-2023</t>
        </is>
      </c>
      <c r="B378" t="inlineStr">
        <is>
          <t>avverkningsanmälan</t>
        </is>
      </c>
      <c r="C378" t="inlineStr">
        <is>
          <t>Föryngringsavverkning</t>
        </is>
      </c>
      <c r="D378" s="1" t="n">
        <v>44959</v>
      </c>
      <c r="E378" s="1" t="n">
        <v>46223</v>
      </c>
      <c r="F378" t="inlineStr">
        <is>
          <t>GOTLANDS LÄN</t>
        </is>
      </c>
      <c r="G378" t="inlineStr">
        <is>
          <t>GOTLAND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16993-2026</t>
        </is>
      </c>
      <c r="B379" t="inlineStr">
        <is>
          <t>avverkningsanmälan</t>
        </is>
      </c>
      <c r="C379" t="inlineStr">
        <is>
          <t>Föryngringsavverkning</t>
        </is>
      </c>
      <c r="D379" s="1" t="n">
        <v>46114</v>
      </c>
      <c r="E379" s="1" t="n">
        <v>46223</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45244-2024</t>
        </is>
      </c>
      <c r="B380" t="inlineStr">
        <is>
          <t>avverkningsanmälan</t>
        </is>
      </c>
      <c r="C380" t="inlineStr">
        <is>
          <t>Avverkning för annat ändamål</t>
        </is>
      </c>
      <c r="D380" s="1" t="n">
        <v>45576</v>
      </c>
      <c r="E380" s="1" t="n">
        <v>46223</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8260-2023</t>
        </is>
      </c>
      <c r="B381" t="inlineStr">
        <is>
          <t>avverkningsanmälan</t>
        </is>
      </c>
      <c r="C381" t="inlineStr">
        <is>
          <t>Föryngringsavverkning</t>
        </is>
      </c>
      <c r="D381" s="1" t="n">
        <v>44974</v>
      </c>
      <c r="E381" s="1" t="n">
        <v>46223</v>
      </c>
      <c r="F381" t="inlineStr">
        <is>
          <t>GOTLANDS LÄN</t>
        </is>
      </c>
      <c r="G381" t="inlineStr">
        <is>
          <t>GOTLAND</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64969-2023</t>
        </is>
      </c>
      <c r="B382" t="inlineStr">
        <is>
          <t>avverkningsanmälan</t>
        </is>
      </c>
      <c r="C382" t="inlineStr">
        <is>
          <t>Föryngringsavverkning</t>
        </is>
      </c>
      <c r="D382" s="1" t="n">
        <v>45284</v>
      </c>
      <c r="E382" s="1" t="n">
        <v>46223</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48843-2024</t>
        </is>
      </c>
      <c r="B383" t="inlineStr">
        <is>
          <t>avverkningsanmälan</t>
        </is>
      </c>
      <c r="C383" t="inlineStr">
        <is>
          <t>Föryngringsavverkning</t>
        </is>
      </c>
      <c r="D383" s="1" t="n">
        <v>45593</v>
      </c>
      <c r="E383" s="1" t="n">
        <v>46223</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17541-2024</t>
        </is>
      </c>
      <c r="B384" t="inlineStr">
        <is>
          <t>avverkningsanmälan</t>
        </is>
      </c>
      <c r="C384" t="inlineStr">
        <is>
          <t>Föryngringsavverkning</t>
        </is>
      </c>
      <c r="D384" s="1" t="n">
        <v>45415</v>
      </c>
      <c r="E384" s="1" t="n">
        <v>46223</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62836-2025</t>
        </is>
      </c>
      <c r="B385" t="inlineStr">
        <is>
          <t>avverkningsanmälan</t>
        </is>
      </c>
      <c r="C385" t="inlineStr">
        <is>
          <t>Föryngringsavverkning</t>
        </is>
      </c>
      <c r="D385" s="1" t="n">
        <v>46008</v>
      </c>
      <c r="E385" s="1" t="n">
        <v>46223</v>
      </c>
      <c r="F385" t="inlineStr">
        <is>
          <t>GOTLANDS LÄN</t>
        </is>
      </c>
      <c r="G385" t="inlineStr">
        <is>
          <t>GOTLAND</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15434-2024</t>
        </is>
      </c>
      <c r="B386" t="inlineStr">
        <is>
          <t>avverkningsanmälan</t>
        </is>
      </c>
      <c r="C386" t="inlineStr">
        <is>
          <t>Föryngringsavverkning</t>
        </is>
      </c>
      <c r="D386" s="1" t="n">
        <v>45401</v>
      </c>
      <c r="E386" s="1" t="n">
        <v>46223</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5943-2024</t>
        </is>
      </c>
      <c r="B387" t="inlineStr">
        <is>
          <t>avverkningsanmälan</t>
        </is>
      </c>
      <c r="C387" t="inlineStr">
        <is>
          <t>Avverkning för annat ändamål</t>
        </is>
      </c>
      <c r="D387" s="1" t="n">
        <v>45336</v>
      </c>
      <c r="E387" s="1" t="n">
        <v>46223</v>
      </c>
      <c r="F387" t="inlineStr">
        <is>
          <t>GOTLANDS LÄN</t>
        </is>
      </c>
      <c r="G387" t="inlineStr">
        <is>
          <t>GOTLAND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54073-2022</t>
        </is>
      </c>
      <c r="B388" t="inlineStr">
        <is>
          <t>avverkningsanmälan</t>
        </is>
      </c>
      <c r="C388" t="inlineStr">
        <is>
          <t>Föryngringsavverkning</t>
        </is>
      </c>
      <c r="D388" s="1" t="n">
        <v>44881</v>
      </c>
      <c r="E388" s="1" t="n">
        <v>46223</v>
      </c>
      <c r="F388" t="inlineStr">
        <is>
          <t>GOTLANDS LÄN</t>
        </is>
      </c>
      <c r="G388" t="inlineStr">
        <is>
          <t>GOTLAND</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16361-2024</t>
        </is>
      </c>
      <c r="B389" t="inlineStr">
        <is>
          <t>avverkningsanmälan</t>
        </is>
      </c>
      <c r="C389" t="inlineStr">
        <is>
          <t>Föryngringsavverkning</t>
        </is>
      </c>
      <c r="D389" s="1" t="n">
        <v>45407</v>
      </c>
      <c r="E389" s="1" t="n">
        <v>46223</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18804-2026</t>
        </is>
      </c>
      <c r="B390" t="inlineStr">
        <is>
          <t>avverkningsanmälan</t>
        </is>
      </c>
      <c r="C390" t="inlineStr">
        <is>
          <t>Föryngringsavverkning</t>
        </is>
      </c>
      <c r="D390" s="1" t="n">
        <v>46128</v>
      </c>
      <c r="E390" s="1" t="n">
        <v>46223</v>
      </c>
      <c r="F390" t="inlineStr">
        <is>
          <t>GOTLANDS LÄN</t>
        </is>
      </c>
      <c r="G390" t="inlineStr">
        <is>
          <t>GOTLAND</t>
        </is>
      </c>
      <c r="H390" t="inlineStr">
        <is>
          <t>Kyrkan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41038-2023</t>
        </is>
      </c>
      <c r="B391" t="inlineStr">
        <is>
          <t>avverkningsanmälan</t>
        </is>
      </c>
      <c r="C391" t="inlineStr">
        <is>
          <t>Föryngringsavverkning</t>
        </is>
      </c>
      <c r="D391" s="1" t="n">
        <v>45173</v>
      </c>
      <c r="E391" s="1" t="n">
        <v>46223</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14427-2024</t>
        </is>
      </c>
      <c r="B392" t="inlineStr">
        <is>
          <t>avverkningsanmälan</t>
        </is>
      </c>
      <c r="C392" t="inlineStr">
        <is>
          <t>Avverkning för att bevara och utveckla /försöksver</t>
        </is>
      </c>
      <c r="D392" s="1" t="n">
        <v>45394</v>
      </c>
      <c r="E392" s="1" t="n">
        <v>46223</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26467-2025</t>
        </is>
      </c>
      <c r="B393" t="inlineStr">
        <is>
          <t>avverkningsanmälan</t>
        </is>
      </c>
      <c r="C393" t="inlineStr">
        <is>
          <t>Föryngringsavverkning</t>
        </is>
      </c>
      <c r="D393" s="1" t="n">
        <v>45807</v>
      </c>
      <c r="E393" s="1" t="n">
        <v>46223</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31802-2024</t>
        </is>
      </c>
      <c r="B394" t="inlineStr">
        <is>
          <t>avverkningsanmälan</t>
        </is>
      </c>
      <c r="C394" t="inlineStr">
        <is>
          <t>Avverkning för annat ändamål</t>
        </is>
      </c>
      <c r="D394" s="1" t="n">
        <v>45509</v>
      </c>
      <c r="E394" s="1" t="n">
        <v>46223</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29207-2025</t>
        </is>
      </c>
      <c r="B395" t="inlineStr">
        <is>
          <t>avverkningsanmälan</t>
        </is>
      </c>
      <c r="C395" t="inlineStr">
        <is>
          <t>Föryngringsavverkning</t>
        </is>
      </c>
      <c r="D395" s="1" t="n">
        <v>45823</v>
      </c>
      <c r="E395" s="1" t="n">
        <v>46223</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12846-2025</t>
        </is>
      </c>
      <c r="B396" t="inlineStr">
        <is>
          <t>avverkningsanmälan</t>
        </is>
      </c>
      <c r="C396" t="inlineStr">
        <is>
          <t>Föryngringsavverkning</t>
        </is>
      </c>
      <c r="D396" s="1" t="n">
        <v>45733</v>
      </c>
      <c r="E396" s="1" t="n">
        <v>46223</v>
      </c>
      <c r="F396" t="inlineStr">
        <is>
          <t>GOTLANDS LÄN</t>
        </is>
      </c>
      <c r="G396" t="inlineStr">
        <is>
          <t>GOTLAND</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25796-2025</t>
        </is>
      </c>
      <c r="B397" t="inlineStr">
        <is>
          <t>avverkningsanmälan</t>
        </is>
      </c>
      <c r="C397" t="inlineStr">
        <is>
          <t>Föryngringsavverkning</t>
        </is>
      </c>
      <c r="D397" s="1" t="n">
        <v>45804</v>
      </c>
      <c r="E397" s="1" t="n">
        <v>46223</v>
      </c>
      <c r="F397" t="inlineStr">
        <is>
          <t>GOTLANDS LÄN</t>
        </is>
      </c>
      <c r="G397" t="inlineStr">
        <is>
          <t>GOTLAND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2180-2025</t>
        </is>
      </c>
      <c r="B398" t="inlineStr">
        <is>
          <t>avverkningsanmälan</t>
        </is>
      </c>
      <c r="C398" t="inlineStr">
        <is>
          <t>Föryngringsavverkning</t>
        </is>
      </c>
      <c r="D398" s="1" t="n">
        <v>45673</v>
      </c>
      <c r="E398" s="1" t="n">
        <v>46223</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62754-2025</t>
        </is>
      </c>
      <c r="B399" t="inlineStr">
        <is>
          <t>avverkningsanmälan</t>
        </is>
      </c>
      <c r="C399" t="inlineStr">
        <is>
          <t>Föryngringsavverkning</t>
        </is>
      </c>
      <c r="D399" s="1" t="n">
        <v>46008</v>
      </c>
      <c r="E399" s="1" t="n">
        <v>46223</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20225-2025</t>
        </is>
      </c>
      <c r="B400" t="inlineStr">
        <is>
          <t>avverkningsanmälan</t>
        </is>
      </c>
      <c r="C400" t="inlineStr">
        <is>
          <t>Föryngringsavverkning</t>
        </is>
      </c>
      <c r="D400" s="1" t="n">
        <v>45772</v>
      </c>
      <c r="E400" s="1" t="n">
        <v>46223</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32379-2025</t>
        </is>
      </c>
      <c r="B401" t="inlineStr">
        <is>
          <t>avverkningsanmälan</t>
        </is>
      </c>
      <c r="C401" t="inlineStr">
        <is>
          <t>Föryngringsavverkning</t>
        </is>
      </c>
      <c r="D401" s="1" t="n">
        <v>45837</v>
      </c>
      <c r="E401" s="1" t="n">
        <v>46223</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45112-2024</t>
        </is>
      </c>
      <c r="B402" t="inlineStr">
        <is>
          <t>avverkningsanmälan</t>
        </is>
      </c>
      <c r="C402" t="inlineStr">
        <is>
          <t>Föryngringsavverkning</t>
        </is>
      </c>
      <c r="D402" s="1" t="n">
        <v>45575</v>
      </c>
      <c r="E402" s="1" t="n">
        <v>46223</v>
      </c>
      <c r="F402" t="inlineStr">
        <is>
          <t>GOTLANDS LÄN</t>
        </is>
      </c>
      <c r="G402" t="inlineStr">
        <is>
          <t>GOTLAND</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46949-2024</t>
        </is>
      </c>
      <c r="B403" t="inlineStr">
        <is>
          <t>avverkningsanmälan</t>
        </is>
      </c>
      <c r="C403" t="inlineStr">
        <is>
          <t>Föryngringsavverkning</t>
        </is>
      </c>
      <c r="D403" s="1" t="n">
        <v>45585</v>
      </c>
      <c r="E403" s="1" t="n">
        <v>46223</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1854-2026</t>
        </is>
      </c>
      <c r="B404" t="inlineStr">
        <is>
          <t>avverkningsanmälan</t>
        </is>
      </c>
      <c r="C404" t="inlineStr">
        <is>
          <t>Föryngringsavverkning</t>
        </is>
      </c>
      <c r="D404" s="1" t="n">
        <v>46035</v>
      </c>
      <c r="E404" s="1" t="n">
        <v>46223</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10650-2022</t>
        </is>
      </c>
      <c r="B405" t="inlineStr">
        <is>
          <t>avverkningsanmälan</t>
        </is>
      </c>
      <c r="C405" t="inlineStr">
        <is>
          <t>Föryngringsavverkning</t>
        </is>
      </c>
      <c r="D405" s="1" t="n">
        <v>44624</v>
      </c>
      <c r="E405" s="1" t="n">
        <v>46223</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13910-2025</t>
        </is>
      </c>
      <c r="B406" t="inlineStr">
        <is>
          <t>avverkningsanmälan</t>
        </is>
      </c>
      <c r="C406" t="inlineStr">
        <is>
          <t>Föryngringsavverkning</t>
        </is>
      </c>
      <c r="D406" s="1" t="n">
        <v>45737</v>
      </c>
      <c r="E406" s="1" t="n">
        <v>46223</v>
      </c>
      <c r="F406" t="inlineStr">
        <is>
          <t>GOTLANDS LÄN</t>
        </is>
      </c>
      <c r="G406" t="inlineStr">
        <is>
          <t>GOTLAND</t>
        </is>
      </c>
      <c r="H406" t="inlineStr">
        <is>
          <t>Kommuner</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6959-2026</t>
        </is>
      </c>
      <c r="B407" t="inlineStr">
        <is>
          <t>avverkningsanmälan</t>
        </is>
      </c>
      <c r="C407" t="inlineStr">
        <is>
          <t>Föryngringsavverkning</t>
        </is>
      </c>
      <c r="D407" s="1" t="n">
        <v>46057</v>
      </c>
      <c r="E407" s="1" t="n">
        <v>46223</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1351-2025</t>
        </is>
      </c>
      <c r="B408" t="inlineStr">
        <is>
          <t>avverkningsanmälan</t>
        </is>
      </c>
      <c r="C408" t="inlineStr">
        <is>
          <t>Föryngringsavverkning</t>
        </is>
      </c>
      <c r="D408" s="1" t="n">
        <v>45667</v>
      </c>
      <c r="E408" s="1" t="n">
        <v>46223</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39496-2022</t>
        </is>
      </c>
      <c r="B409" t="inlineStr">
        <is>
          <t>avverkningsanmälan</t>
        </is>
      </c>
      <c r="C409" t="inlineStr">
        <is>
          <t>Föryngringsavverkning</t>
        </is>
      </c>
      <c r="D409" s="1" t="n">
        <v>44818</v>
      </c>
      <c r="E409" s="1" t="n">
        <v>46223</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49874-2024</t>
        </is>
      </c>
      <c r="B410" t="inlineStr">
        <is>
          <t>avverkningsanmälan</t>
        </is>
      </c>
      <c r="C410" t="inlineStr">
        <is>
          <t>Föryngringsavverkning</t>
        </is>
      </c>
      <c r="D410" s="1" t="n">
        <v>45597</v>
      </c>
      <c r="E410" s="1" t="n">
        <v>46223</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38165-2023</t>
        </is>
      </c>
      <c r="B411" t="inlineStr">
        <is>
          <t>avverkningsanmälan</t>
        </is>
      </c>
      <c r="C411" t="inlineStr">
        <is>
          <t>Föryngringsavverkning</t>
        </is>
      </c>
      <c r="D411" s="1" t="n">
        <v>45161</v>
      </c>
      <c r="E411" s="1" t="n">
        <v>46223</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46400-2023</t>
        </is>
      </c>
      <c r="B412" t="inlineStr">
        <is>
          <t>avverkningsanmälan</t>
        </is>
      </c>
      <c r="C412" t="inlineStr">
        <is>
          <t>Föryngringsavverkning</t>
        </is>
      </c>
      <c r="D412" s="1" t="n">
        <v>45197</v>
      </c>
      <c r="E412" s="1" t="n">
        <v>46223</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21164-2024</t>
        </is>
      </c>
      <c r="B413" t="inlineStr">
        <is>
          <t>avverkningsanmälan</t>
        </is>
      </c>
      <c r="C413" t="inlineStr">
        <is>
          <t>Föryngringsavverkning</t>
        </is>
      </c>
      <c r="D413" s="1" t="n">
        <v>45440</v>
      </c>
      <c r="E413" s="1" t="n">
        <v>46223</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8045-2022</t>
        </is>
      </c>
      <c r="B414" t="inlineStr">
        <is>
          <t>avverkningsanmälan</t>
        </is>
      </c>
      <c r="C414" t="inlineStr">
        <is>
          <t>Föryngringsavverkning</t>
        </is>
      </c>
      <c r="D414" s="1" t="n">
        <v>44609</v>
      </c>
      <c r="E414" s="1" t="n">
        <v>46223</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35537-2025</t>
        </is>
      </c>
      <c r="B415" t="inlineStr">
        <is>
          <t>avverkningsanmälan</t>
        </is>
      </c>
      <c r="C415" t="inlineStr">
        <is>
          <t>Föryngringsavverkning</t>
        </is>
      </c>
      <c r="D415" s="1" t="n">
        <v>45856</v>
      </c>
      <c r="E415" s="1" t="n">
        <v>46223</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s="2" t="inlineStr"/>
    </row>
    <row r="416" ht="15" customHeight="1">
      <c r="A416" t="inlineStr">
        <is>
          <t>A 22897-2023</t>
        </is>
      </c>
      <c r="B416" t="inlineStr">
        <is>
          <t>avverkningsanmälan</t>
        </is>
      </c>
      <c r="C416" t="inlineStr">
        <is>
          <t>Föryngringsavverkning</t>
        </is>
      </c>
      <c r="D416" s="1" t="n">
        <v>45072</v>
      </c>
      <c r="E416" s="1" t="n">
        <v>46223</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61897-2024</t>
        </is>
      </c>
      <c r="B417" t="inlineStr">
        <is>
          <t>avverkningsanmälan</t>
        </is>
      </c>
      <c r="C417" t="inlineStr">
        <is>
          <t>Föryngringsavverkning</t>
        </is>
      </c>
      <c r="D417" s="1" t="n">
        <v>45652</v>
      </c>
      <c r="E417" s="1" t="n">
        <v>46223</v>
      </c>
      <c r="F417" t="inlineStr">
        <is>
          <t>GOTLANDS LÄN</t>
        </is>
      </c>
      <c r="G417" t="inlineStr">
        <is>
          <t>GOTLAND</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20165-2022</t>
        </is>
      </c>
      <c r="B418" t="inlineStr">
        <is>
          <t>avverkningsanmälan</t>
        </is>
      </c>
      <c r="C418" t="inlineStr">
        <is>
          <t>Föryngringsavverkning</t>
        </is>
      </c>
      <c r="D418" s="1" t="n">
        <v>44698</v>
      </c>
      <c r="E418" s="1" t="n">
        <v>46223</v>
      </c>
      <c r="F418" t="inlineStr">
        <is>
          <t>GOTLANDS LÄN</t>
        </is>
      </c>
      <c r="G418" t="inlineStr">
        <is>
          <t>GOTLAND</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12032-2025</t>
        </is>
      </c>
      <c r="B419" t="inlineStr">
        <is>
          <t>avverkningsanmälan</t>
        </is>
      </c>
      <c r="C419" t="inlineStr">
        <is>
          <t>Föryngringsavverkning</t>
        </is>
      </c>
      <c r="D419" s="1" t="n">
        <v>45728</v>
      </c>
      <c r="E419" s="1" t="n">
        <v>46223</v>
      </c>
      <c r="F419" t="inlineStr">
        <is>
          <t>GOTLANDS LÄN</t>
        </is>
      </c>
      <c r="G419" t="inlineStr">
        <is>
          <t>GOTLAND</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38787-2023</t>
        </is>
      </c>
      <c r="B420" t="inlineStr">
        <is>
          <t>avverkningsanmälan</t>
        </is>
      </c>
      <c r="C420" t="inlineStr">
        <is>
          <t>Föryngringsavverkning</t>
        </is>
      </c>
      <c r="D420" s="1" t="n">
        <v>45163</v>
      </c>
      <c r="E420" s="1" t="n">
        <v>46223</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43231-2023</t>
        </is>
      </c>
      <c r="B421" t="inlineStr">
        <is>
          <t>avverkningsanmälan</t>
        </is>
      </c>
      <c r="C421" t="inlineStr">
        <is>
          <t>Föryngringsavverkning</t>
        </is>
      </c>
      <c r="D421" s="1" t="n">
        <v>45183</v>
      </c>
      <c r="E421" s="1" t="n">
        <v>46223</v>
      </c>
      <c r="F421" t="inlineStr">
        <is>
          <t>GOTLANDS LÄN</t>
        </is>
      </c>
      <c r="G421" t="inlineStr">
        <is>
          <t>GOTLAND</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17532-2024</t>
        </is>
      </c>
      <c r="B422" t="inlineStr">
        <is>
          <t>avverkningsanmälan</t>
        </is>
      </c>
      <c r="C422" t="inlineStr">
        <is>
          <t>Föryngringsavverkning</t>
        </is>
      </c>
      <c r="D422" s="1" t="n">
        <v>45415</v>
      </c>
      <c r="E422" s="1" t="n">
        <v>46223</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42338-2023</t>
        </is>
      </c>
      <c r="B423" t="inlineStr">
        <is>
          <t>avverkningsanmälan</t>
        </is>
      </c>
      <c r="C423" t="inlineStr">
        <is>
          <t>Föryngringsavverkning</t>
        </is>
      </c>
      <c r="D423" s="1" t="n">
        <v>45180</v>
      </c>
      <c r="E423" s="1" t="n">
        <v>46223</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27164-2026</t>
        </is>
      </c>
      <c r="B424" t="inlineStr">
        <is>
          <t>avverkningsanmälan</t>
        </is>
      </c>
      <c r="C424" t="inlineStr">
        <is>
          <t>Föryngringsavverkning</t>
        </is>
      </c>
      <c r="D424" s="1" t="n">
        <v>46188</v>
      </c>
      <c r="E424" s="1" t="n">
        <v>46223</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27341-2026</t>
        </is>
      </c>
      <c r="B425" t="inlineStr">
        <is>
          <t>avverkningsanmälan</t>
        </is>
      </c>
      <c r="C425" t="inlineStr">
        <is>
          <t>Föryngringsavverkning</t>
        </is>
      </c>
      <c r="D425" s="1" t="n">
        <v>46188</v>
      </c>
      <c r="E425" s="1" t="n">
        <v>46223</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27346-2026</t>
        </is>
      </c>
      <c r="B426" t="inlineStr">
        <is>
          <t>avverkningsanmälan</t>
        </is>
      </c>
      <c r="C426" t="inlineStr">
        <is>
          <t>Föryngringsavverkning</t>
        </is>
      </c>
      <c r="D426" s="1" t="n">
        <v>46188</v>
      </c>
      <c r="E426" s="1" t="n">
        <v>46223</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27354-2026</t>
        </is>
      </c>
      <c r="B427" t="inlineStr">
        <is>
          <t>avverkningsanmälan</t>
        </is>
      </c>
      <c r="C427" t="inlineStr">
        <is>
          <t>Föryngringsavverkning</t>
        </is>
      </c>
      <c r="D427" s="1" t="n">
        <v>46184</v>
      </c>
      <c r="E427" s="1" t="n">
        <v>46223</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873-2024</t>
        </is>
      </c>
      <c r="B428" t="inlineStr">
        <is>
          <t>avverkningsanmälan</t>
        </is>
      </c>
      <c r="C428" t="inlineStr">
        <is>
          <t>Avverkning för annat ändamål</t>
        </is>
      </c>
      <c r="D428" s="1" t="n">
        <v>45301</v>
      </c>
      <c r="E428" s="1" t="n">
        <v>46223</v>
      </c>
      <c r="F428" t="inlineStr">
        <is>
          <t>GOTLANDS LÄN</t>
        </is>
      </c>
      <c r="G428" t="inlineStr">
        <is>
          <t>GOTLAND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22275-2023</t>
        </is>
      </c>
      <c r="B429" t="inlineStr">
        <is>
          <t>avverkningsanmälan</t>
        </is>
      </c>
      <c r="C429" t="inlineStr">
        <is>
          <t>Föryngringsavverkning</t>
        </is>
      </c>
      <c r="D429" s="1" t="n">
        <v>45070</v>
      </c>
      <c r="E429" s="1" t="n">
        <v>46223</v>
      </c>
      <c r="F429" t="inlineStr">
        <is>
          <t>GOTLANDS LÄN</t>
        </is>
      </c>
      <c r="G429" t="inlineStr">
        <is>
          <t>GOTLAND</t>
        </is>
      </c>
      <c r="I429" t="n">
        <v>7.2</v>
      </c>
      <c r="J429" t="n">
        <v>0</v>
      </c>
      <c r="K429" t="n">
        <v>0</v>
      </c>
      <c r="L429" t="n">
        <v>0</v>
      </c>
      <c r="M429" t="n">
        <v>0</v>
      </c>
      <c r="N429" t="n">
        <v>0</v>
      </c>
      <c r="O429" t="n">
        <v>0</v>
      </c>
      <c r="P429" t="n">
        <v>0</v>
      </c>
      <c r="Q429" t="n">
        <v>0</v>
      </c>
      <c r="R429" t="n">
        <v>0</v>
      </c>
      <c r="S429" t="n">
        <v>0</v>
      </c>
      <c r="T429" t="n">
        <v>0</v>
      </c>
      <c r="U429" s="2" t="inlineStr"/>
    </row>
    <row r="430" ht="15" customHeight="1">
      <c r="A430" t="inlineStr">
        <is>
          <t>A 12322-2025</t>
        </is>
      </c>
      <c r="B430" t="inlineStr">
        <is>
          <t>avverkningsanmälan</t>
        </is>
      </c>
      <c r="C430" t="inlineStr">
        <is>
          <t>Föryngringsavverkning</t>
        </is>
      </c>
      <c r="D430" s="1" t="n">
        <v>45730</v>
      </c>
      <c r="E430" s="1" t="n">
        <v>46223</v>
      </c>
      <c r="F430" t="inlineStr">
        <is>
          <t>GOTLANDS LÄN</t>
        </is>
      </c>
      <c r="G430" t="inlineStr">
        <is>
          <t>GOTLAND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14797-2024</t>
        </is>
      </c>
      <c r="B431" t="inlineStr">
        <is>
          <t>avverkningsanmälan</t>
        </is>
      </c>
      <c r="C431" t="inlineStr">
        <is>
          <t>Föryngringsavverkning</t>
        </is>
      </c>
      <c r="D431" s="1" t="n">
        <v>45397</v>
      </c>
      <c r="E431" s="1" t="n">
        <v>46223</v>
      </c>
      <c r="F431" t="inlineStr">
        <is>
          <t>GOTLANDS LÄN</t>
        </is>
      </c>
      <c r="G431" t="inlineStr">
        <is>
          <t>GOTLAND</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999-2024</t>
        </is>
      </c>
      <c r="B432" t="inlineStr">
        <is>
          <t>avverkningsanmälan</t>
        </is>
      </c>
      <c r="C432" t="inlineStr">
        <is>
          <t>Föryngringsavverkning</t>
        </is>
      </c>
      <c r="D432" s="1" t="n">
        <v>45301</v>
      </c>
      <c r="E432" s="1" t="n">
        <v>46223</v>
      </c>
      <c r="F432" t="inlineStr">
        <is>
          <t>GOTLANDS LÄN</t>
        </is>
      </c>
      <c r="G432" t="inlineStr">
        <is>
          <t>GOTLAND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61596-2023</t>
        </is>
      </c>
      <c r="B433" t="inlineStr">
        <is>
          <t>avverkningsanmälan</t>
        </is>
      </c>
      <c r="C433" t="inlineStr">
        <is>
          <t>Föryngringsavverkning</t>
        </is>
      </c>
      <c r="D433" s="1" t="n">
        <v>45265</v>
      </c>
      <c r="E433" s="1" t="n">
        <v>46223</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14638-2025</t>
        </is>
      </c>
      <c r="B434" t="inlineStr">
        <is>
          <t>avverkningsanmälan</t>
        </is>
      </c>
      <c r="C434" t="inlineStr">
        <is>
          <t>Avverkning för annat ändamål</t>
        </is>
      </c>
      <c r="D434" s="1" t="n">
        <v>45742</v>
      </c>
      <c r="E434" s="1" t="n">
        <v>46223</v>
      </c>
      <c r="F434" t="inlineStr">
        <is>
          <t>GOTLANDS LÄN</t>
        </is>
      </c>
      <c r="G434" t="inlineStr">
        <is>
          <t>GOTLAND</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60675-2021</t>
        </is>
      </c>
      <c r="B435" t="inlineStr">
        <is>
          <t>avverkningsanmälan</t>
        </is>
      </c>
      <c r="C435" t="inlineStr">
        <is>
          <t>Föryngringsavverkning</t>
        </is>
      </c>
      <c r="D435" s="1" t="n">
        <v>44496</v>
      </c>
      <c r="E435" s="1" t="n">
        <v>46223</v>
      </c>
      <c r="F435" t="inlineStr">
        <is>
          <t>GOTLANDS LÄN</t>
        </is>
      </c>
      <c r="G435" t="inlineStr">
        <is>
          <t>GOTLAND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37728-2024</t>
        </is>
      </c>
      <c r="B436" t="inlineStr">
        <is>
          <t>avverkningsanmälan</t>
        </is>
      </c>
      <c r="C436" t="inlineStr">
        <is>
          <t>Föryngringsavverkning</t>
        </is>
      </c>
      <c r="D436" s="1" t="n">
        <v>45541</v>
      </c>
      <c r="E436" s="1" t="n">
        <v>46223</v>
      </c>
      <c r="F436" t="inlineStr">
        <is>
          <t>GOTLANDS LÄN</t>
        </is>
      </c>
      <c r="G436" t="inlineStr">
        <is>
          <t>GOTLAND</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22287-2022</t>
        </is>
      </c>
      <c r="B437" t="inlineStr">
        <is>
          <t>avverkningsanmälan</t>
        </is>
      </c>
      <c r="C437" t="inlineStr">
        <is>
          <t>Avverkning för annat ändamål</t>
        </is>
      </c>
      <c r="D437" s="1" t="n">
        <v>44712</v>
      </c>
      <c r="E437" s="1" t="n">
        <v>46223</v>
      </c>
      <c r="F437" t="inlineStr">
        <is>
          <t>GOTLANDS LÄN</t>
        </is>
      </c>
      <c r="G437" t="inlineStr">
        <is>
          <t>GOTLAND</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22275-2026</t>
        </is>
      </c>
      <c r="B438" t="inlineStr">
        <is>
          <t>avverkningsanmälan</t>
        </is>
      </c>
      <c r="C438" t="inlineStr">
        <is>
          <t>Föryngringsavverkning</t>
        </is>
      </c>
      <c r="D438" s="1" t="n">
        <v>46154</v>
      </c>
      <c r="E438" s="1" t="n">
        <v>46223</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22281-2026</t>
        </is>
      </c>
      <c r="B439" t="inlineStr">
        <is>
          <t>avverkningsanmälan</t>
        </is>
      </c>
      <c r="C439" t="inlineStr">
        <is>
          <t>Avverkning för annat ändamål</t>
        </is>
      </c>
      <c r="D439" s="1" t="n">
        <v>46154</v>
      </c>
      <c r="E439" s="1" t="n">
        <v>46223</v>
      </c>
      <c r="F439" t="inlineStr">
        <is>
          <t>GOTLANDS LÄN</t>
        </is>
      </c>
      <c r="G439" t="inlineStr">
        <is>
          <t>GOTLAND</t>
        </is>
      </c>
      <c r="I439" t="n">
        <v>8.1</v>
      </c>
      <c r="J439" t="n">
        <v>0</v>
      </c>
      <c r="K439" t="n">
        <v>0</v>
      </c>
      <c r="L439" t="n">
        <v>0</v>
      </c>
      <c r="M439" t="n">
        <v>0</v>
      </c>
      <c r="N439" t="n">
        <v>0</v>
      </c>
      <c r="O439" t="n">
        <v>0</v>
      </c>
      <c r="P439" t="n">
        <v>0</v>
      </c>
      <c r="Q439" t="n">
        <v>0</v>
      </c>
      <c r="R439" t="n">
        <v>0</v>
      </c>
      <c r="S439" t="n">
        <v>0</v>
      </c>
      <c r="T439" t="n">
        <v>0</v>
      </c>
      <c r="U439" s="2" t="inlineStr"/>
    </row>
    <row r="440" ht="15" customHeight="1">
      <c r="A440" t="inlineStr">
        <is>
          <t>A 54074-2022</t>
        </is>
      </c>
      <c r="B440" t="inlineStr">
        <is>
          <t>avverkningsanmälan</t>
        </is>
      </c>
      <c r="C440" t="inlineStr">
        <is>
          <t>Föryngringsavverkning</t>
        </is>
      </c>
      <c r="D440" s="1" t="n">
        <v>44881</v>
      </c>
      <c r="E440" s="1" t="n">
        <v>46223</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65249-2023</t>
        </is>
      </c>
      <c r="B441" t="inlineStr">
        <is>
          <t>avverkningsanmälan</t>
        </is>
      </c>
      <c r="C441" t="inlineStr">
        <is>
          <t>Föryngringsavverkning</t>
        </is>
      </c>
      <c r="D441" s="1" t="n">
        <v>45290</v>
      </c>
      <c r="E441" s="1" t="n">
        <v>46223</v>
      </c>
      <c r="F441" t="inlineStr">
        <is>
          <t>GOTLANDS LÄN</t>
        </is>
      </c>
      <c r="G441" t="inlineStr">
        <is>
          <t>GOTLAND</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22348-2026</t>
        </is>
      </c>
      <c r="B442" t="inlineStr">
        <is>
          <t>avverkningsanmälan</t>
        </is>
      </c>
      <c r="C442" t="inlineStr">
        <is>
          <t>Föryngringsavverkning</t>
        </is>
      </c>
      <c r="D442" s="1" t="n">
        <v>46154</v>
      </c>
      <c r="E442" s="1" t="n">
        <v>46223</v>
      </c>
      <c r="F442" t="inlineStr">
        <is>
          <t>GOTLANDS LÄN</t>
        </is>
      </c>
      <c r="G442" t="inlineStr">
        <is>
          <t>GOTLAND</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22351-2026</t>
        </is>
      </c>
      <c r="B443" t="inlineStr">
        <is>
          <t>avverkningsanmälan</t>
        </is>
      </c>
      <c r="C443" t="inlineStr">
        <is>
          <t>Föryngringsavverkning</t>
        </is>
      </c>
      <c r="D443" s="1" t="n">
        <v>46154</v>
      </c>
      <c r="E443" s="1" t="n">
        <v>46223</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28012-2026</t>
        </is>
      </c>
      <c r="B444" t="inlineStr">
        <is>
          <t>avverkningsanmälan</t>
        </is>
      </c>
      <c r="C444" t="inlineStr">
        <is>
          <t>Föryngringsavverkning</t>
        </is>
      </c>
      <c r="D444" s="1" t="n">
        <v>46195</v>
      </c>
      <c r="E444" s="1" t="n">
        <v>46223</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17780-2022</t>
        </is>
      </c>
      <c r="B445" t="inlineStr">
        <is>
          <t>avverkningsanmälan</t>
        </is>
      </c>
      <c r="C445" t="inlineStr">
        <is>
          <t>Föryngringsavverkning</t>
        </is>
      </c>
      <c r="D445" s="1" t="n">
        <v>44682</v>
      </c>
      <c r="E445" s="1" t="n">
        <v>46223</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59986-2022</t>
        </is>
      </c>
      <c r="B446" t="inlineStr">
        <is>
          <t>avverkningsanmälan</t>
        </is>
      </c>
      <c r="C446" t="inlineStr">
        <is>
          <t>Avverkning för annat ändamål</t>
        </is>
      </c>
      <c r="D446" s="1" t="n">
        <v>44909</v>
      </c>
      <c r="E446" s="1" t="n">
        <v>46223</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28839-2026</t>
        </is>
      </c>
      <c r="B447" t="inlineStr">
        <is>
          <t>avverkningsanmälan</t>
        </is>
      </c>
      <c r="C447" t="inlineStr">
        <is>
          <t>Föryngringsavverkning</t>
        </is>
      </c>
      <c r="D447" s="1" t="n">
        <v>46198</v>
      </c>
      <c r="E447" s="1" t="n">
        <v>46223</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28843-2026</t>
        </is>
      </c>
      <c r="B448" t="inlineStr">
        <is>
          <t>avverkningsanmälan</t>
        </is>
      </c>
      <c r="C448" t="inlineStr">
        <is>
          <t>Föryngringsavverkning</t>
        </is>
      </c>
      <c r="D448" s="1" t="n">
        <v>46198</v>
      </c>
      <c r="E448" s="1" t="n">
        <v>46223</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11874-2024</t>
        </is>
      </c>
      <c r="B449" t="inlineStr">
        <is>
          <t>avverkningsanmälan</t>
        </is>
      </c>
      <c r="C449" t="inlineStr">
        <is>
          <t>Föryngringsavverkning</t>
        </is>
      </c>
      <c r="D449" s="1" t="n">
        <v>45376</v>
      </c>
      <c r="E449" s="1" t="n">
        <v>46223</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42041-2024</t>
        </is>
      </c>
      <c r="B450" t="inlineStr">
        <is>
          <t>avverkningsanmälan</t>
        </is>
      </c>
      <c r="C450" t="inlineStr">
        <is>
          <t>Föryngringsavverkning</t>
        </is>
      </c>
      <c r="D450" s="1" t="n">
        <v>45561</v>
      </c>
      <c r="E450" s="1" t="n">
        <v>46223</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61694-2023</t>
        </is>
      </c>
      <c r="B451" t="inlineStr">
        <is>
          <t>avverkningsanmälan</t>
        </is>
      </c>
      <c r="C451" t="inlineStr">
        <is>
          <t>Föryngringsavverkning</t>
        </is>
      </c>
      <c r="D451" s="1" t="n">
        <v>45264</v>
      </c>
      <c r="E451" s="1" t="n">
        <v>46223</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35096-2025</t>
        </is>
      </c>
      <c r="B452" t="inlineStr">
        <is>
          <t>avverkningsanmälan</t>
        </is>
      </c>
      <c r="C452" t="inlineStr">
        <is>
          <t>Föryngringsavverkning</t>
        </is>
      </c>
      <c r="D452" s="1" t="n">
        <v>45852</v>
      </c>
      <c r="E452" s="1" t="n">
        <v>46223</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64555-2023</t>
        </is>
      </c>
      <c r="B453" t="inlineStr">
        <is>
          <t>avverkningsanmälan</t>
        </is>
      </c>
      <c r="C453" t="inlineStr">
        <is>
          <t>Avverkning för annat ändamål</t>
        </is>
      </c>
      <c r="D453" s="1" t="n">
        <v>45281</v>
      </c>
      <c r="E453" s="1" t="n">
        <v>46223</v>
      </c>
      <c r="F453" t="inlineStr">
        <is>
          <t>GOTLANDS LÄN</t>
        </is>
      </c>
      <c r="G453" t="inlineStr">
        <is>
          <t>GOTLAND</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64831-2023</t>
        </is>
      </c>
      <c r="B454" t="inlineStr">
        <is>
          <t>avverkningsanmälan</t>
        </is>
      </c>
      <c r="C454" t="inlineStr">
        <is>
          <t>Föryngringsavverkning</t>
        </is>
      </c>
      <c r="D454" s="1" t="n">
        <v>45282</v>
      </c>
      <c r="E454" s="1" t="n">
        <v>46223</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22887-2026</t>
        </is>
      </c>
      <c r="B455" t="inlineStr">
        <is>
          <t>avverkningsanmälan</t>
        </is>
      </c>
      <c r="C455" t="inlineStr">
        <is>
          <t>Avverkning för att bevara och utveckla /försöksver</t>
        </is>
      </c>
      <c r="D455" s="1" t="n">
        <v>46160</v>
      </c>
      <c r="E455" s="1" t="n">
        <v>46223</v>
      </c>
      <c r="F455" t="inlineStr">
        <is>
          <t>GOTLANDS LÄN</t>
        </is>
      </c>
      <c r="G455" t="inlineStr">
        <is>
          <t>GOTLAND</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4377-2023</t>
        </is>
      </c>
      <c r="B456" t="inlineStr">
        <is>
          <t>avverkningsanmälan</t>
        </is>
      </c>
      <c r="C456" t="inlineStr">
        <is>
          <t>Föryngringsavverkning</t>
        </is>
      </c>
      <c r="D456" s="1" t="n">
        <v>44955</v>
      </c>
      <c r="E456" s="1" t="n">
        <v>46223</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4387-2023</t>
        </is>
      </c>
      <c r="B457" t="inlineStr">
        <is>
          <t>avverkningsanmälan</t>
        </is>
      </c>
      <c r="C457" t="inlineStr">
        <is>
          <t>Föryngringsavverkning</t>
        </is>
      </c>
      <c r="D457" s="1" t="n">
        <v>44955</v>
      </c>
      <c r="E457" s="1" t="n">
        <v>46223</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39479-2022</t>
        </is>
      </c>
      <c r="B458" t="inlineStr">
        <is>
          <t>avverkningsanmälan</t>
        </is>
      </c>
      <c r="C458" t="inlineStr">
        <is>
          <t>Föryngringsavverkning</t>
        </is>
      </c>
      <c r="D458" s="1" t="n">
        <v>44818</v>
      </c>
      <c r="E458" s="1" t="n">
        <v>46223</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23103-2026</t>
        </is>
      </c>
      <c r="B459" t="inlineStr">
        <is>
          <t>avverkningsanmälan</t>
        </is>
      </c>
      <c r="C459" t="inlineStr">
        <is>
          <t>Föryngringsavverkning</t>
        </is>
      </c>
      <c r="D459" s="1" t="n">
        <v>46161</v>
      </c>
      <c r="E459" s="1" t="n">
        <v>46223</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51963-2024</t>
        </is>
      </c>
      <c r="B460" t="inlineStr">
        <is>
          <t>avverkningsanmälan</t>
        </is>
      </c>
      <c r="C460" t="inlineStr">
        <is>
          <t>Föryngringsavverkning</t>
        </is>
      </c>
      <c r="D460" s="1" t="n">
        <v>45607</v>
      </c>
      <c r="E460" s="1" t="n">
        <v>46223</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29370-2026</t>
        </is>
      </c>
      <c r="B461" t="inlineStr">
        <is>
          <t>avverkningsanmälan</t>
        </is>
      </c>
      <c r="C461" t="inlineStr">
        <is>
          <t>Föryngringsavverkning</t>
        </is>
      </c>
      <c r="D461" s="1" t="n">
        <v>46203</v>
      </c>
      <c r="E461" s="1" t="n">
        <v>46223</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811-2023</t>
        </is>
      </c>
      <c r="B462" t="inlineStr">
        <is>
          <t>avverkningsanmälan</t>
        </is>
      </c>
      <c r="C462" t="inlineStr">
        <is>
          <t>Föryngringsavverkning</t>
        </is>
      </c>
      <c r="D462" s="1" t="n">
        <v>44931</v>
      </c>
      <c r="E462" s="1" t="n">
        <v>46223</v>
      </c>
      <c r="F462" t="inlineStr">
        <is>
          <t>GOTLANDS LÄN</t>
        </is>
      </c>
      <c r="G462" t="inlineStr">
        <is>
          <t>GOTLAND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46389-2021</t>
        </is>
      </c>
      <c r="B463" t="inlineStr">
        <is>
          <t>avverkningsanmälan</t>
        </is>
      </c>
      <c r="C463" t="inlineStr">
        <is>
          <t>Föryngringsavverkning</t>
        </is>
      </c>
      <c r="D463" s="1" t="n">
        <v>44443</v>
      </c>
      <c r="E463" s="1" t="n">
        <v>46223</v>
      </c>
      <c r="F463" t="inlineStr">
        <is>
          <t>GOTLANDS LÄN</t>
        </is>
      </c>
      <c r="G463" t="inlineStr">
        <is>
          <t>GOTLAND</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5923-2023</t>
        </is>
      </c>
      <c r="B464" t="inlineStr">
        <is>
          <t>avverkningsanmälan</t>
        </is>
      </c>
      <c r="C464" t="inlineStr">
        <is>
          <t>Föryngringsavverkning</t>
        </is>
      </c>
      <c r="D464" s="1" t="n">
        <v>44963</v>
      </c>
      <c r="E464" s="1" t="n">
        <v>46223</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18918-2025</t>
        </is>
      </c>
      <c r="B465" t="inlineStr">
        <is>
          <t>avverkningsanmälan</t>
        </is>
      </c>
      <c r="C465" t="inlineStr">
        <is>
          <t>Avverkning för annat ändamål</t>
        </is>
      </c>
      <c r="D465" s="1" t="n">
        <v>45764</v>
      </c>
      <c r="E465" s="1" t="n">
        <v>46223</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2674-2023</t>
        </is>
      </c>
      <c r="B466" t="inlineStr">
        <is>
          <t>avverkningsanmälan</t>
        </is>
      </c>
      <c r="C466" t="inlineStr">
        <is>
          <t>Avverkning för annat ändamål</t>
        </is>
      </c>
      <c r="D466" s="1" t="n">
        <v>44944</v>
      </c>
      <c r="E466" s="1" t="n">
        <v>46223</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46223</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2719-2023</t>
        </is>
      </c>
      <c r="B468" t="inlineStr">
        <is>
          <t>avverkningsanmälan</t>
        </is>
      </c>
      <c r="C468" t="inlineStr">
        <is>
          <t>Föryngringsavverkning</t>
        </is>
      </c>
      <c r="D468" s="1" t="n">
        <v>44944</v>
      </c>
      <c r="E468" s="1" t="n">
        <v>46223</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26891-2024</t>
        </is>
      </c>
      <c r="B469" t="inlineStr">
        <is>
          <t>avverkningsanmälan</t>
        </is>
      </c>
      <c r="C469" t="inlineStr">
        <is>
          <t>Föryngringsavverkning</t>
        </is>
      </c>
      <c r="D469" s="1" t="n">
        <v>45470</v>
      </c>
      <c r="E469" s="1" t="n">
        <v>46223</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42007-2023</t>
        </is>
      </c>
      <c r="B470" t="inlineStr">
        <is>
          <t>avverkningsanmälan</t>
        </is>
      </c>
      <c r="C470" t="inlineStr">
        <is>
          <t>Avverkning för annat ändamål</t>
        </is>
      </c>
      <c r="D470" s="1" t="n">
        <v>45177</v>
      </c>
      <c r="E470" s="1" t="n">
        <v>46223</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9887-2025</t>
        </is>
      </c>
      <c r="B471" t="inlineStr">
        <is>
          <t>avverkningsanmälan</t>
        </is>
      </c>
      <c r="C471" t="inlineStr">
        <is>
          <t>Föryngringsavverkning</t>
        </is>
      </c>
      <c r="D471" s="1" t="n">
        <v>45716</v>
      </c>
      <c r="E471" s="1" t="n">
        <v>46223</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s="2" t="inlineStr"/>
    </row>
    <row r="472" ht="15" customHeight="1">
      <c r="A472" t="inlineStr">
        <is>
          <t>A 27596-2023</t>
        </is>
      </c>
      <c r="B472" t="inlineStr">
        <is>
          <t>avverkningsanmälan</t>
        </is>
      </c>
      <c r="C472" t="inlineStr">
        <is>
          <t>Avverkning för annat ändamål</t>
        </is>
      </c>
      <c r="D472" s="1" t="n">
        <v>45097</v>
      </c>
      <c r="E472" s="1" t="n">
        <v>46223</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23504-2026</t>
        </is>
      </c>
      <c r="B473" t="inlineStr">
        <is>
          <t>avverkningsanmälan</t>
        </is>
      </c>
      <c r="C473" t="inlineStr">
        <is>
          <t>Föryngringsavverkning</t>
        </is>
      </c>
      <c r="D473" s="1" t="n">
        <v>46163</v>
      </c>
      <c r="E473" s="1" t="n">
        <v>46223</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24825-2024</t>
        </is>
      </c>
      <c r="B474" t="inlineStr">
        <is>
          <t>avverkningsanmälan</t>
        </is>
      </c>
      <c r="C474" t="inlineStr">
        <is>
          <t>Avverkning för annat ändamål</t>
        </is>
      </c>
      <c r="D474" s="1" t="n">
        <v>45461</v>
      </c>
      <c r="E474" s="1" t="n">
        <v>46223</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6696-2023</t>
        </is>
      </c>
      <c r="B475" t="inlineStr">
        <is>
          <t>avverkningsanmälan</t>
        </is>
      </c>
      <c r="C475" t="inlineStr">
        <is>
          <t>Föryngringsavverkning</t>
        </is>
      </c>
      <c r="D475" s="1" t="n">
        <v>44966</v>
      </c>
      <c r="E475" s="1" t="n">
        <v>46223</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21247-2022</t>
        </is>
      </c>
      <c r="B476" t="inlineStr">
        <is>
          <t>avverkningsanmälan</t>
        </is>
      </c>
      <c r="C476" t="inlineStr">
        <is>
          <t>Föryngringsavverkning</t>
        </is>
      </c>
      <c r="D476" s="1" t="n">
        <v>44705</v>
      </c>
      <c r="E476" s="1" t="n">
        <v>46223</v>
      </c>
      <c r="F476" t="inlineStr">
        <is>
          <t>GOTLANDS LÄN</t>
        </is>
      </c>
      <c r="G476" t="inlineStr">
        <is>
          <t>GOTLAND</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456-2023</t>
        </is>
      </c>
      <c r="B477" t="inlineStr">
        <is>
          <t>avverkningsanmälan</t>
        </is>
      </c>
      <c r="C477" t="inlineStr">
        <is>
          <t>Föryngringsavverkning</t>
        </is>
      </c>
      <c r="D477" s="1" t="n">
        <v>44929</v>
      </c>
      <c r="E477" s="1" t="n">
        <v>46223</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2714-2023</t>
        </is>
      </c>
      <c r="B478" t="inlineStr">
        <is>
          <t>avverkningsanmälan</t>
        </is>
      </c>
      <c r="C478" t="inlineStr">
        <is>
          <t>Föryngringsavverkning</t>
        </is>
      </c>
      <c r="D478" s="1" t="n">
        <v>44944</v>
      </c>
      <c r="E478" s="1" t="n">
        <v>46223</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4421-2024</t>
        </is>
      </c>
      <c r="B479" t="inlineStr">
        <is>
          <t>avverkningsanmälan</t>
        </is>
      </c>
      <c r="C479" t="inlineStr">
        <is>
          <t>Föryngringsavverkning</t>
        </is>
      </c>
      <c r="D479" s="1" t="n">
        <v>45327</v>
      </c>
      <c r="E479" s="1" t="n">
        <v>46223</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51782-2023</t>
        </is>
      </c>
      <c r="B480" t="inlineStr">
        <is>
          <t>avverkningsanmälan</t>
        </is>
      </c>
      <c r="C480" t="inlineStr">
        <is>
          <t>Föryngringsavverkning</t>
        </is>
      </c>
      <c r="D480" s="1" t="n">
        <v>45222</v>
      </c>
      <c r="E480" s="1" t="n">
        <v>46223</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54268-2022</t>
        </is>
      </c>
      <c r="B481" t="inlineStr">
        <is>
          <t>avverkningsanmälan</t>
        </is>
      </c>
      <c r="C481" t="inlineStr">
        <is>
          <t>Föryngringsavverkning</t>
        </is>
      </c>
      <c r="D481" s="1" t="n">
        <v>44882</v>
      </c>
      <c r="E481" s="1" t="n">
        <v>46223</v>
      </c>
      <c r="F481" t="inlineStr">
        <is>
          <t>GOTLANDS LÄN</t>
        </is>
      </c>
      <c r="G481" t="inlineStr">
        <is>
          <t>GOTLAND</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25866-2022</t>
        </is>
      </c>
      <c r="B482" t="inlineStr">
        <is>
          <t>avverkningsanmälan</t>
        </is>
      </c>
      <c r="C482" t="inlineStr">
        <is>
          <t>Föryngringsavverkning</t>
        </is>
      </c>
      <c r="D482" s="1" t="n">
        <v>44733</v>
      </c>
      <c r="E482" s="1" t="n">
        <v>46223</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43229-2023</t>
        </is>
      </c>
      <c r="B483" t="inlineStr">
        <is>
          <t>avverkningsanmälan</t>
        </is>
      </c>
      <c r="C483" t="inlineStr">
        <is>
          <t>Föryngringsavverkning</t>
        </is>
      </c>
      <c r="D483" s="1" t="n">
        <v>45183</v>
      </c>
      <c r="E483" s="1" t="n">
        <v>46223</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s="2" t="inlineStr"/>
    </row>
    <row r="484" ht="15" customHeight="1">
      <c r="A484" t="inlineStr">
        <is>
          <t>A 27095-2022</t>
        </is>
      </c>
      <c r="B484" t="inlineStr">
        <is>
          <t>avverkningsanmälan</t>
        </is>
      </c>
      <c r="C484" t="inlineStr">
        <is>
          <t>Avverkning för annat ändamål</t>
        </is>
      </c>
      <c r="D484" s="1" t="n">
        <v>44741</v>
      </c>
      <c r="E484" s="1" t="n">
        <v>46223</v>
      </c>
      <c r="F484" t="inlineStr">
        <is>
          <t>GOTLANDS LÄN</t>
        </is>
      </c>
      <c r="G484" t="inlineStr">
        <is>
          <t>GOTLAND</t>
        </is>
      </c>
      <c r="H484" t="inlineStr">
        <is>
          <t>Övriga Aktiebolag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22899-2023</t>
        </is>
      </c>
      <c r="B485" t="inlineStr">
        <is>
          <t>avverkningsanmälan</t>
        </is>
      </c>
      <c r="C485" t="inlineStr">
        <is>
          <t>Föryngringsavverkning</t>
        </is>
      </c>
      <c r="D485" s="1" t="n">
        <v>45072</v>
      </c>
      <c r="E485" s="1" t="n">
        <v>46223</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23978-2023</t>
        </is>
      </c>
      <c r="B486" t="inlineStr">
        <is>
          <t>avverkningsanmälan</t>
        </is>
      </c>
      <c r="C486" t="inlineStr">
        <is>
          <t>Föryngringsavverkning</t>
        </is>
      </c>
      <c r="D486" s="1" t="n">
        <v>45078</v>
      </c>
      <c r="E486" s="1" t="n">
        <v>46223</v>
      </c>
      <c r="F486" t="inlineStr">
        <is>
          <t>GOTLANDS LÄN</t>
        </is>
      </c>
      <c r="G486" t="inlineStr">
        <is>
          <t>GOTLAND</t>
        </is>
      </c>
      <c r="H486" t="inlineStr">
        <is>
          <t>Naturvårdsverket</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34407-2023</t>
        </is>
      </c>
      <c r="B487" t="inlineStr">
        <is>
          <t>avverkningsanmälan</t>
        </is>
      </c>
      <c r="C487" t="inlineStr">
        <is>
          <t>Föryngringsavverkning</t>
        </is>
      </c>
      <c r="D487" s="1" t="n">
        <v>45132</v>
      </c>
      <c r="E487" s="1" t="n">
        <v>46223</v>
      </c>
      <c r="F487" t="inlineStr">
        <is>
          <t>GOTLANDS LÄN</t>
        </is>
      </c>
      <c r="G487" t="inlineStr">
        <is>
          <t>GOTLAND</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11013-2024</t>
        </is>
      </c>
      <c r="B488" t="inlineStr">
        <is>
          <t>avverkningsanmälan</t>
        </is>
      </c>
      <c r="C488" t="inlineStr">
        <is>
          <t>Föryngringsavverkning</t>
        </is>
      </c>
      <c r="D488" s="1" t="n">
        <v>45370</v>
      </c>
      <c r="E488" s="1" t="n">
        <v>46223</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27694-2024</t>
        </is>
      </c>
      <c r="B489" t="inlineStr">
        <is>
          <t>avverkningsanmälan</t>
        </is>
      </c>
      <c r="C489" t="inlineStr">
        <is>
          <t>Föryngringsavverkning</t>
        </is>
      </c>
      <c r="D489" s="1" t="n">
        <v>45475</v>
      </c>
      <c r="E489" s="1" t="n">
        <v>46223</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15083-2025</t>
        </is>
      </c>
      <c r="B490" t="inlineStr">
        <is>
          <t>avverkningsanmälan</t>
        </is>
      </c>
      <c r="C490" t="inlineStr">
        <is>
          <t>Avverkning för annat ändamål</t>
        </is>
      </c>
      <c r="D490" s="1" t="n">
        <v>45743</v>
      </c>
      <c r="E490" s="1" t="n">
        <v>46223</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13037-2025</t>
        </is>
      </c>
      <c r="B491" t="inlineStr">
        <is>
          <t>avverkningsanmälan</t>
        </is>
      </c>
      <c r="C491" t="inlineStr">
        <is>
          <t>Avverkning för att bevara och utveckla /försöksver</t>
        </is>
      </c>
      <c r="D491" s="1" t="n">
        <v>45734</v>
      </c>
      <c r="E491" s="1" t="n">
        <v>46223</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s="2" t="inlineStr"/>
    </row>
    <row r="492" ht="15" customHeight="1">
      <c r="A492" t="inlineStr">
        <is>
          <t>A 44228-2022</t>
        </is>
      </c>
      <c r="B492" t="inlineStr">
        <is>
          <t>avverkningsanmälan</t>
        </is>
      </c>
      <c r="C492" t="inlineStr">
        <is>
          <t>Föryngringsavverkning</t>
        </is>
      </c>
      <c r="D492" s="1" t="n">
        <v>44839</v>
      </c>
      <c r="E492" s="1" t="n">
        <v>46223</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58132-2023</t>
        </is>
      </c>
      <c r="B493" t="inlineStr">
        <is>
          <t>avverkningsanmälan</t>
        </is>
      </c>
      <c r="C493" t="inlineStr">
        <is>
          <t>Föryngringsavverkning</t>
        </is>
      </c>
      <c r="D493" s="1" t="n">
        <v>45250</v>
      </c>
      <c r="E493" s="1" t="n">
        <v>46223</v>
      </c>
      <c r="F493" t="inlineStr">
        <is>
          <t>GOTLANDS LÄN</t>
        </is>
      </c>
      <c r="G493" t="inlineStr">
        <is>
          <t>GOTLAND</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30926-2026</t>
        </is>
      </c>
      <c r="B494" t="inlineStr">
        <is>
          <t>avverkningsanmälan</t>
        </is>
      </c>
      <c r="C494" t="inlineStr">
        <is>
          <t>Föryngringsavverkning</t>
        </is>
      </c>
      <c r="D494" s="1" t="n">
        <v>46213</v>
      </c>
      <c r="E494" s="1" t="n">
        <v>46223</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30925-2026</t>
        </is>
      </c>
      <c r="B495" t="inlineStr">
        <is>
          <t>avverkningsanmälan</t>
        </is>
      </c>
      <c r="C495" t="inlineStr">
        <is>
          <t>Föryngringsavverkning</t>
        </is>
      </c>
      <c r="D495" s="1" t="n">
        <v>46213</v>
      </c>
      <c r="E495" s="1" t="n">
        <v>46223</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24448-2026</t>
        </is>
      </c>
      <c r="B496" t="inlineStr">
        <is>
          <t>avverkningsanmälan</t>
        </is>
      </c>
      <c r="C496" t="inlineStr">
        <is>
          <t>Föryngringsavverkning</t>
        </is>
      </c>
      <c r="D496" s="1" t="n">
        <v>46170</v>
      </c>
      <c r="E496" s="1" t="n">
        <v>46223</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49884-2023</t>
        </is>
      </c>
      <c r="B497" t="inlineStr">
        <is>
          <t>avverkningsanmälan</t>
        </is>
      </c>
      <c r="C497" t="inlineStr">
        <is>
          <t>Föryngringsavverkning</t>
        </is>
      </c>
      <c r="D497" s="1" t="n">
        <v>45213</v>
      </c>
      <c r="E497" s="1" t="n">
        <v>46223</v>
      </c>
      <c r="F497" t="inlineStr">
        <is>
          <t>GOTLANDS LÄN</t>
        </is>
      </c>
      <c r="G497" t="inlineStr">
        <is>
          <t>GOTLAND</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876-2024</t>
        </is>
      </c>
      <c r="B498" t="inlineStr">
        <is>
          <t>avverkningsanmälan</t>
        </is>
      </c>
      <c r="C498" t="inlineStr">
        <is>
          <t>Avverkning för annat ändamål</t>
        </is>
      </c>
      <c r="D498" s="1" t="n">
        <v>45301</v>
      </c>
      <c r="E498" s="1" t="n">
        <v>46223</v>
      </c>
      <c r="F498" t="inlineStr">
        <is>
          <t>GOTLANDS LÄN</t>
        </is>
      </c>
      <c r="G498" t="inlineStr">
        <is>
          <t>GOTLAND</t>
        </is>
      </c>
      <c r="I498" t="n">
        <v>5.3</v>
      </c>
      <c r="J498" t="n">
        <v>0</v>
      </c>
      <c r="K498" t="n">
        <v>0</v>
      </c>
      <c r="L498" t="n">
        <v>0</v>
      </c>
      <c r="M498" t="n">
        <v>0</v>
      </c>
      <c r="N498" t="n">
        <v>0</v>
      </c>
      <c r="O498" t="n">
        <v>0</v>
      </c>
      <c r="P498" t="n">
        <v>0</v>
      </c>
      <c r="Q498" t="n">
        <v>0</v>
      </c>
      <c r="R498" t="n">
        <v>0</v>
      </c>
      <c r="S498" t="n">
        <v>0</v>
      </c>
      <c r="T498" t="n">
        <v>0</v>
      </c>
      <c r="U498" s="2" t="inlineStr"/>
    </row>
    <row r="499" ht="15" customHeight="1">
      <c r="A499" t="inlineStr">
        <is>
          <t>A 22704-2023</t>
        </is>
      </c>
      <c r="B499" t="inlineStr">
        <is>
          <t>avverkningsanmälan</t>
        </is>
      </c>
      <c r="C499" t="inlineStr">
        <is>
          <t>Föryngringsavverkning</t>
        </is>
      </c>
      <c r="D499" s="1" t="n">
        <v>45071</v>
      </c>
      <c r="E499" s="1" t="n">
        <v>46223</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28425-2023</t>
        </is>
      </c>
      <c r="B500" t="inlineStr">
        <is>
          <t>avverkningsanmälan</t>
        </is>
      </c>
      <c r="C500" t="inlineStr">
        <is>
          <t>Föryngringsavverkning</t>
        </is>
      </c>
      <c r="D500" s="1" t="n">
        <v>45102</v>
      </c>
      <c r="E500" s="1" t="n">
        <v>46223</v>
      </c>
      <c r="F500" t="inlineStr">
        <is>
          <t>GOTLANDS LÄN</t>
        </is>
      </c>
      <c r="G500" t="inlineStr">
        <is>
          <t>GOTLAND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31287-2026</t>
        </is>
      </c>
      <c r="B501" t="inlineStr">
        <is>
          <t>avverkningsanmälan</t>
        </is>
      </c>
      <c r="C501" t="inlineStr">
        <is>
          <t>Avverkning för annat ändamål</t>
        </is>
      </c>
      <c r="D501" s="1" t="n">
        <v>46218</v>
      </c>
      <c r="E501" s="1" t="n">
        <v>46223</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43223-2023</t>
        </is>
      </c>
      <c r="B502" t="inlineStr">
        <is>
          <t>avverkningsanmälan</t>
        </is>
      </c>
      <c r="C502" t="inlineStr">
        <is>
          <t>Föryngringsavverkning</t>
        </is>
      </c>
      <c r="D502" s="1" t="n">
        <v>45183</v>
      </c>
      <c r="E502" s="1" t="n">
        <v>46223</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3431-2025</t>
        </is>
      </c>
      <c r="B503" t="inlineStr">
        <is>
          <t>avverkningsanmälan</t>
        </is>
      </c>
      <c r="C503" t="inlineStr">
        <is>
          <t>Föryngringsavverkning</t>
        </is>
      </c>
      <c r="D503" s="1" t="n">
        <v>45680</v>
      </c>
      <c r="E503" s="1" t="n">
        <v>46223</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37202-2024</t>
        </is>
      </c>
      <c r="B504" t="inlineStr">
        <is>
          <t>avverkningsanmälan</t>
        </is>
      </c>
      <c r="C504" t="inlineStr">
        <is>
          <t>Föryngringsavverkning</t>
        </is>
      </c>
      <c r="D504" s="1" t="n">
        <v>45539</v>
      </c>
      <c r="E504" s="1" t="n">
        <v>46223</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46527-2023</t>
        </is>
      </c>
      <c r="B505" t="inlineStr">
        <is>
          <t>avverkningsanmälan</t>
        </is>
      </c>
      <c r="C505" t="inlineStr">
        <is>
          <t>Avverkning för annat ändamål</t>
        </is>
      </c>
      <c r="D505" s="1" t="n">
        <v>45197</v>
      </c>
      <c r="E505" s="1" t="n">
        <v>46223</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2774-2024</t>
        </is>
      </c>
      <c r="B506" t="inlineStr">
        <is>
          <t>avverkningsanmälan</t>
        </is>
      </c>
      <c r="C506" t="inlineStr">
        <is>
          <t>Föryngringsavverkning</t>
        </is>
      </c>
      <c r="D506" s="1" t="n">
        <v>45314</v>
      </c>
      <c r="E506" s="1" t="n">
        <v>46223</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60709-2023</t>
        </is>
      </c>
      <c r="B507" t="inlineStr">
        <is>
          <t>avverkningsanmälan</t>
        </is>
      </c>
      <c r="C507" t="inlineStr">
        <is>
          <t>Föryngringsavverkning</t>
        </is>
      </c>
      <c r="D507" s="1" t="n">
        <v>45260</v>
      </c>
      <c r="E507" s="1" t="n">
        <v>46223</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39764-2022</t>
        </is>
      </c>
      <c r="B508" t="inlineStr">
        <is>
          <t>avverkningsanmälan</t>
        </is>
      </c>
      <c r="C508" t="inlineStr">
        <is>
          <t>Föryngringsavverkning</t>
        </is>
      </c>
      <c r="D508" s="1" t="n">
        <v>44819</v>
      </c>
      <c r="E508" s="1" t="n">
        <v>46223</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30956-2024</t>
        </is>
      </c>
      <c r="B509" t="inlineStr">
        <is>
          <t>avverkningsanmälan</t>
        </is>
      </c>
      <c r="C509" t="inlineStr">
        <is>
          <t>Föryngringsavverkning</t>
        </is>
      </c>
      <c r="D509" s="1" t="n">
        <v>45499</v>
      </c>
      <c r="E509" s="1" t="n">
        <v>46223</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30892-2024</t>
        </is>
      </c>
      <c r="B510" t="inlineStr">
        <is>
          <t>avverkningsanmälan</t>
        </is>
      </c>
      <c r="C510" t="inlineStr">
        <is>
          <t>Föryngringsavverkning</t>
        </is>
      </c>
      <c r="D510" s="1" t="n">
        <v>45491</v>
      </c>
      <c r="E510" s="1" t="n">
        <v>46223</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14635-2023</t>
        </is>
      </c>
      <c r="B511" t="inlineStr">
        <is>
          <t>avverkningsanmälan</t>
        </is>
      </c>
      <c r="C511" t="inlineStr">
        <is>
          <t>Föryngringsavverkning</t>
        </is>
      </c>
      <c r="D511" s="1" t="n">
        <v>45013</v>
      </c>
      <c r="E511" s="1" t="n">
        <v>46223</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59469-2024</t>
        </is>
      </c>
      <c r="B512" t="inlineStr">
        <is>
          <t>avverkningsanmälan</t>
        </is>
      </c>
      <c r="C512" t="inlineStr">
        <is>
          <t>Föryngringsavverkning</t>
        </is>
      </c>
      <c r="D512" s="1" t="n">
        <v>45638</v>
      </c>
      <c r="E512" s="1" t="n">
        <v>46223</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7858-2025</t>
        </is>
      </c>
      <c r="B513" t="inlineStr">
        <is>
          <t>avverkningsanmälan</t>
        </is>
      </c>
      <c r="C513" t="inlineStr">
        <is>
          <t>Föryngringsavverkning</t>
        </is>
      </c>
      <c r="D513" s="1" t="n">
        <v>45706</v>
      </c>
      <c r="E513" s="1" t="n">
        <v>46223</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53935-2024</t>
        </is>
      </c>
      <c r="B514" t="inlineStr">
        <is>
          <t>avverkningsanmälan</t>
        </is>
      </c>
      <c r="C514" t="inlineStr">
        <is>
          <t>Föryngringsavverkning</t>
        </is>
      </c>
      <c r="D514" s="1" t="n">
        <v>45615</v>
      </c>
      <c r="E514" s="1" t="n">
        <v>46223</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18223-2025</t>
        </is>
      </c>
      <c r="B515" t="inlineStr">
        <is>
          <t>avverkningsanmälan</t>
        </is>
      </c>
      <c r="C515" t="inlineStr">
        <is>
          <t>Föryngringsavverkning</t>
        </is>
      </c>
      <c r="D515" s="1" t="n">
        <v>45761</v>
      </c>
      <c r="E515" s="1" t="n">
        <v>46223</v>
      </c>
      <c r="F515" t="inlineStr">
        <is>
          <t>GOTLANDS LÄN</t>
        </is>
      </c>
      <c r="G515" t="inlineStr">
        <is>
          <t>GOTLAND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4420-2025</t>
        </is>
      </c>
      <c r="B516" t="inlineStr">
        <is>
          <t>avverkningsanmälan</t>
        </is>
      </c>
      <c r="C516" t="inlineStr">
        <is>
          <t>Föryngringsavverkning</t>
        </is>
      </c>
      <c r="D516" s="1" t="n">
        <v>45686</v>
      </c>
      <c r="E516" s="1" t="n">
        <v>46223</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5891-2025</t>
        </is>
      </c>
      <c r="B517" t="inlineStr">
        <is>
          <t>avverkningsanmälan</t>
        </is>
      </c>
      <c r="C517" t="inlineStr">
        <is>
          <t>Föryngringsavverkning</t>
        </is>
      </c>
      <c r="D517" s="1" t="n">
        <v>45695</v>
      </c>
      <c r="E517" s="1" t="n">
        <v>46223</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7835-2024</t>
        </is>
      </c>
      <c r="B518" t="inlineStr">
        <is>
          <t>avverkningsanmälan</t>
        </is>
      </c>
      <c r="C518" t="inlineStr">
        <is>
          <t>Föryngringsavverkning</t>
        </is>
      </c>
      <c r="D518" s="1" t="n">
        <v>45349</v>
      </c>
      <c r="E518" s="1" t="n">
        <v>46223</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21389-2025</t>
        </is>
      </c>
      <c r="B519" t="inlineStr">
        <is>
          <t>avverkningsanmälan</t>
        </is>
      </c>
      <c r="C519" t="inlineStr">
        <is>
          <t>Föryngringsavverkning</t>
        </is>
      </c>
      <c r="D519" s="1" t="n">
        <v>45782</v>
      </c>
      <c r="E519" s="1" t="n">
        <v>46223</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57356-2023</t>
        </is>
      </c>
      <c r="B520" t="inlineStr">
        <is>
          <t>avverkningsanmälan</t>
        </is>
      </c>
      <c r="C520" t="inlineStr">
        <is>
          <t>Föryngringsavverkning</t>
        </is>
      </c>
      <c r="D520" s="1" t="n">
        <v>45240</v>
      </c>
      <c r="E520" s="1" t="n">
        <v>46223</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10656-2024</t>
        </is>
      </c>
      <c r="B521" t="inlineStr">
        <is>
          <t>avverkningsanmälan</t>
        </is>
      </c>
      <c r="C521" t="inlineStr">
        <is>
          <t>Föryngringsavverkning</t>
        </is>
      </c>
      <c r="D521" s="1" t="n">
        <v>45368</v>
      </c>
      <c r="E521" s="1" t="n">
        <v>46223</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28506-2023</t>
        </is>
      </c>
      <c r="B522" t="inlineStr">
        <is>
          <t>avverkningsanmälan</t>
        </is>
      </c>
      <c r="C522" t="inlineStr">
        <is>
          <t>Avverkning för annat ändamål</t>
        </is>
      </c>
      <c r="D522" s="1" t="n">
        <v>45103</v>
      </c>
      <c r="E522" s="1" t="n">
        <v>46223</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s="2" t="inlineStr"/>
    </row>
    <row r="523" ht="15" customHeight="1">
      <c r="A523" t="inlineStr">
        <is>
          <t>A 21420-2024</t>
        </is>
      </c>
      <c r="B523" t="inlineStr">
        <is>
          <t>avverkningsanmälan</t>
        </is>
      </c>
      <c r="C523" t="inlineStr">
        <is>
          <t>Föryngringsavverkning</t>
        </is>
      </c>
      <c r="D523" s="1" t="n">
        <v>45441</v>
      </c>
      <c r="E523" s="1" t="n">
        <v>46223</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23188-2025</t>
        </is>
      </c>
      <c r="B524" t="inlineStr">
        <is>
          <t>avverkningsanmälan</t>
        </is>
      </c>
      <c r="C524" t="inlineStr">
        <is>
          <t>Avverkning för annat ändamål</t>
        </is>
      </c>
      <c r="D524" s="1" t="n">
        <v>45791</v>
      </c>
      <c r="E524" s="1" t="n">
        <v>46223</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s="2" t="inlineStr"/>
    </row>
    <row r="525" ht="15" customHeight="1">
      <c r="A525" t="inlineStr">
        <is>
          <t>A 15073-2025</t>
        </is>
      </c>
      <c r="B525" t="inlineStr">
        <is>
          <t>avverkningsanmälan</t>
        </is>
      </c>
      <c r="C525" t="inlineStr">
        <is>
          <t>Avverkning för annat ändamål</t>
        </is>
      </c>
      <c r="D525" s="1" t="n">
        <v>45743</v>
      </c>
      <c r="E525" s="1" t="n">
        <v>46223</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s="2" t="inlineStr"/>
    </row>
    <row r="526" ht="15" customHeight="1">
      <c r="A526" t="inlineStr">
        <is>
          <t>A 6749-2025</t>
        </is>
      </c>
      <c r="B526" t="inlineStr">
        <is>
          <t>avverkningsanmälan</t>
        </is>
      </c>
      <c r="C526" t="inlineStr">
        <is>
          <t>Föryngringsavverkning</t>
        </is>
      </c>
      <c r="D526" s="1" t="n">
        <v>45700</v>
      </c>
      <c r="E526" s="1" t="n">
        <v>46223</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46223</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5462-2025</t>
        </is>
      </c>
      <c r="B528" t="inlineStr">
        <is>
          <t>avverkningsanmälan</t>
        </is>
      </c>
      <c r="C528" t="inlineStr">
        <is>
          <t>Föryngringsavverkning</t>
        </is>
      </c>
      <c r="D528" s="1" t="n">
        <v>45693</v>
      </c>
      <c r="E528" s="1" t="n">
        <v>46223</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46223</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46223</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46223</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46223</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46223</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46223</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46223</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46223</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46223</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46223</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46223</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46223</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2026-07-20T01:49:56Z</dcterms:created>
  <dcterms:modified xmlns:dcterms="http://purl.org/dc/terms/" xmlns:xsi="http://www.w3.org/2001/XMLSchema-instance" xsi:type="dcterms:W3CDTF">2026-07-20T01:49:57Z</dcterms:modified>
</cp:coreProperties>
</file>