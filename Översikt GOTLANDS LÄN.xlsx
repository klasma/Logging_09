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46182</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46182</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46182</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46182</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46182</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46182</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46182</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46182</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46182</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46182</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46182</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46182</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46182</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46182</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46182</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46182</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46182</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46182</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46182</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46182</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46182</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46182</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46182</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46182</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46182</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46182</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46182</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43201-2023</t>
        </is>
      </c>
      <c r="B38" s="1" t="n">
        <v>45183</v>
      </c>
      <c r="C38" s="1" t="n">
        <v>46182</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6052-2024</t>
        </is>
      </c>
      <c r="B39" s="1" t="n">
        <v>45336</v>
      </c>
      <c r="C39" s="1" t="n">
        <v>46182</v>
      </c>
      <c r="D39" t="inlineStr">
        <is>
          <t>GOTLANDS LÄN</t>
        </is>
      </c>
      <c r="E39" t="inlineStr">
        <is>
          <t>GOTLAND</t>
        </is>
      </c>
      <c r="G39" t="n">
        <v>10.3</v>
      </c>
      <c r="H39" t="n">
        <v>1</v>
      </c>
      <c r="I39" t="n">
        <v>3</v>
      </c>
      <c r="J39" t="n">
        <v>6</v>
      </c>
      <c r="K39" t="n">
        <v>2</v>
      </c>
      <c r="L39" t="n">
        <v>0</v>
      </c>
      <c r="M39" t="n">
        <v>0</v>
      </c>
      <c r="N39" t="n">
        <v>0</v>
      </c>
      <c r="O39" t="n">
        <v>8</v>
      </c>
      <c r="P39" t="n">
        <v>2</v>
      </c>
      <c r="Q39" t="n">
        <v>11</v>
      </c>
      <c r="R39" s="2" t="inlineStr">
        <is>
          <t>Lansettfibbla
Narrspindling
Ladlav
Odörspindling
Smedbock
Svinrot
Tallticka
Vippärt
Anisspindling
Nästrot
Vårärt</t>
        </is>
      </c>
      <c r="S39">
        <f>HYPERLINK("https://klasma.github.io/Logging_0980/artfynd/A 6052-2024 artfynd.xlsx", "A 6052-2024")</f>
        <v/>
      </c>
      <c r="T39">
        <f>HYPERLINK("https://klasma.github.io/Logging_0980/kartor/A 6052-2024 karta.png", "A 6052-2024")</f>
        <v/>
      </c>
      <c r="V39">
        <f>HYPERLINK("https://klasma.github.io/Logging_0980/klagomål/A 6052-2024 FSC-klagomål.docx", "A 6052-2024")</f>
        <v/>
      </c>
      <c r="W39">
        <f>HYPERLINK("https://klasma.github.io/Logging_0980/klagomålsmail/A 6052-2024 FSC-klagomål mail.docx", "A 6052-2024")</f>
        <v/>
      </c>
      <c r="X39">
        <f>HYPERLINK("https://klasma.github.io/Logging_0980/tillsyn/A 6052-2024 tillsynsbegäran.docx", "A 6052-2024")</f>
        <v/>
      </c>
      <c r="Y39">
        <f>HYPERLINK("https://klasma.github.io/Logging_0980/tillsynsmail/A 6052-2024 tillsynsbegäran mail.docx", "A 6052-2024")</f>
        <v/>
      </c>
    </row>
    <row r="40" ht="15" customHeight="1">
      <c r="A40" t="inlineStr">
        <is>
          <t>A 10274-2026</t>
        </is>
      </c>
      <c r="B40" s="1" t="n">
        <v>46076</v>
      </c>
      <c r="C40" s="1" t="n">
        <v>46182</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584-2023</t>
        </is>
      </c>
      <c r="B41" s="1" t="n">
        <v>44930</v>
      </c>
      <c r="C41" s="1" t="n">
        <v>46182</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27280-2023</t>
        </is>
      </c>
      <c r="B42" s="1" t="n">
        <v>45096</v>
      </c>
      <c r="C42" s="1" t="n">
        <v>46182</v>
      </c>
      <c r="D42" t="inlineStr">
        <is>
          <t>GOTLANDS LÄN</t>
        </is>
      </c>
      <c r="E42" t="inlineStr">
        <is>
          <t>GOTLAND</t>
        </is>
      </c>
      <c r="G42" t="n">
        <v>2.7</v>
      </c>
      <c r="H42" t="n">
        <v>10</v>
      </c>
      <c r="I42" t="n">
        <v>2</v>
      </c>
      <c r="J42" t="n">
        <v>3</v>
      </c>
      <c r="K42" t="n">
        <v>1</v>
      </c>
      <c r="L42" t="n">
        <v>0</v>
      </c>
      <c r="M42" t="n">
        <v>0</v>
      </c>
      <c r="N42" t="n">
        <v>0</v>
      </c>
      <c r="O42" t="n">
        <v>4</v>
      </c>
      <c r="P42" t="n">
        <v>1</v>
      </c>
      <c r="Q42" t="n">
        <v>10</v>
      </c>
      <c r="R42" s="2" t="inlineStr">
        <is>
          <t>Stare
Björktrast
Mindre hackspett
Spillkråka
Skogsknipprot
Tvåblad
Brudsporre
Fläcknycklar
Grönvit nattviol
Nattviol</t>
        </is>
      </c>
      <c r="S42">
        <f>HYPERLINK("https://klasma.github.io/Logging_0980/artfynd/A 27280-2023 artfynd.xlsx", "A 27280-2023")</f>
        <v/>
      </c>
      <c r="T42">
        <f>HYPERLINK("https://klasma.github.io/Logging_0980/kartor/A 27280-2023 karta.png", "A 27280-2023")</f>
        <v/>
      </c>
      <c r="V42">
        <f>HYPERLINK("https://klasma.github.io/Logging_0980/klagomål/A 27280-2023 FSC-klagomål.docx", "A 27280-2023")</f>
        <v/>
      </c>
      <c r="W42">
        <f>HYPERLINK("https://klasma.github.io/Logging_0980/klagomålsmail/A 27280-2023 FSC-klagomål mail.docx", "A 27280-2023")</f>
        <v/>
      </c>
      <c r="X42">
        <f>HYPERLINK("https://klasma.github.io/Logging_0980/tillsyn/A 27280-2023 tillsynsbegäran.docx", "A 27280-2023")</f>
        <v/>
      </c>
      <c r="Y42">
        <f>HYPERLINK("https://klasma.github.io/Logging_0980/tillsynsmail/A 27280-2023 tillsynsbegäran mail.docx", "A 27280-2023")</f>
        <v/>
      </c>
      <c r="Z42">
        <f>HYPERLINK("https://klasma.github.io/Logging_0980/fåglar/A 27280-2023 prioriterade fågelarter.docx", "A 27280-2023")</f>
        <v/>
      </c>
    </row>
    <row r="43" ht="15" customHeight="1">
      <c r="A43" t="inlineStr">
        <is>
          <t>A 33153-2024</t>
        </is>
      </c>
      <c r="B43" s="1" t="n">
        <v>45518</v>
      </c>
      <c r="C43" s="1" t="n">
        <v>46182</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agg.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17766-2024</t>
        </is>
      </c>
      <c r="B44" s="1" t="n">
        <v>45418</v>
      </c>
      <c r="C44" s="1" t="n">
        <v>46182</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45248-2024</t>
        </is>
      </c>
      <c r="B45" s="1" t="n">
        <v>45576</v>
      </c>
      <c r="C45" s="1" t="n">
        <v>46182</v>
      </c>
      <c r="D45" t="inlineStr">
        <is>
          <t>GOTLANDS LÄN</t>
        </is>
      </c>
      <c r="E45" t="inlineStr">
        <is>
          <t>GOTLAND</t>
        </is>
      </c>
      <c r="G45" t="n">
        <v>9.4</v>
      </c>
      <c r="H45" t="n">
        <v>0</v>
      </c>
      <c r="I45" t="n">
        <v>6</v>
      </c>
      <c r="J45" t="n">
        <v>1</v>
      </c>
      <c r="K45" t="n">
        <v>1</v>
      </c>
      <c r="L45" t="n">
        <v>1</v>
      </c>
      <c r="M45" t="n">
        <v>1</v>
      </c>
      <c r="N45" t="n">
        <v>0</v>
      </c>
      <c r="O45" t="n">
        <v>4</v>
      </c>
      <c r="P45" t="n">
        <v>3</v>
      </c>
      <c r="Q45" t="n">
        <v>10</v>
      </c>
      <c r="R45" s="2" t="inlineStr">
        <is>
          <t>Lundalm
Ask
Mjölspindling
Oxtungssvamp
Blå slemspindling
Bolmörtsskivling
Myskmadra
Stinkbrosking
Toppvaxing
Underviol</t>
        </is>
      </c>
      <c r="S45">
        <f>HYPERLINK("https://klasma.github.io/Logging_0980/artfynd/A 45248-2024 artfynd.xlsx", "A 45248-2024")</f>
        <v/>
      </c>
      <c r="T45">
        <f>HYPERLINK("https://klasma.github.io/Logging_0980/kartor/A 45248-2024 karta.png", "A 45248-2024")</f>
        <v/>
      </c>
      <c r="V45">
        <f>HYPERLINK("https://klasma.github.io/Logging_0980/klagomål/A 45248-2024 FSC-klagomål.docx", "A 45248-2024")</f>
        <v/>
      </c>
      <c r="W45">
        <f>HYPERLINK("https://klasma.github.io/Logging_0980/klagomålsmail/A 45248-2024 FSC-klagomål mail.docx", "A 45248-2024")</f>
        <v/>
      </c>
      <c r="X45">
        <f>HYPERLINK("https://klasma.github.io/Logging_0980/tillsyn/A 45248-2024 tillsynsbegäran.docx", "A 45248-2024")</f>
        <v/>
      </c>
      <c r="Y45">
        <f>HYPERLINK("https://klasma.github.io/Logging_0980/tillsynsmail/A 45248-2024 tillsynsbegäran mail.docx", "A 45248-2024")</f>
        <v/>
      </c>
    </row>
    <row r="46" ht="15" customHeight="1">
      <c r="A46" t="inlineStr">
        <is>
          <t>A 14354-2024</t>
        </is>
      </c>
      <c r="B46" s="1" t="n">
        <v>45393</v>
      </c>
      <c r="C46" s="1" t="n">
        <v>46182</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22404-2024</t>
        </is>
      </c>
      <c r="B47" s="1" t="n">
        <v>45446</v>
      </c>
      <c r="C47" s="1" t="n">
        <v>46182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39376-2023</t>
        </is>
      </c>
      <c r="B48" s="1" t="n">
        <v>45166</v>
      </c>
      <c r="C48" s="1" t="n">
        <v>46182</v>
      </c>
      <c r="D48" t="inlineStr">
        <is>
          <t>GOTLANDS LÄN</t>
        </is>
      </c>
      <c r="E48" t="inlineStr">
        <is>
          <t>GOTLAND</t>
        </is>
      </c>
      <c r="G48" t="n">
        <v>9.199999999999999</v>
      </c>
      <c r="H48" t="n">
        <v>1</v>
      </c>
      <c r="I48" t="n">
        <v>5</v>
      </c>
      <c r="J48" t="n">
        <v>4</v>
      </c>
      <c r="K48" t="n">
        <v>0</v>
      </c>
      <c r="L48" t="n">
        <v>0</v>
      </c>
      <c r="M48" t="n">
        <v>0</v>
      </c>
      <c r="N48" t="n">
        <v>0</v>
      </c>
      <c r="O48" t="n">
        <v>4</v>
      </c>
      <c r="P48" t="n">
        <v>0</v>
      </c>
      <c r="Q48" t="n">
        <v>9</v>
      </c>
      <c r="R48" s="2" t="inlineStr">
        <is>
          <t>Denisespindling
Flattoppad klubbsvamp
Odörspindling
Äggspindling
Anisspindling
Blå slemspindling
Kattfotslav
Rödgul trumpetsvamp
Skogsknipprot</t>
        </is>
      </c>
      <c r="S48">
        <f>HYPERLINK("https://klasma.github.io/Logging_0980/artfynd/A 39376-2023 artfynd.xlsx", "A 39376-2023")</f>
        <v/>
      </c>
      <c r="T48">
        <f>HYPERLINK("https://klasma.github.io/Logging_0980/kartor/A 39376-2023 karta.png", "A 39376-2023")</f>
        <v/>
      </c>
      <c r="V48">
        <f>HYPERLINK("https://klasma.github.io/Logging_0980/klagomål/A 39376-2023 FSC-klagomål.docx", "A 39376-2023")</f>
        <v/>
      </c>
      <c r="W48">
        <f>HYPERLINK("https://klasma.github.io/Logging_0980/klagomålsmail/A 39376-2023 FSC-klagomål mail.docx", "A 39376-2023")</f>
        <v/>
      </c>
      <c r="X48">
        <f>HYPERLINK("https://klasma.github.io/Logging_0980/tillsyn/A 39376-2023 tillsynsbegäran.docx", "A 39376-2023")</f>
        <v/>
      </c>
      <c r="Y48">
        <f>HYPERLINK("https://klasma.github.io/Logging_0980/tillsynsmail/A 39376-2023 tillsynsbegäran mail.docx", "A 39376-2023")</f>
        <v/>
      </c>
    </row>
    <row r="49" ht="15" customHeight="1">
      <c r="A49" t="inlineStr">
        <is>
          <t>A 59132-2024</t>
        </is>
      </c>
      <c r="B49" s="1" t="n">
        <v>45637</v>
      </c>
      <c r="C49" s="1" t="n">
        <v>46182</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27168-2022</t>
        </is>
      </c>
      <c r="B50" s="1" t="n">
        <v>44741</v>
      </c>
      <c r="C50" s="1" t="n">
        <v>46182</v>
      </c>
      <c r="D50" t="inlineStr">
        <is>
          <t>GOTLANDS LÄN</t>
        </is>
      </c>
      <c r="E50" t="inlineStr">
        <is>
          <t>GOTLAND</t>
        </is>
      </c>
      <c r="G50" t="n">
        <v>2.2</v>
      </c>
      <c r="H50" t="n">
        <v>5</v>
      </c>
      <c r="I50" t="n">
        <v>2</v>
      </c>
      <c r="J50" t="n">
        <v>2</v>
      </c>
      <c r="K50" t="n">
        <v>1</v>
      </c>
      <c r="L50" t="n">
        <v>0</v>
      </c>
      <c r="M50" t="n">
        <v>0</v>
      </c>
      <c r="N50" t="n">
        <v>0</v>
      </c>
      <c r="O50" t="n">
        <v>3</v>
      </c>
      <c r="P50" t="n">
        <v>1</v>
      </c>
      <c r="Q50" t="n">
        <v>8</v>
      </c>
      <c r="R50" s="2" t="inlineStr">
        <is>
          <t>Gotlandsmåra
Solvända
Svinrot
Purpurknipprot
Vit skogslilja
Brudsporre
Fläcknycklar
Kärrknipprot</t>
        </is>
      </c>
      <c r="S50">
        <f>HYPERLINK("https://klasma.github.io/Logging_0980/artfynd/A 27168-2022 artfynd.xlsx", "A 27168-2022")</f>
        <v/>
      </c>
      <c r="T50">
        <f>HYPERLINK("https://klasma.github.io/Logging_0980/kartor/A 27168-2022 karta.png", "A 27168-2022")</f>
        <v/>
      </c>
      <c r="V50">
        <f>HYPERLINK("https://klasma.github.io/Logging_0980/klagomål/A 27168-2022 FSC-klagomål.docx", "A 27168-2022")</f>
        <v/>
      </c>
      <c r="W50">
        <f>HYPERLINK("https://klasma.github.io/Logging_0980/klagomålsmail/A 27168-2022 FSC-klagomål mail.docx", "A 27168-2022")</f>
        <v/>
      </c>
      <c r="X50">
        <f>HYPERLINK("https://klasma.github.io/Logging_0980/tillsyn/A 27168-2022 tillsynsbegäran.docx", "A 27168-2022")</f>
        <v/>
      </c>
      <c r="Y50">
        <f>HYPERLINK("https://klasma.github.io/Logging_0980/tillsynsmail/A 27168-2022 tillsynsbegäran mail.docx", "A 27168-2022")</f>
        <v/>
      </c>
    </row>
    <row r="51" ht="15" customHeight="1">
      <c r="A51" t="inlineStr">
        <is>
          <t>A 1769-2022</t>
        </is>
      </c>
      <c r="B51" s="1" t="n">
        <v>44574</v>
      </c>
      <c r="C51" s="1" t="n">
        <v>46182</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Grönvit nattviol
Kärrknipprot
Vanliga ängsnycklar</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7039-2023</t>
        </is>
      </c>
      <c r="B52" s="1" t="n">
        <v>44968</v>
      </c>
      <c r="C52" s="1" t="n">
        <v>46182</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2649-2023</t>
        </is>
      </c>
      <c r="B53" s="1" t="n">
        <v>44943</v>
      </c>
      <c r="C53" s="1" t="n">
        <v>46182</v>
      </c>
      <c r="D53" t="inlineStr">
        <is>
          <t>GOTLANDS LÄN</t>
        </is>
      </c>
      <c r="E53" t="inlineStr">
        <is>
          <t>GOTLAND</t>
        </is>
      </c>
      <c r="G53" t="n">
        <v>2.6</v>
      </c>
      <c r="H53" t="n">
        <v>1</v>
      </c>
      <c r="I53" t="n">
        <v>1</v>
      </c>
      <c r="J53" t="n">
        <v>1</v>
      </c>
      <c r="K53" t="n">
        <v>6</v>
      </c>
      <c r="L53" t="n">
        <v>0</v>
      </c>
      <c r="M53" t="n">
        <v>0</v>
      </c>
      <c r="N53" t="n">
        <v>0</v>
      </c>
      <c r="O53" t="n">
        <v>7</v>
      </c>
      <c r="P53" t="n">
        <v>6</v>
      </c>
      <c r="Q53" t="n">
        <v>8</v>
      </c>
      <c r="R53" s="2" t="inlineStr">
        <is>
          <t>Duvspindling
Garderönn
Granrotspindling
Gul lammticka
Gulsträngad fagerspindling
Violettfläckig spindling
Svinrot
Anisspindling</t>
        </is>
      </c>
      <c r="S53">
        <f>HYPERLINK("https://klasma.github.io/Logging_0980/artfynd/A 2649-2023 artfynd.xlsx", "A 2649-2023")</f>
        <v/>
      </c>
      <c r="T53">
        <f>HYPERLINK("https://klasma.github.io/Logging_0980/kartor/A 2649-2023 karta.png", "A 2649-2023")</f>
        <v/>
      </c>
      <c r="V53">
        <f>HYPERLINK("https://klasma.github.io/Logging_0980/klagomål/A 2649-2023 FSC-klagomål.docx", "A 2649-2023")</f>
        <v/>
      </c>
      <c r="W53">
        <f>HYPERLINK("https://klasma.github.io/Logging_0980/klagomålsmail/A 2649-2023 FSC-klagomål mail.docx", "A 2649-2023")</f>
        <v/>
      </c>
      <c r="X53">
        <f>HYPERLINK("https://klasma.github.io/Logging_0980/tillsyn/A 2649-2023 tillsynsbegäran.docx", "A 2649-2023")</f>
        <v/>
      </c>
      <c r="Y53">
        <f>HYPERLINK("https://klasma.github.io/Logging_0980/tillsynsmail/A 2649-2023 tillsynsbegäran mail.docx", "A 2649-2023")</f>
        <v/>
      </c>
    </row>
    <row r="54" ht="15" customHeight="1">
      <c r="A54" t="inlineStr">
        <is>
          <t>A 21467-2024</t>
        </is>
      </c>
      <c r="B54" s="1" t="n">
        <v>45441</v>
      </c>
      <c r="C54" s="1" t="n">
        <v>46182</v>
      </c>
      <c r="D54" t="inlineStr">
        <is>
          <t>GOTLANDS LÄN</t>
        </is>
      </c>
      <c r="E54" t="inlineStr">
        <is>
          <t>GOTLAND</t>
        </is>
      </c>
      <c r="G54" t="n">
        <v>8.800000000000001</v>
      </c>
      <c r="H54" t="n">
        <v>5</v>
      </c>
      <c r="I54" t="n">
        <v>0</v>
      </c>
      <c r="J54" t="n">
        <v>6</v>
      </c>
      <c r="K54" t="n">
        <v>1</v>
      </c>
      <c r="L54" t="n">
        <v>0</v>
      </c>
      <c r="M54" t="n">
        <v>0</v>
      </c>
      <c r="N54" t="n">
        <v>0</v>
      </c>
      <c r="O54" t="n">
        <v>7</v>
      </c>
      <c r="P54" t="n">
        <v>1</v>
      </c>
      <c r="Q54" t="n">
        <v>8</v>
      </c>
      <c r="R54" s="2" t="inlineStr">
        <is>
          <t>Garderönn
Backtimjan
Dårgräsfjäril
Gulsparv
Jordtistel
Spillkråka
Svinrot
Blåsippa</t>
        </is>
      </c>
      <c r="S54">
        <f>HYPERLINK("https://klasma.github.io/Logging_0980/artfynd/A 21467-2024 artfynd.xlsx", "A 21467-2024")</f>
        <v/>
      </c>
      <c r="T54">
        <f>HYPERLINK("https://klasma.github.io/Logging_0980/kartor/A 21467-2024 karta.png", "A 21467-2024")</f>
        <v/>
      </c>
      <c r="V54">
        <f>HYPERLINK("https://klasma.github.io/Logging_0980/klagomål/A 21467-2024 FSC-klagomål.docx", "A 21467-2024")</f>
        <v/>
      </c>
      <c r="W54">
        <f>HYPERLINK("https://klasma.github.io/Logging_0980/klagomålsmail/A 21467-2024 FSC-klagomål mail.docx", "A 21467-2024")</f>
        <v/>
      </c>
      <c r="X54">
        <f>HYPERLINK("https://klasma.github.io/Logging_0980/tillsyn/A 21467-2024 tillsynsbegäran.docx", "A 21467-2024")</f>
        <v/>
      </c>
      <c r="Y54">
        <f>HYPERLINK("https://klasma.github.io/Logging_0980/tillsynsmail/A 21467-2024 tillsynsbegäran mail.docx", "A 21467-2024")</f>
        <v/>
      </c>
      <c r="Z54">
        <f>HYPERLINK("https://klasma.github.io/Logging_0980/fåglar/A 21467-2024 prioriterade fågelarter.docx", "A 21467-2024")</f>
        <v/>
      </c>
    </row>
    <row r="55" ht="15" customHeight="1">
      <c r="A55" t="inlineStr">
        <is>
          <t>A 51737-2021</t>
        </is>
      </c>
      <c r="B55" s="1" t="n">
        <v>44462.57368055556</v>
      </c>
      <c r="C55" s="1" t="n">
        <v>46182</v>
      </c>
      <c r="D55" t="inlineStr">
        <is>
          <t>GOTLANDS LÄN</t>
        </is>
      </c>
      <c r="E55" t="inlineStr">
        <is>
          <t>GOTLAND</t>
        </is>
      </c>
      <c r="G55" t="n">
        <v>8.6</v>
      </c>
      <c r="H55" t="n">
        <v>1</v>
      </c>
      <c r="I55" t="n">
        <v>6</v>
      </c>
      <c r="J55" t="n">
        <v>1</v>
      </c>
      <c r="K55" t="n">
        <v>0</v>
      </c>
      <c r="L55" t="n">
        <v>0</v>
      </c>
      <c r="M55" t="n">
        <v>0</v>
      </c>
      <c r="N55" t="n">
        <v>0</v>
      </c>
      <c r="O55" t="n">
        <v>1</v>
      </c>
      <c r="P55" t="n">
        <v>0</v>
      </c>
      <c r="Q55" t="n">
        <v>7</v>
      </c>
      <c r="R55" s="2" t="inlineStr">
        <is>
          <t>Igelkott
Blå slemspindling
Blåmossa
Kambräken
Skogsknipprot
Västlig hakmossa
Vårärt</t>
        </is>
      </c>
      <c r="S55">
        <f>HYPERLINK("https://klasma.github.io/Logging_0980/artfynd/A 51737-2021 artfynd.xlsx", "A 51737-2021")</f>
        <v/>
      </c>
      <c r="T55">
        <f>HYPERLINK("https://klasma.github.io/Logging_0980/kartor/A 51737-2021 karta.png", "A 51737-2021")</f>
        <v/>
      </c>
      <c r="V55">
        <f>HYPERLINK("https://klasma.github.io/Logging_0980/klagomål/A 51737-2021 FSC-klagomål.docx", "A 51737-2021")</f>
        <v/>
      </c>
      <c r="W55">
        <f>HYPERLINK("https://klasma.github.io/Logging_0980/klagomålsmail/A 51737-2021 FSC-klagomål mail.docx", "A 51737-2021")</f>
        <v/>
      </c>
      <c r="X55">
        <f>HYPERLINK("https://klasma.github.io/Logging_0980/tillsyn/A 51737-2021 tillsynsbegäran.docx", "A 51737-2021")</f>
        <v/>
      </c>
      <c r="Y55">
        <f>HYPERLINK("https://klasma.github.io/Logging_0980/tillsynsmail/A 51737-2021 tillsynsbegäran mail.docx", "A 51737-2021")</f>
        <v/>
      </c>
    </row>
    <row r="56" ht="15" customHeight="1">
      <c r="A56" t="inlineStr">
        <is>
          <t>A 34142-2024</t>
        </is>
      </c>
      <c r="B56" s="1" t="n">
        <v>45524.36521990741</v>
      </c>
      <c r="C56" s="1" t="n">
        <v>46182</v>
      </c>
      <c r="D56" t="inlineStr">
        <is>
          <t>GOTLANDS LÄN</t>
        </is>
      </c>
      <c r="E56" t="inlineStr">
        <is>
          <t>GOTLAND</t>
        </is>
      </c>
      <c r="G56" t="n">
        <v>6</v>
      </c>
      <c r="H56" t="n">
        <v>1</v>
      </c>
      <c r="I56" t="n">
        <v>4</v>
      </c>
      <c r="J56" t="n">
        <v>2</v>
      </c>
      <c r="K56" t="n">
        <v>1</v>
      </c>
      <c r="L56" t="n">
        <v>0</v>
      </c>
      <c r="M56" t="n">
        <v>0</v>
      </c>
      <c r="N56" t="n">
        <v>0</v>
      </c>
      <c r="O56" t="n">
        <v>3</v>
      </c>
      <c r="P56" t="n">
        <v>1</v>
      </c>
      <c r="Q56" t="n">
        <v>7</v>
      </c>
      <c r="R56" s="2" t="inlineStr">
        <is>
          <t>Duvspindling
Igelkott
Odörspindling
Anisspindling
Blå slemspindling
Nästrot
Rödfläckig zontaggsvamp</t>
        </is>
      </c>
      <c r="S56">
        <f>HYPERLINK("https://klasma.github.io/Logging_0980/artfynd/A 34142-2024 artfynd.xlsx", "A 34142-2024")</f>
        <v/>
      </c>
      <c r="T56">
        <f>HYPERLINK("https://klasma.github.io/Logging_0980/kartor/A 34142-2024 karta.png", "A 34142-2024")</f>
        <v/>
      </c>
      <c r="V56">
        <f>HYPERLINK("https://klasma.github.io/Logging_0980/klagomål/A 34142-2024 FSC-klagomål.docx", "A 34142-2024")</f>
        <v/>
      </c>
      <c r="W56">
        <f>HYPERLINK("https://klasma.github.io/Logging_0980/klagomålsmail/A 34142-2024 FSC-klagomål mail.docx", "A 34142-2024")</f>
        <v/>
      </c>
      <c r="X56">
        <f>HYPERLINK("https://klasma.github.io/Logging_0980/tillsyn/A 34142-2024 tillsynsbegäran.docx", "A 34142-2024")</f>
        <v/>
      </c>
      <c r="Y56">
        <f>HYPERLINK("https://klasma.github.io/Logging_0980/tillsynsmail/A 34142-2024 tillsynsbegäran mail.docx", "A 34142-2024")</f>
        <v/>
      </c>
    </row>
    <row r="57" ht="15" customHeight="1">
      <c r="A57" t="inlineStr">
        <is>
          <t>A 18541-2024</t>
        </is>
      </c>
      <c r="B57" s="1" t="n">
        <v>45425</v>
      </c>
      <c r="C57" s="1" t="n">
        <v>46182</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4984-2025</t>
        </is>
      </c>
      <c r="B58" s="1" t="n">
        <v>45691.29891203704</v>
      </c>
      <c r="C58" s="1" t="n">
        <v>46182</v>
      </c>
      <c r="D58" t="inlineStr">
        <is>
          <t>GOTLANDS LÄN</t>
        </is>
      </c>
      <c r="E58" t="inlineStr">
        <is>
          <t>GOTLAND</t>
        </is>
      </c>
      <c r="G58" t="n">
        <v>1.3</v>
      </c>
      <c r="H58" t="n">
        <v>4</v>
      </c>
      <c r="I58" t="n">
        <v>2</v>
      </c>
      <c r="J58" t="n">
        <v>3</v>
      </c>
      <c r="K58" t="n">
        <v>0</v>
      </c>
      <c r="L58" t="n">
        <v>0</v>
      </c>
      <c r="M58" t="n">
        <v>0</v>
      </c>
      <c r="N58" t="n">
        <v>0</v>
      </c>
      <c r="O58" t="n">
        <v>3</v>
      </c>
      <c r="P58" t="n">
        <v>0</v>
      </c>
      <c r="Q58" t="n">
        <v>7</v>
      </c>
      <c r="R58" s="2" t="inlineStr">
        <is>
          <t>Gulsparv
Jordtistel
Svinrot
Grönpyrola
Tvåblad
Kärrknipprot
Nattviol</t>
        </is>
      </c>
      <c r="S58">
        <f>HYPERLINK("https://klasma.github.io/Logging_0980/artfynd/A 4984-2025 artfynd.xlsx", "A 4984-2025")</f>
        <v/>
      </c>
      <c r="T58">
        <f>HYPERLINK("https://klasma.github.io/Logging_0980/kartor/A 4984-2025 karta.png", "A 4984-2025")</f>
        <v/>
      </c>
      <c r="V58">
        <f>HYPERLINK("https://klasma.github.io/Logging_0980/klagomål/A 4984-2025 FSC-klagomål.docx", "A 4984-2025")</f>
        <v/>
      </c>
      <c r="W58">
        <f>HYPERLINK("https://klasma.github.io/Logging_0980/klagomålsmail/A 4984-2025 FSC-klagomål mail.docx", "A 4984-2025")</f>
        <v/>
      </c>
      <c r="X58">
        <f>HYPERLINK("https://klasma.github.io/Logging_0980/tillsyn/A 4984-2025 tillsynsbegäran.docx", "A 4984-2025")</f>
        <v/>
      </c>
      <c r="Y58">
        <f>HYPERLINK("https://klasma.github.io/Logging_0980/tillsynsmail/A 4984-2025 tillsynsbegäran mail.docx", "A 4984-2025")</f>
        <v/>
      </c>
      <c r="Z58">
        <f>HYPERLINK("https://klasma.github.io/Logging_0980/fåglar/A 4984-2025 prioriterade fågelarter.docx", "A 4984-2025")</f>
        <v/>
      </c>
    </row>
    <row r="59" ht="15" customHeight="1">
      <c r="A59" t="inlineStr">
        <is>
          <t>A 10419-2025</t>
        </is>
      </c>
      <c r="B59" s="1" t="n">
        <v>45720</v>
      </c>
      <c r="C59" s="1" t="n">
        <v>46182</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44944-2022</t>
        </is>
      </c>
      <c r="B60" s="1" t="n">
        <v>44841</v>
      </c>
      <c r="C60" s="1" t="n">
        <v>46182</v>
      </c>
      <c r="D60" t="inlineStr">
        <is>
          <t>GOTLANDS LÄN</t>
        </is>
      </c>
      <c r="E60" t="inlineStr">
        <is>
          <t>GOTLAND</t>
        </is>
      </c>
      <c r="G60" t="n">
        <v>2.8</v>
      </c>
      <c r="H60" t="n">
        <v>0</v>
      </c>
      <c r="I60" t="n">
        <v>3</v>
      </c>
      <c r="J60" t="n">
        <v>4</v>
      </c>
      <c r="K60" t="n">
        <v>0</v>
      </c>
      <c r="L60" t="n">
        <v>0</v>
      </c>
      <c r="M60" t="n">
        <v>0</v>
      </c>
      <c r="N60" t="n">
        <v>0</v>
      </c>
      <c r="O60" t="n">
        <v>4</v>
      </c>
      <c r="P60" t="n">
        <v>0</v>
      </c>
      <c r="Q60" t="n">
        <v>7</v>
      </c>
      <c r="R60" s="2" t="inlineStr">
        <is>
          <t>Axveronika
Bredbrämad bastardsvärmare
Denisespindling
Odörspindling
Anisspindling
Fjällig taggsvamp s.str.
Rödgul trumpetsvamp</t>
        </is>
      </c>
      <c r="S60">
        <f>HYPERLINK("https://klasma.github.io/Logging_0980/artfynd/A 44944-2022 artfynd.xlsx", "A 44944-2022")</f>
        <v/>
      </c>
      <c r="T60">
        <f>HYPERLINK("https://klasma.github.io/Logging_0980/kartor/A 44944-2022 karta.png", "A 44944-2022")</f>
        <v/>
      </c>
      <c r="V60">
        <f>HYPERLINK("https://klasma.github.io/Logging_0980/klagomål/A 44944-2022 FSC-klagomål.docx", "A 44944-2022")</f>
        <v/>
      </c>
      <c r="W60">
        <f>HYPERLINK("https://klasma.github.io/Logging_0980/klagomålsmail/A 44944-2022 FSC-klagomål mail.docx", "A 44944-2022")</f>
        <v/>
      </c>
      <c r="X60">
        <f>HYPERLINK("https://klasma.github.io/Logging_0980/tillsyn/A 44944-2022 tillsynsbegäran.docx", "A 44944-2022")</f>
        <v/>
      </c>
      <c r="Y60">
        <f>HYPERLINK("https://klasma.github.io/Logging_0980/tillsynsmail/A 44944-2022 tillsynsbegäran mail.docx", "A 44944-2022")</f>
        <v/>
      </c>
    </row>
    <row r="61" ht="15" customHeight="1">
      <c r="A61" t="inlineStr">
        <is>
          <t>A 2085-2023</t>
        </is>
      </c>
      <c r="B61" s="1" t="n">
        <v>44939</v>
      </c>
      <c r="C61" s="1" t="n">
        <v>46182</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16823-2024</t>
        </is>
      </c>
      <c r="B62" s="1" t="n">
        <v>45411</v>
      </c>
      <c r="C62" s="1" t="n">
        <v>46182</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54527-2023</t>
        </is>
      </c>
      <c r="B63" s="1" t="n">
        <v>45233</v>
      </c>
      <c r="C63" s="1" t="n">
        <v>46182</v>
      </c>
      <c r="D63" t="inlineStr">
        <is>
          <t>GOTLANDS LÄN</t>
        </is>
      </c>
      <c r="E63" t="inlineStr">
        <is>
          <t>GOTLAND</t>
        </is>
      </c>
      <c r="G63" t="n">
        <v>28.5</v>
      </c>
      <c r="H63" t="n">
        <v>1</v>
      </c>
      <c r="I63" t="n">
        <v>0</v>
      </c>
      <c r="J63" t="n">
        <v>5</v>
      </c>
      <c r="K63" t="n">
        <v>0</v>
      </c>
      <c r="L63" t="n">
        <v>0</v>
      </c>
      <c r="M63" t="n">
        <v>0</v>
      </c>
      <c r="N63" t="n">
        <v>0</v>
      </c>
      <c r="O63" t="n">
        <v>5</v>
      </c>
      <c r="P63" t="n">
        <v>0</v>
      </c>
      <c r="Q63" t="n">
        <v>6</v>
      </c>
      <c r="R63" s="2" t="inlineStr">
        <is>
          <t>Backstarr
Backtimjan
Jordtistel
Sexfläckig bastardsvärmare
Solvända
Brudsporre</t>
        </is>
      </c>
      <c r="S63">
        <f>HYPERLINK("https://klasma.github.io/Logging_0980/artfynd/A 54527-2023 artfynd.xlsx", "A 54527-2023")</f>
        <v/>
      </c>
      <c r="T63">
        <f>HYPERLINK("https://klasma.github.io/Logging_0980/kartor/A 54527-2023 karta.png", "A 54527-2023")</f>
        <v/>
      </c>
      <c r="V63">
        <f>HYPERLINK("https://klasma.github.io/Logging_0980/klagomål/A 54527-2023 FSC-klagomål.docx", "A 54527-2023")</f>
        <v/>
      </c>
      <c r="W63">
        <f>HYPERLINK("https://klasma.github.io/Logging_0980/klagomålsmail/A 54527-2023 FSC-klagomål mail.docx", "A 54527-2023")</f>
        <v/>
      </c>
      <c r="X63">
        <f>HYPERLINK("https://klasma.github.io/Logging_0980/tillsyn/A 54527-2023 tillsynsbegäran.docx", "A 54527-2023")</f>
        <v/>
      </c>
      <c r="Y63">
        <f>HYPERLINK("https://klasma.github.io/Logging_0980/tillsynsmail/A 54527-2023 tillsynsbegäran mail.docx", "A 54527-2023")</f>
        <v/>
      </c>
    </row>
    <row r="64" ht="15" customHeight="1">
      <c r="A64" t="inlineStr">
        <is>
          <t>A 54527-2023</t>
        </is>
      </c>
      <c r="B64" s="1" t="n">
        <v>45233</v>
      </c>
      <c r="C64" s="1" t="n">
        <v>46182</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46182</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7038-2023</t>
        </is>
      </c>
      <c r="B66" s="1" t="n">
        <v>44968</v>
      </c>
      <c r="C66" s="1" t="n">
        <v>46182</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57773-2025</t>
        </is>
      </c>
      <c r="B67" s="1" t="n">
        <v>45981.56349537037</v>
      </c>
      <c r="C67" s="1" t="n">
        <v>46182</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46182</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66091-2021</t>
        </is>
      </c>
      <c r="B69" s="1" t="n">
        <v>44517</v>
      </c>
      <c r="C69" s="1" t="n">
        <v>46182</v>
      </c>
      <c r="D69" t="inlineStr">
        <is>
          <t>GOTLANDS LÄN</t>
        </is>
      </c>
      <c r="E69" t="inlineStr">
        <is>
          <t>GOTLAND</t>
        </is>
      </c>
      <c r="G69" t="n">
        <v>11.7</v>
      </c>
      <c r="H69" t="n">
        <v>2</v>
      </c>
      <c r="I69" t="n">
        <v>0</v>
      </c>
      <c r="J69" t="n">
        <v>3</v>
      </c>
      <c r="K69" t="n">
        <v>0</v>
      </c>
      <c r="L69" t="n">
        <v>0</v>
      </c>
      <c r="M69" t="n">
        <v>0</v>
      </c>
      <c r="N69" t="n">
        <v>0</v>
      </c>
      <c r="O69" t="n">
        <v>3</v>
      </c>
      <c r="P69" t="n">
        <v>0</v>
      </c>
      <c r="Q69" t="n">
        <v>5</v>
      </c>
      <c r="R69" s="2" t="inlineStr">
        <is>
          <t>Axveronika
Solvända
Säfferot
Pärluggla
Salepsrot</t>
        </is>
      </c>
      <c r="S69">
        <f>HYPERLINK("https://klasma.github.io/Logging_0980/artfynd/A 66091-2021 artfynd.xlsx", "A 66091-2021")</f>
        <v/>
      </c>
      <c r="T69">
        <f>HYPERLINK("https://klasma.github.io/Logging_0980/kartor/A 66091-2021 karta.png", "A 66091-2021")</f>
        <v/>
      </c>
      <c r="V69">
        <f>HYPERLINK("https://klasma.github.io/Logging_0980/klagomål/A 66091-2021 FSC-klagomål.docx", "A 66091-2021")</f>
        <v/>
      </c>
      <c r="W69">
        <f>HYPERLINK("https://klasma.github.io/Logging_0980/klagomålsmail/A 66091-2021 FSC-klagomål mail.docx", "A 66091-2021")</f>
        <v/>
      </c>
      <c r="X69">
        <f>HYPERLINK("https://klasma.github.io/Logging_0980/tillsyn/A 66091-2021 tillsynsbegäran.docx", "A 66091-2021")</f>
        <v/>
      </c>
      <c r="Y69">
        <f>HYPERLINK("https://klasma.github.io/Logging_0980/tillsynsmail/A 66091-2021 tillsynsbegäran mail.docx", "A 66091-2021")</f>
        <v/>
      </c>
      <c r="Z69">
        <f>HYPERLINK("https://klasma.github.io/Logging_0980/fåglar/A 66091-2021 prioriterade fågelarter.docx", "A 66091-2021")</f>
        <v/>
      </c>
    </row>
    <row r="70" ht="15" customHeight="1">
      <c r="A70" t="inlineStr">
        <is>
          <t>A 2213-2023</t>
        </is>
      </c>
      <c r="B70" s="1" t="n">
        <v>44942</v>
      </c>
      <c r="C70" s="1" t="n">
        <v>46182</v>
      </c>
      <c r="D70" t="inlineStr">
        <is>
          <t>GOTLANDS LÄN</t>
        </is>
      </c>
      <c r="E70" t="inlineStr">
        <is>
          <t>GOTLAND</t>
        </is>
      </c>
      <c r="G70" t="n">
        <v>2.7</v>
      </c>
      <c r="H70" t="n">
        <v>1</v>
      </c>
      <c r="I70" t="n">
        <v>0</v>
      </c>
      <c r="J70" t="n">
        <v>4</v>
      </c>
      <c r="K70" t="n">
        <v>1</v>
      </c>
      <c r="L70" t="n">
        <v>0</v>
      </c>
      <c r="M70" t="n">
        <v>0</v>
      </c>
      <c r="N70" t="n">
        <v>0</v>
      </c>
      <c r="O70" t="n">
        <v>5</v>
      </c>
      <c r="P70" t="n">
        <v>1</v>
      </c>
      <c r="Q70" t="n">
        <v>5</v>
      </c>
      <c r="R70" s="2" t="inlineStr">
        <is>
          <t>Garderönn
Backtimjan
Odörspindling
Smedbock
Svinrot</t>
        </is>
      </c>
      <c r="S70">
        <f>HYPERLINK("https://klasma.github.io/Logging_0980/artfynd/A 2213-2023 artfynd.xlsx", "A 2213-2023")</f>
        <v/>
      </c>
      <c r="T70">
        <f>HYPERLINK("https://klasma.github.io/Logging_0980/kartor/A 2213-2023 karta.png", "A 2213-2023")</f>
        <v/>
      </c>
      <c r="V70">
        <f>HYPERLINK("https://klasma.github.io/Logging_0980/klagomål/A 2213-2023 FSC-klagomål.docx", "A 2213-2023")</f>
        <v/>
      </c>
      <c r="W70">
        <f>HYPERLINK("https://klasma.github.io/Logging_0980/klagomålsmail/A 2213-2023 FSC-klagomål mail.docx", "A 2213-2023")</f>
        <v/>
      </c>
      <c r="X70">
        <f>HYPERLINK("https://klasma.github.io/Logging_0980/tillsyn/A 2213-2023 tillsynsbegäran.docx", "A 2213-2023")</f>
        <v/>
      </c>
      <c r="Y70">
        <f>HYPERLINK("https://klasma.github.io/Logging_0980/tillsynsmail/A 2213-2023 tillsynsbegäran mail.docx", "A 2213-2023")</f>
        <v/>
      </c>
    </row>
    <row r="71" ht="15" customHeight="1">
      <c r="A71" t="inlineStr">
        <is>
          <t>A 35293-2025</t>
        </is>
      </c>
      <c r="B71" s="1" t="n">
        <v>45854.39438657407</v>
      </c>
      <c r="C71" s="1" t="n">
        <v>46182</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42936-2024</t>
        </is>
      </c>
      <c r="B72" s="1" t="n">
        <v>45567</v>
      </c>
      <c r="C72" s="1" t="n">
        <v>46182</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54055-2022</t>
        </is>
      </c>
      <c r="B73" s="1" t="n">
        <v>44881</v>
      </c>
      <c r="C73" s="1" t="n">
        <v>46182</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Diskvaxskivling
Kryddspindling
Olivspindling</t>
        </is>
      </c>
      <c r="S73">
        <f>HYPERLINK("https://klasma.github.io/Logging_0980/artfynd/A 54055-2022 artfynd.xlsx", "A 54055-2022")</f>
        <v/>
      </c>
      <c r="T73">
        <f>HYPERLINK("https://klasma.github.io/Logging_0980/kartor/A 54055-2022 karta.png", "A 54055-2022")</f>
        <v/>
      </c>
      <c r="V73">
        <f>HYPERLINK("https://klasma.github.io/Logging_0980/klagomål/A 54055-2022 FSC-klagomål.docx", "A 54055-2022")</f>
        <v/>
      </c>
      <c r="W73">
        <f>HYPERLINK("https://klasma.github.io/Logging_0980/klagomålsmail/A 54055-2022 FSC-klagomål mail.docx", "A 54055-2022")</f>
        <v/>
      </c>
      <c r="X73">
        <f>HYPERLINK("https://klasma.github.io/Logging_0980/tillsyn/A 54055-2022 tillsynsbegäran.docx", "A 54055-2022")</f>
        <v/>
      </c>
      <c r="Y73">
        <f>HYPERLINK("https://klasma.github.io/Logging_0980/tillsynsmail/A 54055-2022 tillsynsbegäran mail.docx", "A 54055-2022")</f>
        <v/>
      </c>
    </row>
    <row r="74" ht="15" customHeight="1">
      <c r="A74" t="inlineStr">
        <is>
          <t>A 32326-2024</t>
        </is>
      </c>
      <c r="B74" s="1" t="n">
        <v>45512</v>
      </c>
      <c r="C74" s="1" t="n">
        <v>46182</v>
      </c>
      <c r="D74" t="inlineStr">
        <is>
          <t>GOTLANDS LÄN</t>
        </is>
      </c>
      <c r="E74" t="inlineStr">
        <is>
          <t>GOTLAND</t>
        </is>
      </c>
      <c r="G74" t="n">
        <v>9.199999999999999</v>
      </c>
      <c r="H74" t="n">
        <v>3</v>
      </c>
      <c r="I74" t="n">
        <v>2</v>
      </c>
      <c r="J74" t="n">
        <v>2</v>
      </c>
      <c r="K74" t="n">
        <v>0</v>
      </c>
      <c r="L74" t="n">
        <v>0</v>
      </c>
      <c r="M74" t="n">
        <v>0</v>
      </c>
      <c r="N74" t="n">
        <v>0</v>
      </c>
      <c r="O74" t="n">
        <v>2</v>
      </c>
      <c r="P74" t="n">
        <v>0</v>
      </c>
      <c r="Q74" t="n">
        <v>5</v>
      </c>
      <c r="R74" s="2" t="inlineStr">
        <is>
          <t>Jordtistel
Svinrot
Purpurknipprot
Skogsknipprot
Brudsporre</t>
        </is>
      </c>
      <c r="S74">
        <f>HYPERLINK("https://klasma.github.io/Logging_0980/artfynd/A 32326-2024 artfynd.xlsx", "A 32326-2024")</f>
        <v/>
      </c>
      <c r="T74">
        <f>HYPERLINK("https://klasma.github.io/Logging_0980/kartor/A 32326-2024 karta.png", "A 32326-2024")</f>
        <v/>
      </c>
      <c r="V74">
        <f>HYPERLINK("https://klasma.github.io/Logging_0980/klagomål/A 32326-2024 FSC-klagomål.docx", "A 32326-2024")</f>
        <v/>
      </c>
      <c r="W74">
        <f>HYPERLINK("https://klasma.github.io/Logging_0980/klagomålsmail/A 32326-2024 FSC-klagomål mail.docx", "A 32326-2024")</f>
        <v/>
      </c>
      <c r="X74">
        <f>HYPERLINK("https://klasma.github.io/Logging_0980/tillsyn/A 32326-2024 tillsynsbegäran.docx", "A 32326-2024")</f>
        <v/>
      </c>
      <c r="Y74">
        <f>HYPERLINK("https://klasma.github.io/Logging_0980/tillsynsmail/A 32326-2024 tillsynsbegäran mail.docx", "A 32326-2024")</f>
        <v/>
      </c>
    </row>
    <row r="75" ht="15" customHeight="1">
      <c r="A75" t="inlineStr">
        <is>
          <t>A 39425-2023</t>
        </is>
      </c>
      <c r="B75" s="1" t="n">
        <v>45166</v>
      </c>
      <c r="C75" s="1" t="n">
        <v>46182</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6839-2026</t>
        </is>
      </c>
      <c r="B76" s="1" t="n">
        <v>46057.41193287037</v>
      </c>
      <c r="C76" s="1" t="n">
        <v>46182</v>
      </c>
      <c r="D76" t="inlineStr">
        <is>
          <t>GOTLANDS LÄN</t>
        </is>
      </c>
      <c r="E76" t="inlineStr">
        <is>
          <t>GOTLAND</t>
        </is>
      </c>
      <c r="G76" t="n">
        <v>4.9</v>
      </c>
      <c r="H76" t="n">
        <v>0</v>
      </c>
      <c r="I76" t="n">
        <v>1</v>
      </c>
      <c r="J76" t="n">
        <v>2</v>
      </c>
      <c r="K76" t="n">
        <v>2</v>
      </c>
      <c r="L76" t="n">
        <v>0</v>
      </c>
      <c r="M76" t="n">
        <v>0</v>
      </c>
      <c r="N76" t="n">
        <v>0</v>
      </c>
      <c r="O76" t="n">
        <v>4</v>
      </c>
      <c r="P76" t="n">
        <v>2</v>
      </c>
      <c r="Q76" t="n">
        <v>5</v>
      </c>
      <c r="R76" s="2" t="inlineStr">
        <is>
          <t>Mörk kraterlav
Skogskorn
Ekvaxskivling
Mjölmusseron
Besk kastanjemusseron</t>
        </is>
      </c>
      <c r="S76">
        <f>HYPERLINK("https://klasma.github.io/Logging_0980/artfynd/A 6839-2026 artfynd.xlsx", "A 6839-2026")</f>
        <v/>
      </c>
      <c r="T76">
        <f>HYPERLINK("https://klasma.github.io/Logging_0980/kartor/A 6839-2026 karta.png", "A 6839-2026")</f>
        <v/>
      </c>
      <c r="V76">
        <f>HYPERLINK("https://klasma.github.io/Logging_0980/klagomål/A 6839-2026 FSC-klagomål.docx", "A 6839-2026")</f>
        <v/>
      </c>
      <c r="W76">
        <f>HYPERLINK("https://klasma.github.io/Logging_0980/klagomålsmail/A 6839-2026 FSC-klagomål mail.docx", "A 6839-2026")</f>
        <v/>
      </c>
      <c r="X76">
        <f>HYPERLINK("https://klasma.github.io/Logging_0980/tillsyn/A 6839-2026 tillsynsbegäran.docx", "A 6839-2026")</f>
        <v/>
      </c>
      <c r="Y76">
        <f>HYPERLINK("https://klasma.github.io/Logging_0980/tillsynsmail/A 6839-2026 tillsynsbegäran mail.docx", "A 6839-2026")</f>
        <v/>
      </c>
    </row>
    <row r="77" ht="15" customHeight="1">
      <c r="A77" t="inlineStr">
        <is>
          <t>A 29331-2021</t>
        </is>
      </c>
      <c r="B77" s="1" t="n">
        <v>44361</v>
      </c>
      <c r="C77" s="1" t="n">
        <v>46182</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186-2023</t>
        </is>
      </c>
      <c r="B78" s="1" t="n">
        <v>44928</v>
      </c>
      <c r="C78" s="1" t="n">
        <v>46182</v>
      </c>
      <c r="D78" t="inlineStr">
        <is>
          <t>GOTLANDS LÄN</t>
        </is>
      </c>
      <c r="E78" t="inlineStr">
        <is>
          <t>GOTLAND</t>
        </is>
      </c>
      <c r="G78" t="n">
        <v>2.2</v>
      </c>
      <c r="H78" t="n">
        <v>2</v>
      </c>
      <c r="I78" t="n">
        <v>2</v>
      </c>
      <c r="J78" t="n">
        <v>0</v>
      </c>
      <c r="K78" t="n">
        <v>2</v>
      </c>
      <c r="L78" t="n">
        <v>0</v>
      </c>
      <c r="M78" t="n">
        <v>0</v>
      </c>
      <c r="N78" t="n">
        <v>0</v>
      </c>
      <c r="O78" t="n">
        <v>2</v>
      </c>
      <c r="P78" t="n">
        <v>2</v>
      </c>
      <c r="Q78" t="n">
        <v>4</v>
      </c>
      <c r="R78" s="2" t="inlineStr">
        <is>
          <t>Svartgrön spindling
Vit taggsvamp
Nästrot
Skogsknipprot</t>
        </is>
      </c>
      <c r="S78">
        <f>HYPERLINK("https://klasma.github.io/Logging_0980/artfynd/A 186-2023 artfynd.xlsx", "A 186-2023")</f>
        <v/>
      </c>
      <c r="T78">
        <f>HYPERLINK("https://klasma.github.io/Logging_0980/kartor/A 186-2023 karta.png", "A 186-2023")</f>
        <v/>
      </c>
      <c r="V78">
        <f>HYPERLINK("https://klasma.github.io/Logging_0980/klagomål/A 186-2023 FSC-klagomål.docx", "A 186-2023")</f>
        <v/>
      </c>
      <c r="W78">
        <f>HYPERLINK("https://klasma.github.io/Logging_0980/klagomålsmail/A 186-2023 FSC-klagomål mail.docx", "A 186-2023")</f>
        <v/>
      </c>
      <c r="X78">
        <f>HYPERLINK("https://klasma.github.io/Logging_0980/tillsyn/A 186-2023 tillsynsbegäran.docx", "A 186-2023")</f>
        <v/>
      </c>
      <c r="Y78">
        <f>HYPERLINK("https://klasma.github.io/Logging_0980/tillsynsmail/A 186-2023 tillsynsbegäran mail.docx", "A 186-2023")</f>
        <v/>
      </c>
    </row>
    <row r="79" ht="15" customHeight="1">
      <c r="A79" t="inlineStr">
        <is>
          <t>A 5904-2024</t>
        </is>
      </c>
      <c r="B79" s="1" t="n">
        <v>45335</v>
      </c>
      <c r="C79" s="1" t="n">
        <v>46182</v>
      </c>
      <c r="D79" t="inlineStr">
        <is>
          <t>GOTLANDS LÄN</t>
        </is>
      </c>
      <c r="E79" t="inlineStr">
        <is>
          <t>GOTLAND</t>
        </is>
      </c>
      <c r="G79" t="n">
        <v>6.4</v>
      </c>
      <c r="H79" t="n">
        <v>1</v>
      </c>
      <c r="I79" t="n">
        <v>2</v>
      </c>
      <c r="J79" t="n">
        <v>1</v>
      </c>
      <c r="K79" t="n">
        <v>0</v>
      </c>
      <c r="L79" t="n">
        <v>0</v>
      </c>
      <c r="M79" t="n">
        <v>0</v>
      </c>
      <c r="N79" t="n">
        <v>0</v>
      </c>
      <c r="O79" t="n">
        <v>1</v>
      </c>
      <c r="P79" t="n">
        <v>0</v>
      </c>
      <c r="Q79" t="n">
        <v>4</v>
      </c>
      <c r="R79" s="2" t="inlineStr">
        <is>
          <t>Backstarr
Blåmossa
Kattfotslav
Sankt pers nycklar</t>
        </is>
      </c>
      <c r="S79">
        <f>HYPERLINK("https://klasma.github.io/Logging_0980/artfynd/A 5904-2024 artfynd.xlsx", "A 5904-2024")</f>
        <v/>
      </c>
      <c r="T79">
        <f>HYPERLINK("https://klasma.github.io/Logging_0980/kartor/A 5904-2024 karta.png", "A 5904-2024")</f>
        <v/>
      </c>
      <c r="V79">
        <f>HYPERLINK("https://klasma.github.io/Logging_0980/klagomål/A 5904-2024 FSC-klagomål.docx", "A 5904-2024")</f>
        <v/>
      </c>
      <c r="W79">
        <f>HYPERLINK("https://klasma.github.io/Logging_0980/klagomålsmail/A 5904-2024 FSC-klagomål mail.docx", "A 5904-2024")</f>
        <v/>
      </c>
      <c r="X79">
        <f>HYPERLINK("https://klasma.github.io/Logging_0980/tillsyn/A 5904-2024 tillsynsbegäran.docx", "A 5904-2024")</f>
        <v/>
      </c>
      <c r="Y79">
        <f>HYPERLINK("https://klasma.github.io/Logging_0980/tillsynsmail/A 5904-2024 tillsynsbegäran mail.docx", "A 5904-2024")</f>
        <v/>
      </c>
    </row>
    <row r="80" ht="15" customHeight="1">
      <c r="A80" t="inlineStr">
        <is>
          <t>A 56717-2024</t>
        </is>
      </c>
      <c r="B80" s="1" t="n">
        <v>45628.3166550926</v>
      </c>
      <c r="C80" s="1" t="n">
        <v>46182</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8265-2023</t>
        </is>
      </c>
      <c r="B81" s="1" t="n">
        <v>44974</v>
      </c>
      <c r="C81" s="1" t="n">
        <v>46182</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2485-2025</t>
        </is>
      </c>
      <c r="B82" s="1" t="n">
        <v>45673</v>
      </c>
      <c r="C82" s="1" t="n">
        <v>46182</v>
      </c>
      <c r="D82" t="inlineStr">
        <is>
          <t>GOTLANDS LÄN</t>
        </is>
      </c>
      <c r="E82" t="inlineStr">
        <is>
          <t>GOTLAND</t>
        </is>
      </c>
      <c r="G82" t="n">
        <v>5</v>
      </c>
      <c r="H82" t="n">
        <v>2</v>
      </c>
      <c r="I82" t="n">
        <v>2</v>
      </c>
      <c r="J82" t="n">
        <v>0</v>
      </c>
      <c r="K82" t="n">
        <v>2</v>
      </c>
      <c r="L82" t="n">
        <v>0</v>
      </c>
      <c r="M82" t="n">
        <v>0</v>
      </c>
      <c r="N82" t="n">
        <v>0</v>
      </c>
      <c r="O82" t="n">
        <v>2</v>
      </c>
      <c r="P82" t="n">
        <v>2</v>
      </c>
      <c r="Q82" t="n">
        <v>4</v>
      </c>
      <c r="R82" s="2" t="inlineStr">
        <is>
          <t>Gotlandsmåra
Skogskorn
Nästrot
Skogsknipprot</t>
        </is>
      </c>
      <c r="S82">
        <f>HYPERLINK("https://klasma.github.io/Logging_0980/artfynd/A 2485-2025 artfynd.xlsx", "A 2485-2025")</f>
        <v/>
      </c>
      <c r="T82">
        <f>HYPERLINK("https://klasma.github.io/Logging_0980/kartor/A 2485-2025 karta.png", "A 2485-2025")</f>
        <v/>
      </c>
      <c r="V82">
        <f>HYPERLINK("https://klasma.github.io/Logging_0980/klagomål/A 2485-2025 FSC-klagomål.docx", "A 2485-2025")</f>
        <v/>
      </c>
      <c r="W82">
        <f>HYPERLINK("https://klasma.github.io/Logging_0980/klagomålsmail/A 2485-2025 FSC-klagomål mail.docx", "A 2485-2025")</f>
        <v/>
      </c>
      <c r="X82">
        <f>HYPERLINK("https://klasma.github.io/Logging_0980/tillsyn/A 2485-2025 tillsynsbegäran.docx", "A 2485-2025")</f>
        <v/>
      </c>
      <c r="Y82">
        <f>HYPERLINK("https://klasma.github.io/Logging_0980/tillsynsmail/A 2485-2025 tillsynsbegäran mail.docx", "A 2485-2025")</f>
        <v/>
      </c>
    </row>
    <row r="83" ht="15" customHeight="1">
      <c r="A83" t="inlineStr">
        <is>
          <t>A 6159-2023</t>
        </is>
      </c>
      <c r="B83" s="1" t="n">
        <v>44964</v>
      </c>
      <c r="C83" s="1" t="n">
        <v>46182</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54523-2023</t>
        </is>
      </c>
      <c r="B84" s="1" t="n">
        <v>45233</v>
      </c>
      <c r="C84" s="1" t="n">
        <v>46182</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43197-2023</t>
        </is>
      </c>
      <c r="B85" s="1" t="n">
        <v>45183</v>
      </c>
      <c r="C85" s="1" t="n">
        <v>46182</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63152-2025</t>
        </is>
      </c>
      <c r="B86" s="1" t="n">
        <v>46010</v>
      </c>
      <c r="C86" s="1" t="n">
        <v>46182</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46182</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46182</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1971-2023</t>
        </is>
      </c>
      <c r="B89" s="1" t="n">
        <v>44939</v>
      </c>
      <c r="C89" s="1" t="n">
        <v>46182</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6836-2026</t>
        </is>
      </c>
      <c r="B90" s="1" t="n">
        <v>46057</v>
      </c>
      <c r="C90" s="1" t="n">
        <v>46182</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44323-2021</t>
        </is>
      </c>
      <c r="B91" s="1" t="n">
        <v>44434</v>
      </c>
      <c r="C91" s="1" t="n">
        <v>46182</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46182</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46182</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43013-2022</t>
        </is>
      </c>
      <c r="B94" s="1" t="n">
        <v>44833</v>
      </c>
      <c r="C94" s="1" t="n">
        <v>46182</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73144-2021</t>
        </is>
      </c>
      <c r="B95" s="1" t="n">
        <v>44550</v>
      </c>
      <c r="C95" s="1" t="n">
        <v>46182</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13499-2022</t>
        </is>
      </c>
      <c r="B96" s="1" t="n">
        <v>44647.79203703703</v>
      </c>
      <c r="C96" s="1" t="n">
        <v>46182</v>
      </c>
      <c r="D96" t="inlineStr">
        <is>
          <t>GOTLANDS LÄN</t>
        </is>
      </c>
      <c r="E96" t="inlineStr">
        <is>
          <t>GOTLAND</t>
        </is>
      </c>
      <c r="G96" t="n">
        <v>6.8</v>
      </c>
      <c r="H96" t="n">
        <v>3</v>
      </c>
      <c r="I96" t="n">
        <v>0</v>
      </c>
      <c r="J96" t="n">
        <v>1</v>
      </c>
      <c r="K96" t="n">
        <v>0</v>
      </c>
      <c r="L96" t="n">
        <v>0</v>
      </c>
      <c r="M96" t="n">
        <v>0</v>
      </c>
      <c r="N96" t="n">
        <v>0</v>
      </c>
      <c r="O96" t="n">
        <v>1</v>
      </c>
      <c r="P96" t="n">
        <v>0</v>
      </c>
      <c r="Q96" t="n">
        <v>3</v>
      </c>
      <c r="R96" s="2" t="inlineStr">
        <is>
          <t>Spillkråka
Sankt pers nycklar
Blåsippa</t>
        </is>
      </c>
      <c r="S96">
        <f>HYPERLINK("https://klasma.github.io/Logging_0980/artfynd/A 13499-2022 artfynd.xlsx", "A 13499-2022")</f>
        <v/>
      </c>
      <c r="T96">
        <f>HYPERLINK("https://klasma.github.io/Logging_0980/kartor/A 13499-2022 karta.png", "A 13499-2022")</f>
        <v/>
      </c>
      <c r="V96">
        <f>HYPERLINK("https://klasma.github.io/Logging_0980/klagomål/A 13499-2022 FSC-klagomål.docx", "A 13499-2022")</f>
        <v/>
      </c>
      <c r="W96">
        <f>HYPERLINK("https://klasma.github.io/Logging_0980/klagomålsmail/A 13499-2022 FSC-klagomål mail.docx", "A 13499-2022")</f>
        <v/>
      </c>
      <c r="X96">
        <f>HYPERLINK("https://klasma.github.io/Logging_0980/tillsyn/A 13499-2022 tillsynsbegäran.docx", "A 13499-2022")</f>
        <v/>
      </c>
      <c r="Y96">
        <f>HYPERLINK("https://klasma.github.io/Logging_0980/tillsynsmail/A 13499-2022 tillsynsbegäran mail.docx", "A 13499-2022")</f>
        <v/>
      </c>
      <c r="Z96">
        <f>HYPERLINK("https://klasma.github.io/Logging_0980/fåglar/A 13499-2022 prioriterade fågelarter.docx", "A 13499-2022")</f>
        <v/>
      </c>
    </row>
    <row r="97" ht="15" customHeight="1">
      <c r="A97" t="inlineStr">
        <is>
          <t>A 5235-2025</t>
        </is>
      </c>
      <c r="B97" s="1" t="n">
        <v>45692.26797453704</v>
      </c>
      <c r="C97" s="1" t="n">
        <v>46182</v>
      </c>
      <c r="D97" t="inlineStr">
        <is>
          <t>GOTLANDS LÄN</t>
        </is>
      </c>
      <c r="E97" t="inlineStr">
        <is>
          <t>GOTLAND</t>
        </is>
      </c>
      <c r="G97" t="n">
        <v>7.6</v>
      </c>
      <c r="H97" t="n">
        <v>1</v>
      </c>
      <c r="I97" t="n">
        <v>2</v>
      </c>
      <c r="J97" t="n">
        <v>1</v>
      </c>
      <c r="K97" t="n">
        <v>0</v>
      </c>
      <c r="L97" t="n">
        <v>0</v>
      </c>
      <c r="M97" t="n">
        <v>0</v>
      </c>
      <c r="N97" t="n">
        <v>0</v>
      </c>
      <c r="O97" t="n">
        <v>1</v>
      </c>
      <c r="P97" t="n">
        <v>0</v>
      </c>
      <c r="Q97" t="n">
        <v>3</v>
      </c>
      <c r="R97" s="2" t="inlineStr">
        <is>
          <t>Svinrot
Blåmossa
Tvåblad</t>
        </is>
      </c>
      <c r="S97">
        <f>HYPERLINK("https://klasma.github.io/Logging_0980/artfynd/A 5235-2025 artfynd.xlsx", "A 5235-2025")</f>
        <v/>
      </c>
      <c r="T97">
        <f>HYPERLINK("https://klasma.github.io/Logging_0980/kartor/A 5235-2025 karta.png", "A 5235-2025")</f>
        <v/>
      </c>
      <c r="V97">
        <f>HYPERLINK("https://klasma.github.io/Logging_0980/klagomål/A 5235-2025 FSC-klagomål.docx", "A 5235-2025")</f>
        <v/>
      </c>
      <c r="W97">
        <f>HYPERLINK("https://klasma.github.io/Logging_0980/klagomålsmail/A 5235-2025 FSC-klagomål mail.docx", "A 5235-2025")</f>
        <v/>
      </c>
      <c r="X97">
        <f>HYPERLINK("https://klasma.github.io/Logging_0980/tillsyn/A 5235-2025 tillsynsbegäran.docx", "A 5235-2025")</f>
        <v/>
      </c>
      <c r="Y97">
        <f>HYPERLINK("https://klasma.github.io/Logging_0980/tillsynsmail/A 5235-2025 tillsynsbegäran mail.docx", "A 5235-2025")</f>
        <v/>
      </c>
    </row>
    <row r="98" ht="15" customHeight="1">
      <c r="A98" t="inlineStr">
        <is>
          <t>A 53552-2021</t>
        </is>
      </c>
      <c r="B98" s="1" t="n">
        <v>44468</v>
      </c>
      <c r="C98" s="1" t="n">
        <v>46182</v>
      </c>
      <c r="D98" t="inlineStr">
        <is>
          <t>GOTLANDS LÄN</t>
        </is>
      </c>
      <c r="E98" t="inlineStr">
        <is>
          <t>GOTLAND</t>
        </is>
      </c>
      <c r="G98" t="n">
        <v>6.2</v>
      </c>
      <c r="H98" t="n">
        <v>2</v>
      </c>
      <c r="I98" t="n">
        <v>0</v>
      </c>
      <c r="J98" t="n">
        <v>1</v>
      </c>
      <c r="K98" t="n">
        <v>0</v>
      </c>
      <c r="L98" t="n">
        <v>0</v>
      </c>
      <c r="M98" t="n">
        <v>0</v>
      </c>
      <c r="N98" t="n">
        <v>0</v>
      </c>
      <c r="O98" t="n">
        <v>1</v>
      </c>
      <c r="P98" t="n">
        <v>0</v>
      </c>
      <c r="Q98" t="n">
        <v>3</v>
      </c>
      <c r="R98" s="2" t="inlineStr">
        <is>
          <t>Bredbrämad bastardsvärmare
Grönvit nattviol
Gullviva</t>
        </is>
      </c>
      <c r="S98">
        <f>HYPERLINK("https://klasma.github.io/Logging_0980/artfynd/A 53552-2021 artfynd.xlsx", "A 53552-2021")</f>
        <v/>
      </c>
      <c r="T98">
        <f>HYPERLINK("https://klasma.github.io/Logging_0980/kartor/A 53552-2021 karta.png", "A 53552-2021")</f>
        <v/>
      </c>
      <c r="V98">
        <f>HYPERLINK("https://klasma.github.io/Logging_0980/klagomål/A 53552-2021 FSC-klagomål.docx", "A 53552-2021")</f>
        <v/>
      </c>
      <c r="W98">
        <f>HYPERLINK("https://klasma.github.io/Logging_0980/klagomålsmail/A 53552-2021 FSC-klagomål mail.docx", "A 53552-2021")</f>
        <v/>
      </c>
      <c r="X98">
        <f>HYPERLINK("https://klasma.github.io/Logging_0980/tillsyn/A 53552-2021 tillsynsbegäran.docx", "A 53552-2021")</f>
        <v/>
      </c>
      <c r="Y98">
        <f>HYPERLINK("https://klasma.github.io/Logging_0980/tillsynsmail/A 53552-2021 tillsynsbegäran mail.docx", "A 53552-2021")</f>
        <v/>
      </c>
    </row>
    <row r="99" ht="15" customHeight="1">
      <c r="A99" t="inlineStr">
        <is>
          <t>A 12315-2024</t>
        </is>
      </c>
      <c r="B99" s="1" t="n">
        <v>45378.6434837963</v>
      </c>
      <c r="C99" s="1" t="n">
        <v>46182</v>
      </c>
      <c r="D99" t="inlineStr">
        <is>
          <t>GOTLANDS LÄN</t>
        </is>
      </c>
      <c r="E99" t="inlineStr">
        <is>
          <t>GOTLAND</t>
        </is>
      </c>
      <c r="G99" t="n">
        <v>6</v>
      </c>
      <c r="H99" t="n">
        <v>3</v>
      </c>
      <c r="I99" t="n">
        <v>1</v>
      </c>
      <c r="J99" t="n">
        <v>1</v>
      </c>
      <c r="K99" t="n">
        <v>0</v>
      </c>
      <c r="L99" t="n">
        <v>0</v>
      </c>
      <c r="M99" t="n">
        <v>0</v>
      </c>
      <c r="N99" t="n">
        <v>0</v>
      </c>
      <c r="O99" t="n">
        <v>1</v>
      </c>
      <c r="P99" t="n">
        <v>0</v>
      </c>
      <c r="Q99" t="n">
        <v>3</v>
      </c>
      <c r="R99" s="2" t="inlineStr">
        <is>
          <t>Buskskvätta
Tvåblad
Fläcknycklar</t>
        </is>
      </c>
      <c r="S99">
        <f>HYPERLINK("https://klasma.github.io/Logging_0980/artfynd/A 12315-2024 artfynd.xlsx", "A 12315-2024")</f>
        <v/>
      </c>
      <c r="T99">
        <f>HYPERLINK("https://klasma.github.io/Logging_0980/kartor/A 12315-2024 karta.png", "A 12315-2024")</f>
        <v/>
      </c>
      <c r="V99">
        <f>HYPERLINK("https://klasma.github.io/Logging_0980/klagomål/A 12315-2024 FSC-klagomål.docx", "A 12315-2024")</f>
        <v/>
      </c>
      <c r="W99">
        <f>HYPERLINK("https://klasma.github.io/Logging_0980/klagomålsmail/A 12315-2024 FSC-klagomål mail.docx", "A 12315-2024")</f>
        <v/>
      </c>
      <c r="X99">
        <f>HYPERLINK("https://klasma.github.io/Logging_0980/tillsyn/A 12315-2024 tillsynsbegäran.docx", "A 12315-2024")</f>
        <v/>
      </c>
      <c r="Y99">
        <f>HYPERLINK("https://klasma.github.io/Logging_0980/tillsynsmail/A 12315-2024 tillsynsbegäran mail.docx", "A 12315-2024")</f>
        <v/>
      </c>
      <c r="Z99">
        <f>HYPERLINK("https://klasma.github.io/Logging_0980/fåglar/A 12315-2024 prioriterade fågelarter.docx", "A 12315-2024")</f>
        <v/>
      </c>
    </row>
    <row r="100" ht="15" customHeight="1">
      <c r="A100" t="inlineStr">
        <is>
          <t>A 49709-2025</t>
        </is>
      </c>
      <c r="B100" s="1" t="n">
        <v>45939.68228009259</v>
      </c>
      <c r="C100" s="1" t="n">
        <v>46182</v>
      </c>
      <c r="D100" t="inlineStr">
        <is>
          <t>GOTLANDS LÄN</t>
        </is>
      </c>
      <c r="E100" t="inlineStr">
        <is>
          <t>GOTLAND</t>
        </is>
      </c>
      <c r="G100" t="n">
        <v>10.2</v>
      </c>
      <c r="H100" t="n">
        <v>0</v>
      </c>
      <c r="I100" t="n">
        <v>2</v>
      </c>
      <c r="J100" t="n">
        <v>1</v>
      </c>
      <c r="K100" t="n">
        <v>0</v>
      </c>
      <c r="L100" t="n">
        <v>0</v>
      </c>
      <c r="M100" t="n">
        <v>0</v>
      </c>
      <c r="N100" t="n">
        <v>0</v>
      </c>
      <c r="O100" t="n">
        <v>1</v>
      </c>
      <c r="P100" t="n">
        <v>0</v>
      </c>
      <c r="Q100" t="n">
        <v>3</v>
      </c>
      <c r="R100" s="2" t="inlineStr">
        <is>
          <t>Tallticka
Blåmossa
Grovticka</t>
        </is>
      </c>
      <c r="S100">
        <f>HYPERLINK("https://klasma.github.io/Logging_0980/artfynd/A 49709-2025 artfynd.xlsx", "A 49709-2025")</f>
        <v/>
      </c>
      <c r="T100">
        <f>HYPERLINK("https://klasma.github.io/Logging_0980/kartor/A 49709-2025 karta.png", "A 49709-2025")</f>
        <v/>
      </c>
      <c r="V100">
        <f>HYPERLINK("https://klasma.github.io/Logging_0980/klagomål/A 49709-2025 FSC-klagomål.docx", "A 49709-2025")</f>
        <v/>
      </c>
      <c r="W100">
        <f>HYPERLINK("https://klasma.github.io/Logging_0980/klagomålsmail/A 49709-2025 FSC-klagomål mail.docx", "A 49709-2025")</f>
        <v/>
      </c>
      <c r="X100">
        <f>HYPERLINK("https://klasma.github.io/Logging_0980/tillsyn/A 49709-2025 tillsynsbegäran.docx", "A 49709-2025")</f>
        <v/>
      </c>
      <c r="Y100">
        <f>HYPERLINK("https://klasma.github.io/Logging_0980/tillsynsmail/A 49709-2025 tillsynsbegäran mail.docx", "A 49709-2025")</f>
        <v/>
      </c>
    </row>
    <row r="101" ht="15" customHeight="1">
      <c r="A101" t="inlineStr">
        <is>
          <t>A 48126-2022</t>
        </is>
      </c>
      <c r="B101" s="1" t="n">
        <v>44857</v>
      </c>
      <c r="C101" s="1" t="n">
        <v>46182</v>
      </c>
      <c r="D101" t="inlineStr">
        <is>
          <t>GOTLANDS LÄN</t>
        </is>
      </c>
      <c r="E101" t="inlineStr">
        <is>
          <t>GOTLAND</t>
        </is>
      </c>
      <c r="G101" t="n">
        <v>9.800000000000001</v>
      </c>
      <c r="H101" t="n">
        <v>1</v>
      </c>
      <c r="I101" t="n">
        <v>0</v>
      </c>
      <c r="J101" t="n">
        <v>3</v>
      </c>
      <c r="K101" t="n">
        <v>0</v>
      </c>
      <c r="L101" t="n">
        <v>0</v>
      </c>
      <c r="M101" t="n">
        <v>0</v>
      </c>
      <c r="N101" t="n">
        <v>0</v>
      </c>
      <c r="O101" t="n">
        <v>3</v>
      </c>
      <c r="P101" t="n">
        <v>0</v>
      </c>
      <c r="Q101" t="n">
        <v>3</v>
      </c>
      <c r="R101" s="2" t="inlineStr">
        <is>
          <t>Jordtistel
Spillkråka
Svinrot</t>
        </is>
      </c>
      <c r="S101">
        <f>HYPERLINK("https://klasma.github.io/Logging_0980/artfynd/A 48126-2022 artfynd.xlsx", "A 48126-2022")</f>
        <v/>
      </c>
      <c r="T101">
        <f>HYPERLINK("https://klasma.github.io/Logging_0980/kartor/A 48126-2022 karta.png", "A 48126-2022")</f>
        <v/>
      </c>
      <c r="V101">
        <f>HYPERLINK("https://klasma.github.io/Logging_0980/klagomål/A 48126-2022 FSC-klagomål.docx", "A 48126-2022")</f>
        <v/>
      </c>
      <c r="W101">
        <f>HYPERLINK("https://klasma.github.io/Logging_0980/klagomålsmail/A 48126-2022 FSC-klagomål mail.docx", "A 48126-2022")</f>
        <v/>
      </c>
      <c r="X101">
        <f>HYPERLINK("https://klasma.github.io/Logging_0980/tillsyn/A 48126-2022 tillsynsbegäran.docx", "A 48126-2022")</f>
        <v/>
      </c>
      <c r="Y101">
        <f>HYPERLINK("https://klasma.github.io/Logging_0980/tillsynsmail/A 48126-2022 tillsynsbegäran mail.docx", "A 48126-2022")</f>
        <v/>
      </c>
      <c r="Z101">
        <f>HYPERLINK("https://klasma.github.io/Logging_0980/fåglar/A 48126-2022 prioriterade fågelarter.docx", "A 48126-2022")</f>
        <v/>
      </c>
    </row>
    <row r="102" ht="15" customHeight="1">
      <c r="A102" t="inlineStr">
        <is>
          <t>A 17975-2024</t>
        </is>
      </c>
      <c r="B102" s="1" t="n">
        <v>45419.85546296297</v>
      </c>
      <c r="C102" s="1" t="n">
        <v>46182</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20831-2024</t>
        </is>
      </c>
      <c r="B103" s="1" t="n">
        <v>45439</v>
      </c>
      <c r="C103" s="1" t="n">
        <v>46182</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17982-2023</t>
        </is>
      </c>
      <c r="B104" s="1" t="n">
        <v>45040</v>
      </c>
      <c r="C104" s="1" t="n">
        <v>46182</v>
      </c>
      <c r="D104" t="inlineStr">
        <is>
          <t>GOTLANDS LÄN</t>
        </is>
      </c>
      <c r="E104" t="inlineStr">
        <is>
          <t>GOTLAND</t>
        </is>
      </c>
      <c r="G104" t="n">
        <v>2.2</v>
      </c>
      <c r="H104" t="n">
        <v>0</v>
      </c>
      <c r="I104" t="n">
        <v>0</v>
      </c>
      <c r="J104" t="n">
        <v>2</v>
      </c>
      <c r="K104" t="n">
        <v>0</v>
      </c>
      <c r="L104" t="n">
        <v>0</v>
      </c>
      <c r="M104" t="n">
        <v>1</v>
      </c>
      <c r="N104" t="n">
        <v>0</v>
      </c>
      <c r="O104" t="n">
        <v>3</v>
      </c>
      <c r="P104" t="n">
        <v>1</v>
      </c>
      <c r="Q104" t="n">
        <v>3</v>
      </c>
      <c r="R104" s="2" t="inlineStr">
        <is>
          <t>Lundalm
Krusfrö
Ängsskära</t>
        </is>
      </c>
      <c r="S104">
        <f>HYPERLINK("https://klasma.github.io/Logging_0980/artfynd/A 17982-2023 artfynd.xlsx", "A 17982-2023")</f>
        <v/>
      </c>
      <c r="T104">
        <f>HYPERLINK("https://klasma.github.io/Logging_0980/kartor/A 17982-2023 karta.png", "A 17982-2023")</f>
        <v/>
      </c>
      <c r="V104">
        <f>HYPERLINK("https://klasma.github.io/Logging_0980/klagomål/A 17982-2023 FSC-klagomål.docx", "A 17982-2023")</f>
        <v/>
      </c>
      <c r="W104">
        <f>HYPERLINK("https://klasma.github.io/Logging_0980/klagomålsmail/A 17982-2023 FSC-klagomål mail.docx", "A 17982-2023")</f>
        <v/>
      </c>
      <c r="X104">
        <f>HYPERLINK("https://klasma.github.io/Logging_0980/tillsyn/A 17982-2023 tillsynsbegäran.docx", "A 17982-2023")</f>
        <v/>
      </c>
      <c r="Y104">
        <f>HYPERLINK("https://klasma.github.io/Logging_0980/tillsynsmail/A 17982-2023 tillsynsbegäran mail.docx", "A 17982-2023")</f>
        <v/>
      </c>
    </row>
    <row r="105" ht="15" customHeight="1">
      <c r="A105" t="inlineStr">
        <is>
          <t>A 29870-2021</t>
        </is>
      </c>
      <c r="B105" s="1" t="n">
        <v>44362</v>
      </c>
      <c r="C105" s="1" t="n">
        <v>46182</v>
      </c>
      <c r="D105" t="inlineStr">
        <is>
          <t>GOTLANDS LÄN</t>
        </is>
      </c>
      <c r="E105" t="inlineStr">
        <is>
          <t>GOTLAND</t>
        </is>
      </c>
      <c r="G105" t="n">
        <v>2.4</v>
      </c>
      <c r="H105" t="n">
        <v>0</v>
      </c>
      <c r="I105" t="n">
        <v>1</v>
      </c>
      <c r="J105" t="n">
        <v>0</v>
      </c>
      <c r="K105" t="n">
        <v>1</v>
      </c>
      <c r="L105" t="n">
        <v>0</v>
      </c>
      <c r="M105" t="n">
        <v>0</v>
      </c>
      <c r="N105" t="n">
        <v>0</v>
      </c>
      <c r="O105" t="n">
        <v>1</v>
      </c>
      <c r="P105" t="n">
        <v>1</v>
      </c>
      <c r="Q105" t="n">
        <v>2</v>
      </c>
      <c r="R105" s="2" t="inlineStr">
        <is>
          <t>Blåfotad fagerspindling
Olivspindling</t>
        </is>
      </c>
      <c r="S105">
        <f>HYPERLINK("https://klasma.github.io/Logging_0980/artfynd/A 29870-2021 artfynd.xlsx", "A 29870-2021")</f>
        <v/>
      </c>
      <c r="T105">
        <f>HYPERLINK("https://klasma.github.io/Logging_0980/kartor/A 29870-2021 karta.png", "A 29870-2021")</f>
        <v/>
      </c>
      <c r="V105">
        <f>HYPERLINK("https://klasma.github.io/Logging_0980/klagomål/A 29870-2021 FSC-klagomål.docx", "A 29870-2021")</f>
        <v/>
      </c>
      <c r="W105">
        <f>HYPERLINK("https://klasma.github.io/Logging_0980/klagomålsmail/A 29870-2021 FSC-klagomål mail.docx", "A 29870-2021")</f>
        <v/>
      </c>
      <c r="X105">
        <f>HYPERLINK("https://klasma.github.io/Logging_0980/tillsyn/A 29870-2021 tillsynsbegäran.docx", "A 29870-2021")</f>
        <v/>
      </c>
      <c r="Y105">
        <f>HYPERLINK("https://klasma.github.io/Logging_0980/tillsynsmail/A 29870-2021 tillsynsbegäran mail.docx", "A 29870-2021")</f>
        <v/>
      </c>
    </row>
    <row r="106" ht="15" customHeight="1">
      <c r="A106" t="inlineStr">
        <is>
          <t>A 28261-2024</t>
        </is>
      </c>
      <c r="B106" s="1" t="n">
        <v>45477</v>
      </c>
      <c r="C106" s="1" t="n">
        <v>46182</v>
      </c>
      <c r="D106" t="inlineStr">
        <is>
          <t>GOTLANDS LÄN</t>
        </is>
      </c>
      <c r="E106" t="inlineStr">
        <is>
          <t>GOTLAND</t>
        </is>
      </c>
      <c r="G106" t="n">
        <v>22.8</v>
      </c>
      <c r="H106" t="n">
        <v>0</v>
      </c>
      <c r="I106" t="n">
        <v>0</v>
      </c>
      <c r="J106" t="n">
        <v>2</v>
      </c>
      <c r="K106" t="n">
        <v>0</v>
      </c>
      <c r="L106" t="n">
        <v>0</v>
      </c>
      <c r="M106" t="n">
        <v>0</v>
      </c>
      <c r="N106" t="n">
        <v>0</v>
      </c>
      <c r="O106" t="n">
        <v>2</v>
      </c>
      <c r="P106" t="n">
        <v>0</v>
      </c>
      <c r="Q106" t="n">
        <v>2</v>
      </c>
      <c r="R106" s="2" t="inlineStr">
        <is>
          <t>Grådådra
Åkerkulla</t>
        </is>
      </c>
      <c r="S106">
        <f>HYPERLINK("https://klasma.github.io/Logging_0980/artfynd/A 28261-2024 artfynd.xlsx", "A 28261-2024")</f>
        <v/>
      </c>
      <c r="T106">
        <f>HYPERLINK("https://klasma.github.io/Logging_0980/kartor/A 28261-2024 karta.png", "A 28261-2024")</f>
        <v/>
      </c>
      <c r="V106">
        <f>HYPERLINK("https://klasma.github.io/Logging_0980/klagomål/A 28261-2024 FSC-klagomål.docx", "A 28261-2024")</f>
        <v/>
      </c>
      <c r="W106">
        <f>HYPERLINK("https://klasma.github.io/Logging_0980/klagomålsmail/A 28261-2024 FSC-klagomål mail.docx", "A 28261-2024")</f>
        <v/>
      </c>
      <c r="X106">
        <f>HYPERLINK("https://klasma.github.io/Logging_0980/tillsyn/A 28261-2024 tillsynsbegäran.docx", "A 28261-2024")</f>
        <v/>
      </c>
      <c r="Y106">
        <f>HYPERLINK("https://klasma.github.io/Logging_0980/tillsynsmail/A 28261-2024 tillsynsbegäran mail.docx", "A 28261-2024")</f>
        <v/>
      </c>
    </row>
    <row r="107" ht="15" customHeight="1">
      <c r="A107" t="inlineStr">
        <is>
          <t>A 60665-2021</t>
        </is>
      </c>
      <c r="B107" s="1" t="n">
        <v>44496</v>
      </c>
      <c r="C107" s="1" t="n">
        <v>46182</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46182</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55649-2024</t>
        </is>
      </c>
      <c r="B109" s="1" t="n">
        <v>45622.63053240741</v>
      </c>
      <c r="C109" s="1" t="n">
        <v>46182</v>
      </c>
      <c r="D109" t="inlineStr">
        <is>
          <t>GOTLANDS LÄN</t>
        </is>
      </c>
      <c r="E109" t="inlineStr">
        <is>
          <t>GOTLAND</t>
        </is>
      </c>
      <c r="G109" t="n">
        <v>4.6</v>
      </c>
      <c r="H109" t="n">
        <v>2</v>
      </c>
      <c r="I109" t="n">
        <v>0</v>
      </c>
      <c r="J109" t="n">
        <v>0</v>
      </c>
      <c r="K109" t="n">
        <v>0</v>
      </c>
      <c r="L109" t="n">
        <v>0</v>
      </c>
      <c r="M109" t="n">
        <v>0</v>
      </c>
      <c r="N109" t="n">
        <v>0</v>
      </c>
      <c r="O109" t="n">
        <v>0</v>
      </c>
      <c r="P109" t="n">
        <v>0</v>
      </c>
      <c r="Q109" t="n">
        <v>2</v>
      </c>
      <c r="R109" s="2" t="inlineStr">
        <is>
          <t>Sankt pers nycklar
Blåsippa</t>
        </is>
      </c>
      <c r="S109">
        <f>HYPERLINK("https://klasma.github.io/Logging_0980/artfynd/A 55649-2024 artfynd.xlsx", "A 55649-2024")</f>
        <v/>
      </c>
      <c r="T109">
        <f>HYPERLINK("https://klasma.github.io/Logging_0980/kartor/A 55649-2024 karta.png", "A 55649-2024")</f>
        <v/>
      </c>
      <c r="V109">
        <f>HYPERLINK("https://klasma.github.io/Logging_0980/klagomål/A 55649-2024 FSC-klagomål.docx", "A 55649-2024")</f>
        <v/>
      </c>
      <c r="W109">
        <f>HYPERLINK("https://klasma.github.io/Logging_0980/klagomålsmail/A 55649-2024 FSC-klagomål mail.docx", "A 55649-2024")</f>
        <v/>
      </c>
      <c r="X109">
        <f>HYPERLINK("https://klasma.github.io/Logging_0980/tillsyn/A 55649-2024 tillsynsbegäran.docx", "A 55649-2024")</f>
        <v/>
      </c>
      <c r="Y109">
        <f>HYPERLINK("https://klasma.github.io/Logging_0980/tillsynsmail/A 55649-2024 tillsynsbegäran mail.docx", "A 55649-2024")</f>
        <v/>
      </c>
    </row>
    <row r="110" ht="15" customHeight="1">
      <c r="A110" t="inlineStr">
        <is>
          <t>A 26077-2024</t>
        </is>
      </c>
      <c r="B110" s="1" t="n">
        <v>45467</v>
      </c>
      <c r="C110" s="1" t="n">
        <v>46182</v>
      </c>
      <c r="D110" t="inlineStr">
        <is>
          <t>GOTLANDS LÄN</t>
        </is>
      </c>
      <c r="E110" t="inlineStr">
        <is>
          <t>GOTLAND</t>
        </is>
      </c>
      <c r="G110" t="n">
        <v>4.6</v>
      </c>
      <c r="H110" t="n">
        <v>0</v>
      </c>
      <c r="I110" t="n">
        <v>0</v>
      </c>
      <c r="J110" t="n">
        <v>1</v>
      </c>
      <c r="K110" t="n">
        <v>0</v>
      </c>
      <c r="L110" t="n">
        <v>1</v>
      </c>
      <c r="M110" t="n">
        <v>0</v>
      </c>
      <c r="N110" t="n">
        <v>0</v>
      </c>
      <c r="O110" t="n">
        <v>2</v>
      </c>
      <c r="P110" t="n">
        <v>1</v>
      </c>
      <c r="Q110" t="n">
        <v>2</v>
      </c>
      <c r="R110" s="2" t="inlineStr">
        <is>
          <t>Ask
Tallticka</t>
        </is>
      </c>
      <c r="S110">
        <f>HYPERLINK("https://klasma.github.io/Logging_0980/artfynd/A 26077-2024 artfynd.xlsx", "A 26077-2024")</f>
        <v/>
      </c>
      <c r="T110">
        <f>HYPERLINK("https://klasma.github.io/Logging_0980/kartor/A 26077-2024 karta.png", "A 26077-2024")</f>
        <v/>
      </c>
      <c r="V110">
        <f>HYPERLINK("https://klasma.github.io/Logging_0980/klagomål/A 26077-2024 FSC-klagomål.docx", "A 26077-2024")</f>
        <v/>
      </c>
      <c r="W110">
        <f>HYPERLINK("https://klasma.github.io/Logging_0980/klagomålsmail/A 26077-2024 FSC-klagomål mail.docx", "A 26077-2024")</f>
        <v/>
      </c>
      <c r="X110">
        <f>HYPERLINK("https://klasma.github.io/Logging_0980/tillsyn/A 26077-2024 tillsynsbegäran.docx", "A 26077-2024")</f>
        <v/>
      </c>
      <c r="Y110">
        <f>HYPERLINK("https://klasma.github.io/Logging_0980/tillsynsmail/A 26077-2024 tillsynsbegäran mail.docx", "A 26077-2024")</f>
        <v/>
      </c>
    </row>
    <row r="111" ht="15" customHeight="1">
      <c r="A111" t="inlineStr">
        <is>
          <t>A 20429-2025</t>
        </is>
      </c>
      <c r="B111" s="1" t="n">
        <v>45775.47728009259</v>
      </c>
      <c r="C111" s="1" t="n">
        <v>46182</v>
      </c>
      <c r="D111" t="inlineStr">
        <is>
          <t>GOTLANDS LÄN</t>
        </is>
      </c>
      <c r="E111" t="inlineStr">
        <is>
          <t>GOTLAND</t>
        </is>
      </c>
      <c r="G111" t="n">
        <v>1.4</v>
      </c>
      <c r="H111" t="n">
        <v>2</v>
      </c>
      <c r="I111" t="n">
        <v>0</v>
      </c>
      <c r="J111" t="n">
        <v>0</v>
      </c>
      <c r="K111" t="n">
        <v>0</v>
      </c>
      <c r="L111" t="n">
        <v>0</v>
      </c>
      <c r="M111" t="n">
        <v>0</v>
      </c>
      <c r="N111" t="n">
        <v>0</v>
      </c>
      <c r="O111" t="n">
        <v>0</v>
      </c>
      <c r="P111" t="n">
        <v>0</v>
      </c>
      <c r="Q111" t="n">
        <v>2</v>
      </c>
      <c r="R111" s="2" t="inlineStr">
        <is>
          <t>Lopplummer (aggregat)
Äkta lopplummer</t>
        </is>
      </c>
      <c r="S111">
        <f>HYPERLINK("https://klasma.github.io/Logging_0980/artfynd/A 20429-2025 artfynd.xlsx", "A 20429-2025")</f>
        <v/>
      </c>
      <c r="T111">
        <f>HYPERLINK("https://klasma.github.io/Logging_0980/kartor/A 20429-2025 karta.png", "A 20429-2025")</f>
        <v/>
      </c>
      <c r="V111">
        <f>HYPERLINK("https://klasma.github.io/Logging_0980/klagomål/A 20429-2025 FSC-klagomål.docx", "A 20429-2025")</f>
        <v/>
      </c>
      <c r="W111">
        <f>HYPERLINK("https://klasma.github.io/Logging_0980/klagomålsmail/A 20429-2025 FSC-klagomål mail.docx", "A 20429-2025")</f>
        <v/>
      </c>
      <c r="X111">
        <f>HYPERLINK("https://klasma.github.io/Logging_0980/tillsyn/A 20429-2025 tillsynsbegäran.docx", "A 20429-2025")</f>
        <v/>
      </c>
      <c r="Y111">
        <f>HYPERLINK("https://klasma.github.io/Logging_0980/tillsynsmail/A 20429-2025 tillsynsbegäran mail.docx", "A 20429-2025")</f>
        <v/>
      </c>
    </row>
    <row r="112" ht="15" customHeight="1">
      <c r="A112" t="inlineStr">
        <is>
          <t>A 7070-2022</t>
        </is>
      </c>
      <c r="B112" s="1" t="n">
        <v>44603</v>
      </c>
      <c r="C112" s="1" t="n">
        <v>46182</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12914-2025</t>
        </is>
      </c>
      <c r="B113" s="1" t="n">
        <v>45733</v>
      </c>
      <c r="C113" s="1" t="n">
        <v>46182</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43219-2023</t>
        </is>
      </c>
      <c r="B114" s="1" t="n">
        <v>45183</v>
      </c>
      <c r="C114" s="1" t="n">
        <v>46182</v>
      </c>
      <c r="D114" t="inlineStr">
        <is>
          <t>GOTLANDS LÄN</t>
        </is>
      </c>
      <c r="E114" t="inlineStr">
        <is>
          <t>GOTLAND</t>
        </is>
      </c>
      <c r="G114" t="n">
        <v>3.6</v>
      </c>
      <c r="H114" t="n">
        <v>1</v>
      </c>
      <c r="I114" t="n">
        <v>0</v>
      </c>
      <c r="J114" t="n">
        <v>1</v>
      </c>
      <c r="K114" t="n">
        <v>0</v>
      </c>
      <c r="L114" t="n">
        <v>0</v>
      </c>
      <c r="M114" t="n">
        <v>0</v>
      </c>
      <c r="N114" t="n">
        <v>0</v>
      </c>
      <c r="O114" t="n">
        <v>1</v>
      </c>
      <c r="P114" t="n">
        <v>0</v>
      </c>
      <c r="Q114" t="n">
        <v>2</v>
      </c>
      <c r="R114" s="2" t="inlineStr">
        <is>
          <t>Axveronika
Skogsduva</t>
        </is>
      </c>
      <c r="S114">
        <f>HYPERLINK("https://klasma.github.io/Logging_0980/artfynd/A 43219-2023 artfynd.xlsx", "A 43219-2023")</f>
        <v/>
      </c>
      <c r="T114">
        <f>HYPERLINK("https://klasma.github.io/Logging_0980/kartor/A 43219-2023 karta.png", "A 43219-2023")</f>
        <v/>
      </c>
      <c r="V114">
        <f>HYPERLINK("https://klasma.github.io/Logging_0980/klagomål/A 43219-2023 FSC-klagomål.docx", "A 43219-2023")</f>
        <v/>
      </c>
      <c r="W114">
        <f>HYPERLINK("https://klasma.github.io/Logging_0980/klagomålsmail/A 43219-2023 FSC-klagomål mail.docx", "A 43219-2023")</f>
        <v/>
      </c>
      <c r="X114">
        <f>HYPERLINK("https://klasma.github.io/Logging_0980/tillsyn/A 43219-2023 tillsynsbegäran.docx", "A 43219-2023")</f>
        <v/>
      </c>
      <c r="Y114">
        <f>HYPERLINK("https://klasma.github.io/Logging_0980/tillsynsmail/A 43219-2023 tillsynsbegäran mail.docx", "A 43219-2023")</f>
        <v/>
      </c>
      <c r="Z114">
        <f>HYPERLINK("https://klasma.github.io/Logging_0980/fåglar/A 43219-2023 prioriterade fågelarter.docx", "A 43219-2023")</f>
        <v/>
      </c>
    </row>
    <row r="115" ht="15" customHeight="1">
      <c r="A115" t="inlineStr">
        <is>
          <t>A 63162-2025</t>
        </is>
      </c>
      <c r="B115" s="1" t="n">
        <v>46010.37629629629</v>
      </c>
      <c r="C115" s="1" t="n">
        <v>46182</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62760-2025</t>
        </is>
      </c>
      <c r="B116" s="1" t="n">
        <v>46008</v>
      </c>
      <c r="C116" s="1" t="n">
        <v>46182</v>
      </c>
      <c r="D116" t="inlineStr">
        <is>
          <t>GOTLANDS LÄN</t>
        </is>
      </c>
      <c r="E116" t="inlineStr">
        <is>
          <t>GOTLAND</t>
        </is>
      </c>
      <c r="F116" t="inlineStr">
        <is>
          <t>Övriga Aktiebolag</t>
        </is>
      </c>
      <c r="G116" t="n">
        <v>4.6</v>
      </c>
      <c r="H116" t="n">
        <v>1</v>
      </c>
      <c r="I116" t="n">
        <v>2</v>
      </c>
      <c r="J116" t="n">
        <v>0</v>
      </c>
      <c r="K116" t="n">
        <v>0</v>
      </c>
      <c r="L116" t="n">
        <v>0</v>
      </c>
      <c r="M116" t="n">
        <v>0</v>
      </c>
      <c r="N116" t="n">
        <v>0</v>
      </c>
      <c r="O116" t="n">
        <v>0</v>
      </c>
      <c r="P116" t="n">
        <v>0</v>
      </c>
      <c r="Q116" t="n">
        <v>2</v>
      </c>
      <c r="R116" s="2" t="inlineStr">
        <is>
          <t>Nästrot
Vårärt</t>
        </is>
      </c>
      <c r="S116">
        <f>HYPERLINK("https://klasma.github.io/Logging_0980/artfynd/A 62760-2025 artfynd.xlsx", "A 62760-2025")</f>
        <v/>
      </c>
      <c r="T116">
        <f>HYPERLINK("https://klasma.github.io/Logging_0980/kartor/A 62760-2025 karta.png", "A 62760-2025")</f>
        <v/>
      </c>
      <c r="V116">
        <f>HYPERLINK("https://klasma.github.io/Logging_0980/klagomål/A 62760-2025 FSC-klagomål.docx", "A 62760-2025")</f>
        <v/>
      </c>
      <c r="W116">
        <f>HYPERLINK("https://klasma.github.io/Logging_0980/klagomålsmail/A 62760-2025 FSC-klagomål mail.docx", "A 62760-2025")</f>
        <v/>
      </c>
      <c r="X116">
        <f>HYPERLINK("https://klasma.github.io/Logging_0980/tillsyn/A 62760-2025 tillsynsbegäran.docx", "A 62760-2025")</f>
        <v/>
      </c>
      <c r="Y116">
        <f>HYPERLINK("https://klasma.github.io/Logging_0980/tillsynsmail/A 62760-2025 tillsynsbegäran mail.docx", "A 62760-2025")</f>
        <v/>
      </c>
    </row>
    <row r="117" ht="15" customHeight="1">
      <c r="A117" t="inlineStr">
        <is>
          <t>A 28276-2024</t>
        </is>
      </c>
      <c r="B117" s="1" t="n">
        <v>45477</v>
      </c>
      <c r="C117" s="1" t="n">
        <v>46182</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28276-2024 artfynd.xlsx", "A 28276-2024")</f>
        <v/>
      </c>
      <c r="T117">
        <f>HYPERLINK("https://klasma.github.io/Logging_0980/kartor/A 28276-2024 karta.png", "A 28276-2024")</f>
        <v/>
      </c>
      <c r="V117">
        <f>HYPERLINK("https://klasma.github.io/Logging_0980/klagomål/A 28276-2024 FSC-klagomål.docx", "A 28276-2024")</f>
        <v/>
      </c>
      <c r="W117">
        <f>HYPERLINK("https://klasma.github.io/Logging_0980/klagomålsmail/A 28276-2024 FSC-klagomål mail.docx", "A 28276-2024")</f>
        <v/>
      </c>
      <c r="X117">
        <f>HYPERLINK("https://klasma.github.io/Logging_0980/tillsyn/A 28276-2024 tillsynsbegäran.docx", "A 28276-2024")</f>
        <v/>
      </c>
      <c r="Y117">
        <f>HYPERLINK("https://klasma.github.io/Logging_0980/tillsynsmail/A 28276-2024 tillsynsbegäran mail.docx", "A 28276-2024")</f>
        <v/>
      </c>
    </row>
    <row r="118" ht="15" customHeight="1">
      <c r="A118" t="inlineStr">
        <is>
          <t>A 54357-2024</t>
        </is>
      </c>
      <c r="B118" s="1" t="n">
        <v>45617.40662037037</v>
      </c>
      <c r="C118" s="1" t="n">
        <v>46182</v>
      </c>
      <c r="D118" t="inlineStr">
        <is>
          <t>GOTLANDS LÄN</t>
        </is>
      </c>
      <c r="E118" t="inlineStr">
        <is>
          <t>GOTLAND</t>
        </is>
      </c>
      <c r="G118" t="n">
        <v>1.5</v>
      </c>
      <c r="H118" t="n">
        <v>1</v>
      </c>
      <c r="I118" t="n">
        <v>0</v>
      </c>
      <c r="J118" t="n">
        <v>1</v>
      </c>
      <c r="K118" t="n">
        <v>0</v>
      </c>
      <c r="L118" t="n">
        <v>0</v>
      </c>
      <c r="M118" t="n">
        <v>0</v>
      </c>
      <c r="N118" t="n">
        <v>0</v>
      </c>
      <c r="O118" t="n">
        <v>1</v>
      </c>
      <c r="P118" t="n">
        <v>0</v>
      </c>
      <c r="Q118" t="n">
        <v>2</v>
      </c>
      <c r="R118" s="2" t="inlineStr">
        <is>
          <t>Loppstarr
Fläcknycklar</t>
        </is>
      </c>
      <c r="S118">
        <f>HYPERLINK("https://klasma.github.io/Logging_0980/artfynd/A 54357-2024 artfynd.xlsx", "A 54357-2024")</f>
        <v/>
      </c>
      <c r="T118">
        <f>HYPERLINK("https://klasma.github.io/Logging_0980/kartor/A 54357-2024 karta.png", "A 54357-2024")</f>
        <v/>
      </c>
      <c r="V118">
        <f>HYPERLINK("https://klasma.github.io/Logging_0980/klagomål/A 54357-2024 FSC-klagomål.docx", "A 54357-2024")</f>
        <v/>
      </c>
      <c r="W118">
        <f>HYPERLINK("https://klasma.github.io/Logging_0980/klagomålsmail/A 54357-2024 FSC-klagomål mail.docx", "A 54357-2024")</f>
        <v/>
      </c>
      <c r="X118">
        <f>HYPERLINK("https://klasma.github.io/Logging_0980/tillsyn/A 54357-2024 tillsynsbegäran.docx", "A 54357-2024")</f>
        <v/>
      </c>
      <c r="Y118">
        <f>HYPERLINK("https://klasma.github.io/Logging_0980/tillsynsmail/A 54357-2024 tillsynsbegäran mail.docx", "A 54357-2024")</f>
        <v/>
      </c>
    </row>
    <row r="119" ht="15" customHeight="1">
      <c r="A119" t="inlineStr">
        <is>
          <t>A 20838-2024</t>
        </is>
      </c>
      <c r="B119" s="1" t="n">
        <v>45439</v>
      </c>
      <c r="C119" s="1" t="n">
        <v>46182</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16997-2026</t>
        </is>
      </c>
      <c r="B120" s="1" t="n">
        <v>46114.42539351852</v>
      </c>
      <c r="C120" s="1" t="n">
        <v>46182</v>
      </c>
      <c r="D120" t="inlineStr">
        <is>
          <t>GOTLANDS LÄN</t>
        </is>
      </c>
      <c r="E120" t="inlineStr">
        <is>
          <t>GOTLAND</t>
        </is>
      </c>
      <c r="G120" t="n">
        <v>0.7</v>
      </c>
      <c r="H120" t="n">
        <v>0</v>
      </c>
      <c r="I120" t="n">
        <v>1</v>
      </c>
      <c r="J120" t="n">
        <v>0</v>
      </c>
      <c r="K120" t="n">
        <v>0</v>
      </c>
      <c r="L120" t="n">
        <v>1</v>
      </c>
      <c r="M120" t="n">
        <v>0</v>
      </c>
      <c r="N120" t="n">
        <v>0</v>
      </c>
      <c r="O120" t="n">
        <v>1</v>
      </c>
      <c r="P120" t="n">
        <v>1</v>
      </c>
      <c r="Q120" t="n">
        <v>2</v>
      </c>
      <c r="R120" s="2" t="inlineStr">
        <is>
          <t>Ask
Hasselticka</t>
        </is>
      </c>
      <c r="S120">
        <f>HYPERLINK("https://klasma.github.io/Logging_0980/artfynd/A 16997-2026 artfynd.xlsx", "A 16997-2026")</f>
        <v/>
      </c>
      <c r="T120">
        <f>HYPERLINK("https://klasma.github.io/Logging_0980/kartor/A 16997-2026 karta.png", "A 16997-2026")</f>
        <v/>
      </c>
      <c r="V120">
        <f>HYPERLINK("https://klasma.github.io/Logging_0980/klagomål/A 16997-2026 FSC-klagomål.docx", "A 16997-2026")</f>
        <v/>
      </c>
      <c r="W120">
        <f>HYPERLINK("https://klasma.github.io/Logging_0980/klagomålsmail/A 16997-2026 FSC-klagomål mail.docx", "A 16997-2026")</f>
        <v/>
      </c>
      <c r="X120">
        <f>HYPERLINK("https://klasma.github.io/Logging_0980/tillsyn/A 16997-2026 tillsynsbegäran.docx", "A 16997-2026")</f>
        <v/>
      </c>
      <c r="Y120">
        <f>HYPERLINK("https://klasma.github.io/Logging_0980/tillsynsmail/A 16997-2026 tillsynsbegäran mail.docx", "A 16997-2026")</f>
        <v/>
      </c>
    </row>
    <row r="121" ht="15" customHeight="1">
      <c r="A121" t="inlineStr">
        <is>
          <t>A 17328-2026</t>
        </is>
      </c>
      <c r="B121" s="1" t="n">
        <v>46119</v>
      </c>
      <c r="C121" s="1" t="n">
        <v>46182</v>
      </c>
      <c r="D121" t="inlineStr">
        <is>
          <t>GOTLANDS LÄN</t>
        </is>
      </c>
      <c r="E121" t="inlineStr">
        <is>
          <t>GOTLAND</t>
        </is>
      </c>
      <c r="F121" t="inlineStr">
        <is>
          <t>Kyrkan</t>
        </is>
      </c>
      <c r="G121" t="n">
        <v>4</v>
      </c>
      <c r="H121" t="n">
        <v>1</v>
      </c>
      <c r="I121" t="n">
        <v>0</v>
      </c>
      <c r="J121" t="n">
        <v>2</v>
      </c>
      <c r="K121" t="n">
        <v>0</v>
      </c>
      <c r="L121" t="n">
        <v>0</v>
      </c>
      <c r="M121" t="n">
        <v>0</v>
      </c>
      <c r="N121" t="n">
        <v>0</v>
      </c>
      <c r="O121" t="n">
        <v>2</v>
      </c>
      <c r="P121" t="n">
        <v>0</v>
      </c>
      <c r="Q121" t="n">
        <v>2</v>
      </c>
      <c r="R121" s="2" t="inlineStr">
        <is>
          <t>Backtimjan
Spillkråka</t>
        </is>
      </c>
      <c r="S121">
        <f>HYPERLINK("https://klasma.github.io/Logging_0980/artfynd/A 17328-2026 artfynd.xlsx", "A 17328-2026")</f>
        <v/>
      </c>
      <c r="T121">
        <f>HYPERLINK("https://klasma.github.io/Logging_0980/kartor/A 17328-2026 karta.png", "A 17328-2026")</f>
        <v/>
      </c>
      <c r="V121">
        <f>HYPERLINK("https://klasma.github.io/Logging_0980/klagomål/A 17328-2026 FSC-klagomål.docx", "A 17328-2026")</f>
        <v/>
      </c>
      <c r="W121">
        <f>HYPERLINK("https://klasma.github.io/Logging_0980/klagomålsmail/A 17328-2026 FSC-klagomål mail.docx", "A 17328-2026")</f>
        <v/>
      </c>
      <c r="X121">
        <f>HYPERLINK("https://klasma.github.io/Logging_0980/tillsyn/A 17328-2026 tillsynsbegäran.docx", "A 17328-2026")</f>
        <v/>
      </c>
      <c r="Y121">
        <f>HYPERLINK("https://klasma.github.io/Logging_0980/tillsynsmail/A 17328-2026 tillsynsbegäran mail.docx", "A 17328-2026")</f>
        <v/>
      </c>
      <c r="Z121">
        <f>HYPERLINK("https://klasma.github.io/Logging_0980/fåglar/A 17328-2026 prioriterade fågelarter.docx", "A 17328-2026")</f>
        <v/>
      </c>
    </row>
    <row r="122" ht="15" customHeight="1">
      <c r="A122" t="inlineStr">
        <is>
          <t>A 46362-2021</t>
        </is>
      </c>
      <c r="B122" s="1" t="n">
        <v>44442</v>
      </c>
      <c r="C122" s="1" t="n">
        <v>46182</v>
      </c>
      <c r="D122" t="inlineStr">
        <is>
          <t>GOTLANDS LÄN</t>
        </is>
      </c>
      <c r="E122" t="inlineStr">
        <is>
          <t>GOTLAND</t>
        </is>
      </c>
      <c r="G122" t="n">
        <v>2.1</v>
      </c>
      <c r="H122" t="n">
        <v>0</v>
      </c>
      <c r="I122" t="n">
        <v>0</v>
      </c>
      <c r="J122" t="n">
        <v>1</v>
      </c>
      <c r="K122" t="n">
        <v>0</v>
      </c>
      <c r="L122" t="n">
        <v>0</v>
      </c>
      <c r="M122" t="n">
        <v>0</v>
      </c>
      <c r="N122" t="n">
        <v>0</v>
      </c>
      <c r="O122" t="n">
        <v>1</v>
      </c>
      <c r="P122" t="n">
        <v>0</v>
      </c>
      <c r="Q122" t="n">
        <v>1</v>
      </c>
      <c r="R122" s="2" t="inlineStr">
        <is>
          <t>Igelkott</t>
        </is>
      </c>
      <c r="S122">
        <f>HYPERLINK("https://klasma.github.io/Logging_0980/artfynd/A 46362-2021 artfynd.xlsx", "A 46362-2021")</f>
        <v/>
      </c>
      <c r="T122">
        <f>HYPERLINK("https://klasma.github.io/Logging_0980/kartor/A 46362-2021 karta.png", "A 46362-2021")</f>
        <v/>
      </c>
      <c r="V122">
        <f>HYPERLINK("https://klasma.github.io/Logging_0980/klagomål/A 46362-2021 FSC-klagomål.docx", "A 46362-2021")</f>
        <v/>
      </c>
      <c r="W122">
        <f>HYPERLINK("https://klasma.github.io/Logging_0980/klagomålsmail/A 46362-2021 FSC-klagomål mail.docx", "A 46362-2021")</f>
        <v/>
      </c>
      <c r="X122">
        <f>HYPERLINK("https://klasma.github.io/Logging_0980/tillsyn/A 46362-2021 tillsynsbegäran.docx", "A 46362-2021")</f>
        <v/>
      </c>
      <c r="Y122">
        <f>HYPERLINK("https://klasma.github.io/Logging_0980/tillsynsmail/A 46362-2021 tillsynsbegäran mail.docx", "A 46362-2021")</f>
        <v/>
      </c>
    </row>
    <row r="123" ht="15" customHeight="1">
      <c r="A123" t="inlineStr">
        <is>
          <t>A 44088-2022</t>
        </is>
      </c>
      <c r="B123" s="1" t="n">
        <v>44839</v>
      </c>
      <c r="C123" s="1" t="n">
        <v>46182</v>
      </c>
      <c r="D123" t="inlineStr">
        <is>
          <t>GOTLANDS LÄN</t>
        </is>
      </c>
      <c r="E123" t="inlineStr">
        <is>
          <t>GOTLAND</t>
        </is>
      </c>
      <c r="G123" t="n">
        <v>1.5</v>
      </c>
      <c r="H123" t="n">
        <v>0</v>
      </c>
      <c r="I123" t="n">
        <v>1</v>
      </c>
      <c r="J123" t="n">
        <v>0</v>
      </c>
      <c r="K123" t="n">
        <v>0</v>
      </c>
      <c r="L123" t="n">
        <v>0</v>
      </c>
      <c r="M123" t="n">
        <v>0</v>
      </c>
      <c r="N123" t="n">
        <v>0</v>
      </c>
      <c r="O123" t="n">
        <v>0</v>
      </c>
      <c r="P123" t="n">
        <v>0</v>
      </c>
      <c r="Q123" t="n">
        <v>1</v>
      </c>
      <c r="R123" s="2" t="inlineStr">
        <is>
          <t>Strävlosta</t>
        </is>
      </c>
      <c r="S123">
        <f>HYPERLINK("https://klasma.github.io/Logging_0980/artfynd/A 44088-2022 artfynd.xlsx", "A 44088-2022")</f>
        <v/>
      </c>
      <c r="T123">
        <f>HYPERLINK("https://klasma.github.io/Logging_0980/kartor/A 44088-2022 karta.png", "A 44088-2022")</f>
        <v/>
      </c>
      <c r="V123">
        <f>HYPERLINK("https://klasma.github.io/Logging_0980/klagomål/A 44088-2022 FSC-klagomål.docx", "A 44088-2022")</f>
        <v/>
      </c>
      <c r="W123">
        <f>HYPERLINK("https://klasma.github.io/Logging_0980/klagomålsmail/A 44088-2022 FSC-klagomål mail.docx", "A 44088-2022")</f>
        <v/>
      </c>
      <c r="X123">
        <f>HYPERLINK("https://klasma.github.io/Logging_0980/tillsyn/A 44088-2022 tillsynsbegäran.docx", "A 44088-2022")</f>
        <v/>
      </c>
      <c r="Y123">
        <f>HYPERLINK("https://klasma.github.io/Logging_0980/tillsynsmail/A 44088-2022 tillsynsbegäran mail.docx", "A 44088-2022")</f>
        <v/>
      </c>
    </row>
    <row r="124" ht="15" customHeight="1">
      <c r="A124" t="inlineStr">
        <is>
          <t>A 24245-2022</t>
        </is>
      </c>
      <c r="B124" s="1" t="n">
        <v>44725</v>
      </c>
      <c r="C124" s="1" t="n">
        <v>46182</v>
      </c>
      <c r="D124" t="inlineStr">
        <is>
          <t>GOTLANDS LÄN</t>
        </is>
      </c>
      <c r="E124" t="inlineStr">
        <is>
          <t>GOTLAND</t>
        </is>
      </c>
      <c r="G124" t="n">
        <v>4.9</v>
      </c>
      <c r="H124" t="n">
        <v>0</v>
      </c>
      <c r="I124" t="n">
        <v>0</v>
      </c>
      <c r="J124" t="n">
        <v>0</v>
      </c>
      <c r="K124" t="n">
        <v>0</v>
      </c>
      <c r="L124" t="n">
        <v>1</v>
      </c>
      <c r="M124" t="n">
        <v>0</v>
      </c>
      <c r="N124" t="n">
        <v>0</v>
      </c>
      <c r="O124" t="n">
        <v>1</v>
      </c>
      <c r="P124" t="n">
        <v>1</v>
      </c>
      <c r="Q124" t="n">
        <v>1</v>
      </c>
      <c r="R124" s="2" t="inlineStr">
        <is>
          <t>Slät taggsvamp</t>
        </is>
      </c>
      <c r="S124">
        <f>HYPERLINK("https://klasma.github.io/Logging_0980/artfynd/A 24245-2022 artfynd.xlsx", "A 24245-2022")</f>
        <v/>
      </c>
      <c r="T124">
        <f>HYPERLINK("https://klasma.github.io/Logging_0980/kartor/A 24245-2022 karta.png", "A 24245-2022")</f>
        <v/>
      </c>
      <c r="V124">
        <f>HYPERLINK("https://klasma.github.io/Logging_0980/klagomål/A 24245-2022 FSC-klagomål.docx", "A 24245-2022")</f>
        <v/>
      </c>
      <c r="W124">
        <f>HYPERLINK("https://klasma.github.io/Logging_0980/klagomålsmail/A 24245-2022 FSC-klagomål mail.docx", "A 24245-2022")</f>
        <v/>
      </c>
      <c r="X124">
        <f>HYPERLINK("https://klasma.github.io/Logging_0980/tillsyn/A 24245-2022 tillsynsbegäran.docx", "A 24245-2022")</f>
        <v/>
      </c>
      <c r="Y124">
        <f>HYPERLINK("https://klasma.github.io/Logging_0980/tillsynsmail/A 24245-2022 tillsynsbegäran mail.docx", "A 24245-2022")</f>
        <v/>
      </c>
    </row>
    <row r="125" ht="15" customHeight="1">
      <c r="A125" t="inlineStr">
        <is>
          <t>A 22883-2024</t>
        </is>
      </c>
      <c r="B125" s="1" t="n">
        <v>45448.66368055555</v>
      </c>
      <c r="C125" s="1" t="n">
        <v>46182</v>
      </c>
      <c r="D125" t="inlineStr">
        <is>
          <t>GOTLANDS LÄN</t>
        </is>
      </c>
      <c r="E125" t="inlineStr">
        <is>
          <t>GOTLAND</t>
        </is>
      </c>
      <c r="G125" t="n">
        <v>0.5</v>
      </c>
      <c r="H125" t="n">
        <v>0</v>
      </c>
      <c r="I125" t="n">
        <v>0</v>
      </c>
      <c r="J125" t="n">
        <v>0</v>
      </c>
      <c r="K125" t="n">
        <v>1</v>
      </c>
      <c r="L125" t="n">
        <v>0</v>
      </c>
      <c r="M125" t="n">
        <v>0</v>
      </c>
      <c r="N125" t="n">
        <v>0</v>
      </c>
      <c r="O125" t="n">
        <v>1</v>
      </c>
      <c r="P125" t="n">
        <v>1</v>
      </c>
      <c r="Q125" t="n">
        <v>1</v>
      </c>
      <c r="R125" s="2" t="inlineStr">
        <is>
          <t>Gotlandsmåra</t>
        </is>
      </c>
      <c r="S125">
        <f>HYPERLINK("https://klasma.github.io/Logging_0980/artfynd/A 22883-2024 artfynd.xlsx", "A 22883-2024")</f>
        <v/>
      </c>
      <c r="T125">
        <f>HYPERLINK("https://klasma.github.io/Logging_0980/kartor/A 22883-2024 karta.png", "A 22883-2024")</f>
        <v/>
      </c>
      <c r="V125">
        <f>HYPERLINK("https://klasma.github.io/Logging_0980/klagomål/A 22883-2024 FSC-klagomål.docx", "A 22883-2024")</f>
        <v/>
      </c>
      <c r="W125">
        <f>HYPERLINK("https://klasma.github.io/Logging_0980/klagomålsmail/A 22883-2024 FSC-klagomål mail.docx", "A 22883-2024")</f>
        <v/>
      </c>
      <c r="X125">
        <f>HYPERLINK("https://klasma.github.io/Logging_0980/tillsyn/A 22883-2024 tillsynsbegäran.docx", "A 22883-2024")</f>
        <v/>
      </c>
      <c r="Y125">
        <f>HYPERLINK("https://klasma.github.io/Logging_0980/tillsynsmail/A 22883-2024 tillsynsbegäran mail.docx", "A 22883-2024")</f>
        <v/>
      </c>
    </row>
    <row r="126" ht="15" customHeight="1">
      <c r="A126" t="inlineStr">
        <is>
          <t>A 6739-2025</t>
        </is>
      </c>
      <c r="B126" s="1" t="n">
        <v>45700</v>
      </c>
      <c r="C126" s="1" t="n">
        <v>46182</v>
      </c>
      <c r="D126" t="inlineStr">
        <is>
          <t>GOTLANDS LÄN</t>
        </is>
      </c>
      <c r="E126" t="inlineStr">
        <is>
          <t>GOTLAND</t>
        </is>
      </c>
      <c r="G126" t="n">
        <v>4.5</v>
      </c>
      <c r="H126" t="n">
        <v>1</v>
      </c>
      <c r="I126" t="n">
        <v>0</v>
      </c>
      <c r="J126" t="n">
        <v>0</v>
      </c>
      <c r="K126" t="n">
        <v>0</v>
      </c>
      <c r="L126" t="n">
        <v>0</v>
      </c>
      <c r="M126" t="n">
        <v>0</v>
      </c>
      <c r="N126" t="n">
        <v>0</v>
      </c>
      <c r="O126" t="n">
        <v>0</v>
      </c>
      <c r="P126" t="n">
        <v>0</v>
      </c>
      <c r="Q126" t="n">
        <v>1</v>
      </c>
      <c r="R126" s="2" t="inlineStr">
        <is>
          <t>Röd glada</t>
        </is>
      </c>
      <c r="S126">
        <f>HYPERLINK("https://klasma.github.io/Logging_0980/artfynd/A 6739-2025 artfynd.xlsx", "A 6739-2025")</f>
        <v/>
      </c>
      <c r="T126">
        <f>HYPERLINK("https://klasma.github.io/Logging_0980/kartor/A 6739-2025 karta.png", "A 6739-2025")</f>
        <v/>
      </c>
      <c r="V126">
        <f>HYPERLINK("https://klasma.github.io/Logging_0980/klagomål/A 6739-2025 FSC-klagomål.docx", "A 6739-2025")</f>
        <v/>
      </c>
      <c r="W126">
        <f>HYPERLINK("https://klasma.github.io/Logging_0980/klagomålsmail/A 6739-2025 FSC-klagomål mail.docx", "A 6739-2025")</f>
        <v/>
      </c>
      <c r="X126">
        <f>HYPERLINK("https://klasma.github.io/Logging_0980/tillsyn/A 6739-2025 tillsynsbegäran.docx", "A 6739-2025")</f>
        <v/>
      </c>
      <c r="Y126">
        <f>HYPERLINK("https://klasma.github.io/Logging_0980/tillsynsmail/A 6739-2025 tillsynsbegäran mail.docx", "A 6739-2025")</f>
        <v/>
      </c>
      <c r="Z126">
        <f>HYPERLINK("https://klasma.github.io/Logging_0980/fåglar/A 6739-2025 prioriterade fågelarter.docx", "A 6739-2025")</f>
        <v/>
      </c>
    </row>
    <row r="127" ht="15" customHeight="1">
      <c r="A127" t="inlineStr">
        <is>
          <t>A 1477-2024</t>
        </is>
      </c>
      <c r="B127" s="1" t="n">
        <v>45305.37987268518</v>
      </c>
      <c r="C127" s="1" t="n">
        <v>46182</v>
      </c>
      <c r="D127" t="inlineStr">
        <is>
          <t>GOTLANDS LÄN</t>
        </is>
      </c>
      <c r="E127" t="inlineStr">
        <is>
          <t>GOTLAND</t>
        </is>
      </c>
      <c r="G127" t="n">
        <v>6.9</v>
      </c>
      <c r="H127" t="n">
        <v>0</v>
      </c>
      <c r="I127" t="n">
        <v>0</v>
      </c>
      <c r="J127" t="n">
        <v>1</v>
      </c>
      <c r="K127" t="n">
        <v>0</v>
      </c>
      <c r="L127" t="n">
        <v>0</v>
      </c>
      <c r="M127" t="n">
        <v>0</v>
      </c>
      <c r="N127" t="n">
        <v>0</v>
      </c>
      <c r="O127" t="n">
        <v>1</v>
      </c>
      <c r="P127" t="n">
        <v>0</v>
      </c>
      <c r="Q127" t="n">
        <v>1</v>
      </c>
      <c r="R127" s="2" t="inlineStr">
        <is>
          <t>Igelkott</t>
        </is>
      </c>
      <c r="S127">
        <f>HYPERLINK("https://klasma.github.io/Logging_0980/artfynd/A 1477-2024 artfynd.xlsx", "A 1477-2024")</f>
        <v/>
      </c>
      <c r="T127">
        <f>HYPERLINK("https://klasma.github.io/Logging_0980/kartor/A 1477-2024 karta.png", "A 1477-2024")</f>
        <v/>
      </c>
      <c r="V127">
        <f>HYPERLINK("https://klasma.github.io/Logging_0980/klagomål/A 1477-2024 FSC-klagomål.docx", "A 1477-2024")</f>
        <v/>
      </c>
      <c r="W127">
        <f>HYPERLINK("https://klasma.github.io/Logging_0980/klagomålsmail/A 1477-2024 FSC-klagomål mail.docx", "A 1477-2024")</f>
        <v/>
      </c>
      <c r="X127">
        <f>HYPERLINK("https://klasma.github.io/Logging_0980/tillsyn/A 1477-2024 tillsynsbegäran.docx", "A 1477-2024")</f>
        <v/>
      </c>
      <c r="Y127">
        <f>HYPERLINK("https://klasma.github.io/Logging_0980/tillsynsmail/A 1477-2024 tillsynsbegäran mail.docx", "A 1477-2024")</f>
        <v/>
      </c>
    </row>
    <row r="128" ht="15" customHeight="1">
      <c r="A128" t="inlineStr">
        <is>
          <t>A 9862-2024</t>
        </is>
      </c>
      <c r="B128" s="1" t="n">
        <v>45363</v>
      </c>
      <c r="C128" s="1" t="n">
        <v>46182</v>
      </c>
      <c r="D128" t="inlineStr">
        <is>
          <t>GOTLANDS LÄN</t>
        </is>
      </c>
      <c r="E128" t="inlineStr">
        <is>
          <t>GOTLAND</t>
        </is>
      </c>
      <c r="G128" t="n">
        <v>3.5</v>
      </c>
      <c r="H128" t="n">
        <v>1</v>
      </c>
      <c r="I128" t="n">
        <v>0</v>
      </c>
      <c r="J128" t="n">
        <v>0</v>
      </c>
      <c r="K128" t="n">
        <v>0</v>
      </c>
      <c r="L128" t="n">
        <v>0</v>
      </c>
      <c r="M128" t="n">
        <v>0</v>
      </c>
      <c r="N128" t="n">
        <v>0</v>
      </c>
      <c r="O128" t="n">
        <v>0</v>
      </c>
      <c r="P128" t="n">
        <v>0</v>
      </c>
      <c r="Q128" t="n">
        <v>1</v>
      </c>
      <c r="R128" s="2" t="inlineStr">
        <is>
          <t>Nattviol</t>
        </is>
      </c>
      <c r="S128">
        <f>HYPERLINK("https://klasma.github.io/Logging_0980/artfynd/A 9862-2024 artfynd.xlsx", "A 9862-2024")</f>
        <v/>
      </c>
      <c r="T128">
        <f>HYPERLINK("https://klasma.github.io/Logging_0980/kartor/A 9862-2024 karta.png", "A 9862-2024")</f>
        <v/>
      </c>
      <c r="V128">
        <f>HYPERLINK("https://klasma.github.io/Logging_0980/klagomål/A 9862-2024 FSC-klagomål.docx", "A 9862-2024")</f>
        <v/>
      </c>
      <c r="W128">
        <f>HYPERLINK("https://klasma.github.io/Logging_0980/klagomålsmail/A 9862-2024 FSC-klagomål mail.docx", "A 9862-2024")</f>
        <v/>
      </c>
      <c r="X128">
        <f>HYPERLINK("https://klasma.github.io/Logging_0980/tillsyn/A 9862-2024 tillsynsbegäran.docx", "A 9862-2024")</f>
        <v/>
      </c>
      <c r="Y128">
        <f>HYPERLINK("https://klasma.github.io/Logging_0980/tillsynsmail/A 9862-2024 tillsynsbegäran mail.docx", "A 9862-2024")</f>
        <v/>
      </c>
    </row>
    <row r="129" ht="15" customHeight="1">
      <c r="A129" t="inlineStr">
        <is>
          <t>A 44308-2021</t>
        </is>
      </c>
      <c r="B129" s="1" t="n">
        <v>44434</v>
      </c>
      <c r="C129" s="1" t="n">
        <v>46182</v>
      </c>
      <c r="D129" t="inlineStr">
        <is>
          <t>GOTLANDS LÄN</t>
        </is>
      </c>
      <c r="E129" t="inlineStr">
        <is>
          <t>GOTLAND</t>
        </is>
      </c>
      <c r="G129" t="n">
        <v>5.9</v>
      </c>
      <c r="H129" t="n">
        <v>0</v>
      </c>
      <c r="I129" t="n">
        <v>1</v>
      </c>
      <c r="J129" t="n">
        <v>0</v>
      </c>
      <c r="K129" t="n">
        <v>0</v>
      </c>
      <c r="L129" t="n">
        <v>0</v>
      </c>
      <c r="M129" t="n">
        <v>0</v>
      </c>
      <c r="N129" t="n">
        <v>0</v>
      </c>
      <c r="O129" t="n">
        <v>0</v>
      </c>
      <c r="P129" t="n">
        <v>0</v>
      </c>
      <c r="Q129" t="n">
        <v>1</v>
      </c>
      <c r="R129" s="2" t="inlineStr">
        <is>
          <t>Svavelriska</t>
        </is>
      </c>
      <c r="S129">
        <f>HYPERLINK("https://klasma.github.io/Logging_0980/artfynd/A 44308-2021 artfynd.xlsx", "A 44308-2021")</f>
        <v/>
      </c>
      <c r="T129">
        <f>HYPERLINK("https://klasma.github.io/Logging_0980/kartor/A 44308-2021 karta.png", "A 44308-2021")</f>
        <v/>
      </c>
      <c r="V129">
        <f>HYPERLINK("https://klasma.github.io/Logging_0980/klagomål/A 44308-2021 FSC-klagomål.docx", "A 44308-2021")</f>
        <v/>
      </c>
      <c r="W129">
        <f>HYPERLINK("https://klasma.github.io/Logging_0980/klagomålsmail/A 44308-2021 FSC-klagomål mail.docx", "A 44308-2021")</f>
        <v/>
      </c>
      <c r="X129">
        <f>HYPERLINK("https://klasma.github.io/Logging_0980/tillsyn/A 44308-2021 tillsynsbegäran.docx", "A 44308-2021")</f>
        <v/>
      </c>
      <c r="Y129">
        <f>HYPERLINK("https://klasma.github.io/Logging_0980/tillsynsmail/A 44308-2021 tillsynsbegäran mail.docx", "A 44308-2021")</f>
        <v/>
      </c>
    </row>
    <row r="130" ht="15" customHeight="1">
      <c r="A130" t="inlineStr">
        <is>
          <t>A 35467-2021</t>
        </is>
      </c>
      <c r="B130" s="1" t="n">
        <v>44385</v>
      </c>
      <c r="C130" s="1" t="n">
        <v>46182</v>
      </c>
      <c r="D130" t="inlineStr">
        <is>
          <t>GOTLANDS LÄN</t>
        </is>
      </c>
      <c r="E130" t="inlineStr">
        <is>
          <t>GOTLAND</t>
        </is>
      </c>
      <c r="G130" t="n">
        <v>12.7</v>
      </c>
      <c r="H130" t="n">
        <v>0</v>
      </c>
      <c r="I130" t="n">
        <v>0</v>
      </c>
      <c r="J130" t="n">
        <v>1</v>
      </c>
      <c r="K130" t="n">
        <v>0</v>
      </c>
      <c r="L130" t="n">
        <v>0</v>
      </c>
      <c r="M130" t="n">
        <v>0</v>
      </c>
      <c r="N130" t="n">
        <v>0</v>
      </c>
      <c r="O130" t="n">
        <v>1</v>
      </c>
      <c r="P130" t="n">
        <v>0</v>
      </c>
      <c r="Q130" t="n">
        <v>1</v>
      </c>
      <c r="R130" s="2" t="inlineStr">
        <is>
          <t>Loppstarr</t>
        </is>
      </c>
      <c r="S130">
        <f>HYPERLINK("https://klasma.github.io/Logging_0980/artfynd/A 35467-2021 artfynd.xlsx", "A 35467-2021")</f>
        <v/>
      </c>
      <c r="T130">
        <f>HYPERLINK("https://klasma.github.io/Logging_0980/kartor/A 35467-2021 karta.png", "A 35467-2021")</f>
        <v/>
      </c>
      <c r="V130">
        <f>HYPERLINK("https://klasma.github.io/Logging_0980/klagomål/A 35467-2021 FSC-klagomål.docx", "A 35467-2021")</f>
        <v/>
      </c>
      <c r="W130">
        <f>HYPERLINK("https://klasma.github.io/Logging_0980/klagomålsmail/A 35467-2021 FSC-klagomål mail.docx", "A 35467-2021")</f>
        <v/>
      </c>
      <c r="X130">
        <f>HYPERLINK("https://klasma.github.io/Logging_0980/tillsyn/A 35467-2021 tillsynsbegäran.docx", "A 35467-2021")</f>
        <v/>
      </c>
      <c r="Y130">
        <f>HYPERLINK("https://klasma.github.io/Logging_0980/tillsynsmail/A 35467-2021 tillsynsbegäran mail.docx", "A 35467-2021")</f>
        <v/>
      </c>
    </row>
    <row r="131" ht="15" customHeight="1">
      <c r="A131" t="inlineStr">
        <is>
          <t>A 34141-2024</t>
        </is>
      </c>
      <c r="B131" s="1" t="n">
        <v>45524.36229166666</v>
      </c>
      <c r="C131" s="1" t="n">
        <v>46182</v>
      </c>
      <c r="D131" t="inlineStr">
        <is>
          <t>GOTLANDS LÄN</t>
        </is>
      </c>
      <c r="E131" t="inlineStr">
        <is>
          <t>GOTLAND</t>
        </is>
      </c>
      <c r="G131" t="n">
        <v>0.9</v>
      </c>
      <c r="H131" t="n">
        <v>0</v>
      </c>
      <c r="I131" t="n">
        <v>1</v>
      </c>
      <c r="J131" t="n">
        <v>0</v>
      </c>
      <c r="K131" t="n">
        <v>0</v>
      </c>
      <c r="L131" t="n">
        <v>0</v>
      </c>
      <c r="M131" t="n">
        <v>0</v>
      </c>
      <c r="N131" t="n">
        <v>0</v>
      </c>
      <c r="O131" t="n">
        <v>0</v>
      </c>
      <c r="P131" t="n">
        <v>0</v>
      </c>
      <c r="Q131" t="n">
        <v>1</v>
      </c>
      <c r="R131" s="2" t="inlineStr">
        <is>
          <t>Strävlosta</t>
        </is>
      </c>
      <c r="S131">
        <f>HYPERLINK("https://klasma.github.io/Logging_0980/artfynd/A 34141-2024 artfynd.xlsx", "A 34141-2024")</f>
        <v/>
      </c>
      <c r="T131">
        <f>HYPERLINK("https://klasma.github.io/Logging_0980/kartor/A 34141-2024 karta.png", "A 34141-2024")</f>
        <v/>
      </c>
      <c r="V131">
        <f>HYPERLINK("https://klasma.github.io/Logging_0980/klagomål/A 34141-2024 FSC-klagomål.docx", "A 34141-2024")</f>
        <v/>
      </c>
      <c r="W131">
        <f>HYPERLINK("https://klasma.github.io/Logging_0980/klagomålsmail/A 34141-2024 FSC-klagomål mail.docx", "A 34141-2024")</f>
        <v/>
      </c>
      <c r="X131">
        <f>HYPERLINK("https://klasma.github.io/Logging_0980/tillsyn/A 34141-2024 tillsynsbegäran.docx", "A 34141-2024")</f>
        <v/>
      </c>
      <c r="Y131">
        <f>HYPERLINK("https://klasma.github.io/Logging_0980/tillsynsmail/A 34141-2024 tillsynsbegäran mail.docx", "A 34141-2024")</f>
        <v/>
      </c>
    </row>
    <row r="132" ht="15" customHeight="1">
      <c r="A132" t="inlineStr">
        <is>
          <t>A 46527-2023</t>
        </is>
      </c>
      <c r="B132" s="1" t="n">
        <v>45197</v>
      </c>
      <c r="C132" s="1" t="n">
        <v>46182</v>
      </c>
      <c r="D132" t="inlineStr">
        <is>
          <t>GOTLANDS LÄN</t>
        </is>
      </c>
      <c r="E132" t="inlineStr">
        <is>
          <t>GOTLAND</t>
        </is>
      </c>
      <c r="G132" t="n">
        <v>0.9</v>
      </c>
      <c r="H132" t="n">
        <v>0</v>
      </c>
      <c r="I132" t="n">
        <v>0</v>
      </c>
      <c r="J132" t="n">
        <v>1</v>
      </c>
      <c r="K132" t="n">
        <v>0</v>
      </c>
      <c r="L132" t="n">
        <v>0</v>
      </c>
      <c r="M132" t="n">
        <v>0</v>
      </c>
      <c r="N132" t="n">
        <v>0</v>
      </c>
      <c r="O132" t="n">
        <v>1</v>
      </c>
      <c r="P132" t="n">
        <v>0</v>
      </c>
      <c r="Q132" t="n">
        <v>1</v>
      </c>
      <c r="R132" s="2" t="inlineStr">
        <is>
          <t>Guldgräshoppa</t>
        </is>
      </c>
      <c r="S132">
        <f>HYPERLINK("https://klasma.github.io/Logging_0980/artfynd/A 46527-2023 artfynd.xlsx", "A 46527-2023")</f>
        <v/>
      </c>
      <c r="T132">
        <f>HYPERLINK("https://klasma.github.io/Logging_0980/kartor/A 46527-2023 karta.png", "A 46527-2023")</f>
        <v/>
      </c>
      <c r="V132">
        <f>HYPERLINK("https://klasma.github.io/Logging_0980/klagomål/A 46527-2023 FSC-klagomål.docx", "A 46527-2023")</f>
        <v/>
      </c>
      <c r="W132">
        <f>HYPERLINK("https://klasma.github.io/Logging_0980/klagomålsmail/A 46527-2023 FSC-klagomål mail.docx", "A 46527-2023")</f>
        <v/>
      </c>
      <c r="X132">
        <f>HYPERLINK("https://klasma.github.io/Logging_0980/tillsyn/A 46527-2023 tillsynsbegäran.docx", "A 46527-2023")</f>
        <v/>
      </c>
      <c r="Y132">
        <f>HYPERLINK("https://klasma.github.io/Logging_0980/tillsynsmail/A 46527-2023 tillsynsbegäran mail.docx", "A 46527-2023")</f>
        <v/>
      </c>
    </row>
    <row r="133" ht="15" customHeight="1">
      <c r="A133" t="inlineStr">
        <is>
          <t>A 7637-2025</t>
        </is>
      </c>
      <c r="B133" s="1" t="n">
        <v>45705.77181712963</v>
      </c>
      <c r="C133" s="1" t="n">
        <v>46182</v>
      </c>
      <c r="D133" t="inlineStr">
        <is>
          <t>GOTLANDS LÄN</t>
        </is>
      </c>
      <c r="E133" t="inlineStr">
        <is>
          <t>GOTLAND</t>
        </is>
      </c>
      <c r="G133" t="n">
        <v>3.7</v>
      </c>
      <c r="H133" t="n">
        <v>0</v>
      </c>
      <c r="I133" t="n">
        <v>0</v>
      </c>
      <c r="J133" t="n">
        <v>0</v>
      </c>
      <c r="K133" t="n">
        <v>0</v>
      </c>
      <c r="L133" t="n">
        <v>0</v>
      </c>
      <c r="M133" t="n">
        <v>1</v>
      </c>
      <c r="N133" t="n">
        <v>0</v>
      </c>
      <c r="O133" t="n">
        <v>1</v>
      </c>
      <c r="P133" t="n">
        <v>1</v>
      </c>
      <c r="Q133" t="n">
        <v>1</v>
      </c>
      <c r="R133" s="2" t="inlineStr">
        <is>
          <t>Skogsalm</t>
        </is>
      </c>
      <c r="S133">
        <f>HYPERLINK("https://klasma.github.io/Logging_0980/artfynd/A 7637-2025 artfynd.xlsx", "A 7637-2025")</f>
        <v/>
      </c>
      <c r="T133">
        <f>HYPERLINK("https://klasma.github.io/Logging_0980/kartor/A 7637-2025 karta.png", "A 7637-2025")</f>
        <v/>
      </c>
      <c r="V133">
        <f>HYPERLINK("https://klasma.github.io/Logging_0980/klagomål/A 7637-2025 FSC-klagomål.docx", "A 7637-2025")</f>
        <v/>
      </c>
      <c r="W133">
        <f>HYPERLINK("https://klasma.github.io/Logging_0980/klagomålsmail/A 7637-2025 FSC-klagomål mail.docx", "A 7637-2025")</f>
        <v/>
      </c>
      <c r="X133">
        <f>HYPERLINK("https://klasma.github.io/Logging_0980/tillsyn/A 7637-2025 tillsynsbegäran.docx", "A 7637-2025")</f>
        <v/>
      </c>
      <c r="Y133">
        <f>HYPERLINK("https://klasma.github.io/Logging_0980/tillsynsmail/A 7637-2025 tillsynsbegäran mail.docx", "A 7637-2025")</f>
        <v/>
      </c>
    </row>
    <row r="134" ht="15" customHeight="1">
      <c r="A134" t="inlineStr">
        <is>
          <t>A 6303-2024</t>
        </is>
      </c>
      <c r="B134" s="1" t="n">
        <v>45338.35376157407</v>
      </c>
      <c r="C134" s="1" t="n">
        <v>46182</v>
      </c>
      <c r="D134" t="inlineStr">
        <is>
          <t>GOTLANDS LÄN</t>
        </is>
      </c>
      <c r="E134" t="inlineStr">
        <is>
          <t>GOTLAND</t>
        </is>
      </c>
      <c r="G134" t="n">
        <v>0.6</v>
      </c>
      <c r="H134" t="n">
        <v>0</v>
      </c>
      <c r="I134" t="n">
        <v>1</v>
      </c>
      <c r="J134" t="n">
        <v>0</v>
      </c>
      <c r="K134" t="n">
        <v>0</v>
      </c>
      <c r="L134" t="n">
        <v>0</v>
      </c>
      <c r="M134" t="n">
        <v>0</v>
      </c>
      <c r="N134" t="n">
        <v>0</v>
      </c>
      <c r="O134" t="n">
        <v>0</v>
      </c>
      <c r="P134" t="n">
        <v>0</v>
      </c>
      <c r="Q134" t="n">
        <v>1</v>
      </c>
      <c r="R134" s="2" t="inlineStr">
        <is>
          <t>Strävlosta</t>
        </is>
      </c>
      <c r="S134">
        <f>HYPERLINK("https://klasma.github.io/Logging_0980/artfynd/A 6303-2024 artfynd.xlsx", "A 6303-2024")</f>
        <v/>
      </c>
      <c r="T134">
        <f>HYPERLINK("https://klasma.github.io/Logging_0980/kartor/A 6303-2024 karta.png", "A 6303-2024")</f>
        <v/>
      </c>
      <c r="V134">
        <f>HYPERLINK("https://klasma.github.io/Logging_0980/klagomål/A 6303-2024 FSC-klagomål.docx", "A 6303-2024")</f>
        <v/>
      </c>
      <c r="W134">
        <f>HYPERLINK("https://klasma.github.io/Logging_0980/klagomålsmail/A 6303-2024 FSC-klagomål mail.docx", "A 6303-2024")</f>
        <v/>
      </c>
      <c r="X134">
        <f>HYPERLINK("https://klasma.github.io/Logging_0980/tillsyn/A 6303-2024 tillsynsbegäran.docx", "A 6303-2024")</f>
        <v/>
      </c>
      <c r="Y134">
        <f>HYPERLINK("https://klasma.github.io/Logging_0980/tillsynsmail/A 6303-2024 tillsynsbegäran mail.docx", "A 6303-2024")</f>
        <v/>
      </c>
    </row>
    <row r="135" ht="15" customHeight="1">
      <c r="A135" t="inlineStr">
        <is>
          <t>A 62552-2022</t>
        </is>
      </c>
      <c r="B135" s="1" t="n">
        <v>44924</v>
      </c>
      <c r="C135" s="1" t="n">
        <v>46182</v>
      </c>
      <c r="D135" t="inlineStr">
        <is>
          <t>GOTLANDS LÄN</t>
        </is>
      </c>
      <c r="E135" t="inlineStr">
        <is>
          <t>GOTLAND</t>
        </is>
      </c>
      <c r="G135" t="n">
        <v>1.6</v>
      </c>
      <c r="H135" t="n">
        <v>0</v>
      </c>
      <c r="I135" t="n">
        <v>0</v>
      </c>
      <c r="J135" t="n">
        <v>1</v>
      </c>
      <c r="K135" t="n">
        <v>0</v>
      </c>
      <c r="L135" t="n">
        <v>0</v>
      </c>
      <c r="M135" t="n">
        <v>0</v>
      </c>
      <c r="N135" t="n">
        <v>0</v>
      </c>
      <c r="O135" t="n">
        <v>1</v>
      </c>
      <c r="P135" t="n">
        <v>0</v>
      </c>
      <c r="Q135" t="n">
        <v>1</v>
      </c>
      <c r="R135" s="2" t="inlineStr">
        <is>
          <t>Äggspindling</t>
        </is>
      </c>
      <c r="S135">
        <f>HYPERLINK("https://klasma.github.io/Logging_0980/artfynd/A 62552-2022 artfynd.xlsx", "A 62552-2022")</f>
        <v/>
      </c>
      <c r="T135">
        <f>HYPERLINK("https://klasma.github.io/Logging_0980/kartor/A 62552-2022 karta.png", "A 62552-2022")</f>
        <v/>
      </c>
      <c r="V135">
        <f>HYPERLINK("https://klasma.github.io/Logging_0980/klagomål/A 62552-2022 FSC-klagomål.docx", "A 62552-2022")</f>
        <v/>
      </c>
      <c r="W135">
        <f>HYPERLINK("https://klasma.github.io/Logging_0980/klagomålsmail/A 62552-2022 FSC-klagomål mail.docx", "A 62552-2022")</f>
        <v/>
      </c>
      <c r="X135">
        <f>HYPERLINK("https://klasma.github.io/Logging_0980/tillsyn/A 62552-2022 tillsynsbegäran.docx", "A 62552-2022")</f>
        <v/>
      </c>
      <c r="Y135">
        <f>HYPERLINK("https://klasma.github.io/Logging_0980/tillsynsmail/A 62552-2022 tillsynsbegäran mail.docx", "A 62552-2022")</f>
        <v/>
      </c>
    </row>
    <row r="136" ht="15" customHeight="1">
      <c r="A136" t="inlineStr">
        <is>
          <t>A 25977-2024</t>
        </is>
      </c>
      <c r="B136" s="1" t="n">
        <v>45467.69356481481</v>
      </c>
      <c r="C136" s="1" t="n">
        <v>46182</v>
      </c>
      <c r="D136" t="inlineStr">
        <is>
          <t>GOTLANDS LÄN</t>
        </is>
      </c>
      <c r="E136" t="inlineStr">
        <is>
          <t>GOTLAND</t>
        </is>
      </c>
      <c r="G136" t="n">
        <v>3</v>
      </c>
      <c r="H136" t="n">
        <v>1</v>
      </c>
      <c r="I136" t="n">
        <v>0</v>
      </c>
      <c r="J136" t="n">
        <v>0</v>
      </c>
      <c r="K136" t="n">
        <v>0</v>
      </c>
      <c r="L136" t="n">
        <v>0</v>
      </c>
      <c r="M136" t="n">
        <v>0</v>
      </c>
      <c r="N136" t="n">
        <v>0</v>
      </c>
      <c r="O136" t="n">
        <v>0</v>
      </c>
      <c r="P136" t="n">
        <v>0</v>
      </c>
      <c r="Q136" t="n">
        <v>1</v>
      </c>
      <c r="R136" s="2" t="inlineStr">
        <is>
          <t>Nattviol</t>
        </is>
      </c>
      <c r="S136">
        <f>HYPERLINK("https://klasma.github.io/Logging_0980/artfynd/A 25977-2024 artfynd.xlsx", "A 25977-2024")</f>
        <v/>
      </c>
      <c r="T136">
        <f>HYPERLINK("https://klasma.github.io/Logging_0980/kartor/A 25977-2024 karta.png", "A 25977-2024")</f>
        <v/>
      </c>
      <c r="V136">
        <f>HYPERLINK("https://klasma.github.io/Logging_0980/klagomål/A 25977-2024 FSC-klagomål.docx", "A 25977-2024")</f>
        <v/>
      </c>
      <c r="W136">
        <f>HYPERLINK("https://klasma.github.io/Logging_0980/klagomålsmail/A 25977-2024 FSC-klagomål mail.docx", "A 25977-2024")</f>
        <v/>
      </c>
      <c r="X136">
        <f>HYPERLINK("https://klasma.github.io/Logging_0980/tillsyn/A 25977-2024 tillsynsbegäran.docx", "A 25977-2024")</f>
        <v/>
      </c>
      <c r="Y136">
        <f>HYPERLINK("https://klasma.github.io/Logging_0980/tillsynsmail/A 25977-2024 tillsynsbegäran mail.docx", "A 25977-2024")</f>
        <v/>
      </c>
    </row>
    <row r="137" ht="15" customHeight="1">
      <c r="A137" t="inlineStr">
        <is>
          <t>A 61796-2022</t>
        </is>
      </c>
      <c r="B137" s="1" t="n">
        <v>44917</v>
      </c>
      <c r="C137" s="1" t="n">
        <v>46182</v>
      </c>
      <c r="D137" t="inlineStr">
        <is>
          <t>GOTLANDS LÄN</t>
        </is>
      </c>
      <c r="E137" t="inlineStr">
        <is>
          <t>GOTLAND</t>
        </is>
      </c>
      <c r="G137" t="n">
        <v>1.5</v>
      </c>
      <c r="H137" t="n">
        <v>1</v>
      </c>
      <c r="I137" t="n">
        <v>0</v>
      </c>
      <c r="J137" t="n">
        <v>0</v>
      </c>
      <c r="K137" t="n">
        <v>0</v>
      </c>
      <c r="L137" t="n">
        <v>0</v>
      </c>
      <c r="M137" t="n">
        <v>0</v>
      </c>
      <c r="N137" t="n">
        <v>0</v>
      </c>
      <c r="O137" t="n">
        <v>0</v>
      </c>
      <c r="P137" t="n">
        <v>0</v>
      </c>
      <c r="Q137" t="n">
        <v>1</v>
      </c>
      <c r="R137" s="2" t="inlineStr">
        <is>
          <t>Skogsduva</t>
        </is>
      </c>
      <c r="S137">
        <f>HYPERLINK("https://klasma.github.io/Logging_0980/artfynd/A 61796-2022 artfynd.xlsx", "A 61796-2022")</f>
        <v/>
      </c>
      <c r="T137">
        <f>HYPERLINK("https://klasma.github.io/Logging_0980/kartor/A 61796-2022 karta.png", "A 61796-2022")</f>
        <v/>
      </c>
      <c r="V137">
        <f>HYPERLINK("https://klasma.github.io/Logging_0980/klagomål/A 61796-2022 FSC-klagomål.docx", "A 61796-2022")</f>
        <v/>
      </c>
      <c r="W137">
        <f>HYPERLINK("https://klasma.github.io/Logging_0980/klagomålsmail/A 61796-2022 FSC-klagomål mail.docx", "A 61796-2022")</f>
        <v/>
      </c>
      <c r="X137">
        <f>HYPERLINK("https://klasma.github.io/Logging_0980/tillsyn/A 61796-2022 tillsynsbegäran.docx", "A 61796-2022")</f>
        <v/>
      </c>
      <c r="Y137">
        <f>HYPERLINK("https://klasma.github.io/Logging_0980/tillsynsmail/A 61796-2022 tillsynsbegäran mail.docx", "A 61796-2022")</f>
        <v/>
      </c>
      <c r="Z137">
        <f>HYPERLINK("https://klasma.github.io/Logging_0980/fåglar/A 61796-2022 prioriterade fågelarter.docx", "A 61796-2022")</f>
        <v/>
      </c>
    </row>
    <row r="138" ht="15" customHeight="1">
      <c r="A138" t="inlineStr">
        <is>
          <t>A 27589-2023</t>
        </is>
      </c>
      <c r="B138" s="1" t="n">
        <v>45097</v>
      </c>
      <c r="C138" s="1" t="n">
        <v>46182</v>
      </c>
      <c r="D138" t="inlineStr">
        <is>
          <t>GOTLANDS LÄN</t>
        </is>
      </c>
      <c r="E138" t="inlineStr">
        <is>
          <t>GOTLAND</t>
        </is>
      </c>
      <c r="G138" t="n">
        <v>5.4</v>
      </c>
      <c r="H138" t="n">
        <v>0</v>
      </c>
      <c r="I138" t="n">
        <v>0</v>
      </c>
      <c r="J138" t="n">
        <v>0</v>
      </c>
      <c r="K138" t="n">
        <v>0</v>
      </c>
      <c r="L138" t="n">
        <v>0</v>
      </c>
      <c r="M138" t="n">
        <v>1</v>
      </c>
      <c r="N138" t="n">
        <v>0</v>
      </c>
      <c r="O138" t="n">
        <v>1</v>
      </c>
      <c r="P138" t="n">
        <v>1</v>
      </c>
      <c r="Q138" t="n">
        <v>1</v>
      </c>
      <c r="R138" s="2" t="inlineStr">
        <is>
          <t>Skogsalm</t>
        </is>
      </c>
      <c r="S138">
        <f>HYPERLINK("https://klasma.github.io/Logging_0980/artfynd/A 27589-2023 artfynd.xlsx", "A 27589-2023")</f>
        <v/>
      </c>
      <c r="T138">
        <f>HYPERLINK("https://klasma.github.io/Logging_0980/kartor/A 27589-2023 karta.png", "A 27589-2023")</f>
        <v/>
      </c>
      <c r="V138">
        <f>HYPERLINK("https://klasma.github.io/Logging_0980/klagomål/A 27589-2023 FSC-klagomål.docx", "A 27589-2023")</f>
        <v/>
      </c>
      <c r="W138">
        <f>HYPERLINK("https://klasma.github.io/Logging_0980/klagomålsmail/A 27589-2023 FSC-klagomål mail.docx", "A 27589-2023")</f>
        <v/>
      </c>
      <c r="X138">
        <f>HYPERLINK("https://klasma.github.io/Logging_0980/tillsyn/A 27589-2023 tillsynsbegäran.docx", "A 27589-2023")</f>
        <v/>
      </c>
      <c r="Y138">
        <f>HYPERLINK("https://klasma.github.io/Logging_0980/tillsynsmail/A 27589-2023 tillsynsbegäran mail.docx", "A 27589-2023")</f>
        <v/>
      </c>
    </row>
    <row r="139" ht="15" customHeight="1">
      <c r="A139" t="inlineStr">
        <is>
          <t>A 10218-2025</t>
        </is>
      </c>
      <c r="B139" s="1" t="n">
        <v>45720</v>
      </c>
      <c r="C139" s="1" t="n">
        <v>46182</v>
      </c>
      <c r="D139" t="inlineStr">
        <is>
          <t>GOTLANDS LÄN</t>
        </is>
      </c>
      <c r="E139" t="inlineStr">
        <is>
          <t>GOTLAND</t>
        </is>
      </c>
      <c r="G139" t="n">
        <v>8.1</v>
      </c>
      <c r="H139" t="n">
        <v>0</v>
      </c>
      <c r="I139" t="n">
        <v>1</v>
      </c>
      <c r="J139" t="n">
        <v>0</v>
      </c>
      <c r="K139" t="n">
        <v>0</v>
      </c>
      <c r="L139" t="n">
        <v>0</v>
      </c>
      <c r="M139" t="n">
        <v>0</v>
      </c>
      <c r="N139" t="n">
        <v>0</v>
      </c>
      <c r="O139" t="n">
        <v>0</v>
      </c>
      <c r="P139" t="n">
        <v>0</v>
      </c>
      <c r="Q139" t="n">
        <v>1</v>
      </c>
      <c r="R139" s="2" t="inlineStr">
        <is>
          <t>Kalktallört</t>
        </is>
      </c>
      <c r="S139">
        <f>HYPERLINK("https://klasma.github.io/Logging_0980/artfynd/A 10218-2025 artfynd.xlsx", "A 10218-2025")</f>
        <v/>
      </c>
      <c r="T139">
        <f>HYPERLINK("https://klasma.github.io/Logging_0980/kartor/A 10218-2025 karta.png", "A 10218-2025")</f>
        <v/>
      </c>
      <c r="V139">
        <f>HYPERLINK("https://klasma.github.io/Logging_0980/klagomål/A 10218-2025 FSC-klagomål.docx", "A 10218-2025")</f>
        <v/>
      </c>
      <c r="W139">
        <f>HYPERLINK("https://klasma.github.io/Logging_0980/klagomålsmail/A 10218-2025 FSC-klagomål mail.docx", "A 10218-2025")</f>
        <v/>
      </c>
      <c r="X139">
        <f>HYPERLINK("https://klasma.github.io/Logging_0980/tillsyn/A 10218-2025 tillsynsbegäran.docx", "A 10218-2025")</f>
        <v/>
      </c>
      <c r="Y139">
        <f>HYPERLINK("https://klasma.github.io/Logging_0980/tillsynsmail/A 10218-2025 tillsynsbegäran mail.docx", "A 10218-2025")</f>
        <v/>
      </c>
    </row>
    <row r="140" ht="15" customHeight="1">
      <c r="A140" t="inlineStr">
        <is>
          <t>A 12379-2024</t>
        </is>
      </c>
      <c r="B140" s="1" t="n">
        <v>45379.28155092592</v>
      </c>
      <c r="C140" s="1" t="n">
        <v>46182</v>
      </c>
      <c r="D140" t="inlineStr">
        <is>
          <t>GOTLANDS LÄN</t>
        </is>
      </c>
      <c r="E140" t="inlineStr">
        <is>
          <t>GOTLAND</t>
        </is>
      </c>
      <c r="G140" t="n">
        <v>4.4</v>
      </c>
      <c r="H140" t="n">
        <v>0</v>
      </c>
      <c r="I140" t="n">
        <v>0</v>
      </c>
      <c r="J140" t="n">
        <v>1</v>
      </c>
      <c r="K140" t="n">
        <v>0</v>
      </c>
      <c r="L140" t="n">
        <v>0</v>
      </c>
      <c r="M140" t="n">
        <v>0</v>
      </c>
      <c r="N140" t="n">
        <v>0</v>
      </c>
      <c r="O140" t="n">
        <v>1</v>
      </c>
      <c r="P140" t="n">
        <v>0</v>
      </c>
      <c r="Q140" t="n">
        <v>1</v>
      </c>
      <c r="R140" s="2" t="inlineStr">
        <is>
          <t>Svinrot</t>
        </is>
      </c>
      <c r="S140">
        <f>HYPERLINK("https://klasma.github.io/Logging_0980/artfynd/A 12379-2024 artfynd.xlsx", "A 12379-2024")</f>
        <v/>
      </c>
      <c r="T140">
        <f>HYPERLINK("https://klasma.github.io/Logging_0980/kartor/A 12379-2024 karta.png", "A 12379-2024")</f>
        <v/>
      </c>
      <c r="V140">
        <f>HYPERLINK("https://klasma.github.io/Logging_0980/klagomål/A 12379-2024 FSC-klagomål.docx", "A 12379-2024")</f>
        <v/>
      </c>
      <c r="W140">
        <f>HYPERLINK("https://klasma.github.io/Logging_0980/klagomålsmail/A 12379-2024 FSC-klagomål mail.docx", "A 12379-2024")</f>
        <v/>
      </c>
      <c r="X140">
        <f>HYPERLINK("https://klasma.github.io/Logging_0980/tillsyn/A 12379-2024 tillsynsbegäran.docx", "A 12379-2024")</f>
        <v/>
      </c>
      <c r="Y140">
        <f>HYPERLINK("https://klasma.github.io/Logging_0980/tillsynsmail/A 12379-2024 tillsynsbegäran mail.docx", "A 12379-2024")</f>
        <v/>
      </c>
    </row>
    <row r="141" ht="15" customHeight="1">
      <c r="A141" t="inlineStr">
        <is>
          <t>A 64700-2021</t>
        </is>
      </c>
      <c r="B141" s="1" t="n">
        <v>44511</v>
      </c>
      <c r="C141" s="1" t="n">
        <v>46182</v>
      </c>
      <c r="D141" t="inlineStr">
        <is>
          <t>GOTLANDS LÄN</t>
        </is>
      </c>
      <c r="E141" t="inlineStr">
        <is>
          <t>GOTLAND</t>
        </is>
      </c>
      <c r="F141" t="inlineStr">
        <is>
          <t>Naturvårdsverket</t>
        </is>
      </c>
      <c r="G141" t="n">
        <v>2.4</v>
      </c>
      <c r="H141" t="n">
        <v>1</v>
      </c>
      <c r="I141" t="n">
        <v>0</v>
      </c>
      <c r="J141" t="n">
        <v>0</v>
      </c>
      <c r="K141" t="n">
        <v>1</v>
      </c>
      <c r="L141" t="n">
        <v>0</v>
      </c>
      <c r="M141" t="n">
        <v>0</v>
      </c>
      <c r="N141" t="n">
        <v>0</v>
      </c>
      <c r="O141" t="n">
        <v>1</v>
      </c>
      <c r="P141" t="n">
        <v>1</v>
      </c>
      <c r="Q141" t="n">
        <v>1</v>
      </c>
      <c r="R141" s="2" t="inlineStr">
        <is>
          <t>Kalkdån</t>
        </is>
      </c>
      <c r="S141">
        <f>HYPERLINK("https://klasma.github.io/Logging_0980/artfynd/A 64700-2021 artfynd.xlsx", "A 64700-2021")</f>
        <v/>
      </c>
      <c r="T141">
        <f>HYPERLINK("https://klasma.github.io/Logging_0980/kartor/A 64700-2021 karta.png", "A 64700-2021")</f>
        <v/>
      </c>
      <c r="V141">
        <f>HYPERLINK("https://klasma.github.io/Logging_0980/klagomål/A 64700-2021 FSC-klagomål.docx", "A 64700-2021")</f>
        <v/>
      </c>
      <c r="W141">
        <f>HYPERLINK("https://klasma.github.io/Logging_0980/klagomålsmail/A 64700-2021 FSC-klagomål mail.docx", "A 64700-2021")</f>
        <v/>
      </c>
      <c r="X141">
        <f>HYPERLINK("https://klasma.github.io/Logging_0980/tillsyn/A 64700-2021 tillsynsbegäran.docx", "A 64700-2021")</f>
        <v/>
      </c>
      <c r="Y141">
        <f>HYPERLINK("https://klasma.github.io/Logging_0980/tillsynsmail/A 64700-2021 tillsynsbegäran mail.docx", "A 64700-2021")</f>
        <v/>
      </c>
    </row>
    <row r="142" ht="15" customHeight="1">
      <c r="A142" t="inlineStr">
        <is>
          <t>A 35574-2024</t>
        </is>
      </c>
      <c r="B142" s="1" t="n">
        <v>45531</v>
      </c>
      <c r="C142" s="1" t="n">
        <v>46182</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37591-2023</t>
        </is>
      </c>
      <c r="B143" s="1" t="n">
        <v>45159</v>
      </c>
      <c r="C143" s="1" t="n">
        <v>46182</v>
      </c>
      <c r="D143" t="inlineStr">
        <is>
          <t>GOTLANDS LÄN</t>
        </is>
      </c>
      <c r="E143" t="inlineStr">
        <is>
          <t>GOTLAND</t>
        </is>
      </c>
      <c r="G143" t="n">
        <v>8.300000000000001</v>
      </c>
      <c r="H143" t="n">
        <v>0</v>
      </c>
      <c r="I143" t="n">
        <v>0</v>
      </c>
      <c r="J143" t="n">
        <v>1</v>
      </c>
      <c r="K143" t="n">
        <v>0</v>
      </c>
      <c r="L143" t="n">
        <v>0</v>
      </c>
      <c r="M143" t="n">
        <v>0</v>
      </c>
      <c r="N143" t="n">
        <v>0</v>
      </c>
      <c r="O143" t="n">
        <v>1</v>
      </c>
      <c r="P143" t="n">
        <v>0</v>
      </c>
      <c r="Q143" t="n">
        <v>1</v>
      </c>
      <c r="R143" s="2" t="inlineStr">
        <is>
          <t>Ängsstarr</t>
        </is>
      </c>
      <c r="S143">
        <f>HYPERLINK("https://klasma.github.io/Logging_0980/artfynd/A 37591-2023 artfynd.xlsx", "A 37591-2023")</f>
        <v/>
      </c>
      <c r="T143">
        <f>HYPERLINK("https://klasma.github.io/Logging_0980/kartor/A 37591-2023 karta.png", "A 37591-2023")</f>
        <v/>
      </c>
      <c r="V143">
        <f>HYPERLINK("https://klasma.github.io/Logging_0980/klagomål/A 37591-2023 FSC-klagomål.docx", "A 37591-2023")</f>
        <v/>
      </c>
      <c r="W143">
        <f>HYPERLINK("https://klasma.github.io/Logging_0980/klagomålsmail/A 37591-2023 FSC-klagomål mail.docx", "A 37591-2023")</f>
        <v/>
      </c>
      <c r="X143">
        <f>HYPERLINK("https://klasma.github.io/Logging_0980/tillsyn/A 37591-2023 tillsynsbegäran.docx", "A 37591-2023")</f>
        <v/>
      </c>
      <c r="Y143">
        <f>HYPERLINK("https://klasma.github.io/Logging_0980/tillsynsmail/A 37591-2023 tillsynsbegäran mail.docx", "A 37591-2023")</f>
        <v/>
      </c>
    </row>
    <row r="144" ht="15" customHeight="1">
      <c r="A144" t="inlineStr">
        <is>
          <t>A 15637-2024</t>
        </is>
      </c>
      <c r="B144" s="1" t="n">
        <v>45403.6684837963</v>
      </c>
      <c r="C144" s="1" t="n">
        <v>46182</v>
      </c>
      <c r="D144" t="inlineStr">
        <is>
          <t>GOTLANDS LÄN</t>
        </is>
      </c>
      <c r="E144" t="inlineStr">
        <is>
          <t>GOTLAND</t>
        </is>
      </c>
      <c r="G144" t="n">
        <v>4.1</v>
      </c>
      <c r="H144" t="n">
        <v>1</v>
      </c>
      <c r="I144" t="n">
        <v>0</v>
      </c>
      <c r="J144" t="n">
        <v>0</v>
      </c>
      <c r="K144" t="n">
        <v>0</v>
      </c>
      <c r="L144" t="n">
        <v>0</v>
      </c>
      <c r="M144" t="n">
        <v>0</v>
      </c>
      <c r="N144" t="n">
        <v>0</v>
      </c>
      <c r="O144" t="n">
        <v>0</v>
      </c>
      <c r="P144" t="n">
        <v>0</v>
      </c>
      <c r="Q144" t="n">
        <v>1</v>
      </c>
      <c r="R144" s="2" t="inlineStr">
        <is>
          <t>Blåsippa</t>
        </is>
      </c>
      <c r="S144">
        <f>HYPERLINK("https://klasma.github.io/Logging_0980/artfynd/A 15637-2024 artfynd.xlsx", "A 15637-2024")</f>
        <v/>
      </c>
      <c r="T144">
        <f>HYPERLINK("https://klasma.github.io/Logging_0980/kartor/A 15637-2024 karta.png", "A 15637-2024")</f>
        <v/>
      </c>
      <c r="V144">
        <f>HYPERLINK("https://klasma.github.io/Logging_0980/klagomål/A 15637-2024 FSC-klagomål.docx", "A 15637-2024")</f>
        <v/>
      </c>
      <c r="W144">
        <f>HYPERLINK("https://klasma.github.io/Logging_0980/klagomålsmail/A 15637-2024 FSC-klagomål mail.docx", "A 15637-2024")</f>
        <v/>
      </c>
      <c r="X144">
        <f>HYPERLINK("https://klasma.github.io/Logging_0980/tillsyn/A 15637-2024 tillsynsbegäran.docx", "A 15637-2024")</f>
        <v/>
      </c>
      <c r="Y144">
        <f>HYPERLINK("https://klasma.github.io/Logging_0980/tillsynsmail/A 15637-2024 tillsynsbegäran mail.docx", "A 15637-2024")</f>
        <v/>
      </c>
    </row>
    <row r="145" ht="15" customHeight="1">
      <c r="A145" t="inlineStr">
        <is>
          <t>A 65927-2021</t>
        </is>
      </c>
      <c r="B145" s="1" t="n">
        <v>44516</v>
      </c>
      <c r="C145" s="1" t="n">
        <v>46182</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947-2023</t>
        </is>
      </c>
      <c r="B146" s="1" t="n">
        <v>44934</v>
      </c>
      <c r="C146" s="1" t="n">
        <v>46182</v>
      </c>
      <c r="D146" t="inlineStr">
        <is>
          <t>GOTLANDS LÄN</t>
        </is>
      </c>
      <c r="E146" t="inlineStr">
        <is>
          <t>GOTLAND</t>
        </is>
      </c>
      <c r="G146" t="n">
        <v>0.7</v>
      </c>
      <c r="H146" t="n">
        <v>1</v>
      </c>
      <c r="I146" t="n">
        <v>0</v>
      </c>
      <c r="J146" t="n">
        <v>0</v>
      </c>
      <c r="K146" t="n">
        <v>1</v>
      </c>
      <c r="L146" t="n">
        <v>0</v>
      </c>
      <c r="M146" t="n">
        <v>0</v>
      </c>
      <c r="N146" t="n">
        <v>0</v>
      </c>
      <c r="O146" t="n">
        <v>1</v>
      </c>
      <c r="P146" t="n">
        <v>1</v>
      </c>
      <c r="Q146" t="n">
        <v>1</v>
      </c>
      <c r="R146" s="2" t="inlineStr">
        <is>
          <t>Garderönn</t>
        </is>
      </c>
      <c r="S146">
        <f>HYPERLINK("https://klasma.github.io/Logging_0980/artfynd/A 947-2023 artfynd.xlsx", "A 947-2023")</f>
        <v/>
      </c>
      <c r="T146">
        <f>HYPERLINK("https://klasma.github.io/Logging_0980/kartor/A 947-2023 karta.png", "A 947-2023")</f>
        <v/>
      </c>
      <c r="V146">
        <f>HYPERLINK("https://klasma.github.io/Logging_0980/klagomål/A 947-2023 FSC-klagomål.docx", "A 947-2023")</f>
        <v/>
      </c>
      <c r="W146">
        <f>HYPERLINK("https://klasma.github.io/Logging_0980/klagomålsmail/A 947-2023 FSC-klagomål mail.docx", "A 947-2023")</f>
        <v/>
      </c>
      <c r="X146">
        <f>HYPERLINK("https://klasma.github.io/Logging_0980/tillsyn/A 947-2023 tillsynsbegäran.docx", "A 947-2023")</f>
        <v/>
      </c>
      <c r="Y146">
        <f>HYPERLINK("https://klasma.github.io/Logging_0980/tillsynsmail/A 947-2023 tillsynsbegäran mail.docx", "A 947-2023")</f>
        <v/>
      </c>
    </row>
    <row r="147" ht="15" customHeight="1">
      <c r="A147" t="inlineStr">
        <is>
          <t>A 61561-2023</t>
        </is>
      </c>
      <c r="B147" s="1" t="n">
        <v>45265</v>
      </c>
      <c r="C147" s="1" t="n">
        <v>46182</v>
      </c>
      <c r="D147" t="inlineStr">
        <is>
          <t>GOTLANDS LÄN</t>
        </is>
      </c>
      <c r="E147" t="inlineStr">
        <is>
          <t>GOTLAND</t>
        </is>
      </c>
      <c r="G147" t="n">
        <v>7.4</v>
      </c>
      <c r="H147" t="n">
        <v>0</v>
      </c>
      <c r="I147" t="n">
        <v>0</v>
      </c>
      <c r="J147" t="n">
        <v>1</v>
      </c>
      <c r="K147" t="n">
        <v>0</v>
      </c>
      <c r="L147" t="n">
        <v>0</v>
      </c>
      <c r="M147" t="n">
        <v>0</v>
      </c>
      <c r="N147" t="n">
        <v>0</v>
      </c>
      <c r="O147" t="n">
        <v>1</v>
      </c>
      <c r="P147" t="n">
        <v>0</v>
      </c>
      <c r="Q147" t="n">
        <v>1</v>
      </c>
      <c r="R147" s="2" t="inlineStr">
        <is>
          <t>Loppstarr</t>
        </is>
      </c>
      <c r="S147">
        <f>HYPERLINK("https://klasma.github.io/Logging_0980/artfynd/A 61561-2023 artfynd.xlsx", "A 61561-2023")</f>
        <v/>
      </c>
      <c r="T147">
        <f>HYPERLINK("https://klasma.github.io/Logging_0980/kartor/A 61561-2023 karta.png", "A 61561-2023")</f>
        <v/>
      </c>
      <c r="V147">
        <f>HYPERLINK("https://klasma.github.io/Logging_0980/klagomål/A 61561-2023 FSC-klagomål.docx", "A 61561-2023")</f>
        <v/>
      </c>
      <c r="W147">
        <f>HYPERLINK("https://klasma.github.io/Logging_0980/klagomålsmail/A 61561-2023 FSC-klagomål mail.docx", "A 61561-2023")</f>
        <v/>
      </c>
      <c r="X147">
        <f>HYPERLINK("https://klasma.github.io/Logging_0980/tillsyn/A 61561-2023 tillsynsbegäran.docx", "A 61561-2023")</f>
        <v/>
      </c>
      <c r="Y147">
        <f>HYPERLINK("https://klasma.github.io/Logging_0980/tillsynsmail/A 61561-2023 tillsynsbegäran mail.docx", "A 61561-2023")</f>
        <v/>
      </c>
    </row>
    <row r="148" ht="15" customHeight="1">
      <c r="A148" t="inlineStr">
        <is>
          <t>A 11708-2026</t>
        </is>
      </c>
      <c r="B148" s="1" t="n">
        <v>46084</v>
      </c>
      <c r="C148" s="1" t="n">
        <v>46182</v>
      </c>
      <c r="D148" t="inlineStr">
        <is>
          <t>GOTLANDS LÄN</t>
        </is>
      </c>
      <c r="E148" t="inlineStr">
        <is>
          <t>GOTLAND</t>
        </is>
      </c>
      <c r="G148" t="n">
        <v>8.4</v>
      </c>
      <c r="H148" t="n">
        <v>1</v>
      </c>
      <c r="I148" t="n">
        <v>0</v>
      </c>
      <c r="J148" t="n">
        <v>1</v>
      </c>
      <c r="K148" t="n">
        <v>0</v>
      </c>
      <c r="L148" t="n">
        <v>0</v>
      </c>
      <c r="M148" t="n">
        <v>0</v>
      </c>
      <c r="N148" t="n">
        <v>0</v>
      </c>
      <c r="O148" t="n">
        <v>1</v>
      </c>
      <c r="P148" t="n">
        <v>0</v>
      </c>
      <c r="Q148" t="n">
        <v>1</v>
      </c>
      <c r="R148" s="2" t="inlineStr">
        <is>
          <t>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49847-2023</t>
        </is>
      </c>
      <c r="B149" s="1" t="n">
        <v>45212</v>
      </c>
      <c r="C149" s="1" t="n">
        <v>46182</v>
      </c>
      <c r="D149" t="inlineStr">
        <is>
          <t>GOTLANDS LÄN</t>
        </is>
      </c>
      <c r="E149" t="inlineStr">
        <is>
          <t>GOTLAND</t>
        </is>
      </c>
      <c r="G149" t="n">
        <v>35.2</v>
      </c>
      <c r="H149" t="n">
        <v>0</v>
      </c>
      <c r="I149" t="n">
        <v>0</v>
      </c>
      <c r="J149" t="n">
        <v>0</v>
      </c>
      <c r="K149" t="n">
        <v>1</v>
      </c>
      <c r="L149" t="n">
        <v>0</v>
      </c>
      <c r="M149" t="n">
        <v>0</v>
      </c>
      <c r="N149" t="n">
        <v>0</v>
      </c>
      <c r="O149" t="n">
        <v>1</v>
      </c>
      <c r="P149" t="n">
        <v>1</v>
      </c>
      <c r="Q149" t="n">
        <v>1</v>
      </c>
      <c r="R149" s="2" t="inlineStr">
        <is>
          <t>Strandviol</t>
        </is>
      </c>
      <c r="S149">
        <f>HYPERLINK("https://klasma.github.io/Logging_0980/artfynd/A 49847-2023 artfynd.xlsx", "A 49847-2023")</f>
        <v/>
      </c>
      <c r="T149">
        <f>HYPERLINK("https://klasma.github.io/Logging_0980/kartor/A 49847-2023 karta.png", "A 49847-2023")</f>
        <v/>
      </c>
      <c r="V149">
        <f>HYPERLINK("https://klasma.github.io/Logging_0980/klagomål/A 49847-2023 FSC-klagomål.docx", "A 49847-2023")</f>
        <v/>
      </c>
      <c r="W149">
        <f>HYPERLINK("https://klasma.github.io/Logging_0980/klagomålsmail/A 49847-2023 FSC-klagomål mail.docx", "A 49847-2023")</f>
        <v/>
      </c>
      <c r="X149">
        <f>HYPERLINK("https://klasma.github.io/Logging_0980/tillsyn/A 49847-2023 tillsynsbegäran.docx", "A 49847-2023")</f>
        <v/>
      </c>
      <c r="Y149">
        <f>HYPERLINK("https://klasma.github.io/Logging_0980/tillsynsmail/A 49847-2023 tillsynsbegäran mail.docx", "A 49847-2023")</f>
        <v/>
      </c>
    </row>
    <row r="150" ht="15" customHeight="1">
      <c r="A150" t="inlineStr">
        <is>
          <t>A 13482-2026</t>
        </is>
      </c>
      <c r="B150" s="1" t="n">
        <v>46094</v>
      </c>
      <c r="C150" s="1" t="n">
        <v>46182</v>
      </c>
      <c r="D150" t="inlineStr">
        <is>
          <t>GOTLANDS LÄN</t>
        </is>
      </c>
      <c r="E150" t="inlineStr">
        <is>
          <t>GOTLAND</t>
        </is>
      </c>
      <c r="G150" t="n">
        <v>1.7</v>
      </c>
      <c r="H150" t="n">
        <v>1</v>
      </c>
      <c r="I150" t="n">
        <v>0</v>
      </c>
      <c r="J150" t="n">
        <v>1</v>
      </c>
      <c r="K150" t="n">
        <v>0</v>
      </c>
      <c r="L150" t="n">
        <v>0</v>
      </c>
      <c r="M150" t="n">
        <v>0</v>
      </c>
      <c r="N150" t="n">
        <v>0</v>
      </c>
      <c r="O150" t="n">
        <v>1</v>
      </c>
      <c r="P150" t="n">
        <v>0</v>
      </c>
      <c r="Q150" t="n">
        <v>1</v>
      </c>
      <c r="R150" s="2" t="inlineStr">
        <is>
          <t>Spillkråka</t>
        </is>
      </c>
      <c r="S150">
        <f>HYPERLINK("https://klasma.github.io/Logging_0980/artfynd/A 13482-2026 artfynd.xlsx", "A 13482-2026")</f>
        <v/>
      </c>
      <c r="T150">
        <f>HYPERLINK("https://klasma.github.io/Logging_0980/kartor/A 13482-2026 karta.png", "A 13482-2026")</f>
        <v/>
      </c>
      <c r="V150">
        <f>HYPERLINK("https://klasma.github.io/Logging_0980/klagomål/A 13482-2026 FSC-klagomål.docx", "A 13482-2026")</f>
        <v/>
      </c>
      <c r="W150">
        <f>HYPERLINK("https://klasma.github.io/Logging_0980/klagomålsmail/A 13482-2026 FSC-klagomål mail.docx", "A 13482-2026")</f>
        <v/>
      </c>
      <c r="X150">
        <f>HYPERLINK("https://klasma.github.io/Logging_0980/tillsyn/A 13482-2026 tillsynsbegäran.docx", "A 13482-2026")</f>
        <v/>
      </c>
      <c r="Y150">
        <f>HYPERLINK("https://klasma.github.io/Logging_0980/tillsynsmail/A 13482-2026 tillsynsbegäran mail.docx", "A 13482-2026")</f>
        <v/>
      </c>
      <c r="Z150">
        <f>HYPERLINK("https://klasma.github.io/Logging_0980/fåglar/A 13482-2026 prioriterade fågelarter.docx", "A 13482-2026")</f>
        <v/>
      </c>
    </row>
    <row r="151" ht="15" customHeight="1">
      <c r="A151" t="inlineStr">
        <is>
          <t>A 2476-2025</t>
        </is>
      </c>
      <c r="B151" s="1" t="n">
        <v>45673</v>
      </c>
      <c r="C151" s="1" t="n">
        <v>46182</v>
      </c>
      <c r="D151" t="inlineStr">
        <is>
          <t>GOTLANDS LÄN</t>
        </is>
      </c>
      <c r="E151" t="inlineStr">
        <is>
          <t>GOTLAND</t>
        </is>
      </c>
      <c r="G151" t="n">
        <v>3.1</v>
      </c>
      <c r="H151" t="n">
        <v>0</v>
      </c>
      <c r="I151" t="n">
        <v>1</v>
      </c>
      <c r="J151" t="n">
        <v>0</v>
      </c>
      <c r="K151" t="n">
        <v>0</v>
      </c>
      <c r="L151" t="n">
        <v>0</v>
      </c>
      <c r="M151" t="n">
        <v>0</v>
      </c>
      <c r="N151" t="n">
        <v>0</v>
      </c>
      <c r="O151" t="n">
        <v>0</v>
      </c>
      <c r="P151" t="n">
        <v>0</v>
      </c>
      <c r="Q151" t="n">
        <v>1</v>
      </c>
      <c r="R151" s="2" t="inlineStr">
        <is>
          <t>Kryddspindling</t>
        </is>
      </c>
      <c r="S151">
        <f>HYPERLINK("https://klasma.github.io/Logging_0980/artfynd/A 2476-2025 artfynd.xlsx", "A 2476-2025")</f>
        <v/>
      </c>
      <c r="T151">
        <f>HYPERLINK("https://klasma.github.io/Logging_0980/kartor/A 2476-2025 karta.png", "A 2476-2025")</f>
        <v/>
      </c>
      <c r="V151">
        <f>HYPERLINK("https://klasma.github.io/Logging_0980/klagomål/A 2476-2025 FSC-klagomål.docx", "A 2476-2025")</f>
        <v/>
      </c>
      <c r="W151">
        <f>HYPERLINK("https://klasma.github.io/Logging_0980/klagomålsmail/A 2476-2025 FSC-klagomål mail.docx", "A 2476-2025")</f>
        <v/>
      </c>
      <c r="X151">
        <f>HYPERLINK("https://klasma.github.io/Logging_0980/tillsyn/A 2476-2025 tillsynsbegäran.docx", "A 2476-2025")</f>
        <v/>
      </c>
      <c r="Y151">
        <f>HYPERLINK("https://klasma.github.io/Logging_0980/tillsynsmail/A 2476-2025 tillsynsbegäran mail.docx", "A 2476-2025")</f>
        <v/>
      </c>
    </row>
    <row r="152" ht="15" customHeight="1">
      <c r="A152" t="inlineStr">
        <is>
          <t>A 44304-2021</t>
        </is>
      </c>
      <c r="B152" s="1" t="n">
        <v>44434</v>
      </c>
      <c r="C152" s="1" t="n">
        <v>46182</v>
      </c>
      <c r="D152" t="inlineStr">
        <is>
          <t>GOTLANDS LÄN</t>
        </is>
      </c>
      <c r="E152" t="inlineStr">
        <is>
          <t>GOTLAND</t>
        </is>
      </c>
      <c r="G152" t="n">
        <v>5.8</v>
      </c>
      <c r="H152" t="n">
        <v>0</v>
      </c>
      <c r="I152" t="n">
        <v>0</v>
      </c>
      <c r="J152" t="n">
        <v>1</v>
      </c>
      <c r="K152" t="n">
        <v>0</v>
      </c>
      <c r="L152" t="n">
        <v>0</v>
      </c>
      <c r="M152" t="n">
        <v>0</v>
      </c>
      <c r="N152" t="n">
        <v>0</v>
      </c>
      <c r="O152" t="n">
        <v>1</v>
      </c>
      <c r="P152" t="n">
        <v>0</v>
      </c>
      <c r="Q152" t="n">
        <v>1</v>
      </c>
      <c r="R152" s="2" t="inlineStr">
        <is>
          <t>Svinrot</t>
        </is>
      </c>
      <c r="S152">
        <f>HYPERLINK("https://klasma.github.io/Logging_0980/artfynd/A 44304-2021 artfynd.xlsx", "A 44304-2021")</f>
        <v/>
      </c>
      <c r="T152">
        <f>HYPERLINK("https://klasma.github.io/Logging_0980/kartor/A 44304-2021 karta.png", "A 44304-2021")</f>
        <v/>
      </c>
      <c r="V152">
        <f>HYPERLINK("https://klasma.github.io/Logging_0980/klagomål/A 44304-2021 FSC-klagomål.docx", "A 44304-2021")</f>
        <v/>
      </c>
      <c r="W152">
        <f>HYPERLINK("https://klasma.github.io/Logging_0980/klagomålsmail/A 44304-2021 FSC-klagomål mail.docx", "A 44304-2021")</f>
        <v/>
      </c>
      <c r="X152">
        <f>HYPERLINK("https://klasma.github.io/Logging_0980/tillsyn/A 44304-2021 tillsynsbegäran.docx", "A 44304-2021")</f>
        <v/>
      </c>
      <c r="Y152">
        <f>HYPERLINK("https://klasma.github.io/Logging_0980/tillsynsmail/A 44304-2021 tillsynsbegäran mail.docx", "A 44304-2021")</f>
        <v/>
      </c>
    </row>
    <row r="153" ht="15" customHeight="1">
      <c r="A153" t="inlineStr">
        <is>
          <t>A 447-2023</t>
        </is>
      </c>
      <c r="B153" s="1" t="n">
        <v>44929</v>
      </c>
      <c r="C153" s="1" t="n">
        <v>46182</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10995-2023</t>
        </is>
      </c>
      <c r="B154" s="1" t="n">
        <v>44986</v>
      </c>
      <c r="C154" s="1" t="n">
        <v>46182</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22281-2026</t>
        </is>
      </c>
      <c r="B155" s="1" t="n">
        <v>46154</v>
      </c>
      <c r="C155" s="1" t="n">
        <v>46182</v>
      </c>
      <c r="D155" t="inlineStr">
        <is>
          <t>GOTLANDS LÄN</t>
        </is>
      </c>
      <c r="E155" t="inlineStr">
        <is>
          <t>GOTLAND</t>
        </is>
      </c>
      <c r="G155" t="n">
        <v>8.1</v>
      </c>
      <c r="H155" t="n">
        <v>0</v>
      </c>
      <c r="I155" t="n">
        <v>0</v>
      </c>
      <c r="J155" t="n">
        <v>1</v>
      </c>
      <c r="K155" t="n">
        <v>0</v>
      </c>
      <c r="L155" t="n">
        <v>0</v>
      </c>
      <c r="M155" t="n">
        <v>0</v>
      </c>
      <c r="N155" t="n">
        <v>0</v>
      </c>
      <c r="O155" t="n">
        <v>1</v>
      </c>
      <c r="P155" t="n">
        <v>0</v>
      </c>
      <c r="Q155" t="n">
        <v>1</v>
      </c>
      <c r="R155" s="2" t="inlineStr">
        <is>
          <t>Vasstandad trädbasbagge</t>
        </is>
      </c>
      <c r="S155">
        <f>HYPERLINK("https://klasma.github.io/Logging_0980/artfynd/A 22281-2026 artfynd.xlsx", "A 22281-2026")</f>
        <v/>
      </c>
      <c r="T155">
        <f>HYPERLINK("https://klasma.github.io/Logging_0980/kartor/A 22281-2026 karta.png", "A 22281-2026")</f>
        <v/>
      </c>
      <c r="V155">
        <f>HYPERLINK("https://klasma.github.io/Logging_0980/klagomål/A 22281-2026 FSC-klagomål.docx", "A 22281-2026")</f>
        <v/>
      </c>
      <c r="W155">
        <f>HYPERLINK("https://klasma.github.io/Logging_0980/klagomålsmail/A 22281-2026 FSC-klagomål mail.docx", "A 22281-2026")</f>
        <v/>
      </c>
      <c r="X155">
        <f>HYPERLINK("https://klasma.github.io/Logging_0980/tillsyn/A 22281-2026 tillsynsbegäran.docx", "A 22281-2026")</f>
        <v/>
      </c>
      <c r="Y155">
        <f>HYPERLINK("https://klasma.github.io/Logging_0980/tillsynsmail/A 22281-2026 tillsynsbegäran mail.docx", "A 22281-2026")</f>
        <v/>
      </c>
    </row>
    <row r="156" ht="15" customHeight="1">
      <c r="A156" t="inlineStr">
        <is>
          <t>A 63576-2021</t>
        </is>
      </c>
      <c r="B156" s="1" t="n">
        <v>44508</v>
      </c>
      <c r="C156" s="1" t="n">
        <v>46182</v>
      </c>
      <c r="D156" t="inlineStr">
        <is>
          <t>GOTLANDS LÄN</t>
        </is>
      </c>
      <c r="E156" t="inlineStr">
        <is>
          <t>GOTLAND</t>
        </is>
      </c>
      <c r="F156" t="inlineStr">
        <is>
          <t>Kyrkan</t>
        </is>
      </c>
      <c r="G156" t="n">
        <v>4.1</v>
      </c>
      <c r="H156" t="n">
        <v>1</v>
      </c>
      <c r="I156" t="n">
        <v>0</v>
      </c>
      <c r="J156" t="n">
        <v>1</v>
      </c>
      <c r="K156" t="n">
        <v>0</v>
      </c>
      <c r="L156" t="n">
        <v>0</v>
      </c>
      <c r="M156" t="n">
        <v>0</v>
      </c>
      <c r="N156" t="n">
        <v>0</v>
      </c>
      <c r="O156" t="n">
        <v>1</v>
      </c>
      <c r="P156" t="n">
        <v>0</v>
      </c>
      <c r="Q156" t="n">
        <v>1</v>
      </c>
      <c r="R156" s="2" t="inlineStr">
        <is>
          <t>Dårgräsfjäril</t>
        </is>
      </c>
      <c r="S156">
        <f>HYPERLINK("https://klasma.github.io/Logging_0980/artfynd/A 63576-2021 artfynd.xlsx", "A 63576-2021")</f>
        <v/>
      </c>
      <c r="T156">
        <f>HYPERLINK("https://klasma.github.io/Logging_0980/kartor/A 63576-2021 karta.png", "A 63576-2021")</f>
        <v/>
      </c>
      <c r="V156">
        <f>HYPERLINK("https://klasma.github.io/Logging_0980/klagomål/A 63576-2021 FSC-klagomål.docx", "A 63576-2021")</f>
        <v/>
      </c>
      <c r="W156">
        <f>HYPERLINK("https://klasma.github.io/Logging_0980/klagomålsmail/A 63576-2021 FSC-klagomål mail.docx", "A 63576-2021")</f>
        <v/>
      </c>
      <c r="X156">
        <f>HYPERLINK("https://klasma.github.io/Logging_0980/tillsyn/A 63576-2021 tillsynsbegäran.docx", "A 63576-2021")</f>
        <v/>
      </c>
      <c r="Y156">
        <f>HYPERLINK("https://klasma.github.io/Logging_0980/tillsynsmail/A 63576-2021 tillsynsbegäran mail.docx", "A 63576-2021")</f>
        <v/>
      </c>
    </row>
    <row r="157" ht="15" customHeight="1">
      <c r="A157" t="inlineStr">
        <is>
          <t>A 17854-2026</t>
        </is>
      </c>
      <c r="B157" s="1" t="n">
        <v>46121</v>
      </c>
      <c r="C157" s="1" t="n">
        <v>46182</v>
      </c>
      <c r="D157" t="inlineStr">
        <is>
          <t>GOTLANDS LÄN</t>
        </is>
      </c>
      <c r="E157" t="inlineStr">
        <is>
          <t>GOTLAND</t>
        </is>
      </c>
      <c r="G157" t="n">
        <v>6.6</v>
      </c>
      <c r="H157" t="n">
        <v>0</v>
      </c>
      <c r="I157" t="n">
        <v>1</v>
      </c>
      <c r="J157" t="n">
        <v>0</v>
      </c>
      <c r="K157" t="n">
        <v>0</v>
      </c>
      <c r="L157" t="n">
        <v>0</v>
      </c>
      <c r="M157" t="n">
        <v>0</v>
      </c>
      <c r="N157" t="n">
        <v>0</v>
      </c>
      <c r="O157" t="n">
        <v>0</v>
      </c>
      <c r="P157" t="n">
        <v>0</v>
      </c>
      <c r="Q157" t="n">
        <v>1</v>
      </c>
      <c r="R157" s="2" t="inlineStr">
        <is>
          <t>Blå slemspindling</t>
        </is>
      </c>
      <c r="S157">
        <f>HYPERLINK("https://klasma.github.io/Logging_0980/artfynd/A 17854-2026 artfynd.xlsx", "A 17854-2026")</f>
        <v/>
      </c>
      <c r="T157">
        <f>HYPERLINK("https://klasma.github.io/Logging_0980/kartor/A 17854-2026 karta.png", "A 17854-2026")</f>
        <v/>
      </c>
      <c r="V157">
        <f>HYPERLINK("https://klasma.github.io/Logging_0980/klagomål/A 17854-2026 FSC-klagomål.docx", "A 17854-2026")</f>
        <v/>
      </c>
      <c r="W157">
        <f>HYPERLINK("https://klasma.github.io/Logging_0980/klagomålsmail/A 17854-2026 FSC-klagomål mail.docx", "A 17854-2026")</f>
        <v/>
      </c>
      <c r="X157">
        <f>HYPERLINK("https://klasma.github.io/Logging_0980/tillsyn/A 17854-2026 tillsynsbegäran.docx", "A 17854-2026")</f>
        <v/>
      </c>
      <c r="Y157">
        <f>HYPERLINK("https://klasma.github.io/Logging_0980/tillsynsmail/A 17854-2026 tillsynsbegäran mail.docx", "A 17854-2026")</f>
        <v/>
      </c>
    </row>
    <row r="158" ht="15" customHeight="1">
      <c r="A158" t="inlineStr">
        <is>
          <t>A 34809-2024</t>
        </is>
      </c>
      <c r="B158" s="1" t="n">
        <v>45526</v>
      </c>
      <c r="C158" s="1" t="n">
        <v>46182</v>
      </c>
      <c r="D158" t="inlineStr">
        <is>
          <t>GOTLANDS LÄN</t>
        </is>
      </c>
      <c r="E158" t="inlineStr">
        <is>
          <t>GOTLAND</t>
        </is>
      </c>
      <c r="G158" t="n">
        <v>9.9</v>
      </c>
      <c r="H158" t="n">
        <v>1</v>
      </c>
      <c r="I158" t="n">
        <v>0</v>
      </c>
      <c r="J158" t="n">
        <v>1</v>
      </c>
      <c r="K158" t="n">
        <v>0</v>
      </c>
      <c r="L158" t="n">
        <v>0</v>
      </c>
      <c r="M158" t="n">
        <v>0</v>
      </c>
      <c r="N158" t="n">
        <v>0</v>
      </c>
      <c r="O158" t="n">
        <v>1</v>
      </c>
      <c r="P158" t="n">
        <v>0</v>
      </c>
      <c r="Q158" t="n">
        <v>1</v>
      </c>
      <c r="R158" s="2" t="inlineStr">
        <is>
          <t>Brun ögontröst</t>
        </is>
      </c>
      <c r="S158">
        <f>HYPERLINK("https://klasma.github.io/Logging_0980/artfynd/A 34809-2024 artfynd.xlsx", "A 34809-2024")</f>
        <v/>
      </c>
      <c r="T158">
        <f>HYPERLINK("https://klasma.github.io/Logging_0980/kartor/A 34809-2024 karta.png", "A 34809-2024")</f>
        <v/>
      </c>
      <c r="V158">
        <f>HYPERLINK("https://klasma.github.io/Logging_0980/klagomål/A 34809-2024 FSC-klagomål.docx", "A 34809-2024")</f>
        <v/>
      </c>
      <c r="W158">
        <f>HYPERLINK("https://klasma.github.io/Logging_0980/klagomålsmail/A 34809-2024 FSC-klagomål mail.docx", "A 34809-2024")</f>
        <v/>
      </c>
      <c r="X158">
        <f>HYPERLINK("https://klasma.github.io/Logging_0980/tillsyn/A 34809-2024 tillsynsbegäran.docx", "A 34809-2024")</f>
        <v/>
      </c>
      <c r="Y158">
        <f>HYPERLINK("https://klasma.github.io/Logging_0980/tillsynsmail/A 34809-2024 tillsynsbegäran mail.docx", "A 34809-2024")</f>
        <v/>
      </c>
    </row>
    <row r="159" ht="15" customHeight="1">
      <c r="A159" t="inlineStr">
        <is>
          <t>A 10440-2024</t>
        </is>
      </c>
      <c r="B159" s="1" t="n">
        <v>45366.32818287037</v>
      </c>
      <c r="C159" s="1" t="n">
        <v>46182</v>
      </c>
      <c r="D159" t="inlineStr">
        <is>
          <t>GOTLANDS LÄN</t>
        </is>
      </c>
      <c r="E159" t="inlineStr">
        <is>
          <t>GOTLAND</t>
        </is>
      </c>
      <c r="G159" t="n">
        <v>2.5</v>
      </c>
      <c r="H159" t="n">
        <v>1</v>
      </c>
      <c r="I159" t="n">
        <v>0</v>
      </c>
      <c r="J159" t="n">
        <v>1</v>
      </c>
      <c r="K159" t="n">
        <v>0</v>
      </c>
      <c r="L159" t="n">
        <v>0</v>
      </c>
      <c r="M159" t="n">
        <v>0</v>
      </c>
      <c r="N159" t="n">
        <v>0</v>
      </c>
      <c r="O159" t="n">
        <v>1</v>
      </c>
      <c r="P159" t="n">
        <v>0</v>
      </c>
      <c r="Q159" t="n">
        <v>1</v>
      </c>
      <c r="R159" s="2" t="inlineStr">
        <is>
          <t>Mindre hackspett</t>
        </is>
      </c>
      <c r="S159">
        <f>HYPERLINK("https://klasma.github.io/Logging_0980/artfynd/A 10440-2024 artfynd.xlsx", "A 10440-2024")</f>
        <v/>
      </c>
      <c r="T159">
        <f>HYPERLINK("https://klasma.github.io/Logging_0980/kartor/A 10440-2024 karta.png", "A 10440-2024")</f>
        <v/>
      </c>
      <c r="V159">
        <f>HYPERLINK("https://klasma.github.io/Logging_0980/klagomål/A 10440-2024 FSC-klagomål.docx", "A 10440-2024")</f>
        <v/>
      </c>
      <c r="W159">
        <f>HYPERLINK("https://klasma.github.io/Logging_0980/klagomålsmail/A 10440-2024 FSC-klagomål mail.docx", "A 10440-2024")</f>
        <v/>
      </c>
      <c r="X159">
        <f>HYPERLINK("https://klasma.github.io/Logging_0980/tillsyn/A 10440-2024 tillsynsbegäran.docx", "A 10440-2024")</f>
        <v/>
      </c>
      <c r="Y159">
        <f>HYPERLINK("https://klasma.github.io/Logging_0980/tillsynsmail/A 10440-2024 tillsynsbegäran mail.docx", "A 10440-2024")</f>
        <v/>
      </c>
      <c r="Z159">
        <f>HYPERLINK("https://klasma.github.io/Logging_0980/fåglar/A 10440-2024 prioriterade fågelarter.docx", "A 10440-2024")</f>
        <v/>
      </c>
    </row>
    <row r="160" ht="15" customHeight="1">
      <c r="A160" t="inlineStr">
        <is>
          <t>A 18036-2026</t>
        </is>
      </c>
      <c r="B160" s="1" t="n">
        <v>46125.39576388889</v>
      </c>
      <c r="C160" s="1" t="n">
        <v>46182</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49304-2024</t>
        </is>
      </c>
      <c r="B161" s="1" t="n">
        <v>45595.54996527778</v>
      </c>
      <c r="C161" s="1" t="n">
        <v>46182</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22782-2023</t>
        </is>
      </c>
      <c r="B162" s="1" t="n">
        <v>45072</v>
      </c>
      <c r="C162" s="1" t="n">
        <v>46182</v>
      </c>
      <c r="D162" t="inlineStr">
        <is>
          <t>GOTLANDS LÄN</t>
        </is>
      </c>
      <c r="E162" t="inlineStr">
        <is>
          <t>GOTLAND</t>
        </is>
      </c>
      <c r="F162" t="inlineStr">
        <is>
          <t>Kyrkan</t>
        </is>
      </c>
      <c r="G162" t="n">
        <v>3.1</v>
      </c>
      <c r="H162" t="n">
        <v>1</v>
      </c>
      <c r="I162" t="n">
        <v>0</v>
      </c>
      <c r="J162" t="n">
        <v>0</v>
      </c>
      <c r="K162" t="n">
        <v>0</v>
      </c>
      <c r="L162" t="n">
        <v>0</v>
      </c>
      <c r="M162" t="n">
        <v>0</v>
      </c>
      <c r="N162" t="n">
        <v>0</v>
      </c>
      <c r="O162" t="n">
        <v>0</v>
      </c>
      <c r="P162" t="n">
        <v>0</v>
      </c>
      <c r="Q162" t="n">
        <v>1</v>
      </c>
      <c r="R162" s="2" t="inlineStr">
        <is>
          <t>Ängsnycklar × skogsnycklar</t>
        </is>
      </c>
      <c r="S162">
        <f>HYPERLINK("https://klasma.github.io/Logging_0980/artfynd/A 22782-2023 artfynd.xlsx", "A 22782-2023")</f>
        <v/>
      </c>
      <c r="T162">
        <f>HYPERLINK("https://klasma.github.io/Logging_0980/kartor/A 22782-2023 karta.png", "A 22782-2023")</f>
        <v/>
      </c>
      <c r="V162">
        <f>HYPERLINK("https://klasma.github.io/Logging_0980/klagomål/A 22782-2023 FSC-klagomål.docx", "A 22782-2023")</f>
        <v/>
      </c>
      <c r="W162">
        <f>HYPERLINK("https://klasma.github.io/Logging_0980/klagomålsmail/A 22782-2023 FSC-klagomål mail.docx", "A 22782-2023")</f>
        <v/>
      </c>
      <c r="X162">
        <f>HYPERLINK("https://klasma.github.io/Logging_0980/tillsyn/A 22782-2023 tillsynsbegäran.docx", "A 22782-2023")</f>
        <v/>
      </c>
      <c r="Y162">
        <f>HYPERLINK("https://klasma.github.io/Logging_0980/tillsynsmail/A 22782-2023 tillsynsbegäran mail.docx", "A 22782-2023")</f>
        <v/>
      </c>
    </row>
    <row r="163" ht="15" customHeight="1">
      <c r="A163" t="inlineStr">
        <is>
          <t>A 36313-2021</t>
        </is>
      </c>
      <c r="B163" s="1" t="n">
        <v>44390</v>
      </c>
      <c r="C163" s="1" t="n">
        <v>46182</v>
      </c>
      <c r="D163" t="inlineStr">
        <is>
          <t>GOTLANDS LÄN</t>
        </is>
      </c>
      <c r="E163" t="inlineStr">
        <is>
          <t>GOTLAND</t>
        </is>
      </c>
      <c r="G163" t="n">
        <v>2.2</v>
      </c>
      <c r="H163" t="n">
        <v>0</v>
      </c>
      <c r="I163" t="n">
        <v>0</v>
      </c>
      <c r="J163" t="n">
        <v>0</v>
      </c>
      <c r="K163" t="n">
        <v>0</v>
      </c>
      <c r="L163" t="n">
        <v>0</v>
      </c>
      <c r="M163" t="n">
        <v>0</v>
      </c>
      <c r="N163" t="n">
        <v>0</v>
      </c>
      <c r="O163" t="n">
        <v>0</v>
      </c>
      <c r="P163" t="n">
        <v>0</v>
      </c>
      <c r="Q163" t="n">
        <v>0</v>
      </c>
      <c r="R163" s="2" t="inlineStr"/>
    </row>
    <row r="164" ht="15" customHeight="1">
      <c r="A164" t="inlineStr">
        <is>
          <t>A 31981-2021</t>
        </is>
      </c>
      <c r="B164" s="1" t="n">
        <v>44370</v>
      </c>
      <c r="C164" s="1" t="n">
        <v>46182</v>
      </c>
      <c r="D164" t="inlineStr">
        <is>
          <t>GOTLANDS LÄN</t>
        </is>
      </c>
      <c r="E164" t="inlineStr">
        <is>
          <t>GOTLAND</t>
        </is>
      </c>
      <c r="G164" t="n">
        <v>6.1</v>
      </c>
      <c r="H164" t="n">
        <v>0</v>
      </c>
      <c r="I164" t="n">
        <v>0</v>
      </c>
      <c r="J164" t="n">
        <v>0</v>
      </c>
      <c r="K164" t="n">
        <v>0</v>
      </c>
      <c r="L164" t="n">
        <v>0</v>
      </c>
      <c r="M164" t="n">
        <v>0</v>
      </c>
      <c r="N164" t="n">
        <v>0</v>
      </c>
      <c r="O164" t="n">
        <v>0</v>
      </c>
      <c r="P164" t="n">
        <v>0</v>
      </c>
      <c r="Q164" t="n">
        <v>0</v>
      </c>
      <c r="R164" s="2" t="inlineStr"/>
    </row>
    <row r="165" ht="15" customHeight="1">
      <c r="A165" t="inlineStr">
        <is>
          <t>A 50892-2021</t>
        </is>
      </c>
      <c r="B165" s="1" t="n">
        <v>44459</v>
      </c>
      <c r="C165" s="1" t="n">
        <v>46182</v>
      </c>
      <c r="D165" t="inlineStr">
        <is>
          <t>GOTLANDS LÄN</t>
        </is>
      </c>
      <c r="E165" t="inlineStr">
        <is>
          <t>GOTLAND</t>
        </is>
      </c>
      <c r="G165" t="n">
        <v>0.8</v>
      </c>
      <c r="H165" t="n">
        <v>0</v>
      </c>
      <c r="I165" t="n">
        <v>0</v>
      </c>
      <c r="J165" t="n">
        <v>0</v>
      </c>
      <c r="K165" t="n">
        <v>0</v>
      </c>
      <c r="L165" t="n">
        <v>0</v>
      </c>
      <c r="M165" t="n">
        <v>0</v>
      </c>
      <c r="N165" t="n">
        <v>0</v>
      </c>
      <c r="O165" t="n">
        <v>0</v>
      </c>
      <c r="P165" t="n">
        <v>0</v>
      </c>
      <c r="Q165" t="n">
        <v>0</v>
      </c>
      <c r="R165" s="2" t="inlineStr"/>
    </row>
    <row r="166" ht="15" customHeight="1">
      <c r="A166" t="inlineStr">
        <is>
          <t>A 44108-2022</t>
        </is>
      </c>
      <c r="B166" s="1" t="n">
        <v>44839.38159722222</v>
      </c>
      <c r="C166" s="1" t="n">
        <v>46182</v>
      </c>
      <c r="D166" t="inlineStr">
        <is>
          <t>GOTLANDS LÄN</t>
        </is>
      </c>
      <c r="E166" t="inlineStr">
        <is>
          <t>GOTLAND</t>
        </is>
      </c>
      <c r="G166" t="n">
        <v>12.9</v>
      </c>
      <c r="H166" t="n">
        <v>0</v>
      </c>
      <c r="I166" t="n">
        <v>0</v>
      </c>
      <c r="J166" t="n">
        <v>0</v>
      </c>
      <c r="K166" t="n">
        <v>0</v>
      </c>
      <c r="L166" t="n">
        <v>0</v>
      </c>
      <c r="M166" t="n">
        <v>0</v>
      </c>
      <c r="N166" t="n">
        <v>0</v>
      </c>
      <c r="O166" t="n">
        <v>0</v>
      </c>
      <c r="P166" t="n">
        <v>0</v>
      </c>
      <c r="Q166" t="n">
        <v>0</v>
      </c>
      <c r="R166" s="2" t="inlineStr"/>
    </row>
    <row r="167" ht="15" customHeight="1">
      <c r="A167" t="inlineStr">
        <is>
          <t>A 16858-2022</t>
        </is>
      </c>
      <c r="B167" s="1" t="n">
        <v>44674.62</v>
      </c>
      <c r="C167" s="1" t="n">
        <v>46182</v>
      </c>
      <c r="D167" t="inlineStr">
        <is>
          <t>GOTLANDS LÄN</t>
        </is>
      </c>
      <c r="E167" t="inlineStr">
        <is>
          <t>GOTLAND</t>
        </is>
      </c>
      <c r="G167" t="n">
        <v>1.4</v>
      </c>
      <c r="H167" t="n">
        <v>0</v>
      </c>
      <c r="I167" t="n">
        <v>0</v>
      </c>
      <c r="J167" t="n">
        <v>0</v>
      </c>
      <c r="K167" t="n">
        <v>0</v>
      </c>
      <c r="L167" t="n">
        <v>0</v>
      </c>
      <c r="M167" t="n">
        <v>0</v>
      </c>
      <c r="N167" t="n">
        <v>0</v>
      </c>
      <c r="O167" t="n">
        <v>0</v>
      </c>
      <c r="P167" t="n">
        <v>0</v>
      </c>
      <c r="Q167" t="n">
        <v>0</v>
      </c>
      <c r="R167" s="2" t="inlineStr"/>
    </row>
    <row r="168" ht="15" customHeight="1">
      <c r="A168" t="inlineStr">
        <is>
          <t>A 24235-2022</t>
        </is>
      </c>
      <c r="B168" s="1" t="n">
        <v>44725</v>
      </c>
      <c r="C168" s="1" t="n">
        <v>46182</v>
      </c>
      <c r="D168" t="inlineStr">
        <is>
          <t>GOTLANDS LÄN</t>
        </is>
      </c>
      <c r="E168" t="inlineStr">
        <is>
          <t>GOTLAND</t>
        </is>
      </c>
      <c r="G168" t="n">
        <v>0.8</v>
      </c>
      <c r="H168" t="n">
        <v>0</v>
      </c>
      <c r="I168" t="n">
        <v>0</v>
      </c>
      <c r="J168" t="n">
        <v>0</v>
      </c>
      <c r="K168" t="n">
        <v>0</v>
      </c>
      <c r="L168" t="n">
        <v>0</v>
      </c>
      <c r="M168" t="n">
        <v>0</v>
      </c>
      <c r="N168" t="n">
        <v>0</v>
      </c>
      <c r="O168" t="n">
        <v>0</v>
      </c>
      <c r="P168" t="n">
        <v>0</v>
      </c>
      <c r="Q168" t="n">
        <v>0</v>
      </c>
      <c r="R168" s="2" t="inlineStr"/>
    </row>
    <row r="169" ht="15" customHeight="1">
      <c r="A169" t="inlineStr">
        <is>
          <t>A 32647-2021</t>
        </is>
      </c>
      <c r="B169" s="1" t="n">
        <v>44375</v>
      </c>
      <c r="C169" s="1" t="n">
        <v>46182</v>
      </c>
      <c r="D169" t="inlineStr">
        <is>
          <t>GOTLANDS LÄN</t>
        </is>
      </c>
      <c r="E169" t="inlineStr">
        <is>
          <t>GOTLAND</t>
        </is>
      </c>
      <c r="G169" t="n">
        <v>1.7</v>
      </c>
      <c r="H169" t="n">
        <v>0</v>
      </c>
      <c r="I169" t="n">
        <v>0</v>
      </c>
      <c r="J169" t="n">
        <v>0</v>
      </c>
      <c r="K169" t="n">
        <v>0</v>
      </c>
      <c r="L169" t="n">
        <v>0</v>
      </c>
      <c r="M169" t="n">
        <v>0</v>
      </c>
      <c r="N169" t="n">
        <v>0</v>
      </c>
      <c r="O169" t="n">
        <v>0</v>
      </c>
      <c r="P169" t="n">
        <v>0</v>
      </c>
      <c r="Q169" t="n">
        <v>0</v>
      </c>
      <c r="R169" s="2" t="inlineStr"/>
    </row>
    <row r="170" ht="15" customHeight="1">
      <c r="A170" t="inlineStr">
        <is>
          <t>A 39909-2021</t>
        </is>
      </c>
      <c r="B170" s="1" t="n">
        <v>44417.82444444444</v>
      </c>
      <c r="C170" s="1" t="n">
        <v>46182</v>
      </c>
      <c r="D170" t="inlineStr">
        <is>
          <t>GOTLANDS LÄN</t>
        </is>
      </c>
      <c r="E170" t="inlineStr">
        <is>
          <t>GOTLAND</t>
        </is>
      </c>
      <c r="G170" t="n">
        <v>1.1</v>
      </c>
      <c r="H170" t="n">
        <v>0</v>
      </c>
      <c r="I170" t="n">
        <v>0</v>
      </c>
      <c r="J170" t="n">
        <v>0</v>
      </c>
      <c r="K170" t="n">
        <v>0</v>
      </c>
      <c r="L170" t="n">
        <v>0</v>
      </c>
      <c r="M170" t="n">
        <v>0</v>
      </c>
      <c r="N170" t="n">
        <v>0</v>
      </c>
      <c r="O170" t="n">
        <v>0</v>
      </c>
      <c r="P170" t="n">
        <v>0</v>
      </c>
      <c r="Q170" t="n">
        <v>0</v>
      </c>
      <c r="R170" s="2" t="inlineStr"/>
    </row>
    <row r="171" ht="15" customHeight="1">
      <c r="A171" t="inlineStr">
        <is>
          <t>A 22498-2022</t>
        </is>
      </c>
      <c r="B171" s="1" t="n">
        <v>44713.64682870371</v>
      </c>
      <c r="C171" s="1" t="n">
        <v>46182</v>
      </c>
      <c r="D171" t="inlineStr">
        <is>
          <t>GOTLANDS LÄN</t>
        </is>
      </c>
      <c r="E171" t="inlineStr">
        <is>
          <t>GOTLAND</t>
        </is>
      </c>
      <c r="G171" t="n">
        <v>0.7</v>
      </c>
      <c r="H171" t="n">
        <v>0</v>
      </c>
      <c r="I171" t="n">
        <v>0</v>
      </c>
      <c r="J171" t="n">
        <v>0</v>
      </c>
      <c r="K171" t="n">
        <v>0</v>
      </c>
      <c r="L171" t="n">
        <v>0</v>
      </c>
      <c r="M171" t="n">
        <v>0</v>
      </c>
      <c r="N171" t="n">
        <v>0</v>
      </c>
      <c r="O171" t="n">
        <v>0</v>
      </c>
      <c r="P171" t="n">
        <v>0</v>
      </c>
      <c r="Q171" t="n">
        <v>0</v>
      </c>
      <c r="R171" s="2" t="inlineStr"/>
    </row>
    <row r="172" ht="15" customHeight="1">
      <c r="A172" t="inlineStr">
        <is>
          <t>A 42688-2021</t>
        </is>
      </c>
      <c r="B172" s="1" t="n">
        <v>44428</v>
      </c>
      <c r="C172" s="1" t="n">
        <v>46182</v>
      </c>
      <c r="D172" t="inlineStr">
        <is>
          <t>GOTLANDS LÄN</t>
        </is>
      </c>
      <c r="E172" t="inlineStr">
        <is>
          <t>GOTLAND</t>
        </is>
      </c>
      <c r="G172" t="n">
        <v>0.6</v>
      </c>
      <c r="H172" t="n">
        <v>0</v>
      </c>
      <c r="I172" t="n">
        <v>0</v>
      </c>
      <c r="J172" t="n">
        <v>0</v>
      </c>
      <c r="K172" t="n">
        <v>0</v>
      </c>
      <c r="L172" t="n">
        <v>0</v>
      </c>
      <c r="M172" t="n">
        <v>0</v>
      </c>
      <c r="N172" t="n">
        <v>0</v>
      </c>
      <c r="O172" t="n">
        <v>0</v>
      </c>
      <c r="P172" t="n">
        <v>0</v>
      </c>
      <c r="Q172" t="n">
        <v>0</v>
      </c>
      <c r="R172" s="2" t="inlineStr"/>
    </row>
    <row r="173" ht="15" customHeight="1">
      <c r="A173" t="inlineStr">
        <is>
          <t>A 24123-2022</t>
        </is>
      </c>
      <c r="B173" s="1" t="n">
        <v>44725.4384375</v>
      </c>
      <c r="C173" s="1" t="n">
        <v>46182</v>
      </c>
      <c r="D173" t="inlineStr">
        <is>
          <t>GOTLANDS LÄN</t>
        </is>
      </c>
      <c r="E173" t="inlineStr">
        <is>
          <t>GOTLAND</t>
        </is>
      </c>
      <c r="G173" t="n">
        <v>6</v>
      </c>
      <c r="H173" t="n">
        <v>0</v>
      </c>
      <c r="I173" t="n">
        <v>0</v>
      </c>
      <c r="J173" t="n">
        <v>0</v>
      </c>
      <c r="K173" t="n">
        <v>0</v>
      </c>
      <c r="L173" t="n">
        <v>0</v>
      </c>
      <c r="M173" t="n">
        <v>0</v>
      </c>
      <c r="N173" t="n">
        <v>0</v>
      </c>
      <c r="O173" t="n">
        <v>0</v>
      </c>
      <c r="P173" t="n">
        <v>0</v>
      </c>
      <c r="Q173" t="n">
        <v>0</v>
      </c>
      <c r="R173" s="2" t="inlineStr"/>
    </row>
    <row r="174" ht="15" customHeight="1">
      <c r="A174" t="inlineStr">
        <is>
          <t>A 44207-2022</t>
        </is>
      </c>
      <c r="B174" s="1" t="n">
        <v>44839</v>
      </c>
      <c r="C174" s="1" t="n">
        <v>46182</v>
      </c>
      <c r="D174" t="inlineStr">
        <is>
          <t>GOTLANDS LÄN</t>
        </is>
      </c>
      <c r="E174" t="inlineStr">
        <is>
          <t>GOTLAND</t>
        </is>
      </c>
      <c r="G174" t="n">
        <v>3.8</v>
      </c>
      <c r="H174" t="n">
        <v>0</v>
      </c>
      <c r="I174" t="n">
        <v>0</v>
      </c>
      <c r="J174" t="n">
        <v>0</v>
      </c>
      <c r="K174" t="n">
        <v>0</v>
      </c>
      <c r="L174" t="n">
        <v>0</v>
      </c>
      <c r="M174" t="n">
        <v>0</v>
      </c>
      <c r="N174" t="n">
        <v>0</v>
      </c>
      <c r="O174" t="n">
        <v>0</v>
      </c>
      <c r="P174" t="n">
        <v>0</v>
      </c>
      <c r="Q174" t="n">
        <v>0</v>
      </c>
      <c r="R174" s="2" t="inlineStr"/>
    </row>
    <row r="175" ht="15" customHeight="1">
      <c r="A175" t="inlineStr">
        <is>
          <t>A 32691-2021</t>
        </is>
      </c>
      <c r="B175" s="1" t="n">
        <v>44375</v>
      </c>
      <c r="C175" s="1" t="n">
        <v>46182</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60607-2021</t>
        </is>
      </c>
      <c r="B176" s="1" t="n">
        <v>44496.58627314815</v>
      </c>
      <c r="C176" s="1" t="n">
        <v>46182</v>
      </c>
      <c r="D176" t="inlineStr">
        <is>
          <t>GOTLANDS LÄN</t>
        </is>
      </c>
      <c r="E176" t="inlineStr">
        <is>
          <t>GOTLAND</t>
        </is>
      </c>
      <c r="G176" t="n">
        <v>0.6</v>
      </c>
      <c r="H176" t="n">
        <v>0</v>
      </c>
      <c r="I176" t="n">
        <v>0</v>
      </c>
      <c r="J176" t="n">
        <v>0</v>
      </c>
      <c r="K176" t="n">
        <v>0</v>
      </c>
      <c r="L176" t="n">
        <v>0</v>
      </c>
      <c r="M176" t="n">
        <v>0</v>
      </c>
      <c r="N176" t="n">
        <v>0</v>
      </c>
      <c r="O176" t="n">
        <v>0</v>
      </c>
      <c r="P176" t="n">
        <v>0</v>
      </c>
      <c r="Q176" t="n">
        <v>0</v>
      </c>
      <c r="R176" s="2" t="inlineStr"/>
    </row>
    <row r="177" ht="15" customHeight="1">
      <c r="A177" t="inlineStr">
        <is>
          <t>A 47369-2021</t>
        </is>
      </c>
      <c r="B177" s="1" t="n">
        <v>44447</v>
      </c>
      <c r="C177" s="1" t="n">
        <v>46182</v>
      </c>
      <c r="D177" t="inlineStr">
        <is>
          <t>GOTLANDS LÄN</t>
        </is>
      </c>
      <c r="E177" t="inlineStr">
        <is>
          <t>GOTLAND</t>
        </is>
      </c>
      <c r="G177" t="n">
        <v>2.3</v>
      </c>
      <c r="H177" t="n">
        <v>0</v>
      </c>
      <c r="I177" t="n">
        <v>0</v>
      </c>
      <c r="J177" t="n">
        <v>0</v>
      </c>
      <c r="K177" t="n">
        <v>0</v>
      </c>
      <c r="L177" t="n">
        <v>0</v>
      </c>
      <c r="M177" t="n">
        <v>0</v>
      </c>
      <c r="N177" t="n">
        <v>0</v>
      </c>
      <c r="O177" t="n">
        <v>0</v>
      </c>
      <c r="P177" t="n">
        <v>0</v>
      </c>
      <c r="Q177" t="n">
        <v>0</v>
      </c>
      <c r="R177" s="2" t="inlineStr"/>
    </row>
    <row r="178" ht="15" customHeight="1">
      <c r="A178" t="inlineStr">
        <is>
          <t>A 11029-2022</t>
        </is>
      </c>
      <c r="B178" s="1" t="n">
        <v>44628</v>
      </c>
      <c r="C178" s="1" t="n">
        <v>46182</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31239-2022</t>
        </is>
      </c>
      <c r="B179" s="1" t="n">
        <v>44771.49383101852</v>
      </c>
      <c r="C179" s="1" t="n">
        <v>46182</v>
      </c>
      <c r="D179" t="inlineStr">
        <is>
          <t>GOTLANDS LÄN</t>
        </is>
      </c>
      <c r="E179" t="inlineStr">
        <is>
          <t>GOTLAND</t>
        </is>
      </c>
      <c r="G179" t="n">
        <v>1.9</v>
      </c>
      <c r="H179" t="n">
        <v>0</v>
      </c>
      <c r="I179" t="n">
        <v>0</v>
      </c>
      <c r="J179" t="n">
        <v>0</v>
      </c>
      <c r="K179" t="n">
        <v>0</v>
      </c>
      <c r="L179" t="n">
        <v>0</v>
      </c>
      <c r="M179" t="n">
        <v>0</v>
      </c>
      <c r="N179" t="n">
        <v>0</v>
      </c>
      <c r="O179" t="n">
        <v>0</v>
      </c>
      <c r="P179" t="n">
        <v>0</v>
      </c>
      <c r="Q179" t="n">
        <v>0</v>
      </c>
      <c r="R179" s="2" t="inlineStr"/>
    </row>
    <row r="180" ht="15" customHeight="1">
      <c r="A180" t="inlineStr">
        <is>
          <t>A 58224-2021</t>
        </is>
      </c>
      <c r="B180" s="1" t="n">
        <v>44487</v>
      </c>
      <c r="C180" s="1" t="n">
        <v>46182</v>
      </c>
      <c r="D180" t="inlineStr">
        <is>
          <t>GOTLANDS LÄN</t>
        </is>
      </c>
      <c r="E180" t="inlineStr">
        <is>
          <t>GOTLAND</t>
        </is>
      </c>
      <c r="G180" t="n">
        <v>1.4</v>
      </c>
      <c r="H180" t="n">
        <v>0</v>
      </c>
      <c r="I180" t="n">
        <v>0</v>
      </c>
      <c r="J180" t="n">
        <v>0</v>
      </c>
      <c r="K180" t="n">
        <v>0</v>
      </c>
      <c r="L180" t="n">
        <v>0</v>
      </c>
      <c r="M180" t="n">
        <v>0</v>
      </c>
      <c r="N180" t="n">
        <v>0</v>
      </c>
      <c r="O180" t="n">
        <v>0</v>
      </c>
      <c r="P180" t="n">
        <v>0</v>
      </c>
      <c r="Q180" t="n">
        <v>0</v>
      </c>
      <c r="R180" s="2" t="inlineStr"/>
    </row>
    <row r="181" ht="15" customHeight="1">
      <c r="A181" t="inlineStr">
        <is>
          <t>A 58815-2021</t>
        </is>
      </c>
      <c r="B181" s="1" t="n">
        <v>44489</v>
      </c>
      <c r="C181" s="1" t="n">
        <v>46182</v>
      </c>
      <c r="D181" t="inlineStr">
        <is>
          <t>GOTLANDS LÄN</t>
        </is>
      </c>
      <c r="E181" t="inlineStr">
        <is>
          <t>GOTLAND</t>
        </is>
      </c>
      <c r="G181" t="n">
        <v>4.1</v>
      </c>
      <c r="H181" t="n">
        <v>0</v>
      </c>
      <c r="I181" t="n">
        <v>0</v>
      </c>
      <c r="J181" t="n">
        <v>0</v>
      </c>
      <c r="K181" t="n">
        <v>0</v>
      </c>
      <c r="L181" t="n">
        <v>0</v>
      </c>
      <c r="M181" t="n">
        <v>0</v>
      </c>
      <c r="N181" t="n">
        <v>0</v>
      </c>
      <c r="O181" t="n">
        <v>0</v>
      </c>
      <c r="P181" t="n">
        <v>0</v>
      </c>
      <c r="Q181" t="n">
        <v>0</v>
      </c>
      <c r="R181" s="2" t="inlineStr"/>
    </row>
    <row r="182" ht="15" customHeight="1">
      <c r="A182" t="inlineStr">
        <is>
          <t>A 71010-2021</t>
        </is>
      </c>
      <c r="B182" s="1" t="n">
        <v>44538.63775462963</v>
      </c>
      <c r="C182" s="1" t="n">
        <v>46182</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22495-2022</t>
        </is>
      </c>
      <c r="B183" s="1" t="n">
        <v>44713.6452199074</v>
      </c>
      <c r="C183" s="1" t="n">
        <v>46182</v>
      </c>
      <c r="D183" t="inlineStr">
        <is>
          <t>GOTLANDS LÄN</t>
        </is>
      </c>
      <c r="E183" t="inlineStr">
        <is>
          <t>GOTLAND</t>
        </is>
      </c>
      <c r="G183" t="n">
        <v>0.5</v>
      </c>
      <c r="H183" t="n">
        <v>0</v>
      </c>
      <c r="I183" t="n">
        <v>0</v>
      </c>
      <c r="J183" t="n">
        <v>0</v>
      </c>
      <c r="K183" t="n">
        <v>0</v>
      </c>
      <c r="L183" t="n">
        <v>0</v>
      </c>
      <c r="M183" t="n">
        <v>0</v>
      </c>
      <c r="N183" t="n">
        <v>0</v>
      </c>
      <c r="O183" t="n">
        <v>0</v>
      </c>
      <c r="P183" t="n">
        <v>0</v>
      </c>
      <c r="Q183" t="n">
        <v>0</v>
      </c>
      <c r="R183" s="2" t="inlineStr"/>
    </row>
    <row r="184" ht="15" customHeight="1">
      <c r="A184" t="inlineStr">
        <is>
          <t>A 44942-2022</t>
        </is>
      </c>
      <c r="B184" s="1" t="n">
        <v>44841</v>
      </c>
      <c r="C184" s="1" t="n">
        <v>46182</v>
      </c>
      <c r="D184" t="inlineStr">
        <is>
          <t>GOTLANDS LÄN</t>
        </is>
      </c>
      <c r="E184" t="inlineStr">
        <is>
          <t>GOTLAND</t>
        </is>
      </c>
      <c r="G184" t="n">
        <v>2</v>
      </c>
      <c r="H184" t="n">
        <v>0</v>
      </c>
      <c r="I184" t="n">
        <v>0</v>
      </c>
      <c r="J184" t="n">
        <v>0</v>
      </c>
      <c r="K184" t="n">
        <v>0</v>
      </c>
      <c r="L184" t="n">
        <v>0</v>
      </c>
      <c r="M184" t="n">
        <v>0</v>
      </c>
      <c r="N184" t="n">
        <v>0</v>
      </c>
      <c r="O184" t="n">
        <v>0</v>
      </c>
      <c r="P184" t="n">
        <v>0</v>
      </c>
      <c r="Q184" t="n">
        <v>0</v>
      </c>
      <c r="R184" s="2" t="inlineStr"/>
    </row>
    <row r="185" ht="15" customHeight="1">
      <c r="A185" t="inlineStr">
        <is>
          <t>A 53225-2022</t>
        </is>
      </c>
      <c r="B185" s="1" t="n">
        <v>44876</v>
      </c>
      <c r="C185" s="1" t="n">
        <v>46182</v>
      </c>
      <c r="D185" t="inlineStr">
        <is>
          <t>GOTLANDS LÄN</t>
        </is>
      </c>
      <c r="E185" t="inlineStr">
        <is>
          <t>GOTLAND</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30055-2021</t>
        </is>
      </c>
      <c r="B186" s="1" t="n">
        <v>44363</v>
      </c>
      <c r="C186" s="1" t="n">
        <v>46182</v>
      </c>
      <c r="D186" t="inlineStr">
        <is>
          <t>GOTLANDS LÄN</t>
        </is>
      </c>
      <c r="E186" t="inlineStr">
        <is>
          <t>GOTLAND</t>
        </is>
      </c>
      <c r="G186" t="n">
        <v>1.8</v>
      </c>
      <c r="H186" t="n">
        <v>0</v>
      </c>
      <c r="I186" t="n">
        <v>0</v>
      </c>
      <c r="J186" t="n">
        <v>0</v>
      </c>
      <c r="K186" t="n">
        <v>0</v>
      </c>
      <c r="L186" t="n">
        <v>0</v>
      </c>
      <c r="M186" t="n">
        <v>0</v>
      </c>
      <c r="N186" t="n">
        <v>0</v>
      </c>
      <c r="O186" t="n">
        <v>0</v>
      </c>
      <c r="P186" t="n">
        <v>0</v>
      </c>
      <c r="Q186" t="n">
        <v>0</v>
      </c>
      <c r="R186" s="2" t="inlineStr"/>
    </row>
    <row r="187" ht="15" customHeight="1">
      <c r="A187" t="inlineStr">
        <is>
          <t>A 57219-2021</t>
        </is>
      </c>
      <c r="B187" s="1" t="n">
        <v>44483</v>
      </c>
      <c r="C187" s="1" t="n">
        <v>46182</v>
      </c>
      <c r="D187" t="inlineStr">
        <is>
          <t>GOTLANDS LÄN</t>
        </is>
      </c>
      <c r="E187" t="inlineStr">
        <is>
          <t>GOTLAND</t>
        </is>
      </c>
      <c r="F187" t="inlineStr">
        <is>
          <t>Kyrkan</t>
        </is>
      </c>
      <c r="G187" t="n">
        <v>4</v>
      </c>
      <c r="H187" t="n">
        <v>0</v>
      </c>
      <c r="I187" t="n">
        <v>0</v>
      </c>
      <c r="J187" t="n">
        <v>0</v>
      </c>
      <c r="K187" t="n">
        <v>0</v>
      </c>
      <c r="L187" t="n">
        <v>0</v>
      </c>
      <c r="M187" t="n">
        <v>0</v>
      </c>
      <c r="N187" t="n">
        <v>0</v>
      </c>
      <c r="O187" t="n">
        <v>0</v>
      </c>
      <c r="P187" t="n">
        <v>0</v>
      </c>
      <c r="Q187" t="n">
        <v>0</v>
      </c>
      <c r="R187" s="2" t="inlineStr"/>
    </row>
    <row r="188" ht="15" customHeight="1">
      <c r="A188" t="inlineStr">
        <is>
          <t>A 65393-2021</t>
        </is>
      </c>
      <c r="B188" s="1" t="n">
        <v>44515</v>
      </c>
      <c r="C188" s="1" t="n">
        <v>46182</v>
      </c>
      <c r="D188" t="inlineStr">
        <is>
          <t>GOTLANDS LÄN</t>
        </is>
      </c>
      <c r="E188" t="inlineStr">
        <is>
          <t>GOTLAND</t>
        </is>
      </c>
      <c r="G188" t="n">
        <v>1.1</v>
      </c>
      <c r="H188" t="n">
        <v>0</v>
      </c>
      <c r="I188" t="n">
        <v>0</v>
      </c>
      <c r="J188" t="n">
        <v>0</v>
      </c>
      <c r="K188" t="n">
        <v>0</v>
      </c>
      <c r="L188" t="n">
        <v>0</v>
      </c>
      <c r="M188" t="n">
        <v>0</v>
      </c>
      <c r="N188" t="n">
        <v>0</v>
      </c>
      <c r="O188" t="n">
        <v>0</v>
      </c>
      <c r="P188" t="n">
        <v>0</v>
      </c>
      <c r="Q188" t="n">
        <v>0</v>
      </c>
      <c r="R188" s="2" t="inlineStr"/>
    </row>
    <row r="189" ht="15" customHeight="1">
      <c r="A189" t="inlineStr">
        <is>
          <t>A 56951-2021</t>
        </is>
      </c>
      <c r="B189" s="1" t="n">
        <v>44482.37388888889</v>
      </c>
      <c r="C189" s="1" t="n">
        <v>46182</v>
      </c>
      <c r="D189" t="inlineStr">
        <is>
          <t>GOTLANDS LÄN</t>
        </is>
      </c>
      <c r="E189" t="inlineStr">
        <is>
          <t>GOTLAND</t>
        </is>
      </c>
      <c r="G189" t="n">
        <v>2.1</v>
      </c>
      <c r="H189" t="n">
        <v>0</v>
      </c>
      <c r="I189" t="n">
        <v>0</v>
      </c>
      <c r="J189" t="n">
        <v>0</v>
      </c>
      <c r="K189" t="n">
        <v>0</v>
      </c>
      <c r="L189" t="n">
        <v>0</v>
      </c>
      <c r="M189" t="n">
        <v>0</v>
      </c>
      <c r="N189" t="n">
        <v>0</v>
      </c>
      <c r="O189" t="n">
        <v>0</v>
      </c>
      <c r="P189" t="n">
        <v>0</v>
      </c>
      <c r="Q189" t="n">
        <v>0</v>
      </c>
      <c r="R189" s="2" t="inlineStr"/>
    </row>
    <row r="190" ht="15" customHeight="1">
      <c r="A190" t="inlineStr">
        <is>
          <t>A 17901-2023</t>
        </is>
      </c>
      <c r="B190" s="1" t="n">
        <v>45039</v>
      </c>
      <c r="C190" s="1" t="n">
        <v>46182</v>
      </c>
      <c r="D190" t="inlineStr">
        <is>
          <t>GOTLANDS LÄN</t>
        </is>
      </c>
      <c r="E190" t="inlineStr">
        <is>
          <t>GOTLAND</t>
        </is>
      </c>
      <c r="F190" t="inlineStr">
        <is>
          <t>Kyrkan</t>
        </is>
      </c>
      <c r="G190" t="n">
        <v>0.6</v>
      </c>
      <c r="H190" t="n">
        <v>0</v>
      </c>
      <c r="I190" t="n">
        <v>0</v>
      </c>
      <c r="J190" t="n">
        <v>0</v>
      </c>
      <c r="K190" t="n">
        <v>0</v>
      </c>
      <c r="L190" t="n">
        <v>0</v>
      </c>
      <c r="M190" t="n">
        <v>0</v>
      </c>
      <c r="N190" t="n">
        <v>0</v>
      </c>
      <c r="O190" t="n">
        <v>0</v>
      </c>
      <c r="P190" t="n">
        <v>0</v>
      </c>
      <c r="Q190" t="n">
        <v>0</v>
      </c>
      <c r="R190" s="2" t="inlineStr"/>
    </row>
    <row r="191" ht="15" customHeight="1">
      <c r="A191" t="inlineStr">
        <is>
          <t>A 456-2023</t>
        </is>
      </c>
      <c r="B191" s="1" t="n">
        <v>44929.87122685185</v>
      </c>
      <c r="C191" s="1" t="n">
        <v>46182</v>
      </c>
      <c r="D191" t="inlineStr">
        <is>
          <t>GOTLANDS LÄN</t>
        </is>
      </c>
      <c r="E191" t="inlineStr">
        <is>
          <t>GOTLAND</t>
        </is>
      </c>
      <c r="G191" t="n">
        <v>3.2</v>
      </c>
      <c r="H191" t="n">
        <v>0</v>
      </c>
      <c r="I191" t="n">
        <v>0</v>
      </c>
      <c r="J191" t="n">
        <v>0</v>
      </c>
      <c r="K191" t="n">
        <v>0</v>
      </c>
      <c r="L191" t="n">
        <v>0</v>
      </c>
      <c r="M191" t="n">
        <v>0</v>
      </c>
      <c r="N191" t="n">
        <v>0</v>
      </c>
      <c r="O191" t="n">
        <v>0</v>
      </c>
      <c r="P191" t="n">
        <v>0</v>
      </c>
      <c r="Q191" t="n">
        <v>0</v>
      </c>
      <c r="R191" s="2" t="inlineStr"/>
    </row>
    <row r="192" ht="15" customHeight="1">
      <c r="A192" t="inlineStr">
        <is>
          <t>A 17354-2022</t>
        </is>
      </c>
      <c r="B192" s="1" t="n">
        <v>44678</v>
      </c>
      <c r="C192" s="1" t="n">
        <v>46182</v>
      </c>
      <c r="D192" t="inlineStr">
        <is>
          <t>GOTLANDS LÄN</t>
        </is>
      </c>
      <c r="E192" t="inlineStr">
        <is>
          <t>GOTLAND</t>
        </is>
      </c>
      <c r="G192" t="n">
        <v>7.1</v>
      </c>
      <c r="H192" t="n">
        <v>0</v>
      </c>
      <c r="I192" t="n">
        <v>0</v>
      </c>
      <c r="J192" t="n">
        <v>0</v>
      </c>
      <c r="K192" t="n">
        <v>0</v>
      </c>
      <c r="L192" t="n">
        <v>0</v>
      </c>
      <c r="M192" t="n">
        <v>0</v>
      </c>
      <c r="N192" t="n">
        <v>0</v>
      </c>
      <c r="O192" t="n">
        <v>0</v>
      </c>
      <c r="P192" t="n">
        <v>0</v>
      </c>
      <c r="Q192" t="n">
        <v>0</v>
      </c>
      <c r="R192" s="2" t="inlineStr"/>
    </row>
    <row r="193" ht="15" customHeight="1">
      <c r="A193" t="inlineStr">
        <is>
          <t>A 3150-2025</t>
        </is>
      </c>
      <c r="B193" s="1" t="n">
        <v>45679.28974537037</v>
      </c>
      <c r="C193" s="1" t="n">
        <v>46182</v>
      </c>
      <c r="D193" t="inlineStr">
        <is>
          <t>GOTLANDS LÄN</t>
        </is>
      </c>
      <c r="E193" t="inlineStr">
        <is>
          <t>GOTLAND</t>
        </is>
      </c>
      <c r="G193" t="n">
        <v>2.5</v>
      </c>
      <c r="H193" t="n">
        <v>0</v>
      </c>
      <c r="I193" t="n">
        <v>0</v>
      </c>
      <c r="J193" t="n">
        <v>0</v>
      </c>
      <c r="K193" t="n">
        <v>0</v>
      </c>
      <c r="L193" t="n">
        <v>0</v>
      </c>
      <c r="M193" t="n">
        <v>0</v>
      </c>
      <c r="N193" t="n">
        <v>0</v>
      </c>
      <c r="O193" t="n">
        <v>0</v>
      </c>
      <c r="P193" t="n">
        <v>0</v>
      </c>
      <c r="Q193" t="n">
        <v>0</v>
      </c>
      <c r="R193" s="2" t="inlineStr"/>
    </row>
    <row r="194" ht="15" customHeight="1">
      <c r="A194" t="inlineStr">
        <is>
          <t>A 42041-2024</t>
        </is>
      </c>
      <c r="B194" s="1" t="n">
        <v>45561</v>
      </c>
      <c r="C194" s="1" t="n">
        <v>46182</v>
      </c>
      <c r="D194" t="inlineStr">
        <is>
          <t>GOTLANDS LÄN</t>
        </is>
      </c>
      <c r="E194" t="inlineStr">
        <is>
          <t>GOTLAND</t>
        </is>
      </c>
      <c r="G194" t="n">
        <v>3.2</v>
      </c>
      <c r="H194" t="n">
        <v>0</v>
      </c>
      <c r="I194" t="n">
        <v>0</v>
      </c>
      <c r="J194" t="n">
        <v>0</v>
      </c>
      <c r="K194" t="n">
        <v>0</v>
      </c>
      <c r="L194" t="n">
        <v>0</v>
      </c>
      <c r="M194" t="n">
        <v>0</v>
      </c>
      <c r="N194" t="n">
        <v>0</v>
      </c>
      <c r="O194" t="n">
        <v>0</v>
      </c>
      <c r="P194" t="n">
        <v>0</v>
      </c>
      <c r="Q194" t="n">
        <v>0</v>
      </c>
      <c r="R194" s="2" t="inlineStr"/>
    </row>
    <row r="195" ht="15" customHeight="1">
      <c r="A195" t="inlineStr">
        <is>
          <t>A 14413-2022</t>
        </is>
      </c>
      <c r="B195" s="1" t="n">
        <v>44652</v>
      </c>
      <c r="C195" s="1" t="n">
        <v>46182</v>
      </c>
      <c r="D195" t="inlineStr">
        <is>
          <t>GOTLANDS LÄN</t>
        </is>
      </c>
      <c r="E195" t="inlineStr">
        <is>
          <t>GOTLAND</t>
        </is>
      </c>
      <c r="G195" t="n">
        <v>3.1</v>
      </c>
      <c r="H195" t="n">
        <v>0</v>
      </c>
      <c r="I195" t="n">
        <v>0</v>
      </c>
      <c r="J195" t="n">
        <v>0</v>
      </c>
      <c r="K195" t="n">
        <v>0</v>
      </c>
      <c r="L195" t="n">
        <v>0</v>
      </c>
      <c r="M195" t="n">
        <v>0</v>
      </c>
      <c r="N195" t="n">
        <v>0</v>
      </c>
      <c r="O195" t="n">
        <v>0</v>
      </c>
      <c r="P195" t="n">
        <v>0</v>
      </c>
      <c r="Q195" t="n">
        <v>0</v>
      </c>
      <c r="R195" s="2" t="inlineStr"/>
    </row>
    <row r="196" ht="15" customHeight="1">
      <c r="A196" t="inlineStr">
        <is>
          <t>A 58476-2022</t>
        </is>
      </c>
      <c r="B196" s="1" t="n">
        <v>44902</v>
      </c>
      <c r="C196" s="1" t="n">
        <v>46182</v>
      </c>
      <c r="D196" t="inlineStr">
        <is>
          <t>GOTLANDS LÄN</t>
        </is>
      </c>
      <c r="E196" t="inlineStr">
        <is>
          <t>GOTLAND</t>
        </is>
      </c>
      <c r="G196" t="n">
        <v>0.9</v>
      </c>
      <c r="H196" t="n">
        <v>0</v>
      </c>
      <c r="I196" t="n">
        <v>0</v>
      </c>
      <c r="J196" t="n">
        <v>0</v>
      </c>
      <c r="K196" t="n">
        <v>0</v>
      </c>
      <c r="L196" t="n">
        <v>0</v>
      </c>
      <c r="M196" t="n">
        <v>0</v>
      </c>
      <c r="N196" t="n">
        <v>0</v>
      </c>
      <c r="O196" t="n">
        <v>0</v>
      </c>
      <c r="P196" t="n">
        <v>0</v>
      </c>
      <c r="Q196" t="n">
        <v>0</v>
      </c>
      <c r="R196" s="2" t="inlineStr"/>
    </row>
    <row r="197" ht="15" customHeight="1">
      <c r="A197" t="inlineStr">
        <is>
          <t>A 63229-2021</t>
        </is>
      </c>
      <c r="B197" s="1" t="n">
        <v>44508.34518518519</v>
      </c>
      <c r="C197" s="1" t="n">
        <v>46182</v>
      </c>
      <c r="D197" t="inlineStr">
        <is>
          <t>GOTLANDS LÄN</t>
        </is>
      </c>
      <c r="E197" t="inlineStr">
        <is>
          <t>GOTLAND</t>
        </is>
      </c>
      <c r="F197" t="inlineStr">
        <is>
          <t>Kyrkan</t>
        </is>
      </c>
      <c r="G197" t="n">
        <v>3.8</v>
      </c>
      <c r="H197" t="n">
        <v>0</v>
      </c>
      <c r="I197" t="n">
        <v>0</v>
      </c>
      <c r="J197" t="n">
        <v>0</v>
      </c>
      <c r="K197" t="n">
        <v>0</v>
      </c>
      <c r="L197" t="n">
        <v>0</v>
      </c>
      <c r="M197" t="n">
        <v>0</v>
      </c>
      <c r="N197" t="n">
        <v>0</v>
      </c>
      <c r="O197" t="n">
        <v>0</v>
      </c>
      <c r="P197" t="n">
        <v>0</v>
      </c>
      <c r="Q197" t="n">
        <v>0</v>
      </c>
      <c r="R197" s="2" t="inlineStr"/>
    </row>
    <row r="198" ht="15" customHeight="1">
      <c r="A198" t="inlineStr">
        <is>
          <t>A 13498-2022</t>
        </is>
      </c>
      <c r="B198" s="1" t="n">
        <v>44647.78866898148</v>
      </c>
      <c r="C198" s="1" t="n">
        <v>46182</v>
      </c>
      <c r="D198" t="inlineStr">
        <is>
          <t>GOTLANDS LÄN</t>
        </is>
      </c>
      <c r="E198" t="inlineStr">
        <is>
          <t>GOTLAND</t>
        </is>
      </c>
      <c r="G198" t="n">
        <v>1.2</v>
      </c>
      <c r="H198" t="n">
        <v>0</v>
      </c>
      <c r="I198" t="n">
        <v>0</v>
      </c>
      <c r="J198" t="n">
        <v>0</v>
      </c>
      <c r="K198" t="n">
        <v>0</v>
      </c>
      <c r="L198" t="n">
        <v>0</v>
      </c>
      <c r="M198" t="n">
        <v>0</v>
      </c>
      <c r="N198" t="n">
        <v>0</v>
      </c>
      <c r="O198" t="n">
        <v>0</v>
      </c>
      <c r="P198" t="n">
        <v>0</v>
      </c>
      <c r="Q198" t="n">
        <v>0</v>
      </c>
      <c r="R198" s="2" t="inlineStr"/>
    </row>
    <row r="199" ht="15" customHeight="1">
      <c r="A199" t="inlineStr">
        <is>
          <t>A 13500-2022</t>
        </is>
      </c>
      <c r="B199" s="1" t="n">
        <v>44647.79513888889</v>
      </c>
      <c r="C199" s="1" t="n">
        <v>46182</v>
      </c>
      <c r="D199" t="inlineStr">
        <is>
          <t>GOTLANDS LÄN</t>
        </is>
      </c>
      <c r="E199" t="inlineStr">
        <is>
          <t>GOTLAND</t>
        </is>
      </c>
      <c r="G199" t="n">
        <v>1.2</v>
      </c>
      <c r="H199" t="n">
        <v>0</v>
      </c>
      <c r="I199" t="n">
        <v>0</v>
      </c>
      <c r="J199" t="n">
        <v>0</v>
      </c>
      <c r="K199" t="n">
        <v>0</v>
      </c>
      <c r="L199" t="n">
        <v>0</v>
      </c>
      <c r="M199" t="n">
        <v>0</v>
      </c>
      <c r="N199" t="n">
        <v>0</v>
      </c>
      <c r="O199" t="n">
        <v>0</v>
      </c>
      <c r="P199" t="n">
        <v>0</v>
      </c>
      <c r="Q199" t="n">
        <v>0</v>
      </c>
      <c r="R199" s="2" t="inlineStr"/>
    </row>
    <row r="200" ht="15" customHeight="1">
      <c r="A200" t="inlineStr">
        <is>
          <t>A 61596-2023</t>
        </is>
      </c>
      <c r="B200" s="1" t="n">
        <v>45265</v>
      </c>
      <c r="C200" s="1" t="n">
        <v>46182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21247-2022</t>
        </is>
      </c>
      <c r="B201" s="1" t="n">
        <v>44705.38832175926</v>
      </c>
      <c r="C201" s="1" t="n">
        <v>46182</v>
      </c>
      <c r="D201" t="inlineStr">
        <is>
          <t>GOTLANDS LÄN</t>
        </is>
      </c>
      <c r="E201" t="inlineStr">
        <is>
          <t>GOTLAND</t>
        </is>
      </c>
      <c r="G201" t="n">
        <v>16.2</v>
      </c>
      <c r="H201" t="n">
        <v>0</v>
      </c>
      <c r="I201" t="n">
        <v>0</v>
      </c>
      <c r="J201" t="n">
        <v>0</v>
      </c>
      <c r="K201" t="n">
        <v>0</v>
      </c>
      <c r="L201" t="n">
        <v>0</v>
      </c>
      <c r="M201" t="n">
        <v>0</v>
      </c>
      <c r="N201" t="n">
        <v>0</v>
      </c>
      <c r="O201" t="n">
        <v>0</v>
      </c>
      <c r="P201" t="n">
        <v>0</v>
      </c>
      <c r="Q201" t="n">
        <v>0</v>
      </c>
      <c r="R201" s="2" t="inlineStr"/>
    </row>
    <row r="202" ht="15" customHeight="1">
      <c r="A202" t="inlineStr">
        <is>
          <t>A 873-2024</t>
        </is>
      </c>
      <c r="B202" s="1" t="n">
        <v>45301</v>
      </c>
      <c r="C202" s="1" t="n">
        <v>46182</v>
      </c>
      <c r="D202" t="inlineStr">
        <is>
          <t>GOTLANDS LÄN</t>
        </is>
      </c>
      <c r="E202" t="inlineStr">
        <is>
          <t>GOTLAND</t>
        </is>
      </c>
      <c r="G202" t="n">
        <v>2.7</v>
      </c>
      <c r="H202" t="n">
        <v>0</v>
      </c>
      <c r="I202" t="n">
        <v>0</v>
      </c>
      <c r="J202" t="n">
        <v>0</v>
      </c>
      <c r="K202" t="n">
        <v>0</v>
      </c>
      <c r="L202" t="n">
        <v>0</v>
      </c>
      <c r="M202" t="n">
        <v>0</v>
      </c>
      <c r="N202" t="n">
        <v>0</v>
      </c>
      <c r="O202" t="n">
        <v>0</v>
      </c>
      <c r="P202" t="n">
        <v>0</v>
      </c>
      <c r="Q202" t="n">
        <v>0</v>
      </c>
      <c r="R202" s="2" t="inlineStr"/>
    </row>
    <row r="203" ht="15" customHeight="1">
      <c r="A203" t="inlineStr">
        <is>
          <t>A 44228-2022</t>
        </is>
      </c>
      <c r="B203" s="1" t="n">
        <v>44839.51599537037</v>
      </c>
      <c r="C203" s="1" t="n">
        <v>46182</v>
      </c>
      <c r="D203" t="inlineStr">
        <is>
          <t>GOTLANDS LÄN</t>
        </is>
      </c>
      <c r="E203" t="inlineStr">
        <is>
          <t>GOTLAND</t>
        </is>
      </c>
      <c r="G203" t="n">
        <v>2.1</v>
      </c>
      <c r="H203" t="n">
        <v>0</v>
      </c>
      <c r="I203" t="n">
        <v>0</v>
      </c>
      <c r="J203" t="n">
        <v>0</v>
      </c>
      <c r="K203" t="n">
        <v>0</v>
      </c>
      <c r="L203" t="n">
        <v>0</v>
      </c>
      <c r="M203" t="n">
        <v>0</v>
      </c>
      <c r="N203" t="n">
        <v>0</v>
      </c>
      <c r="O203" t="n">
        <v>0</v>
      </c>
      <c r="P203" t="n">
        <v>0</v>
      </c>
      <c r="Q203" t="n">
        <v>0</v>
      </c>
      <c r="R203" s="2" t="inlineStr"/>
    </row>
    <row r="204" ht="15" customHeight="1">
      <c r="A204" t="inlineStr">
        <is>
          <t>A 61386-2023</t>
        </is>
      </c>
      <c r="B204" s="1" t="n">
        <v>45264</v>
      </c>
      <c r="C204" s="1" t="n">
        <v>46182</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17780-2022</t>
        </is>
      </c>
      <c r="B205" s="1" t="n">
        <v>44682.82622685185</v>
      </c>
      <c r="C205" s="1" t="n">
        <v>46182</v>
      </c>
      <c r="D205" t="inlineStr">
        <is>
          <t>GOTLANDS LÄN</t>
        </is>
      </c>
      <c r="E205" t="inlineStr">
        <is>
          <t>GOTLAND</t>
        </is>
      </c>
      <c r="G205" t="n">
        <v>2.2</v>
      </c>
      <c r="H205" t="n">
        <v>0</v>
      </c>
      <c r="I205" t="n">
        <v>0</v>
      </c>
      <c r="J205" t="n">
        <v>0</v>
      </c>
      <c r="K205" t="n">
        <v>0</v>
      </c>
      <c r="L205" t="n">
        <v>0</v>
      </c>
      <c r="M205" t="n">
        <v>0</v>
      </c>
      <c r="N205" t="n">
        <v>0</v>
      </c>
      <c r="O205" t="n">
        <v>0</v>
      </c>
      <c r="P205" t="n">
        <v>0</v>
      </c>
      <c r="Q205" t="n">
        <v>0</v>
      </c>
      <c r="R205" s="2" t="inlineStr"/>
    </row>
    <row r="206" ht="15" customHeight="1">
      <c r="A206" t="inlineStr">
        <is>
          <t>A 63516-2023</t>
        </is>
      </c>
      <c r="B206" s="1" t="n">
        <v>45274</v>
      </c>
      <c r="C206" s="1" t="n">
        <v>46182</v>
      </c>
      <c r="D206" t="inlineStr">
        <is>
          <t>GOTLANDS LÄN</t>
        </is>
      </c>
      <c r="E206" t="inlineStr">
        <is>
          <t>GOTLAND</t>
        </is>
      </c>
      <c r="G206" t="n">
        <v>1.2</v>
      </c>
      <c r="H206" t="n">
        <v>0</v>
      </c>
      <c r="I206" t="n">
        <v>0</v>
      </c>
      <c r="J206" t="n">
        <v>0</v>
      </c>
      <c r="K206" t="n">
        <v>0</v>
      </c>
      <c r="L206" t="n">
        <v>0</v>
      </c>
      <c r="M206" t="n">
        <v>0</v>
      </c>
      <c r="N206" t="n">
        <v>0</v>
      </c>
      <c r="O206" t="n">
        <v>0</v>
      </c>
      <c r="P206" t="n">
        <v>0</v>
      </c>
      <c r="Q206" t="n">
        <v>0</v>
      </c>
      <c r="R206" s="2" t="inlineStr"/>
    </row>
    <row r="207" ht="15" customHeight="1">
      <c r="A207" t="inlineStr">
        <is>
          <t>A 27593-2023</t>
        </is>
      </c>
      <c r="B207" s="1" t="n">
        <v>45097</v>
      </c>
      <c r="C207" s="1" t="n">
        <v>46182</v>
      </c>
      <c r="D207" t="inlineStr">
        <is>
          <t>GOTLANDS LÄN</t>
        </is>
      </c>
      <c r="E207" t="inlineStr">
        <is>
          <t>GOTLAND</t>
        </is>
      </c>
      <c r="G207" t="n">
        <v>3.1</v>
      </c>
      <c r="H207" t="n">
        <v>0</v>
      </c>
      <c r="I207" t="n">
        <v>0</v>
      </c>
      <c r="J207" t="n">
        <v>0</v>
      </c>
      <c r="K207" t="n">
        <v>0</v>
      </c>
      <c r="L207" t="n">
        <v>0</v>
      </c>
      <c r="M207" t="n">
        <v>0</v>
      </c>
      <c r="N207" t="n">
        <v>0</v>
      </c>
      <c r="O207" t="n">
        <v>0</v>
      </c>
      <c r="P207" t="n">
        <v>0</v>
      </c>
      <c r="Q207" t="n">
        <v>0</v>
      </c>
      <c r="R207" s="2" t="inlineStr"/>
    </row>
    <row r="208" ht="15" customHeight="1">
      <c r="A208" t="inlineStr">
        <is>
          <t>A 25129-2023</t>
        </is>
      </c>
      <c r="B208" s="1" t="n">
        <v>45086.44261574074</v>
      </c>
      <c r="C208" s="1" t="n">
        <v>46182</v>
      </c>
      <c r="D208" t="inlineStr">
        <is>
          <t>GOTLANDS LÄN</t>
        </is>
      </c>
      <c r="E208" t="inlineStr">
        <is>
          <t>GOTLAND</t>
        </is>
      </c>
      <c r="G208" t="n">
        <v>1.5</v>
      </c>
      <c r="H208" t="n">
        <v>0</v>
      </c>
      <c r="I208" t="n">
        <v>0</v>
      </c>
      <c r="J208" t="n">
        <v>0</v>
      </c>
      <c r="K208" t="n">
        <v>0</v>
      </c>
      <c r="L208" t="n">
        <v>0</v>
      </c>
      <c r="M208" t="n">
        <v>0</v>
      </c>
      <c r="N208" t="n">
        <v>0</v>
      </c>
      <c r="O208" t="n">
        <v>0</v>
      </c>
      <c r="P208" t="n">
        <v>0</v>
      </c>
      <c r="Q208" t="n">
        <v>0</v>
      </c>
      <c r="R208" s="2" t="inlineStr"/>
    </row>
    <row r="209" ht="15" customHeight="1">
      <c r="A209" t="inlineStr">
        <is>
          <t>A 12599-2025</t>
        </is>
      </c>
      <c r="B209" s="1" t="n">
        <v>45733.29546296296</v>
      </c>
      <c r="C209" s="1" t="n">
        <v>46182</v>
      </c>
      <c r="D209" t="inlineStr">
        <is>
          <t>GOTLANDS LÄN</t>
        </is>
      </c>
      <c r="E209" t="inlineStr">
        <is>
          <t>GOTLAND</t>
        </is>
      </c>
      <c r="G209" t="n">
        <v>4.7</v>
      </c>
      <c r="H209" t="n">
        <v>0</v>
      </c>
      <c r="I209" t="n">
        <v>0</v>
      </c>
      <c r="J209" t="n">
        <v>0</v>
      </c>
      <c r="K209" t="n">
        <v>0</v>
      </c>
      <c r="L209" t="n">
        <v>0</v>
      </c>
      <c r="M209" t="n">
        <v>0</v>
      </c>
      <c r="N209" t="n">
        <v>0</v>
      </c>
      <c r="O209" t="n">
        <v>0</v>
      </c>
      <c r="P209" t="n">
        <v>0</v>
      </c>
      <c r="Q209" t="n">
        <v>0</v>
      </c>
      <c r="R209" s="2" t="inlineStr"/>
    </row>
    <row r="210" ht="15" customHeight="1">
      <c r="A210" t="inlineStr">
        <is>
          <t>A 27355-2025</t>
        </is>
      </c>
      <c r="B210" s="1" t="n">
        <v>45812</v>
      </c>
      <c r="C210" s="1" t="n">
        <v>46182</v>
      </c>
      <c r="D210" t="inlineStr">
        <is>
          <t>GOTLANDS LÄN</t>
        </is>
      </c>
      <c r="E210" t="inlineStr">
        <is>
          <t>GOTLAND</t>
        </is>
      </c>
      <c r="G210" t="n">
        <v>1.1</v>
      </c>
      <c r="H210" t="n">
        <v>0</v>
      </c>
      <c r="I210" t="n">
        <v>0</v>
      </c>
      <c r="J210" t="n">
        <v>0</v>
      </c>
      <c r="K210" t="n">
        <v>0</v>
      </c>
      <c r="L210" t="n">
        <v>0</v>
      </c>
      <c r="M210" t="n">
        <v>0</v>
      </c>
      <c r="N210" t="n">
        <v>0</v>
      </c>
      <c r="O210" t="n">
        <v>0</v>
      </c>
      <c r="P210" t="n">
        <v>0</v>
      </c>
      <c r="Q210" t="n">
        <v>0</v>
      </c>
      <c r="R210" s="2" t="inlineStr"/>
    </row>
    <row r="211" ht="15" customHeight="1">
      <c r="A211" t="inlineStr">
        <is>
          <t>A 53935-2024</t>
        </is>
      </c>
      <c r="B211" s="1" t="n">
        <v>45615</v>
      </c>
      <c r="C211" s="1" t="n">
        <v>46182</v>
      </c>
      <c r="D211" t="inlineStr">
        <is>
          <t>GOTLANDS LÄN</t>
        </is>
      </c>
      <c r="E211" t="inlineStr">
        <is>
          <t>GOTLAND</t>
        </is>
      </c>
      <c r="G211" t="n">
        <v>1.2</v>
      </c>
      <c r="H211" t="n">
        <v>0</v>
      </c>
      <c r="I211" t="n">
        <v>0</v>
      </c>
      <c r="J211" t="n">
        <v>0</v>
      </c>
      <c r="K211" t="n">
        <v>0</v>
      </c>
      <c r="L211" t="n">
        <v>0</v>
      </c>
      <c r="M211" t="n">
        <v>0</v>
      </c>
      <c r="N211" t="n">
        <v>0</v>
      </c>
      <c r="O211" t="n">
        <v>0</v>
      </c>
      <c r="P211" t="n">
        <v>0</v>
      </c>
      <c r="Q211" t="n">
        <v>0</v>
      </c>
      <c r="R211" s="2" t="inlineStr"/>
    </row>
    <row r="212" ht="15" customHeight="1">
      <c r="A212" t="inlineStr">
        <is>
          <t>A 20356-2022</t>
        </is>
      </c>
      <c r="B212" s="1" t="n">
        <v>44699</v>
      </c>
      <c r="C212" s="1" t="n">
        <v>46182</v>
      </c>
      <c r="D212" t="inlineStr">
        <is>
          <t>GOTLANDS LÄN</t>
        </is>
      </c>
      <c r="E212" t="inlineStr">
        <is>
          <t>GOTLAND</t>
        </is>
      </c>
      <c r="F212" t="inlineStr">
        <is>
          <t>Övriga Aktiebolag</t>
        </is>
      </c>
      <c r="G212" t="n">
        <v>4.4</v>
      </c>
      <c r="H212" t="n">
        <v>0</v>
      </c>
      <c r="I212" t="n">
        <v>0</v>
      </c>
      <c r="J212" t="n">
        <v>0</v>
      </c>
      <c r="K212" t="n">
        <v>0</v>
      </c>
      <c r="L212" t="n">
        <v>0</v>
      </c>
      <c r="M212" t="n">
        <v>0</v>
      </c>
      <c r="N212" t="n">
        <v>0</v>
      </c>
      <c r="O212" t="n">
        <v>0</v>
      </c>
      <c r="P212" t="n">
        <v>0</v>
      </c>
      <c r="Q212" t="n">
        <v>0</v>
      </c>
      <c r="R212" s="2" t="inlineStr"/>
    </row>
    <row r="213" ht="15" customHeight="1">
      <c r="A213" t="inlineStr">
        <is>
          <t>A 69112-2021</t>
        </is>
      </c>
      <c r="B213" s="1" t="n">
        <v>44530</v>
      </c>
      <c r="C213" s="1" t="n">
        <v>46182</v>
      </c>
      <c r="D213" t="inlineStr">
        <is>
          <t>GOTLANDS LÄN</t>
        </is>
      </c>
      <c r="E213" t="inlineStr">
        <is>
          <t>GOTLAND</t>
        </is>
      </c>
      <c r="G213" t="n">
        <v>4.2</v>
      </c>
      <c r="H213" t="n">
        <v>0</v>
      </c>
      <c r="I213" t="n">
        <v>0</v>
      </c>
      <c r="J213" t="n">
        <v>0</v>
      </c>
      <c r="K213" t="n">
        <v>0</v>
      </c>
      <c r="L213" t="n">
        <v>0</v>
      </c>
      <c r="M213" t="n">
        <v>0</v>
      </c>
      <c r="N213" t="n">
        <v>0</v>
      </c>
      <c r="O213" t="n">
        <v>0</v>
      </c>
      <c r="P213" t="n">
        <v>0</v>
      </c>
      <c r="Q213" t="n">
        <v>0</v>
      </c>
      <c r="R213" s="2" t="inlineStr"/>
    </row>
    <row r="214" ht="15" customHeight="1">
      <c r="A214" t="inlineStr">
        <is>
          <t>A 48734-2022</t>
        </is>
      </c>
      <c r="B214" s="1" t="n">
        <v>44855</v>
      </c>
      <c r="C214" s="1" t="n">
        <v>46182</v>
      </c>
      <c r="D214" t="inlineStr">
        <is>
          <t>GOTLANDS LÄN</t>
        </is>
      </c>
      <c r="E214" t="inlineStr">
        <is>
          <t>GOTLAND</t>
        </is>
      </c>
      <c r="G214" t="n">
        <v>1.6</v>
      </c>
      <c r="H214" t="n">
        <v>0</v>
      </c>
      <c r="I214" t="n">
        <v>0</v>
      </c>
      <c r="J214" t="n">
        <v>0</v>
      </c>
      <c r="K214" t="n">
        <v>0</v>
      </c>
      <c r="L214" t="n">
        <v>0</v>
      </c>
      <c r="M214" t="n">
        <v>0</v>
      </c>
      <c r="N214" t="n">
        <v>0</v>
      </c>
      <c r="O214" t="n">
        <v>0</v>
      </c>
      <c r="P214" t="n">
        <v>0</v>
      </c>
      <c r="Q214" t="n">
        <v>0</v>
      </c>
      <c r="R214" s="2" t="inlineStr"/>
    </row>
    <row r="215" ht="15" customHeight="1">
      <c r="A215" t="inlineStr">
        <is>
          <t>A 7850-2025</t>
        </is>
      </c>
      <c r="B215" s="1" t="n">
        <v>45706</v>
      </c>
      <c r="C215" s="1" t="n">
        <v>46182</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23516-2023</t>
        </is>
      </c>
      <c r="B216" s="1" t="n">
        <v>45076.93391203704</v>
      </c>
      <c r="C216" s="1" t="n">
        <v>46182</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43231-2023</t>
        </is>
      </c>
      <c r="B217" s="1" t="n">
        <v>45183.47025462963</v>
      </c>
      <c r="C217" s="1" t="n">
        <v>46182</v>
      </c>
      <c r="D217" t="inlineStr">
        <is>
          <t>GOTLANDS LÄN</t>
        </is>
      </c>
      <c r="E217" t="inlineStr">
        <is>
          <t>GOTLAND</t>
        </is>
      </c>
      <c r="G217" t="n">
        <v>3.6</v>
      </c>
      <c r="H217" t="n">
        <v>0</v>
      </c>
      <c r="I217" t="n">
        <v>0</v>
      </c>
      <c r="J217" t="n">
        <v>0</v>
      </c>
      <c r="K217" t="n">
        <v>0</v>
      </c>
      <c r="L217" t="n">
        <v>0</v>
      </c>
      <c r="M217" t="n">
        <v>0</v>
      </c>
      <c r="N217" t="n">
        <v>0</v>
      </c>
      <c r="O217" t="n">
        <v>0</v>
      </c>
      <c r="P217" t="n">
        <v>0</v>
      </c>
      <c r="Q217" t="n">
        <v>0</v>
      </c>
      <c r="R217" s="2" t="inlineStr"/>
    </row>
    <row r="218" ht="15" customHeight="1">
      <c r="A218" t="inlineStr">
        <is>
          <t>A 64555-2023</t>
        </is>
      </c>
      <c r="B218" s="1" t="n">
        <v>45281</v>
      </c>
      <c r="C218" s="1" t="n">
        <v>46182</v>
      </c>
      <c r="D218" t="inlineStr">
        <is>
          <t>GOTLANDS LÄN</t>
        </is>
      </c>
      <c r="E218" t="inlineStr">
        <is>
          <t>GOTLAND</t>
        </is>
      </c>
      <c r="G218" t="n">
        <v>3.5</v>
      </c>
      <c r="H218" t="n">
        <v>0</v>
      </c>
      <c r="I218" t="n">
        <v>0</v>
      </c>
      <c r="J218" t="n">
        <v>0</v>
      </c>
      <c r="K218" t="n">
        <v>0</v>
      </c>
      <c r="L218" t="n">
        <v>0</v>
      </c>
      <c r="M218" t="n">
        <v>0</v>
      </c>
      <c r="N218" t="n">
        <v>0</v>
      </c>
      <c r="O218" t="n">
        <v>0</v>
      </c>
      <c r="P218" t="n">
        <v>0</v>
      </c>
      <c r="Q218" t="n">
        <v>0</v>
      </c>
      <c r="R218" s="2" t="inlineStr"/>
    </row>
    <row r="219" ht="15" customHeight="1">
      <c r="A219" t="inlineStr">
        <is>
          <t>A 35142-2025</t>
        </is>
      </c>
      <c r="B219" s="1" t="n">
        <v>45852.65532407408</v>
      </c>
      <c r="C219" s="1" t="n">
        <v>46182</v>
      </c>
      <c r="D219" t="inlineStr">
        <is>
          <t>GOTLANDS LÄN</t>
        </is>
      </c>
      <c r="E219" t="inlineStr">
        <is>
          <t>GOTLAND</t>
        </is>
      </c>
      <c r="G219" t="n">
        <v>2.4</v>
      </c>
      <c r="H219" t="n">
        <v>0</v>
      </c>
      <c r="I219" t="n">
        <v>0</v>
      </c>
      <c r="J219" t="n">
        <v>0</v>
      </c>
      <c r="K219" t="n">
        <v>0</v>
      </c>
      <c r="L219" t="n">
        <v>0</v>
      </c>
      <c r="M219" t="n">
        <v>0</v>
      </c>
      <c r="N219" t="n">
        <v>0</v>
      </c>
      <c r="O219" t="n">
        <v>0</v>
      </c>
      <c r="P219" t="n">
        <v>0</v>
      </c>
      <c r="Q219" t="n">
        <v>0</v>
      </c>
      <c r="R219" s="2" t="inlineStr"/>
    </row>
    <row r="220" ht="15" customHeight="1">
      <c r="A220" t="inlineStr">
        <is>
          <t>A 457-2023</t>
        </is>
      </c>
      <c r="B220" s="1" t="n">
        <v>44929.87238425926</v>
      </c>
      <c r="C220" s="1" t="n">
        <v>46182</v>
      </c>
      <c r="D220" t="inlineStr">
        <is>
          <t>GOTLANDS LÄN</t>
        </is>
      </c>
      <c r="E220" t="inlineStr">
        <is>
          <t>GOTLAND</t>
        </is>
      </c>
      <c r="G220" t="n">
        <v>2.4</v>
      </c>
      <c r="H220" t="n">
        <v>0</v>
      </c>
      <c r="I220" t="n">
        <v>0</v>
      </c>
      <c r="J220" t="n">
        <v>0</v>
      </c>
      <c r="K220" t="n">
        <v>0</v>
      </c>
      <c r="L220" t="n">
        <v>0</v>
      </c>
      <c r="M220" t="n">
        <v>0</v>
      </c>
      <c r="N220" t="n">
        <v>0</v>
      </c>
      <c r="O220" t="n">
        <v>0</v>
      </c>
      <c r="P220" t="n">
        <v>0</v>
      </c>
      <c r="Q220" t="n">
        <v>0</v>
      </c>
      <c r="R220" s="2" t="inlineStr"/>
    </row>
    <row r="221" ht="15" customHeight="1">
      <c r="A221" t="inlineStr">
        <is>
          <t>A 459-2023</t>
        </is>
      </c>
      <c r="B221" s="1" t="n">
        <v>44929.87423611111</v>
      </c>
      <c r="C221" s="1" t="n">
        <v>46182</v>
      </c>
      <c r="D221" t="inlineStr">
        <is>
          <t>GOTLANDS LÄN</t>
        </is>
      </c>
      <c r="E221" t="inlineStr">
        <is>
          <t>GOTLAND</t>
        </is>
      </c>
      <c r="G221" t="n">
        <v>4.2</v>
      </c>
      <c r="H221" t="n">
        <v>0</v>
      </c>
      <c r="I221" t="n">
        <v>0</v>
      </c>
      <c r="J221" t="n">
        <v>0</v>
      </c>
      <c r="K221" t="n">
        <v>0</v>
      </c>
      <c r="L221" t="n">
        <v>0</v>
      </c>
      <c r="M221" t="n">
        <v>0</v>
      </c>
      <c r="N221" t="n">
        <v>0</v>
      </c>
      <c r="O221" t="n">
        <v>0</v>
      </c>
      <c r="P221" t="n">
        <v>0</v>
      </c>
      <c r="Q221" t="n">
        <v>0</v>
      </c>
      <c r="R221" s="2" t="inlineStr"/>
    </row>
    <row r="222" ht="15" customHeight="1">
      <c r="A222" t="inlineStr">
        <is>
          <t>A 35141-2025</t>
        </is>
      </c>
      <c r="B222" s="1" t="n">
        <v>45852.65206018519</v>
      </c>
      <c r="C222" s="1" t="n">
        <v>46182</v>
      </c>
      <c r="D222" t="inlineStr">
        <is>
          <t>GOTLANDS LÄN</t>
        </is>
      </c>
      <c r="E222" t="inlineStr">
        <is>
          <t>GOTLAND</t>
        </is>
      </c>
      <c r="G222" t="n">
        <v>1</v>
      </c>
      <c r="H222" t="n">
        <v>0</v>
      </c>
      <c r="I222" t="n">
        <v>0</v>
      </c>
      <c r="J222" t="n">
        <v>0</v>
      </c>
      <c r="K222" t="n">
        <v>0</v>
      </c>
      <c r="L222" t="n">
        <v>0</v>
      </c>
      <c r="M222" t="n">
        <v>0</v>
      </c>
      <c r="N222" t="n">
        <v>0</v>
      </c>
      <c r="O222" t="n">
        <v>0</v>
      </c>
      <c r="P222" t="n">
        <v>0</v>
      </c>
      <c r="Q222" t="n">
        <v>0</v>
      </c>
      <c r="R222" s="2" t="inlineStr"/>
    </row>
    <row r="223" ht="15" customHeight="1">
      <c r="A223" t="inlineStr">
        <is>
          <t>A 8444-2025</t>
        </is>
      </c>
      <c r="B223" s="1" t="n">
        <v>45709</v>
      </c>
      <c r="C223" s="1" t="n">
        <v>46182</v>
      </c>
      <c r="D223" t="inlineStr">
        <is>
          <t>GOTLANDS LÄN</t>
        </is>
      </c>
      <c r="E223" t="inlineStr">
        <is>
          <t>GOTLAND</t>
        </is>
      </c>
      <c r="G223" t="n">
        <v>5.2</v>
      </c>
      <c r="H223" t="n">
        <v>0</v>
      </c>
      <c r="I223" t="n">
        <v>0</v>
      </c>
      <c r="J223" t="n">
        <v>0</v>
      </c>
      <c r="K223" t="n">
        <v>0</v>
      </c>
      <c r="L223" t="n">
        <v>0</v>
      </c>
      <c r="M223" t="n">
        <v>0</v>
      </c>
      <c r="N223" t="n">
        <v>0</v>
      </c>
      <c r="O223" t="n">
        <v>0</v>
      </c>
      <c r="P223" t="n">
        <v>0</v>
      </c>
      <c r="Q223" t="n">
        <v>0</v>
      </c>
      <c r="R223" s="2" t="inlineStr"/>
    </row>
    <row r="224" ht="15" customHeight="1">
      <c r="A224" t="inlineStr">
        <is>
          <t>A 19905-2025</t>
        </is>
      </c>
      <c r="B224" s="1" t="n">
        <v>45771</v>
      </c>
      <c r="C224" s="1" t="n">
        <v>46182</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876-2024</t>
        </is>
      </c>
      <c r="B225" s="1" t="n">
        <v>45301</v>
      </c>
      <c r="C225" s="1" t="n">
        <v>46182</v>
      </c>
      <c r="D225" t="inlineStr">
        <is>
          <t>GOTLANDS LÄN</t>
        </is>
      </c>
      <c r="E225" t="inlineStr">
        <is>
          <t>GOTLAND</t>
        </is>
      </c>
      <c r="G225" t="n">
        <v>5.3</v>
      </c>
      <c r="H225" t="n">
        <v>0</v>
      </c>
      <c r="I225" t="n">
        <v>0</v>
      </c>
      <c r="J225" t="n">
        <v>0</v>
      </c>
      <c r="K225" t="n">
        <v>0</v>
      </c>
      <c r="L225" t="n">
        <v>0</v>
      </c>
      <c r="M225" t="n">
        <v>0</v>
      </c>
      <c r="N225" t="n">
        <v>0</v>
      </c>
      <c r="O225" t="n">
        <v>0</v>
      </c>
      <c r="P225" t="n">
        <v>0</v>
      </c>
      <c r="Q225" t="n">
        <v>0</v>
      </c>
      <c r="R225" s="2" t="inlineStr"/>
    </row>
    <row r="226" ht="15" customHeight="1">
      <c r="A226" t="inlineStr">
        <is>
          <t>A 54073-2022</t>
        </is>
      </c>
      <c r="B226" s="1" t="n">
        <v>44881.50380787037</v>
      </c>
      <c r="C226" s="1" t="n">
        <v>46182</v>
      </c>
      <c r="D226" t="inlineStr">
        <is>
          <t>GOTLANDS LÄN</t>
        </is>
      </c>
      <c r="E226" t="inlineStr">
        <is>
          <t>GOTLAND</t>
        </is>
      </c>
      <c r="G226" t="n">
        <v>3.8</v>
      </c>
      <c r="H226" t="n">
        <v>0</v>
      </c>
      <c r="I226" t="n">
        <v>0</v>
      </c>
      <c r="J226" t="n">
        <v>0</v>
      </c>
      <c r="K226" t="n">
        <v>0</v>
      </c>
      <c r="L226" t="n">
        <v>0</v>
      </c>
      <c r="M226" t="n">
        <v>0</v>
      </c>
      <c r="N226" t="n">
        <v>0</v>
      </c>
      <c r="O226" t="n">
        <v>0</v>
      </c>
      <c r="P226" t="n">
        <v>0</v>
      </c>
      <c r="Q226" t="n">
        <v>0</v>
      </c>
      <c r="R226" s="2" t="inlineStr"/>
    </row>
    <row r="227" ht="15" customHeight="1">
      <c r="A227" t="inlineStr">
        <is>
          <t>A 26891-2024</t>
        </is>
      </c>
      <c r="B227" s="1" t="n">
        <v>45470.65540509259</v>
      </c>
      <c r="C227" s="1" t="n">
        <v>46182</v>
      </c>
      <c r="D227" t="inlineStr">
        <is>
          <t>GOTLANDS LÄN</t>
        </is>
      </c>
      <c r="E227" t="inlineStr">
        <is>
          <t>GOTLAND</t>
        </is>
      </c>
      <c r="G227" t="n">
        <v>0.8</v>
      </c>
      <c r="H227" t="n">
        <v>0</v>
      </c>
      <c r="I227" t="n">
        <v>0</v>
      </c>
      <c r="J227" t="n">
        <v>0</v>
      </c>
      <c r="K227" t="n">
        <v>0</v>
      </c>
      <c r="L227" t="n">
        <v>0</v>
      </c>
      <c r="M227" t="n">
        <v>0</v>
      </c>
      <c r="N227" t="n">
        <v>0</v>
      </c>
      <c r="O227" t="n">
        <v>0</v>
      </c>
      <c r="P227" t="n">
        <v>0</v>
      </c>
      <c r="Q227" t="n">
        <v>0</v>
      </c>
      <c r="R227" s="2" t="inlineStr"/>
    </row>
    <row r="228" ht="15" customHeight="1">
      <c r="A228" t="inlineStr">
        <is>
          <t>A 5923-2023</t>
        </is>
      </c>
      <c r="B228" s="1" t="n">
        <v>44963.69503472222</v>
      </c>
      <c r="C228" s="1" t="n">
        <v>46182</v>
      </c>
      <c r="D228" t="inlineStr">
        <is>
          <t>GOTLANDS LÄN</t>
        </is>
      </c>
      <c r="E228" t="inlineStr">
        <is>
          <t>GOTLAND</t>
        </is>
      </c>
      <c r="G228" t="n">
        <v>2.6</v>
      </c>
      <c r="H228" t="n">
        <v>0</v>
      </c>
      <c r="I228" t="n">
        <v>0</v>
      </c>
      <c r="J228" t="n">
        <v>0</v>
      </c>
      <c r="K228" t="n">
        <v>0</v>
      </c>
      <c r="L228" t="n">
        <v>0</v>
      </c>
      <c r="M228" t="n">
        <v>0</v>
      </c>
      <c r="N228" t="n">
        <v>0</v>
      </c>
      <c r="O228" t="n">
        <v>0</v>
      </c>
      <c r="P228" t="n">
        <v>0</v>
      </c>
      <c r="Q228" t="n">
        <v>0</v>
      </c>
      <c r="R228" s="2" t="inlineStr"/>
    </row>
    <row r="229" ht="15" customHeight="1">
      <c r="A229" t="inlineStr">
        <is>
          <t>A 50482-2024</t>
        </is>
      </c>
      <c r="B229" s="1" t="n">
        <v>45601.48114583334</v>
      </c>
      <c r="C229" s="1" t="n">
        <v>46182</v>
      </c>
      <c r="D229" t="inlineStr">
        <is>
          <t>GOTLANDS LÄN</t>
        </is>
      </c>
      <c r="E229" t="inlineStr">
        <is>
          <t>GOTLAND</t>
        </is>
      </c>
      <c r="G229" t="n">
        <v>2.3</v>
      </c>
      <c r="H229" t="n">
        <v>0</v>
      </c>
      <c r="I229" t="n">
        <v>0</v>
      </c>
      <c r="J229" t="n">
        <v>0</v>
      </c>
      <c r="K229" t="n">
        <v>0</v>
      </c>
      <c r="L229" t="n">
        <v>0</v>
      </c>
      <c r="M229" t="n">
        <v>0</v>
      </c>
      <c r="N229" t="n">
        <v>0</v>
      </c>
      <c r="O229" t="n">
        <v>0</v>
      </c>
      <c r="P229" t="n">
        <v>0</v>
      </c>
      <c r="Q229" t="n">
        <v>0</v>
      </c>
      <c r="R229" s="2" t="inlineStr"/>
    </row>
    <row r="230" ht="15" customHeight="1">
      <c r="A230" t="inlineStr">
        <is>
          <t>A 3964-2024</t>
        </is>
      </c>
      <c r="B230" s="1" t="n">
        <v>45322</v>
      </c>
      <c r="C230" s="1" t="n">
        <v>46182</v>
      </c>
      <c r="D230" t="inlineStr">
        <is>
          <t>GOTLANDS LÄN</t>
        </is>
      </c>
      <c r="E230" t="inlineStr">
        <is>
          <t>GOTLAND</t>
        </is>
      </c>
      <c r="G230" t="n">
        <v>1.4</v>
      </c>
      <c r="H230" t="n">
        <v>0</v>
      </c>
      <c r="I230" t="n">
        <v>0</v>
      </c>
      <c r="J230" t="n">
        <v>0</v>
      </c>
      <c r="K230" t="n">
        <v>0</v>
      </c>
      <c r="L230" t="n">
        <v>0</v>
      </c>
      <c r="M230" t="n">
        <v>0</v>
      </c>
      <c r="N230" t="n">
        <v>0</v>
      </c>
      <c r="O230" t="n">
        <v>0</v>
      </c>
      <c r="P230" t="n">
        <v>0</v>
      </c>
      <c r="Q230" t="n">
        <v>0</v>
      </c>
      <c r="R230" s="2" t="inlineStr"/>
    </row>
    <row r="231" ht="15" customHeight="1">
      <c r="A231" t="inlineStr">
        <is>
          <t>A 29196-2025</t>
        </is>
      </c>
      <c r="B231" s="1" t="n">
        <v>45822</v>
      </c>
      <c r="C231" s="1" t="n">
        <v>46182</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5943-2024</t>
        </is>
      </c>
      <c r="B232" s="1" t="n">
        <v>45336</v>
      </c>
      <c r="C232" s="1" t="n">
        <v>46182</v>
      </c>
      <c r="D232" t="inlineStr">
        <is>
          <t>GOTLANDS LÄN</t>
        </is>
      </c>
      <c r="E232" t="inlineStr">
        <is>
          <t>GOTLAND</t>
        </is>
      </c>
      <c r="G232" t="n">
        <v>4.3</v>
      </c>
      <c r="H232" t="n">
        <v>0</v>
      </c>
      <c r="I232" t="n">
        <v>0</v>
      </c>
      <c r="J232" t="n">
        <v>0</v>
      </c>
      <c r="K232" t="n">
        <v>0</v>
      </c>
      <c r="L232" t="n">
        <v>0</v>
      </c>
      <c r="M232" t="n">
        <v>0</v>
      </c>
      <c r="N232" t="n">
        <v>0</v>
      </c>
      <c r="O232" t="n">
        <v>0</v>
      </c>
      <c r="P232" t="n">
        <v>0</v>
      </c>
      <c r="Q232" t="n">
        <v>0</v>
      </c>
      <c r="R232" s="2" t="inlineStr"/>
    </row>
    <row r="233" ht="15" customHeight="1">
      <c r="A233" t="inlineStr">
        <is>
          <t>A 30061-2025</t>
        </is>
      </c>
      <c r="B233" s="1" t="n">
        <v>45826.61488425926</v>
      </c>
      <c r="C233" s="1" t="n">
        <v>46182</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38234-2023</t>
        </is>
      </c>
      <c r="B234" s="1" t="n">
        <v>45161.56663194444</v>
      </c>
      <c r="C234" s="1" t="n">
        <v>46182</v>
      </c>
      <c r="D234" t="inlineStr">
        <is>
          <t>GOTLANDS LÄN</t>
        </is>
      </c>
      <c r="E234" t="inlineStr">
        <is>
          <t>GOTLAND</t>
        </is>
      </c>
      <c r="G234" t="n">
        <v>1.3</v>
      </c>
      <c r="H234" t="n">
        <v>0</v>
      </c>
      <c r="I234" t="n">
        <v>0</v>
      </c>
      <c r="J234" t="n">
        <v>0</v>
      </c>
      <c r="K234" t="n">
        <v>0</v>
      </c>
      <c r="L234" t="n">
        <v>0</v>
      </c>
      <c r="M234" t="n">
        <v>0</v>
      </c>
      <c r="N234" t="n">
        <v>0</v>
      </c>
      <c r="O234" t="n">
        <v>0</v>
      </c>
      <c r="P234" t="n">
        <v>0</v>
      </c>
      <c r="Q234" t="n">
        <v>0</v>
      </c>
      <c r="R234" s="2" t="inlineStr"/>
    </row>
    <row r="235" ht="15" customHeight="1">
      <c r="A235" t="inlineStr">
        <is>
          <t>A 39816-2025</t>
        </is>
      </c>
      <c r="B235" s="1" t="n">
        <v>45891</v>
      </c>
      <c r="C235" s="1" t="n">
        <v>46182</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40372-2025</t>
        </is>
      </c>
      <c r="B236" s="1" t="n">
        <v>45895.5162037037</v>
      </c>
      <c r="C236" s="1" t="n">
        <v>46182</v>
      </c>
      <c r="D236" t="inlineStr">
        <is>
          <t>GOTLANDS LÄN</t>
        </is>
      </c>
      <c r="E236" t="inlineStr">
        <is>
          <t>GOTLAND</t>
        </is>
      </c>
      <c r="G236" t="n">
        <v>3.3</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46182</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40373-2025</t>
        </is>
      </c>
      <c r="B238" s="1" t="n">
        <v>45895.51821759259</v>
      </c>
      <c r="C238" s="1" t="n">
        <v>46182</v>
      </c>
      <c r="D238" t="inlineStr">
        <is>
          <t>GOTLANDS LÄN</t>
        </is>
      </c>
      <c r="E238" t="inlineStr">
        <is>
          <t>GOTLAND</t>
        </is>
      </c>
      <c r="G238" t="n">
        <v>0.6</v>
      </c>
      <c r="H238" t="n">
        <v>0</v>
      </c>
      <c r="I238" t="n">
        <v>0</v>
      </c>
      <c r="J238" t="n">
        <v>0</v>
      </c>
      <c r="K238" t="n">
        <v>0</v>
      </c>
      <c r="L238" t="n">
        <v>0</v>
      </c>
      <c r="M238" t="n">
        <v>0</v>
      </c>
      <c r="N238" t="n">
        <v>0</v>
      </c>
      <c r="O238" t="n">
        <v>0</v>
      </c>
      <c r="P238" t="n">
        <v>0</v>
      </c>
      <c r="Q238" t="n">
        <v>0</v>
      </c>
      <c r="R238" s="2" t="inlineStr"/>
    </row>
    <row r="239" ht="15" customHeight="1">
      <c r="A239" t="inlineStr">
        <is>
          <t>A 40499-2025</t>
        </is>
      </c>
      <c r="B239" s="1" t="n">
        <v>45896.32517361111</v>
      </c>
      <c r="C239" s="1" t="n">
        <v>46182</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52892-2021</t>
        </is>
      </c>
      <c r="B240" s="1" t="n">
        <v>44467.49048611111</v>
      </c>
      <c r="C240" s="1" t="n">
        <v>46182</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58160-2024</t>
        </is>
      </c>
      <c r="B241" s="1" t="n">
        <v>45632.44927083333</v>
      </c>
      <c r="C241" s="1" t="n">
        <v>46182</v>
      </c>
      <c r="D241" t="inlineStr">
        <is>
          <t>GOTLANDS LÄN</t>
        </is>
      </c>
      <c r="E241" t="inlineStr">
        <is>
          <t>GOTLAND</t>
        </is>
      </c>
      <c r="G241" t="n">
        <v>5.6</v>
      </c>
      <c r="H241" t="n">
        <v>0</v>
      </c>
      <c r="I241" t="n">
        <v>0</v>
      </c>
      <c r="J241" t="n">
        <v>0</v>
      </c>
      <c r="K241" t="n">
        <v>0</v>
      </c>
      <c r="L241" t="n">
        <v>0</v>
      </c>
      <c r="M241" t="n">
        <v>0</v>
      </c>
      <c r="N241" t="n">
        <v>0</v>
      </c>
      <c r="O241" t="n">
        <v>0</v>
      </c>
      <c r="P241" t="n">
        <v>0</v>
      </c>
      <c r="Q241" t="n">
        <v>0</v>
      </c>
      <c r="R241" s="2" t="inlineStr"/>
    </row>
    <row r="242" ht="15" customHeight="1">
      <c r="A242" t="inlineStr">
        <is>
          <t>A 39278-2025</t>
        </is>
      </c>
      <c r="B242" s="1" t="n">
        <v>45889</v>
      </c>
      <c r="C242" s="1" t="n">
        <v>46182</v>
      </c>
      <c r="D242" t="inlineStr">
        <is>
          <t>GOTLANDS LÄN</t>
        </is>
      </c>
      <c r="E242" t="inlineStr">
        <is>
          <t>GOTLAND</t>
        </is>
      </c>
      <c r="G242" t="n">
        <v>3.7</v>
      </c>
      <c r="H242" t="n">
        <v>0</v>
      </c>
      <c r="I242" t="n">
        <v>0</v>
      </c>
      <c r="J242" t="n">
        <v>0</v>
      </c>
      <c r="K242" t="n">
        <v>0</v>
      </c>
      <c r="L242" t="n">
        <v>0</v>
      </c>
      <c r="M242" t="n">
        <v>0</v>
      </c>
      <c r="N242" t="n">
        <v>0</v>
      </c>
      <c r="O242" t="n">
        <v>0</v>
      </c>
      <c r="P242" t="n">
        <v>0</v>
      </c>
      <c r="Q242" t="n">
        <v>0</v>
      </c>
      <c r="R242" s="2" t="inlineStr"/>
    </row>
    <row r="243" ht="15" customHeight="1">
      <c r="A243" t="inlineStr">
        <is>
          <t>A 1273-2023</t>
        </is>
      </c>
      <c r="B243" s="1" t="n">
        <v>44936</v>
      </c>
      <c r="C243" s="1" t="n">
        <v>46182</v>
      </c>
      <c r="D243" t="inlineStr">
        <is>
          <t>GOTLANDS LÄN</t>
        </is>
      </c>
      <c r="E243" t="inlineStr">
        <is>
          <t>GOTLAND</t>
        </is>
      </c>
      <c r="G243" t="n">
        <v>4.5</v>
      </c>
      <c r="H243" t="n">
        <v>0</v>
      </c>
      <c r="I243" t="n">
        <v>0</v>
      </c>
      <c r="J243" t="n">
        <v>0</v>
      </c>
      <c r="K243" t="n">
        <v>0</v>
      </c>
      <c r="L243" t="n">
        <v>0</v>
      </c>
      <c r="M243" t="n">
        <v>0</v>
      </c>
      <c r="N243" t="n">
        <v>0</v>
      </c>
      <c r="O243" t="n">
        <v>0</v>
      </c>
      <c r="P243" t="n">
        <v>0</v>
      </c>
      <c r="Q243" t="n">
        <v>0</v>
      </c>
      <c r="R243" s="2" t="inlineStr"/>
    </row>
    <row r="244" ht="15" customHeight="1">
      <c r="A244" t="inlineStr">
        <is>
          <t>A 1351-2025</t>
        </is>
      </c>
      <c r="B244" s="1" t="n">
        <v>45667.62246527777</v>
      </c>
      <c r="C244" s="1" t="n">
        <v>46182</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49874-2024</t>
        </is>
      </c>
      <c r="B245" s="1" t="n">
        <v>45597.49274305555</v>
      </c>
      <c r="C245" s="1" t="n">
        <v>46182</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17724-2024</t>
        </is>
      </c>
      <c r="B246" s="1" t="n">
        <v>45418.55096064815</v>
      </c>
      <c r="C246" s="1" t="n">
        <v>46182</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23978-2023</t>
        </is>
      </c>
      <c r="B247" s="1" t="n">
        <v>45078</v>
      </c>
      <c r="C247" s="1" t="n">
        <v>46182</v>
      </c>
      <c r="D247" t="inlineStr">
        <is>
          <t>GOTLANDS LÄN</t>
        </is>
      </c>
      <c r="E247" t="inlineStr">
        <is>
          <t>GOTLAND</t>
        </is>
      </c>
      <c r="F247" t="inlineStr">
        <is>
          <t>Naturvårdsverket</t>
        </is>
      </c>
      <c r="G247" t="n">
        <v>1.7</v>
      </c>
      <c r="H247" t="n">
        <v>0</v>
      </c>
      <c r="I247" t="n">
        <v>0</v>
      </c>
      <c r="J247" t="n">
        <v>0</v>
      </c>
      <c r="K247" t="n">
        <v>0</v>
      </c>
      <c r="L247" t="n">
        <v>0</v>
      </c>
      <c r="M247" t="n">
        <v>0</v>
      </c>
      <c r="N247" t="n">
        <v>0</v>
      </c>
      <c r="O247" t="n">
        <v>0</v>
      </c>
      <c r="P247" t="n">
        <v>0</v>
      </c>
      <c r="Q247" t="n">
        <v>0</v>
      </c>
      <c r="R247" s="2" t="inlineStr"/>
    </row>
    <row r="248" ht="15" customHeight="1">
      <c r="A248" t="inlineStr">
        <is>
          <t>A 49884-2023</t>
        </is>
      </c>
      <c r="B248" s="1" t="n">
        <v>45213</v>
      </c>
      <c r="C248" s="1" t="n">
        <v>46182</v>
      </c>
      <c r="D248" t="inlineStr">
        <is>
          <t>GOTLANDS LÄN</t>
        </is>
      </c>
      <c r="E248" t="inlineStr">
        <is>
          <t>GOTLAND</t>
        </is>
      </c>
      <c r="G248" t="n">
        <v>8.9</v>
      </c>
      <c r="H248" t="n">
        <v>0</v>
      </c>
      <c r="I248" t="n">
        <v>0</v>
      </c>
      <c r="J248" t="n">
        <v>0</v>
      </c>
      <c r="K248" t="n">
        <v>0</v>
      </c>
      <c r="L248" t="n">
        <v>0</v>
      </c>
      <c r="M248" t="n">
        <v>0</v>
      </c>
      <c r="N248" t="n">
        <v>0</v>
      </c>
      <c r="O248" t="n">
        <v>0</v>
      </c>
      <c r="P248" t="n">
        <v>0</v>
      </c>
      <c r="Q248" t="n">
        <v>0</v>
      </c>
      <c r="R248" s="2" t="inlineStr"/>
    </row>
    <row r="249" ht="15" customHeight="1">
      <c r="A249" t="inlineStr">
        <is>
          <t>A 51782-2023</t>
        </is>
      </c>
      <c r="B249" s="1" t="n">
        <v>45222.80952546297</v>
      </c>
      <c r="C249" s="1" t="n">
        <v>46182</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12846-2025</t>
        </is>
      </c>
      <c r="B250" s="1" t="n">
        <v>45733.65049768519</v>
      </c>
      <c r="C250" s="1" t="n">
        <v>46182</v>
      </c>
      <c r="D250" t="inlineStr">
        <is>
          <t>GOTLANDS LÄN</t>
        </is>
      </c>
      <c r="E250" t="inlineStr">
        <is>
          <t>GOTLAND</t>
        </is>
      </c>
      <c r="G250" t="n">
        <v>1.7</v>
      </c>
      <c r="H250" t="n">
        <v>0</v>
      </c>
      <c r="I250" t="n">
        <v>0</v>
      </c>
      <c r="J250" t="n">
        <v>0</v>
      </c>
      <c r="K250" t="n">
        <v>0</v>
      </c>
      <c r="L250" t="n">
        <v>0</v>
      </c>
      <c r="M250" t="n">
        <v>0</v>
      </c>
      <c r="N250" t="n">
        <v>0</v>
      </c>
      <c r="O250" t="n">
        <v>0</v>
      </c>
      <c r="P250" t="n">
        <v>0</v>
      </c>
      <c r="Q250" t="n">
        <v>0</v>
      </c>
      <c r="R250" s="2" t="inlineStr"/>
    </row>
    <row r="251" ht="15" customHeight="1">
      <c r="A251" t="inlineStr">
        <is>
          <t>A 60675-2021</t>
        </is>
      </c>
      <c r="B251" s="1" t="n">
        <v>44496.64855324074</v>
      </c>
      <c r="C251" s="1" t="n">
        <v>46182</v>
      </c>
      <c r="D251" t="inlineStr">
        <is>
          <t>GOTLANDS LÄN</t>
        </is>
      </c>
      <c r="E251" t="inlineStr">
        <is>
          <t>GOTLAND</t>
        </is>
      </c>
      <c r="G251" t="n">
        <v>4.6</v>
      </c>
      <c r="H251" t="n">
        <v>0</v>
      </c>
      <c r="I251" t="n">
        <v>0</v>
      </c>
      <c r="J251" t="n">
        <v>0</v>
      </c>
      <c r="K251" t="n">
        <v>0</v>
      </c>
      <c r="L251" t="n">
        <v>0</v>
      </c>
      <c r="M251" t="n">
        <v>0</v>
      </c>
      <c r="N251" t="n">
        <v>0</v>
      </c>
      <c r="O251" t="n">
        <v>0</v>
      </c>
      <c r="P251" t="n">
        <v>0</v>
      </c>
      <c r="Q251" t="n">
        <v>0</v>
      </c>
      <c r="R251" s="2" t="inlineStr"/>
    </row>
    <row r="252" ht="15" customHeight="1">
      <c r="A252" t="inlineStr">
        <is>
          <t>A 43200-2023</t>
        </is>
      </c>
      <c r="B252" s="1" t="n">
        <v>45183</v>
      </c>
      <c r="C252" s="1" t="n">
        <v>46182</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16109-2025</t>
        </is>
      </c>
      <c r="B253" s="1" t="n">
        <v>45750</v>
      </c>
      <c r="C253" s="1" t="n">
        <v>46182</v>
      </c>
      <c r="D253" t="inlineStr">
        <is>
          <t>GOTLANDS LÄN</t>
        </is>
      </c>
      <c r="E253" t="inlineStr">
        <is>
          <t>GOTLAND</t>
        </is>
      </c>
      <c r="G253" t="n">
        <v>4.9</v>
      </c>
      <c r="H253" t="n">
        <v>0</v>
      </c>
      <c r="I253" t="n">
        <v>0</v>
      </c>
      <c r="J253" t="n">
        <v>0</v>
      </c>
      <c r="K253" t="n">
        <v>0</v>
      </c>
      <c r="L253" t="n">
        <v>0</v>
      </c>
      <c r="M253" t="n">
        <v>0</v>
      </c>
      <c r="N253" t="n">
        <v>0</v>
      </c>
      <c r="O253" t="n">
        <v>0</v>
      </c>
      <c r="P253" t="n">
        <v>0</v>
      </c>
      <c r="Q253" t="n">
        <v>0</v>
      </c>
      <c r="R253" s="2" t="inlineStr"/>
    </row>
    <row r="254" ht="15" customHeight="1">
      <c r="A254" t="inlineStr">
        <is>
          <t>A 5217-2023</t>
        </is>
      </c>
      <c r="B254" s="1" t="n">
        <v>44959.39582175926</v>
      </c>
      <c r="C254" s="1" t="n">
        <v>46182</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14638-2025</t>
        </is>
      </c>
      <c r="B255" s="1" t="n">
        <v>45742</v>
      </c>
      <c r="C255" s="1" t="n">
        <v>46182</v>
      </c>
      <c r="D255" t="inlineStr">
        <is>
          <t>GOTLANDS LÄN</t>
        </is>
      </c>
      <c r="E255" t="inlineStr">
        <is>
          <t>GOTLAND</t>
        </is>
      </c>
      <c r="G255" t="n">
        <v>13.4</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46182</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10158-2025</t>
        </is>
      </c>
      <c r="B257" s="1" t="n">
        <v>45719</v>
      </c>
      <c r="C257" s="1" t="n">
        <v>46182</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20165-2022</t>
        </is>
      </c>
      <c r="B258" s="1" t="n">
        <v>44698.49854166667</v>
      </c>
      <c r="C258" s="1" t="n">
        <v>46182</v>
      </c>
      <c r="D258" t="inlineStr">
        <is>
          <t>GOTLANDS LÄN</t>
        </is>
      </c>
      <c r="E258" t="inlineStr">
        <is>
          <t>GOTLAND</t>
        </is>
      </c>
      <c r="G258" t="n">
        <v>4.1</v>
      </c>
      <c r="H258" t="n">
        <v>0</v>
      </c>
      <c r="I258" t="n">
        <v>0</v>
      </c>
      <c r="J258" t="n">
        <v>0</v>
      </c>
      <c r="K258" t="n">
        <v>0</v>
      </c>
      <c r="L258" t="n">
        <v>0</v>
      </c>
      <c r="M258" t="n">
        <v>0</v>
      </c>
      <c r="N258" t="n">
        <v>0</v>
      </c>
      <c r="O258" t="n">
        <v>0</v>
      </c>
      <c r="P258" t="n">
        <v>0</v>
      </c>
      <c r="Q258" t="n">
        <v>0</v>
      </c>
      <c r="R258" s="2" t="inlineStr"/>
    </row>
    <row r="259" ht="15" customHeight="1">
      <c r="A259" t="inlineStr">
        <is>
          <t>A 31264-2021</t>
        </is>
      </c>
      <c r="B259" s="1" t="n">
        <v>44368</v>
      </c>
      <c r="C259" s="1" t="n">
        <v>46182</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33876-2024</t>
        </is>
      </c>
      <c r="B260" s="1" t="n">
        <v>45521.87988425926</v>
      </c>
      <c r="C260" s="1" t="n">
        <v>46182</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43951-2025</t>
        </is>
      </c>
      <c r="B261" s="1" t="n">
        <v>45915.38119212963</v>
      </c>
      <c r="C261" s="1" t="n">
        <v>46182</v>
      </c>
      <c r="D261" t="inlineStr">
        <is>
          <t>GOTLANDS LÄN</t>
        </is>
      </c>
      <c r="E261" t="inlineStr">
        <is>
          <t>GOTLAND</t>
        </is>
      </c>
      <c r="G261" t="n">
        <v>4.4</v>
      </c>
      <c r="H261" t="n">
        <v>0</v>
      </c>
      <c r="I261" t="n">
        <v>0</v>
      </c>
      <c r="J261" t="n">
        <v>0</v>
      </c>
      <c r="K261" t="n">
        <v>0</v>
      </c>
      <c r="L261" t="n">
        <v>0</v>
      </c>
      <c r="M261" t="n">
        <v>0</v>
      </c>
      <c r="N261" t="n">
        <v>0</v>
      </c>
      <c r="O261" t="n">
        <v>0</v>
      </c>
      <c r="P261" t="n">
        <v>0</v>
      </c>
      <c r="Q261" t="n">
        <v>0</v>
      </c>
      <c r="R261" s="2" t="inlineStr"/>
    </row>
    <row r="262" ht="15" customHeight="1">
      <c r="A262" t="inlineStr">
        <is>
          <t>A 43223-2023</t>
        </is>
      </c>
      <c r="B262" s="1" t="n">
        <v>45183.45642361111</v>
      </c>
      <c r="C262" s="1" t="n">
        <v>46182</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61962-2024</t>
        </is>
      </c>
      <c r="B263" s="1" t="n">
        <v>45653.54340277778</v>
      </c>
      <c r="C263" s="1" t="n">
        <v>46182</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46182</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35096-2025</t>
        </is>
      </c>
      <c r="B265" s="1" t="n">
        <v>45852.54356481481</v>
      </c>
      <c r="C265" s="1" t="n">
        <v>46182</v>
      </c>
      <c r="D265" t="inlineStr">
        <is>
          <t>GOTLANDS LÄN</t>
        </is>
      </c>
      <c r="E265" t="inlineStr">
        <is>
          <t>GOTLAND</t>
        </is>
      </c>
      <c r="F265" t="inlineStr">
        <is>
          <t>Kyrkan</t>
        </is>
      </c>
      <c r="G265" t="n">
        <v>1</v>
      </c>
      <c r="H265" t="n">
        <v>0</v>
      </c>
      <c r="I265" t="n">
        <v>0</v>
      </c>
      <c r="J265" t="n">
        <v>0</v>
      </c>
      <c r="K265" t="n">
        <v>0</v>
      </c>
      <c r="L265" t="n">
        <v>0</v>
      </c>
      <c r="M265" t="n">
        <v>0</v>
      </c>
      <c r="N265" t="n">
        <v>0</v>
      </c>
      <c r="O265" t="n">
        <v>0</v>
      </c>
      <c r="P265" t="n">
        <v>0</v>
      </c>
      <c r="Q265" t="n">
        <v>0</v>
      </c>
      <c r="R265" s="2" t="inlineStr"/>
    </row>
    <row r="266" ht="15" customHeight="1">
      <c r="A266" t="inlineStr">
        <is>
          <t>A 35123-2025</t>
        </is>
      </c>
      <c r="B266" s="1" t="n">
        <v>45852.614375</v>
      </c>
      <c r="C266" s="1" t="n">
        <v>46182</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48843-2024</t>
        </is>
      </c>
      <c r="B267" s="1" t="n">
        <v>45593</v>
      </c>
      <c r="C267" s="1" t="n">
        <v>46182</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35290-2025</t>
        </is>
      </c>
      <c r="B268" s="1" t="n">
        <v>45854.38502314815</v>
      </c>
      <c r="C268" s="1" t="n">
        <v>46182</v>
      </c>
      <c r="D268" t="inlineStr">
        <is>
          <t>GOTLANDS LÄN</t>
        </is>
      </c>
      <c r="E268" t="inlineStr">
        <is>
          <t>GOTLAND</t>
        </is>
      </c>
      <c r="G268" t="n">
        <v>5.4</v>
      </c>
      <c r="H268" t="n">
        <v>0</v>
      </c>
      <c r="I268" t="n">
        <v>0</v>
      </c>
      <c r="J268" t="n">
        <v>0</v>
      </c>
      <c r="K268" t="n">
        <v>0</v>
      </c>
      <c r="L268" t="n">
        <v>0</v>
      </c>
      <c r="M268" t="n">
        <v>0</v>
      </c>
      <c r="N268" t="n">
        <v>0</v>
      </c>
      <c r="O268" t="n">
        <v>0</v>
      </c>
      <c r="P268" t="n">
        <v>0</v>
      </c>
      <c r="Q268" t="n">
        <v>0</v>
      </c>
      <c r="R268" s="2" t="inlineStr"/>
    </row>
    <row r="269" ht="15" customHeight="1">
      <c r="A269" t="inlineStr">
        <is>
          <t>A 30104-2025</t>
        </is>
      </c>
      <c r="B269" s="1" t="n">
        <v>45826.68806712963</v>
      </c>
      <c r="C269" s="1" t="n">
        <v>46182</v>
      </c>
      <c r="D269" t="inlineStr">
        <is>
          <t>GOTLANDS LÄN</t>
        </is>
      </c>
      <c r="E269" t="inlineStr">
        <is>
          <t>GOTLAND</t>
        </is>
      </c>
      <c r="G269" t="n">
        <v>15.4</v>
      </c>
      <c r="H269" t="n">
        <v>0</v>
      </c>
      <c r="I269" t="n">
        <v>0</v>
      </c>
      <c r="J269" t="n">
        <v>0</v>
      </c>
      <c r="K269" t="n">
        <v>0</v>
      </c>
      <c r="L269" t="n">
        <v>0</v>
      </c>
      <c r="M269" t="n">
        <v>0</v>
      </c>
      <c r="N269" t="n">
        <v>0</v>
      </c>
      <c r="O269" t="n">
        <v>0</v>
      </c>
      <c r="P269" t="n">
        <v>0</v>
      </c>
      <c r="Q269" t="n">
        <v>0</v>
      </c>
      <c r="R269" s="2" t="inlineStr"/>
    </row>
    <row r="270" ht="15" customHeight="1">
      <c r="A270" t="inlineStr">
        <is>
          <t>A 32669-2024</t>
        </is>
      </c>
      <c r="B270" s="1" t="n">
        <v>45514</v>
      </c>
      <c r="C270" s="1" t="n">
        <v>46182</v>
      </c>
      <c r="D270" t="inlineStr">
        <is>
          <t>GOTLANDS LÄN</t>
        </is>
      </c>
      <c r="E270" t="inlineStr">
        <is>
          <t>GOTLAND</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5751-2024</t>
        </is>
      </c>
      <c r="B271" s="1" t="n">
        <v>45335.32702546296</v>
      </c>
      <c r="C271" s="1" t="n">
        <v>46182</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6696-2023</t>
        </is>
      </c>
      <c r="B272" s="1" t="n">
        <v>44966.66425925926</v>
      </c>
      <c r="C272" s="1" t="n">
        <v>46182</v>
      </c>
      <c r="D272" t="inlineStr">
        <is>
          <t>GOTLANDS LÄN</t>
        </is>
      </c>
      <c r="E272" t="inlineStr">
        <is>
          <t>GOTLAND</t>
        </is>
      </c>
      <c r="G272" t="n">
        <v>1.5</v>
      </c>
      <c r="H272" t="n">
        <v>0</v>
      </c>
      <c r="I272" t="n">
        <v>0</v>
      </c>
      <c r="J272" t="n">
        <v>0</v>
      </c>
      <c r="K272" t="n">
        <v>0</v>
      </c>
      <c r="L272" t="n">
        <v>0</v>
      </c>
      <c r="M272" t="n">
        <v>0</v>
      </c>
      <c r="N272" t="n">
        <v>0</v>
      </c>
      <c r="O272" t="n">
        <v>0</v>
      </c>
      <c r="P272" t="n">
        <v>0</v>
      </c>
      <c r="Q272" t="n">
        <v>0</v>
      </c>
      <c r="R272" s="2" t="inlineStr"/>
    </row>
    <row r="273" ht="15" customHeight="1">
      <c r="A273" t="inlineStr">
        <is>
          <t>A 28485-2023</t>
        </is>
      </c>
      <c r="B273" s="1" t="n">
        <v>45103.43731481482</v>
      </c>
      <c r="C273" s="1" t="n">
        <v>46182</v>
      </c>
      <c r="D273" t="inlineStr">
        <is>
          <t>GOTLANDS LÄN</t>
        </is>
      </c>
      <c r="E273" t="inlineStr">
        <is>
          <t>GOTLAND</t>
        </is>
      </c>
      <c r="G273" t="n">
        <v>2.3</v>
      </c>
      <c r="H273" t="n">
        <v>0</v>
      </c>
      <c r="I273" t="n">
        <v>0</v>
      </c>
      <c r="J273" t="n">
        <v>0</v>
      </c>
      <c r="K273" t="n">
        <v>0</v>
      </c>
      <c r="L273" t="n">
        <v>0</v>
      </c>
      <c r="M273" t="n">
        <v>0</v>
      </c>
      <c r="N273" t="n">
        <v>0</v>
      </c>
      <c r="O273" t="n">
        <v>0</v>
      </c>
      <c r="P273" t="n">
        <v>0</v>
      </c>
      <c r="Q273" t="n">
        <v>0</v>
      </c>
      <c r="R273" s="2" t="inlineStr"/>
    </row>
    <row r="274" ht="15" customHeight="1">
      <c r="A274" t="inlineStr">
        <is>
          <t>A 4990-2025</t>
        </is>
      </c>
      <c r="B274" s="1" t="n">
        <v>45691</v>
      </c>
      <c r="C274" s="1" t="n">
        <v>46182</v>
      </c>
      <c r="D274" t="inlineStr">
        <is>
          <t>GOTLANDS LÄN</t>
        </is>
      </c>
      <c r="E274" t="inlineStr">
        <is>
          <t>GOTLAND</t>
        </is>
      </c>
      <c r="G274" t="n">
        <v>7.7</v>
      </c>
      <c r="H274" t="n">
        <v>0</v>
      </c>
      <c r="I274" t="n">
        <v>0</v>
      </c>
      <c r="J274" t="n">
        <v>0</v>
      </c>
      <c r="K274" t="n">
        <v>0</v>
      </c>
      <c r="L274" t="n">
        <v>0</v>
      </c>
      <c r="M274" t="n">
        <v>0</v>
      </c>
      <c r="N274" t="n">
        <v>0</v>
      </c>
      <c r="O274" t="n">
        <v>0</v>
      </c>
      <c r="P274" t="n">
        <v>0</v>
      </c>
      <c r="Q274" t="n">
        <v>0</v>
      </c>
      <c r="R274" s="2" t="inlineStr"/>
    </row>
    <row r="275" ht="15" customHeight="1">
      <c r="A275" t="inlineStr">
        <is>
          <t>A 10653-2023</t>
        </is>
      </c>
      <c r="B275" s="1" t="n">
        <v>44988.48859953704</v>
      </c>
      <c r="C275" s="1" t="n">
        <v>46182</v>
      </c>
      <c r="D275" t="inlineStr">
        <is>
          <t>GOTLANDS LÄN</t>
        </is>
      </c>
      <c r="E275" t="inlineStr">
        <is>
          <t>GOTLAND</t>
        </is>
      </c>
      <c r="F275" t="inlineStr">
        <is>
          <t>Kyrkan</t>
        </is>
      </c>
      <c r="G275" t="n">
        <v>3</v>
      </c>
      <c r="H275" t="n">
        <v>0</v>
      </c>
      <c r="I275" t="n">
        <v>0</v>
      </c>
      <c r="J275" t="n">
        <v>0</v>
      </c>
      <c r="K275" t="n">
        <v>0</v>
      </c>
      <c r="L275" t="n">
        <v>0</v>
      </c>
      <c r="M275" t="n">
        <v>0</v>
      </c>
      <c r="N275" t="n">
        <v>0</v>
      </c>
      <c r="O275" t="n">
        <v>0</v>
      </c>
      <c r="P275" t="n">
        <v>0</v>
      </c>
      <c r="Q275" t="n">
        <v>0</v>
      </c>
      <c r="R275" s="2" t="inlineStr"/>
    </row>
    <row r="276" ht="15" customHeight="1">
      <c r="A276" t="inlineStr">
        <is>
          <t>A 35512-2023</t>
        </is>
      </c>
      <c r="B276" s="1" t="n">
        <v>45147.25623842593</v>
      </c>
      <c r="C276" s="1" t="n">
        <v>46182</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30488-2025</t>
        </is>
      </c>
      <c r="B277" s="1" t="n">
        <v>45830</v>
      </c>
      <c r="C277" s="1" t="n">
        <v>46182</v>
      </c>
      <c r="D277" t="inlineStr">
        <is>
          <t>GOTLANDS LÄN</t>
        </is>
      </c>
      <c r="E277" t="inlineStr">
        <is>
          <t>GOTLAND</t>
        </is>
      </c>
      <c r="F277" t="inlineStr">
        <is>
          <t>Kyrkan</t>
        </is>
      </c>
      <c r="G277" t="n">
        <v>3.9</v>
      </c>
      <c r="H277" t="n">
        <v>0</v>
      </c>
      <c r="I277" t="n">
        <v>0</v>
      </c>
      <c r="J277" t="n">
        <v>0</v>
      </c>
      <c r="K277" t="n">
        <v>0</v>
      </c>
      <c r="L277" t="n">
        <v>0</v>
      </c>
      <c r="M277" t="n">
        <v>0</v>
      </c>
      <c r="N277" t="n">
        <v>0</v>
      </c>
      <c r="O277" t="n">
        <v>0</v>
      </c>
      <c r="P277" t="n">
        <v>0</v>
      </c>
      <c r="Q277" t="n">
        <v>0</v>
      </c>
      <c r="R277" s="2" t="inlineStr"/>
    </row>
    <row r="278" ht="15" customHeight="1">
      <c r="A278" t="inlineStr">
        <is>
          <t>A 15216-2025</t>
        </is>
      </c>
      <c r="B278" s="1" t="n">
        <v>45744</v>
      </c>
      <c r="C278" s="1" t="n">
        <v>46182</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15001-2025</t>
        </is>
      </c>
      <c r="B279" s="1" t="n">
        <v>45743</v>
      </c>
      <c r="C279" s="1" t="n">
        <v>46182</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43790-2024</t>
        </is>
      </c>
      <c r="B280" s="1" t="n">
        <v>45571</v>
      </c>
      <c r="C280" s="1" t="n">
        <v>46182</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17847-2025</t>
        </is>
      </c>
      <c r="B281" s="1" t="n">
        <v>45758</v>
      </c>
      <c r="C281" s="1" t="n">
        <v>46182</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11874-2024</t>
        </is>
      </c>
      <c r="B282" s="1" t="n">
        <v>45376.46956018519</v>
      </c>
      <c r="C282" s="1" t="n">
        <v>46182</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18742-2025</t>
        </is>
      </c>
      <c r="B283" s="1" t="n">
        <v>45763</v>
      </c>
      <c r="C283" s="1" t="n">
        <v>46182</v>
      </c>
      <c r="D283" t="inlineStr">
        <is>
          <t>GOTLANDS LÄN</t>
        </is>
      </c>
      <c r="E283" t="inlineStr">
        <is>
          <t>GOTLAND</t>
        </is>
      </c>
      <c r="G283" t="n">
        <v>3.4</v>
      </c>
      <c r="H283" t="n">
        <v>0</v>
      </c>
      <c r="I283" t="n">
        <v>0</v>
      </c>
      <c r="J283" t="n">
        <v>0</v>
      </c>
      <c r="K283" t="n">
        <v>0</v>
      </c>
      <c r="L283" t="n">
        <v>0</v>
      </c>
      <c r="M283" t="n">
        <v>0</v>
      </c>
      <c r="N283" t="n">
        <v>0</v>
      </c>
      <c r="O283" t="n">
        <v>0</v>
      </c>
      <c r="P283" t="n">
        <v>0</v>
      </c>
      <c r="Q283" t="n">
        <v>0</v>
      </c>
      <c r="R283" s="2" t="inlineStr"/>
    </row>
    <row r="284" ht="15" customHeight="1">
      <c r="A284" t="inlineStr">
        <is>
          <t>A 35129-2025</t>
        </is>
      </c>
      <c r="B284" s="1" t="n">
        <v>45852.63224537037</v>
      </c>
      <c r="C284" s="1" t="n">
        <v>46182</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1677-2023</t>
        </is>
      </c>
      <c r="B285" s="1" t="n">
        <v>44938</v>
      </c>
      <c r="C285" s="1" t="n">
        <v>46182</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64831-2023</t>
        </is>
      </c>
      <c r="B286" s="1" t="n">
        <v>45282.44924768519</v>
      </c>
      <c r="C286" s="1" t="n">
        <v>46182</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49693-2023</t>
        </is>
      </c>
      <c r="B287" s="1" t="n">
        <v>45212.38138888889</v>
      </c>
      <c r="C287" s="1" t="n">
        <v>46182</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49697-2023</t>
        </is>
      </c>
      <c r="B288" s="1" t="n">
        <v>45212.38909722222</v>
      </c>
      <c r="C288" s="1" t="n">
        <v>46182</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34312-2024</t>
        </is>
      </c>
      <c r="B289" s="1" t="n">
        <v>45524.69703703704</v>
      </c>
      <c r="C289" s="1" t="n">
        <v>46182</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8036-2022</t>
        </is>
      </c>
      <c r="B290" s="1" t="n">
        <v>44609.44362268518</v>
      </c>
      <c r="C290" s="1" t="n">
        <v>46182</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48503-2023</t>
        </is>
      </c>
      <c r="B291" s="1" t="n">
        <v>45207</v>
      </c>
      <c r="C291" s="1" t="n">
        <v>46182</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30489-2025</t>
        </is>
      </c>
      <c r="B292" s="1" t="n">
        <v>45830</v>
      </c>
      <c r="C292" s="1" t="n">
        <v>46182</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21142-2025</t>
        </is>
      </c>
      <c r="B293" s="1" t="n">
        <v>45779</v>
      </c>
      <c r="C293" s="1" t="n">
        <v>46182</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62915-2021</t>
        </is>
      </c>
      <c r="B294" s="1" t="n">
        <v>44504</v>
      </c>
      <c r="C294" s="1" t="n">
        <v>46182</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6108-2025</t>
        </is>
      </c>
      <c r="B295" s="1" t="n">
        <v>45698.29880787037</v>
      </c>
      <c r="C295" s="1" t="n">
        <v>46182</v>
      </c>
      <c r="D295" t="inlineStr">
        <is>
          <t>GOTLANDS LÄN</t>
        </is>
      </c>
      <c r="E295" t="inlineStr">
        <is>
          <t>GOTLAND</t>
        </is>
      </c>
      <c r="G295" t="n">
        <v>2.8</v>
      </c>
      <c r="H295" t="n">
        <v>0</v>
      </c>
      <c r="I295" t="n">
        <v>0</v>
      </c>
      <c r="J295" t="n">
        <v>0</v>
      </c>
      <c r="K295" t="n">
        <v>0</v>
      </c>
      <c r="L295" t="n">
        <v>0</v>
      </c>
      <c r="M295" t="n">
        <v>0</v>
      </c>
      <c r="N295" t="n">
        <v>0</v>
      </c>
      <c r="O295" t="n">
        <v>0</v>
      </c>
      <c r="P295" t="n">
        <v>0</v>
      </c>
      <c r="Q295" t="n">
        <v>0</v>
      </c>
      <c r="R295" s="2" t="inlineStr"/>
    </row>
    <row r="296" ht="15" customHeight="1">
      <c r="A296" t="inlineStr">
        <is>
          <t>A 24825-2024</t>
        </is>
      </c>
      <c r="B296" s="1" t="n">
        <v>45461</v>
      </c>
      <c r="C296" s="1" t="n">
        <v>46182</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7638-2025</t>
        </is>
      </c>
      <c r="B297" s="1" t="n">
        <v>45705.77306712963</v>
      </c>
      <c r="C297" s="1" t="n">
        <v>46182</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26391-2025</t>
        </is>
      </c>
      <c r="B298" s="1" t="n">
        <v>45806</v>
      </c>
      <c r="C298" s="1" t="n">
        <v>46182</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17343-2025</t>
        </is>
      </c>
      <c r="B299" s="1" t="n">
        <v>45756.6687037037</v>
      </c>
      <c r="C299" s="1" t="n">
        <v>46182</v>
      </c>
      <c r="D299" t="inlineStr">
        <is>
          <t>GOTLANDS LÄN</t>
        </is>
      </c>
      <c r="E299" t="inlineStr">
        <is>
          <t>GOTLAND</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18938-2025</t>
        </is>
      </c>
      <c r="B300" s="1" t="n">
        <v>45764.49172453704</v>
      </c>
      <c r="C300" s="1" t="n">
        <v>46182</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20307-2025</t>
        </is>
      </c>
      <c r="B301" s="1" t="n">
        <v>45774.95546296296</v>
      </c>
      <c r="C301" s="1" t="n">
        <v>46182</v>
      </c>
      <c r="D301" t="inlineStr">
        <is>
          <t>GOTLANDS LÄN</t>
        </is>
      </c>
      <c r="E301" t="inlineStr">
        <is>
          <t>GOTLAND</t>
        </is>
      </c>
      <c r="G301" t="n">
        <v>6.8</v>
      </c>
      <c r="H301" t="n">
        <v>0</v>
      </c>
      <c r="I301" t="n">
        <v>0</v>
      </c>
      <c r="J301" t="n">
        <v>0</v>
      </c>
      <c r="K301" t="n">
        <v>0</v>
      </c>
      <c r="L301" t="n">
        <v>0</v>
      </c>
      <c r="M301" t="n">
        <v>0</v>
      </c>
      <c r="N301" t="n">
        <v>0</v>
      </c>
      <c r="O301" t="n">
        <v>0</v>
      </c>
      <c r="P301" t="n">
        <v>0</v>
      </c>
      <c r="Q301" t="n">
        <v>0</v>
      </c>
      <c r="R301" s="2" t="inlineStr"/>
    </row>
    <row r="302" ht="15" customHeight="1">
      <c r="A302" t="inlineStr">
        <is>
          <t>A 22031-2024</t>
        </is>
      </c>
      <c r="B302" s="1" t="n">
        <v>45443.60075231481</v>
      </c>
      <c r="C302" s="1" t="n">
        <v>46182</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17688-2024</t>
        </is>
      </c>
      <c r="B303" s="1" t="n">
        <v>45418.43575231481</v>
      </c>
      <c r="C303" s="1" t="n">
        <v>46182</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4377-2023</t>
        </is>
      </c>
      <c r="B304" s="1" t="n">
        <v>44955.5502662037</v>
      </c>
      <c r="C304" s="1" t="n">
        <v>46182</v>
      </c>
      <c r="D304" t="inlineStr">
        <is>
          <t>GOTLANDS LÄN</t>
        </is>
      </c>
      <c r="E304" t="inlineStr">
        <is>
          <t>GOTLAND</t>
        </is>
      </c>
      <c r="F304" t="inlineStr">
        <is>
          <t>Kyrkan</t>
        </is>
      </c>
      <c r="G304" t="n">
        <v>0.6</v>
      </c>
      <c r="H304" t="n">
        <v>0</v>
      </c>
      <c r="I304" t="n">
        <v>0</v>
      </c>
      <c r="J304" t="n">
        <v>0</v>
      </c>
      <c r="K304" t="n">
        <v>0</v>
      </c>
      <c r="L304" t="n">
        <v>0</v>
      </c>
      <c r="M304" t="n">
        <v>0</v>
      </c>
      <c r="N304" t="n">
        <v>0</v>
      </c>
      <c r="O304" t="n">
        <v>0</v>
      </c>
      <c r="P304" t="n">
        <v>0</v>
      </c>
      <c r="Q304" t="n">
        <v>0</v>
      </c>
      <c r="R304" s="2" t="inlineStr"/>
    </row>
    <row r="305" ht="15" customHeight="1">
      <c r="A305" t="inlineStr">
        <is>
          <t>A 46836-2025</t>
        </is>
      </c>
      <c r="B305" s="1" t="n">
        <v>45928.31511574074</v>
      </c>
      <c r="C305" s="1" t="n">
        <v>46182</v>
      </c>
      <c r="D305" t="inlineStr">
        <is>
          <t>GOTLANDS LÄN</t>
        </is>
      </c>
      <c r="E305" t="inlineStr">
        <is>
          <t>GOTLAND</t>
        </is>
      </c>
      <c r="G305" t="n">
        <v>2.8</v>
      </c>
      <c r="H305" t="n">
        <v>0</v>
      </c>
      <c r="I305" t="n">
        <v>0</v>
      </c>
      <c r="J305" t="n">
        <v>0</v>
      </c>
      <c r="K305" t="n">
        <v>0</v>
      </c>
      <c r="L305" t="n">
        <v>0</v>
      </c>
      <c r="M305" t="n">
        <v>0</v>
      </c>
      <c r="N305" t="n">
        <v>0</v>
      </c>
      <c r="O305" t="n">
        <v>0</v>
      </c>
      <c r="P305" t="n">
        <v>0</v>
      </c>
      <c r="Q305" t="n">
        <v>0</v>
      </c>
      <c r="R305" s="2" t="inlineStr"/>
    </row>
    <row r="306" ht="15" customHeight="1">
      <c r="A306" t="inlineStr">
        <is>
          <t>A 43901-2023</t>
        </is>
      </c>
      <c r="B306" s="1" t="n">
        <v>45187</v>
      </c>
      <c r="C306" s="1" t="n">
        <v>46182</v>
      </c>
      <c r="D306" t="inlineStr">
        <is>
          <t>GOTLANDS LÄN</t>
        </is>
      </c>
      <c r="E306" t="inlineStr">
        <is>
          <t>GOTLAND</t>
        </is>
      </c>
      <c r="G306" t="n">
        <v>5.4</v>
      </c>
      <c r="H306" t="n">
        <v>0</v>
      </c>
      <c r="I306" t="n">
        <v>0</v>
      </c>
      <c r="J306" t="n">
        <v>0</v>
      </c>
      <c r="K306" t="n">
        <v>0</v>
      </c>
      <c r="L306" t="n">
        <v>0</v>
      </c>
      <c r="M306" t="n">
        <v>0</v>
      </c>
      <c r="N306" t="n">
        <v>0</v>
      </c>
      <c r="O306" t="n">
        <v>0</v>
      </c>
      <c r="P306" t="n">
        <v>0</v>
      </c>
      <c r="Q306" t="n">
        <v>0</v>
      </c>
      <c r="R306" s="2" t="inlineStr"/>
    </row>
    <row r="307" ht="15" customHeight="1">
      <c r="A307" t="inlineStr">
        <is>
          <t>A 17532-2024</t>
        </is>
      </c>
      <c r="B307" s="1" t="n">
        <v>45415</v>
      </c>
      <c r="C307" s="1" t="n">
        <v>46182</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47637-2025</t>
        </is>
      </c>
      <c r="B308" s="1" t="n">
        <v>45931.49753472222</v>
      </c>
      <c r="C308" s="1" t="n">
        <v>46182</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27694-2024</t>
        </is>
      </c>
      <c r="B309" s="1" t="n">
        <v>45475</v>
      </c>
      <c r="C309" s="1" t="n">
        <v>46182</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39764-2022</t>
        </is>
      </c>
      <c r="B310" s="1" t="n">
        <v>44819</v>
      </c>
      <c r="C310" s="1" t="n">
        <v>46182</v>
      </c>
      <c r="D310" t="inlineStr">
        <is>
          <t>GOTLANDS LÄN</t>
        </is>
      </c>
      <c r="E310" t="inlineStr">
        <is>
          <t>GOTLAND</t>
        </is>
      </c>
      <c r="F310" t="inlineStr">
        <is>
          <t>Kyrkan</t>
        </is>
      </c>
      <c r="G310" t="n">
        <v>3.7</v>
      </c>
      <c r="H310" t="n">
        <v>0</v>
      </c>
      <c r="I310" t="n">
        <v>0</v>
      </c>
      <c r="J310" t="n">
        <v>0</v>
      </c>
      <c r="K310" t="n">
        <v>0</v>
      </c>
      <c r="L310" t="n">
        <v>0</v>
      </c>
      <c r="M310" t="n">
        <v>0</v>
      </c>
      <c r="N310" t="n">
        <v>0</v>
      </c>
      <c r="O310" t="n">
        <v>0</v>
      </c>
      <c r="P310" t="n">
        <v>0</v>
      </c>
      <c r="Q310" t="n">
        <v>0</v>
      </c>
      <c r="R310" s="2" t="inlineStr"/>
    </row>
    <row r="311" ht="15" customHeight="1">
      <c r="A311" t="inlineStr">
        <is>
          <t>A 37222-2021</t>
        </is>
      </c>
      <c r="B311" s="1" t="n">
        <v>44396</v>
      </c>
      <c r="C311" s="1" t="n">
        <v>46182</v>
      </c>
      <c r="D311" t="inlineStr">
        <is>
          <t>GOTLANDS LÄN</t>
        </is>
      </c>
      <c r="E311" t="inlineStr">
        <is>
          <t>GOTLAND</t>
        </is>
      </c>
      <c r="G311" t="n">
        <v>3</v>
      </c>
      <c r="H311" t="n">
        <v>0</v>
      </c>
      <c r="I311" t="n">
        <v>0</v>
      </c>
      <c r="J311" t="n">
        <v>0</v>
      </c>
      <c r="K311" t="n">
        <v>0</v>
      </c>
      <c r="L311" t="n">
        <v>0</v>
      </c>
      <c r="M311" t="n">
        <v>0</v>
      </c>
      <c r="N311" t="n">
        <v>0</v>
      </c>
      <c r="O311" t="n">
        <v>0</v>
      </c>
      <c r="P311" t="n">
        <v>0</v>
      </c>
      <c r="Q311" t="n">
        <v>0</v>
      </c>
      <c r="R311" s="2" t="inlineStr"/>
    </row>
    <row r="312" ht="15" customHeight="1">
      <c r="A312" t="inlineStr">
        <is>
          <t>A 6099-2024</t>
        </is>
      </c>
      <c r="B312" s="1" t="n">
        <v>45337</v>
      </c>
      <c r="C312" s="1" t="n">
        <v>46182</v>
      </c>
      <c r="D312" t="inlineStr">
        <is>
          <t>GOTLANDS LÄN</t>
        </is>
      </c>
      <c r="E312" t="inlineStr">
        <is>
          <t>GOTLAND</t>
        </is>
      </c>
      <c r="G312" t="n">
        <v>12.6</v>
      </c>
      <c r="H312" t="n">
        <v>0</v>
      </c>
      <c r="I312" t="n">
        <v>0</v>
      </c>
      <c r="J312" t="n">
        <v>0</v>
      </c>
      <c r="K312" t="n">
        <v>0</v>
      </c>
      <c r="L312" t="n">
        <v>0</v>
      </c>
      <c r="M312" t="n">
        <v>0</v>
      </c>
      <c r="N312" t="n">
        <v>0</v>
      </c>
      <c r="O312" t="n">
        <v>0</v>
      </c>
      <c r="P312" t="n">
        <v>0</v>
      </c>
      <c r="Q312" t="n">
        <v>0</v>
      </c>
      <c r="R312" s="2" t="inlineStr"/>
    </row>
    <row r="313" ht="15" customHeight="1">
      <c r="A313" t="inlineStr">
        <is>
          <t>A 32378-2025</t>
        </is>
      </c>
      <c r="B313" s="1" t="n">
        <v>45837</v>
      </c>
      <c r="C313" s="1" t="n">
        <v>46182</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46182</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38649-2025</t>
        </is>
      </c>
      <c r="B315" s="1" t="n">
        <v>45884</v>
      </c>
      <c r="C315" s="1" t="n">
        <v>46182</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46396-2023</t>
        </is>
      </c>
      <c r="B316" s="1" t="n">
        <v>45197</v>
      </c>
      <c r="C316" s="1" t="n">
        <v>46182</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22287-2022</t>
        </is>
      </c>
      <c r="B317" s="1" t="n">
        <v>44712</v>
      </c>
      <c r="C317" s="1" t="n">
        <v>46182</v>
      </c>
      <c r="D317" t="inlineStr">
        <is>
          <t>GOTLANDS LÄN</t>
        </is>
      </c>
      <c r="E317" t="inlineStr">
        <is>
          <t>GOTLAND</t>
        </is>
      </c>
      <c r="G317" t="n">
        <v>6.1</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46182</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57534-2022</t>
        </is>
      </c>
      <c r="B319" s="1" t="n">
        <v>44896</v>
      </c>
      <c r="C319" s="1" t="n">
        <v>46182</v>
      </c>
      <c r="D319" t="inlineStr">
        <is>
          <t>GOTLANDS LÄN</t>
        </is>
      </c>
      <c r="E319" t="inlineStr">
        <is>
          <t>GOTLAND</t>
        </is>
      </c>
      <c r="G319" t="n">
        <v>0.6</v>
      </c>
      <c r="H319" t="n">
        <v>0</v>
      </c>
      <c r="I319" t="n">
        <v>0</v>
      </c>
      <c r="J319" t="n">
        <v>0</v>
      </c>
      <c r="K319" t="n">
        <v>0</v>
      </c>
      <c r="L319" t="n">
        <v>0</v>
      </c>
      <c r="M319" t="n">
        <v>0</v>
      </c>
      <c r="N319" t="n">
        <v>0</v>
      </c>
      <c r="O319" t="n">
        <v>0</v>
      </c>
      <c r="P319" t="n">
        <v>0</v>
      </c>
      <c r="Q319" t="n">
        <v>0</v>
      </c>
      <c r="R319" s="2" t="inlineStr"/>
    </row>
    <row r="320" ht="15" customHeight="1">
      <c r="A320" t="inlineStr">
        <is>
          <t>A 61078-2025</t>
        </is>
      </c>
      <c r="B320" s="1" t="n">
        <v>46000</v>
      </c>
      <c r="C320" s="1" t="n">
        <v>46182</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36-2026</t>
        </is>
      </c>
      <c r="B321" s="1" t="n">
        <v>46024.38886574074</v>
      </c>
      <c r="C321" s="1" t="n">
        <v>46182</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35550-2025</t>
        </is>
      </c>
      <c r="B322" s="1" t="n">
        <v>45856.49324074074</v>
      </c>
      <c r="C322" s="1" t="n">
        <v>46182</v>
      </c>
      <c r="D322" t="inlineStr">
        <is>
          <t>GOTLANDS LÄN</t>
        </is>
      </c>
      <c r="E322" t="inlineStr">
        <is>
          <t>GOTLAND</t>
        </is>
      </c>
      <c r="G322" t="n">
        <v>3.2</v>
      </c>
      <c r="H322" t="n">
        <v>0</v>
      </c>
      <c r="I322" t="n">
        <v>0</v>
      </c>
      <c r="J322" t="n">
        <v>0</v>
      </c>
      <c r="K322" t="n">
        <v>0</v>
      </c>
      <c r="L322" t="n">
        <v>0</v>
      </c>
      <c r="M322" t="n">
        <v>0</v>
      </c>
      <c r="N322" t="n">
        <v>0</v>
      </c>
      <c r="O322" t="n">
        <v>0</v>
      </c>
      <c r="P322" t="n">
        <v>0</v>
      </c>
      <c r="Q322" t="n">
        <v>0</v>
      </c>
      <c r="R322" s="2" t="inlineStr"/>
    </row>
    <row r="323" ht="15" customHeight="1">
      <c r="A323" t="inlineStr">
        <is>
          <t>A 47578-2025</t>
        </is>
      </c>
      <c r="B323" s="1" t="n">
        <v>45931</v>
      </c>
      <c r="C323" s="1" t="n">
        <v>46182</v>
      </c>
      <c r="D323" t="inlineStr">
        <is>
          <t>GOTLANDS LÄN</t>
        </is>
      </c>
      <c r="E323" t="inlineStr">
        <is>
          <t>GOTLAND</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33011-2025</t>
        </is>
      </c>
      <c r="B324" s="1" t="n">
        <v>45840</v>
      </c>
      <c r="C324" s="1" t="n">
        <v>46182</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49690-2025</t>
        </is>
      </c>
      <c r="B325" s="1" t="n">
        <v>45939.66730324074</v>
      </c>
      <c r="C325" s="1" t="n">
        <v>46182</v>
      </c>
      <c r="D325" t="inlineStr">
        <is>
          <t>GOTLANDS LÄN</t>
        </is>
      </c>
      <c r="E325" t="inlineStr">
        <is>
          <t>GOTLAND</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64660-2023</t>
        </is>
      </c>
      <c r="B326" s="1" t="n">
        <v>45281.60122685185</v>
      </c>
      <c r="C326" s="1" t="n">
        <v>46182</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58132-2023</t>
        </is>
      </c>
      <c r="B327" s="1" t="n">
        <v>45250</v>
      </c>
      <c r="C327" s="1" t="n">
        <v>46182</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22899-2023</t>
        </is>
      </c>
      <c r="B328" s="1" t="n">
        <v>45072</v>
      </c>
      <c r="C328" s="1" t="n">
        <v>46182</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28285-2024</t>
        </is>
      </c>
      <c r="B329" s="1" t="n">
        <v>45477</v>
      </c>
      <c r="C329" s="1" t="n">
        <v>46182</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51963-2024</t>
        </is>
      </c>
      <c r="B330" s="1" t="n">
        <v>45607.64833333333</v>
      </c>
      <c r="C330" s="1" t="n">
        <v>46182</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49730-2025</t>
        </is>
      </c>
      <c r="B331" s="1" t="n">
        <v>45939.87613425926</v>
      </c>
      <c r="C331" s="1" t="n">
        <v>46182</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20855-2023</t>
        </is>
      </c>
      <c r="B332" s="1" t="n">
        <v>45058.82172453704</v>
      </c>
      <c r="C332" s="1" t="n">
        <v>46182</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2415-2026</t>
        </is>
      </c>
      <c r="B333" s="1" t="n">
        <v>46036.76203703704</v>
      </c>
      <c r="C333" s="1" t="n">
        <v>46182</v>
      </c>
      <c r="D333" t="inlineStr">
        <is>
          <t>GOTLANDS LÄN</t>
        </is>
      </c>
      <c r="E333" t="inlineStr">
        <is>
          <t>GOTLAND</t>
        </is>
      </c>
      <c r="G333" t="n">
        <v>6.9</v>
      </c>
      <c r="H333" t="n">
        <v>0</v>
      </c>
      <c r="I333" t="n">
        <v>0</v>
      </c>
      <c r="J333" t="n">
        <v>0</v>
      </c>
      <c r="K333" t="n">
        <v>0</v>
      </c>
      <c r="L333" t="n">
        <v>0</v>
      </c>
      <c r="M333" t="n">
        <v>0</v>
      </c>
      <c r="N333" t="n">
        <v>0</v>
      </c>
      <c r="O333" t="n">
        <v>0</v>
      </c>
      <c r="P333" t="n">
        <v>0</v>
      </c>
      <c r="Q333" t="n">
        <v>0</v>
      </c>
      <c r="R333" s="2" t="inlineStr"/>
    </row>
    <row r="334" ht="15" customHeight="1">
      <c r="A334" t="inlineStr">
        <is>
          <t>A 1734-2025</t>
        </is>
      </c>
      <c r="B334" s="1" t="n">
        <v>45671.3840625</v>
      </c>
      <c r="C334" s="1" t="n">
        <v>46182</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30365-2024</t>
        </is>
      </c>
      <c r="B335" s="1" t="n">
        <v>45491.3716087963</v>
      </c>
      <c r="C335" s="1" t="n">
        <v>46182</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60709-2023</t>
        </is>
      </c>
      <c r="B336" s="1" t="n">
        <v>45260</v>
      </c>
      <c r="C336" s="1" t="n">
        <v>46182</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2674-2023</t>
        </is>
      </c>
      <c r="B337" s="1" t="n">
        <v>44944</v>
      </c>
      <c r="C337" s="1" t="n">
        <v>46182</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61100-2022</t>
        </is>
      </c>
      <c r="B338" s="1" t="n">
        <v>44915</v>
      </c>
      <c r="C338" s="1" t="n">
        <v>46182</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1000-2024</t>
        </is>
      </c>
      <c r="B339" s="1" t="n">
        <v>45301.63371527778</v>
      </c>
      <c r="C339" s="1" t="n">
        <v>46182</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1010-2024</t>
        </is>
      </c>
      <c r="B340" s="1" t="n">
        <v>45301</v>
      </c>
      <c r="C340" s="1" t="n">
        <v>46182</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65249-2023</t>
        </is>
      </c>
      <c r="B341" s="1" t="n">
        <v>45290</v>
      </c>
      <c r="C341" s="1" t="n">
        <v>46182</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30956-2024</t>
        </is>
      </c>
      <c r="B342" s="1" t="n">
        <v>45499.42527777778</v>
      </c>
      <c r="C342" s="1" t="n">
        <v>46182</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12596-2023</t>
        </is>
      </c>
      <c r="B343" s="1" t="n">
        <v>45000.43310185185</v>
      </c>
      <c r="C343" s="1" t="n">
        <v>46182</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50928-2025</t>
        </is>
      </c>
      <c r="B344" s="1" t="n">
        <v>45946.67896990741</v>
      </c>
      <c r="C344" s="1" t="n">
        <v>46182</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10655-2023</t>
        </is>
      </c>
      <c r="B345" s="1" t="n">
        <v>44988.49543981482</v>
      </c>
      <c r="C345" s="1" t="n">
        <v>46182</v>
      </c>
      <c r="D345" t="inlineStr">
        <is>
          <t>GOTLANDS LÄN</t>
        </is>
      </c>
      <c r="E345" t="inlineStr">
        <is>
          <t>GOTLAND</t>
        </is>
      </c>
      <c r="F345" t="inlineStr">
        <is>
          <t>Kyrkan</t>
        </is>
      </c>
      <c r="G345" t="n">
        <v>2</v>
      </c>
      <c r="H345" t="n">
        <v>0</v>
      </c>
      <c r="I345" t="n">
        <v>0</v>
      </c>
      <c r="J345" t="n">
        <v>0</v>
      </c>
      <c r="K345" t="n">
        <v>0</v>
      </c>
      <c r="L345" t="n">
        <v>0</v>
      </c>
      <c r="M345" t="n">
        <v>0</v>
      </c>
      <c r="N345" t="n">
        <v>0</v>
      </c>
      <c r="O345" t="n">
        <v>0</v>
      </c>
      <c r="P345" t="n">
        <v>0</v>
      </c>
      <c r="Q345" t="n">
        <v>0</v>
      </c>
      <c r="R345" s="2" t="inlineStr"/>
    </row>
    <row r="346" ht="15" customHeight="1">
      <c r="A346" t="inlineStr">
        <is>
          <t>A 8045-2022</t>
        </is>
      </c>
      <c r="B346" s="1" t="n">
        <v>44609</v>
      </c>
      <c r="C346" s="1" t="n">
        <v>46182</v>
      </c>
      <c r="D346" t="inlineStr">
        <is>
          <t>GOTLANDS LÄN</t>
        </is>
      </c>
      <c r="E346" t="inlineStr">
        <is>
          <t>GOTLAND</t>
        </is>
      </c>
      <c r="G346" t="n">
        <v>7</v>
      </c>
      <c r="H346" t="n">
        <v>0</v>
      </c>
      <c r="I346" t="n">
        <v>0</v>
      </c>
      <c r="J346" t="n">
        <v>0</v>
      </c>
      <c r="K346" t="n">
        <v>0</v>
      </c>
      <c r="L346" t="n">
        <v>0</v>
      </c>
      <c r="M346" t="n">
        <v>0</v>
      </c>
      <c r="N346" t="n">
        <v>0</v>
      </c>
      <c r="O346" t="n">
        <v>0</v>
      </c>
      <c r="P346" t="n">
        <v>0</v>
      </c>
      <c r="Q346" t="n">
        <v>0</v>
      </c>
      <c r="R346" s="2" t="inlineStr"/>
    </row>
    <row r="347" ht="15" customHeight="1">
      <c r="A347" t="inlineStr">
        <is>
          <t>A 44649-2021</t>
        </is>
      </c>
      <c r="B347" s="1" t="n">
        <v>44437</v>
      </c>
      <c r="C347" s="1" t="n">
        <v>46182</v>
      </c>
      <c r="D347" t="inlineStr">
        <is>
          <t>GOTLANDS LÄN</t>
        </is>
      </c>
      <c r="E347" t="inlineStr">
        <is>
          <t>GOTLAND</t>
        </is>
      </c>
      <c r="G347" t="n">
        <v>8.1</v>
      </c>
      <c r="H347" t="n">
        <v>0</v>
      </c>
      <c r="I347" t="n">
        <v>0</v>
      </c>
      <c r="J347" t="n">
        <v>0</v>
      </c>
      <c r="K347" t="n">
        <v>0</v>
      </c>
      <c r="L347" t="n">
        <v>0</v>
      </c>
      <c r="M347" t="n">
        <v>0</v>
      </c>
      <c r="N347" t="n">
        <v>0</v>
      </c>
      <c r="O347" t="n">
        <v>0</v>
      </c>
      <c r="P347" t="n">
        <v>0</v>
      </c>
      <c r="Q347" t="n">
        <v>0</v>
      </c>
      <c r="R347" s="2" t="inlineStr"/>
    </row>
    <row r="348" ht="15" customHeight="1">
      <c r="A348" t="inlineStr">
        <is>
          <t>A 8484-2025</t>
        </is>
      </c>
      <c r="B348" s="1" t="n">
        <v>45709</v>
      </c>
      <c r="C348" s="1" t="n">
        <v>46182</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999-2024</t>
        </is>
      </c>
      <c r="B349" s="1" t="n">
        <v>45301</v>
      </c>
      <c r="C349" s="1" t="n">
        <v>46182</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65901-2021</t>
        </is>
      </c>
      <c r="B350" s="1" t="n">
        <v>44516</v>
      </c>
      <c r="C350" s="1" t="n">
        <v>46182</v>
      </c>
      <c r="D350" t="inlineStr">
        <is>
          <t>GOTLANDS LÄN</t>
        </is>
      </c>
      <c r="E350" t="inlineStr">
        <is>
          <t>GOTLAND</t>
        </is>
      </c>
      <c r="G350" t="n">
        <v>4.9</v>
      </c>
      <c r="H350" t="n">
        <v>0</v>
      </c>
      <c r="I350" t="n">
        <v>0</v>
      </c>
      <c r="J350" t="n">
        <v>0</v>
      </c>
      <c r="K350" t="n">
        <v>0</v>
      </c>
      <c r="L350" t="n">
        <v>0</v>
      </c>
      <c r="M350" t="n">
        <v>0</v>
      </c>
      <c r="N350" t="n">
        <v>0</v>
      </c>
      <c r="O350" t="n">
        <v>0</v>
      </c>
      <c r="P350" t="n">
        <v>0</v>
      </c>
      <c r="Q350" t="n">
        <v>0</v>
      </c>
      <c r="R350" s="2" t="inlineStr"/>
    </row>
    <row r="351" ht="15" customHeight="1">
      <c r="A351" t="inlineStr">
        <is>
          <t>A 47762-2023</t>
        </is>
      </c>
      <c r="B351" s="1" t="n">
        <v>45203.86256944444</v>
      </c>
      <c r="C351" s="1" t="n">
        <v>46182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46182</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27602-2023</t>
        </is>
      </c>
      <c r="B353" s="1" t="n">
        <v>45097</v>
      </c>
      <c r="C353" s="1" t="n">
        <v>46182</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4646-2026</t>
        </is>
      </c>
      <c r="B354" s="1" t="n">
        <v>46048.40357638889</v>
      </c>
      <c r="C354" s="1" t="n">
        <v>46182</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58780-2024</t>
        </is>
      </c>
      <c r="B355" s="1" t="n">
        <v>45635.84113425926</v>
      </c>
      <c r="C355" s="1" t="n">
        <v>46182</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12322-2025</t>
        </is>
      </c>
      <c r="B356" s="1" t="n">
        <v>45730</v>
      </c>
      <c r="C356" s="1" t="n">
        <v>46182</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4634-2026</t>
        </is>
      </c>
      <c r="B357" s="1" t="n">
        <v>46048.39304398148</v>
      </c>
      <c r="C357" s="1" t="n">
        <v>46182</v>
      </c>
      <c r="D357" t="inlineStr">
        <is>
          <t>GOTLANDS LÄN</t>
        </is>
      </c>
      <c r="E357" t="inlineStr">
        <is>
          <t>GOTLAND</t>
        </is>
      </c>
      <c r="G357" t="n">
        <v>7.8</v>
      </c>
      <c r="H357" t="n">
        <v>0</v>
      </c>
      <c r="I357" t="n">
        <v>0</v>
      </c>
      <c r="J357" t="n">
        <v>0</v>
      </c>
      <c r="K357" t="n">
        <v>0</v>
      </c>
      <c r="L357" t="n">
        <v>0</v>
      </c>
      <c r="M357" t="n">
        <v>0</v>
      </c>
      <c r="N357" t="n">
        <v>0</v>
      </c>
      <c r="O357" t="n">
        <v>0</v>
      </c>
      <c r="P357" t="n">
        <v>0</v>
      </c>
      <c r="Q357" t="n">
        <v>0</v>
      </c>
      <c r="R357" s="2" t="inlineStr"/>
    </row>
    <row r="358" ht="15" customHeight="1">
      <c r="A358" t="inlineStr">
        <is>
          <t>A 4670-2026</t>
        </is>
      </c>
      <c r="B358" s="1" t="n">
        <v>46048.41733796296</v>
      </c>
      <c r="C358" s="1" t="n">
        <v>46182</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24192-2023</t>
        </is>
      </c>
      <c r="B359" s="1" t="n">
        <v>45079</v>
      </c>
      <c r="C359" s="1" t="n">
        <v>46182</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30282-2022</t>
        </is>
      </c>
      <c r="B360" s="1" t="n">
        <v>44760</v>
      </c>
      <c r="C360" s="1" t="n">
        <v>46182</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50744-2024</t>
        </is>
      </c>
      <c r="B361" s="1" t="n">
        <v>45602.4187037037</v>
      </c>
      <c r="C361" s="1" t="n">
        <v>46182</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7835-2024</t>
        </is>
      </c>
      <c r="B362" s="1" t="n">
        <v>45349.83138888889</v>
      </c>
      <c r="C362" s="1" t="n">
        <v>46182</v>
      </c>
      <c r="D362" t="inlineStr">
        <is>
          <t>GOTLANDS LÄN</t>
        </is>
      </c>
      <c r="E362" t="inlineStr">
        <is>
          <t>GOTLAND</t>
        </is>
      </c>
      <c r="G362" t="n">
        <v>3.8</v>
      </c>
      <c r="H362" t="n">
        <v>0</v>
      </c>
      <c r="I362" t="n">
        <v>0</v>
      </c>
      <c r="J362" t="n">
        <v>0</v>
      </c>
      <c r="K362" t="n">
        <v>0</v>
      </c>
      <c r="L362" t="n">
        <v>0</v>
      </c>
      <c r="M362" t="n">
        <v>0</v>
      </c>
      <c r="N362" t="n">
        <v>0</v>
      </c>
      <c r="O362" t="n">
        <v>0</v>
      </c>
      <c r="P362" t="n">
        <v>0</v>
      </c>
      <c r="Q362" t="n">
        <v>0</v>
      </c>
      <c r="R362" s="2" t="inlineStr"/>
    </row>
    <row r="363" ht="15" customHeight="1">
      <c r="A363" t="inlineStr">
        <is>
          <t>A 45244-2024</t>
        </is>
      </c>
      <c r="B363" s="1" t="n">
        <v>45576</v>
      </c>
      <c r="C363" s="1" t="n">
        <v>46182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38787-2023</t>
        </is>
      </c>
      <c r="B364" s="1" t="n">
        <v>45163</v>
      </c>
      <c r="C364" s="1" t="n">
        <v>46182</v>
      </c>
      <c r="D364" t="inlineStr">
        <is>
          <t>GOTLANDS LÄN</t>
        </is>
      </c>
      <c r="E364" t="inlineStr">
        <is>
          <t>GOTLAND</t>
        </is>
      </c>
      <c r="G364" t="n">
        <v>0.4</v>
      </c>
      <c r="H364" t="n">
        <v>0</v>
      </c>
      <c r="I364" t="n">
        <v>0</v>
      </c>
      <c r="J364" t="n">
        <v>0</v>
      </c>
      <c r="K364" t="n">
        <v>0</v>
      </c>
      <c r="L364" t="n">
        <v>0</v>
      </c>
      <c r="M364" t="n">
        <v>0</v>
      </c>
      <c r="N364" t="n">
        <v>0</v>
      </c>
      <c r="O364" t="n">
        <v>0</v>
      </c>
      <c r="P364" t="n">
        <v>0</v>
      </c>
      <c r="Q364" t="n">
        <v>0</v>
      </c>
      <c r="R364" s="2" t="inlineStr"/>
    </row>
    <row r="365" ht="15" customHeight="1">
      <c r="A365" t="inlineStr">
        <is>
          <t>A 10650-2022</t>
        </is>
      </c>
      <c r="B365" s="1" t="n">
        <v>44624.57945601852</v>
      </c>
      <c r="C365" s="1" t="n">
        <v>46182</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2714-2023</t>
        </is>
      </c>
      <c r="B366" s="1" t="n">
        <v>44944.54896990741</v>
      </c>
      <c r="C366" s="1" t="n">
        <v>46182</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22897-2023</t>
        </is>
      </c>
      <c r="B367" s="1" t="n">
        <v>45072.55239583334</v>
      </c>
      <c r="C367" s="1" t="n">
        <v>46182</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6207-2026</t>
        </is>
      </c>
      <c r="B368" s="1" t="n">
        <v>46055.42083333333</v>
      </c>
      <c r="C368" s="1" t="n">
        <v>46182</v>
      </c>
      <c r="D368" t="inlineStr">
        <is>
          <t>GOTLANDS LÄN</t>
        </is>
      </c>
      <c r="E368" t="inlineStr">
        <is>
          <t>GOTLAND</t>
        </is>
      </c>
      <c r="G368" t="n">
        <v>7.6</v>
      </c>
      <c r="H368" t="n">
        <v>0</v>
      </c>
      <c r="I368" t="n">
        <v>0</v>
      </c>
      <c r="J368" t="n">
        <v>0</v>
      </c>
      <c r="K368" t="n">
        <v>0</v>
      </c>
      <c r="L368" t="n">
        <v>0</v>
      </c>
      <c r="M368" t="n">
        <v>0</v>
      </c>
      <c r="N368" t="n">
        <v>0</v>
      </c>
      <c r="O368" t="n">
        <v>0</v>
      </c>
      <c r="P368" t="n">
        <v>0</v>
      </c>
      <c r="Q368" t="n">
        <v>0</v>
      </c>
      <c r="R368" s="2" t="inlineStr"/>
    </row>
    <row r="369" ht="15" customHeight="1">
      <c r="A369" t="inlineStr">
        <is>
          <t>A 6218-2026</t>
        </is>
      </c>
      <c r="B369" s="1" t="n">
        <v>46055.42859953704</v>
      </c>
      <c r="C369" s="1" t="n">
        <v>46182</v>
      </c>
      <c r="D369" t="inlineStr">
        <is>
          <t>GOTLANDS LÄN</t>
        </is>
      </c>
      <c r="E369" t="inlineStr">
        <is>
          <t>GOTLAND</t>
        </is>
      </c>
      <c r="G369" t="n">
        <v>4.3</v>
      </c>
      <c r="H369" t="n">
        <v>0</v>
      </c>
      <c r="I369" t="n">
        <v>0</v>
      </c>
      <c r="J369" t="n">
        <v>0</v>
      </c>
      <c r="K369" t="n">
        <v>0</v>
      </c>
      <c r="L369" t="n">
        <v>0</v>
      </c>
      <c r="M369" t="n">
        <v>0</v>
      </c>
      <c r="N369" t="n">
        <v>0</v>
      </c>
      <c r="O369" t="n">
        <v>0</v>
      </c>
      <c r="P369" t="n">
        <v>0</v>
      </c>
      <c r="Q369" t="n">
        <v>0</v>
      </c>
      <c r="R369" s="2" t="inlineStr"/>
    </row>
    <row r="370" ht="15" customHeight="1">
      <c r="A370" t="inlineStr">
        <is>
          <t>A 4568-2025</t>
        </is>
      </c>
      <c r="B370" s="1" t="n">
        <v>45687</v>
      </c>
      <c r="C370" s="1" t="n">
        <v>46182</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1681-2023</t>
        </is>
      </c>
      <c r="B371" s="1" t="n">
        <v>44938.39715277778</v>
      </c>
      <c r="C371" s="1" t="n">
        <v>46182</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42338-2023</t>
        </is>
      </c>
      <c r="B372" s="1" t="n">
        <v>45180</v>
      </c>
      <c r="C372" s="1" t="n">
        <v>46182</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28425-2023</t>
        </is>
      </c>
      <c r="B373" s="1" t="n">
        <v>45102</v>
      </c>
      <c r="C373" s="1" t="n">
        <v>46182</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18918-2025</t>
        </is>
      </c>
      <c r="B374" s="1" t="n">
        <v>45764</v>
      </c>
      <c r="C374" s="1" t="n">
        <v>46182</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11013-2024</t>
        </is>
      </c>
      <c r="B375" s="1" t="n">
        <v>45370</v>
      </c>
      <c r="C375" s="1" t="n">
        <v>46182</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13037-2025</t>
        </is>
      </c>
      <c r="B376" s="1" t="n">
        <v>45734</v>
      </c>
      <c r="C376" s="1" t="n">
        <v>46182</v>
      </c>
      <c r="D376" t="inlineStr">
        <is>
          <t>GOTLANDS LÄN</t>
        </is>
      </c>
      <c r="E376" t="inlineStr">
        <is>
          <t>GOTLAND</t>
        </is>
      </c>
      <c r="G376" t="n">
        <v>9.5</v>
      </c>
      <c r="H376" t="n">
        <v>0</v>
      </c>
      <c r="I376" t="n">
        <v>0</v>
      </c>
      <c r="J376" t="n">
        <v>0</v>
      </c>
      <c r="K376" t="n">
        <v>0</v>
      </c>
      <c r="L376" t="n">
        <v>0</v>
      </c>
      <c r="M376" t="n">
        <v>0</v>
      </c>
      <c r="N376" t="n">
        <v>0</v>
      </c>
      <c r="O376" t="n">
        <v>0</v>
      </c>
      <c r="P376" t="n">
        <v>0</v>
      </c>
      <c r="Q376" t="n">
        <v>0</v>
      </c>
      <c r="R376" s="2" t="inlineStr"/>
    </row>
    <row r="377" ht="15" customHeight="1">
      <c r="A377" t="inlineStr">
        <is>
          <t>A 45084-2024</t>
        </is>
      </c>
      <c r="B377" s="1" t="n">
        <v>45575</v>
      </c>
      <c r="C377" s="1" t="n">
        <v>46182</v>
      </c>
      <c r="D377" t="inlineStr">
        <is>
          <t>GOTLANDS LÄN</t>
        </is>
      </c>
      <c r="E377" t="inlineStr">
        <is>
          <t>GOTLAND</t>
        </is>
      </c>
      <c r="G377" t="n">
        <v>6.8</v>
      </c>
      <c r="H377" t="n">
        <v>0</v>
      </c>
      <c r="I377" t="n">
        <v>0</v>
      </c>
      <c r="J377" t="n">
        <v>0</v>
      </c>
      <c r="K377" t="n">
        <v>0</v>
      </c>
      <c r="L377" t="n">
        <v>0</v>
      </c>
      <c r="M377" t="n">
        <v>0</v>
      </c>
      <c r="N377" t="n">
        <v>0</v>
      </c>
      <c r="O377" t="n">
        <v>0</v>
      </c>
      <c r="P377" t="n">
        <v>0</v>
      </c>
      <c r="Q377" t="n">
        <v>0</v>
      </c>
      <c r="R377" s="2" t="inlineStr"/>
    </row>
    <row r="378" ht="15" customHeight="1">
      <c r="A378" t="inlineStr">
        <is>
          <t>A 20356-2022</t>
        </is>
      </c>
      <c r="B378" s="1" t="n">
        <v>44699</v>
      </c>
      <c r="C378" s="1" t="n">
        <v>46182</v>
      </c>
      <c r="D378" t="inlineStr">
        <is>
          <t>GOTLANDS LÄN</t>
        </is>
      </c>
      <c r="E378" t="inlineStr">
        <is>
          <t>GOTLAND</t>
        </is>
      </c>
      <c r="F378" t="inlineStr">
        <is>
          <t>Övriga Aktiebolag</t>
        </is>
      </c>
      <c r="G378" t="n">
        <v>4.4</v>
      </c>
      <c r="H378" t="n">
        <v>0</v>
      </c>
      <c r="I378" t="n">
        <v>0</v>
      </c>
      <c r="J378" t="n">
        <v>0</v>
      </c>
      <c r="K378" t="n">
        <v>0</v>
      </c>
      <c r="L378" t="n">
        <v>0</v>
      </c>
      <c r="M378" t="n">
        <v>0</v>
      </c>
      <c r="N378" t="n">
        <v>0</v>
      </c>
      <c r="O378" t="n">
        <v>0</v>
      </c>
      <c r="P378" t="n">
        <v>0</v>
      </c>
      <c r="Q378" t="n">
        <v>0</v>
      </c>
      <c r="R378" s="2" t="inlineStr"/>
    </row>
    <row r="379" ht="15" customHeight="1">
      <c r="A379" t="inlineStr">
        <is>
          <t>A 7627-2026</t>
        </is>
      </c>
      <c r="B379" s="1" t="n">
        <v>46062.35465277778</v>
      </c>
      <c r="C379" s="1" t="n">
        <v>46182</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2135-2026</t>
        </is>
      </c>
      <c r="B380" s="1" t="n">
        <v>46036</v>
      </c>
      <c r="C380" s="1" t="n">
        <v>46182</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10746-2025</t>
        </is>
      </c>
      <c r="B381" s="1" t="n">
        <v>45722.42766203704</v>
      </c>
      <c r="C381" s="1" t="n">
        <v>46182</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5386-2023</t>
        </is>
      </c>
      <c r="B382" s="1" t="n">
        <v>44959</v>
      </c>
      <c r="C382" s="1" t="n">
        <v>46182</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56688-2025</t>
        </is>
      </c>
      <c r="B383" s="1" t="n">
        <v>45975.84331018518</v>
      </c>
      <c r="C383" s="1" t="n">
        <v>46182</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56799-2025</t>
        </is>
      </c>
      <c r="B384" s="1" t="n">
        <v>45978.43392361111</v>
      </c>
      <c r="C384" s="1" t="n">
        <v>46182</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43229-2023</t>
        </is>
      </c>
      <c r="B385" s="1" t="n">
        <v>45183.46704861111</v>
      </c>
      <c r="C385" s="1" t="n">
        <v>46182</v>
      </c>
      <c r="D385" t="inlineStr">
        <is>
          <t>GOTLANDS LÄN</t>
        </is>
      </c>
      <c r="E385" t="inlineStr">
        <is>
          <t>GOTLAND</t>
        </is>
      </c>
      <c r="G385" t="n">
        <v>7.1</v>
      </c>
      <c r="H385" t="n">
        <v>0</v>
      </c>
      <c r="I385" t="n">
        <v>0</v>
      </c>
      <c r="J385" t="n">
        <v>0</v>
      </c>
      <c r="K385" t="n">
        <v>0</v>
      </c>
      <c r="L385" t="n">
        <v>0</v>
      </c>
      <c r="M385" t="n">
        <v>0</v>
      </c>
      <c r="N385" t="n">
        <v>0</v>
      </c>
      <c r="O385" t="n">
        <v>0</v>
      </c>
      <c r="P385" t="n">
        <v>0</v>
      </c>
      <c r="Q385" t="n">
        <v>0</v>
      </c>
      <c r="R385" s="2" t="inlineStr"/>
    </row>
    <row r="386" ht="15" customHeight="1">
      <c r="A386" t="inlineStr">
        <is>
          <t>A 9540-2026</t>
        </is>
      </c>
      <c r="B386" s="1" t="n">
        <v>46071.61961805556</v>
      </c>
      <c r="C386" s="1" t="n">
        <v>46182</v>
      </c>
      <c r="D386" t="inlineStr">
        <is>
          <t>GOTLANDS LÄN</t>
        </is>
      </c>
      <c r="E386" t="inlineStr">
        <is>
          <t>GOTLAND</t>
        </is>
      </c>
      <c r="G386" t="n">
        <v>2.8</v>
      </c>
      <c r="H386" t="n">
        <v>0</v>
      </c>
      <c r="I386" t="n">
        <v>0</v>
      </c>
      <c r="J386" t="n">
        <v>0</v>
      </c>
      <c r="K386" t="n">
        <v>0</v>
      </c>
      <c r="L386" t="n">
        <v>0</v>
      </c>
      <c r="M386" t="n">
        <v>0</v>
      </c>
      <c r="N386" t="n">
        <v>0</v>
      </c>
      <c r="O386" t="n">
        <v>0</v>
      </c>
      <c r="P386" t="n">
        <v>0</v>
      </c>
      <c r="Q386" t="n">
        <v>0</v>
      </c>
      <c r="R386" s="2" t="inlineStr"/>
    </row>
    <row r="387" ht="15" customHeight="1">
      <c r="A387" t="inlineStr">
        <is>
          <t>A 9521-2026</t>
        </is>
      </c>
      <c r="B387" s="1" t="n">
        <v>46071.59969907408</v>
      </c>
      <c r="C387" s="1" t="n">
        <v>46182</v>
      </c>
      <c r="D387" t="inlineStr">
        <is>
          <t>GOTLANDS LÄN</t>
        </is>
      </c>
      <c r="E387" t="inlineStr">
        <is>
          <t>GOTLAND</t>
        </is>
      </c>
      <c r="G387" t="n">
        <v>3.9</v>
      </c>
      <c r="H387" t="n">
        <v>0</v>
      </c>
      <c r="I387" t="n">
        <v>0</v>
      </c>
      <c r="J387" t="n">
        <v>0</v>
      </c>
      <c r="K387" t="n">
        <v>0</v>
      </c>
      <c r="L387" t="n">
        <v>0</v>
      </c>
      <c r="M387" t="n">
        <v>0</v>
      </c>
      <c r="N387" t="n">
        <v>0</v>
      </c>
      <c r="O387" t="n">
        <v>0</v>
      </c>
      <c r="P387" t="n">
        <v>0</v>
      </c>
      <c r="Q387" t="n">
        <v>0</v>
      </c>
      <c r="R387" s="2" t="inlineStr"/>
    </row>
    <row r="388" ht="15" customHeight="1">
      <c r="A388" t="inlineStr">
        <is>
          <t>A 9524-2026</t>
        </is>
      </c>
      <c r="B388" s="1" t="n">
        <v>46071.60108796296</v>
      </c>
      <c r="C388" s="1" t="n">
        <v>46182</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9543-2026</t>
        </is>
      </c>
      <c r="B389" s="1" t="n">
        <v>46071.62486111111</v>
      </c>
      <c r="C389" s="1" t="n">
        <v>46182</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5884-2025</t>
        </is>
      </c>
      <c r="B390" s="1" t="n">
        <v>45695.37482638889</v>
      </c>
      <c r="C390" s="1" t="n">
        <v>46182</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5897-2025</t>
        </is>
      </c>
      <c r="B391" s="1" t="n">
        <v>45695.39273148148</v>
      </c>
      <c r="C391" s="1" t="n">
        <v>46182</v>
      </c>
      <c r="D391" t="inlineStr">
        <is>
          <t>GOTLANDS LÄN</t>
        </is>
      </c>
      <c r="E391" t="inlineStr">
        <is>
          <t>GOTLAND</t>
        </is>
      </c>
      <c r="G391" t="n">
        <v>3.7</v>
      </c>
      <c r="H391" t="n">
        <v>0</v>
      </c>
      <c r="I391" t="n">
        <v>0</v>
      </c>
      <c r="J391" t="n">
        <v>0</v>
      </c>
      <c r="K391" t="n">
        <v>0</v>
      </c>
      <c r="L391" t="n">
        <v>0</v>
      </c>
      <c r="M391" t="n">
        <v>0</v>
      </c>
      <c r="N391" t="n">
        <v>0</v>
      </c>
      <c r="O391" t="n">
        <v>0</v>
      </c>
      <c r="P391" t="n">
        <v>0</v>
      </c>
      <c r="Q391" t="n">
        <v>0</v>
      </c>
      <c r="R391" s="2" t="inlineStr"/>
    </row>
    <row r="392" ht="15" customHeight="1">
      <c r="A392" t="inlineStr">
        <is>
          <t>A 5909-2025</t>
        </is>
      </c>
      <c r="B392" s="1" t="n">
        <v>45695.40634259259</v>
      </c>
      <c r="C392" s="1" t="n">
        <v>46182</v>
      </c>
      <c r="D392" t="inlineStr">
        <is>
          <t>GOTLANDS LÄN</t>
        </is>
      </c>
      <c r="E392" t="inlineStr">
        <is>
          <t>GOTLAND</t>
        </is>
      </c>
      <c r="G392" t="n">
        <v>2.9</v>
      </c>
      <c r="H392" t="n">
        <v>0</v>
      </c>
      <c r="I392" t="n">
        <v>0</v>
      </c>
      <c r="J392" t="n">
        <v>0</v>
      </c>
      <c r="K392" t="n">
        <v>0</v>
      </c>
      <c r="L392" t="n">
        <v>0</v>
      </c>
      <c r="M392" t="n">
        <v>0</v>
      </c>
      <c r="N392" t="n">
        <v>0</v>
      </c>
      <c r="O392" t="n">
        <v>0</v>
      </c>
      <c r="P392" t="n">
        <v>0</v>
      </c>
      <c r="Q392" t="n">
        <v>0</v>
      </c>
      <c r="R392" s="2" t="inlineStr"/>
    </row>
    <row r="393" ht="15" customHeight="1">
      <c r="A393" t="inlineStr">
        <is>
          <t>A 9518-2026</t>
        </is>
      </c>
      <c r="B393" s="1" t="n">
        <v>46071.59653935185</v>
      </c>
      <c r="C393" s="1" t="n">
        <v>46182</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9519-2026</t>
        </is>
      </c>
      <c r="B394" s="1" t="n">
        <v>46071.59820601852</v>
      </c>
      <c r="C394" s="1" t="n">
        <v>46182</v>
      </c>
      <c r="D394" t="inlineStr">
        <is>
          <t>GOTLANDS LÄN</t>
        </is>
      </c>
      <c r="E394" t="inlineStr">
        <is>
          <t>GOTLAND</t>
        </is>
      </c>
      <c r="G394" t="n">
        <v>4</v>
      </c>
      <c r="H394" t="n">
        <v>0</v>
      </c>
      <c r="I394" t="n">
        <v>0</v>
      </c>
      <c r="J394" t="n">
        <v>0</v>
      </c>
      <c r="K394" t="n">
        <v>0</v>
      </c>
      <c r="L394" t="n">
        <v>0</v>
      </c>
      <c r="M394" t="n">
        <v>0</v>
      </c>
      <c r="N394" t="n">
        <v>0</v>
      </c>
      <c r="O394" t="n">
        <v>0</v>
      </c>
      <c r="P394" t="n">
        <v>0</v>
      </c>
      <c r="Q394" t="n">
        <v>0</v>
      </c>
      <c r="R394" s="2" t="inlineStr"/>
    </row>
    <row r="395" ht="15" customHeight="1">
      <c r="A395" t="inlineStr">
        <is>
          <t>A 41038-2023</t>
        </is>
      </c>
      <c r="B395" s="1" t="n">
        <v>45173.60959490741</v>
      </c>
      <c r="C395" s="1" t="n">
        <v>46182</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9901-2026</t>
        </is>
      </c>
      <c r="B396" s="1" t="n">
        <v>46073.40391203704</v>
      </c>
      <c r="C396" s="1" t="n">
        <v>46182</v>
      </c>
      <c r="D396" t="inlineStr">
        <is>
          <t>GOTLANDS LÄN</t>
        </is>
      </c>
      <c r="E396" t="inlineStr">
        <is>
          <t>GOTLAND</t>
        </is>
      </c>
      <c r="F396" t="inlineStr">
        <is>
          <t>Kyrkan</t>
        </is>
      </c>
      <c r="G396" t="n">
        <v>0.9</v>
      </c>
      <c r="H396" t="n">
        <v>0</v>
      </c>
      <c r="I396" t="n">
        <v>0</v>
      </c>
      <c r="J396" t="n">
        <v>0</v>
      </c>
      <c r="K396" t="n">
        <v>0</v>
      </c>
      <c r="L396" t="n">
        <v>0</v>
      </c>
      <c r="M396" t="n">
        <v>0</v>
      </c>
      <c r="N396" t="n">
        <v>0</v>
      </c>
      <c r="O396" t="n">
        <v>0</v>
      </c>
      <c r="P396" t="n">
        <v>0</v>
      </c>
      <c r="Q396" t="n">
        <v>0</v>
      </c>
      <c r="R396" s="2" t="inlineStr"/>
    </row>
    <row r="397" ht="15" customHeight="1">
      <c r="A397" t="inlineStr">
        <is>
          <t>A 60086-2022</t>
        </is>
      </c>
      <c r="B397" s="1" t="n">
        <v>44909</v>
      </c>
      <c r="C397" s="1" t="n">
        <v>46182</v>
      </c>
      <c r="D397" t="inlineStr">
        <is>
          <t>GOTLANDS LÄN</t>
        </is>
      </c>
      <c r="E397" t="inlineStr">
        <is>
          <t>GOTLAND</t>
        </is>
      </c>
      <c r="G397" t="n">
        <v>2.1</v>
      </c>
      <c r="H397" t="n">
        <v>0</v>
      </c>
      <c r="I397" t="n">
        <v>0</v>
      </c>
      <c r="J397" t="n">
        <v>0</v>
      </c>
      <c r="K397" t="n">
        <v>0</v>
      </c>
      <c r="L397" t="n">
        <v>0</v>
      </c>
      <c r="M397" t="n">
        <v>0</v>
      </c>
      <c r="N397" t="n">
        <v>0</v>
      </c>
      <c r="O397" t="n">
        <v>0</v>
      </c>
      <c r="P397" t="n">
        <v>0</v>
      </c>
      <c r="Q397" t="n">
        <v>0</v>
      </c>
      <c r="R397" s="2" t="inlineStr"/>
    </row>
    <row r="398" ht="15" customHeight="1">
      <c r="A398" t="inlineStr">
        <is>
          <t>A 22704-2023</t>
        </is>
      </c>
      <c r="B398" s="1" t="n">
        <v>45071</v>
      </c>
      <c r="C398" s="1" t="n">
        <v>46182</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10284-2026</t>
        </is>
      </c>
      <c r="B399" s="1" t="n">
        <v>46076</v>
      </c>
      <c r="C399" s="1" t="n">
        <v>46182</v>
      </c>
      <c r="D399" t="inlineStr">
        <is>
          <t>GOTLANDS LÄN</t>
        </is>
      </c>
      <c r="E399" t="inlineStr">
        <is>
          <t>GOTLAND</t>
        </is>
      </c>
      <c r="G399" t="n">
        <v>5.2</v>
      </c>
      <c r="H399" t="n">
        <v>0</v>
      </c>
      <c r="I399" t="n">
        <v>0</v>
      </c>
      <c r="J399" t="n">
        <v>0</v>
      </c>
      <c r="K399" t="n">
        <v>0</v>
      </c>
      <c r="L399" t="n">
        <v>0</v>
      </c>
      <c r="M399" t="n">
        <v>0</v>
      </c>
      <c r="N399" t="n">
        <v>0</v>
      </c>
      <c r="O399" t="n">
        <v>0</v>
      </c>
      <c r="P399" t="n">
        <v>0</v>
      </c>
      <c r="Q399" t="n">
        <v>0</v>
      </c>
      <c r="R399" s="2" t="inlineStr"/>
    </row>
    <row r="400" ht="15" customHeight="1">
      <c r="A400" t="inlineStr">
        <is>
          <t>A 25866-2022</t>
        </is>
      </c>
      <c r="B400" s="1" t="n">
        <v>44733</v>
      </c>
      <c r="C400" s="1" t="n">
        <v>46182</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36319-2025</t>
        </is>
      </c>
      <c r="B401" s="1" t="n">
        <v>45868</v>
      </c>
      <c r="C401" s="1" t="n">
        <v>46182</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57652-2023</t>
        </is>
      </c>
      <c r="B402" s="1" t="n">
        <v>45246</v>
      </c>
      <c r="C402" s="1" t="n">
        <v>46182</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46182</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57522-2022</t>
        </is>
      </c>
      <c r="B404" s="1" t="n">
        <v>44896</v>
      </c>
      <c r="C404" s="1" t="n">
        <v>46182</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14797-2024</t>
        </is>
      </c>
      <c r="B405" s="1" t="n">
        <v>45397.87030092593</v>
      </c>
      <c r="C405" s="1" t="n">
        <v>46182</v>
      </c>
      <c r="D405" t="inlineStr">
        <is>
          <t>GOTLANDS LÄN</t>
        </is>
      </c>
      <c r="E405" t="inlineStr">
        <is>
          <t>GOTLAND</t>
        </is>
      </c>
      <c r="G405" t="n">
        <v>8.1</v>
      </c>
      <c r="H405" t="n">
        <v>0</v>
      </c>
      <c r="I405" t="n">
        <v>0</v>
      </c>
      <c r="J405" t="n">
        <v>0</v>
      </c>
      <c r="K405" t="n">
        <v>0</v>
      </c>
      <c r="L405" t="n">
        <v>0</v>
      </c>
      <c r="M405" t="n">
        <v>0</v>
      </c>
      <c r="N405" t="n">
        <v>0</v>
      </c>
      <c r="O405" t="n">
        <v>0</v>
      </c>
      <c r="P405" t="n">
        <v>0</v>
      </c>
      <c r="Q405" t="n">
        <v>0</v>
      </c>
      <c r="R405" s="2" t="inlineStr"/>
    </row>
    <row r="406" ht="15" customHeight="1">
      <c r="A406" t="inlineStr">
        <is>
          <t>A 9887-2025</t>
        </is>
      </c>
      <c r="B406" s="1" t="n">
        <v>45716</v>
      </c>
      <c r="C406" s="1" t="n">
        <v>46182</v>
      </c>
      <c r="D406" t="inlineStr">
        <is>
          <t>GOTLANDS LÄN</t>
        </is>
      </c>
      <c r="E406" t="inlineStr">
        <is>
          <t>GOTLAND</t>
        </is>
      </c>
      <c r="G406" t="n">
        <v>7.5</v>
      </c>
      <c r="H406" t="n">
        <v>0</v>
      </c>
      <c r="I406" t="n">
        <v>0</v>
      </c>
      <c r="J406" t="n">
        <v>0</v>
      </c>
      <c r="K406" t="n">
        <v>0</v>
      </c>
      <c r="L406" t="n">
        <v>0</v>
      </c>
      <c r="M406" t="n">
        <v>0</v>
      </c>
      <c r="N406" t="n">
        <v>0</v>
      </c>
      <c r="O406" t="n">
        <v>0</v>
      </c>
      <c r="P406" t="n">
        <v>0</v>
      </c>
      <c r="Q406" t="n">
        <v>0</v>
      </c>
      <c r="R406" s="2" t="inlineStr"/>
    </row>
    <row r="407" ht="15" customHeight="1">
      <c r="A407" t="inlineStr">
        <is>
          <t>A 12209-2024</t>
        </is>
      </c>
      <c r="B407" s="1" t="n">
        <v>45378</v>
      </c>
      <c r="C407" s="1" t="n">
        <v>46182</v>
      </c>
      <c r="D407" t="inlineStr">
        <is>
          <t>GOTLANDS LÄN</t>
        </is>
      </c>
      <c r="E407" t="inlineStr">
        <is>
          <t>GOTLAND</t>
        </is>
      </c>
      <c r="G407" t="n">
        <v>5.3</v>
      </c>
      <c r="H407" t="n">
        <v>0</v>
      </c>
      <c r="I407" t="n">
        <v>0</v>
      </c>
      <c r="J407" t="n">
        <v>0</v>
      </c>
      <c r="K407" t="n">
        <v>0</v>
      </c>
      <c r="L407" t="n">
        <v>0</v>
      </c>
      <c r="M407" t="n">
        <v>0</v>
      </c>
      <c r="N407" t="n">
        <v>0</v>
      </c>
      <c r="O407" t="n">
        <v>0</v>
      </c>
      <c r="P407" t="n">
        <v>0</v>
      </c>
      <c r="Q407" t="n">
        <v>0</v>
      </c>
      <c r="R407" s="2" t="inlineStr"/>
    </row>
    <row r="408" ht="15" customHeight="1">
      <c r="A408" t="inlineStr">
        <is>
          <t>A 12210-2024</t>
        </is>
      </c>
      <c r="B408" s="1" t="n">
        <v>45378</v>
      </c>
      <c r="C408" s="1" t="n">
        <v>46182</v>
      </c>
      <c r="D408" t="inlineStr">
        <is>
          <t>GOTLANDS LÄN</t>
        </is>
      </c>
      <c r="E408" t="inlineStr">
        <is>
          <t>GOTLAND</t>
        </is>
      </c>
      <c r="G408" t="n">
        <v>4.1</v>
      </c>
      <c r="H408" t="n">
        <v>0</v>
      </c>
      <c r="I408" t="n">
        <v>0</v>
      </c>
      <c r="J408" t="n">
        <v>0</v>
      </c>
      <c r="K408" t="n">
        <v>0</v>
      </c>
      <c r="L408" t="n">
        <v>0</v>
      </c>
      <c r="M408" t="n">
        <v>0</v>
      </c>
      <c r="N408" t="n">
        <v>0</v>
      </c>
      <c r="O408" t="n">
        <v>0</v>
      </c>
      <c r="P408" t="n">
        <v>0</v>
      </c>
      <c r="Q408" t="n">
        <v>0</v>
      </c>
      <c r="R408" s="2" t="inlineStr"/>
    </row>
    <row r="409" ht="15" customHeight="1">
      <c r="A409" t="inlineStr">
        <is>
          <t>A 59986-2022</t>
        </is>
      </c>
      <c r="B409" s="1" t="n">
        <v>44909</v>
      </c>
      <c r="C409" s="1" t="n">
        <v>46182</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7837-2024</t>
        </is>
      </c>
      <c r="B410" s="1" t="n">
        <v>45349.83787037037</v>
      </c>
      <c r="C410" s="1" t="n">
        <v>46182</v>
      </c>
      <c r="D410" t="inlineStr">
        <is>
          <t>GOTLANDS LÄN</t>
        </is>
      </c>
      <c r="E410" t="inlineStr">
        <is>
          <t>GOTLAND</t>
        </is>
      </c>
      <c r="G410" t="n">
        <v>5</v>
      </c>
      <c r="H410" t="n">
        <v>0</v>
      </c>
      <c r="I410" t="n">
        <v>0</v>
      </c>
      <c r="J410" t="n">
        <v>0</v>
      </c>
      <c r="K410" t="n">
        <v>0</v>
      </c>
      <c r="L410" t="n">
        <v>0</v>
      </c>
      <c r="M410" t="n">
        <v>0</v>
      </c>
      <c r="N410" t="n">
        <v>0</v>
      </c>
      <c r="O410" t="n">
        <v>0</v>
      </c>
      <c r="P410" t="n">
        <v>0</v>
      </c>
      <c r="Q410" t="n">
        <v>0</v>
      </c>
      <c r="R410" s="2" t="inlineStr"/>
    </row>
    <row r="411" ht="15" customHeight="1">
      <c r="A411" t="inlineStr">
        <is>
          <t>A 11424-2026</t>
        </is>
      </c>
      <c r="B411" s="1" t="n">
        <v>46083.48068287037</v>
      </c>
      <c r="C411" s="1" t="n">
        <v>46182</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3067-2026</t>
        </is>
      </c>
      <c r="B412" s="1" t="n">
        <v>46040.59025462963</v>
      </c>
      <c r="C412" s="1" t="n">
        <v>46182</v>
      </c>
      <c r="D412" t="inlineStr">
        <is>
          <t>GOTLANDS LÄN</t>
        </is>
      </c>
      <c r="E412" t="inlineStr">
        <is>
          <t>GOTLAND</t>
        </is>
      </c>
      <c r="G412" t="n">
        <v>7.8</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46182</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46182</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46182</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31802-2024</t>
        </is>
      </c>
      <c r="B416" s="1" t="n">
        <v>45509</v>
      </c>
      <c r="C416" s="1" t="n">
        <v>46182</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12135-2026</t>
        </is>
      </c>
      <c r="B417" s="1" t="n">
        <v>46086</v>
      </c>
      <c r="C417" s="1" t="n">
        <v>46182</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11982-2026</t>
        </is>
      </c>
      <c r="B418" s="1" t="n">
        <v>46085.6434375</v>
      </c>
      <c r="C418" s="1" t="n">
        <v>46182</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46182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37728-2024</t>
        </is>
      </c>
      <c r="B420" s="1" t="n">
        <v>45541</v>
      </c>
      <c r="C420" s="1" t="n">
        <v>46182</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20993-2023</t>
        </is>
      </c>
      <c r="B421" s="1" t="n">
        <v>45056</v>
      </c>
      <c r="C421" s="1" t="n">
        <v>46182</v>
      </c>
      <c r="D421" t="inlineStr">
        <is>
          <t>GOTLANDS LÄN</t>
        </is>
      </c>
      <c r="E421" t="inlineStr">
        <is>
          <t>GOTLAND</t>
        </is>
      </c>
      <c r="G421" t="n">
        <v>7.1</v>
      </c>
      <c r="H421" t="n">
        <v>0</v>
      </c>
      <c r="I421" t="n">
        <v>0</v>
      </c>
      <c r="J421" t="n">
        <v>0</v>
      </c>
      <c r="K421" t="n">
        <v>0</v>
      </c>
      <c r="L421" t="n">
        <v>0</v>
      </c>
      <c r="M421" t="n">
        <v>0</v>
      </c>
      <c r="N421" t="n">
        <v>0</v>
      </c>
      <c r="O421" t="n">
        <v>0</v>
      </c>
      <c r="P421" t="n">
        <v>0</v>
      </c>
      <c r="Q421" t="n">
        <v>0</v>
      </c>
      <c r="R421" s="2" t="inlineStr"/>
    </row>
    <row r="422" ht="15" customHeight="1">
      <c r="A422" t="inlineStr">
        <is>
          <t>A 4420-2025</t>
        </is>
      </c>
      <c r="B422" s="1" t="n">
        <v>45686.47157407407</v>
      </c>
      <c r="C422" s="1" t="n">
        <v>46182</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42201-2023</t>
        </is>
      </c>
      <c r="B423" s="1" t="n">
        <v>45179</v>
      </c>
      <c r="C423" s="1" t="n">
        <v>46182</v>
      </c>
      <c r="D423" t="inlineStr">
        <is>
          <t>GOTLANDS LÄN</t>
        </is>
      </c>
      <c r="E423" t="inlineStr">
        <is>
          <t>GOTLAND</t>
        </is>
      </c>
      <c r="G423" t="n">
        <v>11.9</v>
      </c>
      <c r="H423" t="n">
        <v>0</v>
      </c>
      <c r="I423" t="n">
        <v>0</v>
      </c>
      <c r="J423" t="n">
        <v>0</v>
      </c>
      <c r="K423" t="n">
        <v>0</v>
      </c>
      <c r="L423" t="n">
        <v>0</v>
      </c>
      <c r="M423" t="n">
        <v>0</v>
      </c>
      <c r="N423" t="n">
        <v>0</v>
      </c>
      <c r="O423" t="n">
        <v>0</v>
      </c>
      <c r="P423" t="n">
        <v>0</v>
      </c>
      <c r="Q423" t="n">
        <v>0</v>
      </c>
      <c r="R423" s="2" t="inlineStr"/>
    </row>
    <row r="424" ht="15" customHeight="1">
      <c r="A424" t="inlineStr">
        <is>
          <t>A 14427-2024</t>
        </is>
      </c>
      <c r="B424" s="1" t="n">
        <v>45394</v>
      </c>
      <c r="C424" s="1" t="n">
        <v>46182</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22275-2023</t>
        </is>
      </c>
      <c r="B425" s="1" t="n">
        <v>45070.39875</v>
      </c>
      <c r="C425" s="1" t="n">
        <v>46182</v>
      </c>
      <c r="D425" t="inlineStr">
        <is>
          <t>GOTLANDS LÄN</t>
        </is>
      </c>
      <c r="E425" t="inlineStr">
        <is>
          <t>GOTLAND</t>
        </is>
      </c>
      <c r="G425" t="n">
        <v>7.2</v>
      </c>
      <c r="H425" t="n">
        <v>0</v>
      </c>
      <c r="I425" t="n">
        <v>0</v>
      </c>
      <c r="J425" t="n">
        <v>0</v>
      </c>
      <c r="K425" t="n">
        <v>0</v>
      </c>
      <c r="L425" t="n">
        <v>0</v>
      </c>
      <c r="M425" t="n">
        <v>0</v>
      </c>
      <c r="N425" t="n">
        <v>0</v>
      </c>
      <c r="O425" t="n">
        <v>0</v>
      </c>
      <c r="P425" t="n">
        <v>0</v>
      </c>
      <c r="Q425" t="n">
        <v>0</v>
      </c>
      <c r="R425" s="2" t="inlineStr"/>
    </row>
    <row r="426" ht="15" customHeight="1">
      <c r="A426" t="inlineStr">
        <is>
          <t>A 14635-2023</t>
        </is>
      </c>
      <c r="B426" s="1" t="n">
        <v>45013.69365740741</v>
      </c>
      <c r="C426" s="1" t="n">
        <v>46182</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63763-2023</t>
        </is>
      </c>
      <c r="B427" s="1" t="n">
        <v>45278.33944444444</v>
      </c>
      <c r="C427" s="1" t="n">
        <v>46182</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46182</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46182</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46182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63000-2025</t>
        </is>
      </c>
      <c r="B431" s="1" t="n">
        <v>46009</v>
      </c>
      <c r="C431" s="1" t="n">
        <v>46182</v>
      </c>
      <c r="D431" t="inlineStr">
        <is>
          <t>GOTLANDS LÄN</t>
        </is>
      </c>
      <c r="E431" t="inlineStr">
        <is>
          <t>GOTLAND</t>
        </is>
      </c>
      <c r="F431" t="inlineStr">
        <is>
          <t>Övriga Aktiebolag</t>
        </is>
      </c>
      <c r="G431" t="n">
        <v>1.7</v>
      </c>
      <c r="H431" t="n">
        <v>0</v>
      </c>
      <c r="I431" t="n">
        <v>0</v>
      </c>
      <c r="J431" t="n">
        <v>0</v>
      </c>
      <c r="K431" t="n">
        <v>0</v>
      </c>
      <c r="L431" t="n">
        <v>0</v>
      </c>
      <c r="M431" t="n">
        <v>0</v>
      </c>
      <c r="N431" t="n">
        <v>0</v>
      </c>
      <c r="O431" t="n">
        <v>0</v>
      </c>
      <c r="P431" t="n">
        <v>0</v>
      </c>
      <c r="Q431" t="n">
        <v>0</v>
      </c>
      <c r="R431" s="2" t="inlineStr"/>
    </row>
    <row r="432" ht="15" customHeight="1">
      <c r="A432" t="inlineStr">
        <is>
          <t>A 15434-2024</t>
        </is>
      </c>
      <c r="B432" s="1" t="n">
        <v>45401.38836805556</v>
      </c>
      <c r="C432" s="1" t="n">
        <v>46182</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49257-2024</t>
        </is>
      </c>
      <c r="B433" s="1" t="n">
        <v>45595.47627314815</v>
      </c>
      <c r="C433" s="1" t="n">
        <v>46182</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62751-2025</t>
        </is>
      </c>
      <c r="B434" s="1" t="n">
        <v>46008</v>
      </c>
      <c r="C434" s="1" t="n">
        <v>46182</v>
      </c>
      <c r="D434" t="inlineStr">
        <is>
          <t>GOTLANDS LÄN</t>
        </is>
      </c>
      <c r="E434" t="inlineStr">
        <is>
          <t>GOTLAND</t>
        </is>
      </c>
      <c r="F434" t="inlineStr">
        <is>
          <t>Övriga Aktiebolag</t>
        </is>
      </c>
      <c r="G434" t="n">
        <v>7.8</v>
      </c>
      <c r="H434" t="n">
        <v>0</v>
      </c>
      <c r="I434" t="n">
        <v>0</v>
      </c>
      <c r="J434" t="n">
        <v>0</v>
      </c>
      <c r="K434" t="n">
        <v>0</v>
      </c>
      <c r="L434" t="n">
        <v>0</v>
      </c>
      <c r="M434" t="n">
        <v>0</v>
      </c>
      <c r="N434" t="n">
        <v>0</v>
      </c>
      <c r="O434" t="n">
        <v>0</v>
      </c>
      <c r="P434" t="n">
        <v>0</v>
      </c>
      <c r="Q434" t="n">
        <v>0</v>
      </c>
      <c r="R434" s="2" t="inlineStr"/>
    </row>
    <row r="435" ht="15" customHeight="1">
      <c r="A435" t="inlineStr">
        <is>
          <t>A 13486-2026</t>
        </is>
      </c>
      <c r="B435" s="1" t="n">
        <v>46094</v>
      </c>
      <c r="C435" s="1" t="n">
        <v>46182</v>
      </c>
      <c r="D435" t="inlineStr">
        <is>
          <t>GOTLANDS LÄN</t>
        </is>
      </c>
      <c r="E435" t="inlineStr">
        <is>
          <t>GOTLAND</t>
        </is>
      </c>
      <c r="G435" t="n">
        <v>1.6</v>
      </c>
      <c r="H435" t="n">
        <v>0</v>
      </c>
      <c r="I435" t="n">
        <v>0</v>
      </c>
      <c r="J435" t="n">
        <v>0</v>
      </c>
      <c r="K435" t="n">
        <v>0</v>
      </c>
      <c r="L435" t="n">
        <v>0</v>
      </c>
      <c r="M435" t="n">
        <v>0</v>
      </c>
      <c r="N435" t="n">
        <v>0</v>
      </c>
      <c r="O435" t="n">
        <v>0</v>
      </c>
      <c r="P435" t="n">
        <v>0</v>
      </c>
      <c r="Q435" t="n">
        <v>0</v>
      </c>
      <c r="R435" s="2" t="inlineStr"/>
    </row>
    <row r="436" ht="15" customHeight="1">
      <c r="A436" t="inlineStr">
        <is>
          <t>A 49315-2024</t>
        </is>
      </c>
      <c r="B436" s="1" t="n">
        <v>45595</v>
      </c>
      <c r="C436" s="1" t="n">
        <v>46182</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46182</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46182</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54074-2022</t>
        </is>
      </c>
      <c r="B439" s="1" t="n">
        <v>44881</v>
      </c>
      <c r="C439" s="1" t="n">
        <v>46182</v>
      </c>
      <c r="D439" t="inlineStr">
        <is>
          <t>GOTLANDS LÄN</t>
        </is>
      </c>
      <c r="E439" t="inlineStr">
        <is>
          <t>GOTLAND</t>
        </is>
      </c>
      <c r="G439" t="n">
        <v>0.9</v>
      </c>
      <c r="H439" t="n">
        <v>0</v>
      </c>
      <c r="I439" t="n">
        <v>0</v>
      </c>
      <c r="J439" t="n">
        <v>0</v>
      </c>
      <c r="K439" t="n">
        <v>0</v>
      </c>
      <c r="L439" t="n">
        <v>0</v>
      </c>
      <c r="M439" t="n">
        <v>0</v>
      </c>
      <c r="N439" t="n">
        <v>0</v>
      </c>
      <c r="O439" t="n">
        <v>0</v>
      </c>
      <c r="P439" t="n">
        <v>0</v>
      </c>
      <c r="Q439" t="n">
        <v>0</v>
      </c>
      <c r="R439" s="2" t="inlineStr"/>
    </row>
    <row r="440" ht="15" customHeight="1">
      <c r="A440" t="inlineStr">
        <is>
          <t>A 63002-2025</t>
        </is>
      </c>
      <c r="B440" s="1" t="n">
        <v>46009.56564814815</v>
      </c>
      <c r="C440" s="1" t="n">
        <v>46182</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61694-2023</t>
        </is>
      </c>
      <c r="B441" s="1" t="n">
        <v>45264</v>
      </c>
      <c r="C441" s="1" t="n">
        <v>46182</v>
      </c>
      <c r="D441" t="inlineStr">
        <is>
          <t>GOTLANDS LÄN</t>
        </is>
      </c>
      <c r="E441" t="inlineStr">
        <is>
          <t>GOTLAND</t>
        </is>
      </c>
      <c r="G441" t="n">
        <v>4.6</v>
      </c>
      <c r="H441" t="n">
        <v>0</v>
      </c>
      <c r="I441" t="n">
        <v>0</v>
      </c>
      <c r="J441" t="n">
        <v>0</v>
      </c>
      <c r="K441" t="n">
        <v>0</v>
      </c>
      <c r="L441" t="n">
        <v>0</v>
      </c>
      <c r="M441" t="n">
        <v>0</v>
      </c>
      <c r="N441" t="n">
        <v>0</v>
      </c>
      <c r="O441" t="n">
        <v>0</v>
      </c>
      <c r="P441" t="n">
        <v>0</v>
      </c>
      <c r="Q441" t="n">
        <v>0</v>
      </c>
      <c r="R441" s="2" t="inlineStr"/>
    </row>
    <row r="442" ht="15" customHeight="1">
      <c r="A442" t="inlineStr">
        <is>
          <t>A 64208-2021</t>
        </is>
      </c>
      <c r="B442" s="1" t="n">
        <v>44510</v>
      </c>
      <c r="C442" s="1" t="n">
        <v>46182</v>
      </c>
      <c r="D442" t="inlineStr">
        <is>
          <t>GOTLANDS LÄN</t>
        </is>
      </c>
      <c r="E442" t="inlineStr">
        <is>
          <t>GOTLAND</t>
        </is>
      </c>
      <c r="G442" t="n">
        <v>4.7</v>
      </c>
      <c r="H442" t="n">
        <v>0</v>
      </c>
      <c r="I442" t="n">
        <v>0</v>
      </c>
      <c r="J442" t="n">
        <v>0</v>
      </c>
      <c r="K442" t="n">
        <v>0</v>
      </c>
      <c r="L442" t="n">
        <v>0</v>
      </c>
      <c r="M442" t="n">
        <v>0</v>
      </c>
      <c r="N442" t="n">
        <v>0</v>
      </c>
      <c r="O442" t="n">
        <v>0</v>
      </c>
      <c r="P442" t="n">
        <v>0</v>
      </c>
      <c r="Q442" t="n">
        <v>0</v>
      </c>
      <c r="R442" s="2" t="inlineStr"/>
    </row>
    <row r="443" ht="15" customHeight="1">
      <c r="A443" t="inlineStr">
        <is>
          <t>A 27596-2023</t>
        </is>
      </c>
      <c r="B443" s="1" t="n">
        <v>45097</v>
      </c>
      <c r="C443" s="1" t="n">
        <v>46182</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56115-2023</t>
        </is>
      </c>
      <c r="B444" s="1" t="n">
        <v>45236</v>
      </c>
      <c r="C444" s="1" t="n">
        <v>46182</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64969-2023</t>
        </is>
      </c>
      <c r="B445" s="1" t="n">
        <v>45284.54009259259</v>
      </c>
      <c r="C445" s="1" t="n">
        <v>46182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54268-2022</t>
        </is>
      </c>
      <c r="B446" s="1" t="n">
        <v>44882</v>
      </c>
      <c r="C446" s="1" t="n">
        <v>46182</v>
      </c>
      <c r="D446" t="inlineStr">
        <is>
          <t>GOTLANDS LÄN</t>
        </is>
      </c>
      <c r="E446" t="inlineStr">
        <is>
          <t>GOTLAND</t>
        </is>
      </c>
      <c r="G446" t="n">
        <v>2.7</v>
      </c>
      <c r="H446" t="n">
        <v>0</v>
      </c>
      <c r="I446" t="n">
        <v>0</v>
      </c>
      <c r="J446" t="n">
        <v>0</v>
      </c>
      <c r="K446" t="n">
        <v>0</v>
      </c>
      <c r="L446" t="n">
        <v>0</v>
      </c>
      <c r="M446" t="n">
        <v>0</v>
      </c>
      <c r="N446" t="n">
        <v>0</v>
      </c>
      <c r="O446" t="n">
        <v>0</v>
      </c>
      <c r="P446" t="n">
        <v>0</v>
      </c>
      <c r="Q446" t="n">
        <v>0</v>
      </c>
      <c r="R446" s="2" t="inlineStr"/>
    </row>
    <row r="447" ht="15" customHeight="1">
      <c r="A447" t="inlineStr">
        <is>
          <t>A 1446-2025</t>
        </is>
      </c>
      <c r="B447" s="1" t="n">
        <v>45669.86035879629</v>
      </c>
      <c r="C447" s="1" t="n">
        <v>46182</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1462-2025</t>
        </is>
      </c>
      <c r="B448" s="1" t="n">
        <v>45670.36319444444</v>
      </c>
      <c r="C448" s="1" t="n">
        <v>46182</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57685-2022</t>
        </is>
      </c>
      <c r="B449" s="1" t="n">
        <v>44897.4777662037</v>
      </c>
      <c r="C449" s="1" t="n">
        <v>46182</v>
      </c>
      <c r="D449" t="inlineStr">
        <is>
          <t>GOTLANDS LÄN</t>
        </is>
      </c>
      <c r="E449" t="inlineStr">
        <is>
          <t>GOTLAND</t>
        </is>
      </c>
      <c r="G449" t="n">
        <v>3.7</v>
      </c>
      <c r="H449" t="n">
        <v>0</v>
      </c>
      <c r="I449" t="n">
        <v>0</v>
      </c>
      <c r="J449" t="n">
        <v>0</v>
      </c>
      <c r="K449" t="n">
        <v>0</v>
      </c>
      <c r="L449" t="n">
        <v>0</v>
      </c>
      <c r="M449" t="n">
        <v>0</v>
      </c>
      <c r="N449" t="n">
        <v>0</v>
      </c>
      <c r="O449" t="n">
        <v>0</v>
      </c>
      <c r="P449" t="n">
        <v>0</v>
      </c>
      <c r="Q449" t="n">
        <v>0</v>
      </c>
      <c r="R449" s="2" t="inlineStr"/>
    </row>
    <row r="450" ht="15" customHeight="1">
      <c r="A450" t="inlineStr">
        <is>
          <t>A 811-2023</t>
        </is>
      </c>
      <c r="B450" s="1" t="n">
        <v>44931</v>
      </c>
      <c r="C450" s="1" t="n">
        <v>46182</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18223-2025</t>
        </is>
      </c>
      <c r="B451" s="1" t="n">
        <v>45761</v>
      </c>
      <c r="C451" s="1" t="n">
        <v>46182</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46949-2024</t>
        </is>
      </c>
      <c r="B452" s="1" t="n">
        <v>45585</v>
      </c>
      <c r="C452" s="1" t="n">
        <v>46182</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5905-2024</t>
        </is>
      </c>
      <c r="B453" s="1" t="n">
        <v>45335.88993055555</v>
      </c>
      <c r="C453" s="1" t="n">
        <v>46182</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39479-2022</t>
        </is>
      </c>
      <c r="B454" s="1" t="n">
        <v>44818</v>
      </c>
      <c r="C454" s="1" t="n">
        <v>46182</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39496-2022</t>
        </is>
      </c>
      <c r="B455" s="1" t="n">
        <v>44818</v>
      </c>
      <c r="C455" s="1" t="n">
        <v>46182</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3431-2025</t>
        </is>
      </c>
      <c r="B456" s="1" t="n">
        <v>45680.42935185185</v>
      </c>
      <c r="C456" s="1" t="n">
        <v>46182</v>
      </c>
      <c r="D456" t="inlineStr">
        <is>
          <t>GOTLANDS LÄN</t>
        </is>
      </c>
      <c r="E456" t="inlineStr">
        <is>
          <t>GOTLAND</t>
        </is>
      </c>
      <c r="G456" t="n">
        <v>4.8</v>
      </c>
      <c r="H456" t="n">
        <v>0</v>
      </c>
      <c r="I456" t="n">
        <v>0</v>
      </c>
      <c r="J456" t="n">
        <v>0</v>
      </c>
      <c r="K456" t="n">
        <v>0</v>
      </c>
      <c r="L456" t="n">
        <v>0</v>
      </c>
      <c r="M456" t="n">
        <v>0</v>
      </c>
      <c r="N456" t="n">
        <v>0</v>
      </c>
      <c r="O456" t="n">
        <v>0</v>
      </c>
      <c r="P456" t="n">
        <v>0</v>
      </c>
      <c r="Q456" t="n">
        <v>0</v>
      </c>
      <c r="R456" s="2" t="inlineStr"/>
    </row>
    <row r="457" ht="15" customHeight="1">
      <c r="A457" t="inlineStr">
        <is>
          <t>A 34407-2023</t>
        </is>
      </c>
      <c r="B457" s="1" t="n">
        <v>45132</v>
      </c>
      <c r="C457" s="1" t="n">
        <v>46182</v>
      </c>
      <c r="D457" t="inlineStr">
        <is>
          <t>GOTLANDS LÄN</t>
        </is>
      </c>
      <c r="E457" t="inlineStr">
        <is>
          <t>GOTLAND</t>
        </is>
      </c>
      <c r="G457" t="n">
        <v>4.4</v>
      </c>
      <c r="H457" t="n">
        <v>0</v>
      </c>
      <c r="I457" t="n">
        <v>0</v>
      </c>
      <c r="J457" t="n">
        <v>0</v>
      </c>
      <c r="K457" t="n">
        <v>0</v>
      </c>
      <c r="L457" t="n">
        <v>0</v>
      </c>
      <c r="M457" t="n">
        <v>0</v>
      </c>
      <c r="N457" t="n">
        <v>0</v>
      </c>
      <c r="O457" t="n">
        <v>0</v>
      </c>
      <c r="P457" t="n">
        <v>0</v>
      </c>
      <c r="Q457" t="n">
        <v>0</v>
      </c>
      <c r="R457" s="2" t="inlineStr"/>
    </row>
    <row r="458" ht="15" customHeight="1">
      <c r="A458" t="inlineStr">
        <is>
          <t>A 30892-2024</t>
        </is>
      </c>
      <c r="B458" s="1" t="n">
        <v>45491</v>
      </c>
      <c r="C458" s="1" t="n">
        <v>46182</v>
      </c>
      <c r="D458" t="inlineStr">
        <is>
          <t>GOTLANDS LÄN</t>
        </is>
      </c>
      <c r="E458" t="inlineStr">
        <is>
          <t>GOTLAND</t>
        </is>
      </c>
      <c r="G458" t="n">
        <v>6.1</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46182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46182</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7858-2025</t>
        </is>
      </c>
      <c r="B461" s="1" t="n">
        <v>45706.68633101852</v>
      </c>
      <c r="C461" s="1" t="n">
        <v>46182</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46545-2024</t>
        </is>
      </c>
      <c r="B462" s="1" t="n">
        <v>45582.65831018519</v>
      </c>
      <c r="C462" s="1" t="n">
        <v>46182</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999-2023</t>
        </is>
      </c>
      <c r="B463" s="1" t="n">
        <v>44935</v>
      </c>
      <c r="C463" s="1" t="n">
        <v>46182</v>
      </c>
      <c r="D463" t="inlineStr">
        <is>
          <t>GOTLANDS LÄN</t>
        </is>
      </c>
      <c r="E463" t="inlineStr">
        <is>
          <t>GOTLAND</t>
        </is>
      </c>
      <c r="G463" t="n">
        <v>4.7</v>
      </c>
      <c r="H463" t="n">
        <v>0</v>
      </c>
      <c r="I463" t="n">
        <v>0</v>
      </c>
      <c r="J463" t="n">
        <v>0</v>
      </c>
      <c r="K463" t="n">
        <v>0</v>
      </c>
      <c r="L463" t="n">
        <v>0</v>
      </c>
      <c r="M463" t="n">
        <v>0</v>
      </c>
      <c r="N463" t="n">
        <v>0</v>
      </c>
      <c r="O463" t="n">
        <v>0</v>
      </c>
      <c r="P463" t="n">
        <v>0</v>
      </c>
      <c r="Q463" t="n">
        <v>0</v>
      </c>
      <c r="R463" s="2" t="inlineStr"/>
    </row>
    <row r="464" ht="15" customHeight="1">
      <c r="A464" t="inlineStr">
        <is>
          <t>A 21396-2026</t>
        </is>
      </c>
      <c r="B464" s="1" t="n">
        <v>46148.30710648148</v>
      </c>
      <c r="C464" s="1" t="n">
        <v>46182</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2125-2025</t>
        </is>
      </c>
      <c r="B465" s="1" t="n">
        <v>45672.64940972222</v>
      </c>
      <c r="C465" s="1" t="n">
        <v>46182</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4662-2026</t>
        </is>
      </c>
      <c r="B466" s="1" t="n">
        <v>46048.40949074074</v>
      </c>
      <c r="C466" s="1" t="n">
        <v>46182</v>
      </c>
      <c r="D466" t="inlineStr">
        <is>
          <t>GOTLANDS LÄN</t>
        </is>
      </c>
      <c r="E466" t="inlineStr">
        <is>
          <t>GOTLAND</t>
        </is>
      </c>
      <c r="G466" t="n">
        <v>7.6</v>
      </c>
      <c r="H466" t="n">
        <v>0</v>
      </c>
      <c r="I466" t="n">
        <v>0</v>
      </c>
      <c r="J466" t="n">
        <v>0</v>
      </c>
      <c r="K466" t="n">
        <v>0</v>
      </c>
      <c r="L466" t="n">
        <v>0</v>
      </c>
      <c r="M466" t="n">
        <v>0</v>
      </c>
      <c r="N466" t="n">
        <v>0</v>
      </c>
      <c r="O466" t="n">
        <v>0</v>
      </c>
      <c r="P466" t="n">
        <v>0</v>
      </c>
      <c r="Q466" t="n">
        <v>0</v>
      </c>
      <c r="R466" s="2" t="inlineStr"/>
    </row>
    <row r="467" ht="15" customHeight="1">
      <c r="A467" t="inlineStr">
        <is>
          <t>A 12155-2023</t>
        </is>
      </c>
      <c r="B467" s="1" t="n">
        <v>44998.49106481481</v>
      </c>
      <c r="C467" s="1" t="n">
        <v>46182</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2774-2024</t>
        </is>
      </c>
      <c r="B468" s="1" t="n">
        <v>45314.62375</v>
      </c>
      <c r="C468" s="1" t="n">
        <v>46182</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22351-2026</t>
        </is>
      </c>
      <c r="B469" s="1" t="n">
        <v>46154.58350694444</v>
      </c>
      <c r="C469" s="1" t="n">
        <v>46182</v>
      </c>
      <c r="D469" t="inlineStr">
        <is>
          <t>GOTLANDS LÄN</t>
        </is>
      </c>
      <c r="E469" t="inlineStr">
        <is>
          <t>GOTLAND</t>
        </is>
      </c>
      <c r="G469" t="n">
        <v>1.3</v>
      </c>
      <c r="H469" t="n">
        <v>0</v>
      </c>
      <c r="I469" t="n">
        <v>0</v>
      </c>
      <c r="J469" t="n">
        <v>0</v>
      </c>
      <c r="K469" t="n">
        <v>0</v>
      </c>
      <c r="L469" t="n">
        <v>0</v>
      </c>
      <c r="M469" t="n">
        <v>0</v>
      </c>
      <c r="N469" t="n">
        <v>0</v>
      </c>
      <c r="O469" t="n">
        <v>0</v>
      </c>
      <c r="P469" t="n">
        <v>0</v>
      </c>
      <c r="Q469" t="n">
        <v>0</v>
      </c>
      <c r="R469" s="2" t="inlineStr"/>
    </row>
    <row r="470" ht="15" customHeight="1">
      <c r="A470" t="inlineStr">
        <is>
          <t>A 22348-2026</t>
        </is>
      </c>
      <c r="B470" s="1" t="n">
        <v>46154.58071759259</v>
      </c>
      <c r="C470" s="1" t="n">
        <v>46182</v>
      </c>
      <c r="D470" t="inlineStr">
        <is>
          <t>GOTLANDS LÄN</t>
        </is>
      </c>
      <c r="E470" t="inlineStr">
        <is>
          <t>GOTLAND</t>
        </is>
      </c>
      <c r="G470" t="n">
        <v>3.3</v>
      </c>
      <c r="H470" t="n">
        <v>0</v>
      </c>
      <c r="I470" t="n">
        <v>0</v>
      </c>
      <c r="J470" t="n">
        <v>0</v>
      </c>
      <c r="K470" t="n">
        <v>0</v>
      </c>
      <c r="L470" t="n">
        <v>0</v>
      </c>
      <c r="M470" t="n">
        <v>0</v>
      </c>
      <c r="N470" t="n">
        <v>0</v>
      </c>
      <c r="O470" t="n">
        <v>0</v>
      </c>
      <c r="P470" t="n">
        <v>0</v>
      </c>
      <c r="Q470" t="n">
        <v>0</v>
      </c>
      <c r="R470" s="2" t="inlineStr"/>
    </row>
    <row r="471" ht="15" customHeight="1">
      <c r="A471" t="inlineStr">
        <is>
          <t>A 9947-2024</t>
        </is>
      </c>
      <c r="B471" s="1" t="n">
        <v>45363</v>
      </c>
      <c r="C471" s="1" t="n">
        <v>46182</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42007-2023</t>
        </is>
      </c>
      <c r="B472" s="1" t="n">
        <v>45177</v>
      </c>
      <c r="C472" s="1" t="n">
        <v>46182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22275-2026</t>
        </is>
      </c>
      <c r="B473" s="1" t="n">
        <v>46154.41924768518</v>
      </c>
      <c r="C473" s="1" t="n">
        <v>46182</v>
      </c>
      <c r="D473" t="inlineStr">
        <is>
          <t>GOTLANDS LÄN</t>
        </is>
      </c>
      <c r="E473" t="inlineStr">
        <is>
          <t>GOTLAND</t>
        </is>
      </c>
      <c r="G473" t="n">
        <v>3.7</v>
      </c>
      <c r="H473" t="n">
        <v>0</v>
      </c>
      <c r="I473" t="n">
        <v>0</v>
      </c>
      <c r="J473" t="n">
        <v>0</v>
      </c>
      <c r="K473" t="n">
        <v>0</v>
      </c>
      <c r="L473" t="n">
        <v>0</v>
      </c>
      <c r="M473" t="n">
        <v>0</v>
      </c>
      <c r="N473" t="n">
        <v>0</v>
      </c>
      <c r="O473" t="n">
        <v>0</v>
      </c>
      <c r="P473" t="n">
        <v>0</v>
      </c>
      <c r="Q473" t="n">
        <v>0</v>
      </c>
      <c r="R473" s="2" t="inlineStr"/>
    </row>
    <row r="474" ht="15" customHeight="1">
      <c r="A474" t="inlineStr">
        <is>
          <t>A 44949-2023</t>
        </is>
      </c>
      <c r="B474" s="1" t="n">
        <v>45190.69520833333</v>
      </c>
      <c r="C474" s="1" t="n">
        <v>46182</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17000-2026</t>
        </is>
      </c>
      <c r="B475" s="1" t="n">
        <v>46114.42690972222</v>
      </c>
      <c r="C475" s="1" t="n">
        <v>46182</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17682-2024</t>
        </is>
      </c>
      <c r="B476" s="1" t="n">
        <v>45418.42966435185</v>
      </c>
      <c r="C476" s="1" t="n">
        <v>46182</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16993-2026</t>
        </is>
      </c>
      <c r="B477" s="1" t="n">
        <v>46114.41918981481</v>
      </c>
      <c r="C477" s="1" t="n">
        <v>46182</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46182</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61897-2024</t>
        </is>
      </c>
      <c r="B479" s="1" t="n">
        <v>45652.75685185185</v>
      </c>
      <c r="C479" s="1" t="n">
        <v>46182</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12032-2025</t>
        </is>
      </c>
      <c r="B480" s="1" t="n">
        <v>45728.64472222222</v>
      </c>
      <c r="C480" s="1" t="n">
        <v>46182</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15595-2024</t>
        </is>
      </c>
      <c r="B481" s="1" t="n">
        <v>45401.81480324074</v>
      </c>
      <c r="C481" s="1" t="n">
        <v>46182</v>
      </c>
      <c r="D481" t="inlineStr">
        <is>
          <t>GOTLANDS LÄN</t>
        </is>
      </c>
      <c r="E481" t="inlineStr">
        <is>
          <t>GOTLAND</t>
        </is>
      </c>
      <c r="G481" t="n">
        <v>6.4</v>
      </c>
      <c r="H481" t="n">
        <v>0</v>
      </c>
      <c r="I481" t="n">
        <v>0</v>
      </c>
      <c r="J481" t="n">
        <v>0</v>
      </c>
      <c r="K481" t="n">
        <v>0</v>
      </c>
      <c r="L481" t="n">
        <v>0</v>
      </c>
      <c r="M481" t="n">
        <v>0</v>
      </c>
      <c r="N481" t="n">
        <v>0</v>
      </c>
      <c r="O481" t="n">
        <v>0</v>
      </c>
      <c r="P481" t="n">
        <v>0</v>
      </c>
      <c r="Q481" t="n">
        <v>0</v>
      </c>
      <c r="R481" s="2" t="inlineStr"/>
    </row>
    <row r="482" ht="15" customHeight="1">
      <c r="A482" t="inlineStr">
        <is>
          <t>A 22887-2026</t>
        </is>
      </c>
      <c r="B482" s="1" t="n">
        <v>46160.47591435185</v>
      </c>
      <c r="C482" s="1" t="n">
        <v>46182</v>
      </c>
      <c r="D482" t="inlineStr">
        <is>
          <t>GOTLANDS LÄN</t>
        </is>
      </c>
      <c r="E482" t="inlineStr">
        <is>
          <t>GOTLAND</t>
        </is>
      </c>
      <c r="G482" t="n">
        <v>3.6</v>
      </c>
      <c r="H482" t="n">
        <v>0</v>
      </c>
      <c r="I482" t="n">
        <v>0</v>
      </c>
      <c r="J482" t="n">
        <v>0</v>
      </c>
      <c r="K482" t="n">
        <v>0</v>
      </c>
      <c r="L482" t="n">
        <v>0</v>
      </c>
      <c r="M482" t="n">
        <v>0</v>
      </c>
      <c r="N482" t="n">
        <v>0</v>
      </c>
      <c r="O482" t="n">
        <v>0</v>
      </c>
      <c r="P482" t="n">
        <v>0</v>
      </c>
      <c r="Q482" t="n">
        <v>0</v>
      </c>
      <c r="R482" s="2" t="inlineStr"/>
    </row>
    <row r="483" ht="15" customHeight="1">
      <c r="A483" t="inlineStr">
        <is>
          <t>A 21164-2024</t>
        </is>
      </c>
      <c r="B483" s="1" t="n">
        <v>45440</v>
      </c>
      <c r="C483" s="1" t="n">
        <v>46182</v>
      </c>
      <c r="D483" t="inlineStr">
        <is>
          <t>GOTLANDS LÄN</t>
        </is>
      </c>
      <c r="E483" t="inlineStr">
        <is>
          <t>GOTLAND</t>
        </is>
      </c>
      <c r="G483" t="n">
        <v>6.3</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46182</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1066-2024</t>
        </is>
      </c>
      <c r="B485" s="1" t="n">
        <v>45302.285</v>
      </c>
      <c r="C485" s="1" t="n">
        <v>46182</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21389-2025</t>
        </is>
      </c>
      <c r="B486" s="1" t="n">
        <v>45782</v>
      </c>
      <c r="C486" s="1" t="n">
        <v>46182</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37202-2024</t>
        </is>
      </c>
      <c r="B487" s="1" t="n">
        <v>45539.67310185185</v>
      </c>
      <c r="C487" s="1" t="n">
        <v>46182</v>
      </c>
      <c r="D487" t="inlineStr">
        <is>
          <t>GOTLANDS LÄN</t>
        </is>
      </c>
      <c r="E487" t="inlineStr">
        <is>
          <t>GOTLAND</t>
        </is>
      </c>
      <c r="G487" t="n">
        <v>0.3</v>
      </c>
      <c r="H487" t="n">
        <v>0</v>
      </c>
      <c r="I487" t="n">
        <v>0</v>
      </c>
      <c r="J487" t="n">
        <v>0</v>
      </c>
      <c r="K487" t="n">
        <v>0</v>
      </c>
      <c r="L487" t="n">
        <v>0</v>
      </c>
      <c r="M487" t="n">
        <v>0</v>
      </c>
      <c r="N487" t="n">
        <v>0</v>
      </c>
      <c r="O487" t="n">
        <v>0</v>
      </c>
      <c r="P487" t="n">
        <v>0</v>
      </c>
      <c r="Q487" t="n">
        <v>0</v>
      </c>
      <c r="R487" s="2" t="inlineStr"/>
    </row>
    <row r="488" ht="15" customHeight="1">
      <c r="A488" t="inlineStr">
        <is>
          <t>A 21651-2025</t>
        </is>
      </c>
      <c r="B488" s="1" t="n">
        <v>45783</v>
      </c>
      <c r="C488" s="1" t="n">
        <v>46182</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30815-2023</t>
        </is>
      </c>
      <c r="B489" s="1" t="n">
        <v>45112</v>
      </c>
      <c r="C489" s="1" t="n">
        <v>46182</v>
      </c>
      <c r="D489" t="inlineStr">
        <is>
          <t>GOTLANDS LÄN</t>
        </is>
      </c>
      <c r="E489" t="inlineStr">
        <is>
          <t>GOTLAND</t>
        </is>
      </c>
      <c r="G489" t="n">
        <v>6</v>
      </c>
      <c r="H489" t="n">
        <v>0</v>
      </c>
      <c r="I489" t="n">
        <v>0</v>
      </c>
      <c r="J489" t="n">
        <v>0</v>
      </c>
      <c r="K489" t="n">
        <v>0</v>
      </c>
      <c r="L489" t="n">
        <v>0</v>
      </c>
      <c r="M489" t="n">
        <v>0</v>
      </c>
      <c r="N489" t="n">
        <v>0</v>
      </c>
      <c r="O489" t="n">
        <v>0</v>
      </c>
      <c r="P489" t="n">
        <v>0</v>
      </c>
      <c r="Q489" t="n">
        <v>0</v>
      </c>
      <c r="R489" s="2" t="inlineStr"/>
    </row>
    <row r="490" ht="15" customHeight="1">
      <c r="A490" t="inlineStr">
        <is>
          <t>A 23103-2026</t>
        </is>
      </c>
      <c r="B490" s="1" t="n">
        <v>46161.57108796296</v>
      </c>
      <c r="C490" s="1" t="n">
        <v>46182</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17935-2026</t>
        </is>
      </c>
      <c r="B491" s="1" t="n">
        <v>46122</v>
      </c>
      <c r="C491" s="1" t="n">
        <v>46182</v>
      </c>
      <c r="D491" t="inlineStr">
        <is>
          <t>GOTLANDS LÄN</t>
        </is>
      </c>
      <c r="E491" t="inlineStr">
        <is>
          <t>GOTLAND</t>
        </is>
      </c>
      <c r="G491" t="n">
        <v>0.9</v>
      </c>
      <c r="H491" t="n">
        <v>0</v>
      </c>
      <c r="I491" t="n">
        <v>0</v>
      </c>
      <c r="J491" t="n">
        <v>0</v>
      </c>
      <c r="K491" t="n">
        <v>0</v>
      </c>
      <c r="L491" t="n">
        <v>0</v>
      </c>
      <c r="M491" t="n">
        <v>0</v>
      </c>
      <c r="N491" t="n">
        <v>0</v>
      </c>
      <c r="O491" t="n">
        <v>0</v>
      </c>
      <c r="P491" t="n">
        <v>0</v>
      </c>
      <c r="Q491" t="n">
        <v>0</v>
      </c>
      <c r="R491" s="2" t="inlineStr"/>
    </row>
    <row r="492" ht="15" customHeight="1">
      <c r="A492" t="inlineStr">
        <is>
          <t>A 46400-2023</t>
        </is>
      </c>
      <c r="B492" s="1" t="n">
        <v>45197.49290509259</v>
      </c>
      <c r="C492" s="1" t="n">
        <v>46182</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10492-2023</t>
        </is>
      </c>
      <c r="B493" s="1" t="n">
        <v>44987</v>
      </c>
      <c r="C493" s="1" t="n">
        <v>46182</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23504-2026</t>
        </is>
      </c>
      <c r="B494" s="1" t="n">
        <v>46163.45875</v>
      </c>
      <c r="C494" s="1" t="n">
        <v>46182</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44919-2022</t>
        </is>
      </c>
      <c r="B495" s="1" t="n">
        <v>44841</v>
      </c>
      <c r="C495" s="1" t="n">
        <v>46182</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16501-2023</t>
        </is>
      </c>
      <c r="B496" s="1" t="n">
        <v>45029</v>
      </c>
      <c r="C496" s="1" t="n">
        <v>46182</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46182</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1291-2023</t>
        </is>
      </c>
      <c r="B498" s="1" t="n">
        <v>44936.47561342592</v>
      </c>
      <c r="C498" s="1" t="n">
        <v>46182</v>
      </c>
      <c r="D498" t="inlineStr">
        <is>
          <t>GOTLANDS LÄN</t>
        </is>
      </c>
      <c r="E498" t="inlineStr">
        <is>
          <t>GOTLAND</t>
        </is>
      </c>
      <c r="G498" t="n">
        <v>7.4</v>
      </c>
      <c r="H498" t="n">
        <v>0</v>
      </c>
      <c r="I498" t="n">
        <v>0</v>
      </c>
      <c r="J498" t="n">
        <v>0</v>
      </c>
      <c r="K498" t="n">
        <v>0</v>
      </c>
      <c r="L498" t="n">
        <v>0</v>
      </c>
      <c r="M498" t="n">
        <v>0</v>
      </c>
      <c r="N498" t="n">
        <v>0</v>
      </c>
      <c r="O498" t="n">
        <v>0</v>
      </c>
      <c r="P498" t="n">
        <v>0</v>
      </c>
      <c r="Q498" t="n">
        <v>0</v>
      </c>
      <c r="R498" s="2" t="inlineStr"/>
    </row>
    <row r="499" ht="15" customHeight="1">
      <c r="A499" t="inlineStr">
        <is>
          <t>A 21420-2024</t>
        </is>
      </c>
      <c r="B499" s="1" t="n">
        <v>45441.38293981482</v>
      </c>
      <c r="C499" s="1" t="n">
        <v>46182</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10656-2024</t>
        </is>
      </c>
      <c r="B500" s="1" t="n">
        <v>45368</v>
      </c>
      <c r="C500" s="1" t="n">
        <v>46182</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57356-2023</t>
        </is>
      </c>
      <c r="B501" s="1" t="n">
        <v>45240</v>
      </c>
      <c r="C501" s="1" t="n">
        <v>46182</v>
      </c>
      <c r="D501" t="inlineStr">
        <is>
          <t>GOTLANDS LÄN</t>
        </is>
      </c>
      <c r="E501" t="inlineStr">
        <is>
          <t>GOTLAND</t>
        </is>
      </c>
      <c r="G501" t="n">
        <v>6.4</v>
      </c>
      <c r="H501" t="n">
        <v>0</v>
      </c>
      <c r="I501" t="n">
        <v>0</v>
      </c>
      <c r="J501" t="n">
        <v>0</v>
      </c>
      <c r="K501" t="n">
        <v>0</v>
      </c>
      <c r="L501" t="n">
        <v>0</v>
      </c>
      <c r="M501" t="n">
        <v>0</v>
      </c>
      <c r="N501" t="n">
        <v>0</v>
      </c>
      <c r="O501" t="n">
        <v>0</v>
      </c>
      <c r="P501" t="n">
        <v>0</v>
      </c>
      <c r="Q501" t="n">
        <v>0</v>
      </c>
      <c r="R501" s="2" t="inlineStr"/>
    </row>
    <row r="502" ht="15" customHeight="1">
      <c r="A502" t="inlineStr">
        <is>
          <t>A 28506-2023</t>
        </is>
      </c>
      <c r="B502" s="1" t="n">
        <v>45103</v>
      </c>
      <c r="C502" s="1" t="n">
        <v>46182</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23188-2025</t>
        </is>
      </c>
      <c r="B503" s="1" t="n">
        <v>45791</v>
      </c>
      <c r="C503" s="1" t="n">
        <v>46182</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5891-2025</t>
        </is>
      </c>
      <c r="B504" s="1" t="n">
        <v>45695.38327546296</v>
      </c>
      <c r="C504" s="1" t="n">
        <v>46182</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23856-2025</t>
        </is>
      </c>
      <c r="B505" s="1" t="n">
        <v>45793</v>
      </c>
      <c r="C505" s="1" t="n">
        <v>46182</v>
      </c>
      <c r="D505" t="inlineStr">
        <is>
          <t>GOTLANDS LÄN</t>
        </is>
      </c>
      <c r="E505" t="inlineStr">
        <is>
          <t>GOTLAND</t>
        </is>
      </c>
      <c r="G505" t="n">
        <v>4.4</v>
      </c>
      <c r="H505" t="n">
        <v>0</v>
      </c>
      <c r="I505" t="n">
        <v>0</v>
      </c>
      <c r="J505" t="n">
        <v>0</v>
      </c>
      <c r="K505" t="n">
        <v>0</v>
      </c>
      <c r="L505" t="n">
        <v>0</v>
      </c>
      <c r="M505" t="n">
        <v>0</v>
      </c>
      <c r="N505" t="n">
        <v>0</v>
      </c>
      <c r="O505" t="n">
        <v>0</v>
      </c>
      <c r="P505" t="n">
        <v>0</v>
      </c>
      <c r="Q505" t="n">
        <v>0</v>
      </c>
      <c r="R505" s="2" t="inlineStr"/>
    </row>
    <row r="506" ht="15" customHeight="1">
      <c r="A506" t="inlineStr">
        <is>
          <t>A 2719-2023</t>
        </is>
      </c>
      <c r="B506" s="1" t="n">
        <v>44944.55361111111</v>
      </c>
      <c r="C506" s="1" t="n">
        <v>46182</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23698-2025</t>
        </is>
      </c>
      <c r="B507" s="1" t="n">
        <v>45793</v>
      </c>
      <c r="C507" s="1" t="n">
        <v>46182</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49314-2024</t>
        </is>
      </c>
      <c r="B508" s="1" t="n">
        <v>45595.55893518519</v>
      </c>
      <c r="C508" s="1" t="n">
        <v>46182</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15073-2025</t>
        </is>
      </c>
      <c r="B509" s="1" t="n">
        <v>45743</v>
      </c>
      <c r="C509" s="1" t="n">
        <v>46182</v>
      </c>
      <c r="D509" t="inlineStr">
        <is>
          <t>GOTLANDS LÄN</t>
        </is>
      </c>
      <c r="E509" t="inlineStr">
        <is>
          <t>GOTLAND</t>
        </is>
      </c>
      <c r="G509" t="n">
        <v>12.1</v>
      </c>
      <c r="H509" t="n">
        <v>0</v>
      </c>
      <c r="I509" t="n">
        <v>0</v>
      </c>
      <c r="J509" t="n">
        <v>0</v>
      </c>
      <c r="K509" t="n">
        <v>0</v>
      </c>
      <c r="L509" t="n">
        <v>0</v>
      </c>
      <c r="M509" t="n">
        <v>0</v>
      </c>
      <c r="N509" t="n">
        <v>0</v>
      </c>
      <c r="O509" t="n">
        <v>0</v>
      </c>
      <c r="P509" t="n">
        <v>0</v>
      </c>
      <c r="Q509" t="n">
        <v>0</v>
      </c>
      <c r="R509" s="2" t="inlineStr"/>
    </row>
    <row r="510" ht="15" customHeight="1">
      <c r="A510" t="inlineStr">
        <is>
          <t>A 29809-2022</t>
        </is>
      </c>
      <c r="B510" s="1" t="n">
        <v>44755.8713425926</v>
      </c>
      <c r="C510" s="1" t="n">
        <v>46182</v>
      </c>
      <c r="D510" t="inlineStr">
        <is>
          <t>GOTLANDS LÄN</t>
        </is>
      </c>
      <c r="E510" t="inlineStr">
        <is>
          <t>GOTLAND</t>
        </is>
      </c>
      <c r="G510" t="n">
        <v>11.5</v>
      </c>
      <c r="H510" t="n">
        <v>0</v>
      </c>
      <c r="I510" t="n">
        <v>0</v>
      </c>
      <c r="J510" t="n">
        <v>0</v>
      </c>
      <c r="K510" t="n">
        <v>0</v>
      </c>
      <c r="L510" t="n">
        <v>0</v>
      </c>
      <c r="M510" t="n">
        <v>0</v>
      </c>
      <c r="N510" t="n">
        <v>0</v>
      </c>
      <c r="O510" t="n">
        <v>0</v>
      </c>
      <c r="P510" t="n">
        <v>0</v>
      </c>
      <c r="Q510" t="n">
        <v>0</v>
      </c>
      <c r="R510" s="2" t="inlineStr"/>
    </row>
    <row r="511" ht="15" customHeight="1">
      <c r="A511" t="inlineStr">
        <is>
          <t>A 18804-2026</t>
        </is>
      </c>
      <c r="B511" s="1" t="n">
        <v>46128.62366898148</v>
      </c>
      <c r="C511" s="1" t="n">
        <v>46182</v>
      </c>
      <c r="D511" t="inlineStr">
        <is>
          <t>GOTLANDS LÄN</t>
        </is>
      </c>
      <c r="E511" t="inlineStr">
        <is>
          <t>GOTLAND</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4639-2026</t>
        </is>
      </c>
      <c r="B512" s="1" t="n">
        <v>46048.39880787037</v>
      </c>
      <c r="C512" s="1" t="n">
        <v>46182</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24448-2026</t>
        </is>
      </c>
      <c r="B513" s="1" t="n">
        <v>46170.35354166666</v>
      </c>
      <c r="C513" s="1" t="n">
        <v>46182</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62836-2025</t>
        </is>
      </c>
      <c r="B514" s="1" t="n">
        <v>46008</v>
      </c>
      <c r="C514" s="1" t="n">
        <v>46182</v>
      </c>
      <c r="D514" t="inlineStr">
        <is>
          <t>GOTLANDS LÄN</t>
        </is>
      </c>
      <c r="E514" t="inlineStr">
        <is>
          <t>GOTLAND</t>
        </is>
      </c>
      <c r="G514" t="n">
        <v>6.5</v>
      </c>
      <c r="H514" t="n">
        <v>0</v>
      </c>
      <c r="I514" t="n">
        <v>0</v>
      </c>
      <c r="J514" t="n">
        <v>0</v>
      </c>
      <c r="K514" t="n">
        <v>0</v>
      </c>
      <c r="L514" t="n">
        <v>0</v>
      </c>
      <c r="M514" t="n">
        <v>0</v>
      </c>
      <c r="N514" t="n">
        <v>0</v>
      </c>
      <c r="O514" t="n">
        <v>0</v>
      </c>
      <c r="P514" t="n">
        <v>0</v>
      </c>
      <c r="Q514" t="n">
        <v>0</v>
      </c>
      <c r="R514" s="2" t="inlineStr"/>
    </row>
    <row r="515" ht="15" customHeight="1">
      <c r="A515" t="inlineStr">
        <is>
          <t>A 6749-2025</t>
        </is>
      </c>
      <c r="B515" s="1" t="n">
        <v>45700</v>
      </c>
      <c r="C515" s="1" t="n">
        <v>46182</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16361-2024</t>
        </is>
      </c>
      <c r="B516" s="1" t="n">
        <v>45407</v>
      </c>
      <c r="C516" s="1" t="n">
        <v>46182</v>
      </c>
      <c r="D516" t="inlineStr">
        <is>
          <t>GOTLANDS LÄN</t>
        </is>
      </c>
      <c r="E516" t="inlineStr">
        <is>
          <t>GOTLAND</t>
        </is>
      </c>
      <c r="G516" t="n">
        <v>6</v>
      </c>
      <c r="H516" t="n">
        <v>0</v>
      </c>
      <c r="I516" t="n">
        <v>0</v>
      </c>
      <c r="J516" t="n">
        <v>0</v>
      </c>
      <c r="K516" t="n">
        <v>0</v>
      </c>
      <c r="L516" t="n">
        <v>0</v>
      </c>
      <c r="M516" t="n">
        <v>0</v>
      </c>
      <c r="N516" t="n">
        <v>0</v>
      </c>
      <c r="O516" t="n">
        <v>0</v>
      </c>
      <c r="P516" t="n">
        <v>0</v>
      </c>
      <c r="Q516" t="n">
        <v>0</v>
      </c>
      <c r="R516" s="2" t="inlineStr"/>
    </row>
    <row r="517" ht="15" customHeight="1">
      <c r="A517" t="inlineStr">
        <is>
          <t>A 43081-2022</t>
        </is>
      </c>
      <c r="B517" s="1" t="n">
        <v>44833</v>
      </c>
      <c r="C517" s="1" t="n">
        <v>46182</v>
      </c>
      <c r="D517" t="inlineStr">
        <is>
          <t>GOTLANDS LÄN</t>
        </is>
      </c>
      <c r="E517" t="inlineStr">
        <is>
          <t>GOTLAND</t>
        </is>
      </c>
      <c r="G517" t="n">
        <v>6.8</v>
      </c>
      <c r="H517" t="n">
        <v>0</v>
      </c>
      <c r="I517" t="n">
        <v>0</v>
      </c>
      <c r="J517" t="n">
        <v>0</v>
      </c>
      <c r="K517" t="n">
        <v>0</v>
      </c>
      <c r="L517" t="n">
        <v>0</v>
      </c>
      <c r="M517" t="n">
        <v>0</v>
      </c>
      <c r="N517" t="n">
        <v>0</v>
      </c>
      <c r="O517" t="n">
        <v>0</v>
      </c>
      <c r="P517" t="n">
        <v>0</v>
      </c>
      <c r="Q517" t="n">
        <v>0</v>
      </c>
      <c r="R517" s="2" t="inlineStr"/>
    </row>
    <row r="518" ht="15" customHeight="1">
      <c r="A518" t="inlineStr">
        <is>
          <t>A 19322-2026</t>
        </is>
      </c>
      <c r="B518" s="1" t="n">
        <v>46129</v>
      </c>
      <c r="C518" s="1" t="n">
        <v>46182</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5462-2025</t>
        </is>
      </c>
      <c r="B519" s="1" t="n">
        <v>45693.29331018519</v>
      </c>
      <c r="C519" s="1" t="n">
        <v>46182</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1175-2025</t>
        </is>
      </c>
      <c r="B520" s="1" t="n">
        <v>45667.34449074074</v>
      </c>
      <c r="C520" s="1" t="n">
        <v>46182</v>
      </c>
      <c r="D520" t="inlineStr">
        <is>
          <t>GOTLANDS LÄN</t>
        </is>
      </c>
      <c r="E520" t="inlineStr">
        <is>
          <t>GOTLAND</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17943-2026</t>
        </is>
      </c>
      <c r="B521" s="1" t="n">
        <v>46122</v>
      </c>
      <c r="C521" s="1" t="n">
        <v>46182</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5863-2026</t>
        </is>
      </c>
      <c r="B522" s="1" t="n">
        <v>46052</v>
      </c>
      <c r="C522" s="1" t="n">
        <v>46182</v>
      </c>
      <c r="D522" t="inlineStr">
        <is>
          <t>GOTLANDS LÄN</t>
        </is>
      </c>
      <c r="E522" t="inlineStr">
        <is>
          <t>GOTLAND</t>
        </is>
      </c>
      <c r="G522" t="n">
        <v>1.8</v>
      </c>
      <c r="H522" t="n">
        <v>0</v>
      </c>
      <c r="I522" t="n">
        <v>0</v>
      </c>
      <c r="J522" t="n">
        <v>0</v>
      </c>
      <c r="K522" t="n">
        <v>0</v>
      </c>
      <c r="L522" t="n">
        <v>0</v>
      </c>
      <c r="M522" t="n">
        <v>0</v>
      </c>
      <c r="N522" t="n">
        <v>0</v>
      </c>
      <c r="O522" t="n">
        <v>0</v>
      </c>
      <c r="P522" t="n">
        <v>0</v>
      </c>
      <c r="Q522" t="n">
        <v>0</v>
      </c>
      <c r="R522" s="2" t="inlineStr"/>
    </row>
    <row r="523" ht="15" customHeight="1">
      <c r="A523" t="inlineStr">
        <is>
          <t>A 7625-2026</t>
        </is>
      </c>
      <c r="B523" s="1" t="n">
        <v>46062.35135416667</v>
      </c>
      <c r="C523" s="1" t="n">
        <v>46182</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62754-2025</t>
        </is>
      </c>
      <c r="B524" s="1" t="n">
        <v>46008</v>
      </c>
      <c r="C524" s="1" t="n">
        <v>46182</v>
      </c>
      <c r="D524" t="inlineStr">
        <is>
          <t>GOTLANDS LÄN</t>
        </is>
      </c>
      <c r="E524" t="inlineStr">
        <is>
          <t>GOTLAND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26467-2025</t>
        </is>
      </c>
      <c r="B525" s="1" t="n">
        <v>45807.44640046296</v>
      </c>
      <c r="C525" s="1" t="n">
        <v>46182</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25796-2025</t>
        </is>
      </c>
      <c r="B526" s="1" t="n">
        <v>45804.39543981481</v>
      </c>
      <c r="C526" s="1" t="n">
        <v>46182</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1854-2026</t>
        </is>
      </c>
      <c r="B527" s="1" t="n">
        <v>46035</v>
      </c>
      <c r="C527" s="1" t="n">
        <v>46182</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2180-2025</t>
        </is>
      </c>
      <c r="B528" s="1" t="n">
        <v>45673</v>
      </c>
      <c r="C528" s="1" t="n">
        <v>46182</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38165-2023</t>
        </is>
      </c>
      <c r="B529" s="1" t="n">
        <v>45161</v>
      </c>
      <c r="C529" s="1" t="n">
        <v>46182</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13910-2025</t>
        </is>
      </c>
      <c r="B530" s="1" t="n">
        <v>45737</v>
      </c>
      <c r="C530" s="1" t="n">
        <v>46182</v>
      </c>
      <c r="D530" t="inlineStr">
        <is>
          <t>GOTLANDS LÄN</t>
        </is>
      </c>
      <c r="E530" t="inlineStr">
        <is>
          <t>GOTLAND</t>
        </is>
      </c>
      <c r="F530" t="inlineStr">
        <is>
          <t>Kommuner</t>
        </is>
      </c>
      <c r="G530" t="n">
        <v>3.2</v>
      </c>
      <c r="H530" t="n">
        <v>0</v>
      </c>
      <c r="I530" t="n">
        <v>0</v>
      </c>
      <c r="J530" t="n">
        <v>0</v>
      </c>
      <c r="K530" t="n">
        <v>0</v>
      </c>
      <c r="L530" t="n">
        <v>0</v>
      </c>
      <c r="M530" t="n">
        <v>0</v>
      </c>
      <c r="N530" t="n">
        <v>0</v>
      </c>
      <c r="O530" t="n">
        <v>0</v>
      </c>
      <c r="P530" t="n">
        <v>0</v>
      </c>
      <c r="Q530" t="n">
        <v>0</v>
      </c>
      <c r="R530" s="2" t="inlineStr"/>
    </row>
    <row r="531" ht="15" customHeight="1">
      <c r="A531" t="inlineStr">
        <is>
          <t>A 1364-2025</t>
        </is>
      </c>
      <c r="B531" s="1" t="n">
        <v>45667.63929398148</v>
      </c>
      <c r="C531" s="1" t="n">
        <v>46182</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45112-2024</t>
        </is>
      </c>
      <c r="B532" s="1" t="n">
        <v>45575</v>
      </c>
      <c r="C532" s="1" t="n">
        <v>46182</v>
      </c>
      <c r="D532" t="inlineStr">
        <is>
          <t>GOTLANDS LÄN</t>
        </is>
      </c>
      <c r="E532" t="inlineStr">
        <is>
          <t>GOTLAND</t>
        </is>
      </c>
      <c r="G532" t="n">
        <v>5.1</v>
      </c>
      <c r="H532" t="n">
        <v>0</v>
      </c>
      <c r="I532" t="n">
        <v>0</v>
      </c>
      <c r="J532" t="n">
        <v>0</v>
      </c>
      <c r="K532" t="n">
        <v>0</v>
      </c>
      <c r="L532" t="n">
        <v>0</v>
      </c>
      <c r="M532" t="n">
        <v>0</v>
      </c>
      <c r="N532" t="n">
        <v>0</v>
      </c>
      <c r="O532" t="n">
        <v>0</v>
      </c>
      <c r="P532" t="n">
        <v>0</v>
      </c>
      <c r="Q532" t="n">
        <v>0</v>
      </c>
      <c r="R532" s="2" t="inlineStr"/>
    </row>
    <row r="533" ht="15" customHeight="1">
      <c r="A533" t="inlineStr">
        <is>
          <t>A 35537-2025</t>
        </is>
      </c>
      <c r="B533" s="1" t="n">
        <v>45856</v>
      </c>
      <c r="C533" s="1" t="n">
        <v>46182</v>
      </c>
      <c r="D533" t="inlineStr">
        <is>
          <t>GOTLANDS LÄN</t>
        </is>
      </c>
      <c r="E533" t="inlineStr">
        <is>
          <t>GOTLAND</t>
        </is>
      </c>
      <c r="G533" t="n">
        <v>16.8</v>
      </c>
      <c r="H533" t="n">
        <v>0</v>
      </c>
      <c r="I533" t="n">
        <v>0</v>
      </c>
      <c r="J533" t="n">
        <v>0</v>
      </c>
      <c r="K533" t="n">
        <v>0</v>
      </c>
      <c r="L533" t="n">
        <v>0</v>
      </c>
      <c r="M533" t="n">
        <v>0</v>
      </c>
      <c r="N533" t="n">
        <v>0</v>
      </c>
      <c r="O533" t="n">
        <v>0</v>
      </c>
      <c r="P533" t="n">
        <v>0</v>
      </c>
      <c r="Q533" t="n">
        <v>0</v>
      </c>
      <c r="R533" s="2" t="inlineStr"/>
    </row>
    <row r="534" ht="15" customHeight="1">
      <c r="A534" t="inlineStr">
        <is>
          <t>A 20225-2025</t>
        </is>
      </c>
      <c r="B534" s="1" t="n">
        <v>45772.65802083333</v>
      </c>
      <c r="C534" s="1" t="n">
        <v>46182</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883-2025</t>
        </is>
      </c>
      <c r="B535" s="1" t="n">
        <v>45665</v>
      </c>
      <c r="C535" s="1" t="n">
        <v>46182</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6959-2026</t>
        </is>
      </c>
      <c r="B536" s="1" t="n">
        <v>46057.580625</v>
      </c>
      <c r="C536" s="1" t="n">
        <v>46182</v>
      </c>
      <c r="D536" t="inlineStr">
        <is>
          <t>GOTLANDS LÄN</t>
        </is>
      </c>
      <c r="E536" t="inlineStr">
        <is>
          <t>GOTLAND</t>
        </is>
      </c>
      <c r="F536" t="inlineStr">
        <is>
          <t>Kyrkan</t>
        </is>
      </c>
      <c r="G536" t="n">
        <v>1.2</v>
      </c>
      <c r="H536" t="n">
        <v>0</v>
      </c>
      <c r="I536" t="n">
        <v>0</v>
      </c>
      <c r="J536" t="n">
        <v>0</v>
      </c>
      <c r="K536" t="n">
        <v>0</v>
      </c>
      <c r="L536" t="n">
        <v>0</v>
      </c>
      <c r="M536" t="n">
        <v>0</v>
      </c>
      <c r="N536" t="n">
        <v>0</v>
      </c>
      <c r="O536" t="n">
        <v>0</v>
      </c>
      <c r="P536" t="n">
        <v>0</v>
      </c>
      <c r="Q536" t="n">
        <v>0</v>
      </c>
      <c r="R536" s="2" t="inlineStr"/>
    </row>
    <row r="537" ht="15" customHeight="1">
      <c r="A537" t="inlineStr">
        <is>
          <t>A 29207-2025</t>
        </is>
      </c>
      <c r="B537" s="1" t="n">
        <v>45823</v>
      </c>
      <c r="C537" s="1" t="n">
        <v>46182</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c r="A538" t="inlineStr">
        <is>
          <t>A 32379-2025</t>
        </is>
      </c>
      <c r="B538" s="1" t="n">
        <v>45837</v>
      </c>
      <c r="C538" s="1" t="n">
        <v>46182</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2026-06-09T09:27:10Z</dcterms:created>
  <dcterms:modified xmlns:dcterms="http://purl.org/dc/terms/" xmlns:xsi="http://www.w3.org/2001/XMLSchema-instance" xsi:type="dcterms:W3CDTF">2026-06-09T09:27:11Z</dcterms:modified>
</cp:coreProperties>
</file>