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46052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46052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46052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46052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46052</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46052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46052</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46052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46052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46052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46052</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46052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46052</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46052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46052</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46052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46052</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35141-2022</t>
        </is>
      </c>
      <c r="B35" s="1" t="n">
        <v>44797.53318287037</v>
      </c>
      <c r="C35" s="1" t="n">
        <v>46052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46052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46052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44204-2022</t>
        </is>
      </c>
      <c r="B38" s="1" t="n">
        <v>44839</v>
      </c>
      <c r="C38" s="1" t="n">
        <v>46052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46052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46052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46052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46052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46052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46052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46052</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46052</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46052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46052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46052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33153-2024</t>
        </is>
      </c>
      <c r="B51" s="1" t="n">
        <v>45518</v>
      </c>
      <c r="C51" s="1" t="n">
        <v>46052</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46052</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46052</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46052</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46052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46052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46052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46052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46052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46052</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46052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46052</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10419-2025</t>
        </is>
      </c>
      <c r="B63" s="1" t="n">
        <v>45720</v>
      </c>
      <c r="C63" s="1" t="n">
        <v>46052</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46052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27168-2022</t>
        </is>
      </c>
      <c r="B65" s="1" t="n">
        <v>44741</v>
      </c>
      <c r="C65" s="1" t="n">
        <v>46052</v>
      </c>
      <c r="D65" t="inlineStr">
        <is>
          <t>GOTLANDS LÄN</t>
        </is>
      </c>
      <c r="E65" t="inlineStr">
        <is>
          <t>GOTLAND</t>
        </is>
      </c>
      <c r="G65" t="n">
        <v>2.2</v>
      </c>
      <c r="H65" t="n">
        <v>4</v>
      </c>
      <c r="I65" t="n">
        <v>2</v>
      </c>
      <c r="J65" t="n">
        <v>2</v>
      </c>
      <c r="K65" t="n">
        <v>1</v>
      </c>
      <c r="L65" t="n">
        <v>0</v>
      </c>
      <c r="M65" t="n">
        <v>0</v>
      </c>
      <c r="N65" t="n">
        <v>0</v>
      </c>
      <c r="O65" t="n">
        <v>3</v>
      </c>
      <c r="P65" t="n">
        <v>1</v>
      </c>
      <c r="Q65" t="n">
        <v>7</v>
      </c>
      <c r="R65" s="2" t="inlineStr">
        <is>
          <t>Gotlandsmåra
Solvända
Svinrot
Purpurknipprot
Vit skogslilja
Brudsporre
Kärrknipprot</t>
        </is>
      </c>
      <c r="S65">
        <f>HYPERLINK("https://klasma.github.io/Logging_0980/artfynd/A 27168-2022 artfynd.xlsx", "A 27168-2022")</f>
        <v/>
      </c>
      <c r="T65">
        <f>HYPERLINK("https://klasma.github.io/Logging_0980/kartor/A 27168-2022 karta.png", "A 27168-2022")</f>
        <v/>
      </c>
      <c r="V65">
        <f>HYPERLINK("https://klasma.github.io/Logging_0980/klagomål/A 27168-2022 FSC-klagomål.docx", "A 27168-2022")</f>
        <v/>
      </c>
      <c r="W65">
        <f>HYPERLINK("https://klasma.github.io/Logging_0980/klagomålsmail/A 27168-2022 FSC-klagomål mail.docx", "A 27168-2022")</f>
        <v/>
      </c>
      <c r="X65">
        <f>HYPERLINK("https://klasma.github.io/Logging_0980/tillsyn/A 27168-2022 tillsynsbegäran.docx", "A 27168-2022")</f>
        <v/>
      </c>
      <c r="Y65">
        <f>HYPERLINK("https://klasma.github.io/Logging_0980/tillsynsmail/A 27168-2022 tillsynsbegäran mail.docx", "A 27168-2022")</f>
        <v/>
      </c>
    </row>
    <row r="66" ht="15" customHeight="1">
      <c r="A66" t="inlineStr">
        <is>
          <t>A 34142-2024</t>
        </is>
      </c>
      <c r="B66" s="1" t="n">
        <v>45524.36521990741</v>
      </c>
      <c r="C66" s="1" t="n">
        <v>46052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46052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46052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46052</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46052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46052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46052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46052</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7038-2023</t>
        </is>
      </c>
      <c r="B75" s="1" t="n">
        <v>44968</v>
      </c>
      <c r="C75" s="1" t="n">
        <v>46052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53584-2025</t>
        </is>
      </c>
      <c r="B76" s="1" t="n">
        <v>45960.43130787037</v>
      </c>
      <c r="C76" s="1" t="n">
        <v>46052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46052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46052</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46052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46052</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46052</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16375-2025</t>
        </is>
      </c>
      <c r="B82" s="1" t="n">
        <v>45751.41064814815</v>
      </c>
      <c r="C82" s="1" t="n">
        <v>46052</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46052</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32326-2024</t>
        </is>
      </c>
      <c r="B84" s="1" t="n">
        <v>45512</v>
      </c>
      <c r="C84" s="1" t="n">
        <v>46052</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54055-2022</t>
        </is>
      </c>
      <c r="B85" s="1" t="n">
        <v>44881</v>
      </c>
      <c r="C85" s="1" t="n">
        <v>46052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46052</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46052</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46052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1971-2023</t>
        </is>
      </c>
      <c r="B89" s="1" t="n">
        <v>44939</v>
      </c>
      <c r="C89" s="1" t="n">
        <v>46052</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186-2023</t>
        </is>
      </c>
      <c r="B90" s="1" t="n">
        <v>44928</v>
      </c>
      <c r="C90" s="1" t="n">
        <v>46052</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5904-2024</t>
        </is>
      </c>
      <c r="B91" s="1" t="n">
        <v>45335</v>
      </c>
      <c r="C91" s="1" t="n">
        <v>46052</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56717-2024</t>
        </is>
      </c>
      <c r="B92" s="1" t="n">
        <v>45628.3166550926</v>
      </c>
      <c r="C92" s="1" t="n">
        <v>46052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40099-2025</t>
        </is>
      </c>
      <c r="B93" s="1" t="n">
        <v>45894.48462962963</v>
      </c>
      <c r="C93" s="1" t="n">
        <v>46052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46052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46052</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8265-2023</t>
        </is>
      </c>
      <c r="B96" s="1" t="n">
        <v>44974</v>
      </c>
      <c r="C96" s="1" t="n">
        <v>46052</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6159-2023</t>
        </is>
      </c>
      <c r="B97" s="1" t="n">
        <v>44964</v>
      </c>
      <c r="C97" s="1" t="n">
        <v>46052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46052</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44933-2022</t>
        </is>
      </c>
      <c r="B99" s="1" t="n">
        <v>44841</v>
      </c>
      <c r="C99" s="1" t="n">
        <v>46052</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46052</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46052</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46052</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46052</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46052</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46052</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73144-2021</t>
        </is>
      </c>
      <c r="B106" s="1" t="n">
        <v>44550</v>
      </c>
      <c r="C106" s="1" t="n">
        <v>46052</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17982-2023</t>
        </is>
      </c>
      <c r="B107" s="1" t="n">
        <v>45040</v>
      </c>
      <c r="C107" s="1" t="n">
        <v>46052</v>
      </c>
      <c r="D107" t="inlineStr">
        <is>
          <t>GOTLANDS LÄN</t>
        </is>
      </c>
      <c r="E107" t="inlineStr">
        <is>
          <t>GOTLAND</t>
        </is>
      </c>
      <c r="G107" t="n">
        <v>2.2</v>
      </c>
      <c r="H107" t="n">
        <v>0</v>
      </c>
      <c r="I107" t="n">
        <v>0</v>
      </c>
      <c r="J107" t="n">
        <v>2</v>
      </c>
      <c r="K107" t="n">
        <v>0</v>
      </c>
      <c r="L107" t="n">
        <v>0</v>
      </c>
      <c r="M107" t="n">
        <v>1</v>
      </c>
      <c r="N107" t="n">
        <v>0</v>
      </c>
      <c r="O107" t="n">
        <v>3</v>
      </c>
      <c r="P107" t="n">
        <v>1</v>
      </c>
      <c r="Q107" t="n">
        <v>3</v>
      </c>
      <c r="R107" s="2" t="inlineStr">
        <is>
          <t>Lundalm
Krusfrö
Ängsskära</t>
        </is>
      </c>
      <c r="S107">
        <f>HYPERLINK("https://klasma.github.io/Logging_0980/artfynd/A 17982-2023 artfynd.xlsx", "A 17982-2023")</f>
        <v/>
      </c>
      <c r="T107">
        <f>HYPERLINK("https://klasma.github.io/Logging_0980/kartor/A 17982-2023 karta.png", "A 17982-2023")</f>
        <v/>
      </c>
      <c r="V107">
        <f>HYPERLINK("https://klasma.github.io/Logging_0980/klagomål/A 17982-2023 FSC-klagomål.docx", "A 17982-2023")</f>
        <v/>
      </c>
      <c r="W107">
        <f>HYPERLINK("https://klasma.github.io/Logging_0980/klagomålsmail/A 17982-2023 FSC-klagomål mail.docx", "A 17982-2023")</f>
        <v/>
      </c>
      <c r="X107">
        <f>HYPERLINK("https://klasma.github.io/Logging_0980/tillsyn/A 17982-2023 tillsynsbegäran.docx", "A 17982-2023")</f>
        <v/>
      </c>
      <c r="Y107">
        <f>HYPERLINK("https://klasma.github.io/Logging_0980/tillsynsmail/A 17982-2023 tillsynsbegäran mail.docx", "A 17982-2023")</f>
        <v/>
      </c>
    </row>
    <row r="108" ht="15" customHeight="1">
      <c r="A108" t="inlineStr">
        <is>
          <t>A 32718-2021</t>
        </is>
      </c>
      <c r="B108" s="1" t="n">
        <v>44375</v>
      </c>
      <c r="C108" s="1" t="n">
        <v>46052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46052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13499-2022</t>
        </is>
      </c>
      <c r="B110" s="1" t="n">
        <v>44647.79203703703</v>
      </c>
      <c r="C110" s="1" t="n">
        <v>46052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46052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46052</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46052</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48126-2022</t>
        </is>
      </c>
      <c r="B114" s="1" t="n">
        <v>44857</v>
      </c>
      <c r="C114" s="1" t="n">
        <v>46052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30490-2025</t>
        </is>
      </c>
      <c r="B115" s="1" t="n">
        <v>45830</v>
      </c>
      <c r="C115" s="1" t="n">
        <v>46052</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20831-2024</t>
        </is>
      </c>
      <c r="B116" s="1" t="n">
        <v>45439</v>
      </c>
      <c r="C116" s="1" t="n">
        <v>46052</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46052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55334-2024</t>
        </is>
      </c>
      <c r="B118" s="1" t="n">
        <v>45621</v>
      </c>
      <c r="C118" s="1" t="n">
        <v>46052</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46052</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46052</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46052</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46052</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46052</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46052</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55649-2024</t>
        </is>
      </c>
      <c r="B127" s="1" t="n">
        <v>45622.63053240741</v>
      </c>
      <c r="C127" s="1" t="n">
        <v>46052</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21879-2025</t>
        </is>
      </c>
      <c r="B128" s="1" t="n">
        <v>45784.40533564815</v>
      </c>
      <c r="C128" s="1" t="n">
        <v>46052</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28261-2024</t>
        </is>
      </c>
      <c r="B129" s="1" t="n">
        <v>45477</v>
      </c>
      <c r="C129" s="1" t="n">
        <v>46052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26077-2024</t>
        </is>
      </c>
      <c r="B130" s="1" t="n">
        <v>45467</v>
      </c>
      <c r="C130" s="1" t="n">
        <v>46052</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7070-2022</t>
        </is>
      </c>
      <c r="B131" s="1" t="n">
        <v>44603</v>
      </c>
      <c r="C131" s="1" t="n">
        <v>46052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46052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43219-2023</t>
        </is>
      </c>
      <c r="B133" s="1" t="n">
        <v>45183</v>
      </c>
      <c r="C133" s="1" t="n">
        <v>46052</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54357-2024</t>
        </is>
      </c>
      <c r="B134" s="1" t="n">
        <v>45617.40662037037</v>
      </c>
      <c r="C134" s="1" t="n">
        <v>46052</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28276-2024</t>
        </is>
      </c>
      <c r="B135" s="1" t="n">
        <v>45477</v>
      </c>
      <c r="C135" s="1" t="n">
        <v>46052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20838-2024</t>
        </is>
      </c>
      <c r="B136" s="1" t="n">
        <v>45439</v>
      </c>
      <c r="C136" s="1" t="n">
        <v>46052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63162-2025</t>
        </is>
      </c>
      <c r="B137" s="1" t="n">
        <v>46010.37629629629</v>
      </c>
      <c r="C137" s="1" t="n">
        <v>46052</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46052</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46052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46052</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46052</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63576-2021</t>
        </is>
      </c>
      <c r="B142" s="1" t="n">
        <v>44508</v>
      </c>
      <c r="C142" s="1" t="n">
        <v>46052</v>
      </c>
      <c r="D142" t="inlineStr">
        <is>
          <t>GOTLANDS LÄN</t>
        </is>
      </c>
      <c r="E142" t="inlineStr">
        <is>
          <t>GOTLAND</t>
        </is>
      </c>
      <c r="F142" t="inlineStr">
        <is>
          <t>Kyrkan</t>
        </is>
      </c>
      <c r="G142" t="n">
        <v>4.1</v>
      </c>
      <c r="H142" t="n">
        <v>1</v>
      </c>
      <c r="I142" t="n">
        <v>0</v>
      </c>
      <c r="J142" t="n">
        <v>1</v>
      </c>
      <c r="K142" t="n">
        <v>0</v>
      </c>
      <c r="L142" t="n">
        <v>0</v>
      </c>
      <c r="M142" t="n">
        <v>0</v>
      </c>
      <c r="N142" t="n">
        <v>0</v>
      </c>
      <c r="O142" t="n">
        <v>1</v>
      </c>
      <c r="P142" t="n">
        <v>0</v>
      </c>
      <c r="Q142" t="n">
        <v>1</v>
      </c>
      <c r="R142" s="2" t="inlineStr">
        <is>
          <t>Dårgräsfjäril</t>
        </is>
      </c>
      <c r="S142">
        <f>HYPERLINK("https://klasma.github.io/Logging_0980/artfynd/A 63576-2021 artfynd.xlsx", "A 63576-2021")</f>
        <v/>
      </c>
      <c r="T142">
        <f>HYPERLINK("https://klasma.github.io/Logging_0980/kartor/A 63576-2021 karta.png", "A 63576-2021")</f>
        <v/>
      </c>
      <c r="V142">
        <f>HYPERLINK("https://klasma.github.io/Logging_0980/klagomål/A 63576-2021 FSC-klagomål.docx", "A 63576-2021")</f>
        <v/>
      </c>
      <c r="W142">
        <f>HYPERLINK("https://klasma.github.io/Logging_0980/klagomålsmail/A 63576-2021 FSC-klagomål mail.docx", "A 63576-2021")</f>
        <v/>
      </c>
      <c r="X142">
        <f>HYPERLINK("https://klasma.github.io/Logging_0980/tillsyn/A 63576-2021 tillsynsbegäran.docx", "A 63576-2021")</f>
        <v/>
      </c>
      <c r="Y142">
        <f>HYPERLINK("https://klasma.github.io/Logging_0980/tillsynsmail/A 63576-2021 tillsynsbegäran mail.docx", "A 63576-2021")</f>
        <v/>
      </c>
    </row>
    <row r="143" ht="15" customHeight="1">
      <c r="A143" t="inlineStr">
        <is>
          <t>A 24245-2022</t>
        </is>
      </c>
      <c r="B143" s="1" t="n">
        <v>44725</v>
      </c>
      <c r="C143" s="1" t="n">
        <v>46052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49304-2024</t>
        </is>
      </c>
      <c r="B144" s="1" t="n">
        <v>45595.54996527778</v>
      </c>
      <c r="C144" s="1" t="n">
        <v>46052</v>
      </c>
      <c r="D144" t="inlineStr">
        <is>
          <t>GOTLANDS LÄN</t>
        </is>
      </c>
      <c r="E144" t="inlineStr">
        <is>
          <t>GOTLAND</t>
        </is>
      </c>
      <c r="G144" t="n">
        <v>10.8</v>
      </c>
      <c r="H144" t="n">
        <v>0</v>
      </c>
      <c r="I144" t="n">
        <v>0</v>
      </c>
      <c r="J144" t="n">
        <v>1</v>
      </c>
      <c r="K144" t="n">
        <v>0</v>
      </c>
      <c r="L144" t="n">
        <v>0</v>
      </c>
      <c r="M144" t="n">
        <v>0</v>
      </c>
      <c r="N144" t="n">
        <v>0</v>
      </c>
      <c r="O144" t="n">
        <v>1</v>
      </c>
      <c r="P144" t="n">
        <v>0</v>
      </c>
      <c r="Q144" t="n">
        <v>1</v>
      </c>
      <c r="R144" s="2" t="inlineStr">
        <is>
          <t>Åkerranunkel</t>
        </is>
      </c>
      <c r="S144">
        <f>HYPERLINK("https://klasma.github.io/Logging_0980/artfynd/A 49304-2024 artfynd.xlsx", "A 49304-2024")</f>
        <v/>
      </c>
      <c r="T144">
        <f>HYPERLINK("https://klasma.github.io/Logging_0980/kartor/A 49304-2024 karta.png", "A 49304-2024")</f>
        <v/>
      </c>
      <c r="V144">
        <f>HYPERLINK("https://klasma.github.io/Logging_0980/klagomål/A 49304-2024 FSC-klagomål.docx", "A 49304-2024")</f>
        <v/>
      </c>
      <c r="W144">
        <f>HYPERLINK("https://klasma.github.io/Logging_0980/klagomålsmail/A 49304-2024 FSC-klagomål mail.docx", "A 49304-2024")</f>
        <v/>
      </c>
      <c r="X144">
        <f>HYPERLINK("https://klasma.github.io/Logging_0980/tillsyn/A 49304-2024 tillsynsbegäran.docx", "A 49304-2024")</f>
        <v/>
      </c>
      <c r="Y144">
        <f>HYPERLINK("https://klasma.github.io/Logging_0980/tillsynsmail/A 49304-2024 tillsynsbegäran mail.docx", "A 49304-2024")</f>
        <v/>
      </c>
    </row>
    <row r="145" ht="15" customHeight="1">
      <c r="A145" t="inlineStr">
        <is>
          <t>A 22883-2024</t>
        </is>
      </c>
      <c r="B145" s="1" t="n">
        <v>45448.66368055555</v>
      </c>
      <c r="C145" s="1" t="n">
        <v>46052</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22782-2023</t>
        </is>
      </c>
      <c r="B146" s="1" t="n">
        <v>45072</v>
      </c>
      <c r="C146" s="1" t="n">
        <v>46052</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21466-2025</t>
        </is>
      </c>
      <c r="B147" s="1" t="n">
        <v>45782</v>
      </c>
      <c r="C147" s="1" t="n">
        <v>46052</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44088-2022</t>
        </is>
      </c>
      <c r="B148" s="1" t="n">
        <v>44839</v>
      </c>
      <c r="C148" s="1" t="n">
        <v>46052</v>
      </c>
      <c r="D148" t="inlineStr">
        <is>
          <t>GOTLANDS LÄN</t>
        </is>
      </c>
      <c r="E148" t="inlineStr">
        <is>
          <t>GOTLAND</t>
        </is>
      </c>
      <c r="G148" t="n">
        <v>1.5</v>
      </c>
      <c r="H148" t="n">
        <v>0</v>
      </c>
      <c r="I148" t="n">
        <v>1</v>
      </c>
      <c r="J148" t="n">
        <v>0</v>
      </c>
      <c r="K148" t="n">
        <v>0</v>
      </c>
      <c r="L148" t="n">
        <v>0</v>
      </c>
      <c r="M148" t="n">
        <v>0</v>
      </c>
      <c r="N148" t="n">
        <v>0</v>
      </c>
      <c r="O148" t="n">
        <v>0</v>
      </c>
      <c r="P148" t="n">
        <v>0</v>
      </c>
      <c r="Q148" t="n">
        <v>1</v>
      </c>
      <c r="R148" s="2" t="inlineStr">
        <is>
          <t>Strävlosta</t>
        </is>
      </c>
      <c r="S148">
        <f>HYPERLINK("https://klasma.github.io/Logging_0980/artfynd/A 44088-2022 artfynd.xlsx", "A 44088-2022")</f>
        <v/>
      </c>
      <c r="T148">
        <f>HYPERLINK("https://klasma.github.io/Logging_0980/kartor/A 44088-2022 karta.png", "A 44088-2022")</f>
        <v/>
      </c>
      <c r="V148">
        <f>HYPERLINK("https://klasma.github.io/Logging_0980/klagomål/A 44088-2022 FSC-klagomål.docx", "A 44088-2022")</f>
        <v/>
      </c>
      <c r="W148">
        <f>HYPERLINK("https://klasma.github.io/Logging_0980/klagomålsmail/A 44088-2022 FSC-klagomål mail.docx", "A 44088-2022")</f>
        <v/>
      </c>
      <c r="X148">
        <f>HYPERLINK("https://klasma.github.io/Logging_0980/tillsyn/A 44088-2022 tillsynsbegäran.docx", "A 44088-2022")</f>
        <v/>
      </c>
      <c r="Y148">
        <f>HYPERLINK("https://klasma.github.io/Logging_0980/tillsynsmail/A 44088-2022 tillsynsbegäran mail.docx", "A 44088-2022")</f>
        <v/>
      </c>
    </row>
    <row r="149" ht="15" customHeight="1">
      <c r="A149" t="inlineStr">
        <is>
          <t>A 10440-2024</t>
        </is>
      </c>
      <c r="B149" s="1" t="n">
        <v>45366.32818287037</v>
      </c>
      <c r="C149" s="1" t="n">
        <v>46052</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44308-2021</t>
        </is>
      </c>
      <c r="B150" s="1" t="n">
        <v>44434</v>
      </c>
      <c r="C150" s="1" t="n">
        <v>46052</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13939-2021</t>
        </is>
      </c>
      <c r="B151" s="1" t="n">
        <v>44277</v>
      </c>
      <c r="C151" s="1" t="n">
        <v>46052</v>
      </c>
      <c r="D151" t="inlineStr">
        <is>
          <t>GOTLANDS LÄN</t>
        </is>
      </c>
      <c r="E151" t="inlineStr">
        <is>
          <t>GOTLAND</t>
        </is>
      </c>
      <c r="G151" t="n">
        <v>1</v>
      </c>
      <c r="H151" t="n">
        <v>0</v>
      </c>
      <c r="I151" t="n">
        <v>0</v>
      </c>
      <c r="J151" t="n">
        <v>1</v>
      </c>
      <c r="K151" t="n">
        <v>0</v>
      </c>
      <c r="L151" t="n">
        <v>0</v>
      </c>
      <c r="M151" t="n">
        <v>0</v>
      </c>
      <c r="N151" t="n">
        <v>0</v>
      </c>
      <c r="O151" t="n">
        <v>1</v>
      </c>
      <c r="P151" t="n">
        <v>0</v>
      </c>
      <c r="Q151" t="n">
        <v>1</v>
      </c>
      <c r="R151" s="2" t="inlineStr">
        <is>
          <t>Axveronika</t>
        </is>
      </c>
      <c r="S151">
        <f>HYPERLINK("https://klasma.github.io/Logging_0980/artfynd/A 13939-2021 artfynd.xlsx", "A 13939-2021")</f>
        <v/>
      </c>
      <c r="T151">
        <f>HYPERLINK("https://klasma.github.io/Logging_0980/kartor/A 13939-2021 karta.png", "A 13939-2021")</f>
        <v/>
      </c>
      <c r="V151">
        <f>HYPERLINK("https://klasma.github.io/Logging_0980/klagomål/A 13939-2021 FSC-klagomål.docx", "A 13939-2021")</f>
        <v/>
      </c>
      <c r="W151">
        <f>HYPERLINK("https://klasma.github.io/Logging_0980/klagomålsmail/A 13939-2021 FSC-klagomål mail.docx", "A 13939-2021")</f>
        <v/>
      </c>
      <c r="X151">
        <f>HYPERLINK("https://klasma.github.io/Logging_0980/tillsyn/A 13939-2021 tillsynsbegäran.docx", "A 13939-2021")</f>
        <v/>
      </c>
      <c r="Y151">
        <f>HYPERLINK("https://klasma.github.io/Logging_0980/tillsynsmail/A 13939-2021 tillsynsbegäran mail.docx", "A 13939-2021")</f>
        <v/>
      </c>
    </row>
    <row r="152" ht="15" customHeight="1">
      <c r="A152" t="inlineStr">
        <is>
          <t>A 46527-2023</t>
        </is>
      </c>
      <c r="B152" s="1" t="n">
        <v>45197</v>
      </c>
      <c r="C152" s="1" t="n">
        <v>46052</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1477-2024</t>
        </is>
      </c>
      <c r="B153" s="1" t="n">
        <v>45305.37987268518</v>
      </c>
      <c r="C153" s="1" t="n">
        <v>46052</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26461-2025</t>
        </is>
      </c>
      <c r="B154" s="1" t="n">
        <v>45807.43337962963</v>
      </c>
      <c r="C154" s="1" t="n">
        <v>46052</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46052</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6303-2024</t>
        </is>
      </c>
      <c r="B156" s="1" t="n">
        <v>45338.35376157407</v>
      </c>
      <c r="C156" s="1" t="n">
        <v>46052</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62552-2022</t>
        </is>
      </c>
      <c r="B157" s="1" t="n">
        <v>44924</v>
      </c>
      <c r="C157" s="1" t="n">
        <v>46052</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25977-2024</t>
        </is>
      </c>
      <c r="B158" s="1" t="n">
        <v>45467.69356481481</v>
      </c>
      <c r="C158" s="1" t="n">
        <v>46052</v>
      </c>
      <c r="D158" t="inlineStr">
        <is>
          <t>GOTLANDS LÄN</t>
        </is>
      </c>
      <c r="E158" t="inlineStr">
        <is>
          <t>GOTLAND</t>
        </is>
      </c>
      <c r="G158" t="n">
        <v>3</v>
      </c>
      <c r="H158" t="n">
        <v>1</v>
      </c>
      <c r="I158" t="n">
        <v>0</v>
      </c>
      <c r="J158" t="n">
        <v>0</v>
      </c>
      <c r="K158" t="n">
        <v>0</v>
      </c>
      <c r="L158" t="n">
        <v>0</v>
      </c>
      <c r="M158" t="n">
        <v>0</v>
      </c>
      <c r="N158" t="n">
        <v>0</v>
      </c>
      <c r="O158" t="n">
        <v>0</v>
      </c>
      <c r="P158" t="n">
        <v>0</v>
      </c>
      <c r="Q158" t="n">
        <v>1</v>
      </c>
      <c r="R158" s="2" t="inlineStr">
        <is>
          <t>Nattviol</t>
        </is>
      </c>
      <c r="S158">
        <f>HYPERLINK("https://klasma.github.io/Logging_0980/artfynd/A 25977-2024 artfynd.xlsx", "A 25977-2024")</f>
        <v/>
      </c>
      <c r="T158">
        <f>HYPERLINK("https://klasma.github.io/Logging_0980/kartor/A 25977-2024 karta.png", "A 25977-2024")</f>
        <v/>
      </c>
      <c r="V158">
        <f>HYPERLINK("https://klasma.github.io/Logging_0980/klagomål/A 25977-2024 FSC-klagomål.docx", "A 25977-2024")</f>
        <v/>
      </c>
      <c r="W158">
        <f>HYPERLINK("https://klasma.github.io/Logging_0980/klagomålsmail/A 25977-2024 FSC-klagomål mail.docx", "A 25977-2024")</f>
        <v/>
      </c>
      <c r="X158">
        <f>HYPERLINK("https://klasma.github.io/Logging_0980/tillsyn/A 25977-2024 tillsynsbegäran.docx", "A 25977-2024")</f>
        <v/>
      </c>
      <c r="Y158">
        <f>HYPERLINK("https://klasma.github.io/Logging_0980/tillsynsmail/A 25977-2024 tillsynsbegäran mail.docx", "A 25977-2024")</f>
        <v/>
      </c>
    </row>
    <row r="159" ht="15" customHeight="1">
      <c r="A159" t="inlineStr">
        <is>
          <t>A 7637-2025</t>
        </is>
      </c>
      <c r="B159" s="1" t="n">
        <v>45705.77181712963</v>
      </c>
      <c r="C159" s="1" t="n">
        <v>46052</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27589-2023</t>
        </is>
      </c>
      <c r="B160" s="1" t="n">
        <v>45097</v>
      </c>
      <c r="C160" s="1" t="n">
        <v>46052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9862-2024</t>
        </is>
      </c>
      <c r="B161" s="1" t="n">
        <v>45363</v>
      </c>
      <c r="C161" s="1" t="n">
        <v>46052</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46052</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61796-2022</t>
        </is>
      </c>
      <c r="B163" s="1" t="n">
        <v>44917</v>
      </c>
      <c r="C163" s="1" t="n">
        <v>46052</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65927-2021</t>
        </is>
      </c>
      <c r="B164" s="1" t="n">
        <v>44516</v>
      </c>
      <c r="C164" s="1" t="n">
        <v>46052</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39812-2025</t>
        </is>
      </c>
      <c r="B165" s="1" t="n">
        <v>45891</v>
      </c>
      <c r="C165" s="1" t="n">
        <v>46052</v>
      </c>
      <c r="D165" t="inlineStr">
        <is>
          <t>GOTLANDS LÄN</t>
        </is>
      </c>
      <c r="E165" t="inlineStr">
        <is>
          <t>GOTLAND</t>
        </is>
      </c>
      <c r="G165" t="n">
        <v>6</v>
      </c>
      <c r="H165" t="n">
        <v>1</v>
      </c>
      <c r="I165" t="n">
        <v>0</v>
      </c>
      <c r="J165" t="n">
        <v>0</v>
      </c>
      <c r="K165" t="n">
        <v>0</v>
      </c>
      <c r="L165" t="n">
        <v>1</v>
      </c>
      <c r="M165" t="n">
        <v>0</v>
      </c>
      <c r="N165" t="n">
        <v>0</v>
      </c>
      <c r="O165" t="n">
        <v>1</v>
      </c>
      <c r="P165" t="n">
        <v>1</v>
      </c>
      <c r="Q165" t="n">
        <v>1</v>
      </c>
      <c r="R165" s="2" t="inlineStr">
        <is>
          <t>Nålkörvel</t>
        </is>
      </c>
      <c r="S165">
        <f>HYPERLINK("https://klasma.github.io/Logging_0980/artfynd/A 39812-2025 artfynd.xlsx", "A 39812-2025")</f>
        <v/>
      </c>
      <c r="T165">
        <f>HYPERLINK("https://klasma.github.io/Logging_0980/kartor/A 39812-2025 karta.png", "A 39812-2025")</f>
        <v/>
      </c>
      <c r="V165">
        <f>HYPERLINK("https://klasma.github.io/Logging_0980/klagomål/A 39812-2025 FSC-klagomål.docx", "A 39812-2025")</f>
        <v/>
      </c>
      <c r="W165">
        <f>HYPERLINK("https://klasma.github.io/Logging_0980/klagomålsmail/A 39812-2025 FSC-klagomål mail.docx", "A 39812-2025")</f>
        <v/>
      </c>
      <c r="X165">
        <f>HYPERLINK("https://klasma.github.io/Logging_0980/tillsyn/A 39812-2025 tillsynsbegäran.docx", "A 39812-2025")</f>
        <v/>
      </c>
      <c r="Y165">
        <f>HYPERLINK("https://klasma.github.io/Logging_0980/tillsynsmail/A 39812-2025 tillsynsbegäran mail.docx", "A 39812-2025")</f>
        <v/>
      </c>
    </row>
    <row r="166" ht="15" customHeight="1">
      <c r="A166" t="inlineStr">
        <is>
          <t>A 947-2023</t>
        </is>
      </c>
      <c r="B166" s="1" t="n">
        <v>44934</v>
      </c>
      <c r="C166" s="1" t="n">
        <v>46052</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10218-2025</t>
        </is>
      </c>
      <c r="B167" s="1" t="n">
        <v>45720</v>
      </c>
      <c r="C167" s="1" t="n">
        <v>46052</v>
      </c>
      <c r="D167" t="inlineStr">
        <is>
          <t>GOTLANDS LÄN</t>
        </is>
      </c>
      <c r="E167" t="inlineStr">
        <is>
          <t>GOTLAND</t>
        </is>
      </c>
      <c r="G167" t="n">
        <v>8.1</v>
      </c>
      <c r="H167" t="n">
        <v>0</v>
      </c>
      <c r="I167" t="n">
        <v>1</v>
      </c>
      <c r="J167" t="n">
        <v>0</v>
      </c>
      <c r="K167" t="n">
        <v>0</v>
      </c>
      <c r="L167" t="n">
        <v>0</v>
      </c>
      <c r="M167" t="n">
        <v>0</v>
      </c>
      <c r="N167" t="n">
        <v>0</v>
      </c>
      <c r="O167" t="n">
        <v>0</v>
      </c>
      <c r="P167" t="n">
        <v>0</v>
      </c>
      <c r="Q167" t="n">
        <v>1</v>
      </c>
      <c r="R167" s="2" t="inlineStr">
        <is>
          <t>Kalktallört</t>
        </is>
      </c>
      <c r="S167">
        <f>HYPERLINK("https://klasma.github.io/Logging_0980/artfynd/A 10218-2025 artfynd.xlsx", "A 10218-2025")</f>
        <v/>
      </c>
      <c r="T167">
        <f>HYPERLINK("https://klasma.github.io/Logging_0980/kartor/A 10218-2025 karta.png", "A 10218-2025")</f>
        <v/>
      </c>
      <c r="V167">
        <f>HYPERLINK("https://klasma.github.io/Logging_0980/klagomål/A 10218-2025 FSC-klagomål.docx", "A 10218-2025")</f>
        <v/>
      </c>
      <c r="W167">
        <f>HYPERLINK("https://klasma.github.io/Logging_0980/klagomålsmail/A 10218-2025 FSC-klagomål mail.docx", "A 10218-2025")</f>
        <v/>
      </c>
      <c r="X167">
        <f>HYPERLINK("https://klasma.github.io/Logging_0980/tillsyn/A 10218-2025 tillsynsbegäran.docx", "A 10218-2025")</f>
        <v/>
      </c>
      <c r="Y167">
        <f>HYPERLINK("https://klasma.github.io/Logging_0980/tillsynsmail/A 10218-2025 tillsynsbegäran mail.docx", "A 10218-2025")</f>
        <v/>
      </c>
    </row>
    <row r="168" ht="15" customHeight="1">
      <c r="A168" t="inlineStr">
        <is>
          <t>A 12379-2024</t>
        </is>
      </c>
      <c r="B168" s="1" t="n">
        <v>45379.28155092592</v>
      </c>
      <c r="C168" s="1" t="n">
        <v>46052</v>
      </c>
      <c r="D168" t="inlineStr">
        <is>
          <t>GOTLANDS LÄN</t>
        </is>
      </c>
      <c r="E168" t="inlineStr">
        <is>
          <t>GOTLAND</t>
        </is>
      </c>
      <c r="G168" t="n">
        <v>4.4</v>
      </c>
      <c r="H168" t="n">
        <v>0</v>
      </c>
      <c r="I168" t="n">
        <v>0</v>
      </c>
      <c r="J168" t="n">
        <v>1</v>
      </c>
      <c r="K168" t="n">
        <v>0</v>
      </c>
      <c r="L168" t="n">
        <v>0</v>
      </c>
      <c r="M168" t="n">
        <v>0</v>
      </c>
      <c r="N168" t="n">
        <v>0</v>
      </c>
      <c r="O168" t="n">
        <v>1</v>
      </c>
      <c r="P168" t="n">
        <v>0</v>
      </c>
      <c r="Q168" t="n">
        <v>1</v>
      </c>
      <c r="R168" s="2" t="inlineStr">
        <is>
          <t>Svinrot</t>
        </is>
      </c>
      <c r="S168">
        <f>HYPERLINK("https://klasma.github.io/Logging_0980/artfynd/A 12379-2024 artfynd.xlsx", "A 12379-2024")</f>
        <v/>
      </c>
      <c r="T168">
        <f>HYPERLINK("https://klasma.github.io/Logging_0980/kartor/A 12379-2024 karta.png", "A 12379-2024")</f>
        <v/>
      </c>
      <c r="V168">
        <f>HYPERLINK("https://klasma.github.io/Logging_0980/klagomål/A 12379-2024 FSC-klagomål.docx", "A 12379-2024")</f>
        <v/>
      </c>
      <c r="W168">
        <f>HYPERLINK("https://klasma.github.io/Logging_0980/klagomålsmail/A 12379-2024 FSC-klagomål mail.docx", "A 12379-2024")</f>
        <v/>
      </c>
      <c r="X168">
        <f>HYPERLINK("https://klasma.github.io/Logging_0980/tillsyn/A 12379-2024 tillsynsbegäran.docx", "A 12379-2024")</f>
        <v/>
      </c>
      <c r="Y168">
        <f>HYPERLINK("https://klasma.github.io/Logging_0980/tillsynsmail/A 12379-2024 tillsynsbegäran mail.docx", "A 12379-2024")</f>
        <v/>
      </c>
    </row>
    <row r="169" ht="15" customHeight="1">
      <c r="A169" t="inlineStr">
        <is>
          <t>A 64700-2021</t>
        </is>
      </c>
      <c r="B169" s="1" t="n">
        <v>44511</v>
      </c>
      <c r="C169" s="1" t="n">
        <v>46052</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61561-2023</t>
        </is>
      </c>
      <c r="B170" s="1" t="n">
        <v>45265</v>
      </c>
      <c r="C170" s="1" t="n">
        <v>46052</v>
      </c>
      <c r="D170" t="inlineStr">
        <is>
          <t>GOTLANDS LÄN</t>
        </is>
      </c>
      <c r="E170" t="inlineStr">
        <is>
          <t>GOTLAND</t>
        </is>
      </c>
      <c r="G170" t="n">
        <v>7.4</v>
      </c>
      <c r="H170" t="n">
        <v>0</v>
      </c>
      <c r="I170" t="n">
        <v>0</v>
      </c>
      <c r="J170" t="n">
        <v>1</v>
      </c>
      <c r="K170" t="n">
        <v>0</v>
      </c>
      <c r="L170" t="n">
        <v>0</v>
      </c>
      <c r="M170" t="n">
        <v>0</v>
      </c>
      <c r="N170" t="n">
        <v>0</v>
      </c>
      <c r="O170" t="n">
        <v>1</v>
      </c>
      <c r="P170" t="n">
        <v>0</v>
      </c>
      <c r="Q170" t="n">
        <v>1</v>
      </c>
      <c r="R170" s="2" t="inlineStr">
        <is>
          <t>Loppstarr</t>
        </is>
      </c>
      <c r="S170">
        <f>HYPERLINK("https://klasma.github.io/Logging_0980/artfynd/A 61561-2023 artfynd.xlsx", "A 61561-2023")</f>
        <v/>
      </c>
      <c r="T170">
        <f>HYPERLINK("https://klasma.github.io/Logging_0980/kartor/A 61561-2023 karta.png", "A 61561-2023")</f>
        <v/>
      </c>
      <c r="V170">
        <f>HYPERLINK("https://klasma.github.io/Logging_0980/klagomål/A 61561-2023 FSC-klagomål.docx", "A 61561-2023")</f>
        <v/>
      </c>
      <c r="W170">
        <f>HYPERLINK("https://klasma.github.io/Logging_0980/klagomålsmail/A 61561-2023 FSC-klagomål mail.docx", "A 61561-2023")</f>
        <v/>
      </c>
      <c r="X170">
        <f>HYPERLINK("https://klasma.github.io/Logging_0980/tillsyn/A 61561-2023 tillsynsbegäran.docx", "A 61561-2023")</f>
        <v/>
      </c>
      <c r="Y170">
        <f>HYPERLINK("https://klasma.github.io/Logging_0980/tillsynsmail/A 61561-2023 tillsynsbegäran mail.docx", "A 61561-2023")</f>
        <v/>
      </c>
    </row>
    <row r="171" ht="15" customHeight="1">
      <c r="A171" t="inlineStr">
        <is>
          <t>A 35574-2024</t>
        </is>
      </c>
      <c r="B171" s="1" t="n">
        <v>45531</v>
      </c>
      <c r="C171" s="1" t="n">
        <v>46052</v>
      </c>
      <c r="D171" t="inlineStr">
        <is>
          <t>GOTLANDS LÄN</t>
        </is>
      </c>
      <c r="E171" t="inlineStr">
        <is>
          <t>GOTLAND</t>
        </is>
      </c>
      <c r="G171" t="n">
        <v>5.7</v>
      </c>
      <c r="H171" t="n">
        <v>0</v>
      </c>
      <c r="I171" t="n">
        <v>1</v>
      </c>
      <c r="J171" t="n">
        <v>0</v>
      </c>
      <c r="K171" t="n">
        <v>0</v>
      </c>
      <c r="L171" t="n">
        <v>0</v>
      </c>
      <c r="M171" t="n">
        <v>0</v>
      </c>
      <c r="N171" t="n">
        <v>0</v>
      </c>
      <c r="O171" t="n">
        <v>0</v>
      </c>
      <c r="P171" t="n">
        <v>0</v>
      </c>
      <c r="Q171" t="n">
        <v>1</v>
      </c>
      <c r="R171" s="2" t="inlineStr">
        <is>
          <t>Murgröna</t>
        </is>
      </c>
      <c r="S171">
        <f>HYPERLINK("https://klasma.github.io/Logging_0980/artfynd/A 35574-2024 artfynd.xlsx", "A 35574-2024")</f>
        <v/>
      </c>
      <c r="T171">
        <f>HYPERLINK("https://klasma.github.io/Logging_0980/kartor/A 35574-2024 karta.png", "A 35574-2024")</f>
        <v/>
      </c>
      <c r="V171">
        <f>HYPERLINK("https://klasma.github.io/Logging_0980/klagomål/A 35574-2024 FSC-klagomål.docx", "A 35574-2024")</f>
        <v/>
      </c>
      <c r="W171">
        <f>HYPERLINK("https://klasma.github.io/Logging_0980/klagomålsmail/A 35574-2024 FSC-klagomål mail.docx", "A 35574-2024")</f>
        <v/>
      </c>
      <c r="X171">
        <f>HYPERLINK("https://klasma.github.io/Logging_0980/tillsyn/A 35574-2024 tillsynsbegäran.docx", "A 35574-2024")</f>
        <v/>
      </c>
      <c r="Y171">
        <f>HYPERLINK("https://klasma.github.io/Logging_0980/tillsynsmail/A 35574-2024 tillsynsbegäran mail.docx", "A 35574-2024")</f>
        <v/>
      </c>
    </row>
    <row r="172" ht="15" customHeight="1">
      <c r="A172" t="inlineStr">
        <is>
          <t>A 37591-2023</t>
        </is>
      </c>
      <c r="B172" s="1" t="n">
        <v>45159</v>
      </c>
      <c r="C172" s="1" t="n">
        <v>46052</v>
      </c>
      <c r="D172" t="inlineStr">
        <is>
          <t>GOTLANDS LÄN</t>
        </is>
      </c>
      <c r="E172" t="inlineStr">
        <is>
          <t>GOTLAND</t>
        </is>
      </c>
      <c r="G172" t="n">
        <v>8.300000000000001</v>
      </c>
      <c r="H172" t="n">
        <v>0</v>
      </c>
      <c r="I172" t="n">
        <v>0</v>
      </c>
      <c r="J172" t="n">
        <v>1</v>
      </c>
      <c r="K172" t="n">
        <v>0</v>
      </c>
      <c r="L172" t="n">
        <v>0</v>
      </c>
      <c r="M172" t="n">
        <v>0</v>
      </c>
      <c r="N172" t="n">
        <v>0</v>
      </c>
      <c r="O172" t="n">
        <v>1</v>
      </c>
      <c r="P172" t="n">
        <v>0</v>
      </c>
      <c r="Q172" t="n">
        <v>1</v>
      </c>
      <c r="R172" s="2" t="inlineStr">
        <is>
          <t>Ängsstarr</t>
        </is>
      </c>
      <c r="S172">
        <f>HYPERLINK("https://klasma.github.io/Logging_0980/artfynd/A 37591-2023 artfynd.xlsx", "A 37591-2023")</f>
        <v/>
      </c>
      <c r="T172">
        <f>HYPERLINK("https://klasma.github.io/Logging_0980/kartor/A 37591-2023 karta.png", "A 37591-2023")</f>
        <v/>
      </c>
      <c r="V172">
        <f>HYPERLINK("https://klasma.github.io/Logging_0980/klagomål/A 37591-2023 FSC-klagomål.docx", "A 37591-2023")</f>
        <v/>
      </c>
      <c r="W172">
        <f>HYPERLINK("https://klasma.github.io/Logging_0980/klagomålsmail/A 37591-2023 FSC-klagomål mail.docx", "A 37591-2023")</f>
        <v/>
      </c>
      <c r="X172">
        <f>HYPERLINK("https://klasma.github.io/Logging_0980/tillsyn/A 37591-2023 tillsynsbegäran.docx", "A 37591-2023")</f>
        <v/>
      </c>
      <c r="Y172">
        <f>HYPERLINK("https://klasma.github.io/Logging_0980/tillsynsmail/A 37591-2023 tillsynsbegäran mail.docx", "A 37591-2023")</f>
        <v/>
      </c>
    </row>
    <row r="173" ht="15" customHeight="1">
      <c r="A173" t="inlineStr">
        <is>
          <t>A 15637-2024</t>
        </is>
      </c>
      <c r="B173" s="1" t="n">
        <v>45403.6684837963</v>
      </c>
      <c r="C173" s="1" t="n">
        <v>46052</v>
      </c>
      <c r="D173" t="inlineStr">
        <is>
          <t>GOTLANDS LÄN</t>
        </is>
      </c>
      <c r="E173" t="inlineStr">
        <is>
          <t>GOTLAND</t>
        </is>
      </c>
      <c r="G173" t="n">
        <v>4.1</v>
      </c>
      <c r="H173" t="n">
        <v>1</v>
      </c>
      <c r="I173" t="n">
        <v>0</v>
      </c>
      <c r="J173" t="n">
        <v>0</v>
      </c>
      <c r="K173" t="n">
        <v>0</v>
      </c>
      <c r="L173" t="n">
        <v>0</v>
      </c>
      <c r="M173" t="n">
        <v>0</v>
      </c>
      <c r="N173" t="n">
        <v>0</v>
      </c>
      <c r="O173" t="n">
        <v>0</v>
      </c>
      <c r="P173" t="n">
        <v>0</v>
      </c>
      <c r="Q173" t="n">
        <v>1</v>
      </c>
      <c r="R173" s="2" t="inlineStr">
        <is>
          <t>Blåsippa</t>
        </is>
      </c>
      <c r="S173">
        <f>HYPERLINK("https://klasma.github.io/Logging_0980/artfynd/A 15637-2024 artfynd.xlsx", "A 15637-2024")</f>
        <v/>
      </c>
      <c r="T173">
        <f>HYPERLINK("https://klasma.github.io/Logging_0980/kartor/A 15637-2024 karta.png", "A 15637-2024")</f>
        <v/>
      </c>
      <c r="V173">
        <f>HYPERLINK("https://klasma.github.io/Logging_0980/klagomål/A 15637-2024 FSC-klagomål.docx", "A 15637-2024")</f>
        <v/>
      </c>
      <c r="W173">
        <f>HYPERLINK("https://klasma.github.io/Logging_0980/klagomålsmail/A 15637-2024 FSC-klagomål mail.docx", "A 15637-2024")</f>
        <v/>
      </c>
      <c r="X173">
        <f>HYPERLINK("https://klasma.github.io/Logging_0980/tillsyn/A 15637-2024 tillsynsbegäran.docx", "A 15637-2024")</f>
        <v/>
      </c>
      <c r="Y173">
        <f>HYPERLINK("https://klasma.github.io/Logging_0980/tillsynsmail/A 15637-2024 tillsynsbegäran mail.docx", "A 15637-2024")</f>
        <v/>
      </c>
    </row>
    <row r="174" ht="15" customHeight="1">
      <c r="A174" t="inlineStr">
        <is>
          <t>A 12924-2025</t>
        </is>
      </c>
      <c r="B174" s="1" t="n">
        <v>45734</v>
      </c>
      <c r="C174" s="1" t="n">
        <v>46052</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12324-2025</t>
        </is>
      </c>
      <c r="B175" s="1" t="n">
        <v>45730</v>
      </c>
      <c r="C175" s="1" t="n">
        <v>46052</v>
      </c>
      <c r="D175" t="inlineStr">
        <is>
          <t>GOTLANDS LÄN</t>
        </is>
      </c>
      <c r="E175" t="inlineStr">
        <is>
          <t>GOTLAND</t>
        </is>
      </c>
      <c r="G175" t="n">
        <v>5</v>
      </c>
      <c r="H175" t="n">
        <v>0</v>
      </c>
      <c r="I175" t="n">
        <v>0</v>
      </c>
      <c r="J175" t="n">
        <v>0</v>
      </c>
      <c r="K175" t="n">
        <v>1</v>
      </c>
      <c r="L175" t="n">
        <v>0</v>
      </c>
      <c r="M175" t="n">
        <v>0</v>
      </c>
      <c r="N175" t="n">
        <v>0</v>
      </c>
      <c r="O175" t="n">
        <v>1</v>
      </c>
      <c r="P175" t="n">
        <v>1</v>
      </c>
      <c r="Q175" t="n">
        <v>1</v>
      </c>
      <c r="R175" s="2" t="inlineStr">
        <is>
          <t>Sommarklynne</t>
        </is>
      </c>
      <c r="S175">
        <f>HYPERLINK("https://klasma.github.io/Logging_0980/artfynd/A 12324-2025 artfynd.xlsx", "A 12324-2025")</f>
        <v/>
      </c>
      <c r="T175">
        <f>HYPERLINK("https://klasma.github.io/Logging_0980/kartor/A 12324-2025 karta.png", "A 12324-2025")</f>
        <v/>
      </c>
      <c r="V175">
        <f>HYPERLINK("https://klasma.github.io/Logging_0980/klagomål/A 12324-2025 FSC-klagomål.docx", "A 12324-2025")</f>
        <v/>
      </c>
      <c r="W175">
        <f>HYPERLINK("https://klasma.github.io/Logging_0980/klagomålsmail/A 12324-2025 FSC-klagomål mail.docx", "A 12324-2025")</f>
        <v/>
      </c>
      <c r="X175">
        <f>HYPERLINK("https://klasma.github.io/Logging_0980/tillsyn/A 12324-2025 tillsynsbegäran.docx", "A 12324-2025")</f>
        <v/>
      </c>
      <c r="Y175">
        <f>HYPERLINK("https://klasma.github.io/Logging_0980/tillsynsmail/A 12324-2025 tillsynsbegäran mail.docx", "A 12324-2025")</f>
        <v/>
      </c>
    </row>
    <row r="176" ht="15" customHeight="1">
      <c r="A176" t="inlineStr">
        <is>
          <t>A 35467-2021</t>
        </is>
      </c>
      <c r="B176" s="1" t="n">
        <v>44385</v>
      </c>
      <c r="C176" s="1" t="n">
        <v>46052</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46052</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49847-2023</t>
        </is>
      </c>
      <c r="B178" s="1" t="n">
        <v>45212</v>
      </c>
      <c r="C178" s="1" t="n">
        <v>46052</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2476-2025</t>
        </is>
      </c>
      <c r="B179" s="1" t="n">
        <v>45673</v>
      </c>
      <c r="C179" s="1" t="n">
        <v>46052</v>
      </c>
      <c r="D179" t="inlineStr">
        <is>
          <t>GOTLANDS LÄN</t>
        </is>
      </c>
      <c r="E179" t="inlineStr">
        <is>
          <t>GOTLAND</t>
        </is>
      </c>
      <c r="G179" t="n">
        <v>3.1</v>
      </c>
      <c r="H179" t="n">
        <v>0</v>
      </c>
      <c r="I179" t="n">
        <v>1</v>
      </c>
      <c r="J179" t="n">
        <v>0</v>
      </c>
      <c r="K179" t="n">
        <v>0</v>
      </c>
      <c r="L179" t="n">
        <v>0</v>
      </c>
      <c r="M179" t="n">
        <v>0</v>
      </c>
      <c r="N179" t="n">
        <v>0</v>
      </c>
      <c r="O179" t="n">
        <v>0</v>
      </c>
      <c r="P179" t="n">
        <v>0</v>
      </c>
      <c r="Q179" t="n">
        <v>1</v>
      </c>
      <c r="R179" s="2" t="inlineStr">
        <is>
          <t>Kryddspindling</t>
        </is>
      </c>
      <c r="S179">
        <f>HYPERLINK("https://klasma.github.io/Logging_0980/artfynd/A 2476-2025 artfynd.xlsx", "A 2476-2025")</f>
        <v/>
      </c>
      <c r="T179">
        <f>HYPERLINK("https://klasma.github.io/Logging_0980/kartor/A 2476-2025 karta.png", "A 2476-2025")</f>
        <v/>
      </c>
      <c r="V179">
        <f>HYPERLINK("https://klasma.github.io/Logging_0980/klagomål/A 2476-2025 FSC-klagomål.docx", "A 2476-2025")</f>
        <v/>
      </c>
      <c r="W179">
        <f>HYPERLINK("https://klasma.github.io/Logging_0980/klagomålsmail/A 2476-2025 FSC-klagomål mail.docx", "A 2476-2025")</f>
        <v/>
      </c>
      <c r="X179">
        <f>HYPERLINK("https://klasma.github.io/Logging_0980/tillsyn/A 2476-2025 tillsynsbegäran.docx", "A 2476-2025")</f>
        <v/>
      </c>
      <c r="Y179">
        <f>HYPERLINK("https://klasma.github.io/Logging_0980/tillsynsmail/A 2476-2025 tillsynsbegäran mail.docx", "A 2476-2025")</f>
        <v/>
      </c>
    </row>
    <row r="180" ht="15" customHeight="1">
      <c r="A180" t="inlineStr">
        <is>
          <t>A 44304-2021</t>
        </is>
      </c>
      <c r="B180" s="1" t="n">
        <v>44434</v>
      </c>
      <c r="C180" s="1" t="n">
        <v>46052</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Svinrot</t>
        </is>
      </c>
      <c r="S180">
        <f>HYPERLINK("https://klasma.github.io/Logging_0980/artfynd/A 44304-2021 artfynd.xlsx", "A 44304-2021")</f>
        <v/>
      </c>
      <c r="T180">
        <f>HYPERLINK("https://klasma.github.io/Logging_0980/kartor/A 44304-2021 karta.png", "A 44304-2021")</f>
        <v/>
      </c>
      <c r="V180">
        <f>HYPERLINK("https://klasma.github.io/Logging_0980/klagomål/A 44304-2021 FSC-klagomål.docx", "A 44304-2021")</f>
        <v/>
      </c>
      <c r="W180">
        <f>HYPERLINK("https://klasma.github.io/Logging_0980/klagomålsmail/A 44304-2021 FSC-klagomål mail.docx", "A 44304-2021")</f>
        <v/>
      </c>
      <c r="X180">
        <f>HYPERLINK("https://klasma.github.io/Logging_0980/tillsyn/A 44304-2021 tillsynsbegäran.docx", "A 44304-2021")</f>
        <v/>
      </c>
      <c r="Y180">
        <f>HYPERLINK("https://klasma.github.io/Logging_0980/tillsynsmail/A 44304-2021 tillsynsbegäran mail.docx", "A 44304-2021")</f>
        <v/>
      </c>
    </row>
    <row r="181" ht="15" customHeight="1">
      <c r="A181" t="inlineStr">
        <is>
          <t>A 447-2023</t>
        </is>
      </c>
      <c r="B181" s="1" t="n">
        <v>44929</v>
      </c>
      <c r="C181" s="1" t="n">
        <v>46052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34809-2024</t>
        </is>
      </c>
      <c r="B182" s="1" t="n">
        <v>45526</v>
      </c>
      <c r="C182" s="1" t="n">
        <v>46052</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10995-2023</t>
        </is>
      </c>
      <c r="B183" s="1" t="n">
        <v>44986</v>
      </c>
      <c r="C183" s="1" t="n">
        <v>46052</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46052</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46052</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46052</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46052</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46052</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46052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46052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46052</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46052</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46052</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46052</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46052</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46052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46052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46052</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46052</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46052</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46052</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46052</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46052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46052</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46052</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46052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46052</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46052</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46052</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46052</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46052</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46052</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46052</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46052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46052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46052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46052</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46052</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46052</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46052</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46052</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46052</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46052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46052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27095-2022</t>
        </is>
      </c>
      <c r="B231" s="1" t="n">
        <v>44741</v>
      </c>
      <c r="C231" s="1" t="n">
        <v>46052</v>
      </c>
      <c r="D231" t="inlineStr">
        <is>
          <t>GOTLANDS LÄN</t>
        </is>
      </c>
      <c r="E231" t="inlineStr">
        <is>
          <t>GOTLAND</t>
        </is>
      </c>
      <c r="F231" t="inlineStr">
        <is>
          <t>Övriga Aktiebolag</t>
        </is>
      </c>
      <c r="G231" t="n">
        <v>2.9</v>
      </c>
      <c r="H231" t="n">
        <v>0</v>
      </c>
      <c r="I231" t="n">
        <v>0</v>
      </c>
      <c r="J231" t="n">
        <v>0</v>
      </c>
      <c r="K231" t="n">
        <v>0</v>
      </c>
      <c r="L231" t="n">
        <v>0</v>
      </c>
      <c r="M231" t="n">
        <v>0</v>
      </c>
      <c r="N231" t="n">
        <v>0</v>
      </c>
      <c r="O231" t="n">
        <v>0</v>
      </c>
      <c r="P231" t="n">
        <v>0</v>
      </c>
      <c r="Q231" t="n">
        <v>0</v>
      </c>
      <c r="R231" s="2" t="inlineStr"/>
    </row>
    <row r="232" ht="15" customHeight="1">
      <c r="A232" t="inlineStr">
        <is>
          <t>A 458-2023</t>
        </is>
      </c>
      <c r="B232" s="1" t="n">
        <v>44929</v>
      </c>
      <c r="C232" s="1" t="n">
        <v>46052</v>
      </c>
      <c r="D232" t="inlineStr">
        <is>
          <t>GOTLANDS LÄN</t>
        </is>
      </c>
      <c r="E232" t="inlineStr">
        <is>
          <t>GOTLAND</t>
        </is>
      </c>
      <c r="G232" t="n">
        <v>3.6</v>
      </c>
      <c r="H232" t="n">
        <v>0</v>
      </c>
      <c r="I232" t="n">
        <v>0</v>
      </c>
      <c r="J232" t="n">
        <v>0</v>
      </c>
      <c r="K232" t="n">
        <v>0</v>
      </c>
      <c r="L232" t="n">
        <v>0</v>
      </c>
      <c r="M232" t="n">
        <v>0</v>
      </c>
      <c r="N232" t="n">
        <v>0</v>
      </c>
      <c r="O232" t="n">
        <v>0</v>
      </c>
      <c r="P232" t="n">
        <v>0</v>
      </c>
      <c r="Q232" t="n">
        <v>0</v>
      </c>
      <c r="R232" s="2" t="inlineStr"/>
    </row>
    <row r="233" ht="15" customHeight="1">
      <c r="A233" t="inlineStr">
        <is>
          <t>A 1291-2023</t>
        </is>
      </c>
      <c r="B233" s="1" t="n">
        <v>44936.47561342592</v>
      </c>
      <c r="C233" s="1" t="n">
        <v>46052</v>
      </c>
      <c r="D233" t="inlineStr">
        <is>
          <t>GOTLANDS LÄN</t>
        </is>
      </c>
      <c r="E233" t="inlineStr">
        <is>
          <t>GOTLAND</t>
        </is>
      </c>
      <c r="G233" t="n">
        <v>7.4</v>
      </c>
      <c r="H233" t="n">
        <v>0</v>
      </c>
      <c r="I233" t="n">
        <v>0</v>
      </c>
      <c r="J233" t="n">
        <v>0</v>
      </c>
      <c r="K233" t="n">
        <v>0</v>
      </c>
      <c r="L233" t="n">
        <v>0</v>
      </c>
      <c r="M233" t="n">
        <v>0</v>
      </c>
      <c r="N233" t="n">
        <v>0</v>
      </c>
      <c r="O233" t="n">
        <v>0</v>
      </c>
      <c r="P233" t="n">
        <v>0</v>
      </c>
      <c r="Q233" t="n">
        <v>0</v>
      </c>
      <c r="R233" s="2" t="inlineStr"/>
    </row>
    <row r="234" ht="15" customHeight="1">
      <c r="A234" t="inlineStr">
        <is>
          <t>A 22495-2022</t>
        </is>
      </c>
      <c r="B234" s="1" t="n">
        <v>44713.6452199074</v>
      </c>
      <c r="C234" s="1" t="n">
        <v>46052</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46052</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46052</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5891-2025</t>
        </is>
      </c>
      <c r="B237" s="1" t="n">
        <v>45695.38327546296</v>
      </c>
      <c r="C237" s="1" t="n">
        <v>46052</v>
      </c>
      <c r="D237" t="inlineStr">
        <is>
          <t>GOTLANDS LÄN</t>
        </is>
      </c>
      <c r="E237" t="inlineStr">
        <is>
          <t>GOTLAND</t>
        </is>
      </c>
      <c r="G237" t="n">
        <v>0.8</v>
      </c>
      <c r="H237" t="n">
        <v>0</v>
      </c>
      <c r="I237" t="n">
        <v>0</v>
      </c>
      <c r="J237" t="n">
        <v>0</v>
      </c>
      <c r="K237" t="n">
        <v>0</v>
      </c>
      <c r="L237" t="n">
        <v>0</v>
      </c>
      <c r="M237" t="n">
        <v>0</v>
      </c>
      <c r="N237" t="n">
        <v>0</v>
      </c>
      <c r="O237" t="n">
        <v>0</v>
      </c>
      <c r="P237" t="n">
        <v>0</v>
      </c>
      <c r="Q237" t="n">
        <v>0</v>
      </c>
      <c r="R237" s="2" t="inlineStr"/>
    </row>
    <row r="238" ht="15" customHeight="1">
      <c r="A238" t="inlineStr">
        <is>
          <t>A 14804-2021</t>
        </is>
      </c>
      <c r="B238" s="1" t="n">
        <v>44280</v>
      </c>
      <c r="C238" s="1" t="n">
        <v>46052</v>
      </c>
      <c r="D238" t="inlineStr">
        <is>
          <t>GOTLANDS LÄN</t>
        </is>
      </c>
      <c r="E238" t="inlineStr">
        <is>
          <t>GOTLAND</t>
        </is>
      </c>
      <c r="G238" t="n">
        <v>2.2</v>
      </c>
      <c r="H238" t="n">
        <v>0</v>
      </c>
      <c r="I238" t="n">
        <v>0</v>
      </c>
      <c r="J238" t="n">
        <v>0</v>
      </c>
      <c r="K238" t="n">
        <v>0</v>
      </c>
      <c r="L238" t="n">
        <v>0</v>
      </c>
      <c r="M238" t="n">
        <v>0</v>
      </c>
      <c r="N238" t="n">
        <v>0</v>
      </c>
      <c r="O238" t="n">
        <v>0</v>
      </c>
      <c r="P238" t="n">
        <v>0</v>
      </c>
      <c r="Q238" t="n">
        <v>0</v>
      </c>
      <c r="R238" s="2" t="inlineStr"/>
    </row>
    <row r="239" ht="15" customHeight="1">
      <c r="A239" t="inlineStr">
        <is>
          <t>A 21507-2021</t>
        </is>
      </c>
      <c r="B239" s="1" t="n">
        <v>44321</v>
      </c>
      <c r="C239" s="1" t="n">
        <v>46052</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46052</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46052</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46052</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46052</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2719-2023</t>
        </is>
      </c>
      <c r="B244" s="1" t="n">
        <v>44944.55361111111</v>
      </c>
      <c r="C244" s="1" t="n">
        <v>46052</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44228-2022</t>
        </is>
      </c>
      <c r="B245" s="1" t="n">
        <v>44839.51599537037</v>
      </c>
      <c r="C245" s="1" t="n">
        <v>46052</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17144-2025</t>
        </is>
      </c>
      <c r="B246" s="1" t="n">
        <v>45755.9499537037</v>
      </c>
      <c r="C246" s="1" t="n">
        <v>46052</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61386-2023</t>
        </is>
      </c>
      <c r="B247" s="1" t="n">
        <v>45264</v>
      </c>
      <c r="C247" s="1" t="n">
        <v>46052</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46052</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9875-2025</t>
        </is>
      </c>
      <c r="B249" s="1" t="n">
        <v>45716</v>
      </c>
      <c r="C249" s="1" t="n">
        <v>46052</v>
      </c>
      <c r="D249" t="inlineStr">
        <is>
          <t>GOTLANDS LÄN</t>
        </is>
      </c>
      <c r="E249" t="inlineStr">
        <is>
          <t>GOTLAND</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29809-2022</t>
        </is>
      </c>
      <c r="B250" s="1" t="n">
        <v>44755.8713425926</v>
      </c>
      <c r="C250" s="1" t="n">
        <v>46052</v>
      </c>
      <c r="D250" t="inlineStr">
        <is>
          <t>GOTLANDS LÄN</t>
        </is>
      </c>
      <c r="E250" t="inlineStr">
        <is>
          <t>GOTLAND</t>
        </is>
      </c>
      <c r="G250" t="n">
        <v>11.5</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46052</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46052</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46052</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46052</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57219-2021</t>
        </is>
      </c>
      <c r="B255" s="1" t="n">
        <v>44483</v>
      </c>
      <c r="C255" s="1" t="n">
        <v>46052</v>
      </c>
      <c r="D255" t="inlineStr">
        <is>
          <t>GOTLANDS LÄN</t>
        </is>
      </c>
      <c r="E255" t="inlineStr">
        <is>
          <t>GOTLAND</t>
        </is>
      </c>
      <c r="F255" t="inlineStr">
        <is>
          <t>Kyrkan</t>
        </is>
      </c>
      <c r="G255" t="n">
        <v>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46052</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25129-2023</t>
        </is>
      </c>
      <c r="B257" s="1" t="n">
        <v>45086.44261574074</v>
      </c>
      <c r="C257" s="1" t="n">
        <v>46052</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16361-2024</t>
        </is>
      </c>
      <c r="B258" s="1" t="n">
        <v>45407</v>
      </c>
      <c r="C258" s="1" t="n">
        <v>46052</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43081-2022</t>
        </is>
      </c>
      <c r="B259" s="1" t="n">
        <v>44833</v>
      </c>
      <c r="C259" s="1" t="n">
        <v>46052</v>
      </c>
      <c r="D259" t="inlineStr">
        <is>
          <t>GOTLANDS LÄN</t>
        </is>
      </c>
      <c r="E259" t="inlineStr">
        <is>
          <t>GOTLAND</t>
        </is>
      </c>
      <c r="G259" t="n">
        <v>6.8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46052</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1175-2025</t>
        </is>
      </c>
      <c r="B261" s="1" t="n">
        <v>45667.34449074074</v>
      </c>
      <c r="C261" s="1" t="n">
        <v>46052</v>
      </c>
      <c r="D261" t="inlineStr">
        <is>
          <t>GOTLANDS LÄN</t>
        </is>
      </c>
      <c r="E261" t="inlineStr">
        <is>
          <t>GOTLAND</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46052</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46052</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42201-2023</t>
        </is>
      </c>
      <c r="B264" s="1" t="n">
        <v>45179</v>
      </c>
      <c r="C264" s="1" t="n">
        <v>46052</v>
      </c>
      <c r="D264" t="inlineStr">
        <is>
          <t>GOTLANDS LÄN</t>
        </is>
      </c>
      <c r="E264" t="inlineStr">
        <is>
          <t>GOTLAND</t>
        </is>
      </c>
      <c r="G264" t="n">
        <v>11.9</v>
      </c>
      <c r="H264" t="n">
        <v>0</v>
      </c>
      <c r="I264" t="n">
        <v>0</v>
      </c>
      <c r="J264" t="n">
        <v>0</v>
      </c>
      <c r="K264" t="n">
        <v>0</v>
      </c>
      <c r="L264" t="n">
        <v>0</v>
      </c>
      <c r="M264" t="n">
        <v>0</v>
      </c>
      <c r="N264" t="n">
        <v>0</v>
      </c>
      <c r="O264" t="n">
        <v>0</v>
      </c>
      <c r="P264" t="n">
        <v>0</v>
      </c>
      <c r="Q264" t="n">
        <v>0</v>
      </c>
      <c r="R264" s="2" t="inlineStr"/>
    </row>
    <row r="265" ht="15" customHeight="1">
      <c r="A265" t="inlineStr">
        <is>
          <t>A 3150-2025</t>
        </is>
      </c>
      <c r="B265" s="1" t="n">
        <v>45679.28974537037</v>
      </c>
      <c r="C265" s="1" t="n">
        <v>46052</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42041-2024</t>
        </is>
      </c>
      <c r="B266" s="1" t="n">
        <v>45561</v>
      </c>
      <c r="C266" s="1" t="n">
        <v>46052</v>
      </c>
      <c r="D266" t="inlineStr">
        <is>
          <t>GOTLANDS LÄN</t>
        </is>
      </c>
      <c r="E266" t="inlineStr">
        <is>
          <t>GOTLAND</t>
        </is>
      </c>
      <c r="G266" t="n">
        <v>3.2</v>
      </c>
      <c r="H266" t="n">
        <v>0</v>
      </c>
      <c r="I266" t="n">
        <v>0</v>
      </c>
      <c r="J266" t="n">
        <v>0</v>
      </c>
      <c r="K266" t="n">
        <v>0</v>
      </c>
      <c r="L266" t="n">
        <v>0</v>
      </c>
      <c r="M266" t="n">
        <v>0</v>
      </c>
      <c r="N266" t="n">
        <v>0</v>
      </c>
      <c r="O266" t="n">
        <v>0</v>
      </c>
      <c r="P266" t="n">
        <v>0</v>
      </c>
      <c r="Q266" t="n">
        <v>0</v>
      </c>
      <c r="R266" s="2" t="inlineStr"/>
    </row>
    <row r="267" ht="15" customHeight="1">
      <c r="A267" t="inlineStr">
        <is>
          <t>A 56009-2024</t>
        </is>
      </c>
      <c r="B267" s="1" t="n">
        <v>45623.80864583333</v>
      </c>
      <c r="C267" s="1" t="n">
        <v>46052</v>
      </c>
      <c r="D267" t="inlineStr">
        <is>
          <t>GOTLANDS LÄN</t>
        </is>
      </c>
      <c r="E267" t="inlineStr">
        <is>
          <t>GOTLAND</t>
        </is>
      </c>
      <c r="G267" t="n">
        <v>2.8</v>
      </c>
      <c r="H267" t="n">
        <v>0</v>
      </c>
      <c r="I267" t="n">
        <v>0</v>
      </c>
      <c r="J267" t="n">
        <v>0</v>
      </c>
      <c r="K267" t="n">
        <v>0</v>
      </c>
      <c r="L267" t="n">
        <v>0</v>
      </c>
      <c r="M267" t="n">
        <v>0</v>
      </c>
      <c r="N267" t="n">
        <v>0</v>
      </c>
      <c r="O267" t="n">
        <v>0</v>
      </c>
      <c r="P267" t="n">
        <v>0</v>
      </c>
      <c r="Q267" t="n">
        <v>0</v>
      </c>
      <c r="R267" s="2" t="inlineStr"/>
    </row>
    <row r="268" ht="15" customHeight="1">
      <c r="A268" t="inlineStr">
        <is>
          <t>A 54073-2022</t>
        </is>
      </c>
      <c r="B268" s="1" t="n">
        <v>44881.50380787037</v>
      </c>
      <c r="C268" s="1" t="n">
        <v>46052</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21651-2025</t>
        </is>
      </c>
      <c r="B269" s="1" t="n">
        <v>45783</v>
      </c>
      <c r="C269" s="1" t="n">
        <v>46052</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3964-2024</t>
        </is>
      </c>
      <c r="B270" s="1" t="n">
        <v>45322</v>
      </c>
      <c r="C270" s="1" t="n">
        <v>46052</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17901-2023</t>
        </is>
      </c>
      <c r="B271" s="1" t="n">
        <v>45039</v>
      </c>
      <c r="C271" s="1" t="n">
        <v>46052</v>
      </c>
      <c r="D271" t="inlineStr">
        <is>
          <t>GOTLANDS LÄN</t>
        </is>
      </c>
      <c r="E271" t="inlineStr">
        <is>
          <t>GOTLAND</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45106-2024</t>
        </is>
      </c>
      <c r="B272" s="1" t="n">
        <v>45575</v>
      </c>
      <c r="C272" s="1" t="n">
        <v>46052</v>
      </c>
      <c r="D272" t="inlineStr">
        <is>
          <t>GOTLANDS LÄN</t>
        </is>
      </c>
      <c r="E272" t="inlineStr">
        <is>
          <t>GOTLAND</t>
        </is>
      </c>
      <c r="G272" t="n">
        <v>10</v>
      </c>
      <c r="H272" t="n">
        <v>0</v>
      </c>
      <c r="I272" t="n">
        <v>0</v>
      </c>
      <c r="J272" t="n">
        <v>0</v>
      </c>
      <c r="K272" t="n">
        <v>0</v>
      </c>
      <c r="L272" t="n">
        <v>0</v>
      </c>
      <c r="M272" t="n">
        <v>0</v>
      </c>
      <c r="N272" t="n">
        <v>0</v>
      </c>
      <c r="O272" t="n">
        <v>0</v>
      </c>
      <c r="P272" t="n">
        <v>0</v>
      </c>
      <c r="Q272" t="n">
        <v>0</v>
      </c>
      <c r="R272" s="2" t="inlineStr"/>
    </row>
    <row r="273" ht="15" customHeight="1">
      <c r="A273" t="inlineStr">
        <is>
          <t>A 45112-2024</t>
        </is>
      </c>
      <c r="B273" s="1" t="n">
        <v>45575</v>
      </c>
      <c r="C273" s="1" t="n">
        <v>46052</v>
      </c>
      <c r="D273" t="inlineStr">
        <is>
          <t>GOTLANDS LÄN</t>
        </is>
      </c>
      <c r="E273" t="inlineStr">
        <is>
          <t>GOTLAND</t>
        </is>
      </c>
      <c r="G273" t="n">
        <v>5.1</v>
      </c>
      <c r="H273" t="n">
        <v>0</v>
      </c>
      <c r="I273" t="n">
        <v>0</v>
      </c>
      <c r="J273" t="n">
        <v>0</v>
      </c>
      <c r="K273" t="n">
        <v>0</v>
      </c>
      <c r="L273" t="n">
        <v>0</v>
      </c>
      <c r="M273" t="n">
        <v>0</v>
      </c>
      <c r="N273" t="n">
        <v>0</v>
      </c>
      <c r="O273" t="n">
        <v>0</v>
      </c>
      <c r="P273" t="n">
        <v>0</v>
      </c>
      <c r="Q273" t="n">
        <v>0</v>
      </c>
      <c r="R273" s="2" t="inlineStr"/>
    </row>
    <row r="274" ht="15" customHeight="1">
      <c r="A274" t="inlineStr">
        <is>
          <t>A 15436-2025</t>
        </is>
      </c>
      <c r="B274" s="1" t="n">
        <v>45747.47462962963</v>
      </c>
      <c r="C274" s="1" t="n">
        <v>46052</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7026-2023</t>
        </is>
      </c>
      <c r="B275" s="1" t="n">
        <v>44968.30340277778</v>
      </c>
      <c r="C275" s="1" t="n">
        <v>46052</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52892-2021</t>
        </is>
      </c>
      <c r="B276" s="1" t="n">
        <v>44467.49048611111</v>
      </c>
      <c r="C276" s="1" t="n">
        <v>46052</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21247-2022</t>
        </is>
      </c>
      <c r="B277" s="1" t="n">
        <v>44705.38832175926</v>
      </c>
      <c r="C277" s="1" t="n">
        <v>46052</v>
      </c>
      <c r="D277" t="inlineStr">
        <is>
          <t>GOTLANDS LÄN</t>
        </is>
      </c>
      <c r="E277" t="inlineStr">
        <is>
          <t>GOTLAND</t>
        </is>
      </c>
      <c r="G277" t="n">
        <v>16.2</v>
      </c>
      <c r="H277" t="n">
        <v>0</v>
      </c>
      <c r="I277" t="n">
        <v>0</v>
      </c>
      <c r="J277" t="n">
        <v>0</v>
      </c>
      <c r="K277" t="n">
        <v>0</v>
      </c>
      <c r="L277" t="n">
        <v>0</v>
      </c>
      <c r="M277" t="n">
        <v>0</v>
      </c>
      <c r="N277" t="n">
        <v>0</v>
      </c>
      <c r="O277" t="n">
        <v>0</v>
      </c>
      <c r="P277" t="n">
        <v>0</v>
      </c>
      <c r="Q277" t="n">
        <v>0</v>
      </c>
      <c r="R277" s="2" t="inlineStr"/>
    </row>
    <row r="278" ht="15" customHeight="1">
      <c r="A278" t="inlineStr">
        <is>
          <t>A 1351-2025</t>
        </is>
      </c>
      <c r="B278" s="1" t="n">
        <v>45667.62246527777</v>
      </c>
      <c r="C278" s="1" t="n">
        <v>46052</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49874-2024</t>
        </is>
      </c>
      <c r="B279" s="1" t="n">
        <v>45597.49274305555</v>
      </c>
      <c r="C279" s="1" t="n">
        <v>46052</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21420-2024</t>
        </is>
      </c>
      <c r="B280" s="1" t="n">
        <v>45441.38293981482</v>
      </c>
      <c r="C280" s="1" t="n">
        <v>46052</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10656-2024</t>
        </is>
      </c>
      <c r="B281" s="1" t="n">
        <v>45368</v>
      </c>
      <c r="C281" s="1" t="n">
        <v>46052</v>
      </c>
      <c r="D281" t="inlineStr">
        <is>
          <t>GOTLANDS LÄN</t>
        </is>
      </c>
      <c r="E281" t="inlineStr">
        <is>
          <t>GOTLAND</t>
        </is>
      </c>
      <c r="G281" t="n">
        <v>1.5</v>
      </c>
      <c r="H281" t="n">
        <v>0</v>
      </c>
      <c r="I281" t="n">
        <v>0</v>
      </c>
      <c r="J281" t="n">
        <v>0</v>
      </c>
      <c r="K281" t="n">
        <v>0</v>
      </c>
      <c r="L281" t="n">
        <v>0</v>
      </c>
      <c r="M281" t="n">
        <v>0</v>
      </c>
      <c r="N281" t="n">
        <v>0</v>
      </c>
      <c r="O281" t="n">
        <v>0</v>
      </c>
      <c r="P281" t="n">
        <v>0</v>
      </c>
      <c r="Q281" t="n">
        <v>0</v>
      </c>
      <c r="R281" s="2" t="inlineStr"/>
    </row>
    <row r="282" ht="15" customHeight="1">
      <c r="A282" t="inlineStr">
        <is>
          <t>A 57356-2023</t>
        </is>
      </c>
      <c r="B282" s="1" t="n">
        <v>45240</v>
      </c>
      <c r="C282" s="1" t="n">
        <v>46052</v>
      </c>
      <c r="D282" t="inlineStr">
        <is>
          <t>GOTLANDS LÄN</t>
        </is>
      </c>
      <c r="E282" t="inlineStr">
        <is>
          <t>GOTLAND</t>
        </is>
      </c>
      <c r="G282" t="n">
        <v>6.4</v>
      </c>
      <c r="H282" t="n">
        <v>0</v>
      </c>
      <c r="I282" t="n">
        <v>0</v>
      </c>
      <c r="J282" t="n">
        <v>0</v>
      </c>
      <c r="K282" t="n">
        <v>0</v>
      </c>
      <c r="L282" t="n">
        <v>0</v>
      </c>
      <c r="M282" t="n">
        <v>0</v>
      </c>
      <c r="N282" t="n">
        <v>0</v>
      </c>
      <c r="O282" t="n">
        <v>0</v>
      </c>
      <c r="P282" t="n">
        <v>0</v>
      </c>
      <c r="Q282" t="n">
        <v>0</v>
      </c>
      <c r="R282" s="2" t="inlineStr"/>
    </row>
    <row r="283" ht="15" customHeight="1">
      <c r="A283" t="inlineStr">
        <is>
          <t>A 28506-2023</t>
        </is>
      </c>
      <c r="B283" s="1" t="n">
        <v>45103</v>
      </c>
      <c r="C283" s="1" t="n">
        <v>46052</v>
      </c>
      <c r="D283" t="inlineStr">
        <is>
          <t>GOTLANDS LÄN</t>
        </is>
      </c>
      <c r="E283" t="inlineStr">
        <is>
          <t>GOTLAND</t>
        </is>
      </c>
      <c r="G283" t="n">
        <v>3.2</v>
      </c>
      <c r="H283" t="n">
        <v>0</v>
      </c>
      <c r="I283" t="n">
        <v>0</v>
      </c>
      <c r="J283" t="n">
        <v>0</v>
      </c>
      <c r="K283" t="n">
        <v>0</v>
      </c>
      <c r="L283" t="n">
        <v>0</v>
      </c>
      <c r="M283" t="n">
        <v>0</v>
      </c>
      <c r="N283" t="n">
        <v>0</v>
      </c>
      <c r="O283" t="n">
        <v>0</v>
      </c>
      <c r="P283" t="n">
        <v>0</v>
      </c>
      <c r="Q283" t="n">
        <v>0</v>
      </c>
      <c r="R283" s="2" t="inlineStr"/>
    </row>
    <row r="284" ht="15" customHeight="1">
      <c r="A284" t="inlineStr">
        <is>
          <t>A 17780-2022</t>
        </is>
      </c>
      <c r="B284" s="1" t="n">
        <v>44682.82622685185</v>
      </c>
      <c r="C284" s="1" t="n">
        <v>46052</v>
      </c>
      <c r="D284" t="inlineStr">
        <is>
          <t>GOTLANDS LÄN</t>
        </is>
      </c>
      <c r="E284" t="inlineStr">
        <is>
          <t>GOTLAND</t>
        </is>
      </c>
      <c r="G284" t="n">
        <v>2.2</v>
      </c>
      <c r="H284" t="n">
        <v>0</v>
      </c>
      <c r="I284" t="n">
        <v>0</v>
      </c>
      <c r="J284" t="n">
        <v>0</v>
      </c>
      <c r="K284" t="n">
        <v>0</v>
      </c>
      <c r="L284" t="n">
        <v>0</v>
      </c>
      <c r="M284" t="n">
        <v>0</v>
      </c>
      <c r="N284" t="n">
        <v>0</v>
      </c>
      <c r="O284" t="n">
        <v>0</v>
      </c>
      <c r="P284" t="n">
        <v>0</v>
      </c>
      <c r="Q284" t="n">
        <v>0</v>
      </c>
      <c r="R284" s="2" t="inlineStr"/>
    </row>
    <row r="285" ht="15" customHeight="1">
      <c r="A285" t="inlineStr">
        <is>
          <t>A 63516-2023</t>
        </is>
      </c>
      <c r="B285" s="1" t="n">
        <v>45274</v>
      </c>
      <c r="C285" s="1" t="n">
        <v>46052</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456-2023</t>
        </is>
      </c>
      <c r="B286" s="1" t="n">
        <v>44929.87122685185</v>
      </c>
      <c r="C286" s="1" t="n">
        <v>46052</v>
      </c>
      <c r="D286" t="inlineStr">
        <is>
          <t>GOTLANDS LÄN</t>
        </is>
      </c>
      <c r="E286" t="inlineStr">
        <is>
          <t>GOTLAND</t>
        </is>
      </c>
      <c r="G286" t="n">
        <v>3.2</v>
      </c>
      <c r="H286" t="n">
        <v>0</v>
      </c>
      <c r="I286" t="n">
        <v>0</v>
      </c>
      <c r="J286" t="n">
        <v>0</v>
      </c>
      <c r="K286" t="n">
        <v>0</v>
      </c>
      <c r="L286" t="n">
        <v>0</v>
      </c>
      <c r="M286" t="n">
        <v>0</v>
      </c>
      <c r="N286" t="n">
        <v>0</v>
      </c>
      <c r="O286" t="n">
        <v>0</v>
      </c>
      <c r="P286" t="n">
        <v>0</v>
      </c>
      <c r="Q286" t="n">
        <v>0</v>
      </c>
      <c r="R286" s="2" t="inlineStr"/>
    </row>
    <row r="287" ht="15" customHeight="1">
      <c r="A287" t="inlineStr">
        <is>
          <t>A 23188-2025</t>
        </is>
      </c>
      <c r="B287" s="1" t="n">
        <v>45791</v>
      </c>
      <c r="C287" s="1" t="n">
        <v>46052</v>
      </c>
      <c r="D287" t="inlineStr">
        <is>
          <t>GOTLANDS LÄN</t>
        </is>
      </c>
      <c r="E287" t="inlineStr">
        <is>
          <t>GOTLAND</t>
        </is>
      </c>
      <c r="G287" t="n">
        <v>6.2</v>
      </c>
      <c r="H287" t="n">
        <v>0</v>
      </c>
      <c r="I287" t="n">
        <v>0</v>
      </c>
      <c r="J287" t="n">
        <v>0</v>
      </c>
      <c r="K287" t="n">
        <v>0</v>
      </c>
      <c r="L287" t="n">
        <v>0</v>
      </c>
      <c r="M287" t="n">
        <v>0</v>
      </c>
      <c r="N287" t="n">
        <v>0</v>
      </c>
      <c r="O287" t="n">
        <v>0</v>
      </c>
      <c r="P287" t="n">
        <v>0</v>
      </c>
      <c r="Q287" t="n">
        <v>0</v>
      </c>
      <c r="R287" s="2" t="inlineStr"/>
    </row>
    <row r="288" ht="15" customHeight="1">
      <c r="A288" t="inlineStr">
        <is>
          <t>A 53935-2024</t>
        </is>
      </c>
      <c r="B288" s="1" t="n">
        <v>45615</v>
      </c>
      <c r="C288" s="1" t="n">
        <v>46052</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51782-2023</t>
        </is>
      </c>
      <c r="B289" s="1" t="n">
        <v>45222.80952546297</v>
      </c>
      <c r="C289" s="1" t="n">
        <v>46052</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60675-2021</t>
        </is>
      </c>
      <c r="B290" s="1" t="n">
        <v>44496.64855324074</v>
      </c>
      <c r="C290" s="1" t="n">
        <v>46052</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69112-2021</t>
        </is>
      </c>
      <c r="B291" s="1" t="n">
        <v>44530</v>
      </c>
      <c r="C291" s="1" t="n">
        <v>46052</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5217-2023</t>
        </is>
      </c>
      <c r="B292" s="1" t="n">
        <v>44959.39582175926</v>
      </c>
      <c r="C292" s="1" t="n">
        <v>46052</v>
      </c>
      <c r="D292" t="inlineStr">
        <is>
          <t>GOTLANDS LÄN</t>
        </is>
      </c>
      <c r="E292" t="inlineStr">
        <is>
          <t>GOTLAND</t>
        </is>
      </c>
      <c r="G292" t="n">
        <v>1.9</v>
      </c>
      <c r="H292" t="n">
        <v>0</v>
      </c>
      <c r="I292" t="n">
        <v>0</v>
      </c>
      <c r="J292" t="n">
        <v>0</v>
      </c>
      <c r="K292" t="n">
        <v>0</v>
      </c>
      <c r="L292" t="n">
        <v>0</v>
      </c>
      <c r="M292" t="n">
        <v>0</v>
      </c>
      <c r="N292" t="n">
        <v>0</v>
      </c>
      <c r="O292" t="n">
        <v>0</v>
      </c>
      <c r="P292" t="n">
        <v>0</v>
      </c>
      <c r="Q292" t="n">
        <v>0</v>
      </c>
      <c r="R292" s="2" t="inlineStr"/>
    </row>
    <row r="293" ht="15" customHeight="1">
      <c r="A293" t="inlineStr">
        <is>
          <t>A 48734-2022</t>
        </is>
      </c>
      <c r="B293" s="1" t="n">
        <v>44855</v>
      </c>
      <c r="C293" s="1" t="n">
        <v>46052</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14638-2025</t>
        </is>
      </c>
      <c r="B294" s="1" t="n">
        <v>45742</v>
      </c>
      <c r="C294" s="1" t="n">
        <v>46052</v>
      </c>
      <c r="D294" t="inlineStr">
        <is>
          <t>GOTLANDS LÄN</t>
        </is>
      </c>
      <c r="E294" t="inlineStr">
        <is>
          <t>GOTLAND</t>
        </is>
      </c>
      <c r="G294" t="n">
        <v>13.4</v>
      </c>
      <c r="H294" t="n">
        <v>0</v>
      </c>
      <c r="I294" t="n">
        <v>0</v>
      </c>
      <c r="J294" t="n">
        <v>0</v>
      </c>
      <c r="K294" t="n">
        <v>0</v>
      </c>
      <c r="L294" t="n">
        <v>0</v>
      </c>
      <c r="M294" t="n">
        <v>0</v>
      </c>
      <c r="N294" t="n">
        <v>0</v>
      </c>
      <c r="O294" t="n">
        <v>0</v>
      </c>
      <c r="P294" t="n">
        <v>0</v>
      </c>
      <c r="Q294" t="n">
        <v>0</v>
      </c>
      <c r="R294" s="2" t="inlineStr"/>
    </row>
    <row r="295" ht="15" customHeight="1">
      <c r="A295" t="inlineStr">
        <is>
          <t>A 23516-2023</t>
        </is>
      </c>
      <c r="B295" s="1" t="n">
        <v>45076.93391203704</v>
      </c>
      <c r="C295" s="1" t="n">
        <v>46052</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43231-2023</t>
        </is>
      </c>
      <c r="B296" s="1" t="n">
        <v>45183.47025462963</v>
      </c>
      <c r="C296" s="1" t="n">
        <v>46052</v>
      </c>
      <c r="D296" t="inlineStr">
        <is>
          <t>GOTLANDS LÄN</t>
        </is>
      </c>
      <c r="E296" t="inlineStr">
        <is>
          <t>GOTLAND</t>
        </is>
      </c>
      <c r="G296" t="n">
        <v>3.6</v>
      </c>
      <c r="H296" t="n">
        <v>0</v>
      </c>
      <c r="I296" t="n">
        <v>0</v>
      </c>
      <c r="J296" t="n">
        <v>0</v>
      </c>
      <c r="K296" t="n">
        <v>0</v>
      </c>
      <c r="L296" t="n">
        <v>0</v>
      </c>
      <c r="M296" t="n">
        <v>0</v>
      </c>
      <c r="N296" t="n">
        <v>0</v>
      </c>
      <c r="O296" t="n">
        <v>0</v>
      </c>
      <c r="P296" t="n">
        <v>0</v>
      </c>
      <c r="Q296" t="n">
        <v>0</v>
      </c>
      <c r="R296" s="2" t="inlineStr"/>
    </row>
    <row r="297" ht="15" customHeight="1">
      <c r="A297" t="inlineStr">
        <is>
          <t>A 23856-2025</t>
        </is>
      </c>
      <c r="B297" s="1" t="n">
        <v>45793</v>
      </c>
      <c r="C297" s="1" t="n">
        <v>46052</v>
      </c>
      <c r="D297" t="inlineStr">
        <is>
          <t>GOTLANDS LÄN</t>
        </is>
      </c>
      <c r="E297" t="inlineStr">
        <is>
          <t>GOTLAND</t>
        </is>
      </c>
      <c r="G297" t="n">
        <v>4.4</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46052</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4421-2024</t>
        </is>
      </c>
      <c r="B299" s="1" t="n">
        <v>45327.45173611111</v>
      </c>
      <c r="C299" s="1" t="n">
        <v>46052</v>
      </c>
      <c r="D299" t="inlineStr">
        <is>
          <t>GOTLANDS LÄN</t>
        </is>
      </c>
      <c r="E299" t="inlineStr">
        <is>
          <t>GOTLAND</t>
        </is>
      </c>
      <c r="G299" t="n">
        <v>5.1</v>
      </c>
      <c r="H299" t="n">
        <v>0</v>
      </c>
      <c r="I299" t="n">
        <v>0</v>
      </c>
      <c r="J299" t="n">
        <v>0</v>
      </c>
      <c r="K299" t="n">
        <v>0</v>
      </c>
      <c r="L299" t="n">
        <v>0</v>
      </c>
      <c r="M299" t="n">
        <v>0</v>
      </c>
      <c r="N299" t="n">
        <v>0</v>
      </c>
      <c r="O299" t="n">
        <v>0</v>
      </c>
      <c r="P299" t="n">
        <v>0</v>
      </c>
      <c r="Q299" t="n">
        <v>0</v>
      </c>
      <c r="R299" s="2" t="inlineStr"/>
    </row>
    <row r="300" ht="15" customHeight="1">
      <c r="A300" t="inlineStr">
        <is>
          <t>A 58230-2024</t>
        </is>
      </c>
      <c r="B300" s="1" t="n">
        <v>45632.51625</v>
      </c>
      <c r="C300" s="1" t="n">
        <v>46052</v>
      </c>
      <c r="D300" t="inlineStr">
        <is>
          <t>GOTLANDS LÄN</t>
        </is>
      </c>
      <c r="E300" t="inlineStr">
        <is>
          <t>GOTLAND</t>
        </is>
      </c>
      <c r="G300" t="n">
        <v>7.3</v>
      </c>
      <c r="H300" t="n">
        <v>0</v>
      </c>
      <c r="I300" t="n">
        <v>0</v>
      </c>
      <c r="J300" t="n">
        <v>0</v>
      </c>
      <c r="K300" t="n">
        <v>0</v>
      </c>
      <c r="L300" t="n">
        <v>0</v>
      </c>
      <c r="M300" t="n">
        <v>0</v>
      </c>
      <c r="N300" t="n">
        <v>0</v>
      </c>
      <c r="O300" t="n">
        <v>0</v>
      </c>
      <c r="P300" t="n">
        <v>0</v>
      </c>
      <c r="Q300" t="n">
        <v>0</v>
      </c>
      <c r="R300" s="2" t="inlineStr"/>
    </row>
    <row r="301" ht="15" customHeight="1">
      <c r="A301" t="inlineStr">
        <is>
          <t>A 64555-2023</t>
        </is>
      </c>
      <c r="B301" s="1" t="n">
        <v>45281</v>
      </c>
      <c r="C301" s="1" t="n">
        <v>46052</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23698-2025</t>
        </is>
      </c>
      <c r="B302" s="1" t="n">
        <v>45793</v>
      </c>
      <c r="C302" s="1" t="n">
        <v>46052</v>
      </c>
      <c r="D302" t="inlineStr">
        <is>
          <t>GOTLANDS LÄN</t>
        </is>
      </c>
      <c r="E302" t="inlineStr">
        <is>
          <t>GOTLAND</t>
        </is>
      </c>
      <c r="G302" t="n">
        <v>0.8</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46052</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457-2023</t>
        </is>
      </c>
      <c r="B304" s="1" t="n">
        <v>44929.87238425926</v>
      </c>
      <c r="C304" s="1" t="n">
        <v>46052</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459-2023</t>
        </is>
      </c>
      <c r="B305" s="1" t="n">
        <v>44929.87423611111</v>
      </c>
      <c r="C305" s="1" t="n">
        <v>46052</v>
      </c>
      <c r="D305" t="inlineStr">
        <is>
          <t>GOTLANDS LÄN</t>
        </is>
      </c>
      <c r="E305" t="inlineStr">
        <is>
          <t>GOTLAND</t>
        </is>
      </c>
      <c r="G305" t="n">
        <v>4.2</v>
      </c>
      <c r="H305" t="n">
        <v>0</v>
      </c>
      <c r="I305" t="n">
        <v>0</v>
      </c>
      <c r="J305" t="n">
        <v>0</v>
      </c>
      <c r="K305" t="n">
        <v>0</v>
      </c>
      <c r="L305" t="n">
        <v>0</v>
      </c>
      <c r="M305" t="n">
        <v>0</v>
      </c>
      <c r="N305" t="n">
        <v>0</v>
      </c>
      <c r="O305" t="n">
        <v>0</v>
      </c>
      <c r="P305" t="n">
        <v>0</v>
      </c>
      <c r="Q305" t="n">
        <v>0</v>
      </c>
      <c r="R305" s="2" t="inlineStr"/>
    </row>
    <row r="306" ht="15" customHeight="1">
      <c r="A306" t="inlineStr">
        <is>
          <t>A 20165-2022</t>
        </is>
      </c>
      <c r="B306" s="1" t="n">
        <v>44698.49854166667</v>
      </c>
      <c r="C306" s="1" t="n">
        <v>46052</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31264-2021</t>
        </is>
      </c>
      <c r="B307" s="1" t="n">
        <v>44368</v>
      </c>
      <c r="C307" s="1" t="n">
        <v>46052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876-2024</t>
        </is>
      </c>
      <c r="B308" s="1" t="n">
        <v>45301</v>
      </c>
      <c r="C308" s="1" t="n">
        <v>46052</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33876-2024</t>
        </is>
      </c>
      <c r="B309" s="1" t="n">
        <v>45521.87988425926</v>
      </c>
      <c r="C309" s="1" t="n">
        <v>46052</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26891-2024</t>
        </is>
      </c>
      <c r="B310" s="1" t="n">
        <v>45470.65540509259</v>
      </c>
      <c r="C310" s="1" t="n">
        <v>46052</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6749-2025</t>
        </is>
      </c>
      <c r="B311" s="1" t="n">
        <v>45700</v>
      </c>
      <c r="C311" s="1" t="n">
        <v>46052</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14536-2021</t>
        </is>
      </c>
      <c r="B312" s="1" t="n">
        <v>44279.66168981481</v>
      </c>
      <c r="C312" s="1" t="n">
        <v>46052</v>
      </c>
      <c r="D312" t="inlineStr">
        <is>
          <t>GOTLANDS LÄN</t>
        </is>
      </c>
      <c r="E312" t="inlineStr">
        <is>
          <t>GOTLAND</t>
        </is>
      </c>
      <c r="G312" t="n">
        <v>8.5</v>
      </c>
      <c r="H312" t="n">
        <v>0</v>
      </c>
      <c r="I312" t="n">
        <v>0</v>
      </c>
      <c r="J312" t="n">
        <v>0</v>
      </c>
      <c r="K312" t="n">
        <v>0</v>
      </c>
      <c r="L312" t="n">
        <v>0</v>
      </c>
      <c r="M312" t="n">
        <v>0</v>
      </c>
      <c r="N312" t="n">
        <v>0</v>
      </c>
      <c r="O312" t="n">
        <v>0</v>
      </c>
      <c r="P312" t="n">
        <v>0</v>
      </c>
      <c r="Q312" t="n">
        <v>0</v>
      </c>
      <c r="R312" s="2" t="inlineStr"/>
    </row>
    <row r="313" ht="15" customHeight="1">
      <c r="A313" t="inlineStr">
        <is>
          <t>A 5923-2023</t>
        </is>
      </c>
      <c r="B313" s="1" t="n">
        <v>44963.69503472222</v>
      </c>
      <c r="C313" s="1" t="n">
        <v>46052</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43223-2023</t>
        </is>
      </c>
      <c r="B314" s="1" t="n">
        <v>45183.45642361111</v>
      </c>
      <c r="C314" s="1" t="n">
        <v>46052</v>
      </c>
      <c r="D314" t="inlineStr">
        <is>
          <t>GOTLANDS LÄN</t>
        </is>
      </c>
      <c r="E314" t="inlineStr">
        <is>
          <t>GOTLAND</t>
        </is>
      </c>
      <c r="G314" t="n">
        <v>1.8</v>
      </c>
      <c r="H314" t="n">
        <v>0</v>
      </c>
      <c r="I314" t="n">
        <v>0</v>
      </c>
      <c r="J314" t="n">
        <v>0</v>
      </c>
      <c r="K314" t="n">
        <v>0</v>
      </c>
      <c r="L314" t="n">
        <v>0</v>
      </c>
      <c r="M314" t="n">
        <v>0</v>
      </c>
      <c r="N314" t="n">
        <v>0</v>
      </c>
      <c r="O314" t="n">
        <v>0</v>
      </c>
      <c r="P314" t="n">
        <v>0</v>
      </c>
      <c r="Q314" t="n">
        <v>0</v>
      </c>
      <c r="R314" s="2" t="inlineStr"/>
    </row>
    <row r="315" ht="15" customHeight="1">
      <c r="A315" t="inlineStr">
        <is>
          <t>A 50482-2024</t>
        </is>
      </c>
      <c r="B315" s="1" t="n">
        <v>45601.48114583334</v>
      </c>
      <c r="C315" s="1" t="n">
        <v>46052</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61962-2024</t>
        </is>
      </c>
      <c r="B316" s="1" t="n">
        <v>45653.54340277778</v>
      </c>
      <c r="C316" s="1" t="n">
        <v>46052</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5943-2024</t>
        </is>
      </c>
      <c r="B317" s="1" t="n">
        <v>45336</v>
      </c>
      <c r="C317" s="1" t="n">
        <v>46052</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12599-2025</t>
        </is>
      </c>
      <c r="B318" s="1" t="n">
        <v>45733.29546296296</v>
      </c>
      <c r="C318" s="1" t="n">
        <v>46052</v>
      </c>
      <c r="D318" t="inlineStr">
        <is>
          <t>GOTLANDS LÄN</t>
        </is>
      </c>
      <c r="E318" t="inlineStr">
        <is>
          <t>GOTLAND</t>
        </is>
      </c>
      <c r="G318" t="n">
        <v>4.7</v>
      </c>
      <c r="H318" t="n">
        <v>0</v>
      </c>
      <c r="I318" t="n">
        <v>0</v>
      </c>
      <c r="J318" t="n">
        <v>0</v>
      </c>
      <c r="K318" t="n">
        <v>0</v>
      </c>
      <c r="L318" t="n">
        <v>0</v>
      </c>
      <c r="M318" t="n">
        <v>0</v>
      </c>
      <c r="N318" t="n">
        <v>0</v>
      </c>
      <c r="O318" t="n">
        <v>0</v>
      </c>
      <c r="P318" t="n">
        <v>0</v>
      </c>
      <c r="Q318" t="n">
        <v>0</v>
      </c>
      <c r="R318" s="2" t="inlineStr"/>
    </row>
    <row r="319" ht="15" customHeight="1">
      <c r="A319" t="inlineStr">
        <is>
          <t>A 27930-2021</t>
        </is>
      </c>
      <c r="B319" s="1" t="n">
        <v>44354</v>
      </c>
      <c r="C319" s="1" t="n">
        <v>46052</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59469-2024</t>
        </is>
      </c>
      <c r="B320" s="1" t="n">
        <v>45638</v>
      </c>
      <c r="C320" s="1" t="n">
        <v>46052</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46052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38234-2023</t>
        </is>
      </c>
      <c r="B322" s="1" t="n">
        <v>45161.56663194444</v>
      </c>
      <c r="C322" s="1" t="n">
        <v>46052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1273-2023</t>
        </is>
      </c>
      <c r="B323" s="1" t="n">
        <v>44936</v>
      </c>
      <c r="C323" s="1" t="n">
        <v>46052</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5751-2024</t>
        </is>
      </c>
      <c r="B324" s="1" t="n">
        <v>45335.32702546296</v>
      </c>
      <c r="C324" s="1" t="n">
        <v>46052</v>
      </c>
      <c r="D324" t="inlineStr">
        <is>
          <t>GOTLANDS LÄN</t>
        </is>
      </c>
      <c r="E324" t="inlineStr">
        <is>
          <t>GOTLAND</t>
        </is>
      </c>
      <c r="G324" t="n">
        <v>4.2</v>
      </c>
      <c r="H324" t="n">
        <v>0</v>
      </c>
      <c r="I324" t="n">
        <v>0</v>
      </c>
      <c r="J324" t="n">
        <v>0</v>
      </c>
      <c r="K324" t="n">
        <v>0</v>
      </c>
      <c r="L324" t="n">
        <v>0</v>
      </c>
      <c r="M324" t="n">
        <v>0</v>
      </c>
      <c r="N324" t="n">
        <v>0</v>
      </c>
      <c r="O324" t="n">
        <v>0</v>
      </c>
      <c r="P324" t="n">
        <v>0</v>
      </c>
      <c r="Q324" t="n">
        <v>0</v>
      </c>
      <c r="R324" s="2" t="inlineStr"/>
    </row>
    <row r="325" ht="15" customHeight="1">
      <c r="A325" t="inlineStr">
        <is>
          <t>A 6696-2023</t>
        </is>
      </c>
      <c r="B325" s="1" t="n">
        <v>44966.66425925926</v>
      </c>
      <c r="C325" s="1" t="n">
        <v>46052</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28480-2023</t>
        </is>
      </c>
      <c r="B326" s="1" t="n">
        <v>45103</v>
      </c>
      <c r="C326" s="1" t="n">
        <v>46052</v>
      </c>
      <c r="D326" t="inlineStr">
        <is>
          <t>GOTLANDS LÄN</t>
        </is>
      </c>
      <c r="E326" t="inlineStr">
        <is>
          <t>GOTLAND</t>
        </is>
      </c>
      <c r="G326" t="n">
        <v>5.7</v>
      </c>
      <c r="H326" t="n">
        <v>0</v>
      </c>
      <c r="I326" t="n">
        <v>0</v>
      </c>
      <c r="J326" t="n">
        <v>0</v>
      </c>
      <c r="K326" t="n">
        <v>0</v>
      </c>
      <c r="L326" t="n">
        <v>0</v>
      </c>
      <c r="M326" t="n">
        <v>0</v>
      </c>
      <c r="N326" t="n">
        <v>0</v>
      </c>
      <c r="O326" t="n">
        <v>0</v>
      </c>
      <c r="P326" t="n">
        <v>0</v>
      </c>
      <c r="Q326" t="n">
        <v>0</v>
      </c>
      <c r="R326" s="2" t="inlineStr"/>
    </row>
    <row r="327" ht="15" customHeight="1">
      <c r="A327" t="inlineStr">
        <is>
          <t>A 28485-2023</t>
        </is>
      </c>
      <c r="B327" s="1" t="n">
        <v>45103.43731481482</v>
      </c>
      <c r="C327" s="1" t="n">
        <v>46052</v>
      </c>
      <c r="D327" t="inlineStr">
        <is>
          <t>GOTLANDS LÄN</t>
        </is>
      </c>
      <c r="E327" t="inlineStr">
        <is>
          <t>GOTLAND</t>
        </is>
      </c>
      <c r="G327" t="n">
        <v>2.3</v>
      </c>
      <c r="H327" t="n">
        <v>0</v>
      </c>
      <c r="I327" t="n">
        <v>0</v>
      </c>
      <c r="J327" t="n">
        <v>0</v>
      </c>
      <c r="K327" t="n">
        <v>0</v>
      </c>
      <c r="L327" t="n">
        <v>0</v>
      </c>
      <c r="M327" t="n">
        <v>0</v>
      </c>
      <c r="N327" t="n">
        <v>0</v>
      </c>
      <c r="O327" t="n">
        <v>0</v>
      </c>
      <c r="P327" t="n">
        <v>0</v>
      </c>
      <c r="Q327" t="n">
        <v>0</v>
      </c>
      <c r="R327" s="2" t="inlineStr"/>
    </row>
    <row r="328" ht="15" customHeight="1">
      <c r="A328" t="inlineStr">
        <is>
          <t>A 4990-2025</t>
        </is>
      </c>
      <c r="B328" s="1" t="n">
        <v>45691</v>
      </c>
      <c r="C328" s="1" t="n">
        <v>46052</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17724-2024</t>
        </is>
      </c>
      <c r="B329" s="1" t="n">
        <v>45418.55096064815</v>
      </c>
      <c r="C329" s="1" t="n">
        <v>46052</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23978-2023</t>
        </is>
      </c>
      <c r="B330" s="1" t="n">
        <v>45078</v>
      </c>
      <c r="C330" s="1" t="n">
        <v>46052</v>
      </c>
      <c r="D330" t="inlineStr">
        <is>
          <t>GOTLANDS LÄN</t>
        </is>
      </c>
      <c r="E330" t="inlineStr">
        <is>
          <t>GOTLAND</t>
        </is>
      </c>
      <c r="F330" t="inlineStr">
        <is>
          <t>Naturvårdsverket</t>
        </is>
      </c>
      <c r="G330" t="n">
        <v>1.7</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46052</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38165-2023</t>
        </is>
      </c>
      <c r="B332" s="1" t="n">
        <v>45161</v>
      </c>
      <c r="C332" s="1" t="n">
        <v>46052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20356-2022</t>
        </is>
      </c>
      <c r="B333" s="1" t="n">
        <v>44699</v>
      </c>
      <c r="C333" s="1" t="n">
        <v>46052</v>
      </c>
      <c r="D333" t="inlineStr">
        <is>
          <t>GOTLANDS LÄN</t>
        </is>
      </c>
      <c r="E333" t="inlineStr">
        <is>
          <t>GOTLAND</t>
        </is>
      </c>
      <c r="F333" t="inlineStr">
        <is>
          <t>Övriga Aktiebolag</t>
        </is>
      </c>
      <c r="G333" t="n">
        <v>4.4</v>
      </c>
      <c r="H333" t="n">
        <v>0</v>
      </c>
      <c r="I333" t="n">
        <v>0</v>
      </c>
      <c r="J333" t="n">
        <v>0</v>
      </c>
      <c r="K333" t="n">
        <v>0</v>
      </c>
      <c r="L333" t="n">
        <v>0</v>
      </c>
      <c r="M333" t="n">
        <v>0</v>
      </c>
      <c r="N333" t="n">
        <v>0</v>
      </c>
      <c r="O333" t="n">
        <v>0</v>
      </c>
      <c r="P333" t="n">
        <v>0</v>
      </c>
      <c r="Q333" t="n">
        <v>0</v>
      </c>
      <c r="R333" s="2" t="inlineStr"/>
    </row>
    <row r="334" ht="15" customHeight="1">
      <c r="A334" t="inlineStr">
        <is>
          <t>A 12846-2025</t>
        </is>
      </c>
      <c r="B334" s="1" t="n">
        <v>45733.65049768519</v>
      </c>
      <c r="C334" s="1" t="n">
        <v>46052</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43200-2023</t>
        </is>
      </c>
      <c r="B335" s="1" t="n">
        <v>45183</v>
      </c>
      <c r="C335" s="1" t="n">
        <v>46052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25796-2025</t>
        </is>
      </c>
      <c r="B336" s="1" t="n">
        <v>45804.39543981481</v>
      </c>
      <c r="C336" s="1" t="n">
        <v>46052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3935-2025</t>
        </is>
      </c>
      <c r="B337" s="1" t="n">
        <v>45684.46070601852</v>
      </c>
      <c r="C337" s="1" t="n">
        <v>46052</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49693-2023</t>
        </is>
      </c>
      <c r="B338" s="1" t="n">
        <v>45212.38138888889</v>
      </c>
      <c r="C338" s="1" t="n">
        <v>46052</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49697-2023</t>
        </is>
      </c>
      <c r="B339" s="1" t="n">
        <v>45212.38909722222</v>
      </c>
      <c r="C339" s="1" t="n">
        <v>46052</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26465-2025</t>
        </is>
      </c>
      <c r="B340" s="1" t="n">
        <v>45807.44377314814</v>
      </c>
      <c r="C340" s="1" t="n">
        <v>46052</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21792-2024</t>
        </is>
      </c>
      <c r="B341" s="1" t="n">
        <v>45442.64326388889</v>
      </c>
      <c r="C341" s="1" t="n">
        <v>46052</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34312-2024</t>
        </is>
      </c>
      <c r="B342" s="1" t="n">
        <v>45524.69703703704</v>
      </c>
      <c r="C342" s="1" t="n">
        <v>46052</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35142-2025</t>
        </is>
      </c>
      <c r="B343" s="1" t="n">
        <v>45852.65532407408</v>
      </c>
      <c r="C343" s="1" t="n">
        <v>46052</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26457-2025</t>
        </is>
      </c>
      <c r="B344" s="1" t="n">
        <v>45807.42773148148</v>
      </c>
      <c r="C344" s="1" t="n">
        <v>46052</v>
      </c>
      <c r="D344" t="inlineStr">
        <is>
          <t>GOTLANDS LÄN</t>
        </is>
      </c>
      <c r="E344" t="inlineStr">
        <is>
          <t>GOTLAND</t>
        </is>
      </c>
      <c r="G344" t="n">
        <v>5.7</v>
      </c>
      <c r="H344" t="n">
        <v>0</v>
      </c>
      <c r="I344" t="n">
        <v>0</v>
      </c>
      <c r="J344" t="n">
        <v>0</v>
      </c>
      <c r="K344" t="n">
        <v>0</v>
      </c>
      <c r="L344" t="n">
        <v>0</v>
      </c>
      <c r="M344" t="n">
        <v>0</v>
      </c>
      <c r="N344" t="n">
        <v>0</v>
      </c>
      <c r="O344" t="n">
        <v>0</v>
      </c>
      <c r="P344" t="n">
        <v>0</v>
      </c>
      <c r="Q344" t="n">
        <v>0</v>
      </c>
      <c r="R344" s="2" t="inlineStr"/>
    </row>
    <row r="345" ht="15" customHeight="1">
      <c r="A345" t="inlineStr">
        <is>
          <t>A 26467-2025</t>
        </is>
      </c>
      <c r="B345" s="1" t="n">
        <v>45807.44640046296</v>
      </c>
      <c r="C345" s="1" t="n">
        <v>46052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35141-2025</t>
        </is>
      </c>
      <c r="B346" s="1" t="n">
        <v>45852.65206018519</v>
      </c>
      <c r="C346" s="1" t="n">
        <v>46052</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48503-2023</t>
        </is>
      </c>
      <c r="B347" s="1" t="n">
        <v>45207</v>
      </c>
      <c r="C347" s="1" t="n">
        <v>46052</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26660-2025</t>
        </is>
      </c>
      <c r="B348" s="1" t="n">
        <v>45810.39737268518</v>
      </c>
      <c r="C348" s="1" t="n">
        <v>46052</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48843-2024</t>
        </is>
      </c>
      <c r="B349" s="1" t="n">
        <v>45593</v>
      </c>
      <c r="C349" s="1" t="n">
        <v>46052</v>
      </c>
      <c r="D349" t="inlineStr">
        <is>
          <t>GOTLANDS LÄN</t>
        </is>
      </c>
      <c r="E349" t="inlineStr">
        <is>
          <t>GOTLAND</t>
        </is>
      </c>
      <c r="G349" t="n">
        <v>0.5</v>
      </c>
      <c r="H349" t="n">
        <v>0</v>
      </c>
      <c r="I349" t="n">
        <v>0</v>
      </c>
      <c r="J349" t="n">
        <v>0</v>
      </c>
      <c r="K349" t="n">
        <v>0</v>
      </c>
      <c r="L349" t="n">
        <v>0</v>
      </c>
      <c r="M349" t="n">
        <v>0</v>
      </c>
      <c r="N349" t="n">
        <v>0</v>
      </c>
      <c r="O349" t="n">
        <v>0</v>
      </c>
      <c r="P349" t="n">
        <v>0</v>
      </c>
      <c r="Q349" t="n">
        <v>0</v>
      </c>
      <c r="R349" s="2" t="inlineStr"/>
    </row>
    <row r="350" ht="15" customHeight="1">
      <c r="A350" t="inlineStr">
        <is>
          <t>A 24825-2024</t>
        </is>
      </c>
      <c r="B350" s="1" t="n">
        <v>45461</v>
      </c>
      <c r="C350" s="1" t="n">
        <v>46052</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27355-2025</t>
        </is>
      </c>
      <c r="B351" s="1" t="n">
        <v>45812</v>
      </c>
      <c r="C351" s="1" t="n">
        <v>46052</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46052</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22031-2024</t>
        </is>
      </c>
      <c r="B353" s="1" t="n">
        <v>45443.60075231481</v>
      </c>
      <c r="C353" s="1" t="n">
        <v>46052</v>
      </c>
      <c r="D353" t="inlineStr">
        <is>
          <t>GOTLANDS LÄN</t>
        </is>
      </c>
      <c r="E353" t="inlineStr">
        <is>
          <t>GOTLAND</t>
        </is>
      </c>
      <c r="G353" t="n">
        <v>2.3</v>
      </c>
      <c r="H353" t="n">
        <v>0</v>
      </c>
      <c r="I353" t="n">
        <v>0</v>
      </c>
      <c r="J353" t="n">
        <v>0</v>
      </c>
      <c r="K353" t="n">
        <v>0</v>
      </c>
      <c r="L353" t="n">
        <v>0</v>
      </c>
      <c r="M353" t="n">
        <v>0</v>
      </c>
      <c r="N353" t="n">
        <v>0</v>
      </c>
      <c r="O353" t="n">
        <v>0</v>
      </c>
      <c r="P353" t="n">
        <v>0</v>
      </c>
      <c r="Q353" t="n">
        <v>0</v>
      </c>
      <c r="R353" s="2" t="inlineStr"/>
    </row>
    <row r="354" ht="15" customHeight="1">
      <c r="A354" t="inlineStr">
        <is>
          <t>A 17688-2024</t>
        </is>
      </c>
      <c r="B354" s="1" t="n">
        <v>45418.43575231481</v>
      </c>
      <c r="C354" s="1" t="n">
        <v>46052</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7850-2025</t>
        </is>
      </c>
      <c r="B355" s="1" t="n">
        <v>45706</v>
      </c>
      <c r="C355" s="1" t="n">
        <v>46052</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10653-2023</t>
        </is>
      </c>
      <c r="B356" s="1" t="n">
        <v>44988.48859953704</v>
      </c>
      <c r="C356" s="1" t="n">
        <v>46052</v>
      </c>
      <c r="D356" t="inlineStr">
        <is>
          <t>GOTLANDS LÄN</t>
        </is>
      </c>
      <c r="E356" t="inlineStr">
        <is>
          <t>GOTLAND</t>
        </is>
      </c>
      <c r="F356" t="inlineStr">
        <is>
          <t>Kyrkan</t>
        </is>
      </c>
      <c r="G356" t="n">
        <v>3</v>
      </c>
      <c r="H356" t="n">
        <v>0</v>
      </c>
      <c r="I356" t="n">
        <v>0</v>
      </c>
      <c r="J356" t="n">
        <v>0</v>
      </c>
      <c r="K356" t="n">
        <v>0</v>
      </c>
      <c r="L356" t="n">
        <v>0</v>
      </c>
      <c r="M356" t="n">
        <v>0</v>
      </c>
      <c r="N356" t="n">
        <v>0</v>
      </c>
      <c r="O356" t="n">
        <v>0</v>
      </c>
      <c r="P356" t="n">
        <v>0</v>
      </c>
      <c r="Q356" t="n">
        <v>0</v>
      </c>
      <c r="R356" s="2" t="inlineStr"/>
    </row>
    <row r="357" ht="15" customHeight="1">
      <c r="A357" t="inlineStr">
        <is>
          <t>A 27694-2024</t>
        </is>
      </c>
      <c r="B357" s="1" t="n">
        <v>45475</v>
      </c>
      <c r="C357" s="1" t="n">
        <v>46052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46052</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39764-2022</t>
        </is>
      </c>
      <c r="B359" s="1" t="n">
        <v>44819</v>
      </c>
      <c r="C359" s="1" t="n">
        <v>46052</v>
      </c>
      <c r="D359" t="inlineStr">
        <is>
          <t>GOTLANDS LÄN</t>
        </is>
      </c>
      <c r="E359" t="inlineStr">
        <is>
          <t>GOTLAND</t>
        </is>
      </c>
      <c r="F359" t="inlineStr">
        <is>
          <t>Kyrkan</t>
        </is>
      </c>
      <c r="G359" t="n">
        <v>3.7</v>
      </c>
      <c r="H359" t="n">
        <v>0</v>
      </c>
      <c r="I359" t="n">
        <v>0</v>
      </c>
      <c r="J359" t="n">
        <v>0</v>
      </c>
      <c r="K359" t="n">
        <v>0</v>
      </c>
      <c r="L359" t="n">
        <v>0</v>
      </c>
      <c r="M359" t="n">
        <v>0</v>
      </c>
      <c r="N359" t="n">
        <v>0</v>
      </c>
      <c r="O359" t="n">
        <v>0</v>
      </c>
      <c r="P359" t="n">
        <v>0</v>
      </c>
      <c r="Q359" t="n">
        <v>0</v>
      </c>
      <c r="R359" s="2" t="inlineStr"/>
    </row>
    <row r="360" ht="15" customHeight="1">
      <c r="A360" t="inlineStr">
        <is>
          <t>A 6099-2024</t>
        </is>
      </c>
      <c r="B360" s="1" t="n">
        <v>45337</v>
      </c>
      <c r="C360" s="1" t="n">
        <v>46052</v>
      </c>
      <c r="D360" t="inlineStr">
        <is>
          <t>GOTLANDS LÄN</t>
        </is>
      </c>
      <c r="E360" t="inlineStr">
        <is>
          <t>GOTLAND</t>
        </is>
      </c>
      <c r="G360" t="n">
        <v>12.6</v>
      </c>
      <c r="H360" t="n">
        <v>0</v>
      </c>
      <c r="I360" t="n">
        <v>0</v>
      </c>
      <c r="J360" t="n">
        <v>0</v>
      </c>
      <c r="K360" t="n">
        <v>0</v>
      </c>
      <c r="L360" t="n">
        <v>0</v>
      </c>
      <c r="M360" t="n">
        <v>0</v>
      </c>
      <c r="N360" t="n">
        <v>0</v>
      </c>
      <c r="O360" t="n">
        <v>0</v>
      </c>
      <c r="P360" t="n">
        <v>0</v>
      </c>
      <c r="Q360" t="n">
        <v>0</v>
      </c>
      <c r="R360" s="2" t="inlineStr"/>
    </row>
    <row r="361" ht="15" customHeight="1">
      <c r="A361" t="inlineStr">
        <is>
          <t>A 8260-2023</t>
        </is>
      </c>
      <c r="B361" s="1" t="n">
        <v>44974.61608796296</v>
      </c>
      <c r="C361" s="1" t="n">
        <v>46052</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35512-2023</t>
        </is>
      </c>
      <c r="B362" s="1" t="n">
        <v>45147.25623842593</v>
      </c>
      <c r="C362" s="1" t="n">
        <v>46052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8444-2025</t>
        </is>
      </c>
      <c r="B363" s="1" t="n">
        <v>45709</v>
      </c>
      <c r="C363" s="1" t="n">
        <v>46052</v>
      </c>
      <c r="D363" t="inlineStr">
        <is>
          <t>GOTLANDS LÄN</t>
        </is>
      </c>
      <c r="E363" t="inlineStr">
        <is>
          <t>GOTLAND</t>
        </is>
      </c>
      <c r="G363" t="n">
        <v>5.2</v>
      </c>
      <c r="H363" t="n">
        <v>0</v>
      </c>
      <c r="I363" t="n">
        <v>0</v>
      </c>
      <c r="J363" t="n">
        <v>0</v>
      </c>
      <c r="K363" t="n">
        <v>0</v>
      </c>
      <c r="L363" t="n">
        <v>0</v>
      </c>
      <c r="M363" t="n">
        <v>0</v>
      </c>
      <c r="N363" t="n">
        <v>0</v>
      </c>
      <c r="O363" t="n">
        <v>0</v>
      </c>
      <c r="P363" t="n">
        <v>0</v>
      </c>
      <c r="Q363" t="n">
        <v>0</v>
      </c>
      <c r="R363" s="2" t="inlineStr"/>
    </row>
    <row r="364" ht="15" customHeight="1">
      <c r="A364" t="inlineStr">
        <is>
          <t>A 19905-2025</t>
        </is>
      </c>
      <c r="B364" s="1" t="n">
        <v>45771</v>
      </c>
      <c r="C364" s="1" t="n">
        <v>46052</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11874-2024</t>
        </is>
      </c>
      <c r="B365" s="1" t="n">
        <v>45376.46956018519</v>
      </c>
      <c r="C365" s="1" t="n">
        <v>46052</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22287-2022</t>
        </is>
      </c>
      <c r="B366" s="1" t="n">
        <v>44712</v>
      </c>
      <c r="C366" s="1" t="n">
        <v>46052</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57534-2022</t>
        </is>
      </c>
      <c r="B367" s="1" t="n">
        <v>44896</v>
      </c>
      <c r="C367" s="1" t="n">
        <v>46052</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20225-2025</t>
        </is>
      </c>
      <c r="B368" s="1" t="n">
        <v>45772.65802083333</v>
      </c>
      <c r="C368" s="1" t="n">
        <v>46052</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1677-2023</t>
        </is>
      </c>
      <c r="B369" s="1" t="n">
        <v>44938</v>
      </c>
      <c r="C369" s="1" t="n">
        <v>46052</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46052</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29196-2025</t>
        </is>
      </c>
      <c r="B371" s="1" t="n">
        <v>45822</v>
      </c>
      <c r="C371" s="1" t="n">
        <v>46052</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64831-2023</t>
        </is>
      </c>
      <c r="B372" s="1" t="n">
        <v>45282.44924768519</v>
      </c>
      <c r="C372" s="1" t="n">
        <v>46052</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64660-2023</t>
        </is>
      </c>
      <c r="B373" s="1" t="n">
        <v>45281.60122685185</v>
      </c>
      <c r="C373" s="1" t="n">
        <v>46052</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8036-2022</t>
        </is>
      </c>
      <c r="B374" s="1" t="n">
        <v>44609.44362268518</v>
      </c>
      <c r="C374" s="1" t="n">
        <v>46052</v>
      </c>
      <c r="D374" t="inlineStr">
        <is>
          <t>GOTLANDS LÄN</t>
        </is>
      </c>
      <c r="E374" t="inlineStr">
        <is>
          <t>GOTLAND</t>
        </is>
      </c>
      <c r="G374" t="n">
        <v>6.1</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46052</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46375-2024</t>
        </is>
      </c>
      <c r="B376" s="1" t="n">
        <v>45582</v>
      </c>
      <c r="C376" s="1" t="n">
        <v>46052</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62915-2021</t>
        </is>
      </c>
      <c r="B377" s="1" t="n">
        <v>44504</v>
      </c>
      <c r="C377" s="1" t="n">
        <v>46052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45705.77306712963</v>
      </c>
      <c r="C378" s="1" t="n">
        <v>46052</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58160-2024</t>
        </is>
      </c>
      <c r="B379" s="1" t="n">
        <v>45632.44927083333</v>
      </c>
      <c r="C379" s="1" t="n">
        <v>46052</v>
      </c>
      <c r="D379" t="inlineStr">
        <is>
          <t>GOTLANDS LÄN</t>
        </is>
      </c>
      <c r="E379" t="inlineStr">
        <is>
          <t>GOTLAND</t>
        </is>
      </c>
      <c r="G379" t="n">
        <v>5.6</v>
      </c>
      <c r="H379" t="n">
        <v>0</v>
      </c>
      <c r="I379" t="n">
        <v>0</v>
      </c>
      <c r="J379" t="n">
        <v>0</v>
      </c>
      <c r="K379" t="n">
        <v>0</v>
      </c>
      <c r="L379" t="n">
        <v>0</v>
      </c>
      <c r="M379" t="n">
        <v>0</v>
      </c>
      <c r="N379" t="n">
        <v>0</v>
      </c>
      <c r="O379" t="n">
        <v>0</v>
      </c>
      <c r="P379" t="n">
        <v>0</v>
      </c>
      <c r="Q379" t="n">
        <v>0</v>
      </c>
      <c r="R379" s="2" t="inlineStr"/>
    </row>
    <row r="380" ht="15" customHeight="1">
      <c r="A380" t="inlineStr">
        <is>
          <t>A 20855-2023</t>
        </is>
      </c>
      <c r="B380" s="1" t="n">
        <v>45058.82172453704</v>
      </c>
      <c r="C380" s="1" t="n">
        <v>46052</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4377-2023</t>
        </is>
      </c>
      <c r="B381" s="1" t="n">
        <v>44955.5502662037</v>
      </c>
      <c r="C381" s="1" t="n">
        <v>46052</v>
      </c>
      <c r="D381" t="inlineStr">
        <is>
          <t>GOTLANDS LÄN</t>
        </is>
      </c>
      <c r="E381" t="inlineStr">
        <is>
          <t>GOTLAND</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60709-2023</t>
        </is>
      </c>
      <c r="B382" s="1" t="n">
        <v>45260</v>
      </c>
      <c r="C382" s="1" t="n">
        <v>46052</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1000-2024</t>
        </is>
      </c>
      <c r="B383" s="1" t="n">
        <v>45301.63371527778</v>
      </c>
      <c r="C383" s="1" t="n">
        <v>46052</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1010-2024</t>
        </is>
      </c>
      <c r="B384" s="1" t="n">
        <v>45301</v>
      </c>
      <c r="C384" s="1" t="n">
        <v>46052</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65249-2023</t>
        </is>
      </c>
      <c r="B385" s="1" t="n">
        <v>45290</v>
      </c>
      <c r="C385" s="1" t="n">
        <v>46052</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43901-2023</t>
        </is>
      </c>
      <c r="B386" s="1" t="n">
        <v>45187</v>
      </c>
      <c r="C386" s="1" t="n">
        <v>46052</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17532-2024</t>
        </is>
      </c>
      <c r="B387" s="1" t="n">
        <v>45415</v>
      </c>
      <c r="C387" s="1" t="n">
        <v>46052</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45692-2023</t>
        </is>
      </c>
      <c r="B388" s="1" t="n">
        <v>45195</v>
      </c>
      <c r="C388" s="1" t="n">
        <v>46052</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30956-2024</t>
        </is>
      </c>
      <c r="B389" s="1" t="n">
        <v>45499.42527777778</v>
      </c>
      <c r="C389" s="1" t="n">
        <v>46052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12596-2023</t>
        </is>
      </c>
      <c r="B390" s="1" t="n">
        <v>45000.43310185185</v>
      </c>
      <c r="C390" s="1" t="n">
        <v>46052</v>
      </c>
      <c r="D390" t="inlineStr">
        <is>
          <t>GOTLANDS LÄN</t>
        </is>
      </c>
      <c r="E390" t="inlineStr">
        <is>
          <t>GOTLAND</t>
        </is>
      </c>
      <c r="G390" t="n">
        <v>4.1</v>
      </c>
      <c r="H390" t="n">
        <v>0</v>
      </c>
      <c r="I390" t="n">
        <v>0</v>
      </c>
      <c r="J390" t="n">
        <v>0</v>
      </c>
      <c r="K390" t="n">
        <v>0</v>
      </c>
      <c r="L390" t="n">
        <v>0</v>
      </c>
      <c r="M390" t="n">
        <v>0</v>
      </c>
      <c r="N390" t="n">
        <v>0</v>
      </c>
      <c r="O390" t="n">
        <v>0</v>
      </c>
      <c r="P390" t="n">
        <v>0</v>
      </c>
      <c r="Q390" t="n">
        <v>0</v>
      </c>
      <c r="R390" s="2" t="inlineStr"/>
    </row>
    <row r="391" ht="15" customHeight="1">
      <c r="A391" t="inlineStr">
        <is>
          <t>A 8045-2022</t>
        </is>
      </c>
      <c r="B391" s="1" t="n">
        <v>44609</v>
      </c>
      <c r="C391" s="1" t="n">
        <v>46052</v>
      </c>
      <c r="D391" t="inlineStr">
        <is>
          <t>GOTLANDS LÄN</t>
        </is>
      </c>
      <c r="E391" t="inlineStr">
        <is>
          <t>GOTLAND</t>
        </is>
      </c>
      <c r="G391" t="n">
        <v>7</v>
      </c>
      <c r="H391" t="n">
        <v>0</v>
      </c>
      <c r="I391" t="n">
        <v>0</v>
      </c>
      <c r="J391" t="n">
        <v>0</v>
      </c>
      <c r="K391" t="n">
        <v>0</v>
      </c>
      <c r="L391" t="n">
        <v>0</v>
      </c>
      <c r="M391" t="n">
        <v>0</v>
      </c>
      <c r="N391" t="n">
        <v>0</v>
      </c>
      <c r="O391" t="n">
        <v>0</v>
      </c>
      <c r="P391" t="n">
        <v>0</v>
      </c>
      <c r="Q391" t="n">
        <v>0</v>
      </c>
      <c r="R391" s="2" t="inlineStr"/>
    </row>
    <row r="392" ht="15" customHeight="1">
      <c r="A392" t="inlineStr">
        <is>
          <t>A 37222-2021</t>
        </is>
      </c>
      <c r="B392" s="1" t="n">
        <v>44396</v>
      </c>
      <c r="C392" s="1" t="n">
        <v>46052</v>
      </c>
      <c r="D392" t="inlineStr">
        <is>
          <t>GOTLANDS LÄN</t>
        </is>
      </c>
      <c r="E392" t="inlineStr">
        <is>
          <t>GOTLAND</t>
        </is>
      </c>
      <c r="G392" t="n">
        <v>3</v>
      </c>
      <c r="H392" t="n">
        <v>0</v>
      </c>
      <c r="I392" t="n">
        <v>0</v>
      </c>
      <c r="J392" t="n">
        <v>0</v>
      </c>
      <c r="K392" t="n">
        <v>0</v>
      </c>
      <c r="L392" t="n">
        <v>0</v>
      </c>
      <c r="M392" t="n">
        <v>0</v>
      </c>
      <c r="N392" t="n">
        <v>0</v>
      </c>
      <c r="O392" t="n">
        <v>0</v>
      </c>
      <c r="P392" t="n">
        <v>0</v>
      </c>
      <c r="Q392" t="n">
        <v>0</v>
      </c>
      <c r="R392" s="2" t="inlineStr"/>
    </row>
    <row r="393" ht="15" customHeight="1">
      <c r="A393" t="inlineStr">
        <is>
          <t>A 16109-2025</t>
        </is>
      </c>
      <c r="B393" s="1" t="n">
        <v>45750</v>
      </c>
      <c r="C393" s="1" t="n">
        <v>46052</v>
      </c>
      <c r="D393" t="inlineStr">
        <is>
          <t>GOTLANDS LÄN</t>
        </is>
      </c>
      <c r="E393" t="inlineStr">
        <is>
          <t>GOTLAND</t>
        </is>
      </c>
      <c r="G393" t="n">
        <v>4.9</v>
      </c>
      <c r="H393" t="n">
        <v>0</v>
      </c>
      <c r="I393" t="n">
        <v>0</v>
      </c>
      <c r="J393" t="n">
        <v>0</v>
      </c>
      <c r="K393" t="n">
        <v>0</v>
      </c>
      <c r="L393" t="n">
        <v>0</v>
      </c>
      <c r="M393" t="n">
        <v>0</v>
      </c>
      <c r="N393" t="n">
        <v>0</v>
      </c>
      <c r="O393" t="n">
        <v>0</v>
      </c>
      <c r="P393" t="n">
        <v>0</v>
      </c>
      <c r="Q393" t="n">
        <v>0</v>
      </c>
      <c r="R393" s="2" t="inlineStr"/>
    </row>
    <row r="394" ht="15" customHeight="1">
      <c r="A394" t="inlineStr">
        <is>
          <t>A 32467-2025</t>
        </is>
      </c>
      <c r="B394" s="1" t="n">
        <v>45838.42111111111</v>
      </c>
      <c r="C394" s="1" t="n">
        <v>46052</v>
      </c>
      <c r="D394" t="inlineStr">
        <is>
          <t>GOTLANDS LÄN</t>
        </is>
      </c>
      <c r="E394" t="inlineStr">
        <is>
          <t>GOTLAND</t>
        </is>
      </c>
      <c r="G394" t="n">
        <v>4.3</v>
      </c>
      <c r="H394" t="n">
        <v>0</v>
      </c>
      <c r="I394" t="n">
        <v>0</v>
      </c>
      <c r="J394" t="n">
        <v>0</v>
      </c>
      <c r="K394" t="n">
        <v>0</v>
      </c>
      <c r="L394" t="n">
        <v>0</v>
      </c>
      <c r="M394" t="n">
        <v>0</v>
      </c>
      <c r="N394" t="n">
        <v>0</v>
      </c>
      <c r="O394" t="n">
        <v>0</v>
      </c>
      <c r="P394" t="n">
        <v>0</v>
      </c>
      <c r="Q394" t="n">
        <v>0</v>
      </c>
      <c r="R394" s="2" t="inlineStr"/>
    </row>
    <row r="395" ht="15" customHeight="1">
      <c r="A395" t="inlineStr">
        <is>
          <t>A 46396-2023</t>
        </is>
      </c>
      <c r="B395" s="1" t="n">
        <v>45197</v>
      </c>
      <c r="C395" s="1" t="n">
        <v>46052</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58388-2022</t>
        </is>
      </c>
      <c r="B396" s="1" t="n">
        <v>44894</v>
      </c>
      <c r="C396" s="1" t="n">
        <v>46052</v>
      </c>
      <c r="D396" t="inlineStr">
        <is>
          <t>GOTLANDS LÄN</t>
        </is>
      </c>
      <c r="E396" t="inlineStr">
        <is>
          <t>GOTLAND</t>
        </is>
      </c>
      <c r="F396" t="inlineStr">
        <is>
          <t>Övriga statliga verk och myndigheter</t>
        </is>
      </c>
      <c r="G396" t="n">
        <v>3.1</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46052</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999-2024</t>
        </is>
      </c>
      <c r="B398" s="1" t="n">
        <v>45301</v>
      </c>
      <c r="C398" s="1" t="n">
        <v>46052</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65901-2021</t>
        </is>
      </c>
      <c r="B399" s="1" t="n">
        <v>44516</v>
      </c>
      <c r="C399" s="1" t="n">
        <v>46052</v>
      </c>
      <c r="D399" t="inlineStr">
        <is>
          <t>GOTLANDS LÄN</t>
        </is>
      </c>
      <c r="E399" t="inlineStr">
        <is>
          <t>GOTLAND</t>
        </is>
      </c>
      <c r="G399" t="n">
        <v>4.9</v>
      </c>
      <c r="H399" t="n">
        <v>0</v>
      </c>
      <c r="I399" t="n">
        <v>0</v>
      </c>
      <c r="J399" t="n">
        <v>0</v>
      </c>
      <c r="K399" t="n">
        <v>0</v>
      </c>
      <c r="L399" t="n">
        <v>0</v>
      </c>
      <c r="M399" t="n">
        <v>0</v>
      </c>
      <c r="N399" t="n">
        <v>0</v>
      </c>
      <c r="O399" t="n">
        <v>0</v>
      </c>
      <c r="P399" t="n">
        <v>0</v>
      </c>
      <c r="Q399" t="n">
        <v>0</v>
      </c>
      <c r="R399" s="2" t="inlineStr"/>
    </row>
    <row r="400" ht="15" customHeight="1">
      <c r="A400" t="inlineStr">
        <is>
          <t>A 39849-2025</t>
        </is>
      </c>
      <c r="B400" s="1" t="n">
        <v>45891.58502314815</v>
      </c>
      <c r="C400" s="1" t="n">
        <v>46052</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47762-2023</t>
        </is>
      </c>
      <c r="B401" s="1" t="n">
        <v>45203.86256944444</v>
      </c>
      <c r="C401" s="1" t="n">
        <v>46052</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33007-2025</t>
        </is>
      </c>
      <c r="B402" s="1" t="n">
        <v>45840</v>
      </c>
      <c r="C402" s="1" t="n">
        <v>46052</v>
      </c>
      <c r="D402" t="inlineStr">
        <is>
          <t>GOTLANDS LÄN</t>
        </is>
      </c>
      <c r="E402" t="inlineStr">
        <is>
          <t>GOTLAND</t>
        </is>
      </c>
      <c r="G402" t="n">
        <v>4.9</v>
      </c>
      <c r="H402" t="n">
        <v>0</v>
      </c>
      <c r="I402" t="n">
        <v>0</v>
      </c>
      <c r="J402" t="n">
        <v>0</v>
      </c>
      <c r="K402" t="n">
        <v>0</v>
      </c>
      <c r="L402" t="n">
        <v>0</v>
      </c>
      <c r="M402" t="n">
        <v>0</v>
      </c>
      <c r="N402" t="n">
        <v>0</v>
      </c>
      <c r="O402" t="n">
        <v>0</v>
      </c>
      <c r="P402" t="n">
        <v>0</v>
      </c>
      <c r="Q402" t="n">
        <v>0</v>
      </c>
      <c r="R402" s="2" t="inlineStr"/>
    </row>
    <row r="403" ht="15" customHeight="1">
      <c r="A403" t="inlineStr">
        <is>
          <t>A 40294-2022</t>
        </is>
      </c>
      <c r="B403" s="1" t="n">
        <v>44821</v>
      </c>
      <c r="C403" s="1" t="n">
        <v>46052</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27602-2023</t>
        </is>
      </c>
      <c r="B404" s="1" t="n">
        <v>45097</v>
      </c>
      <c r="C404" s="1" t="n">
        <v>46052</v>
      </c>
      <c r="D404" t="inlineStr">
        <is>
          <t>GOTLANDS LÄN</t>
        </is>
      </c>
      <c r="E404" t="inlineStr">
        <is>
          <t>GOTLAND</t>
        </is>
      </c>
      <c r="G404" t="n">
        <v>2.7</v>
      </c>
      <c r="H404" t="n">
        <v>0</v>
      </c>
      <c r="I404" t="n">
        <v>0</v>
      </c>
      <c r="J404" t="n">
        <v>0</v>
      </c>
      <c r="K404" t="n">
        <v>0</v>
      </c>
      <c r="L404" t="n">
        <v>0</v>
      </c>
      <c r="M404" t="n">
        <v>0</v>
      </c>
      <c r="N404" t="n">
        <v>0</v>
      </c>
      <c r="O404" t="n">
        <v>0</v>
      </c>
      <c r="P404" t="n">
        <v>0</v>
      </c>
      <c r="Q404" t="n">
        <v>0</v>
      </c>
      <c r="R404" s="2" t="inlineStr"/>
    </row>
    <row r="405" ht="15" customHeight="1">
      <c r="A405" t="inlineStr">
        <is>
          <t>A 58780-2024</t>
        </is>
      </c>
      <c r="B405" s="1" t="n">
        <v>45635.84113425926</v>
      </c>
      <c r="C405" s="1" t="n">
        <v>46052</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12322-2025</t>
        </is>
      </c>
      <c r="B406" s="1" t="n">
        <v>45730</v>
      </c>
      <c r="C406" s="1" t="n">
        <v>46052</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39814-2025</t>
        </is>
      </c>
      <c r="B407" s="1" t="n">
        <v>45891.52694444444</v>
      </c>
      <c r="C407" s="1" t="n">
        <v>46052</v>
      </c>
      <c r="D407" t="inlineStr">
        <is>
          <t>GOTLANDS LÄN</t>
        </is>
      </c>
      <c r="E407" t="inlineStr">
        <is>
          <t>GOTLAND</t>
        </is>
      </c>
      <c r="G407" t="n">
        <v>4.5</v>
      </c>
      <c r="H407" t="n">
        <v>0</v>
      </c>
      <c r="I407" t="n">
        <v>0</v>
      </c>
      <c r="J407" t="n">
        <v>0</v>
      </c>
      <c r="K407" t="n">
        <v>0</v>
      </c>
      <c r="L407" t="n">
        <v>0</v>
      </c>
      <c r="M407" t="n">
        <v>0</v>
      </c>
      <c r="N407" t="n">
        <v>0</v>
      </c>
      <c r="O407" t="n">
        <v>0</v>
      </c>
      <c r="P407" t="n">
        <v>0</v>
      </c>
      <c r="Q407" t="n">
        <v>0</v>
      </c>
      <c r="R407" s="2" t="inlineStr"/>
    </row>
    <row r="408" ht="15" customHeight="1">
      <c r="A408" t="inlineStr">
        <is>
          <t>A 53934-2024</t>
        </is>
      </c>
      <c r="B408" s="1" t="n">
        <v>45615</v>
      </c>
      <c r="C408" s="1" t="n">
        <v>46052</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58132-2023</t>
        </is>
      </c>
      <c r="B409" s="1" t="n">
        <v>45250</v>
      </c>
      <c r="C409" s="1" t="n">
        <v>46052</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24192-2023</t>
        </is>
      </c>
      <c r="B410" s="1" t="n">
        <v>45079</v>
      </c>
      <c r="C410" s="1" t="n">
        <v>46052</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22899-2023</t>
        </is>
      </c>
      <c r="B411" s="1" t="n">
        <v>45072</v>
      </c>
      <c r="C411" s="1" t="n">
        <v>46052</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30282-2022</t>
        </is>
      </c>
      <c r="B412" s="1" t="n">
        <v>44760</v>
      </c>
      <c r="C412" s="1" t="n">
        <v>46052</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28285-2024</t>
        </is>
      </c>
      <c r="B413" s="1" t="n">
        <v>45477</v>
      </c>
      <c r="C413" s="1" t="n">
        <v>46052</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7835-2024</t>
        </is>
      </c>
      <c r="B414" s="1" t="n">
        <v>45349.83138888889</v>
      </c>
      <c r="C414" s="1" t="n">
        <v>46052</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39819-2025</t>
        </is>
      </c>
      <c r="B415" s="1" t="n">
        <v>45891.53418981482</v>
      </c>
      <c r="C415" s="1" t="n">
        <v>46052</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51963-2024</t>
        </is>
      </c>
      <c r="B416" s="1" t="n">
        <v>45607.64833333333</v>
      </c>
      <c r="C416" s="1" t="n">
        <v>46052</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44624.57945601852</v>
      </c>
      <c r="C417" s="1" t="n">
        <v>46052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44349.55087962963</v>
      </c>
      <c r="C418" s="1" t="n">
        <v>46052</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15413-2025</t>
        </is>
      </c>
      <c r="B419" s="1" t="n">
        <v>45747.451875</v>
      </c>
      <c r="C419" s="1" t="n">
        <v>46052</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28425-2023</t>
        </is>
      </c>
      <c r="B420" s="1" t="n">
        <v>45102</v>
      </c>
      <c r="C420" s="1" t="n">
        <v>46052</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35096-2025</t>
        </is>
      </c>
      <c r="B421" s="1" t="n">
        <v>45852.54356481481</v>
      </c>
      <c r="C421" s="1" t="n">
        <v>46052</v>
      </c>
      <c r="D421" t="inlineStr">
        <is>
          <t>GOTLANDS LÄN</t>
        </is>
      </c>
      <c r="E421" t="inlineStr">
        <is>
          <t>GOTLAND</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1734-2025</t>
        </is>
      </c>
      <c r="B422" s="1" t="n">
        <v>45671.3840625</v>
      </c>
      <c r="C422" s="1" t="n">
        <v>46052</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30365-2024</t>
        </is>
      </c>
      <c r="B423" s="1" t="n">
        <v>45491.3716087963</v>
      </c>
      <c r="C423" s="1" t="n">
        <v>46052</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39752-2025</t>
        </is>
      </c>
      <c r="B424" s="1" t="n">
        <v>45891</v>
      </c>
      <c r="C424" s="1" t="n">
        <v>46052</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39816-2025</t>
        </is>
      </c>
      <c r="B425" s="1" t="n">
        <v>45891</v>
      </c>
      <c r="C425" s="1" t="n">
        <v>46052</v>
      </c>
      <c r="D425" t="inlineStr">
        <is>
          <t>GOTLANDS LÄN</t>
        </is>
      </c>
      <c r="E425" t="inlineStr">
        <is>
          <t>GOTLAND</t>
        </is>
      </c>
      <c r="G425" t="n">
        <v>0.9</v>
      </c>
      <c r="H425" t="n">
        <v>0</v>
      </c>
      <c r="I425" t="n">
        <v>0</v>
      </c>
      <c r="J425" t="n">
        <v>0</v>
      </c>
      <c r="K425" t="n">
        <v>0</v>
      </c>
      <c r="L425" t="n">
        <v>0</v>
      </c>
      <c r="M425" t="n">
        <v>0</v>
      </c>
      <c r="N425" t="n">
        <v>0</v>
      </c>
      <c r="O425" t="n">
        <v>0</v>
      </c>
      <c r="P425" t="n">
        <v>0</v>
      </c>
      <c r="Q425" t="n">
        <v>0</v>
      </c>
      <c r="R425" s="2" t="inlineStr"/>
    </row>
    <row r="426" ht="15" customHeight="1">
      <c r="A426" t="inlineStr">
        <is>
          <t>A 35123-2025</t>
        </is>
      </c>
      <c r="B426" s="1" t="n">
        <v>45852.614375</v>
      </c>
      <c r="C426" s="1" t="n">
        <v>46052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40372-2025</t>
        </is>
      </c>
      <c r="B427" s="1" t="n">
        <v>45895.5162037037</v>
      </c>
      <c r="C427" s="1" t="n">
        <v>46052</v>
      </c>
      <c r="D427" t="inlineStr">
        <is>
          <t>GOTLANDS LÄN</t>
        </is>
      </c>
      <c r="E427" t="inlineStr">
        <is>
          <t>GOTLAND</t>
        </is>
      </c>
      <c r="G427" t="n">
        <v>3.3</v>
      </c>
      <c r="H427" t="n">
        <v>0</v>
      </c>
      <c r="I427" t="n">
        <v>0</v>
      </c>
      <c r="J427" t="n">
        <v>0</v>
      </c>
      <c r="K427" t="n">
        <v>0</v>
      </c>
      <c r="L427" t="n">
        <v>0</v>
      </c>
      <c r="M427" t="n">
        <v>0</v>
      </c>
      <c r="N427" t="n">
        <v>0</v>
      </c>
      <c r="O427" t="n">
        <v>0</v>
      </c>
      <c r="P427" t="n">
        <v>0</v>
      </c>
      <c r="Q427" t="n">
        <v>0</v>
      </c>
      <c r="R427" s="2" t="inlineStr"/>
    </row>
    <row r="428" ht="15" customHeight="1">
      <c r="A428" t="inlineStr">
        <is>
          <t>A 13037-2025</t>
        </is>
      </c>
      <c r="B428" s="1" t="n">
        <v>45734</v>
      </c>
      <c r="C428" s="1" t="n">
        <v>46052</v>
      </c>
      <c r="D428" t="inlineStr">
        <is>
          <t>GOTLANDS LÄN</t>
        </is>
      </c>
      <c r="E428" t="inlineStr">
        <is>
          <t>GOTLAND</t>
        </is>
      </c>
      <c r="G428" t="n">
        <v>9.5</v>
      </c>
      <c r="H428" t="n">
        <v>0</v>
      </c>
      <c r="I428" t="n">
        <v>0</v>
      </c>
      <c r="J428" t="n">
        <v>0</v>
      </c>
      <c r="K428" t="n">
        <v>0</v>
      </c>
      <c r="L428" t="n">
        <v>0</v>
      </c>
      <c r="M428" t="n">
        <v>0</v>
      </c>
      <c r="N428" t="n">
        <v>0</v>
      </c>
      <c r="O428" t="n">
        <v>0</v>
      </c>
      <c r="P428" t="n">
        <v>0</v>
      </c>
      <c r="Q428" t="n">
        <v>0</v>
      </c>
      <c r="R428" s="2" t="inlineStr"/>
    </row>
    <row r="429" ht="15" customHeight="1">
      <c r="A429" t="inlineStr">
        <is>
          <t>A 2674-2023</t>
        </is>
      </c>
      <c r="B429" s="1" t="n">
        <v>44944</v>
      </c>
      <c r="C429" s="1" t="n">
        <v>46052</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40373-2025</t>
        </is>
      </c>
      <c r="B430" s="1" t="n">
        <v>45895.51821759259</v>
      </c>
      <c r="C430" s="1" t="n">
        <v>46052</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61100-2022</t>
        </is>
      </c>
      <c r="B431" s="1" t="n">
        <v>44915</v>
      </c>
      <c r="C431" s="1" t="n">
        <v>46052</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46052</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46052</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32669-2024</t>
        </is>
      </c>
      <c r="B434" s="1" t="n">
        <v>45514</v>
      </c>
      <c r="C434" s="1" t="n">
        <v>46052</v>
      </c>
      <c r="D434" t="inlineStr">
        <is>
          <t>GOTLANDS LÄN</t>
        </is>
      </c>
      <c r="E434" t="inlineStr">
        <is>
          <t>GOTLAND</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35537-2025</t>
        </is>
      </c>
      <c r="B435" s="1" t="n">
        <v>45856</v>
      </c>
      <c r="C435" s="1" t="n">
        <v>46052</v>
      </c>
      <c r="D435" t="inlineStr">
        <is>
          <t>GOTLANDS LÄN</t>
        </is>
      </c>
      <c r="E435" t="inlineStr">
        <is>
          <t>GOTLAND</t>
        </is>
      </c>
      <c r="G435" t="n">
        <v>16.8</v>
      </c>
      <c r="H435" t="n">
        <v>0</v>
      </c>
      <c r="I435" t="n">
        <v>0</v>
      </c>
      <c r="J435" t="n">
        <v>0</v>
      </c>
      <c r="K435" t="n">
        <v>0</v>
      </c>
      <c r="L435" t="n">
        <v>0</v>
      </c>
      <c r="M435" t="n">
        <v>0</v>
      </c>
      <c r="N435" t="n">
        <v>0</v>
      </c>
      <c r="O435" t="n">
        <v>0</v>
      </c>
      <c r="P435" t="n">
        <v>0</v>
      </c>
      <c r="Q435" t="n">
        <v>0</v>
      </c>
      <c r="R435" s="2" t="inlineStr"/>
    </row>
    <row r="436" ht="15" customHeight="1">
      <c r="A436" t="inlineStr">
        <is>
          <t>A 581-2023</t>
        </is>
      </c>
      <c r="B436" s="1" t="n">
        <v>44930</v>
      </c>
      <c r="C436" s="1" t="n">
        <v>46052</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10655-2023</t>
        </is>
      </c>
      <c r="B437" s="1" t="n">
        <v>44988.49543981482</v>
      </c>
      <c r="C437" s="1" t="n">
        <v>46052</v>
      </c>
      <c r="D437" t="inlineStr">
        <is>
          <t>GOTLANDS LÄN</t>
        </is>
      </c>
      <c r="E437" t="inlineStr">
        <is>
          <t>GOTLAND</t>
        </is>
      </c>
      <c r="F437" t="inlineStr">
        <is>
          <t>Kyrkan</t>
        </is>
      </c>
      <c r="G437" t="n">
        <v>2</v>
      </c>
      <c r="H437" t="n">
        <v>0</v>
      </c>
      <c r="I437" t="n">
        <v>0</v>
      </c>
      <c r="J437" t="n">
        <v>0</v>
      </c>
      <c r="K437" t="n">
        <v>0</v>
      </c>
      <c r="L437" t="n">
        <v>0</v>
      </c>
      <c r="M437" t="n">
        <v>0</v>
      </c>
      <c r="N437" t="n">
        <v>0</v>
      </c>
      <c r="O437" t="n">
        <v>0</v>
      </c>
      <c r="P437" t="n">
        <v>0</v>
      </c>
      <c r="Q437" t="n">
        <v>0</v>
      </c>
      <c r="R437" s="2" t="inlineStr"/>
    </row>
    <row r="438" ht="15" customHeight="1">
      <c r="A438" t="inlineStr">
        <is>
          <t>A 40103-2025</t>
        </is>
      </c>
      <c r="B438" s="1" t="n">
        <v>45894.4880324074</v>
      </c>
      <c r="C438" s="1" t="n">
        <v>46052</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10746-2025</t>
        </is>
      </c>
      <c r="B439" s="1" t="n">
        <v>45722.42766203704</v>
      </c>
      <c r="C439" s="1" t="n">
        <v>46052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44649-2021</t>
        </is>
      </c>
      <c r="B440" s="1" t="n">
        <v>44437</v>
      </c>
      <c r="C440" s="1" t="n">
        <v>46052</v>
      </c>
      <c r="D440" t="inlineStr">
        <is>
          <t>GOTLANDS LÄN</t>
        </is>
      </c>
      <c r="E440" t="inlineStr">
        <is>
          <t>GOTLAND</t>
        </is>
      </c>
      <c r="G440" t="n">
        <v>8.1</v>
      </c>
      <c r="H440" t="n">
        <v>0</v>
      </c>
      <c r="I440" t="n">
        <v>0</v>
      </c>
      <c r="J440" t="n">
        <v>0</v>
      </c>
      <c r="K440" t="n">
        <v>0</v>
      </c>
      <c r="L440" t="n">
        <v>0</v>
      </c>
      <c r="M440" t="n">
        <v>0</v>
      </c>
      <c r="N440" t="n">
        <v>0</v>
      </c>
      <c r="O440" t="n">
        <v>0</v>
      </c>
      <c r="P440" t="n">
        <v>0</v>
      </c>
      <c r="Q440" t="n">
        <v>0</v>
      </c>
      <c r="R440" s="2" t="inlineStr"/>
    </row>
    <row r="441" ht="15" customHeight="1">
      <c r="A441" t="inlineStr">
        <is>
          <t>A 8484-2025</t>
        </is>
      </c>
      <c r="B441" s="1" t="n">
        <v>45709</v>
      </c>
      <c r="C441" s="1" t="n">
        <v>46052</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30488-2025</t>
        </is>
      </c>
      <c r="B442" s="1" t="n">
        <v>45830</v>
      </c>
      <c r="C442" s="1" t="n">
        <v>46052</v>
      </c>
      <c r="D442" t="inlineStr">
        <is>
          <t>GOTLANDS LÄN</t>
        </is>
      </c>
      <c r="E442" t="inlineStr">
        <is>
          <t>GOTLAND</t>
        </is>
      </c>
      <c r="F442" t="inlineStr">
        <is>
          <t>Kyrkan</t>
        </is>
      </c>
      <c r="G442" t="n">
        <v>3.9</v>
      </c>
      <c r="H442" t="n">
        <v>0</v>
      </c>
      <c r="I442" t="n">
        <v>0</v>
      </c>
      <c r="J442" t="n">
        <v>0</v>
      </c>
      <c r="K442" t="n">
        <v>0</v>
      </c>
      <c r="L442" t="n">
        <v>0</v>
      </c>
      <c r="M442" t="n">
        <v>0</v>
      </c>
      <c r="N442" t="n">
        <v>0</v>
      </c>
      <c r="O442" t="n">
        <v>0</v>
      </c>
      <c r="P442" t="n">
        <v>0</v>
      </c>
      <c r="Q442" t="n">
        <v>0</v>
      </c>
      <c r="R442" s="2" t="inlineStr"/>
    </row>
    <row r="443" ht="15" customHeight="1">
      <c r="A443" t="inlineStr">
        <is>
          <t>A 15216-2025</t>
        </is>
      </c>
      <c r="B443" s="1" t="n">
        <v>45744</v>
      </c>
      <c r="C443" s="1" t="n">
        <v>46052</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40499-2025</t>
        </is>
      </c>
      <c r="B444" s="1" t="n">
        <v>45896.32517361111</v>
      </c>
      <c r="C444" s="1" t="n">
        <v>46052</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15001-2025</t>
        </is>
      </c>
      <c r="B445" s="1" t="n">
        <v>45743</v>
      </c>
      <c r="C445" s="1" t="n">
        <v>46052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43790-2024</t>
        </is>
      </c>
      <c r="B446" s="1" t="n">
        <v>45571</v>
      </c>
      <c r="C446" s="1" t="n">
        <v>46052</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17847-2025</t>
        </is>
      </c>
      <c r="B447" s="1" t="n">
        <v>45758</v>
      </c>
      <c r="C447" s="1" t="n">
        <v>46052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18742-2025</t>
        </is>
      </c>
      <c r="B448" s="1" t="n">
        <v>45763</v>
      </c>
      <c r="C448" s="1" t="n">
        <v>46052</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35129-2025</t>
        </is>
      </c>
      <c r="B449" s="1" t="n">
        <v>45852.63224537037</v>
      </c>
      <c r="C449" s="1" t="n">
        <v>46052</v>
      </c>
      <c r="D449" t="inlineStr">
        <is>
          <t>GOTLANDS LÄN</t>
        </is>
      </c>
      <c r="E449" t="inlineStr">
        <is>
          <t>GOTLAND</t>
        </is>
      </c>
      <c r="G449" t="n">
        <v>3.2</v>
      </c>
      <c r="H449" t="n">
        <v>0</v>
      </c>
      <c r="I449" t="n">
        <v>0</v>
      </c>
      <c r="J449" t="n">
        <v>0</v>
      </c>
      <c r="K449" t="n">
        <v>0</v>
      </c>
      <c r="L449" t="n">
        <v>0</v>
      </c>
      <c r="M449" t="n">
        <v>0</v>
      </c>
      <c r="N449" t="n">
        <v>0</v>
      </c>
      <c r="O449" t="n">
        <v>0</v>
      </c>
      <c r="P449" t="n">
        <v>0</v>
      </c>
      <c r="Q449" t="n">
        <v>0</v>
      </c>
      <c r="R449" s="2" t="inlineStr"/>
    </row>
    <row r="450" ht="15" customHeight="1">
      <c r="A450" t="inlineStr">
        <is>
          <t>A 43229-2023</t>
        </is>
      </c>
      <c r="B450" s="1" t="n">
        <v>45183.46704861111</v>
      </c>
      <c r="C450" s="1" t="n">
        <v>46052</v>
      </c>
      <c r="D450" t="inlineStr">
        <is>
          <t>GOTLANDS LÄN</t>
        </is>
      </c>
      <c r="E450" t="inlineStr">
        <is>
          <t>GOTLAND</t>
        </is>
      </c>
      <c r="G450" t="n">
        <v>7.1</v>
      </c>
      <c r="H450" t="n">
        <v>0</v>
      </c>
      <c r="I450" t="n">
        <v>0</v>
      </c>
      <c r="J450" t="n">
        <v>0</v>
      </c>
      <c r="K450" t="n">
        <v>0</v>
      </c>
      <c r="L450" t="n">
        <v>0</v>
      </c>
      <c r="M450" t="n">
        <v>0</v>
      </c>
      <c r="N450" t="n">
        <v>0</v>
      </c>
      <c r="O450" t="n">
        <v>0</v>
      </c>
      <c r="P450" t="n">
        <v>0</v>
      </c>
      <c r="Q450" t="n">
        <v>0</v>
      </c>
      <c r="R450" s="2" t="inlineStr"/>
    </row>
    <row r="451" ht="15" customHeight="1">
      <c r="A451" t="inlineStr">
        <is>
          <t>A 41038-2023</t>
        </is>
      </c>
      <c r="B451" s="1" t="n">
        <v>45173.60959490741</v>
      </c>
      <c r="C451" s="1" t="n">
        <v>46052</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41551-2025</t>
        </is>
      </c>
      <c r="B452" s="1" t="n">
        <v>45901.58854166666</v>
      </c>
      <c r="C452" s="1" t="n">
        <v>46052</v>
      </c>
      <c r="D452" t="inlineStr">
        <is>
          <t>GOTLANDS LÄN</t>
        </is>
      </c>
      <c r="E452" t="inlineStr">
        <is>
          <t>GOTLAND</t>
        </is>
      </c>
      <c r="G452" t="n">
        <v>5.6</v>
      </c>
      <c r="H452" t="n">
        <v>0</v>
      </c>
      <c r="I452" t="n">
        <v>0</v>
      </c>
      <c r="J452" t="n">
        <v>0</v>
      </c>
      <c r="K452" t="n">
        <v>0</v>
      </c>
      <c r="L452" t="n">
        <v>0</v>
      </c>
      <c r="M452" t="n">
        <v>0</v>
      </c>
      <c r="N452" t="n">
        <v>0</v>
      </c>
      <c r="O452" t="n">
        <v>0</v>
      </c>
      <c r="P452" t="n">
        <v>0</v>
      </c>
      <c r="Q452" t="n">
        <v>0</v>
      </c>
      <c r="R452" s="2" t="inlineStr"/>
    </row>
    <row r="453" ht="15" customHeight="1">
      <c r="A453" t="inlineStr">
        <is>
          <t>A 49962-2023</t>
        </is>
      </c>
      <c r="B453" s="1" t="n">
        <v>45215.38775462963</v>
      </c>
      <c r="C453" s="1" t="n">
        <v>46052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50744-2024</t>
        </is>
      </c>
      <c r="B454" s="1" t="n">
        <v>45602.4187037037</v>
      </c>
      <c r="C454" s="1" t="n">
        <v>46052</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45244-2024</t>
        </is>
      </c>
      <c r="B455" s="1" t="n">
        <v>45576</v>
      </c>
      <c r="C455" s="1" t="n">
        <v>46052</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38787-2023</t>
        </is>
      </c>
      <c r="B456" s="1" t="n">
        <v>45163</v>
      </c>
      <c r="C456" s="1" t="n">
        <v>46052</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39278-2025</t>
        </is>
      </c>
      <c r="B457" s="1" t="n">
        <v>45889</v>
      </c>
      <c r="C457" s="1" t="n">
        <v>46052</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24966-2023</t>
        </is>
      </c>
      <c r="B458" s="1" t="n">
        <v>45085</v>
      </c>
      <c r="C458" s="1" t="n">
        <v>46052</v>
      </c>
      <c r="D458" t="inlineStr">
        <is>
          <t>GOTLANDS LÄN</t>
        </is>
      </c>
      <c r="E458" t="inlineStr">
        <is>
          <t>GOTLAND</t>
        </is>
      </c>
      <c r="G458" t="n">
        <v>7</v>
      </c>
      <c r="H458" t="n">
        <v>0</v>
      </c>
      <c r="I458" t="n">
        <v>0</v>
      </c>
      <c r="J458" t="n">
        <v>0</v>
      </c>
      <c r="K458" t="n">
        <v>0</v>
      </c>
      <c r="L458" t="n">
        <v>0</v>
      </c>
      <c r="M458" t="n">
        <v>0</v>
      </c>
      <c r="N458" t="n">
        <v>0</v>
      </c>
      <c r="O458" t="n">
        <v>0</v>
      </c>
      <c r="P458" t="n">
        <v>0</v>
      </c>
      <c r="Q458" t="n">
        <v>0</v>
      </c>
      <c r="R458" s="2" t="inlineStr"/>
    </row>
    <row r="459" ht="15" customHeight="1">
      <c r="A459" t="inlineStr">
        <is>
          <t>A 57652-2023</t>
        </is>
      </c>
      <c r="B459" s="1" t="n">
        <v>45246</v>
      </c>
      <c r="C459" s="1" t="n">
        <v>46052</v>
      </c>
      <c r="D459" t="inlineStr">
        <is>
          <t>GOTLANDS LÄN</t>
        </is>
      </c>
      <c r="E459" t="inlineStr">
        <is>
          <t>GOTLAND</t>
        </is>
      </c>
      <c r="G459" t="n">
        <v>7.2</v>
      </c>
      <c r="H459" t="n">
        <v>0</v>
      </c>
      <c r="I459" t="n">
        <v>0</v>
      </c>
      <c r="J459" t="n">
        <v>0</v>
      </c>
      <c r="K459" t="n">
        <v>0</v>
      </c>
      <c r="L459" t="n">
        <v>0</v>
      </c>
      <c r="M459" t="n">
        <v>0</v>
      </c>
      <c r="N459" t="n">
        <v>0</v>
      </c>
      <c r="O459" t="n">
        <v>0</v>
      </c>
      <c r="P459" t="n">
        <v>0</v>
      </c>
      <c r="Q459" t="n">
        <v>0</v>
      </c>
      <c r="R459" s="2" t="inlineStr"/>
    </row>
    <row r="460" ht="15" customHeight="1">
      <c r="A460" t="inlineStr">
        <is>
          <t>A 46189-2022</t>
        </is>
      </c>
      <c r="B460" s="1" t="n">
        <v>44847</v>
      </c>
      <c r="C460" s="1" t="n">
        <v>46052</v>
      </c>
      <c r="D460" t="inlineStr">
        <is>
          <t>GOTLANDS LÄN</t>
        </is>
      </c>
      <c r="E460" t="inlineStr">
        <is>
          <t>GOTLAND</t>
        </is>
      </c>
      <c r="G460" t="n">
        <v>0.4</v>
      </c>
      <c r="H460" t="n">
        <v>0</v>
      </c>
      <c r="I460" t="n">
        <v>0</v>
      </c>
      <c r="J460" t="n">
        <v>0</v>
      </c>
      <c r="K460" t="n">
        <v>0</v>
      </c>
      <c r="L460" t="n">
        <v>0</v>
      </c>
      <c r="M460" t="n">
        <v>0</v>
      </c>
      <c r="N460" t="n">
        <v>0</v>
      </c>
      <c r="O460" t="n">
        <v>0</v>
      </c>
      <c r="P460" t="n">
        <v>0</v>
      </c>
      <c r="Q460" t="n">
        <v>0</v>
      </c>
      <c r="R460" s="2" t="inlineStr"/>
    </row>
    <row r="461" ht="15" customHeight="1">
      <c r="A461" t="inlineStr">
        <is>
          <t>A 30489-2025</t>
        </is>
      </c>
      <c r="B461" s="1" t="n">
        <v>45830</v>
      </c>
      <c r="C461" s="1" t="n">
        <v>46052</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21142-2025</t>
        </is>
      </c>
      <c r="B462" s="1" t="n">
        <v>45779</v>
      </c>
      <c r="C462" s="1" t="n">
        <v>46052</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2714-2023</t>
        </is>
      </c>
      <c r="B463" s="1" t="n">
        <v>44944.54896990741</v>
      </c>
      <c r="C463" s="1" t="n">
        <v>46052</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6108-2025</t>
        </is>
      </c>
      <c r="B464" s="1" t="n">
        <v>45698.29880787037</v>
      </c>
      <c r="C464" s="1" t="n">
        <v>46052</v>
      </c>
      <c r="D464" t="inlineStr">
        <is>
          <t>GOTLANDS LÄN</t>
        </is>
      </c>
      <c r="E464" t="inlineStr">
        <is>
          <t>GOTLAND</t>
        </is>
      </c>
      <c r="G464" t="n">
        <v>2.8</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46052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57522-2022</t>
        </is>
      </c>
      <c r="B466" s="1" t="n">
        <v>44896</v>
      </c>
      <c r="C466" s="1" t="n">
        <v>46052</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4568-2025</t>
        </is>
      </c>
      <c r="B467" s="1" t="n">
        <v>45687</v>
      </c>
      <c r="C467" s="1" t="n">
        <v>46052</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14797-2024</t>
        </is>
      </c>
      <c r="B468" s="1" t="n">
        <v>45397.87030092593</v>
      </c>
      <c r="C468" s="1" t="n">
        <v>46052</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17343-2025</t>
        </is>
      </c>
      <c r="B469" s="1" t="n">
        <v>45756.6687037037</v>
      </c>
      <c r="C469" s="1" t="n">
        <v>46052</v>
      </c>
      <c r="D469" t="inlineStr">
        <is>
          <t>GOTLANDS LÄN</t>
        </is>
      </c>
      <c r="E469" t="inlineStr">
        <is>
          <t>GOTLAND</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1681-2023</t>
        </is>
      </c>
      <c r="B470" s="1" t="n">
        <v>44938.39715277778</v>
      </c>
      <c r="C470" s="1" t="n">
        <v>46052</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18938-2025</t>
        </is>
      </c>
      <c r="B471" s="1" t="n">
        <v>45764.49172453704</v>
      </c>
      <c r="C471" s="1" t="n">
        <v>46052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46052</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41435-2025</t>
        </is>
      </c>
      <c r="B473" s="1" t="n">
        <v>45901.39974537037</v>
      </c>
      <c r="C473" s="1" t="n">
        <v>46052</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42338-2023</t>
        </is>
      </c>
      <c r="B474" s="1" t="n">
        <v>45180</v>
      </c>
      <c r="C474" s="1" t="n">
        <v>46052</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18918-2025</t>
        </is>
      </c>
      <c r="B475" s="1" t="n">
        <v>45764</v>
      </c>
      <c r="C475" s="1" t="n">
        <v>46052</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11013-2024</t>
        </is>
      </c>
      <c r="B476" s="1" t="n">
        <v>45370</v>
      </c>
      <c r="C476" s="1" t="n">
        <v>46052</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7837-2024</t>
        </is>
      </c>
      <c r="B477" s="1" t="n">
        <v>45349.83787037037</v>
      </c>
      <c r="C477" s="1" t="n">
        <v>46052</v>
      </c>
      <c r="D477" t="inlineStr">
        <is>
          <t>GOTLANDS LÄN</t>
        </is>
      </c>
      <c r="E477" t="inlineStr">
        <is>
          <t>GOTLAND</t>
        </is>
      </c>
      <c r="G477" t="n">
        <v>5</v>
      </c>
      <c r="H477" t="n">
        <v>0</v>
      </c>
      <c r="I477" t="n">
        <v>0</v>
      </c>
      <c r="J477" t="n">
        <v>0</v>
      </c>
      <c r="K477" t="n">
        <v>0</v>
      </c>
      <c r="L477" t="n">
        <v>0</v>
      </c>
      <c r="M477" t="n">
        <v>0</v>
      </c>
      <c r="N477" t="n">
        <v>0</v>
      </c>
      <c r="O477" t="n">
        <v>0</v>
      </c>
      <c r="P477" t="n">
        <v>0</v>
      </c>
      <c r="Q477" t="n">
        <v>0</v>
      </c>
      <c r="R477" s="2" t="inlineStr"/>
    </row>
    <row r="478" ht="15" customHeight="1">
      <c r="A478" t="inlineStr">
        <is>
          <t>A 45084-2024</t>
        </is>
      </c>
      <c r="B478" s="1" t="n">
        <v>45575</v>
      </c>
      <c r="C478" s="1" t="n">
        <v>46052</v>
      </c>
      <c r="D478" t="inlineStr">
        <is>
          <t>GOTLANDS LÄN</t>
        </is>
      </c>
      <c r="E478" t="inlineStr">
        <is>
          <t>GOTLAND</t>
        </is>
      </c>
      <c r="G478" t="n">
        <v>6.8</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46052</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4868-2024</t>
        </is>
      </c>
      <c r="B480" s="1" t="n">
        <v>45329</v>
      </c>
      <c r="C480" s="1" t="n">
        <v>46052</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1394-2023</t>
        </is>
      </c>
      <c r="B481" s="1" t="n">
        <v>44936.72997685185</v>
      </c>
      <c r="C481" s="1" t="n">
        <v>46052</v>
      </c>
      <c r="D481" t="inlineStr">
        <is>
          <t>GOTLANDS LÄN</t>
        </is>
      </c>
      <c r="E481" t="inlineStr">
        <is>
          <t>GOTLAND</t>
        </is>
      </c>
      <c r="G481" t="n">
        <v>2.1</v>
      </c>
      <c r="H481" t="n">
        <v>0</v>
      </c>
      <c r="I481" t="n">
        <v>0</v>
      </c>
      <c r="J481" t="n">
        <v>0</v>
      </c>
      <c r="K481" t="n">
        <v>0</v>
      </c>
      <c r="L481" t="n">
        <v>0</v>
      </c>
      <c r="M481" t="n">
        <v>0</v>
      </c>
      <c r="N481" t="n">
        <v>0</v>
      </c>
      <c r="O481" t="n">
        <v>0</v>
      </c>
      <c r="P481" t="n">
        <v>0</v>
      </c>
      <c r="Q481" t="n">
        <v>0</v>
      </c>
      <c r="R481" s="2" t="inlineStr"/>
    </row>
    <row r="482" ht="15" customHeight="1">
      <c r="A482" t="inlineStr">
        <is>
          <t>A 9613-2025</t>
        </is>
      </c>
      <c r="B482" s="1" t="n">
        <v>45715</v>
      </c>
      <c r="C482" s="1" t="n">
        <v>46052</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2676-2023</t>
        </is>
      </c>
      <c r="B483" s="1" t="n">
        <v>44944</v>
      </c>
      <c r="C483" s="1" t="n">
        <v>46052</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4387-2023</t>
        </is>
      </c>
      <c r="B484" s="1" t="n">
        <v>44955.73359953704</v>
      </c>
      <c r="C484" s="1" t="n">
        <v>46052</v>
      </c>
      <c r="D484" t="inlineStr">
        <is>
          <t>GOTLANDS LÄN</t>
        </is>
      </c>
      <c r="E484" t="inlineStr">
        <is>
          <t>GOTLAND</t>
        </is>
      </c>
      <c r="G484" t="n">
        <v>1.9</v>
      </c>
      <c r="H484" t="n">
        <v>0</v>
      </c>
      <c r="I484" t="n">
        <v>0</v>
      </c>
      <c r="J484" t="n">
        <v>0</v>
      </c>
      <c r="K484" t="n">
        <v>0</v>
      </c>
      <c r="L484" t="n">
        <v>0</v>
      </c>
      <c r="M484" t="n">
        <v>0</v>
      </c>
      <c r="N484" t="n">
        <v>0</v>
      </c>
      <c r="O484" t="n">
        <v>0</v>
      </c>
      <c r="P484" t="n">
        <v>0</v>
      </c>
      <c r="Q484" t="n">
        <v>0</v>
      </c>
      <c r="R484" s="2" t="inlineStr"/>
    </row>
    <row r="485" ht="15" customHeight="1">
      <c r="A485" t="inlineStr">
        <is>
          <t>A 18993-2025</t>
        </is>
      </c>
      <c r="B485" s="1" t="n">
        <v>45764</v>
      </c>
      <c r="C485" s="1" t="n">
        <v>46052</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30135-2025</t>
        </is>
      </c>
      <c r="B486" s="1" t="n">
        <v>45826</v>
      </c>
      <c r="C486" s="1" t="n">
        <v>46052</v>
      </c>
      <c r="D486" t="inlineStr">
        <is>
          <t>GOTLANDS LÄN</t>
        </is>
      </c>
      <c r="E486" t="inlineStr">
        <is>
          <t>GOTLAND</t>
        </is>
      </c>
      <c r="G486" t="n">
        <v>2.7</v>
      </c>
      <c r="H486" t="n">
        <v>0</v>
      </c>
      <c r="I486" t="n">
        <v>0</v>
      </c>
      <c r="J486" t="n">
        <v>0</v>
      </c>
      <c r="K486" t="n">
        <v>0</v>
      </c>
      <c r="L486" t="n">
        <v>0</v>
      </c>
      <c r="M486" t="n">
        <v>0</v>
      </c>
      <c r="N486" t="n">
        <v>0</v>
      </c>
      <c r="O486" t="n">
        <v>0</v>
      </c>
      <c r="P486" t="n">
        <v>0</v>
      </c>
      <c r="Q486" t="n">
        <v>0</v>
      </c>
      <c r="R486" s="2" t="inlineStr"/>
    </row>
    <row r="487" ht="15" customHeight="1">
      <c r="A487" t="inlineStr">
        <is>
          <t>A 49411-2023</t>
        </is>
      </c>
      <c r="B487" s="1" t="n">
        <v>45205</v>
      </c>
      <c r="C487" s="1" t="n">
        <v>46052</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37728-2024</t>
        </is>
      </c>
      <c r="B488" s="1" t="n">
        <v>45541</v>
      </c>
      <c r="C488" s="1" t="n">
        <v>46052</v>
      </c>
      <c r="D488" t="inlineStr">
        <is>
          <t>GOTLANDS LÄN</t>
        </is>
      </c>
      <c r="E488" t="inlineStr">
        <is>
          <t>GOTLAND</t>
        </is>
      </c>
      <c r="G488" t="n">
        <v>0.4</v>
      </c>
      <c r="H488" t="n">
        <v>0</v>
      </c>
      <c r="I488" t="n">
        <v>0</v>
      </c>
      <c r="J488" t="n">
        <v>0</v>
      </c>
      <c r="K488" t="n">
        <v>0</v>
      </c>
      <c r="L488" t="n">
        <v>0</v>
      </c>
      <c r="M488" t="n">
        <v>0</v>
      </c>
      <c r="N488" t="n">
        <v>0</v>
      </c>
      <c r="O488" t="n">
        <v>0</v>
      </c>
      <c r="P488" t="n">
        <v>0</v>
      </c>
      <c r="Q488" t="n">
        <v>0</v>
      </c>
      <c r="R488" s="2" t="inlineStr"/>
    </row>
    <row r="489" ht="15" customHeight="1">
      <c r="A489" t="inlineStr">
        <is>
          <t>A 5386-2023</t>
        </is>
      </c>
      <c r="B489" s="1" t="n">
        <v>44959</v>
      </c>
      <c r="C489" s="1" t="n">
        <v>46052</v>
      </c>
      <c r="D489" t="inlineStr">
        <is>
          <t>GOTLANDS LÄN</t>
        </is>
      </c>
      <c r="E489" t="inlineStr">
        <is>
          <t>GOTLAND</t>
        </is>
      </c>
      <c r="G489" t="n">
        <v>5.4</v>
      </c>
      <c r="H489" t="n">
        <v>0</v>
      </c>
      <c r="I489" t="n">
        <v>0</v>
      </c>
      <c r="J489" t="n">
        <v>0</v>
      </c>
      <c r="K489" t="n">
        <v>0</v>
      </c>
      <c r="L489" t="n">
        <v>0</v>
      </c>
      <c r="M489" t="n">
        <v>0</v>
      </c>
      <c r="N489" t="n">
        <v>0</v>
      </c>
      <c r="O489" t="n">
        <v>0</v>
      </c>
      <c r="P489" t="n">
        <v>0</v>
      </c>
      <c r="Q489" t="n">
        <v>0</v>
      </c>
      <c r="R489" s="2" t="inlineStr"/>
    </row>
    <row r="490" ht="15" customHeight="1">
      <c r="A490" t="inlineStr">
        <is>
          <t>A 2241-2025</t>
        </is>
      </c>
      <c r="B490" s="1" t="n">
        <v>45673.48710648148</v>
      </c>
      <c r="C490" s="1" t="n">
        <v>46052</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58211-2024</t>
        </is>
      </c>
      <c r="B491" s="1" t="n">
        <v>45632.49292824074</v>
      </c>
      <c r="C491" s="1" t="n">
        <v>46052</v>
      </c>
      <c r="D491" t="inlineStr">
        <is>
          <t>GOTLANDS LÄN</t>
        </is>
      </c>
      <c r="E491" t="inlineStr">
        <is>
          <t>GOTLAND</t>
        </is>
      </c>
      <c r="G491" t="n">
        <v>5.4</v>
      </c>
      <c r="H491" t="n">
        <v>0</v>
      </c>
      <c r="I491" t="n">
        <v>0</v>
      </c>
      <c r="J491" t="n">
        <v>0</v>
      </c>
      <c r="K491" t="n">
        <v>0</v>
      </c>
      <c r="L491" t="n">
        <v>0</v>
      </c>
      <c r="M491" t="n">
        <v>0</v>
      </c>
      <c r="N491" t="n">
        <v>0</v>
      </c>
      <c r="O491" t="n">
        <v>0</v>
      </c>
      <c r="P491" t="n">
        <v>0</v>
      </c>
      <c r="Q491" t="n">
        <v>0</v>
      </c>
      <c r="R491" s="2" t="inlineStr"/>
    </row>
    <row r="492" ht="15" customHeight="1">
      <c r="A492" t="inlineStr">
        <is>
          <t>A 42608-2025</t>
        </is>
      </c>
      <c r="B492" s="1" t="n">
        <v>45905</v>
      </c>
      <c r="C492" s="1" t="n">
        <v>46052</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16373-2025</t>
        </is>
      </c>
      <c r="B493" s="1" t="n">
        <v>45751</v>
      </c>
      <c r="C493" s="1" t="n">
        <v>46052</v>
      </c>
      <c r="D493" t="inlineStr">
        <is>
          <t>GOTLANDS LÄN</t>
        </is>
      </c>
      <c r="E493" t="inlineStr">
        <is>
          <t>GOTLAND</t>
        </is>
      </c>
      <c r="G493" t="n">
        <v>1.5</v>
      </c>
      <c r="H493" t="n">
        <v>0</v>
      </c>
      <c r="I493" t="n">
        <v>0</v>
      </c>
      <c r="J493" t="n">
        <v>0</v>
      </c>
      <c r="K493" t="n">
        <v>0</v>
      </c>
      <c r="L493" t="n">
        <v>0</v>
      </c>
      <c r="M493" t="n">
        <v>0</v>
      </c>
      <c r="N493" t="n">
        <v>0</v>
      </c>
      <c r="O493" t="n">
        <v>0</v>
      </c>
      <c r="P493" t="n">
        <v>0</v>
      </c>
      <c r="Q493" t="n">
        <v>0</v>
      </c>
      <c r="R493" s="2" t="inlineStr"/>
    </row>
    <row r="494" ht="15" customHeight="1">
      <c r="A494" t="inlineStr">
        <is>
          <t>A 11634-2024</t>
        </is>
      </c>
      <c r="B494" s="1" t="n">
        <v>45373</v>
      </c>
      <c r="C494" s="1" t="n">
        <v>46052</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5884-2025</t>
        </is>
      </c>
      <c r="B495" s="1" t="n">
        <v>45695.37482638889</v>
      </c>
      <c r="C495" s="1" t="n">
        <v>46052</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5897-2025</t>
        </is>
      </c>
      <c r="B496" s="1" t="n">
        <v>45695.39273148148</v>
      </c>
      <c r="C496" s="1" t="n">
        <v>46052</v>
      </c>
      <c r="D496" t="inlineStr">
        <is>
          <t>GOTLANDS LÄN</t>
        </is>
      </c>
      <c r="E496" t="inlineStr">
        <is>
          <t>GOTLAND</t>
        </is>
      </c>
      <c r="G496" t="n">
        <v>3.7</v>
      </c>
      <c r="H496" t="n">
        <v>0</v>
      </c>
      <c r="I496" t="n">
        <v>0</v>
      </c>
      <c r="J496" t="n">
        <v>0</v>
      </c>
      <c r="K496" t="n">
        <v>0</v>
      </c>
      <c r="L496" t="n">
        <v>0</v>
      </c>
      <c r="M496" t="n">
        <v>0</v>
      </c>
      <c r="N496" t="n">
        <v>0</v>
      </c>
      <c r="O496" t="n">
        <v>0</v>
      </c>
      <c r="P496" t="n">
        <v>0</v>
      </c>
      <c r="Q496" t="n">
        <v>0</v>
      </c>
      <c r="R496" s="2" t="inlineStr"/>
    </row>
    <row r="497" ht="15" customHeight="1">
      <c r="A497" t="inlineStr">
        <is>
          <t>A 5909-2025</t>
        </is>
      </c>
      <c r="B497" s="1" t="n">
        <v>45695.40634259259</v>
      </c>
      <c r="C497" s="1" t="n">
        <v>46052</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22275-2023</t>
        </is>
      </c>
      <c r="B498" s="1" t="n">
        <v>45070.39875</v>
      </c>
      <c r="C498" s="1" t="n">
        <v>46052</v>
      </c>
      <c r="D498" t="inlineStr">
        <is>
          <t>GOTLANDS LÄN</t>
        </is>
      </c>
      <c r="E498" t="inlineStr">
        <is>
          <t>GOTLAND</t>
        </is>
      </c>
      <c r="G498" t="n">
        <v>7.2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46052</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14635-2023</t>
        </is>
      </c>
      <c r="B500" s="1" t="n">
        <v>45013.69365740741</v>
      </c>
      <c r="C500" s="1" t="n">
        <v>46052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63763-2023</t>
        </is>
      </c>
      <c r="B501" s="1" t="n">
        <v>45278.33944444444</v>
      </c>
      <c r="C501" s="1" t="n">
        <v>46052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22704-2023</t>
        </is>
      </c>
      <c r="B502" s="1" t="n">
        <v>45071</v>
      </c>
      <c r="C502" s="1" t="n">
        <v>46052</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7635-2025</t>
        </is>
      </c>
      <c r="B503" s="1" t="n">
        <v>45705</v>
      </c>
      <c r="C503" s="1" t="n">
        <v>46052</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7636-2025</t>
        </is>
      </c>
      <c r="B504" s="1" t="n">
        <v>45705.7687962963</v>
      </c>
      <c r="C504" s="1" t="n">
        <v>46052</v>
      </c>
      <c r="D504" t="inlineStr">
        <is>
          <t>GOTLANDS LÄN</t>
        </is>
      </c>
      <c r="E504" t="inlineStr">
        <is>
          <t>GOTLAND</t>
        </is>
      </c>
      <c r="G504" t="n">
        <v>0.6</v>
      </c>
      <c r="H504" t="n">
        <v>0</v>
      </c>
      <c r="I504" t="n">
        <v>0</v>
      </c>
      <c r="J504" t="n">
        <v>0</v>
      </c>
      <c r="K504" t="n">
        <v>0</v>
      </c>
      <c r="L504" t="n">
        <v>0</v>
      </c>
      <c r="M504" t="n">
        <v>0</v>
      </c>
      <c r="N504" t="n">
        <v>0</v>
      </c>
      <c r="O504" t="n">
        <v>0</v>
      </c>
      <c r="P504" t="n">
        <v>0</v>
      </c>
      <c r="Q504" t="n">
        <v>0</v>
      </c>
      <c r="R504" s="2" t="inlineStr"/>
    </row>
    <row r="505" ht="15" customHeight="1">
      <c r="A505" t="inlineStr">
        <is>
          <t>A 7639-2025</t>
        </is>
      </c>
      <c r="B505" s="1" t="n">
        <v>45705.77465277778</v>
      </c>
      <c r="C505" s="1" t="n">
        <v>46052</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61682-2024</t>
        </is>
      </c>
      <c r="B506" s="1" t="n">
        <v>45647.48824074074</v>
      </c>
      <c r="C506" s="1" t="n">
        <v>46052</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15434-2024</t>
        </is>
      </c>
      <c r="B507" s="1" t="n">
        <v>45401.38836805556</v>
      </c>
      <c r="C507" s="1" t="n">
        <v>46052</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10158-2025</t>
        </is>
      </c>
      <c r="B508" s="1" t="n">
        <v>45719</v>
      </c>
      <c r="C508" s="1" t="n">
        <v>46052</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7034-2023</t>
        </is>
      </c>
      <c r="B509" s="1" t="n">
        <v>44968.32108796296</v>
      </c>
      <c r="C509" s="1" t="n">
        <v>46052</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7042-2023</t>
        </is>
      </c>
      <c r="B510" s="1" t="n">
        <v>44968</v>
      </c>
      <c r="C510" s="1" t="n">
        <v>46052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2180-2025</t>
        </is>
      </c>
      <c r="B511" s="1" t="n">
        <v>45673</v>
      </c>
      <c r="C511" s="1" t="n">
        <v>46052</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43911-2025</t>
        </is>
      </c>
      <c r="B512" s="1" t="n">
        <v>45914.3881712963</v>
      </c>
      <c r="C512" s="1" t="n">
        <v>46052</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46052</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54074-2022</t>
        </is>
      </c>
      <c r="B514" s="1" t="n">
        <v>44881</v>
      </c>
      <c r="C514" s="1" t="n">
        <v>46052</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46052</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9887-2025</t>
        </is>
      </c>
      <c r="B516" s="1" t="n">
        <v>45716</v>
      </c>
      <c r="C516" s="1" t="n">
        <v>46052</v>
      </c>
      <c r="D516" t="inlineStr">
        <is>
          <t>GOTLANDS LÄN</t>
        </is>
      </c>
      <c r="E516" t="inlineStr">
        <is>
          <t>GOTLAND</t>
        </is>
      </c>
      <c r="G516" t="n">
        <v>7.5</v>
      </c>
      <c r="H516" t="n">
        <v>0</v>
      </c>
      <c r="I516" t="n">
        <v>0</v>
      </c>
      <c r="J516" t="n">
        <v>0</v>
      </c>
      <c r="K516" t="n">
        <v>0</v>
      </c>
      <c r="L516" t="n">
        <v>0</v>
      </c>
      <c r="M516" t="n">
        <v>0</v>
      </c>
      <c r="N516" t="n">
        <v>0</v>
      </c>
      <c r="O516" t="n">
        <v>0</v>
      </c>
      <c r="P516" t="n">
        <v>0</v>
      </c>
      <c r="Q516" t="n">
        <v>0</v>
      </c>
      <c r="R516" s="2" t="inlineStr"/>
    </row>
    <row r="517" ht="15" customHeight="1">
      <c r="A517" t="inlineStr">
        <is>
          <t>A 43951-2025</t>
        </is>
      </c>
      <c r="B517" s="1" t="n">
        <v>45915.38119212963</v>
      </c>
      <c r="C517" s="1" t="n">
        <v>46052</v>
      </c>
      <c r="D517" t="inlineStr">
        <is>
          <t>GOTLANDS LÄN</t>
        </is>
      </c>
      <c r="E517" t="inlineStr">
        <is>
          <t>GOTLAND</t>
        </is>
      </c>
      <c r="G517" t="n">
        <v>4.4</v>
      </c>
      <c r="H517" t="n">
        <v>0</v>
      </c>
      <c r="I517" t="n">
        <v>0</v>
      </c>
      <c r="J517" t="n">
        <v>0</v>
      </c>
      <c r="K517" t="n">
        <v>0</v>
      </c>
      <c r="L517" t="n">
        <v>0</v>
      </c>
      <c r="M517" t="n">
        <v>0</v>
      </c>
      <c r="N517" t="n">
        <v>0</v>
      </c>
      <c r="O517" t="n">
        <v>0</v>
      </c>
      <c r="P517" t="n">
        <v>0</v>
      </c>
      <c r="Q517" t="n">
        <v>0</v>
      </c>
      <c r="R517" s="2" t="inlineStr"/>
    </row>
    <row r="518" ht="15" customHeight="1">
      <c r="A518" t="inlineStr">
        <is>
          <t>A 64208-2021</t>
        </is>
      </c>
      <c r="B518" s="1" t="n">
        <v>44510</v>
      </c>
      <c r="C518" s="1" t="n">
        <v>46052</v>
      </c>
      <c r="D518" t="inlineStr">
        <is>
          <t>GOTLANDS LÄN</t>
        </is>
      </c>
      <c r="E518" t="inlineStr">
        <is>
          <t>GOTLAND</t>
        </is>
      </c>
      <c r="G518" t="n">
        <v>4.7</v>
      </c>
      <c r="H518" t="n">
        <v>0</v>
      </c>
      <c r="I518" t="n">
        <v>0</v>
      </c>
      <c r="J518" t="n">
        <v>0</v>
      </c>
      <c r="K518" t="n">
        <v>0</v>
      </c>
      <c r="L518" t="n">
        <v>0</v>
      </c>
      <c r="M518" t="n">
        <v>0</v>
      </c>
      <c r="N518" t="n">
        <v>0</v>
      </c>
      <c r="O518" t="n">
        <v>0</v>
      </c>
      <c r="P518" t="n">
        <v>0</v>
      </c>
      <c r="Q518" t="n">
        <v>0</v>
      </c>
      <c r="R518" s="2" t="inlineStr"/>
    </row>
    <row r="519" ht="15" customHeight="1">
      <c r="A519" t="inlineStr">
        <is>
          <t>A 12209-2024</t>
        </is>
      </c>
      <c r="B519" s="1" t="n">
        <v>45378</v>
      </c>
      <c r="C519" s="1" t="n">
        <v>46052</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12210-2024</t>
        </is>
      </c>
      <c r="B520" s="1" t="n">
        <v>45378</v>
      </c>
      <c r="C520" s="1" t="n">
        <v>46052</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44410-2025</t>
        </is>
      </c>
      <c r="B521" s="1" t="n">
        <v>45916.53699074074</v>
      </c>
      <c r="C521" s="1" t="n">
        <v>46052</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46052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54268-2022</t>
        </is>
      </c>
      <c r="B523" s="1" t="n">
        <v>44882</v>
      </c>
      <c r="C523" s="1" t="n">
        <v>46052</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1446-2025</t>
        </is>
      </c>
      <c r="B524" s="1" t="n">
        <v>45669.86035879629</v>
      </c>
      <c r="C524" s="1" t="n">
        <v>46052</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1462-2025</t>
        </is>
      </c>
      <c r="B525" s="1" t="n">
        <v>45670.36319444444</v>
      </c>
      <c r="C525" s="1" t="n">
        <v>46052</v>
      </c>
      <c r="D525" t="inlineStr">
        <is>
          <t>GOTLANDS LÄN</t>
        </is>
      </c>
      <c r="E525" t="inlineStr">
        <is>
          <t>GOTLAND</t>
        </is>
      </c>
      <c r="G525" t="n">
        <v>2.8</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44897.4777662037</v>
      </c>
      <c r="C526" s="1" t="n">
        <v>46052</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811-2023</t>
        </is>
      </c>
      <c r="B527" s="1" t="n">
        <v>44931</v>
      </c>
      <c r="C527" s="1" t="n">
        <v>46052</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31802-2024</t>
        </is>
      </c>
      <c r="B528" s="1" t="n">
        <v>45509</v>
      </c>
      <c r="C528" s="1" t="n">
        <v>46052</v>
      </c>
      <c r="D528" t="inlineStr">
        <is>
          <t>GOTLANDS LÄN</t>
        </is>
      </c>
      <c r="E528" t="inlineStr">
        <is>
          <t>GOTLAND</t>
        </is>
      </c>
      <c r="G528" t="n">
        <v>2.8</v>
      </c>
      <c r="H528" t="n">
        <v>0</v>
      </c>
      <c r="I528" t="n">
        <v>0</v>
      </c>
      <c r="J528" t="n">
        <v>0</v>
      </c>
      <c r="K528" t="n">
        <v>0</v>
      </c>
      <c r="L528" t="n">
        <v>0</v>
      </c>
      <c r="M528" t="n">
        <v>0</v>
      </c>
      <c r="N528" t="n">
        <v>0</v>
      </c>
      <c r="O528" t="n">
        <v>0</v>
      </c>
      <c r="P528" t="n">
        <v>0</v>
      </c>
      <c r="Q528" t="n">
        <v>0</v>
      </c>
      <c r="R528" s="2" t="inlineStr"/>
    </row>
    <row r="529" ht="15" customHeight="1">
      <c r="A529" t="inlineStr">
        <is>
          <t>A 44405-2025</t>
        </is>
      </c>
      <c r="B529" s="1" t="n">
        <v>45916.52405092592</v>
      </c>
      <c r="C529" s="1" t="n">
        <v>46052</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20993-2023</t>
        </is>
      </c>
      <c r="B530" s="1" t="n">
        <v>45056</v>
      </c>
      <c r="C530" s="1" t="n">
        <v>46052</v>
      </c>
      <c r="D530" t="inlineStr">
        <is>
          <t>GOTLANDS LÄN</t>
        </is>
      </c>
      <c r="E530" t="inlineStr">
        <is>
          <t>GOTLAND</t>
        </is>
      </c>
      <c r="G530" t="n">
        <v>7.1</v>
      </c>
      <c r="H530" t="n">
        <v>0</v>
      </c>
      <c r="I530" t="n">
        <v>0</v>
      </c>
      <c r="J530" t="n">
        <v>0</v>
      </c>
      <c r="K530" t="n">
        <v>0</v>
      </c>
      <c r="L530" t="n">
        <v>0</v>
      </c>
      <c r="M530" t="n">
        <v>0</v>
      </c>
      <c r="N530" t="n">
        <v>0</v>
      </c>
      <c r="O530" t="n">
        <v>0</v>
      </c>
      <c r="P530" t="n">
        <v>0</v>
      </c>
      <c r="Q530" t="n">
        <v>0</v>
      </c>
      <c r="R530" s="2" t="inlineStr"/>
    </row>
    <row r="531" ht="15" customHeight="1">
      <c r="A531" t="inlineStr">
        <is>
          <t>A 5905-2024</t>
        </is>
      </c>
      <c r="B531" s="1" t="n">
        <v>45335.88993055555</v>
      </c>
      <c r="C531" s="1" t="n">
        <v>46052</v>
      </c>
      <c r="D531" t="inlineStr">
        <is>
          <t>GOTLANDS LÄN</t>
        </is>
      </c>
      <c r="E531" t="inlineStr">
        <is>
          <t>GOTLAND</t>
        </is>
      </c>
      <c r="G531" t="n">
        <v>3</v>
      </c>
      <c r="H531" t="n">
        <v>0</v>
      </c>
      <c r="I531" t="n">
        <v>0</v>
      </c>
      <c r="J531" t="n">
        <v>0</v>
      </c>
      <c r="K531" t="n">
        <v>0</v>
      </c>
      <c r="L531" t="n">
        <v>0</v>
      </c>
      <c r="M531" t="n">
        <v>0</v>
      </c>
      <c r="N531" t="n">
        <v>0</v>
      </c>
      <c r="O531" t="n">
        <v>0</v>
      </c>
      <c r="P531" t="n">
        <v>0</v>
      </c>
      <c r="Q531" t="n">
        <v>0</v>
      </c>
      <c r="R531" s="2" t="inlineStr"/>
    </row>
    <row r="532" ht="15" customHeight="1">
      <c r="A532" t="inlineStr">
        <is>
          <t>A 15042-2025</t>
        </is>
      </c>
      <c r="B532" s="1" t="n">
        <v>45743</v>
      </c>
      <c r="C532" s="1" t="n">
        <v>46052</v>
      </c>
      <c r="D532" t="inlineStr">
        <is>
          <t>GOTLANDS LÄN</t>
        </is>
      </c>
      <c r="E532" t="inlineStr">
        <is>
          <t>GOTLAND</t>
        </is>
      </c>
      <c r="G532" t="n">
        <v>8.5</v>
      </c>
      <c r="H532" t="n">
        <v>0</v>
      </c>
      <c r="I532" t="n">
        <v>0</v>
      </c>
      <c r="J532" t="n">
        <v>0</v>
      </c>
      <c r="K532" t="n">
        <v>0</v>
      </c>
      <c r="L532" t="n">
        <v>0</v>
      </c>
      <c r="M532" t="n">
        <v>0</v>
      </c>
      <c r="N532" t="n">
        <v>0</v>
      </c>
      <c r="O532" t="n">
        <v>0</v>
      </c>
      <c r="P532" t="n">
        <v>0</v>
      </c>
      <c r="Q532" t="n">
        <v>0</v>
      </c>
      <c r="R532" s="2" t="inlineStr"/>
    </row>
    <row r="533" ht="15" customHeight="1">
      <c r="A533" t="inlineStr">
        <is>
          <t>A 3431-2025</t>
        </is>
      </c>
      <c r="B533" s="1" t="n">
        <v>45680.42935185185</v>
      </c>
      <c r="C533" s="1" t="n">
        <v>46052</v>
      </c>
      <c r="D533" t="inlineStr">
        <is>
          <t>GOTLANDS LÄN</t>
        </is>
      </c>
      <c r="E533" t="inlineStr">
        <is>
          <t>GOTLAND</t>
        </is>
      </c>
      <c r="G533" t="n">
        <v>4.8</v>
      </c>
      <c r="H533" t="n">
        <v>0</v>
      </c>
      <c r="I533" t="n">
        <v>0</v>
      </c>
      <c r="J533" t="n">
        <v>0</v>
      </c>
      <c r="K533" t="n">
        <v>0</v>
      </c>
      <c r="L533" t="n">
        <v>0</v>
      </c>
      <c r="M533" t="n">
        <v>0</v>
      </c>
      <c r="N533" t="n">
        <v>0</v>
      </c>
      <c r="O533" t="n">
        <v>0</v>
      </c>
      <c r="P533" t="n">
        <v>0</v>
      </c>
      <c r="Q533" t="n">
        <v>0</v>
      </c>
      <c r="R533" s="2" t="inlineStr"/>
    </row>
    <row r="534" ht="15" customHeight="1">
      <c r="A534" t="inlineStr">
        <is>
          <t>A 34407-2023</t>
        </is>
      </c>
      <c r="B534" s="1" t="n">
        <v>45132</v>
      </c>
      <c r="C534" s="1" t="n">
        <v>46052</v>
      </c>
      <c r="D534" t="inlineStr">
        <is>
          <t>GOTLANDS LÄN</t>
        </is>
      </c>
      <c r="E534" t="inlineStr">
        <is>
          <t>GOTLAND</t>
        </is>
      </c>
      <c r="G534" t="n">
        <v>4.4</v>
      </c>
      <c r="H534" t="n">
        <v>0</v>
      </c>
      <c r="I534" t="n">
        <v>0</v>
      </c>
      <c r="J534" t="n">
        <v>0</v>
      </c>
      <c r="K534" t="n">
        <v>0</v>
      </c>
      <c r="L534" t="n">
        <v>0</v>
      </c>
      <c r="M534" t="n">
        <v>0</v>
      </c>
      <c r="N534" t="n">
        <v>0</v>
      </c>
      <c r="O534" t="n">
        <v>0</v>
      </c>
      <c r="P534" t="n">
        <v>0</v>
      </c>
      <c r="Q534" t="n">
        <v>0</v>
      </c>
      <c r="R534" s="2" t="inlineStr"/>
    </row>
    <row r="535" ht="15" customHeight="1">
      <c r="A535" t="inlineStr">
        <is>
          <t>A 30892-2024</t>
        </is>
      </c>
      <c r="B535" s="1" t="n">
        <v>45491</v>
      </c>
      <c r="C535" s="1" t="n">
        <v>46052</v>
      </c>
      <c r="D535" t="inlineStr">
        <is>
          <t>GOTLANDS LÄN</t>
        </is>
      </c>
      <c r="E535" t="inlineStr">
        <is>
          <t>GOTLAND</t>
        </is>
      </c>
      <c r="G535" t="n">
        <v>6.1</v>
      </c>
      <c r="H535" t="n">
        <v>0</v>
      </c>
      <c r="I535" t="n">
        <v>0</v>
      </c>
      <c r="J535" t="n">
        <v>0</v>
      </c>
      <c r="K535" t="n">
        <v>0</v>
      </c>
      <c r="L535" t="n">
        <v>0</v>
      </c>
      <c r="M535" t="n">
        <v>0</v>
      </c>
      <c r="N535" t="n">
        <v>0</v>
      </c>
      <c r="O535" t="n">
        <v>0</v>
      </c>
      <c r="P535" t="n">
        <v>0</v>
      </c>
      <c r="Q535" t="n">
        <v>0</v>
      </c>
      <c r="R535" s="2" t="inlineStr"/>
    </row>
    <row r="536" ht="15" customHeight="1">
      <c r="A536" t="inlineStr">
        <is>
          <t>A 32958-2021</t>
        </is>
      </c>
      <c r="B536" s="1" t="n">
        <v>44376</v>
      </c>
      <c r="C536" s="1" t="n">
        <v>46052</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12327-2025</t>
        </is>
      </c>
      <c r="B537" s="1" t="n">
        <v>45730</v>
      </c>
      <c r="C537" s="1" t="n">
        <v>46052</v>
      </c>
      <c r="D537" t="inlineStr">
        <is>
          <t>GOTLANDS LÄN</t>
        </is>
      </c>
      <c r="E537" t="inlineStr">
        <is>
          <t>GOTLAND</t>
        </is>
      </c>
      <c r="G537" t="n">
        <v>1.8</v>
      </c>
      <c r="H537" t="n">
        <v>0</v>
      </c>
      <c r="I537" t="n">
        <v>0</v>
      </c>
      <c r="J537" t="n">
        <v>0</v>
      </c>
      <c r="K537" t="n">
        <v>0</v>
      </c>
      <c r="L537" t="n">
        <v>0</v>
      </c>
      <c r="M537" t="n">
        <v>0</v>
      </c>
      <c r="N537" t="n">
        <v>0</v>
      </c>
      <c r="O537" t="n">
        <v>0</v>
      </c>
      <c r="P537" t="n">
        <v>0</v>
      </c>
      <c r="Q537" t="n">
        <v>0</v>
      </c>
      <c r="R537" s="2" t="inlineStr"/>
    </row>
    <row r="538" ht="15" customHeight="1">
      <c r="A538" t="inlineStr">
        <is>
          <t>A 7858-2025</t>
        </is>
      </c>
      <c r="B538" s="1" t="n">
        <v>45706.68633101852</v>
      </c>
      <c r="C538" s="1" t="n">
        <v>46052</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46545-2024</t>
        </is>
      </c>
      <c r="B539" s="1" t="n">
        <v>45582.65831018519</v>
      </c>
      <c r="C539" s="1" t="n">
        <v>46052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4420-2025</t>
        </is>
      </c>
      <c r="B540" s="1" t="n">
        <v>45686.47157407407</v>
      </c>
      <c r="C540" s="1" t="n">
        <v>46052</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46052</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1364-2025</t>
        </is>
      </c>
      <c r="B542" s="1" t="n">
        <v>45667.63929398148</v>
      </c>
      <c r="C542" s="1" t="n">
        <v>46052</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2125-2025</t>
        </is>
      </c>
      <c r="B543" s="1" t="n">
        <v>45672.64940972222</v>
      </c>
      <c r="C543" s="1" t="n">
        <v>46052</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14427-2024</t>
        </is>
      </c>
      <c r="B544" s="1" t="n">
        <v>45394</v>
      </c>
      <c r="C544" s="1" t="n">
        <v>46052</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14141-2024</t>
        </is>
      </c>
      <c r="B545" s="1" t="n">
        <v>45392.85193287037</v>
      </c>
      <c r="C545" s="1" t="n">
        <v>46052</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12155-2023</t>
        </is>
      </c>
      <c r="B546" s="1" t="n">
        <v>44998.49106481481</v>
      </c>
      <c r="C546" s="1" t="n">
        <v>46052</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49257-2024</t>
        </is>
      </c>
      <c r="B547" s="1" t="n">
        <v>45595.47627314815</v>
      </c>
      <c r="C547" s="1" t="n">
        <v>46052</v>
      </c>
      <c r="D547" t="inlineStr">
        <is>
          <t>GOTLANDS LÄN</t>
        </is>
      </c>
      <c r="E547" t="inlineStr">
        <is>
          <t>GOTLAND</t>
        </is>
      </c>
      <c r="G547" t="n">
        <v>6.3</v>
      </c>
      <c r="H547" t="n">
        <v>0</v>
      </c>
      <c r="I547" t="n">
        <v>0</v>
      </c>
      <c r="J547" t="n">
        <v>0</v>
      </c>
      <c r="K547" t="n">
        <v>0</v>
      </c>
      <c r="L547" t="n">
        <v>0</v>
      </c>
      <c r="M547" t="n">
        <v>0</v>
      </c>
      <c r="N547" t="n">
        <v>0</v>
      </c>
      <c r="O547" t="n">
        <v>0</v>
      </c>
      <c r="P547" t="n">
        <v>0</v>
      </c>
      <c r="Q547" t="n">
        <v>0</v>
      </c>
      <c r="R547" s="2" t="inlineStr"/>
    </row>
    <row r="548" ht="15" customHeight="1">
      <c r="A548" t="inlineStr">
        <is>
          <t>A 49315-2024</t>
        </is>
      </c>
      <c r="B548" s="1" t="n">
        <v>45595</v>
      </c>
      <c r="C548" s="1" t="n">
        <v>46052</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2774-2024</t>
        </is>
      </c>
      <c r="B549" s="1" t="n">
        <v>45314.62375</v>
      </c>
      <c r="C549" s="1" t="n">
        <v>46052</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9947-2024</t>
        </is>
      </c>
      <c r="B550" s="1" t="n">
        <v>45363</v>
      </c>
      <c r="C550" s="1" t="n">
        <v>46052</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42007-2023</t>
        </is>
      </c>
      <c r="B551" s="1" t="n">
        <v>45177</v>
      </c>
      <c r="C551" s="1" t="n">
        <v>46052</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27596-2023</t>
        </is>
      </c>
      <c r="B552" s="1" t="n">
        <v>45097</v>
      </c>
      <c r="C552" s="1" t="n">
        <v>46052</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56115-2023</t>
        </is>
      </c>
      <c r="B553" s="1" t="n">
        <v>45236</v>
      </c>
      <c r="C553" s="1" t="n">
        <v>46052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64969-2023</t>
        </is>
      </c>
      <c r="B554" s="1" t="n">
        <v>45284.54009259259</v>
      </c>
      <c r="C554" s="1" t="n">
        <v>46052</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15083-2025</t>
        </is>
      </c>
      <c r="B555" s="1" t="n">
        <v>45743</v>
      </c>
      <c r="C555" s="1" t="n">
        <v>46052</v>
      </c>
      <c r="D555" t="inlineStr">
        <is>
          <t>GOTLANDS LÄN</t>
        </is>
      </c>
      <c r="E555" t="inlineStr">
        <is>
          <t>GOTLAND</t>
        </is>
      </c>
      <c r="G555" t="n">
        <v>2.3</v>
      </c>
      <c r="H555" t="n">
        <v>0</v>
      </c>
      <c r="I555" t="n">
        <v>0</v>
      </c>
      <c r="J555" t="n">
        <v>0</v>
      </c>
      <c r="K555" t="n">
        <v>0</v>
      </c>
      <c r="L555" t="n">
        <v>0</v>
      </c>
      <c r="M555" t="n">
        <v>0</v>
      </c>
      <c r="N555" t="n">
        <v>0</v>
      </c>
      <c r="O555" t="n">
        <v>0</v>
      </c>
      <c r="P555" t="n">
        <v>0</v>
      </c>
      <c r="Q555" t="n">
        <v>0</v>
      </c>
      <c r="R555" s="2" t="inlineStr"/>
    </row>
    <row r="556" ht="15" customHeight="1">
      <c r="A556" t="inlineStr">
        <is>
          <t>A 33853-2024</t>
        </is>
      </c>
      <c r="B556" s="1" t="n">
        <v>45520.64298611111</v>
      </c>
      <c r="C556" s="1" t="n">
        <v>46052</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18223-2025</t>
        </is>
      </c>
      <c r="B557" s="1" t="n">
        <v>45761</v>
      </c>
      <c r="C557" s="1" t="n">
        <v>46052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46949-2024</t>
        </is>
      </c>
      <c r="B558" s="1" t="n">
        <v>45585</v>
      </c>
      <c r="C558" s="1" t="n">
        <v>46052</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24001-2021</t>
        </is>
      </c>
      <c r="B559" s="1" t="n">
        <v>44335</v>
      </c>
      <c r="C559" s="1" t="n">
        <v>46052</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46052</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39496-2022</t>
        </is>
      </c>
      <c r="B561" s="1" t="n">
        <v>44818</v>
      </c>
      <c r="C561" s="1" t="n">
        <v>46052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26391-2025</t>
        </is>
      </c>
      <c r="B562" s="1" t="n">
        <v>45806</v>
      </c>
      <c r="C562" s="1" t="n">
        <v>46052</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1066-2024</t>
        </is>
      </c>
      <c r="B563" s="1" t="n">
        <v>45302.285</v>
      </c>
      <c r="C563" s="1" t="n">
        <v>46052</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46389-2021</t>
        </is>
      </c>
      <c r="B564" s="1" t="n">
        <v>44443</v>
      </c>
      <c r="C564" s="1" t="n">
        <v>46052</v>
      </c>
      <c r="D564" t="inlineStr">
        <is>
          <t>GOTLANDS LÄN</t>
        </is>
      </c>
      <c r="E564" t="inlineStr">
        <is>
          <t>GOTLAND</t>
        </is>
      </c>
      <c r="F564" t="inlineStr">
        <is>
          <t>Kyrkan</t>
        </is>
      </c>
      <c r="G564" t="n">
        <v>2.1</v>
      </c>
      <c r="H564" t="n">
        <v>0</v>
      </c>
      <c r="I564" t="n">
        <v>0</v>
      </c>
      <c r="J564" t="n">
        <v>0</v>
      </c>
      <c r="K564" t="n">
        <v>0</v>
      </c>
      <c r="L564" t="n">
        <v>0</v>
      </c>
      <c r="M564" t="n">
        <v>0</v>
      </c>
      <c r="N564" t="n">
        <v>0</v>
      </c>
      <c r="O564" t="n">
        <v>0</v>
      </c>
      <c r="P564" t="n">
        <v>0</v>
      </c>
      <c r="Q564" t="n">
        <v>0</v>
      </c>
      <c r="R564" s="2" t="inlineStr"/>
    </row>
    <row r="565" ht="15" customHeight="1">
      <c r="A565" t="inlineStr">
        <is>
          <t>A 46836-2025</t>
        </is>
      </c>
      <c r="B565" s="1" t="n">
        <v>45928.31511574074</v>
      </c>
      <c r="C565" s="1" t="n">
        <v>46052</v>
      </c>
      <c r="D565" t="inlineStr">
        <is>
          <t>GOTLANDS LÄN</t>
        </is>
      </c>
      <c r="E565" t="inlineStr">
        <is>
          <t>GOTLAND</t>
        </is>
      </c>
      <c r="G565" t="n">
        <v>2.8</v>
      </c>
      <c r="H565" t="n">
        <v>0</v>
      </c>
      <c r="I565" t="n">
        <v>0</v>
      </c>
      <c r="J565" t="n">
        <v>0</v>
      </c>
      <c r="K565" t="n">
        <v>0</v>
      </c>
      <c r="L565" t="n">
        <v>0</v>
      </c>
      <c r="M565" t="n">
        <v>0</v>
      </c>
      <c r="N565" t="n">
        <v>0</v>
      </c>
      <c r="O565" t="n">
        <v>0</v>
      </c>
      <c r="P565" t="n">
        <v>0</v>
      </c>
      <c r="Q565" t="n">
        <v>0</v>
      </c>
      <c r="R565" s="2" t="inlineStr"/>
    </row>
    <row r="566" ht="15" customHeight="1">
      <c r="A566" t="inlineStr">
        <is>
          <t>A 37202-2024</t>
        </is>
      </c>
      <c r="B566" s="1" t="n">
        <v>45539.67310185185</v>
      </c>
      <c r="C566" s="1" t="n">
        <v>46052</v>
      </c>
      <c r="D566" t="inlineStr">
        <is>
          <t>GOTLANDS LÄN</t>
        </is>
      </c>
      <c r="E566" t="inlineStr">
        <is>
          <t>GOTLAND</t>
        </is>
      </c>
      <c r="G566" t="n">
        <v>0.3</v>
      </c>
      <c r="H566" t="n">
        <v>0</v>
      </c>
      <c r="I566" t="n">
        <v>0</v>
      </c>
      <c r="J566" t="n">
        <v>0</v>
      </c>
      <c r="K566" t="n">
        <v>0</v>
      </c>
      <c r="L566" t="n">
        <v>0</v>
      </c>
      <c r="M566" t="n">
        <v>0</v>
      </c>
      <c r="N566" t="n">
        <v>0</v>
      </c>
      <c r="O566" t="n">
        <v>0</v>
      </c>
      <c r="P566" t="n">
        <v>0</v>
      </c>
      <c r="Q566" t="n">
        <v>0</v>
      </c>
      <c r="R566" s="2" t="inlineStr"/>
    </row>
    <row r="567" ht="15" customHeight="1">
      <c r="A567" t="inlineStr">
        <is>
          <t>A 44949-2023</t>
        </is>
      </c>
      <c r="B567" s="1" t="n">
        <v>45190.69520833333</v>
      </c>
      <c r="C567" s="1" t="n">
        <v>46052</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47637-2025</t>
        </is>
      </c>
      <c r="B568" s="1" t="n">
        <v>45931.49753472222</v>
      </c>
      <c r="C568" s="1" t="n">
        <v>46052</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30815-2023</t>
        </is>
      </c>
      <c r="B569" s="1" t="n">
        <v>45112</v>
      </c>
      <c r="C569" s="1" t="n">
        <v>46052</v>
      </c>
      <c r="D569" t="inlineStr">
        <is>
          <t>GOTLANDS LÄN</t>
        </is>
      </c>
      <c r="E569" t="inlineStr">
        <is>
          <t>GOTLAND</t>
        </is>
      </c>
      <c r="G569" t="n">
        <v>6</v>
      </c>
      <c r="H569" t="n">
        <v>0</v>
      </c>
      <c r="I569" t="n">
        <v>0</v>
      </c>
      <c r="J569" t="n">
        <v>0</v>
      </c>
      <c r="K569" t="n">
        <v>0</v>
      </c>
      <c r="L569" t="n">
        <v>0</v>
      </c>
      <c r="M569" t="n">
        <v>0</v>
      </c>
      <c r="N569" t="n">
        <v>0</v>
      </c>
      <c r="O569" t="n">
        <v>0</v>
      </c>
      <c r="P569" t="n">
        <v>0</v>
      </c>
      <c r="Q569" t="n">
        <v>0</v>
      </c>
      <c r="R569" s="2" t="inlineStr"/>
    </row>
    <row r="570" ht="15" customHeight="1">
      <c r="A570" t="inlineStr">
        <is>
          <t>A 46400-2023</t>
        </is>
      </c>
      <c r="B570" s="1" t="n">
        <v>45197.49290509259</v>
      </c>
      <c r="C570" s="1" t="n">
        <v>46052</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46052</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44919-2022</t>
        </is>
      </c>
      <c r="B572" s="1" t="n">
        <v>44841</v>
      </c>
      <c r="C572" s="1" t="n">
        <v>46052</v>
      </c>
      <c r="D572" t="inlineStr">
        <is>
          <t>GOTLANDS LÄN</t>
        </is>
      </c>
      <c r="E572" t="inlineStr">
        <is>
          <t>GOTLAND</t>
        </is>
      </c>
      <c r="G572" t="n">
        <v>2.2</v>
      </c>
      <c r="H572" t="n">
        <v>0</v>
      </c>
      <c r="I572" t="n">
        <v>0</v>
      </c>
      <c r="J572" t="n">
        <v>0</v>
      </c>
      <c r="K572" t="n">
        <v>0</v>
      </c>
      <c r="L572" t="n">
        <v>0</v>
      </c>
      <c r="M572" t="n">
        <v>0</v>
      </c>
      <c r="N572" t="n">
        <v>0</v>
      </c>
      <c r="O572" t="n">
        <v>0</v>
      </c>
      <c r="P572" t="n">
        <v>0</v>
      </c>
      <c r="Q572" t="n">
        <v>0</v>
      </c>
      <c r="R572" s="2" t="inlineStr"/>
    </row>
    <row r="573" ht="15" customHeight="1">
      <c r="A573" t="inlineStr">
        <is>
          <t>A 32378-2025</t>
        </is>
      </c>
      <c r="B573" s="1" t="n">
        <v>45837</v>
      </c>
      <c r="C573" s="1" t="n">
        <v>46052</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16501-2023</t>
        </is>
      </c>
      <c r="B574" s="1" t="n">
        <v>45029</v>
      </c>
      <c r="C574" s="1" t="n">
        <v>46052</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17682-2024</t>
        </is>
      </c>
      <c r="B575" s="1" t="n">
        <v>45418.42966435185</v>
      </c>
      <c r="C575" s="1" t="n">
        <v>46052</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46052</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46052</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12032-2025</t>
        </is>
      </c>
      <c r="B578" s="1" t="n">
        <v>45728.64472222222</v>
      </c>
      <c r="C578" s="1" t="n">
        <v>46052</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15595-2024</t>
        </is>
      </c>
      <c r="B579" s="1" t="n">
        <v>45401.81480324074</v>
      </c>
      <c r="C579" s="1" t="n">
        <v>46052</v>
      </c>
      <c r="D579" t="inlineStr">
        <is>
          <t>GOTLANDS LÄN</t>
        </is>
      </c>
      <c r="E579" t="inlineStr">
        <is>
          <t>GOTLAND</t>
        </is>
      </c>
      <c r="G579" t="n">
        <v>6.4</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46052</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46052</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46052</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46052</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46052</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46052</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46052</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46052</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46052</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46052</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46052</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46052</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46052</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46052</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46052</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46052</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56688-2025</t>
        </is>
      </c>
      <c r="B596" s="1" t="n">
        <v>45975.84331018518</v>
      </c>
      <c r="C596" s="1" t="n">
        <v>46052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56799-2025</t>
        </is>
      </c>
      <c r="B597" s="1" t="n">
        <v>45978.43392361111</v>
      </c>
      <c r="C597" s="1" t="n">
        <v>46052</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36-2026</t>
        </is>
      </c>
      <c r="B598" s="1" t="n">
        <v>46024.38886574074</v>
      </c>
      <c r="C598" s="1" t="n">
        <v>46052</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59197-2025</t>
        </is>
      </c>
      <c r="B599" s="1" t="n">
        <v>45988.59846064815</v>
      </c>
      <c r="C599" s="1" t="n">
        <v>46052</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1355-2026</t>
        </is>
      </c>
      <c r="B600" s="1" t="n">
        <v>46031.59909722222</v>
      </c>
      <c r="C600" s="1" t="n">
        <v>46052</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36319-2025</t>
        </is>
      </c>
      <c r="B601" s="1" t="n">
        <v>45868</v>
      </c>
      <c r="C601" s="1" t="n">
        <v>46052</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38649-2025</t>
        </is>
      </c>
      <c r="B602" s="1" t="n">
        <v>45884</v>
      </c>
      <c r="C602" s="1" t="n">
        <v>46052</v>
      </c>
      <c r="D602" t="inlineStr">
        <is>
          <t>GOTLANDS LÄN</t>
        </is>
      </c>
      <c r="E602" t="inlineStr">
        <is>
          <t>GOTLAND</t>
        </is>
      </c>
      <c r="G602" t="n">
        <v>1.5</v>
      </c>
      <c r="H602" t="n">
        <v>0</v>
      </c>
      <c r="I602" t="n">
        <v>0</v>
      </c>
      <c r="J602" t="n">
        <v>0</v>
      </c>
      <c r="K602" t="n">
        <v>0</v>
      </c>
      <c r="L602" t="n">
        <v>0</v>
      </c>
      <c r="M602" t="n">
        <v>0</v>
      </c>
      <c r="N602" t="n">
        <v>0</v>
      </c>
      <c r="O602" t="n">
        <v>0</v>
      </c>
      <c r="P602" t="n">
        <v>0</v>
      </c>
      <c r="Q602" t="n">
        <v>0</v>
      </c>
      <c r="R602" s="2" t="inlineStr"/>
    </row>
    <row r="603" ht="15" customHeight="1">
      <c r="A603" t="inlineStr">
        <is>
          <t>A 1839-2026</t>
        </is>
      </c>
      <c r="B603" s="1" t="n">
        <v>46035.3942824074</v>
      </c>
      <c r="C603" s="1" t="n">
        <v>46052</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1898-2026</t>
        </is>
      </c>
      <c r="B604" s="1" t="n">
        <v>46035.52024305556</v>
      </c>
      <c r="C604" s="1" t="n">
        <v>46052</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1854-2026</t>
        </is>
      </c>
      <c r="B605" s="1" t="n">
        <v>46035.4171875</v>
      </c>
      <c r="C605" s="1" t="n">
        <v>46052</v>
      </c>
      <c r="D605" t="inlineStr">
        <is>
          <t>GOTLANDS LÄN</t>
        </is>
      </c>
      <c r="E605" t="inlineStr">
        <is>
          <t>GOTLAND</t>
        </is>
      </c>
      <c r="G605" t="n">
        <v>3</v>
      </c>
      <c r="H605" t="n">
        <v>0</v>
      </c>
      <c r="I605" t="n">
        <v>0</v>
      </c>
      <c r="J605" t="n">
        <v>0</v>
      </c>
      <c r="K605" t="n">
        <v>0</v>
      </c>
      <c r="L605" t="n">
        <v>0</v>
      </c>
      <c r="M605" t="n">
        <v>0</v>
      </c>
      <c r="N605" t="n">
        <v>0</v>
      </c>
      <c r="O605" t="n">
        <v>0</v>
      </c>
      <c r="P605" t="n">
        <v>0</v>
      </c>
      <c r="Q605" t="n">
        <v>0</v>
      </c>
      <c r="R605" s="2" t="inlineStr"/>
    </row>
    <row r="606" ht="15" customHeight="1">
      <c r="A606" t="inlineStr">
        <is>
          <t>A 2415-2026</t>
        </is>
      </c>
      <c r="B606" s="1" t="n">
        <v>46036.76203703704</v>
      </c>
      <c r="C606" s="1" t="n">
        <v>46052</v>
      </c>
      <c r="D606" t="inlineStr">
        <is>
          <t>GOTLANDS LÄN</t>
        </is>
      </c>
      <c r="E606" t="inlineStr">
        <is>
          <t>GOTLAND</t>
        </is>
      </c>
      <c r="G606" t="n">
        <v>6.9</v>
      </c>
      <c r="H606" t="n">
        <v>0</v>
      </c>
      <c r="I606" t="n">
        <v>0</v>
      </c>
      <c r="J606" t="n">
        <v>0</v>
      </c>
      <c r="K606" t="n">
        <v>0</v>
      </c>
      <c r="L606" t="n">
        <v>0</v>
      </c>
      <c r="M606" t="n">
        <v>0</v>
      </c>
      <c r="N606" t="n">
        <v>0</v>
      </c>
      <c r="O606" t="n">
        <v>0</v>
      </c>
      <c r="P606" t="n">
        <v>0</v>
      </c>
      <c r="Q606" t="n">
        <v>0</v>
      </c>
      <c r="R606" s="2" t="inlineStr"/>
    </row>
    <row r="607" ht="15" customHeight="1">
      <c r="A607" t="inlineStr">
        <is>
          <t>A 2134-2026</t>
        </is>
      </c>
      <c r="B607" s="1" t="n">
        <v>46036</v>
      </c>
      <c r="C607" s="1" t="n">
        <v>46052</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2135-2026</t>
        </is>
      </c>
      <c r="B608" s="1" t="n">
        <v>46036</v>
      </c>
      <c r="C608" s="1" t="n">
        <v>46052</v>
      </c>
      <c r="D608" t="inlineStr">
        <is>
          <t>GOTLANDS LÄN</t>
        </is>
      </c>
      <c r="E608" t="inlineStr">
        <is>
          <t>GOTLAND</t>
        </is>
      </c>
      <c r="G608" t="n">
        <v>0.5</v>
      </c>
      <c r="H608" t="n">
        <v>0</v>
      </c>
      <c r="I608" t="n">
        <v>0</v>
      </c>
      <c r="J608" t="n">
        <v>0</v>
      </c>
      <c r="K608" t="n">
        <v>0</v>
      </c>
      <c r="L608" t="n">
        <v>0</v>
      </c>
      <c r="M608" t="n">
        <v>0</v>
      </c>
      <c r="N608" t="n">
        <v>0</v>
      </c>
      <c r="O608" t="n">
        <v>0</v>
      </c>
      <c r="P608" t="n">
        <v>0</v>
      </c>
      <c r="Q608" t="n">
        <v>0</v>
      </c>
      <c r="R608" s="2" t="inlineStr"/>
    </row>
    <row r="609" ht="15" customHeight="1">
      <c r="A609" t="inlineStr">
        <is>
          <t>A 60384-2025</t>
        </is>
      </c>
      <c r="B609" s="1" t="n">
        <v>45995</v>
      </c>
      <c r="C609" s="1" t="n">
        <v>46052</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3067-2026</t>
        </is>
      </c>
      <c r="B610" s="1" t="n">
        <v>46040.59025462963</v>
      </c>
      <c r="C610" s="1" t="n">
        <v>46052</v>
      </c>
      <c r="D610" t="inlineStr">
        <is>
          <t>GOTLANDS LÄN</t>
        </is>
      </c>
      <c r="E610" t="inlineStr">
        <is>
          <t>GOTLAND</t>
        </is>
      </c>
      <c r="G610" t="n">
        <v>7.8</v>
      </c>
      <c r="H610" t="n">
        <v>0</v>
      </c>
      <c r="I610" t="n">
        <v>0</v>
      </c>
      <c r="J610" t="n">
        <v>0</v>
      </c>
      <c r="K610" t="n">
        <v>0</v>
      </c>
      <c r="L610" t="n">
        <v>0</v>
      </c>
      <c r="M610" t="n">
        <v>0</v>
      </c>
      <c r="N610" t="n">
        <v>0</v>
      </c>
      <c r="O610" t="n">
        <v>0</v>
      </c>
      <c r="P610" t="n">
        <v>0</v>
      </c>
      <c r="Q610" t="n">
        <v>0</v>
      </c>
      <c r="R610" s="2" t="inlineStr"/>
    </row>
    <row r="611" ht="15" customHeight="1">
      <c r="A611" t="inlineStr">
        <is>
          <t>A 3253-2026</t>
        </is>
      </c>
      <c r="B611" s="1" t="n">
        <v>46041.58902777778</v>
      </c>
      <c r="C611" s="1" t="n">
        <v>46052</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61078-2025</t>
        </is>
      </c>
      <c r="B612" s="1" t="n">
        <v>46000</v>
      </c>
      <c r="C612" s="1" t="n">
        <v>46052</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61080-2025</t>
        </is>
      </c>
      <c r="B613" s="1" t="n">
        <v>46000</v>
      </c>
      <c r="C613" s="1" t="n">
        <v>46052</v>
      </c>
      <c r="D613" t="inlineStr">
        <is>
          <t>GOTLANDS LÄN</t>
        </is>
      </c>
      <c r="E613" t="inlineStr">
        <is>
          <t>GOTLAND</t>
        </is>
      </c>
      <c r="G613" t="n">
        <v>2.3</v>
      </c>
      <c r="H613" t="n">
        <v>0</v>
      </c>
      <c r="I613" t="n">
        <v>0</v>
      </c>
      <c r="J613" t="n">
        <v>0</v>
      </c>
      <c r="K613" t="n">
        <v>0</v>
      </c>
      <c r="L613" t="n">
        <v>0</v>
      </c>
      <c r="M613" t="n">
        <v>0</v>
      </c>
      <c r="N613" t="n">
        <v>0</v>
      </c>
      <c r="O613" t="n">
        <v>0</v>
      </c>
      <c r="P613" t="n">
        <v>0</v>
      </c>
      <c r="Q613" t="n">
        <v>0</v>
      </c>
      <c r="R613" s="2" t="inlineStr"/>
    </row>
    <row r="614" ht="15" customHeight="1">
      <c r="A614" t="inlineStr">
        <is>
          <t>A 4670-2026</t>
        </is>
      </c>
      <c r="B614" s="1" t="n">
        <v>46048.41733796296</v>
      </c>
      <c r="C614" s="1" t="n">
        <v>46052</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4662-2026</t>
        </is>
      </c>
      <c r="B615" s="1" t="n">
        <v>46048.40949074074</v>
      </c>
      <c r="C615" s="1" t="n">
        <v>46052</v>
      </c>
      <c r="D615" t="inlineStr">
        <is>
          <t>GOTLANDS LÄN</t>
        </is>
      </c>
      <c r="E615" t="inlineStr">
        <is>
          <t>GOTLAND</t>
        </is>
      </c>
      <c r="G615" t="n">
        <v>7.6</v>
      </c>
      <c r="H615" t="n">
        <v>0</v>
      </c>
      <c r="I615" t="n">
        <v>0</v>
      </c>
      <c r="J615" t="n">
        <v>0</v>
      </c>
      <c r="K615" t="n">
        <v>0</v>
      </c>
      <c r="L615" t="n">
        <v>0</v>
      </c>
      <c r="M615" t="n">
        <v>0</v>
      </c>
      <c r="N615" t="n">
        <v>0</v>
      </c>
      <c r="O615" t="n">
        <v>0</v>
      </c>
      <c r="P615" t="n">
        <v>0</v>
      </c>
      <c r="Q615" t="n">
        <v>0</v>
      </c>
      <c r="R615" s="2" t="inlineStr"/>
    </row>
    <row r="616" ht="15" customHeight="1">
      <c r="A616" t="inlineStr">
        <is>
          <t>A 4646-2026</t>
        </is>
      </c>
      <c r="B616" s="1" t="n">
        <v>46048.40357638889</v>
      </c>
      <c r="C616" s="1" t="n">
        <v>46052</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4639-2026</t>
        </is>
      </c>
      <c r="B617" s="1" t="n">
        <v>46048.39880787037</v>
      </c>
      <c r="C617" s="1" t="n">
        <v>46052</v>
      </c>
      <c r="D617" t="inlineStr">
        <is>
          <t>GOTLANDS LÄN</t>
        </is>
      </c>
      <c r="E617" t="inlineStr">
        <is>
          <t>GOTLAND</t>
        </is>
      </c>
      <c r="G617" t="n">
        <v>0.8</v>
      </c>
      <c r="H617" t="n">
        <v>0</v>
      </c>
      <c r="I617" t="n">
        <v>0</v>
      </c>
      <c r="J617" t="n">
        <v>0</v>
      </c>
      <c r="K617" t="n">
        <v>0</v>
      </c>
      <c r="L617" t="n">
        <v>0</v>
      </c>
      <c r="M617" t="n">
        <v>0</v>
      </c>
      <c r="N617" t="n">
        <v>0</v>
      </c>
      <c r="O617" t="n">
        <v>0</v>
      </c>
      <c r="P617" t="n">
        <v>0</v>
      </c>
      <c r="Q617" t="n">
        <v>0</v>
      </c>
      <c r="R617" s="2" t="inlineStr"/>
    </row>
    <row r="618" ht="15" customHeight="1">
      <c r="A618" t="inlineStr">
        <is>
          <t>A 62066-2025</t>
        </is>
      </c>
      <c r="B618" s="1" t="n">
        <v>46006.34738425926</v>
      </c>
      <c r="C618" s="1" t="n">
        <v>46052</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62103-2025</t>
        </is>
      </c>
      <c r="B619" s="1" t="n">
        <v>46006</v>
      </c>
      <c r="C619" s="1" t="n">
        <v>46052</v>
      </c>
      <c r="D619" t="inlineStr">
        <is>
          <t>GOTLANDS LÄN</t>
        </is>
      </c>
      <c r="E619" t="inlineStr">
        <is>
          <t>GOTLAND</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4634-2026</t>
        </is>
      </c>
      <c r="B620" s="1" t="n">
        <v>46048.39304398148</v>
      </c>
      <c r="C620" s="1" t="n">
        <v>46052</v>
      </c>
      <c r="D620" t="inlineStr">
        <is>
          <t>GOTLANDS LÄN</t>
        </is>
      </c>
      <c r="E620" t="inlineStr">
        <is>
          <t>GOTLAND</t>
        </is>
      </c>
      <c r="G620" t="n">
        <v>7.8</v>
      </c>
      <c r="H620" t="n">
        <v>0</v>
      </c>
      <c r="I620" t="n">
        <v>0</v>
      </c>
      <c r="J620" t="n">
        <v>0</v>
      </c>
      <c r="K620" t="n">
        <v>0</v>
      </c>
      <c r="L620" t="n">
        <v>0</v>
      </c>
      <c r="M620" t="n">
        <v>0</v>
      </c>
      <c r="N620" t="n">
        <v>0</v>
      </c>
      <c r="O620" t="n">
        <v>0</v>
      </c>
      <c r="P620" t="n">
        <v>0</v>
      </c>
      <c r="Q620" t="n">
        <v>0</v>
      </c>
      <c r="R620" s="2" t="inlineStr"/>
    </row>
    <row r="621" ht="15" customHeight="1">
      <c r="A621" t="inlineStr">
        <is>
          <t>A 62674-2025</t>
        </is>
      </c>
      <c r="B621" s="1" t="n">
        <v>46008</v>
      </c>
      <c r="C621" s="1" t="n">
        <v>46052</v>
      </c>
      <c r="D621" t="inlineStr">
        <is>
          <t>GOTLANDS LÄN</t>
        </is>
      </c>
      <c r="E621" t="inlineStr">
        <is>
          <t>GOTLAND</t>
        </is>
      </c>
      <c r="G621" t="n">
        <v>5</v>
      </c>
      <c r="H621" t="n">
        <v>0</v>
      </c>
      <c r="I621" t="n">
        <v>0</v>
      </c>
      <c r="J621" t="n">
        <v>0</v>
      </c>
      <c r="K621" t="n">
        <v>0</v>
      </c>
      <c r="L621" t="n">
        <v>0</v>
      </c>
      <c r="M621" t="n">
        <v>0</v>
      </c>
      <c r="N621" t="n">
        <v>0</v>
      </c>
      <c r="O621" t="n">
        <v>0</v>
      </c>
      <c r="P621" t="n">
        <v>0</v>
      </c>
      <c r="Q621" t="n">
        <v>0</v>
      </c>
      <c r="R621" s="2" t="inlineStr"/>
    </row>
    <row r="622" ht="15" customHeight="1">
      <c r="A622" t="inlineStr">
        <is>
          <t>A 63152-2025</t>
        </is>
      </c>
      <c r="B622" s="1" t="n">
        <v>46010</v>
      </c>
      <c r="C622" s="1" t="n">
        <v>46052</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63000-2025</t>
        </is>
      </c>
      <c r="B623" s="1" t="n">
        <v>46009</v>
      </c>
      <c r="C623" s="1" t="n">
        <v>46052</v>
      </c>
      <c r="D623" t="inlineStr">
        <is>
          <t>GOTLANDS LÄN</t>
        </is>
      </c>
      <c r="E623" t="inlineStr">
        <is>
          <t>GOTLAND</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62751-2025</t>
        </is>
      </c>
      <c r="B624" s="1" t="n">
        <v>46008</v>
      </c>
      <c r="C624" s="1" t="n">
        <v>46052</v>
      </c>
      <c r="D624" t="inlineStr">
        <is>
          <t>GOTLANDS LÄN</t>
        </is>
      </c>
      <c r="E624" t="inlineStr">
        <is>
          <t>GOTLAND</t>
        </is>
      </c>
      <c r="F624" t="inlineStr">
        <is>
          <t>Övriga Aktiebolag</t>
        </is>
      </c>
      <c r="G624" t="n">
        <v>7.8</v>
      </c>
      <c r="H624" t="n">
        <v>0</v>
      </c>
      <c r="I624" t="n">
        <v>0</v>
      </c>
      <c r="J624" t="n">
        <v>0</v>
      </c>
      <c r="K624" t="n">
        <v>0</v>
      </c>
      <c r="L624" t="n">
        <v>0</v>
      </c>
      <c r="M624" t="n">
        <v>0</v>
      </c>
      <c r="N624" t="n">
        <v>0</v>
      </c>
      <c r="O624" t="n">
        <v>0</v>
      </c>
      <c r="P624" t="n">
        <v>0</v>
      </c>
      <c r="Q624" t="n">
        <v>0</v>
      </c>
      <c r="R624" s="2" t="inlineStr"/>
    </row>
    <row r="625" ht="15" customHeight="1">
      <c r="A625" t="inlineStr">
        <is>
          <t>A 62836-2025</t>
        </is>
      </c>
      <c r="B625" s="1" t="n">
        <v>46008</v>
      </c>
      <c r="C625" s="1" t="n">
        <v>46052</v>
      </c>
      <c r="D625" t="inlineStr">
        <is>
          <t>GOTLANDS LÄN</t>
        </is>
      </c>
      <c r="E625" t="inlineStr">
        <is>
          <t>GOTLAND</t>
        </is>
      </c>
      <c r="G625" t="n">
        <v>6.5</v>
      </c>
      <c r="H625" t="n">
        <v>0</v>
      </c>
      <c r="I625" t="n">
        <v>0</v>
      </c>
      <c r="J625" t="n">
        <v>0</v>
      </c>
      <c r="K625" t="n">
        <v>0</v>
      </c>
      <c r="L625" t="n">
        <v>0</v>
      </c>
      <c r="M625" t="n">
        <v>0</v>
      </c>
      <c r="N625" t="n">
        <v>0</v>
      </c>
      <c r="O625" t="n">
        <v>0</v>
      </c>
      <c r="P625" t="n">
        <v>0</v>
      </c>
      <c r="Q625" t="n">
        <v>0</v>
      </c>
      <c r="R625" s="2" t="inlineStr"/>
    </row>
    <row r="626" ht="15" customHeight="1">
      <c r="A626" t="inlineStr">
        <is>
          <t>A 63105-2025</t>
        </is>
      </c>
      <c r="B626" s="1" t="n">
        <v>46009</v>
      </c>
      <c r="C626" s="1" t="n">
        <v>46052</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47147-2025</t>
        </is>
      </c>
      <c r="B627" s="1" t="n">
        <v>45929</v>
      </c>
      <c r="C627" s="1" t="n">
        <v>46052</v>
      </c>
      <c r="D627" t="inlineStr">
        <is>
          <t>GOTLANDS LÄN</t>
        </is>
      </c>
      <c r="E627" t="inlineStr">
        <is>
          <t>GOTLAND</t>
        </is>
      </c>
      <c r="G627" t="n">
        <v>2.3</v>
      </c>
      <c r="H627" t="n">
        <v>0</v>
      </c>
      <c r="I627" t="n">
        <v>0</v>
      </c>
      <c r="J627" t="n">
        <v>0</v>
      </c>
      <c r="K627" t="n">
        <v>0</v>
      </c>
      <c r="L627" t="n">
        <v>0</v>
      </c>
      <c r="M627" t="n">
        <v>0</v>
      </c>
      <c r="N627" t="n">
        <v>0</v>
      </c>
      <c r="O627" t="n">
        <v>0</v>
      </c>
      <c r="P627" t="n">
        <v>0</v>
      </c>
      <c r="Q627" t="n">
        <v>0</v>
      </c>
      <c r="R627" s="2" t="inlineStr"/>
    </row>
    <row r="628" ht="15" customHeight="1">
      <c r="A628" t="inlineStr">
        <is>
          <t>A 62754-2025</t>
        </is>
      </c>
      <c r="B628" s="1" t="n">
        <v>46008</v>
      </c>
      <c r="C628" s="1" t="n">
        <v>46052</v>
      </c>
      <c r="D628" t="inlineStr">
        <is>
          <t>GOTLANDS LÄN</t>
        </is>
      </c>
      <c r="E628" t="inlineStr">
        <is>
          <t>GOTLAND</t>
        </is>
      </c>
      <c r="F628" t="inlineStr">
        <is>
          <t>Övriga Aktiebolag</t>
        </is>
      </c>
      <c r="G628" t="n">
        <v>2.9</v>
      </c>
      <c r="H628" t="n">
        <v>0</v>
      </c>
      <c r="I628" t="n">
        <v>0</v>
      </c>
      <c r="J628" t="n">
        <v>0</v>
      </c>
      <c r="K628" t="n">
        <v>0</v>
      </c>
      <c r="L628" t="n">
        <v>0</v>
      </c>
      <c r="M628" t="n">
        <v>0</v>
      </c>
      <c r="N628" t="n">
        <v>0</v>
      </c>
      <c r="O628" t="n">
        <v>0</v>
      </c>
      <c r="P628" t="n">
        <v>0</v>
      </c>
      <c r="Q628" t="n">
        <v>0</v>
      </c>
      <c r="R628" s="2" t="inlineStr"/>
    </row>
    <row r="629">
      <c r="A629" t="inlineStr">
        <is>
          <t>A 63002-2025</t>
        </is>
      </c>
      <c r="B629" s="1" t="n">
        <v>46009.56564814815</v>
      </c>
      <c r="C629" s="1" t="n">
        <v>46052</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2026-01-30T11:00:20Z</dcterms:created>
  <dcterms:modified xmlns:dcterms="http://purl.org/dc/terms/" xmlns:xsi="http://www.w3.org/2001/XMLSchema-instance" xsi:type="dcterms:W3CDTF">2026-01-30T11:00:20Z</dcterms:modified>
</cp:coreProperties>
</file>